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organized_education_data\"/>
    </mc:Choice>
  </mc:AlternateContent>
  <xr:revisionPtr revIDLastSave="0" documentId="13_ncr:1_{74D61D76-F79C-4280-B2BE-1E9DBF44E1D1}" xr6:coauthVersionLast="47" xr6:coauthVersionMax="47" xr10:uidLastSave="{00000000-0000-0000-0000-000000000000}"/>
  <bookViews>
    <workbookView xWindow="-120" yWindow="-120" windowWidth="29040" windowHeight="15720" firstSheet="30" activeTab="33" xr2:uid="{00000000-000D-0000-FFFF-FFFF00000000}"/>
  </bookViews>
  <sheets>
    <sheet name="📋 Index" sheetId="1" r:id="rId1"/>
    <sheet name="National Summary - Schools, Cla" sheetId="2" r:id="rId2"/>
    <sheet name="Schools, Classes &amp; Staff by Pro" sheetId="3" r:id="rId3"/>
    <sheet name="All Lycees by Province" sheetId="4" r:id="rId4"/>
    <sheet name="Colleges by Province" sheetId="5" r:id="rId5"/>
    <sheet name="Lycees (Gr 10-12 only) by Provi" sheetId="6" r:id="rId6"/>
    <sheet name="Pre-Schools by Province" sheetId="7" r:id="rId7"/>
    <sheet name="Primary Schools by Province" sheetId="8" r:id="rId8"/>
    <sheet name="Secondary Schools by Province" sheetId="9" r:id="rId9"/>
    <sheet name="Classes by Grade &amp; Education Le" sheetId="10" r:id="rId10"/>
    <sheet name="Cluster Schools &amp; Schools in Pa" sheetId="11" r:id="rId11"/>
    <sheet name="School Characteristics &amp; Princi" sheetId="12" r:id="rId12"/>
    <sheet name="Schools by Highest Grade Taught" sheetId="13" r:id="rId13"/>
    <sheet name="Enrollment &amp; Repeaters by Grade" sheetId="14" r:id="rId14"/>
    <sheet name="Enrollment by Level 2019-2020" sheetId="15" r:id="rId15"/>
    <sheet name="New Intake &amp; Enrollment by Age " sheetId="16" r:id="rId16"/>
    <sheet name="New Intake &amp; Enrollment by Ag 1" sheetId="17" r:id="rId17"/>
    <sheet name="Pre-School Enrollment by Age (3" sheetId="18" r:id="rId18"/>
    <sheet name="Pre-School Enrollment by Step" sheetId="19" r:id="rId19"/>
    <sheet name="Provincial &amp; District Education" sheetId="20" r:id="rId20"/>
    <sheet name="School Staff - Special Function" sheetId="21" r:id="rId21"/>
    <sheet name="School Staff by Education Level" sheetId="22" r:id="rId22"/>
    <sheet name="Teaching Staff - Pedagogical Tr" sheetId="23" r:id="rId23"/>
    <sheet name="Classroom Conditions &amp; Office-L" sheetId="24" r:id="rId24"/>
    <sheet name="Community Participation &amp; Finan" sheetId="25" r:id="rId25"/>
    <sheet name="School Building Conditions" sheetId="26" r:id="rId26"/>
    <sheet name="School Space &amp; Sports Facilitie" sheetId="27" r:id="rId27"/>
    <sheet name="Access &amp; Enrollment Ratios for " sheetId="28" r:id="rId28"/>
    <sheet name="Access &amp; Equity Indicators - by" sheetId="29" r:id="rId29"/>
    <sheet name="Enrollment Indicators - by Prov" sheetId="30" r:id="rId30"/>
    <sheet name="Gross &amp; Net Enrollment Ratios -" sheetId="31" r:id="rId31"/>
    <sheet name="Indicators on Primary Schools -" sheetId="32" r:id="rId32"/>
    <sheet name="Indicators on Schools - Nationa" sheetId="33" r:id="rId33"/>
    <sheet name="Indicators on Schools - by Prov" sheetId="34" r:id="rId34"/>
    <sheet name="Indicators on Secondary Schools" sheetId="35" r:id="rId35"/>
    <sheet name="Primary Student &amp; Staff Indicat" sheetId="36" r:id="rId36"/>
    <sheet name="School-Going Age Population &amp; S" sheetId="37" r:id="rId37"/>
    <sheet name="Secondary Student &amp; Staff Indic" sheetId="38" r:id="rId38"/>
    <sheet name="Student &amp; Staff Indicators - Na" sheetId="39" r:id="rId39"/>
    <sheet name="Student &amp; Staff Indicators - by" sheetId="40" r:id="rId40"/>
    <sheet name="Flow Rates &amp; Graduates by Level" sheetId="41" r:id="rId41"/>
    <sheet name="Flow Rates &amp; Graduates by Lev 1" sheetId="42" r:id="rId42"/>
    <sheet name="Flow Rates &amp; Graduates by Lev 2" sheetId="43" r:id="rId43"/>
    <sheet name="Student Flow Rates (Both) 2018-" sheetId="44" r:id="rId44"/>
    <sheet name="Student Flow Rates (Male) 2018-" sheetId="45" r:id="rId45"/>
    <sheet name="Student Flow Rates by Grade 201" sheetId="46" r:id="rId46"/>
    <sheet name="Survival &amp; Completion Rates 201" sheetId="47" r:id="rId47"/>
    <sheet name="Gender Parity Index 2019-2020" sheetId="48" r:id="rId48"/>
    <sheet name="Appendix - Historical Data 1979" sheetId="49" r:id="rId49"/>
  </sheets>
  <calcPr calcId="181029"/>
</workbook>
</file>

<file path=xl/calcChain.xml><?xml version="1.0" encoding="utf-8"?>
<calcChain xmlns="http://schemas.openxmlformats.org/spreadsheetml/2006/main">
  <c r="D62" i="1" l="1"/>
  <c r="D60" i="1"/>
  <c r="D58" i="1"/>
  <c r="D57" i="1"/>
  <c r="D56" i="1"/>
  <c r="D55" i="1"/>
  <c r="D54" i="1"/>
  <c r="D53" i="1"/>
  <c r="D52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6" i="1"/>
  <c r="D35" i="1"/>
  <c r="D34" i="1"/>
  <c r="D33" i="1"/>
  <c r="D31" i="1"/>
  <c r="D30" i="1"/>
  <c r="D29" i="1"/>
  <c r="D28" i="1"/>
  <c r="D26" i="1"/>
  <c r="D25" i="1"/>
  <c r="D24" i="1"/>
  <c r="D23" i="1"/>
  <c r="D22" i="1"/>
  <c r="D21" i="1"/>
  <c r="D19" i="1"/>
  <c r="D18" i="1"/>
  <c r="D17" i="1"/>
  <c r="D16" i="1"/>
  <c r="D14" i="1"/>
  <c r="D13" i="1"/>
  <c r="D12" i="1"/>
  <c r="D11" i="1"/>
  <c r="D10" i="1"/>
  <c r="D9" i="1"/>
  <c r="D7" i="1"/>
  <c r="D6" i="1"/>
</calcChain>
</file>

<file path=xl/sharedStrings.xml><?xml version="1.0" encoding="utf-8"?>
<sst xmlns="http://schemas.openxmlformats.org/spreadsheetml/2006/main" count="2690" uniqueCount="488">
  <si>
    <t>Cambodia Education — Public Schools 2019-2020</t>
  </si>
  <si>
    <t>Category</t>
  </si>
  <si>
    <t>Sheet Description</t>
  </si>
  <si>
    <t>Open Sheet →</t>
  </si>
  <si>
    <t xml:space="preserve">  ▸  Overview</t>
  </si>
  <si>
    <t>Overview</t>
  </si>
  <si>
    <t>National Summary - Schools, Classes &amp; Staff</t>
  </si>
  <si>
    <t>Schools, Classes &amp; Staff by Province</t>
  </si>
  <si>
    <t xml:space="preserve">  ▸  School Types</t>
  </si>
  <si>
    <t>School Types</t>
  </si>
  <si>
    <t>All Lycees by Province</t>
  </si>
  <si>
    <t>Colleges by Province</t>
  </si>
  <si>
    <t>Lycees (Gr 10-12 only) by Province</t>
  </si>
  <si>
    <t>Pre-Schools by Province</t>
  </si>
  <si>
    <t>Primary Schools by Province</t>
  </si>
  <si>
    <t>Secondary Schools by Province</t>
  </si>
  <si>
    <t xml:space="preserve">  ▸  School Info</t>
  </si>
  <si>
    <t>School Info</t>
  </si>
  <si>
    <t>Classes by Grade &amp; Education Level</t>
  </si>
  <si>
    <t>Cluster Schools &amp; Schools in Pagoda</t>
  </si>
  <si>
    <t>School Characteristics &amp; Principals</t>
  </si>
  <si>
    <t>Schools by Highest Grade Taught</t>
  </si>
  <si>
    <t xml:space="preserve">  ▸  Enrollment</t>
  </si>
  <si>
    <t>Enrollment</t>
  </si>
  <si>
    <t>Enrollment &amp; Repeaters by Grade</t>
  </si>
  <si>
    <t>Enrollment by Level 2019-2020</t>
  </si>
  <si>
    <t>New Intake &amp; Enrollment by Age (Both)</t>
  </si>
  <si>
    <t>New Intake &amp; Enrollment by Age (Female)</t>
  </si>
  <si>
    <t>Pre-School Enrollment by Age (3-5 yrs)</t>
  </si>
  <si>
    <t>Pre-School Enrollment by Step</t>
  </si>
  <si>
    <t xml:space="preserve">  ▸  Staff</t>
  </si>
  <si>
    <t>Staff</t>
  </si>
  <si>
    <t>Provincial &amp; District Educational Staff</t>
  </si>
  <si>
    <t>School Staff - Special Functions</t>
  </si>
  <si>
    <t>School Staff by Education Level</t>
  </si>
  <si>
    <t>Teaching Staff - Pedagogical Training</t>
  </si>
  <si>
    <t xml:space="preserve">  ▸  Facilities</t>
  </si>
  <si>
    <t>Facilities</t>
  </si>
  <si>
    <t>Classroom Conditions &amp; Office/Library</t>
  </si>
  <si>
    <t>Community Participation &amp; Financing</t>
  </si>
  <si>
    <t>School Building Conditions</t>
  </si>
  <si>
    <t>School Space &amp; Sports Facilities</t>
  </si>
  <si>
    <t xml:space="preserve">  ▸  Indicators</t>
  </si>
  <si>
    <t>Indicators</t>
  </si>
  <si>
    <t>Access &amp; Enrollment Ratios for Male - by Province</t>
  </si>
  <si>
    <t>Access &amp; Equity Indicators - by Province</t>
  </si>
  <si>
    <t>Enrollment Indicators - by Province</t>
  </si>
  <si>
    <t>Gross &amp; Net Enrollment Ratios - by Province</t>
  </si>
  <si>
    <t>Indicators on Primary Schools - by Province</t>
  </si>
  <si>
    <t>Indicators on Schools - National</t>
  </si>
  <si>
    <t>Indicators on Schools - by Province</t>
  </si>
  <si>
    <t>Indicators on Secondary Schools - by Province</t>
  </si>
  <si>
    <t>Primary Student &amp; Staff Indicators - by Province</t>
  </si>
  <si>
    <t>School-Going Age Population &amp; Sex Ratios</t>
  </si>
  <si>
    <t>Secondary Student &amp; Staff Indicators - by Province</t>
  </si>
  <si>
    <t>Student &amp; Staff Indicators - National</t>
  </si>
  <si>
    <t>Student &amp; Staff Indicators - by Province</t>
  </si>
  <si>
    <t xml:space="preserve">  ▸  Student Flow</t>
  </si>
  <si>
    <t>Student Flow</t>
  </si>
  <si>
    <t>Flow Rates &amp; Graduates by Level (Both) 2018-2019</t>
  </si>
  <si>
    <t>Flow Rates &amp; Graduates by Level (Both) 2019-2020</t>
  </si>
  <si>
    <t>Flow Rates &amp; Graduates by Level (Male) 2018-2019</t>
  </si>
  <si>
    <t>Student Flow Rates (Both) 2018-2019</t>
  </si>
  <si>
    <t>Student Flow Rates (Male) 2018-2019</t>
  </si>
  <si>
    <t>Student Flow Rates by Grade 2019-2020</t>
  </si>
  <si>
    <t>Survival &amp; Completion Rates 2019-2020</t>
  </si>
  <si>
    <t xml:space="preserve">  ▸  Gender &amp; Equity</t>
  </si>
  <si>
    <t>Gender &amp; Equity</t>
  </si>
  <si>
    <t>Gender Parity Index 2019-2020</t>
  </si>
  <si>
    <t xml:space="preserve">  ▸  Reference</t>
  </si>
  <si>
    <t>Reference</t>
  </si>
  <si>
    <t>Appendix - Historical Data 1979 to 2020</t>
  </si>
  <si>
    <t>Kingdom of Cambodia</t>
  </si>
  <si>
    <t>Table 1: Schools, Classes, Students and Staff</t>
  </si>
  <si>
    <t>Particulars</t>
  </si>
  <si>
    <t>Number of</t>
  </si>
  <si>
    <t>Disadv.</t>
  </si>
  <si>
    <t>Classes</t>
  </si>
  <si>
    <t>Repeaters</t>
  </si>
  <si>
    <t>Teaching Staff</t>
  </si>
  <si>
    <t>Non-Teaching Staff</t>
  </si>
  <si>
    <t>Total Staff</t>
  </si>
  <si>
    <t>Schools</t>
  </si>
  <si>
    <t>in Pagoda</t>
  </si>
  <si>
    <t>Total</t>
  </si>
  <si>
    <t>Girl</t>
  </si>
  <si>
    <t>Female</t>
  </si>
  <si>
    <t>Whole Kingdom</t>
  </si>
  <si>
    <t>By Area of Location:
-    Urban Area</t>
  </si>
  <si>
    <t>-    Rural Area</t>
  </si>
  <si>
    <t>By Type of School &amp; Edn. Level :
-    Pre-School</t>
  </si>
  <si>
    <t>-    Primary School</t>
  </si>
  <si>
    <t>-    College (Grade 7-9)</t>
  </si>
  <si>
    <t>-    Lycee (Grade 10-12)</t>
  </si>
  <si>
    <t>-    Lycee (Grade 7-12)</t>
  </si>
  <si>
    <t>-    Lower Secondary Level  (Grade 7-9)</t>
  </si>
  <si>
    <t>-    Upper Secondary Level  (Grade 10-12)</t>
  </si>
  <si>
    <t>Characteristics of Primary Schools:
-    Cluster - core school</t>
  </si>
  <si>
    <t>-    Cluster - satellite school</t>
  </si>
  <si>
    <t>-    School not in cluster</t>
  </si>
  <si>
    <t>-    Annex school</t>
  </si>
  <si>
    <t>-    School in Pagoda</t>
  </si>
  <si>
    <t>Disadvantaged school (All Level)</t>
  </si>
  <si>
    <t>Table 2: Schools, Classes, Students and Staff by Province</t>
  </si>
  <si>
    <t>Province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</si>
  <si>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</si>
  <si>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</si>
  <si>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</si>
  <si>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</si>
  <si>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</si>
  <si>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</si>
  <si>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</si>
  <si>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</si>
  <si>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Kep</t>
  </si>
  <si>
    <t>Koh Kong</t>
  </si>
  <si>
    <t>Kratie</t>
  </si>
  <si>
    <t>Mondul Kiri</t>
  </si>
  <si>
    <t>Otdar Meanchey</t>
  </si>
  <si>
    <t>Pailin</t>
  </si>
  <si>
    <t>Phnom Penh</t>
  </si>
  <si>
    <t>Preah Sihanouk</t>
  </si>
  <si>
    <t>Preah Vihear</t>
  </si>
  <si>
    <t>Prey Veng</t>
  </si>
  <si>
    <t>Pursat</t>
  </si>
  <si>
    <t>Ratanak Kiri</t>
  </si>
  <si>
    <t>Siemreap</t>
  </si>
  <si>
    <t>Stung Treng</t>
  </si>
  <si>
    <t>Svay Rieng</t>
  </si>
  <si>
    <t>Takeo</t>
  </si>
  <si>
    <t>Tbaung Khmum</t>
  </si>
  <si>
    <t>-  Urban Area</t>
  </si>
  <si>
    <t>-  Rural Area</t>
  </si>
  <si>
    <t>Total  Staff</t>
  </si>
  <si>
    <t>School</t>
  </si>
  <si>
    <t>Classrooms</t>
  </si>
  <si>
    <t>Number of School</t>
  </si>
  <si>
    <t>G.10-12</t>
  </si>
  <si>
    <t>Whole Province</t>
  </si>
  <si>
    <t>Seperated</t>
  </si>
  <si>
    <t>Teaching Staff with out trainning</t>
  </si>
  <si>
    <t>Pre-Schools</t>
  </si>
  <si>
    <t>Pre-school</t>
  </si>
  <si>
    <t>Primary School</t>
  </si>
  <si>
    <t>Lower Secondary</t>
  </si>
  <si>
    <t>Upper Secondary</t>
  </si>
  <si>
    <t>Low</t>
  </si>
  <si>
    <t>Med</t>
  </si>
  <si>
    <t>High</t>
  </si>
  <si>
    <t>Mix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</si>
  <si>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</si>
  <si>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</si>
  <si>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</si>
  <si>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</si>
  <si>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</si>
  <si>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</si>
  <si>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</si>
  <si>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</si>
  <si>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</si>
  <si>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</si>
  <si>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</si>
  <si>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</si>
  <si>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Primary</t>
  </si>
  <si>
    <t>L.Sec</t>
  </si>
  <si>
    <t>U.Sec</t>
  </si>
  <si>
    <t>Table 10: Number of Cluster schools and Schools in Pagoda</t>
  </si>
  <si>
    <t>Number of Primary Schools</t>
  </si>
  <si>
    <t>Number of Cluster Schools</t>
  </si>
  <si>
    <t>Satelite School</t>
  </si>
  <si>
    <t>Number of schools in Pagoda</t>
  </si>
  <si>
    <t>Pre school</t>
  </si>
  <si>
    <t>Junior high school</t>
  </si>
  <si>
    <t>Senior high school</t>
  </si>
  <si>
    <t>Number of Schools</t>
  </si>
  <si>
    <t>2 - Shift</t>
  </si>
  <si>
    <t>Floating</t>
  </si>
  <si>
    <t>Attached</t>
  </si>
  <si>
    <t>Schools Without</t>
  </si>
  <si>
    <t>Characteristics of School Principals (Incharge)</t>
  </si>
  <si>
    <t>Pre-Sch.</t>
  </si>
  <si>
    <t>College</t>
  </si>
  <si>
    <t>Lycee</t>
  </si>
  <si>
    <t>Water Sup.</t>
  </si>
  <si>
    <t>Latrine</t>
  </si>
  <si>
    <t>Avg. Age</t>
  </si>
  <si>
    <t>Avg.Service</t>
  </si>
  <si>
    <t>U.Sec+ Ed.</t>
  </si>
  <si>
    <t>Mixed Step</t>
  </si>
  <si>
    <t>Enrollment in Grade 1</t>
  </si>
  <si>
    <t>Repeaters in Grade 1</t>
  </si>
  <si>
    <t>Enrollment in Grade 2</t>
  </si>
  <si>
    <t>Repeaters in Grade 2</t>
  </si>
  <si>
    <t>Enrollment in Grade 3</t>
  </si>
  <si>
    <t>Repeaters in Grade 3</t>
  </si>
  <si>
    <t>Enrollment in Grade 4</t>
  </si>
  <si>
    <t>Repeaters in Grade 4</t>
  </si>
  <si>
    <t>Enrollment in Grade 5</t>
  </si>
  <si>
    <t>Repeaters in Grade 5</t>
  </si>
  <si>
    <t>Enrollment in Grade 6</t>
  </si>
  <si>
    <t>Repeaters in Grade 6</t>
  </si>
  <si>
    <t>Enrollment in Grade 7</t>
  </si>
  <si>
    <t>Repeaters in Grade 7</t>
  </si>
  <si>
    <t>Enrollment in Grade 8</t>
  </si>
  <si>
    <t>Repeaters in Grade 8</t>
  </si>
  <si>
    <t>Enrollment in Grade 9</t>
  </si>
  <si>
    <t>Repeaters in Grade 9</t>
  </si>
  <si>
    <t>Enrollment in Grade 10</t>
  </si>
  <si>
    <t>Repeaters in Grade 10</t>
  </si>
  <si>
    <t>Enrollment in Grade 11</t>
  </si>
  <si>
    <t>Repeaters in Grade 11</t>
  </si>
  <si>
    <t>Enrollment in Grade 12</t>
  </si>
  <si>
    <t>Repeaters in Grade 12</t>
  </si>
  <si>
    <t>Lower Sec.</t>
  </si>
  <si>
    <t>Upper Sec.</t>
  </si>
  <si>
    <t>% Female</t>
  </si>
  <si>
    <t>All Level</t>
  </si>
  <si>
    <t>Grade 1 Intake</t>
  </si>
  <si>
    <t>Primary Enrollment</t>
  </si>
  <si>
    <t>Grade 7 Intake</t>
  </si>
  <si>
    <t>L. Sec. Enrollment</t>
  </si>
  <si>
    <t>Grade 10 Intake</t>
  </si>
  <si>
    <t>U. Sec. Enrollment</t>
  </si>
  <si>
    <t>% Over-age Enrollment in</t>
  </si>
  <si>
    <t>Aged 6</t>
  </si>
  <si>
    <t>Aged 11+</t>
  </si>
  <si>
    <t>Aged 12</t>
  </si>
  <si>
    <t>Aged 14+</t>
  </si>
  <si>
    <t>Aged 15</t>
  </si>
  <si>
    <t>Aged 17+</t>
  </si>
  <si>
    <t>L. Sec.</t>
  </si>
  <si>
    <t>U. Sec.</t>
  </si>
  <si>
    <t>Lowest Step</t>
  </si>
  <si>
    <t>Medium Step</t>
  </si>
  <si>
    <t>Highest Step</t>
  </si>
  <si>
    <t>Pre-School</t>
  </si>
  <si>
    <t>Director of the</t>
  </si>
  <si>
    <t>Provincial Edn. Service</t>
  </si>
  <si>
    <t>District Edn. Office</t>
  </si>
  <si>
    <t>Teaching Staff at Schools</t>
  </si>
  <si>
    <t>Non-Tch. Staff at Schools</t>
  </si>
  <si>
    <t>Provincial Education Service</t>
  </si>
  <si>
    <t>CHHOU BUNROEURNG</t>
  </si>
  <si>
    <t>YI SONGKY</t>
  </si>
  <si>
    <t>LY MENGSAN</t>
  </si>
  <si>
    <t>SIM PREM</t>
  </si>
  <si>
    <t>THAN THARIN</t>
  </si>
  <si>
    <t>TAN BUNHONG</t>
  </si>
  <si>
    <t>TAK HAP</t>
  </si>
  <si>
    <t>CHENG SAM UL</t>
  </si>
  <si>
    <t>NGOUN CHANSOCHEATA</t>
  </si>
  <si>
    <t>NGET LEOUNG</t>
  </si>
  <si>
    <t>LAY BORA</t>
  </si>
  <si>
    <t>TIM SANGVAT</t>
  </si>
  <si>
    <t>PECH RATANA</t>
  </si>
  <si>
    <t>TANG THEARA</t>
  </si>
  <si>
    <t>HEM SINARETH</t>
  </si>
  <si>
    <t>OUCH SOPHEA</t>
  </si>
  <si>
    <t>CHENG LIMHORN</t>
  </si>
  <si>
    <t>PAV SOTHY</t>
  </si>
  <si>
    <t>LY SOKUNTHY</t>
  </si>
  <si>
    <t>KHATH SAMAL</t>
  </si>
  <si>
    <t>SAY TITYAVONG</t>
  </si>
  <si>
    <t>HEANG POLY</t>
  </si>
  <si>
    <t>KHIEV SAM OL</t>
  </si>
  <si>
    <t>LOR VIRITH</t>
  </si>
  <si>
    <t>IN POUVSAMBATH</t>
  </si>
  <si>
    <t>- Urban Area</t>
  </si>
  <si>
    <t>- Rural Area</t>
  </si>
  <si>
    <t>Number of Schools with</t>
  </si>
  <si>
    <t>Literacy</t>
  </si>
  <si>
    <t>Contracted</t>
  </si>
  <si>
    <t>Secretary</t>
  </si>
  <si>
    <t>Librarian</t>
  </si>
  <si>
    <t>Home.Eco.</t>
  </si>
  <si>
    <t>Arts</t>
  </si>
  <si>
    <t>Agri.</t>
  </si>
  <si>
    <t>Sports</t>
  </si>
  <si>
    <t>ICT</t>
  </si>
  <si>
    <t>Account</t>
  </si>
  <si>
    <t>Laboratory</t>
  </si>
  <si>
    <t>Youth</t>
  </si>
  <si>
    <t>Teachers</t>
  </si>
  <si>
    <t>Education Level of Teaching Staff</t>
  </si>
  <si>
    <t>Education Level of Non-Teaching Staff</t>
  </si>
  <si>
    <t>Teaching Staff without Pedagogy Training</t>
  </si>
  <si>
    <t>L.Sec.</t>
  </si>
  <si>
    <t>U.Sec.</t>
  </si>
  <si>
    <t>Graduate</t>
  </si>
  <si>
    <t>Post
Gaduate</t>
  </si>
  <si>
    <t>PhD</t>
  </si>
  <si>
    <t>Post
Graduate</t>
  </si>
  <si>
    <t>Preschool Level</t>
  </si>
  <si>
    <t>Primary Level</t>
  </si>
  <si>
    <t>Secondary Level</t>
  </si>
  <si>
    <t>w/o Pedag.</t>
  </si>
  <si>
    <t>Training</t>
  </si>
  <si>
    <t>######</t>
  </si>
  <si>
    <t>Number of Classrooms</t>
  </si>
  <si>
    <t>Classrooms Without Good</t>
  </si>
  <si>
    <t>Schools with Separate</t>
  </si>
  <si>
    <t>New Repaired</t>
  </si>
  <si>
    <t>New Constr.</t>
  </si>
  <si>
    <t>Floor</t>
  </si>
  <si>
    <t>Roof</t>
  </si>
  <si>
    <t>Wall</t>
  </si>
  <si>
    <t>Office</t>
  </si>
  <si>
    <t>Library</t>
  </si>
  <si>
    <t>Parent Association</t>
  </si>
  <si>
    <t>Commu.</t>
  </si>
  <si>
    <t>Teaching</t>
  </si>
  <si>
    <t>PB Fund (Riel)</t>
  </si>
  <si>
    <t>Number of Schools Obtaining Funds from</t>
  </si>
  <si>
    <t>Exists</t>
  </si>
  <si>
    <t>Held Meet.</t>
  </si>
  <si>
    <t>Monks</t>
  </si>
  <si>
    <t>per Student</t>
  </si>
  <si>
    <t>per School</t>
  </si>
  <si>
    <t>Sch. Income</t>
  </si>
  <si>
    <t>Community</t>
  </si>
  <si>
    <t>Gvt. For building</t>
  </si>
  <si>
    <t>Abroad</t>
  </si>
  <si>
    <t>IOs/NGOs</t>
  </si>
  <si>
    <t>Total Number of</t>
  </si>
  <si>
    <t>Concrete/Brick Structure</t>
  </si>
  <si>
    <t>Wooden Structure</t>
  </si>
  <si>
    <t>Bamboo Structure</t>
  </si>
  <si>
    <t>New Buildings</t>
  </si>
  <si>
    <t>Buildings Without Good</t>
  </si>
  <si>
    <t>Buildings</t>
  </si>
  <si>
    <t>Rooms</t>
  </si>
  <si>
    <t>Repaired</t>
  </si>
  <si>
    <t>Constructed</t>
  </si>
  <si>
    <t>School Area (m2)</t>
  </si>
  <si>
    <t>Cl.room Area</t>
  </si>
  <si>
    <t>Pre-School with</t>
  </si>
  <si>
    <t>Schools with Sport Ground, Equipment and Teams / Player for</t>
  </si>
  <si>
    <t>Land</t>
  </si>
  <si>
    <t>Playground</t>
  </si>
  <si>
    <t>Sport Facility</t>
  </si>
  <si>
    <t>Volleyball</t>
  </si>
  <si>
    <t>Football</t>
  </si>
  <si>
    <t>Basketball</t>
  </si>
  <si>
    <t>Climb.Ropes</t>
  </si>
  <si>
    <t>Shotput</t>
  </si>
  <si>
    <t>High Jump</t>
  </si>
  <si>
    <t>Long Jump</t>
  </si>
  <si>
    <t>Running</t>
  </si>
  <si>
    <t>Gross Admission</t>
  </si>
  <si>
    <t>Net Admission</t>
  </si>
  <si>
    <t>% Over-age (6+)</t>
  </si>
  <si>
    <t>Transition Rate</t>
  </si>
  <si>
    <t>Gross Enrollment Rate</t>
  </si>
  <si>
    <t>Net Enrollment Rate</t>
  </si>
  <si>
    <t>Rate</t>
  </si>
  <si>
    <t>Admission</t>
  </si>
  <si>
    <t>to Lower Sec.
2018/2019</t>
  </si>
  <si>
    <t>to Upper Sec.
2018/2019</t>
  </si>
  <si>
    <t>Gross Admission Rate</t>
  </si>
  <si>
    <t>Net Admission Rate</t>
  </si>
  <si>
    <t>% Over-age (6+) Admission</t>
  </si>
  <si>
    <t>Transition Rate to Lower Sec.
2018/2019</t>
  </si>
  <si>
    <t>Transition Rate to Upper Sec.
2018/2019</t>
  </si>
  <si>
    <t>Table 9: Indicators on Enrollment by Province</t>
  </si>
  <si>
    <t>% Repeaters (Total)</t>
  </si>
  <si>
    <t>% Over-age Enrollment (Total)</t>
  </si>
  <si>
    <t>% Repeaters (Girl)</t>
  </si>
  <si>
    <t>% Over-age Enrollment  (Girl)</t>
  </si>
  <si>
    <t>Gross Enrollment Rate (Total)</t>
  </si>
  <si>
    <t>Net Enrollment Rate (Total)</t>
  </si>
  <si>
    <t>Gross Enrollment Rate (Girl)</t>
  </si>
  <si>
    <t>Net Enrollment Rate (Girl)</t>
  </si>
  <si>
    <t>Table 3:  Indicators on Primary Schools by Province</t>
  </si>
  <si>
    <t>Pupils</t>
  </si>
  <si>
    <t>Percentage of Schools</t>
  </si>
  <si>
    <t>per</t>
  </si>
  <si>
    <t>2 - shift</t>
  </si>
  <si>
    <t>w/o Water</t>
  </si>
  <si>
    <t>w/o Latrine</t>
  </si>
  <si>
    <t>Table 1: Indicators on Schools</t>
  </si>
  <si>
    <t>-    College</t>
  </si>
  <si>
    <t>-    Lycee</t>
  </si>
  <si>
    <t>-    Lower Secondary Level</t>
  </si>
  <si>
    <t>-    Upper Secondary Level</t>
  </si>
  <si>
    <t>Table 2:  Indicators on Schools by Province</t>
  </si>
  <si>
    <t>w/o Toilet</t>
  </si>
  <si>
    <t>Table 4:  Indicators on Secondary Schools by Province</t>
  </si>
  <si>
    <t>Table 7: Indicators on Primary Students and Staff by Province</t>
  </si>
  <si>
    <t>Pupil</t>
  </si>
  <si>
    <t>Classroom</t>
  </si>
  <si>
    <t>Percentage of</t>
  </si>
  <si>
    <t>Percentage of Female in</t>
  </si>
  <si>
    <t>Teacher</t>
  </si>
  <si>
    <t>Class</t>
  </si>
  <si>
    <t>Area (m2)</t>
  </si>
  <si>
    <t>Non-teaching</t>
  </si>
  <si>
    <t>Ratio</t>
  </si>
  <si>
    <t>per Pupil</t>
  </si>
  <si>
    <t>Aged 6-11</t>
  </si>
  <si>
    <t>Aged 12-14</t>
  </si>
  <si>
    <t>Aged 15-17</t>
  </si>
  <si>
    <t>Sex-Ratio of Population</t>
  </si>
  <si>
    <t>6-11</t>
  </si>
  <si>
    <t>12-14</t>
  </si>
  <si>
    <t>15-17</t>
  </si>
  <si>
    <t>Table 8: Indicators on Secondary Students and Staff by Province</t>
  </si>
  <si>
    <t>Table 5:  Indicators on Students and Staff</t>
  </si>
  <si>
    <t>Table 6: Indicators on Students and Staff by Province</t>
  </si>
  <si>
    <t>Percentage of Total Students in</t>
  </si>
  <si>
    <t>Lower</t>
  </si>
  <si>
    <t>Upper</t>
  </si>
  <si>
    <t>Non-tching</t>
  </si>
  <si>
    <t>Secondary</t>
  </si>
  <si>
    <t>Primary Level (Grades 1-6)</t>
  </si>
  <si>
    <t>Lower Secondary Level (Grades 7-9)</t>
  </si>
  <si>
    <t>Upper Secondary Level (Grades 10-12)</t>
  </si>
  <si>
    <t>Successful Candidates</t>
  </si>
  <si>
    <t>Promotion</t>
  </si>
  <si>
    <t>Repetition</t>
  </si>
  <si>
    <t>Dropout</t>
  </si>
  <si>
    <t>n.a.</t>
  </si>
  <si>
    <t>Table 25:  Servival Rate And Completion Rate</t>
  </si>
  <si>
    <t>Servival Rate   2018/2019</t>
  </si>
  <si>
    <t>Completion rate 2019/2020</t>
  </si>
  <si>
    <t>Grade5</t>
  </si>
  <si>
    <t>Lower secondary</t>
  </si>
  <si>
    <t>Upper secondary</t>
  </si>
  <si>
    <t>Boy</t>
  </si>
  <si>
    <t>Table 26 : Gender Parity Index in Education Indicators 2019 - 2020</t>
  </si>
  <si>
    <t>GPI for GAR</t>
  </si>
  <si>
    <t>GPI for NAR</t>
  </si>
  <si>
    <t>GPI for Gross Enrolment rate in</t>
  </si>
  <si>
    <t>GPI for Net Enrolment rate in</t>
  </si>
  <si>
    <t>GPI for Teaching Staff in</t>
  </si>
  <si>
    <t>Primary
school</t>
  </si>
  <si>
    <t>Lower Sec.
Edu</t>
  </si>
  <si>
    <t>Upper Sec.
Edu</t>
  </si>
  <si>
    <t>Primary school</t>
  </si>
  <si>
    <t>Presch</t>
  </si>
  <si>
    <t>Primary
schools</t>
  </si>
  <si>
    <t>Junior high
schools</t>
  </si>
  <si>
    <t>Senior high
schools</t>
  </si>
  <si>
    <t>Secondary
schools</t>
  </si>
  <si>
    <t>n.a</t>
  </si>
  <si>
    <t>APPENDIX: EDUCATION STATISTICS, 1979/1980 to 2019/2020</t>
  </si>
  <si>
    <t>Academic   Year</t>
  </si>
  <si>
    <t>Students</t>
  </si>
  <si>
    <t>Pre</t>
  </si>
  <si>
    <t>Pri</t>
  </si>
  <si>
    <t>1979-80</t>
  </si>
  <si>
    <t>1980-81</t>
  </si>
  <si>
    <t>1981-82</t>
  </si>
  <si>
    <t>1982-83</t>
  </si>
  <si>
    <t>1983-84</t>
  </si>
  <si>
    <t>1984-85</t>
  </si>
  <si>
    <t>1985-86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</si>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</sst>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  <family val="2"/>
    </font>
    <font>
      <b/>
      <sz val="10"/>
      <color rgb="FFFFFFFF"/>
      <name val="Arial"/>
      <family val="2"/>
    </font>
    <font>
      <sz val="9"/>
      <color rgb="FF888888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FFC000"/>
      </patternFill>
    </fill>
    <fill>
      <patternFill patternType="solid">
        <fgColor rgb="FFA9D18E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FF66CC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2" fillId="14" borderId="1" xfId="0" applyFont="1" applyFill="1" applyBorder="1" applyAlignment="1">
      <alignment horizontal="left" vertical="center"/>
    </xf>
    <xf numFmtId="0" fontId="0" fillId="14" borderId="1" xfId="0" applyFill="1" applyBorder="1"/>
    <xf numFmtId="0" fontId="2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2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2" fillId="9" borderId="1" xfId="0" applyFont="1" applyFill="1" applyBorder="1" applyAlignment="1">
      <alignment horizontal="left" vertical="center"/>
    </xf>
    <xf numFmtId="0" fontId="0" fillId="9" borderId="1" xfId="0" applyFill="1" applyBorder="1"/>
    <xf numFmtId="0" fontId="2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8" borderId="1" xfId="0" applyFont="1" applyFill="1" applyBorder="1" applyAlignment="1">
      <alignment horizontal="left" vertical="center"/>
    </xf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D62"/>
  <sheetViews>
    <sheetView workbookViewId="0">
      <pane xSplit="1" ySplit="4" topLeftCell="B32" activePane="bottomRight" state="frozen"/>
      <selection pane="topRight"/>
      <selection pane="bottomLeft"/>
      <selection pane="bottomRight" activeCell="D44" sqref="D44"/>
    </sheetView>
  </sheetViews>
  <sheetFormatPr defaultRowHeight="15" x14ac:dyDescent="0.25"/>
  <cols>
    <col min="1" max="1" width="3" customWidth="1"/>
    <col min="2" max="2" width="22" customWidth="1"/>
    <col min="3" max="3" width="48" customWidth="1"/>
    <col min="4" max="4" width="34" customWidth="1"/>
  </cols>
  <sheetData>
    <row r="2" spans="2:4" ht="32.1" customHeight="1" x14ac:dyDescent="0.25">
      <c r="B2" s="26" t="s">
        <v>0</v>
      </c>
      <c r="C2" s="27"/>
      <c r="D2" s="27"/>
    </row>
    <row r="4" spans="2:4" ht="20.100000000000001" customHeight="1" x14ac:dyDescent="0.25">
      <c r="B4" s="1" t="s">
        <v>1</v>
      </c>
      <c r="C4" s="1" t="s">
        <v>2</v>
      </c>
      <c r="D4" s="1" t="s">
        <v>3</v>
      </c>
    </row>
    <row r="5" spans="2:4" ht="17.100000000000001" customHeight="1" x14ac:dyDescent="0.25">
      <c r="B5" s="10" t="s">
        <v>4</v>
      </c>
      <c r="C5" s="11"/>
      <c r="D5" s="11"/>
    </row>
    <row r="6" spans="2:4" ht="15" customHeight="1" x14ac:dyDescent="0.25">
      <c r="B6" s="2" t="s">
        <v>5</v>
      </c>
      <c r="C6" s="3" t="s">
        <v>6</v>
      </c>
      <c r="D6" s="4" t="str">
        <f>HYPERLINK("#'National Summary - Schools, Cla'!A1","National Summary - Schools, Cla")</f>
        <v>National Summary - Schools, Cla</v>
      </c>
    </row>
    <row r="7" spans="2:4" ht="15" customHeight="1" x14ac:dyDescent="0.25">
      <c r="B7" s="5" t="s">
        <v>5</v>
      </c>
      <c r="C7" s="6" t="s">
        <v>7</v>
      </c>
      <c r="D7" s="7" t="str">
        <f>HYPERLINK("#'Schools, Classes &amp; Staff by Pro'!A1","Schools, Classes &amp; Staff by Pro")</f>
        <v>Schools, Classes &amp; Staff by Pro</v>
      </c>
    </row>
    <row r="8" spans="2:4" ht="17.100000000000001" customHeight="1" x14ac:dyDescent="0.25">
      <c r="B8" s="16" t="s">
        <v>8</v>
      </c>
      <c r="C8" s="17"/>
      <c r="D8" s="17"/>
    </row>
    <row r="9" spans="2:4" ht="15" customHeight="1" x14ac:dyDescent="0.25">
      <c r="B9" s="5" t="s">
        <v>9</v>
      </c>
      <c r="C9" s="6" t="s">
        <v>10</v>
      </c>
      <c r="D9" s="7" t="str">
        <f>HYPERLINK("#'All Lycees by Province'!A1","All Lycees by Province")</f>
        <v>All Lycees by Province</v>
      </c>
    </row>
    <row r="10" spans="2:4" ht="15" customHeight="1" x14ac:dyDescent="0.25">
      <c r="B10" s="2" t="s">
        <v>9</v>
      </c>
      <c r="C10" s="3" t="s">
        <v>11</v>
      </c>
      <c r="D10" s="4" t="str">
        <f>HYPERLINK("#'Colleges by Province'!A1","Colleges by Province")</f>
        <v>Colleges by Province</v>
      </c>
    </row>
    <row r="11" spans="2:4" ht="15" customHeight="1" x14ac:dyDescent="0.25">
      <c r="B11" s="5" t="s">
        <v>9</v>
      </c>
      <c r="C11" s="6" t="s">
        <v>12</v>
      </c>
      <c r="D11" s="7" t="str">
        <f>HYPERLINK("#'Lycees (Gr 10-12 only) by Provi'!A1","Lycees (Gr 10-12 only) by Provi")</f>
        <v>Lycees (Gr 10-12 only) by Provi</v>
      </c>
    </row>
    <row r="12" spans="2:4" ht="15" customHeight="1" x14ac:dyDescent="0.25">
      <c r="B12" s="2" t="s">
        <v>9</v>
      </c>
      <c r="C12" s="3" t="s">
        <v>13</v>
      </c>
      <c r="D12" s="4" t="str">
        <f>HYPERLINK("#'Pre-Schools by Province'!A1","Pre-Schools by Province")</f>
        <v>Pre-Schools by Province</v>
      </c>
    </row>
    <row r="13" spans="2:4" ht="15" customHeight="1" x14ac:dyDescent="0.25">
      <c r="B13" s="5" t="s">
        <v>9</v>
      </c>
      <c r="C13" s="6" t="s">
        <v>14</v>
      </c>
      <c r="D13" s="7" t="str">
        <f>HYPERLINK("#'Primary Schools by Province'!A1","Primary Schools by Province")</f>
        <v>Primary Schools by Province</v>
      </c>
    </row>
    <row r="14" spans="2:4" ht="15" customHeight="1" x14ac:dyDescent="0.25">
      <c r="B14" s="2" t="s">
        <v>9</v>
      </c>
      <c r="C14" s="3" t="s">
        <v>15</v>
      </c>
      <c r="D14" s="4" t="str">
        <f>HYPERLINK("#'Secondary Schools by Province'!A1","Secondary Schools by Province")</f>
        <v>Secondary Schools by Province</v>
      </c>
    </row>
    <row r="15" spans="2:4" ht="17.100000000000001" customHeight="1" x14ac:dyDescent="0.25">
      <c r="B15" s="22" t="s">
        <v>16</v>
      </c>
      <c r="C15" s="23"/>
      <c r="D15" s="23"/>
    </row>
    <row r="16" spans="2:4" ht="15" customHeight="1" x14ac:dyDescent="0.25">
      <c r="B16" s="2" t="s">
        <v>17</v>
      </c>
      <c r="C16" s="3" t="s">
        <v>18</v>
      </c>
      <c r="D16" s="4" t="str">
        <f>HYPERLINK("#'Classes by Grade &amp; Education Le'!A1","Classes by Grade &amp; Education Le")</f>
        <v>Classes by Grade &amp; Education Le</v>
      </c>
    </row>
    <row r="17" spans="2:4" ht="15" customHeight="1" x14ac:dyDescent="0.25">
      <c r="B17" s="5" t="s">
        <v>17</v>
      </c>
      <c r="C17" s="6" t="s">
        <v>19</v>
      </c>
      <c r="D17" s="7" t="str">
        <f>HYPERLINK("#'Cluster Schools &amp; Schools in Pa'!A1","Cluster Schools &amp; Schools in Pa")</f>
        <v>Cluster Schools &amp; Schools in Pa</v>
      </c>
    </row>
    <row r="18" spans="2:4" ht="15" customHeight="1" x14ac:dyDescent="0.25">
      <c r="B18" s="2" t="s">
        <v>17</v>
      </c>
      <c r="C18" s="3" t="s">
        <v>20</v>
      </c>
      <c r="D18" s="4" t="str">
        <f>HYPERLINK("#'School Characteristics &amp; Princi'!A1","School Characteristics &amp; Princi")</f>
        <v>School Characteristics &amp; Princi</v>
      </c>
    </row>
    <row r="19" spans="2:4" ht="15" customHeight="1" x14ac:dyDescent="0.25">
      <c r="B19" s="5" t="s">
        <v>17</v>
      </c>
      <c r="C19" s="6" t="s">
        <v>21</v>
      </c>
      <c r="D19" s="7" t="str">
        <f>HYPERLINK("#'Schools by Highest Grade Taught'!A1","Schools by Highest Grade Taught")</f>
        <v>Schools by Highest Grade Taught</v>
      </c>
    </row>
    <row r="20" spans="2:4" ht="17.100000000000001" customHeight="1" x14ac:dyDescent="0.25">
      <c r="B20" s="28" t="s">
        <v>22</v>
      </c>
      <c r="C20" s="29"/>
      <c r="D20" s="29"/>
    </row>
    <row r="21" spans="2:4" ht="15" customHeight="1" x14ac:dyDescent="0.25">
      <c r="B21" s="5" t="s">
        <v>23</v>
      </c>
      <c r="C21" s="6" t="s">
        <v>24</v>
      </c>
      <c r="D21" s="7" t="str">
        <f>HYPERLINK("#'Enrollment &amp; Repeaters by Grade'!A1","Enrollment &amp; Repeaters by Grade")</f>
        <v>Enrollment &amp; Repeaters by Grade</v>
      </c>
    </row>
    <row r="22" spans="2:4" ht="15" customHeight="1" x14ac:dyDescent="0.25">
      <c r="B22" s="2" t="s">
        <v>23</v>
      </c>
      <c r="C22" s="3" t="s">
        <v>25</v>
      </c>
      <c r="D22" s="4" t="str">
        <f>HYPERLINK("#'Enrollment by Level 2019-2020'!A1","Enrollment by Level 2019-2020")</f>
        <v>Enrollment by Level 2019-2020</v>
      </c>
    </row>
    <row r="23" spans="2:4" ht="15" customHeight="1" x14ac:dyDescent="0.25">
      <c r="B23" s="5" t="s">
        <v>23</v>
      </c>
      <c r="C23" s="6" t="s">
        <v>26</v>
      </c>
      <c r="D23" s="7" t="str">
        <f>HYPERLINK("#'New Intake &amp; Enrollment by Age '!A1","New Intake &amp; Enrollment by Age ")</f>
        <v xml:space="preserve">New Intake &amp; Enrollment by Age </v>
      </c>
    </row>
    <row r="24" spans="2:4" ht="15" customHeight="1" x14ac:dyDescent="0.25">
      <c r="B24" s="2" t="s">
        <v>23</v>
      </c>
      <c r="C24" s="3" t="s">
        <v>27</v>
      </c>
      <c r="D24" s="4" t="str">
        <f>HYPERLINK("#'New Intake &amp; Enrollment by Ag 1'!A1","New Intake &amp; Enrollment by Ag 1")</f>
        <v>New Intake &amp; Enrollment by Ag 1</v>
      </c>
    </row>
    <row r="25" spans="2:4" ht="15" customHeight="1" x14ac:dyDescent="0.25">
      <c r="B25" s="5" t="s">
        <v>23</v>
      </c>
      <c r="C25" s="6" t="s">
        <v>28</v>
      </c>
      <c r="D25" s="7" t="str">
        <f>HYPERLINK("#'Pre-School Enrollment by Age (3'!A1","Pre-School Enrollment by Age (3")</f>
        <v>Pre-School Enrollment by Age (3</v>
      </c>
    </row>
    <row r="26" spans="2:4" ht="15" customHeight="1" x14ac:dyDescent="0.25">
      <c r="B26" s="2" t="s">
        <v>23</v>
      </c>
      <c r="C26" s="3" t="s">
        <v>29</v>
      </c>
      <c r="D26" s="4" t="str">
        <f>HYPERLINK("#'Pre-School Enrollment by Step'!A1","Pre-School Enrollment by Step")</f>
        <v>Pre-School Enrollment by Step</v>
      </c>
    </row>
    <row r="27" spans="2:4" ht="17.100000000000001" customHeight="1" x14ac:dyDescent="0.25">
      <c r="B27" s="20" t="s">
        <v>30</v>
      </c>
      <c r="C27" s="21"/>
      <c r="D27" s="21"/>
    </row>
    <row r="28" spans="2:4" ht="15" customHeight="1" x14ac:dyDescent="0.25">
      <c r="B28" s="2" t="s">
        <v>31</v>
      </c>
      <c r="C28" s="3" t="s">
        <v>32</v>
      </c>
      <c r="D28" s="4" t="str">
        <f>HYPERLINK("#'Provincial &amp; District Education'!A1","Provincial &amp; District Education")</f>
        <v>Provincial &amp; District Education</v>
      </c>
    </row>
    <row r="29" spans="2:4" ht="15" customHeight="1" x14ac:dyDescent="0.25">
      <c r="B29" s="5" t="s">
        <v>31</v>
      </c>
      <c r="C29" s="6" t="s">
        <v>33</v>
      </c>
      <c r="D29" s="7" t="str">
        <f>HYPERLINK("#'School Staff - Special Function'!A1","School Staff - Special Function")</f>
        <v>School Staff - Special Function</v>
      </c>
    </row>
    <row r="30" spans="2:4" ht="15" customHeight="1" x14ac:dyDescent="0.25">
      <c r="B30" s="2" t="s">
        <v>31</v>
      </c>
      <c r="C30" s="3" t="s">
        <v>34</v>
      </c>
      <c r="D30" s="4" t="str">
        <f>HYPERLINK("#'School Staff by Education Level'!A1","School Staff by Education Level")</f>
        <v>School Staff by Education Level</v>
      </c>
    </row>
    <row r="31" spans="2:4" ht="15" customHeight="1" x14ac:dyDescent="0.25">
      <c r="B31" s="5" t="s">
        <v>31</v>
      </c>
      <c r="C31" s="6" t="s">
        <v>35</v>
      </c>
      <c r="D31" s="7" t="str">
        <f>HYPERLINK("#'Teaching Staff - Pedagogical Tr'!A1","Teaching Staff - Pedagogical Tr")</f>
        <v>Teaching Staff - Pedagogical Tr</v>
      </c>
    </row>
    <row r="32" spans="2:4" ht="17.100000000000001" customHeight="1" x14ac:dyDescent="0.25">
      <c r="B32" s="18" t="s">
        <v>36</v>
      </c>
      <c r="C32" s="19"/>
      <c r="D32" s="19"/>
    </row>
    <row r="33" spans="2:4" ht="15" customHeight="1" x14ac:dyDescent="0.25">
      <c r="B33" s="5" t="s">
        <v>37</v>
      </c>
      <c r="C33" s="6" t="s">
        <v>38</v>
      </c>
      <c r="D33" s="7" t="str">
        <f>HYPERLINK("#'Classroom Conditions &amp; Office-L'!A1","Classroom Conditions &amp; Office-L")</f>
        <v>Classroom Conditions &amp; Office-L</v>
      </c>
    </row>
    <row r="34" spans="2:4" ht="15" customHeight="1" x14ac:dyDescent="0.25">
      <c r="B34" s="2" t="s">
        <v>37</v>
      </c>
      <c r="C34" s="3" t="s">
        <v>39</v>
      </c>
      <c r="D34" s="4" t="str">
        <f>HYPERLINK("#'Community Participation &amp; Finan'!A1","Community Participation &amp; Finan")</f>
        <v>Community Participation &amp; Finan</v>
      </c>
    </row>
    <row r="35" spans="2:4" ht="15" customHeight="1" x14ac:dyDescent="0.25">
      <c r="B35" s="5" t="s">
        <v>37</v>
      </c>
      <c r="C35" s="6" t="s">
        <v>40</v>
      </c>
      <c r="D35" s="7" t="str">
        <f>HYPERLINK("#'School Building Conditions'!A1","School Building Conditions")</f>
        <v>School Building Conditions</v>
      </c>
    </row>
    <row r="36" spans="2:4" ht="15" customHeight="1" x14ac:dyDescent="0.25">
      <c r="B36" s="2" t="s">
        <v>37</v>
      </c>
      <c r="C36" s="3" t="s">
        <v>41</v>
      </c>
      <c r="D36" s="4" t="str">
        <f>HYPERLINK("#'School Space &amp; Sports Facilitie'!A1","School Space &amp; Sports Facilitie")</f>
        <v>School Space &amp; Sports Facilitie</v>
      </c>
    </row>
    <row r="37" spans="2:4" ht="17.100000000000001" customHeight="1" x14ac:dyDescent="0.25">
      <c r="B37" s="12" t="s">
        <v>42</v>
      </c>
      <c r="C37" s="13"/>
      <c r="D37" s="13"/>
    </row>
    <row r="38" spans="2:4" ht="15" customHeight="1" x14ac:dyDescent="0.25">
      <c r="B38" s="2" t="s">
        <v>43</v>
      </c>
      <c r="C38" s="3" t="s">
        <v>44</v>
      </c>
      <c r="D38" s="4" t="str">
        <f>HYPERLINK("#'Access &amp; Enrollment Ratios for '!A1","Access &amp; Enrollment Ratios for ")</f>
        <v xml:space="preserve">Access &amp; Enrollment Ratios for </v>
      </c>
    </row>
    <row r="39" spans="2:4" ht="15" customHeight="1" x14ac:dyDescent="0.25">
      <c r="B39" s="5" t="s">
        <v>43</v>
      </c>
      <c r="C39" s="6" t="s">
        <v>45</v>
      </c>
      <c r="D39" s="7" t="str">
        <f>HYPERLINK("#'Access &amp; Equity Indicators - by'!A1","Access &amp; Equity Indicators - by")</f>
        <v>Access &amp; Equity Indicators - by</v>
      </c>
    </row>
    <row r="40" spans="2:4" ht="15" customHeight="1" x14ac:dyDescent="0.25">
      <c r="B40" s="2" t="s">
        <v>43</v>
      </c>
      <c r="C40" s="3" t="s">
        <v>46</v>
      </c>
      <c r="D40" s="4" t="str">
        <f>HYPERLINK("#'Enrollment Indicators - by Prov'!A1","Enrollment Indicators - by Prov")</f>
        <v>Enrollment Indicators - by Prov</v>
      </c>
    </row>
    <row r="41" spans="2:4" ht="15" customHeight="1" x14ac:dyDescent="0.25">
      <c r="B41" s="5" t="s">
        <v>43</v>
      </c>
      <c r="C41" s="6" t="s">
        <v>47</v>
      </c>
      <c r="D41" s="7" t="str">
        <f>HYPERLINK("#'Gross &amp; Net Enrollment Ratios -'!A1","Gross &amp; Net Enrollment Ratios -")</f>
        <v>Gross &amp; Net Enrollment Ratios -</v>
      </c>
    </row>
    <row r="42" spans="2:4" ht="15" customHeight="1" x14ac:dyDescent="0.25">
      <c r="B42" s="2" t="s">
        <v>43</v>
      </c>
      <c r="C42" s="3" t="s">
        <v>48</v>
      </c>
      <c r="D42" s="4" t="str">
        <f>HYPERLINK("#'Indicators on Primary Schools -'!A1","Indicators on Primary Schools -")</f>
        <v>Indicators on Primary Schools -</v>
      </c>
    </row>
    <row r="43" spans="2:4" ht="15" customHeight="1" x14ac:dyDescent="0.25">
      <c r="B43" s="5" t="s">
        <v>43</v>
      </c>
      <c r="C43" s="6" t="s">
        <v>49</v>
      </c>
      <c r="D43" s="7" t="str">
        <f>HYPERLINK("#'Indicators on Schools - Nationa'!A1","Indicators on Schools - Nationa")</f>
        <v>Indicators on Schools - Nationa</v>
      </c>
    </row>
    <row r="44" spans="2:4" ht="15" customHeight="1" x14ac:dyDescent="0.25">
      <c r="B44" s="2" t="s">
        <v>43</v>
      </c>
      <c r="C44" s="3" t="s">
        <v>50</v>
      </c>
      <c r="D44" s="4" t="str">
        <f>HYPERLINK("#'Indicators on Schools - by Prov'!A1","Indicators on Schools - by Prov")</f>
        <v>Indicators on Schools - by Prov</v>
      </c>
    </row>
    <row r="45" spans="2:4" ht="15" customHeight="1" x14ac:dyDescent="0.25">
      <c r="B45" s="5" t="s">
        <v>43</v>
      </c>
      <c r="C45" s="6" t="s">
        <v>51</v>
      </c>
      <c r="D45" s="7" t="str">
        <f>HYPERLINK("#'Indicators on Secondary Schools'!A1","Indicators on Secondary Schools")</f>
        <v>Indicators on Secondary Schools</v>
      </c>
    </row>
    <row r="46" spans="2:4" ht="15" customHeight="1" x14ac:dyDescent="0.25">
      <c r="B46" s="2" t="s">
        <v>43</v>
      </c>
      <c r="C46" s="3" t="s">
        <v>52</v>
      </c>
      <c r="D46" s="4" t="str">
        <f>HYPERLINK("#'Primary Student &amp; Staff Indicat'!A1","Primary Student &amp; Staff Indicat")</f>
        <v>Primary Student &amp; Staff Indicat</v>
      </c>
    </row>
    <row r="47" spans="2:4" ht="15" customHeight="1" x14ac:dyDescent="0.25">
      <c r="B47" s="5" t="s">
        <v>43</v>
      </c>
      <c r="C47" s="6" t="s">
        <v>53</v>
      </c>
      <c r="D47" s="7" t="str">
        <f>HYPERLINK("#'School-Going Age Population &amp; S'!A1","School-Going Age Population &amp; S")</f>
        <v>School-Going Age Population &amp; S</v>
      </c>
    </row>
    <row r="48" spans="2:4" ht="15" customHeight="1" x14ac:dyDescent="0.25">
      <c r="B48" s="2" t="s">
        <v>43</v>
      </c>
      <c r="C48" s="3" t="s">
        <v>54</v>
      </c>
      <c r="D48" s="4" t="str">
        <f>HYPERLINK("#'Secondary Student &amp; Staff Indic'!A1","Secondary Student &amp; Staff Indic")</f>
        <v>Secondary Student &amp; Staff Indic</v>
      </c>
    </row>
    <row r="49" spans="2:4" ht="15" customHeight="1" x14ac:dyDescent="0.25">
      <c r="B49" s="5" t="s">
        <v>43</v>
      </c>
      <c r="C49" s="6" t="s">
        <v>55</v>
      </c>
      <c r="D49" s="7" t="str">
        <f>HYPERLINK("#'Student &amp; Staff Indicators - Na'!A1","Student &amp; Staff Indicators - Na")</f>
        <v>Student &amp; Staff Indicators - Na</v>
      </c>
    </row>
    <row r="50" spans="2:4" ht="15" customHeight="1" x14ac:dyDescent="0.25">
      <c r="B50" s="2" t="s">
        <v>43</v>
      </c>
      <c r="C50" s="3" t="s">
        <v>56</v>
      </c>
      <c r="D50" s="4" t="str">
        <f>HYPERLINK("#'Student &amp; Staff Indicators - by'!A1","Student &amp; Staff Indicators - by")</f>
        <v>Student &amp; Staff Indicators - by</v>
      </c>
    </row>
    <row r="51" spans="2:4" ht="17.100000000000001" customHeight="1" x14ac:dyDescent="0.25">
      <c r="B51" s="24" t="s">
        <v>57</v>
      </c>
      <c r="C51" s="25"/>
      <c r="D51" s="25"/>
    </row>
    <row r="52" spans="2:4" ht="15" customHeight="1" x14ac:dyDescent="0.25">
      <c r="B52" s="2" t="s">
        <v>58</v>
      </c>
      <c r="C52" s="3" t="s">
        <v>59</v>
      </c>
      <c r="D52" s="4" t="str">
        <f>HYPERLINK("#'Flow Rates &amp; Graduates by Level'!A1","Flow Rates &amp; Graduates by Level")</f>
        <v>Flow Rates &amp; Graduates by Level</v>
      </c>
    </row>
    <row r="53" spans="2:4" ht="15" customHeight="1" x14ac:dyDescent="0.25">
      <c r="B53" s="5" t="s">
        <v>58</v>
      </c>
      <c r="C53" s="6" t="s">
        <v>60</v>
      </c>
      <c r="D53" s="7" t="str">
        <f>HYPERLINK("#'Flow Rates &amp; Graduates by Lev 1'!A1","Flow Rates &amp; Graduates by Lev 1")</f>
        <v>Flow Rates &amp; Graduates by Lev 1</v>
      </c>
    </row>
    <row r="54" spans="2:4" ht="15" customHeight="1" x14ac:dyDescent="0.25">
      <c r="B54" s="2" t="s">
        <v>58</v>
      </c>
      <c r="C54" s="3" t="s">
        <v>61</v>
      </c>
      <c r="D54" s="4" t="str">
        <f>HYPERLINK("#'Flow Rates &amp; Graduates by Lev 2'!A1","Flow Rates &amp; Graduates by Lev 2")</f>
        <v>Flow Rates &amp; Graduates by Lev 2</v>
      </c>
    </row>
    <row r="55" spans="2:4" ht="15" customHeight="1" x14ac:dyDescent="0.25">
      <c r="B55" s="5" t="s">
        <v>58</v>
      </c>
      <c r="C55" s="6" t="s">
        <v>62</v>
      </c>
      <c r="D55" s="7" t="str">
        <f>HYPERLINK("#'Student Flow Rates (Both) 2018-'!A1","Student Flow Rates (Both) 2018-")</f>
        <v>Student Flow Rates (Both) 2018-</v>
      </c>
    </row>
    <row r="56" spans="2:4" ht="15" customHeight="1" x14ac:dyDescent="0.25">
      <c r="B56" s="2" t="s">
        <v>58</v>
      </c>
      <c r="C56" s="3" t="s">
        <v>63</v>
      </c>
      <c r="D56" s="4" t="str">
        <f>HYPERLINK("#'Student Flow Rates (Male) 2018-'!A1","Student Flow Rates (Male) 2018-")</f>
        <v>Student Flow Rates (Male) 2018-</v>
      </c>
    </row>
    <row r="57" spans="2:4" ht="15" customHeight="1" x14ac:dyDescent="0.25">
      <c r="B57" s="5" t="s">
        <v>58</v>
      </c>
      <c r="C57" s="6" t="s">
        <v>64</v>
      </c>
      <c r="D57" s="7" t="str">
        <f>HYPERLINK("#'Student Flow Rates by Grade 201'!A1","Student Flow Rates by Grade 201")</f>
        <v>Student Flow Rates by Grade 201</v>
      </c>
    </row>
    <row r="58" spans="2:4" ht="15" customHeight="1" x14ac:dyDescent="0.25">
      <c r="B58" s="2" t="s">
        <v>58</v>
      </c>
      <c r="C58" s="3" t="s">
        <v>65</v>
      </c>
      <c r="D58" s="4" t="str">
        <f>HYPERLINK("#'Survival &amp; Completion Rates 201'!A1","Survival &amp; Completion Rates 201")</f>
        <v>Survival &amp; Completion Rates 201</v>
      </c>
    </row>
    <row r="59" spans="2:4" ht="17.100000000000001" customHeight="1" x14ac:dyDescent="0.25">
      <c r="B59" s="8" t="s">
        <v>66</v>
      </c>
      <c r="C59" s="9"/>
      <c r="D59" s="9"/>
    </row>
    <row r="60" spans="2:4" ht="15" customHeight="1" x14ac:dyDescent="0.25">
      <c r="B60" s="2" t="s">
        <v>67</v>
      </c>
      <c r="C60" s="3" t="s">
        <v>68</v>
      </c>
      <c r="D60" s="4" t="str">
        <f>HYPERLINK("#'Gender Parity Index 2019-2020'!A1","Gender Parity Index 2019-2020")</f>
        <v>Gender Parity Index 2019-2020</v>
      </c>
    </row>
    <row r="61" spans="2:4" ht="17.100000000000001" customHeight="1" x14ac:dyDescent="0.25">
      <c r="B61" s="14" t="s">
        <v>69</v>
      </c>
      <c r="C61" s="15"/>
      <c r="D61" s="15"/>
    </row>
    <row r="62" spans="2:4" ht="15" customHeight="1" x14ac:dyDescent="0.25">
      <c r="B62" s="2" t="s">
        <v>70</v>
      </c>
      <c r="C62" s="3" t="s">
        <v>71</v>
      </c>
      <c r="D62" s="4" t="str">
        <f>HYPERLINK("#'Appendix - Historical Data 1979'!A1","Appendix - Historical Data 1979")</f>
        <v>Appendix - Historical Data 1979</v>
      </c>
    </row>
  </sheetData>
  <mergeCells count="11">
    <mergeCell ref="B2:D2"/>
    <mergeCell ref="B20:D20"/>
    <mergeCell ref="B59:D59"/>
    <mergeCell ref="B5:D5"/>
    <mergeCell ref="B37:D37"/>
    <mergeCell ref="B61:D61"/>
    <mergeCell ref="B8:D8"/>
    <mergeCell ref="B32:D32"/>
    <mergeCell ref="B27:D27"/>
    <mergeCell ref="B15:D15"/>
    <mergeCell ref="B51:D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20"/>
  <sheetViews>
    <sheetView workbookViewId="0"/>
  </sheetViews>
  <sheetFormatPr defaultRowHeight="15" x14ac:dyDescent="0.25"/>
  <cols>
    <col min="1" max="1" width="36.7109375" customWidth="1"/>
    <col min="2" max="2" width="10.140625" customWidth="1"/>
    <col min="3" max="3" width="10" customWidth="1"/>
    <col min="5" max="5" width="9.85546875" customWidth="1"/>
    <col min="6" max="6" width="10.85546875" customWidth="1"/>
    <col min="7" max="7" width="10.7109375" customWidth="1"/>
    <col min="8" max="8" width="10.42578125" customWidth="1"/>
    <col min="10" max="10" width="10" customWidth="1"/>
    <col min="12" max="12" width="10.85546875" customWidth="1"/>
    <col min="13" max="13" width="9.85546875" customWidth="1"/>
    <col min="14" max="14" width="11.140625" customWidth="1"/>
    <col min="15" max="15" width="10" customWidth="1"/>
  </cols>
  <sheetData>
    <row r="1" spans="1:15" x14ac:dyDescent="0.25">
      <c r="A1" s="27" t="s">
        <v>72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x14ac:dyDescent="0.25">
      <c r="A2" s="27" t="s">
        <v>73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25">
      <c r="A3" s="27" t="s">
        <v>74</v>
      </c>
      <c r="B3" t="s">
        <v>75</v>
      </c>
      <c r="C3" t="s">
        <v>76</v>
      </c>
      <c r="D3" t="s">
        <v>75</v>
      </c>
      <c r="E3" t="s">
        <v>77</v>
      </c>
      <c r="F3" s="27" t="s">
        <v>23</v>
      </c>
      <c r="G3" s="27"/>
      <c r="H3" s="27" t="s">
        <v>78</v>
      </c>
      <c r="I3" s="27"/>
      <c r="J3" s="27" t="s">
        <v>79</v>
      </c>
      <c r="K3" s="27"/>
      <c r="L3" s="27" t="s">
        <v>80</v>
      </c>
      <c r="M3" s="27"/>
      <c r="N3" s="27" t="s">
        <v>81</v>
      </c>
      <c r="O3" s="27"/>
    </row>
    <row r="4" spans="1:15" x14ac:dyDescent="0.25">
      <c r="A4" s="27"/>
      <c r="B4" t="s">
        <v>82</v>
      </c>
      <c r="C4" t="s">
        <v>82</v>
      </c>
      <c r="D4" t="s">
        <v>77</v>
      </c>
      <c r="E4" t="s">
        <v>83</v>
      </c>
      <c r="F4" t="s">
        <v>84</v>
      </c>
      <c r="G4" t="s">
        <v>85</v>
      </c>
      <c r="H4" t="s">
        <v>84</v>
      </c>
      <c r="I4" t="s">
        <v>85</v>
      </c>
      <c r="J4" t="s">
        <v>84</v>
      </c>
      <c r="K4" t="s">
        <v>86</v>
      </c>
      <c r="L4" t="s">
        <v>84</v>
      </c>
      <c r="M4" t="s">
        <v>86</v>
      </c>
      <c r="N4" t="s">
        <v>84</v>
      </c>
      <c r="O4" t="s">
        <v>86</v>
      </c>
    </row>
    <row r="5" spans="1:15" x14ac:dyDescent="0.25">
      <c r="A5" t="s">
        <v>87</v>
      </c>
      <c r="B5">
        <v>13482</v>
      </c>
      <c r="C5">
        <v>278</v>
      </c>
      <c r="D5">
        <v>91259</v>
      </c>
      <c r="E5">
        <v>958</v>
      </c>
      <c r="F5">
        <v>3210285</v>
      </c>
      <c r="G5">
        <v>1595047</v>
      </c>
      <c r="H5">
        <v>150757</v>
      </c>
      <c r="I5">
        <v>52827</v>
      </c>
      <c r="J5">
        <v>93225</v>
      </c>
      <c r="K5">
        <v>49042</v>
      </c>
      <c r="L5">
        <v>19862</v>
      </c>
      <c r="M5">
        <v>5903</v>
      </c>
      <c r="N5">
        <v>113087</v>
      </c>
      <c r="O5">
        <v>54945</v>
      </c>
    </row>
    <row r="6" spans="1:15" x14ac:dyDescent="0.25">
      <c r="A6" t="s">
        <v>88</v>
      </c>
      <c r="B6">
        <v>1390</v>
      </c>
      <c r="C6">
        <v>22</v>
      </c>
      <c r="D6">
        <v>15001</v>
      </c>
      <c r="E6">
        <v>135</v>
      </c>
      <c r="F6">
        <v>595615</v>
      </c>
      <c r="G6">
        <v>294542</v>
      </c>
      <c r="H6">
        <v>21816</v>
      </c>
      <c r="I6">
        <v>7447</v>
      </c>
      <c r="J6">
        <v>22331</v>
      </c>
      <c r="K6">
        <v>12970</v>
      </c>
      <c r="L6">
        <v>3488</v>
      </c>
      <c r="M6">
        <v>1425</v>
      </c>
      <c r="N6">
        <v>25819</v>
      </c>
      <c r="O6">
        <v>14395</v>
      </c>
    </row>
    <row r="7" spans="1:15" x14ac:dyDescent="0.25">
      <c r="A7" t="s">
        <v>89</v>
      </c>
      <c r="B7">
        <v>12092</v>
      </c>
      <c r="C7">
        <v>256</v>
      </c>
      <c r="D7">
        <v>76258</v>
      </c>
      <c r="E7">
        <v>823</v>
      </c>
      <c r="F7">
        <v>2614670</v>
      </c>
      <c r="G7">
        <v>1300505</v>
      </c>
      <c r="H7">
        <v>128941</v>
      </c>
      <c r="I7">
        <v>45380</v>
      </c>
      <c r="J7">
        <v>70894</v>
      </c>
      <c r="K7">
        <v>36072</v>
      </c>
      <c r="L7">
        <v>16374</v>
      </c>
      <c r="M7">
        <v>4478</v>
      </c>
      <c r="N7">
        <v>87268</v>
      </c>
      <c r="O7">
        <v>40550</v>
      </c>
    </row>
    <row r="8" spans="1:15" x14ac:dyDescent="0.25">
      <c r="A8" t="s">
        <v>90</v>
      </c>
      <c r="B8">
        <v>4409</v>
      </c>
      <c r="C8">
        <v>97</v>
      </c>
      <c r="D8">
        <v>7761</v>
      </c>
      <c r="E8">
        <v>132</v>
      </c>
      <c r="F8">
        <v>233132</v>
      </c>
      <c r="G8">
        <v>116096</v>
      </c>
      <c r="H8">
        <v>0</v>
      </c>
      <c r="I8">
        <v>0</v>
      </c>
      <c r="J8">
        <v>5414</v>
      </c>
      <c r="K8">
        <v>5145</v>
      </c>
      <c r="L8">
        <v>264</v>
      </c>
      <c r="M8">
        <v>241</v>
      </c>
      <c r="N8">
        <v>5678</v>
      </c>
      <c r="O8">
        <v>5386</v>
      </c>
    </row>
    <row r="9" spans="1:15" x14ac:dyDescent="0.25">
      <c r="A9" t="s">
        <v>91</v>
      </c>
      <c r="B9">
        <v>7282</v>
      </c>
      <c r="C9">
        <v>175</v>
      </c>
      <c r="D9">
        <v>62402</v>
      </c>
      <c r="E9">
        <v>613</v>
      </c>
      <c r="F9">
        <v>2023473</v>
      </c>
      <c r="G9">
        <v>970053</v>
      </c>
      <c r="H9">
        <v>128763</v>
      </c>
      <c r="I9">
        <v>45747</v>
      </c>
      <c r="J9">
        <v>44914</v>
      </c>
      <c r="K9">
        <v>25922</v>
      </c>
      <c r="L9">
        <v>12433</v>
      </c>
      <c r="M9">
        <v>3766</v>
      </c>
      <c r="N9">
        <v>57347</v>
      </c>
      <c r="O9">
        <v>29688</v>
      </c>
    </row>
    <row r="10" spans="1:15" x14ac:dyDescent="0.25">
      <c r="A10" t="s">
        <v>92</v>
      </c>
      <c r="B10">
        <v>1247</v>
      </c>
      <c r="C10">
        <v>5</v>
      </c>
      <c r="D10">
        <v>7449</v>
      </c>
      <c r="E10">
        <v>89</v>
      </c>
      <c r="F10">
        <v>324986</v>
      </c>
      <c r="G10">
        <v>171776</v>
      </c>
      <c r="H10">
        <v>6771</v>
      </c>
      <c r="I10">
        <v>1913</v>
      </c>
      <c r="J10">
        <v>14404</v>
      </c>
      <c r="K10">
        <v>6497</v>
      </c>
      <c r="L10">
        <v>2856</v>
      </c>
      <c r="M10">
        <v>656</v>
      </c>
      <c r="N10">
        <v>17260</v>
      </c>
      <c r="O10">
        <v>7153</v>
      </c>
    </row>
    <row r="11" spans="1:15" x14ac:dyDescent="0.25">
      <c r="A11" t="s">
        <v>93</v>
      </c>
      <c r="B11">
        <v>34</v>
      </c>
      <c r="C11">
        <v>0</v>
      </c>
      <c r="D11">
        <v>473</v>
      </c>
      <c r="E11">
        <v>6</v>
      </c>
      <c r="F11">
        <v>21638</v>
      </c>
      <c r="G11">
        <v>11637</v>
      </c>
      <c r="H11">
        <v>233</v>
      </c>
      <c r="I11">
        <v>82</v>
      </c>
      <c r="J11">
        <v>986</v>
      </c>
      <c r="K11">
        <v>316</v>
      </c>
      <c r="L11">
        <v>129</v>
      </c>
      <c r="M11">
        <v>28</v>
      </c>
      <c r="N11">
        <v>1115</v>
      </c>
      <c r="O11">
        <v>344</v>
      </c>
    </row>
    <row r="12" spans="1:15" x14ac:dyDescent="0.25">
      <c r="A12" t="s">
        <v>94</v>
      </c>
      <c r="B12">
        <v>510</v>
      </c>
      <c r="C12">
        <v>1</v>
      </c>
      <c r="D12">
        <v>13174</v>
      </c>
      <c r="E12">
        <v>118</v>
      </c>
      <c r="F12">
        <v>607056</v>
      </c>
      <c r="G12">
        <v>325485</v>
      </c>
      <c r="H12">
        <v>14990</v>
      </c>
      <c r="I12">
        <v>5085</v>
      </c>
      <c r="J12">
        <v>27507</v>
      </c>
      <c r="K12">
        <v>11162</v>
      </c>
      <c r="L12">
        <v>4180</v>
      </c>
      <c r="M12">
        <v>1212</v>
      </c>
      <c r="N12">
        <v>31687</v>
      </c>
      <c r="O12">
        <v>12374</v>
      </c>
    </row>
    <row r="13" spans="1:15" x14ac:dyDescent="0.25">
      <c r="A13" t="s">
        <v>95</v>
      </c>
      <c r="B13">
        <v>1757</v>
      </c>
      <c r="C13">
        <v>5</v>
      </c>
      <c r="D13">
        <v>13690</v>
      </c>
      <c r="E13">
        <v>89</v>
      </c>
      <c r="F13">
        <v>618968</v>
      </c>
      <c r="G13">
        <v>325504</v>
      </c>
      <c r="H13">
        <v>16906</v>
      </c>
      <c r="I13">
        <v>5174</v>
      </c>
      <c r="J13">
        <v>27738</v>
      </c>
      <c r="K13">
        <v>12451</v>
      </c>
      <c r="L13">
        <v>4882</v>
      </c>
      <c r="M13">
        <v>1243</v>
      </c>
      <c r="N13">
        <v>32620</v>
      </c>
      <c r="O13">
        <v>13694</v>
      </c>
    </row>
    <row r="14" spans="1:15" x14ac:dyDescent="0.25">
      <c r="A14" t="s">
        <v>96</v>
      </c>
      <c r="B14">
        <v>544</v>
      </c>
      <c r="C14">
        <v>1</v>
      </c>
      <c r="D14">
        <v>7406</v>
      </c>
      <c r="E14">
        <v>124</v>
      </c>
      <c r="F14">
        <v>334712</v>
      </c>
      <c r="G14">
        <v>183394</v>
      </c>
      <c r="H14">
        <v>5088</v>
      </c>
      <c r="I14">
        <v>1906</v>
      </c>
      <c r="J14">
        <v>15159</v>
      </c>
      <c r="K14">
        <v>5524</v>
      </c>
      <c r="L14">
        <v>2283</v>
      </c>
      <c r="M14">
        <v>653</v>
      </c>
      <c r="N14">
        <v>17442</v>
      </c>
      <c r="O14">
        <v>6177</v>
      </c>
    </row>
    <row r="15" spans="1:15" x14ac:dyDescent="0.25">
      <c r="A15" t="s">
        <v>97</v>
      </c>
      <c r="B15">
        <v>1273</v>
      </c>
      <c r="C15">
        <v>36</v>
      </c>
      <c r="D15">
        <v>16656</v>
      </c>
      <c r="E15">
        <v>98</v>
      </c>
      <c r="F15">
        <v>638429</v>
      </c>
      <c r="G15">
        <v>306669</v>
      </c>
      <c r="H15">
        <v>37428</v>
      </c>
      <c r="I15">
        <v>12986</v>
      </c>
      <c r="J15">
        <v>13987</v>
      </c>
      <c r="K15">
        <v>9028</v>
      </c>
      <c r="L15">
        <v>3989</v>
      </c>
      <c r="M15">
        <v>1306</v>
      </c>
      <c r="N15">
        <v>17976</v>
      </c>
      <c r="O15">
        <v>10334</v>
      </c>
    </row>
    <row r="16" spans="1:15" x14ac:dyDescent="0.25">
      <c r="A16" t="s">
        <v>98</v>
      </c>
      <c r="B16">
        <v>6009</v>
      </c>
      <c r="C16">
        <v>139</v>
      </c>
      <c r="D16">
        <v>45746</v>
      </c>
      <c r="E16">
        <v>515</v>
      </c>
      <c r="F16">
        <v>1385044</v>
      </c>
      <c r="G16">
        <v>663384</v>
      </c>
      <c r="H16">
        <v>91335</v>
      </c>
      <c r="I16">
        <v>32761</v>
      </c>
      <c r="J16">
        <v>30927</v>
      </c>
      <c r="K16">
        <v>16894</v>
      </c>
      <c r="L16">
        <v>8444</v>
      </c>
      <c r="M16">
        <v>2460</v>
      </c>
      <c r="N16">
        <v>39371</v>
      </c>
      <c r="O16">
        <v>19354</v>
      </c>
    </row>
    <row r="17" spans="1:15" x14ac:dyDescent="0.25">
      <c r="A17" t="s">
        <v>99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100</v>
      </c>
      <c r="B18">
        <v>658</v>
      </c>
      <c r="C18">
        <v>20</v>
      </c>
      <c r="D18">
        <v>4423</v>
      </c>
      <c r="E18">
        <v>65</v>
      </c>
      <c r="F18">
        <v>124135</v>
      </c>
      <c r="G18">
        <v>59385</v>
      </c>
      <c r="H18">
        <v>8522</v>
      </c>
      <c r="I18">
        <v>3074</v>
      </c>
      <c r="J18">
        <v>2926</v>
      </c>
      <c r="K18">
        <v>1541</v>
      </c>
      <c r="L18">
        <v>682</v>
      </c>
      <c r="M18">
        <v>232</v>
      </c>
      <c r="N18">
        <v>3608</v>
      </c>
      <c r="O18">
        <v>1773</v>
      </c>
    </row>
    <row r="19" spans="1:15" x14ac:dyDescent="0.25">
      <c r="A19" t="s">
        <v>101</v>
      </c>
      <c r="B19">
        <v>974</v>
      </c>
      <c r="C19">
        <v>24</v>
      </c>
      <c r="D19">
        <v>8441</v>
      </c>
      <c r="E19">
        <v>0</v>
      </c>
      <c r="F19">
        <v>283868</v>
      </c>
      <c r="G19">
        <v>134867</v>
      </c>
      <c r="H19">
        <v>18215</v>
      </c>
      <c r="I19">
        <v>6262</v>
      </c>
      <c r="J19">
        <v>6374</v>
      </c>
      <c r="K19">
        <v>3541</v>
      </c>
      <c r="L19">
        <v>1966</v>
      </c>
      <c r="M19">
        <v>580</v>
      </c>
      <c r="N19">
        <v>8340</v>
      </c>
      <c r="O19">
        <v>4121</v>
      </c>
    </row>
    <row r="20" spans="1:15" x14ac:dyDescent="0.25">
      <c r="A20" t="s">
        <v>102</v>
      </c>
      <c r="B20">
        <v>278</v>
      </c>
      <c r="C20">
        <v>278</v>
      </c>
      <c r="D20">
        <v>1554</v>
      </c>
      <c r="E20">
        <v>10</v>
      </c>
      <c r="F20">
        <v>50656</v>
      </c>
      <c r="G20">
        <v>24428</v>
      </c>
      <c r="H20">
        <v>3120</v>
      </c>
      <c r="I20">
        <v>1074</v>
      </c>
      <c r="J20">
        <v>1119</v>
      </c>
      <c r="K20">
        <v>630</v>
      </c>
      <c r="L20">
        <v>308</v>
      </c>
      <c r="M20">
        <v>99</v>
      </c>
      <c r="N20">
        <v>1427</v>
      </c>
      <c r="O20">
        <v>729</v>
      </c>
    </row>
  </sheetData>
  <mergeCells count="8">
    <mergeCell ref="A1:O1"/>
    <mergeCell ref="H3:I3"/>
    <mergeCell ref="F3:G3"/>
    <mergeCell ref="L3:M3"/>
    <mergeCell ref="J3:K3"/>
    <mergeCell ref="N3:O3"/>
    <mergeCell ref="A2:O2"/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P31"/>
  <sheetViews>
    <sheetView workbookViewId="0"/>
  </sheetViews>
  <sheetFormatPr defaultRowHeight="15" x14ac:dyDescent="0.25"/>
  <cols>
    <col min="1" max="1" width="26.7109375" customWidth="1"/>
    <col min="2" max="2" width="11.140625" customWidth="1"/>
    <col min="5" max="5" width="11.28515625" customWidth="1"/>
    <col min="6" max="6" width="13.140625" customWidth="1"/>
    <col min="7" max="7" width="12.85546875" customWidth="1"/>
    <col min="8" max="8" width="10.42578125" customWidth="1"/>
    <col min="9" max="9" width="9.28515625" customWidth="1"/>
    <col min="10" max="10" width="10.42578125" customWidth="1"/>
    <col min="11" max="11" width="10.140625" customWidth="1"/>
    <col min="13" max="13" width="10.42578125" customWidth="1"/>
    <col min="14" max="14" width="10.140625" customWidth="1"/>
    <col min="16" max="16" width="8.42578125" customWidth="1"/>
  </cols>
  <sheetData>
    <row r="1" spans="1:16" x14ac:dyDescent="0.25">
      <c r="A1" s="27" t="s">
        <v>103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27" t="s">
        <v>104</v>
      </c>
      <c r="B2" t="s">
        <v>75</v>
      </c>
      <c r="C2" t="s">
        <v>76</v>
      </c>
      <c r="D2" t="s">
        <v>75</v>
      </c>
      <c r="E2" t="s">
        <v>77</v>
      </c>
      <c r="F2" s="27" t="s">
        <v>23</v>
      </c>
      <c r="G2" s="27"/>
      <c r="H2" s="27" t="s">
        <v>78</v>
      </c>
      <c r="I2" s="27"/>
      <c r="J2" s="27" t="s">
        <v>79</v>
      </c>
      <c r="K2" s="27"/>
      <c r="L2" s="27" t="s">
        <v>80</v>
      </c>
      <c r="M2" s="27"/>
      <c r="N2" s="27" t="s">
        <v>81</v>
      </c>
      <c r="O2" s="27"/>
    </row>
    <row r="3" spans="1:16" x14ac:dyDescent="0.25">
      <c r="A3" s="27"/>
      <c r="B3" t="s">
        <v>82</v>
      </c>
      <c r="C3" t="s">
        <v>82</v>
      </c>
      <c r="D3" t="s">
        <v>77</v>
      </c>
      <c r="E3" t="s">
        <v>83</v>
      </c>
      <c r="F3" t="s">
        <v>84</v>
      </c>
      <c r="G3" t="s">
        <v>85</v>
      </c>
      <c r="H3" t="s">
        <v>84</v>
      </c>
      <c r="I3" t="s">
        <v>85</v>
      </c>
      <c r="J3" t="s">
        <v>84</v>
      </c>
      <c r="K3" t="s">
        <v>86</v>
      </c>
      <c r="L3" t="s">
        <v>84</v>
      </c>
      <c r="M3" t="s">
        <v>86</v>
      </c>
      <c r="N3" t="s">
        <v>84</v>
      </c>
      <c r="O3" t="s">
        <v>86</v>
      </c>
    </row>
    <row r="4" spans="1:16" x14ac:dyDescent="0.25">
      <c r="A4" t="s">
        <v>105</v>
      </c>
      <c r="B4">
        <v>818</v>
      </c>
      <c r="C4">
        <v>13</v>
      </c>
      <c r="D4">
        <v>4667</v>
      </c>
      <c r="E4">
        <v>8</v>
      </c>
      <c r="F4">
        <v>156200</v>
      </c>
      <c r="G4">
        <v>78140</v>
      </c>
      <c r="H4">
        <v>4292</v>
      </c>
      <c r="I4">
        <v>1427</v>
      </c>
      <c r="J4">
        <v>4834</v>
      </c>
      <c r="K4">
        <v>2516</v>
      </c>
      <c r="L4">
        <v>894</v>
      </c>
      <c r="M4">
        <v>216</v>
      </c>
      <c r="N4">
        <v>5728</v>
      </c>
      <c r="O4">
        <v>2732</v>
      </c>
    </row>
    <row r="5" spans="1:16" x14ac:dyDescent="0.25">
      <c r="A5" t="s">
        <v>106</v>
      </c>
      <c r="B5">
        <v>1147</v>
      </c>
      <c r="C5">
        <v>23</v>
      </c>
      <c r="D5">
        <v>7694</v>
      </c>
      <c r="E5">
        <v>31</v>
      </c>
      <c r="F5">
        <v>255364</v>
      </c>
      <c r="G5">
        <v>126697</v>
      </c>
      <c r="H5">
        <v>11683</v>
      </c>
      <c r="I5">
        <v>4157</v>
      </c>
      <c r="J5">
        <v>6851</v>
      </c>
      <c r="K5">
        <v>4128</v>
      </c>
      <c r="L5">
        <v>1686</v>
      </c>
      <c r="M5">
        <v>632</v>
      </c>
      <c r="N5">
        <v>8537</v>
      </c>
      <c r="O5">
        <v>4760</v>
      </c>
    </row>
    <row r="6" spans="1:16" x14ac:dyDescent="0.25">
      <c r="A6" t="s">
        <v>107</v>
      </c>
      <c r="B6">
        <v>816</v>
      </c>
      <c r="C6">
        <v>10</v>
      </c>
      <c r="D6">
        <v>5905</v>
      </c>
      <c r="E6">
        <v>112</v>
      </c>
      <c r="F6">
        <v>221352</v>
      </c>
      <c r="G6">
        <v>110434</v>
      </c>
      <c r="H6">
        <v>13360</v>
      </c>
      <c r="I6">
        <v>4715</v>
      </c>
      <c r="J6">
        <v>5779</v>
      </c>
      <c r="K6">
        <v>3352</v>
      </c>
      <c r="L6">
        <v>1743</v>
      </c>
      <c r="M6">
        <v>684</v>
      </c>
      <c r="N6">
        <v>7522</v>
      </c>
      <c r="O6">
        <v>4036</v>
      </c>
    </row>
    <row r="7" spans="1:16" x14ac:dyDescent="0.25">
      <c r="A7" t="s">
        <v>108</v>
      </c>
      <c r="B7">
        <v>469</v>
      </c>
      <c r="C7">
        <v>5</v>
      </c>
      <c r="D7">
        <v>3204</v>
      </c>
      <c r="E7">
        <v>18</v>
      </c>
      <c r="F7">
        <v>117422</v>
      </c>
      <c r="G7">
        <v>59488</v>
      </c>
      <c r="H7">
        <v>4960</v>
      </c>
      <c r="I7">
        <v>1671</v>
      </c>
      <c r="J7">
        <v>3567</v>
      </c>
      <c r="K7">
        <v>1727</v>
      </c>
      <c r="L7">
        <v>675</v>
      </c>
      <c r="M7">
        <v>175</v>
      </c>
      <c r="N7">
        <v>4242</v>
      </c>
      <c r="O7">
        <v>1902</v>
      </c>
    </row>
    <row r="8" spans="1:16" x14ac:dyDescent="0.25">
      <c r="A8" t="s">
        <v>109</v>
      </c>
      <c r="B8">
        <v>619</v>
      </c>
      <c r="C8">
        <v>15</v>
      </c>
      <c r="D8">
        <v>4144</v>
      </c>
      <c r="E8">
        <v>41</v>
      </c>
      <c r="F8">
        <v>168939</v>
      </c>
      <c r="G8">
        <v>83978</v>
      </c>
      <c r="H8">
        <v>6101</v>
      </c>
      <c r="I8">
        <v>2240</v>
      </c>
      <c r="J8">
        <v>4390</v>
      </c>
      <c r="K8">
        <v>1939</v>
      </c>
      <c r="L8">
        <v>793</v>
      </c>
      <c r="M8">
        <v>142</v>
      </c>
      <c r="N8">
        <v>5183</v>
      </c>
      <c r="O8">
        <v>2081</v>
      </c>
    </row>
    <row r="9" spans="1:16" x14ac:dyDescent="0.25">
      <c r="A9" t="s">
        <v>110</v>
      </c>
      <c r="B9">
        <v>789</v>
      </c>
      <c r="C9">
        <v>9</v>
      </c>
      <c r="D9">
        <v>4575</v>
      </c>
      <c r="E9">
        <v>50</v>
      </c>
      <c r="F9">
        <v>156323</v>
      </c>
      <c r="G9">
        <v>79333</v>
      </c>
      <c r="H9">
        <v>8286</v>
      </c>
      <c r="I9">
        <v>2979</v>
      </c>
      <c r="J9">
        <v>4398</v>
      </c>
      <c r="K9">
        <v>2444</v>
      </c>
      <c r="L9">
        <v>774</v>
      </c>
      <c r="M9">
        <v>192</v>
      </c>
      <c r="N9">
        <v>5172</v>
      </c>
      <c r="O9">
        <v>2636</v>
      </c>
    </row>
    <row r="10" spans="1:16" x14ac:dyDescent="0.25">
      <c r="A10" t="s">
        <v>111</v>
      </c>
      <c r="B10">
        <v>611</v>
      </c>
      <c r="C10">
        <v>5</v>
      </c>
      <c r="D10">
        <v>3862</v>
      </c>
      <c r="E10">
        <v>0</v>
      </c>
      <c r="F10">
        <v>127197</v>
      </c>
      <c r="G10">
        <v>62568</v>
      </c>
      <c r="H10">
        <v>4873</v>
      </c>
      <c r="I10">
        <v>1584</v>
      </c>
      <c r="J10">
        <v>4802</v>
      </c>
      <c r="K10">
        <v>2378</v>
      </c>
      <c r="L10">
        <v>944</v>
      </c>
      <c r="M10">
        <v>199</v>
      </c>
      <c r="N10">
        <v>5746</v>
      </c>
      <c r="O10">
        <v>2577</v>
      </c>
    </row>
    <row r="11" spans="1:16" x14ac:dyDescent="0.25">
      <c r="A11" t="s">
        <v>112</v>
      </c>
      <c r="B11">
        <v>752</v>
      </c>
      <c r="C11">
        <v>11</v>
      </c>
      <c r="D11">
        <v>6609</v>
      </c>
      <c r="E11">
        <v>112</v>
      </c>
      <c r="F11">
        <v>254957</v>
      </c>
      <c r="G11">
        <v>125751</v>
      </c>
      <c r="H11">
        <v>14221</v>
      </c>
      <c r="I11">
        <v>4896</v>
      </c>
      <c r="J11">
        <v>7298</v>
      </c>
      <c r="K11">
        <v>4050</v>
      </c>
      <c r="L11">
        <v>1461</v>
      </c>
      <c r="M11">
        <v>391</v>
      </c>
      <c r="N11">
        <v>8759</v>
      </c>
      <c r="O11">
        <v>4441</v>
      </c>
    </row>
    <row r="12" spans="1:16" x14ac:dyDescent="0.25">
      <c r="A12" t="s">
        <v>113</v>
      </c>
      <c r="B12">
        <v>50</v>
      </c>
      <c r="C12">
        <v>2</v>
      </c>
      <c r="D12">
        <v>276</v>
      </c>
      <c r="E12">
        <v>9</v>
      </c>
      <c r="F12">
        <v>8559</v>
      </c>
      <c r="G12">
        <v>4280</v>
      </c>
      <c r="H12">
        <v>569</v>
      </c>
      <c r="I12">
        <v>173</v>
      </c>
      <c r="J12">
        <v>456</v>
      </c>
      <c r="K12">
        <v>239</v>
      </c>
      <c r="L12">
        <v>93</v>
      </c>
      <c r="M12">
        <v>20</v>
      </c>
      <c r="N12">
        <v>549</v>
      </c>
      <c r="O12">
        <v>259</v>
      </c>
    </row>
    <row r="13" spans="1:16" x14ac:dyDescent="0.25">
      <c r="A13" t="s">
        <v>114</v>
      </c>
      <c r="B13">
        <v>219</v>
      </c>
      <c r="C13">
        <v>1</v>
      </c>
      <c r="D13">
        <v>1101</v>
      </c>
      <c r="E13">
        <v>0</v>
      </c>
      <c r="F13">
        <v>26566</v>
      </c>
      <c r="G13">
        <v>13043</v>
      </c>
      <c r="H13">
        <v>894</v>
      </c>
      <c r="I13">
        <v>323</v>
      </c>
      <c r="J13">
        <v>1097</v>
      </c>
      <c r="K13">
        <v>503</v>
      </c>
      <c r="L13">
        <v>162</v>
      </c>
      <c r="M13">
        <v>41</v>
      </c>
      <c r="N13">
        <v>1259</v>
      </c>
      <c r="O13">
        <v>544</v>
      </c>
    </row>
    <row r="14" spans="1:16" x14ac:dyDescent="0.25">
      <c r="A14" t="s">
        <v>115</v>
      </c>
      <c r="B14">
        <v>441</v>
      </c>
      <c r="C14">
        <v>11</v>
      </c>
      <c r="D14">
        <v>2781</v>
      </c>
      <c r="E14">
        <v>71</v>
      </c>
      <c r="F14">
        <v>87204</v>
      </c>
      <c r="G14">
        <v>43228</v>
      </c>
      <c r="H14">
        <v>5292</v>
      </c>
      <c r="I14">
        <v>1975</v>
      </c>
      <c r="J14">
        <v>2577</v>
      </c>
      <c r="K14">
        <v>1623</v>
      </c>
      <c r="L14">
        <v>372</v>
      </c>
      <c r="M14">
        <v>132</v>
      </c>
      <c r="N14">
        <v>2949</v>
      </c>
      <c r="O14">
        <v>1755</v>
      </c>
    </row>
    <row r="15" spans="1:16" x14ac:dyDescent="0.25">
      <c r="A15" t="s">
        <v>116</v>
      </c>
      <c r="B15">
        <v>127</v>
      </c>
      <c r="C15">
        <v>6</v>
      </c>
      <c r="D15">
        <v>801</v>
      </c>
      <c r="E15">
        <v>2</v>
      </c>
      <c r="F15">
        <v>20688</v>
      </c>
      <c r="G15">
        <v>10487</v>
      </c>
      <c r="H15">
        <v>704</v>
      </c>
      <c r="I15">
        <v>279</v>
      </c>
      <c r="J15">
        <v>839</v>
      </c>
      <c r="K15">
        <v>408</v>
      </c>
      <c r="L15">
        <v>53</v>
      </c>
      <c r="M15">
        <v>11</v>
      </c>
      <c r="N15">
        <v>892</v>
      </c>
      <c r="O15">
        <v>419</v>
      </c>
    </row>
    <row r="16" spans="1:16" x14ac:dyDescent="0.25">
      <c r="A16" t="s">
        <v>117</v>
      </c>
      <c r="B16">
        <v>359</v>
      </c>
      <c r="C16">
        <v>8</v>
      </c>
      <c r="D16">
        <v>1957</v>
      </c>
      <c r="E16">
        <v>27</v>
      </c>
      <c r="F16">
        <v>55614</v>
      </c>
      <c r="G16">
        <v>27193</v>
      </c>
      <c r="H16">
        <v>3495</v>
      </c>
      <c r="I16">
        <v>1227</v>
      </c>
      <c r="J16">
        <v>1561</v>
      </c>
      <c r="K16">
        <v>721</v>
      </c>
      <c r="L16">
        <v>318</v>
      </c>
      <c r="M16">
        <v>73</v>
      </c>
      <c r="N16">
        <v>1879</v>
      </c>
      <c r="O16">
        <v>794</v>
      </c>
    </row>
    <row r="17" spans="1:15" x14ac:dyDescent="0.25">
      <c r="A17" t="s">
        <v>118</v>
      </c>
      <c r="B17">
        <v>81</v>
      </c>
      <c r="C17">
        <v>1</v>
      </c>
      <c r="D17">
        <v>512</v>
      </c>
      <c r="E17">
        <v>2</v>
      </c>
      <c r="F17">
        <v>16597</v>
      </c>
      <c r="G17">
        <v>8233</v>
      </c>
      <c r="H17">
        <v>745</v>
      </c>
      <c r="I17">
        <v>254</v>
      </c>
      <c r="J17">
        <v>636</v>
      </c>
      <c r="K17">
        <v>341</v>
      </c>
      <c r="L17">
        <v>81</v>
      </c>
      <c r="M17">
        <v>22</v>
      </c>
      <c r="N17">
        <v>717</v>
      </c>
      <c r="O17">
        <v>363</v>
      </c>
    </row>
    <row r="18" spans="1:15" x14ac:dyDescent="0.25">
      <c r="A18" t="s">
        <v>119</v>
      </c>
      <c r="B18">
        <v>374</v>
      </c>
      <c r="C18">
        <v>6</v>
      </c>
      <c r="D18">
        <v>5501</v>
      </c>
      <c r="E18">
        <v>40</v>
      </c>
      <c r="F18">
        <v>239768</v>
      </c>
      <c r="G18">
        <v>116931</v>
      </c>
      <c r="H18">
        <v>7094</v>
      </c>
      <c r="I18">
        <v>2424</v>
      </c>
      <c r="J18">
        <v>9445</v>
      </c>
      <c r="K18">
        <v>5506</v>
      </c>
      <c r="L18">
        <v>1133</v>
      </c>
      <c r="M18">
        <v>439</v>
      </c>
      <c r="N18">
        <v>10578</v>
      </c>
      <c r="O18">
        <v>5945</v>
      </c>
    </row>
    <row r="19" spans="1:15" x14ac:dyDescent="0.25">
      <c r="A19" t="s">
        <v>120</v>
      </c>
      <c r="B19">
        <v>157</v>
      </c>
      <c r="C19">
        <v>0</v>
      </c>
      <c r="D19">
        <v>1200</v>
      </c>
      <c r="E19">
        <v>0</v>
      </c>
      <c r="F19">
        <v>41390</v>
      </c>
      <c r="G19">
        <v>20581</v>
      </c>
      <c r="H19">
        <v>1717</v>
      </c>
      <c r="I19">
        <v>606</v>
      </c>
      <c r="J19">
        <v>1570</v>
      </c>
      <c r="K19">
        <v>781</v>
      </c>
      <c r="L19">
        <v>232</v>
      </c>
      <c r="M19">
        <v>75</v>
      </c>
      <c r="N19">
        <v>1802</v>
      </c>
      <c r="O19">
        <v>856</v>
      </c>
    </row>
    <row r="20" spans="1:15" x14ac:dyDescent="0.25">
      <c r="A20" t="s">
        <v>121</v>
      </c>
      <c r="B20">
        <v>407</v>
      </c>
      <c r="C20">
        <v>13</v>
      </c>
      <c r="D20">
        <v>2132</v>
      </c>
      <c r="E20">
        <v>4</v>
      </c>
      <c r="F20">
        <v>57474</v>
      </c>
      <c r="G20">
        <v>29080</v>
      </c>
      <c r="H20">
        <v>3493</v>
      </c>
      <c r="I20">
        <v>1295</v>
      </c>
      <c r="J20">
        <v>2041</v>
      </c>
      <c r="K20">
        <v>1061</v>
      </c>
      <c r="L20">
        <v>321</v>
      </c>
      <c r="M20">
        <v>88</v>
      </c>
      <c r="N20">
        <v>2362</v>
      </c>
      <c r="O20">
        <v>1149</v>
      </c>
    </row>
    <row r="21" spans="1:15" x14ac:dyDescent="0.25">
      <c r="A21" t="s">
        <v>122</v>
      </c>
      <c r="B21">
        <v>1057</v>
      </c>
      <c r="C21">
        <v>35</v>
      </c>
      <c r="D21">
        <v>6676</v>
      </c>
      <c r="E21">
        <v>105</v>
      </c>
      <c r="F21">
        <v>236800</v>
      </c>
      <c r="G21">
        <v>115758</v>
      </c>
      <c r="H21">
        <v>10644</v>
      </c>
      <c r="I21">
        <v>3670</v>
      </c>
      <c r="J21">
        <v>5648</v>
      </c>
      <c r="K21">
        <v>2699</v>
      </c>
      <c r="L21">
        <v>1863</v>
      </c>
      <c r="M21">
        <v>450</v>
      </c>
      <c r="N21">
        <v>7511</v>
      </c>
      <c r="O21">
        <v>3149</v>
      </c>
    </row>
    <row r="22" spans="1:15" x14ac:dyDescent="0.25">
      <c r="A22" t="s">
        <v>123</v>
      </c>
      <c r="B22">
        <v>543</v>
      </c>
      <c r="C22">
        <v>4</v>
      </c>
      <c r="D22">
        <v>3281</v>
      </c>
      <c r="E22">
        <v>9</v>
      </c>
      <c r="F22">
        <v>107028</v>
      </c>
      <c r="G22">
        <v>53680</v>
      </c>
      <c r="H22">
        <v>5715</v>
      </c>
      <c r="I22">
        <v>2194</v>
      </c>
      <c r="J22">
        <v>3138</v>
      </c>
      <c r="K22">
        <v>1540</v>
      </c>
      <c r="L22">
        <v>679</v>
      </c>
      <c r="M22">
        <v>191</v>
      </c>
      <c r="N22">
        <v>3817</v>
      </c>
      <c r="O22">
        <v>1731</v>
      </c>
    </row>
    <row r="23" spans="1:15" x14ac:dyDescent="0.25">
      <c r="A23" t="s">
        <v>124</v>
      </c>
      <c r="B23">
        <v>311</v>
      </c>
      <c r="C23">
        <v>28</v>
      </c>
      <c r="D23">
        <v>1856</v>
      </c>
      <c r="E23">
        <v>24</v>
      </c>
      <c r="F23">
        <v>55611</v>
      </c>
      <c r="G23">
        <v>27048</v>
      </c>
      <c r="H23">
        <v>1808</v>
      </c>
      <c r="I23">
        <v>717</v>
      </c>
      <c r="J23">
        <v>1316</v>
      </c>
      <c r="K23">
        <v>624</v>
      </c>
      <c r="L23">
        <v>125</v>
      </c>
      <c r="M23">
        <v>33</v>
      </c>
      <c r="N23">
        <v>1441</v>
      </c>
      <c r="O23">
        <v>657</v>
      </c>
    </row>
    <row r="24" spans="1:15" x14ac:dyDescent="0.25">
      <c r="A24" t="s">
        <v>125</v>
      </c>
      <c r="B24">
        <v>1077</v>
      </c>
      <c r="C24">
        <v>15</v>
      </c>
      <c r="D24">
        <v>7066</v>
      </c>
      <c r="E24">
        <v>98</v>
      </c>
      <c r="F24">
        <v>271653</v>
      </c>
      <c r="G24">
        <v>137200</v>
      </c>
      <c r="H24">
        <v>14290</v>
      </c>
      <c r="I24">
        <v>4801</v>
      </c>
      <c r="J24">
        <v>5769</v>
      </c>
      <c r="K24">
        <v>3579</v>
      </c>
      <c r="L24">
        <v>1809</v>
      </c>
      <c r="M24">
        <v>792</v>
      </c>
      <c r="N24">
        <v>7578</v>
      </c>
      <c r="O24">
        <v>4371</v>
      </c>
    </row>
    <row r="25" spans="1:15" x14ac:dyDescent="0.25">
      <c r="A25" t="s">
        <v>126</v>
      </c>
      <c r="B25">
        <v>246</v>
      </c>
      <c r="C25">
        <v>10</v>
      </c>
      <c r="D25">
        <v>1454</v>
      </c>
      <c r="E25">
        <v>7</v>
      </c>
      <c r="F25">
        <v>35518</v>
      </c>
      <c r="G25">
        <v>17611</v>
      </c>
      <c r="H25">
        <v>2686</v>
      </c>
      <c r="I25">
        <v>1125</v>
      </c>
      <c r="J25">
        <v>1321</v>
      </c>
      <c r="K25">
        <v>740</v>
      </c>
      <c r="L25">
        <v>146</v>
      </c>
      <c r="M25">
        <v>46</v>
      </c>
      <c r="N25">
        <v>1467</v>
      </c>
      <c r="O25">
        <v>786</v>
      </c>
    </row>
    <row r="26" spans="1:15" x14ac:dyDescent="0.25">
      <c r="A26" t="s">
        <v>127</v>
      </c>
      <c r="B26">
        <v>509</v>
      </c>
      <c r="C26">
        <v>12</v>
      </c>
      <c r="D26">
        <v>3613</v>
      </c>
      <c r="E26">
        <v>43</v>
      </c>
      <c r="F26">
        <v>119268</v>
      </c>
      <c r="G26">
        <v>59229</v>
      </c>
      <c r="H26">
        <v>3727</v>
      </c>
      <c r="I26">
        <v>1205</v>
      </c>
      <c r="J26">
        <v>3694</v>
      </c>
      <c r="K26">
        <v>1423</v>
      </c>
      <c r="L26">
        <v>933</v>
      </c>
      <c r="M26">
        <v>211</v>
      </c>
      <c r="N26">
        <v>4627</v>
      </c>
      <c r="O26">
        <v>1634</v>
      </c>
    </row>
    <row r="27" spans="1:15" x14ac:dyDescent="0.25">
      <c r="A27" t="s">
        <v>128</v>
      </c>
      <c r="B27">
        <v>793</v>
      </c>
      <c r="C27">
        <v>20</v>
      </c>
      <c r="D27">
        <v>5706</v>
      </c>
      <c r="E27">
        <v>106</v>
      </c>
      <c r="F27">
        <v>201228</v>
      </c>
      <c r="G27">
        <v>99349</v>
      </c>
      <c r="H27">
        <v>12020</v>
      </c>
      <c r="I27">
        <v>3922</v>
      </c>
      <c r="J27">
        <v>6473</v>
      </c>
      <c r="K27">
        <v>2652</v>
      </c>
      <c r="L27">
        <v>1724</v>
      </c>
      <c r="M27">
        <v>402</v>
      </c>
      <c r="N27">
        <v>8197</v>
      </c>
      <c r="O27">
        <v>3054</v>
      </c>
    </row>
    <row r="28" spans="1:15" x14ac:dyDescent="0.25">
      <c r="A28" t="s">
        <v>129</v>
      </c>
      <c r="B28">
        <v>710</v>
      </c>
      <c r="C28">
        <v>15</v>
      </c>
      <c r="D28">
        <v>4686</v>
      </c>
      <c r="E28">
        <v>39</v>
      </c>
      <c r="F28">
        <v>171565</v>
      </c>
      <c r="G28">
        <v>85727</v>
      </c>
      <c r="H28">
        <v>8088</v>
      </c>
      <c r="I28">
        <v>2968</v>
      </c>
      <c r="J28">
        <v>3725</v>
      </c>
      <c r="K28">
        <v>2068</v>
      </c>
      <c r="L28">
        <v>848</v>
      </c>
      <c r="M28">
        <v>246</v>
      </c>
      <c r="N28">
        <v>4573</v>
      </c>
      <c r="O28">
        <v>2314</v>
      </c>
    </row>
    <row r="29" spans="1:15" x14ac:dyDescent="0.25">
      <c r="A29" t="s">
        <v>87</v>
      </c>
      <c r="B29">
        <v>13482</v>
      </c>
      <c r="C29">
        <v>278</v>
      </c>
      <c r="D29">
        <v>91259</v>
      </c>
      <c r="E29">
        <v>958</v>
      </c>
      <c r="F29">
        <v>3210285</v>
      </c>
      <c r="G29">
        <v>1595047</v>
      </c>
      <c r="H29">
        <v>150757</v>
      </c>
      <c r="I29">
        <v>52827</v>
      </c>
      <c r="J29">
        <v>93225</v>
      </c>
      <c r="K29">
        <v>49042</v>
      </c>
      <c r="L29">
        <v>19862</v>
      </c>
      <c r="M29">
        <v>5903</v>
      </c>
      <c r="N29">
        <v>113087</v>
      </c>
      <c r="O29">
        <v>54945</v>
      </c>
    </row>
    <row r="30" spans="1:15" x14ac:dyDescent="0.25">
      <c r="A30" t="s">
        <v>130</v>
      </c>
      <c r="B30">
        <v>1390</v>
      </c>
      <c r="C30">
        <v>22</v>
      </c>
      <c r="D30">
        <v>15001</v>
      </c>
      <c r="E30">
        <v>135</v>
      </c>
      <c r="F30">
        <v>595615</v>
      </c>
      <c r="G30">
        <v>294542</v>
      </c>
      <c r="H30">
        <v>21816</v>
      </c>
      <c r="I30">
        <v>7447</v>
      </c>
      <c r="J30">
        <v>22331</v>
      </c>
      <c r="K30">
        <v>12970</v>
      </c>
      <c r="L30">
        <v>3488</v>
      </c>
      <c r="M30">
        <v>1425</v>
      </c>
      <c r="N30">
        <v>25819</v>
      </c>
      <c r="O30">
        <v>14395</v>
      </c>
    </row>
    <row r="31" spans="1:15" x14ac:dyDescent="0.25">
      <c r="A31" t="s">
        <v>131</v>
      </c>
      <c r="B31">
        <v>12092</v>
      </c>
      <c r="C31">
        <v>256</v>
      </c>
      <c r="D31">
        <v>76258</v>
      </c>
      <c r="E31">
        <v>823</v>
      </c>
      <c r="F31">
        <v>2614670</v>
      </c>
      <c r="G31">
        <v>1300505</v>
      </c>
      <c r="H31">
        <v>128941</v>
      </c>
      <c r="I31">
        <v>45380</v>
      </c>
      <c r="J31">
        <v>70894</v>
      </c>
      <c r="K31">
        <v>36072</v>
      </c>
      <c r="L31">
        <v>16374</v>
      </c>
      <c r="M31">
        <v>4478</v>
      </c>
      <c r="N31">
        <v>87268</v>
      </c>
      <c r="O31">
        <v>40550</v>
      </c>
    </row>
  </sheetData>
  <mergeCells count="7">
    <mergeCell ref="L2:M2"/>
    <mergeCell ref="F2:G2"/>
    <mergeCell ref="H2:I2"/>
    <mergeCell ref="A1:P1"/>
    <mergeCell ref="J2:K2"/>
    <mergeCell ref="N2:O2"/>
    <mergeCell ref="A2: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P30"/>
  <sheetViews>
    <sheetView workbookViewId="0"/>
  </sheetViews>
  <sheetFormatPr defaultRowHeight="15" x14ac:dyDescent="0.25"/>
  <cols>
    <col min="1" max="1" width="24.140625" customWidth="1"/>
    <col min="2" max="2" width="12.42578125" customWidth="1"/>
    <col min="3" max="3" width="10" customWidth="1"/>
    <col min="5" max="5" width="10.140625" customWidth="1"/>
    <col min="6" max="6" width="10" customWidth="1"/>
    <col min="7" max="7" width="12.425781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27" t="s">
        <v>104</v>
      </c>
      <c r="B1" t="s">
        <v>75</v>
      </c>
      <c r="C1" t="s">
        <v>76</v>
      </c>
      <c r="D1" t="s">
        <v>75</v>
      </c>
      <c r="E1" t="s">
        <v>75</v>
      </c>
      <c r="F1" t="s">
        <v>77</v>
      </c>
      <c r="G1" s="27" t="s">
        <v>23</v>
      </c>
      <c r="H1" s="27"/>
      <c r="I1" s="27" t="s">
        <v>78</v>
      </c>
      <c r="J1" s="27"/>
      <c r="K1" s="27" t="s">
        <v>79</v>
      </c>
      <c r="L1" s="27"/>
      <c r="M1" s="27" t="s">
        <v>80</v>
      </c>
      <c r="N1" s="27"/>
      <c r="O1" s="27" t="s">
        <v>132</v>
      </c>
      <c r="P1" s="27"/>
    </row>
    <row r="2" spans="1:16" x14ac:dyDescent="0.25">
      <c r="A2" s="27"/>
      <c r="B2" t="s">
        <v>133</v>
      </c>
      <c r="C2" t="s">
        <v>82</v>
      </c>
      <c r="D2" t="s">
        <v>77</v>
      </c>
      <c r="E2" t="s">
        <v>134</v>
      </c>
      <c r="F2" t="s">
        <v>83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86</v>
      </c>
      <c r="M2" t="s">
        <v>84</v>
      </c>
      <c r="N2" t="s">
        <v>86</v>
      </c>
      <c r="O2" t="s">
        <v>84</v>
      </c>
      <c r="P2" t="s">
        <v>86</v>
      </c>
    </row>
    <row r="3" spans="1:16" x14ac:dyDescent="0.25">
      <c r="A3" t="s">
        <v>105</v>
      </c>
      <c r="B3">
        <v>30</v>
      </c>
      <c r="C3">
        <v>0</v>
      </c>
      <c r="D3">
        <v>594</v>
      </c>
      <c r="E3">
        <v>594</v>
      </c>
      <c r="F3">
        <v>0</v>
      </c>
      <c r="G3">
        <v>27489</v>
      </c>
      <c r="H3">
        <v>15102</v>
      </c>
      <c r="I3">
        <v>585</v>
      </c>
      <c r="J3">
        <v>201</v>
      </c>
      <c r="K3">
        <v>1293</v>
      </c>
      <c r="L3">
        <v>516</v>
      </c>
      <c r="M3">
        <v>187</v>
      </c>
      <c r="N3">
        <v>51</v>
      </c>
      <c r="O3">
        <v>1480</v>
      </c>
      <c r="P3">
        <v>567</v>
      </c>
    </row>
    <row r="4" spans="1:16" x14ac:dyDescent="0.25">
      <c r="A4" t="s">
        <v>106</v>
      </c>
      <c r="B4">
        <v>29</v>
      </c>
      <c r="C4">
        <v>0</v>
      </c>
      <c r="D4">
        <v>747</v>
      </c>
      <c r="E4">
        <v>677</v>
      </c>
      <c r="F4">
        <v>0</v>
      </c>
      <c r="G4">
        <v>37081</v>
      </c>
      <c r="H4">
        <v>20277</v>
      </c>
      <c r="I4">
        <v>868</v>
      </c>
      <c r="J4">
        <v>297</v>
      </c>
      <c r="K4">
        <v>1343</v>
      </c>
      <c r="L4">
        <v>605</v>
      </c>
      <c r="M4">
        <v>227</v>
      </c>
      <c r="N4">
        <v>76</v>
      </c>
      <c r="O4">
        <v>1570</v>
      </c>
      <c r="P4">
        <v>681</v>
      </c>
    </row>
    <row r="5" spans="1:16" x14ac:dyDescent="0.25">
      <c r="A5" t="s">
        <v>107</v>
      </c>
      <c r="B5">
        <v>43</v>
      </c>
      <c r="C5">
        <v>1</v>
      </c>
      <c r="D5">
        <v>1035</v>
      </c>
      <c r="E5">
        <v>929</v>
      </c>
      <c r="F5">
        <v>0</v>
      </c>
      <c r="G5">
        <v>45284</v>
      </c>
      <c r="H5">
        <v>25161</v>
      </c>
      <c r="I5">
        <v>1382</v>
      </c>
      <c r="J5">
        <v>518</v>
      </c>
      <c r="K5">
        <v>2059</v>
      </c>
      <c r="L5">
        <v>946</v>
      </c>
      <c r="M5">
        <v>440</v>
      </c>
      <c r="N5">
        <v>194</v>
      </c>
      <c r="O5">
        <v>2499</v>
      </c>
      <c r="P5">
        <v>1140</v>
      </c>
    </row>
    <row r="6" spans="1:16" x14ac:dyDescent="0.25">
      <c r="A6" t="s">
        <v>108</v>
      </c>
      <c r="B6">
        <v>16</v>
      </c>
      <c r="C6">
        <v>0</v>
      </c>
      <c r="D6">
        <v>457</v>
      </c>
      <c r="E6">
        <v>442</v>
      </c>
      <c r="F6">
        <v>0</v>
      </c>
      <c r="G6">
        <v>22020</v>
      </c>
      <c r="H6">
        <v>12254</v>
      </c>
      <c r="I6">
        <v>378</v>
      </c>
      <c r="J6">
        <v>114</v>
      </c>
      <c r="K6">
        <v>1036</v>
      </c>
      <c r="L6">
        <v>391</v>
      </c>
      <c r="M6">
        <v>171</v>
      </c>
      <c r="N6">
        <v>43</v>
      </c>
      <c r="O6">
        <v>1207</v>
      </c>
      <c r="P6">
        <v>434</v>
      </c>
    </row>
    <row r="7" spans="1:16" x14ac:dyDescent="0.25">
      <c r="A7" t="s">
        <v>109</v>
      </c>
      <c r="B7">
        <v>24</v>
      </c>
      <c r="C7">
        <v>0</v>
      </c>
      <c r="D7">
        <v>557</v>
      </c>
      <c r="E7">
        <v>461</v>
      </c>
      <c r="F7">
        <v>0</v>
      </c>
      <c r="G7">
        <v>29407</v>
      </c>
      <c r="H7">
        <v>15542</v>
      </c>
      <c r="I7">
        <v>498</v>
      </c>
      <c r="J7">
        <v>154</v>
      </c>
      <c r="K7">
        <v>1067</v>
      </c>
      <c r="L7">
        <v>365</v>
      </c>
      <c r="M7">
        <v>166</v>
      </c>
      <c r="N7">
        <v>29</v>
      </c>
      <c r="O7">
        <v>1233</v>
      </c>
      <c r="P7">
        <v>394</v>
      </c>
    </row>
    <row r="8" spans="1:16" x14ac:dyDescent="0.25">
      <c r="A8" t="s">
        <v>110</v>
      </c>
      <c r="B8">
        <v>25</v>
      </c>
      <c r="C8">
        <v>0</v>
      </c>
      <c r="D8">
        <v>598</v>
      </c>
      <c r="E8">
        <v>578</v>
      </c>
      <c r="F8">
        <v>0</v>
      </c>
      <c r="G8">
        <v>28320</v>
      </c>
      <c r="H8">
        <v>15726</v>
      </c>
      <c r="I8">
        <v>655</v>
      </c>
      <c r="J8">
        <v>231</v>
      </c>
      <c r="K8">
        <v>1107</v>
      </c>
      <c r="L8">
        <v>494</v>
      </c>
      <c r="M8">
        <v>180</v>
      </c>
      <c r="N8">
        <v>32</v>
      </c>
      <c r="O8">
        <v>1287</v>
      </c>
      <c r="P8">
        <v>526</v>
      </c>
    </row>
    <row r="9" spans="1:16" x14ac:dyDescent="0.25">
      <c r="A9" t="s">
        <v>111</v>
      </c>
      <c r="B9">
        <v>24</v>
      </c>
      <c r="C9">
        <v>0</v>
      </c>
      <c r="D9">
        <v>557</v>
      </c>
      <c r="E9">
        <v>531</v>
      </c>
      <c r="F9">
        <v>0</v>
      </c>
      <c r="G9">
        <v>25503</v>
      </c>
      <c r="H9">
        <v>13366</v>
      </c>
      <c r="I9">
        <v>642</v>
      </c>
      <c r="J9">
        <v>203</v>
      </c>
      <c r="K9">
        <v>1269</v>
      </c>
      <c r="L9">
        <v>497</v>
      </c>
      <c r="M9">
        <v>189</v>
      </c>
      <c r="N9">
        <v>46</v>
      </c>
      <c r="O9">
        <v>1458</v>
      </c>
      <c r="P9">
        <v>543</v>
      </c>
    </row>
    <row r="10" spans="1:16" x14ac:dyDescent="0.25">
      <c r="A10" t="s">
        <v>112</v>
      </c>
      <c r="B10">
        <v>39</v>
      </c>
      <c r="C10">
        <v>0</v>
      </c>
      <c r="D10">
        <v>1097</v>
      </c>
      <c r="E10">
        <v>995</v>
      </c>
      <c r="F10">
        <v>22</v>
      </c>
      <c r="G10">
        <v>49627</v>
      </c>
      <c r="H10">
        <v>27126</v>
      </c>
      <c r="I10">
        <v>1146</v>
      </c>
      <c r="J10">
        <v>401</v>
      </c>
      <c r="K10">
        <v>2746</v>
      </c>
      <c r="L10">
        <v>1208</v>
      </c>
      <c r="M10">
        <v>334</v>
      </c>
      <c r="N10">
        <v>66</v>
      </c>
      <c r="O10">
        <v>3080</v>
      </c>
      <c r="P10">
        <v>1274</v>
      </c>
    </row>
    <row r="11" spans="1:16" x14ac:dyDescent="0.25">
      <c r="A11" t="s">
        <v>113</v>
      </c>
      <c r="B11">
        <v>2</v>
      </c>
      <c r="C11">
        <v>0</v>
      </c>
      <c r="D11">
        <v>43</v>
      </c>
      <c r="E11">
        <v>43</v>
      </c>
      <c r="F11">
        <v>0</v>
      </c>
      <c r="G11">
        <v>1737</v>
      </c>
      <c r="H11">
        <v>908</v>
      </c>
      <c r="I11">
        <v>81</v>
      </c>
      <c r="J11">
        <v>20</v>
      </c>
      <c r="K11">
        <v>130</v>
      </c>
      <c r="L11">
        <v>57</v>
      </c>
      <c r="M11">
        <v>13</v>
      </c>
      <c r="N11">
        <v>5</v>
      </c>
      <c r="O11">
        <v>143</v>
      </c>
      <c r="P11">
        <v>62</v>
      </c>
    </row>
    <row r="12" spans="1:16" x14ac:dyDescent="0.25">
      <c r="A12" t="s">
        <v>114</v>
      </c>
      <c r="B12">
        <v>12</v>
      </c>
      <c r="C12">
        <v>0</v>
      </c>
      <c r="D12">
        <v>141</v>
      </c>
      <c r="E12">
        <v>132</v>
      </c>
      <c r="F12">
        <v>0</v>
      </c>
      <c r="G12">
        <v>5714</v>
      </c>
      <c r="H12">
        <v>2874</v>
      </c>
      <c r="I12">
        <v>77</v>
      </c>
      <c r="J12">
        <v>29</v>
      </c>
      <c r="K12">
        <v>301</v>
      </c>
      <c r="L12">
        <v>112</v>
      </c>
      <c r="M12">
        <v>33</v>
      </c>
      <c r="N12">
        <v>7</v>
      </c>
      <c r="O12">
        <v>334</v>
      </c>
      <c r="P12">
        <v>119</v>
      </c>
    </row>
    <row r="13" spans="1:16" x14ac:dyDescent="0.25">
      <c r="A13" t="s">
        <v>115</v>
      </c>
      <c r="B13">
        <v>12</v>
      </c>
      <c r="C13">
        <v>0</v>
      </c>
      <c r="D13">
        <v>219</v>
      </c>
      <c r="E13">
        <v>214</v>
      </c>
      <c r="F13">
        <v>24</v>
      </c>
      <c r="G13">
        <v>9947</v>
      </c>
      <c r="H13">
        <v>5395</v>
      </c>
      <c r="I13">
        <v>215</v>
      </c>
      <c r="J13">
        <v>65</v>
      </c>
      <c r="K13">
        <v>474</v>
      </c>
      <c r="L13">
        <v>226</v>
      </c>
      <c r="M13">
        <v>49</v>
      </c>
      <c r="N13">
        <v>14</v>
      </c>
      <c r="O13">
        <v>523</v>
      </c>
      <c r="P13">
        <v>240</v>
      </c>
    </row>
    <row r="14" spans="1:16" x14ac:dyDescent="0.25">
      <c r="A14" t="s">
        <v>116</v>
      </c>
      <c r="B14">
        <v>5</v>
      </c>
      <c r="C14">
        <v>0</v>
      </c>
      <c r="D14">
        <v>73</v>
      </c>
      <c r="E14">
        <v>66</v>
      </c>
      <c r="F14">
        <v>0</v>
      </c>
      <c r="G14">
        <v>3495</v>
      </c>
      <c r="H14">
        <v>1879</v>
      </c>
      <c r="I14">
        <v>113</v>
      </c>
      <c r="J14">
        <v>45</v>
      </c>
      <c r="K14">
        <v>162</v>
      </c>
      <c r="L14">
        <v>58</v>
      </c>
      <c r="M14">
        <v>14</v>
      </c>
      <c r="N14">
        <v>2</v>
      </c>
      <c r="O14">
        <v>176</v>
      </c>
      <c r="P14">
        <v>60</v>
      </c>
    </row>
    <row r="15" spans="1:16" x14ac:dyDescent="0.25">
      <c r="A15" t="s">
        <v>117</v>
      </c>
      <c r="B15">
        <v>9</v>
      </c>
      <c r="C15">
        <v>0</v>
      </c>
      <c r="D15">
        <v>193</v>
      </c>
      <c r="E15">
        <v>174</v>
      </c>
      <c r="F15">
        <v>0</v>
      </c>
      <c r="G15">
        <v>8712</v>
      </c>
      <c r="H15">
        <v>4584</v>
      </c>
      <c r="I15">
        <v>366</v>
      </c>
      <c r="J15">
        <v>117</v>
      </c>
      <c r="K15">
        <v>283</v>
      </c>
      <c r="L15">
        <v>101</v>
      </c>
      <c r="M15">
        <v>44</v>
      </c>
      <c r="N15">
        <v>10</v>
      </c>
      <c r="O15">
        <v>327</v>
      </c>
      <c r="P15">
        <v>111</v>
      </c>
    </row>
    <row r="16" spans="1:16" x14ac:dyDescent="0.25">
      <c r="A16" t="s">
        <v>118</v>
      </c>
      <c r="B16">
        <v>2</v>
      </c>
      <c r="C16">
        <v>0</v>
      </c>
      <c r="D16">
        <v>64</v>
      </c>
      <c r="E16">
        <v>64</v>
      </c>
      <c r="F16">
        <v>0</v>
      </c>
      <c r="G16">
        <v>2949</v>
      </c>
      <c r="H16">
        <v>1591</v>
      </c>
      <c r="I16">
        <v>147</v>
      </c>
      <c r="J16">
        <v>57</v>
      </c>
      <c r="K16">
        <v>148</v>
      </c>
      <c r="L16">
        <v>64</v>
      </c>
      <c r="M16">
        <v>21</v>
      </c>
      <c r="N16">
        <v>5</v>
      </c>
      <c r="O16">
        <v>169</v>
      </c>
      <c r="P16">
        <v>69</v>
      </c>
    </row>
    <row r="17" spans="1:16" x14ac:dyDescent="0.25">
      <c r="A17" t="s">
        <v>119</v>
      </c>
      <c r="B17">
        <v>39</v>
      </c>
      <c r="C17">
        <v>0</v>
      </c>
      <c r="D17">
        <v>1697</v>
      </c>
      <c r="E17">
        <v>1110</v>
      </c>
      <c r="F17">
        <v>0</v>
      </c>
      <c r="G17">
        <v>78448</v>
      </c>
      <c r="H17">
        <v>39793</v>
      </c>
      <c r="I17">
        <v>1906</v>
      </c>
      <c r="J17">
        <v>700</v>
      </c>
      <c r="K17">
        <v>4924</v>
      </c>
      <c r="L17">
        <v>2207</v>
      </c>
      <c r="M17">
        <v>436</v>
      </c>
      <c r="N17">
        <v>142</v>
      </c>
      <c r="O17">
        <v>5360</v>
      </c>
      <c r="P17">
        <v>2349</v>
      </c>
    </row>
    <row r="18" spans="1:16" x14ac:dyDescent="0.25">
      <c r="A18" t="s">
        <v>120</v>
      </c>
      <c r="B18">
        <v>9</v>
      </c>
      <c r="C18">
        <v>0</v>
      </c>
      <c r="D18">
        <v>191</v>
      </c>
      <c r="E18">
        <v>191</v>
      </c>
      <c r="F18">
        <v>0</v>
      </c>
      <c r="G18">
        <v>8157</v>
      </c>
      <c r="H18">
        <v>4201</v>
      </c>
      <c r="I18">
        <v>469</v>
      </c>
      <c r="J18">
        <v>189</v>
      </c>
      <c r="K18">
        <v>449</v>
      </c>
      <c r="L18">
        <v>144</v>
      </c>
      <c r="M18">
        <v>46</v>
      </c>
      <c r="N18">
        <v>11</v>
      </c>
      <c r="O18">
        <v>495</v>
      </c>
      <c r="P18">
        <v>155</v>
      </c>
    </row>
    <row r="19" spans="1:16" x14ac:dyDescent="0.25">
      <c r="A19" t="s">
        <v>121</v>
      </c>
      <c r="B19">
        <v>17</v>
      </c>
      <c r="C19">
        <v>0</v>
      </c>
      <c r="D19">
        <v>180</v>
      </c>
      <c r="E19">
        <v>180</v>
      </c>
      <c r="F19">
        <v>0</v>
      </c>
      <c r="G19">
        <v>7498</v>
      </c>
      <c r="H19">
        <v>4015</v>
      </c>
      <c r="I19">
        <v>39</v>
      </c>
      <c r="J19">
        <v>13</v>
      </c>
      <c r="K19">
        <v>339</v>
      </c>
      <c r="L19">
        <v>144</v>
      </c>
      <c r="M19">
        <v>42</v>
      </c>
      <c r="N19">
        <v>12</v>
      </c>
      <c r="O19">
        <v>381</v>
      </c>
      <c r="P19">
        <v>156</v>
      </c>
    </row>
    <row r="20" spans="1:16" x14ac:dyDescent="0.25">
      <c r="A20" t="s">
        <v>122</v>
      </c>
      <c r="B20">
        <v>32</v>
      </c>
      <c r="C20">
        <v>0</v>
      </c>
      <c r="D20">
        <v>981</v>
      </c>
      <c r="E20">
        <v>900</v>
      </c>
      <c r="F20">
        <v>31</v>
      </c>
      <c r="G20">
        <v>44188</v>
      </c>
      <c r="H20">
        <v>23472</v>
      </c>
      <c r="I20">
        <v>600</v>
      </c>
      <c r="J20">
        <v>198</v>
      </c>
      <c r="K20">
        <v>1662</v>
      </c>
      <c r="L20">
        <v>597</v>
      </c>
      <c r="M20">
        <v>313</v>
      </c>
      <c r="N20">
        <v>68</v>
      </c>
      <c r="O20">
        <v>1975</v>
      </c>
      <c r="P20">
        <v>665</v>
      </c>
    </row>
    <row r="21" spans="1:16" x14ac:dyDescent="0.25">
      <c r="A21" t="s">
        <v>123</v>
      </c>
      <c r="B21">
        <v>16</v>
      </c>
      <c r="C21">
        <v>0</v>
      </c>
      <c r="D21">
        <v>347</v>
      </c>
      <c r="E21">
        <v>343</v>
      </c>
      <c r="F21">
        <v>0</v>
      </c>
      <c r="G21">
        <v>15541</v>
      </c>
      <c r="H21">
        <v>8407</v>
      </c>
      <c r="I21">
        <v>195</v>
      </c>
      <c r="J21">
        <v>56</v>
      </c>
      <c r="K21">
        <v>728</v>
      </c>
      <c r="L21">
        <v>257</v>
      </c>
      <c r="M21">
        <v>127</v>
      </c>
      <c r="N21">
        <v>25</v>
      </c>
      <c r="O21">
        <v>855</v>
      </c>
      <c r="P21">
        <v>282</v>
      </c>
    </row>
    <row r="22" spans="1:16" x14ac:dyDescent="0.25">
      <c r="A22" t="s">
        <v>124</v>
      </c>
      <c r="B22">
        <v>11</v>
      </c>
      <c r="C22">
        <v>0</v>
      </c>
      <c r="D22">
        <v>164</v>
      </c>
      <c r="E22">
        <v>160</v>
      </c>
      <c r="F22">
        <v>11</v>
      </c>
      <c r="G22">
        <v>8214</v>
      </c>
      <c r="H22">
        <v>4047</v>
      </c>
      <c r="I22">
        <v>86</v>
      </c>
      <c r="J22">
        <v>31</v>
      </c>
      <c r="K22">
        <v>320</v>
      </c>
      <c r="L22">
        <v>130</v>
      </c>
      <c r="M22">
        <v>22</v>
      </c>
      <c r="N22">
        <v>8</v>
      </c>
      <c r="O22">
        <v>342</v>
      </c>
      <c r="P22">
        <v>138</v>
      </c>
    </row>
    <row r="23" spans="1:16" x14ac:dyDescent="0.25">
      <c r="A23" t="s">
        <v>125</v>
      </c>
      <c r="B23">
        <v>41</v>
      </c>
      <c r="C23">
        <v>0</v>
      </c>
      <c r="D23">
        <v>1047</v>
      </c>
      <c r="E23">
        <v>941</v>
      </c>
      <c r="F23">
        <v>0</v>
      </c>
      <c r="G23">
        <v>53546</v>
      </c>
      <c r="H23">
        <v>29903</v>
      </c>
      <c r="I23">
        <v>1508</v>
      </c>
      <c r="J23">
        <v>481</v>
      </c>
      <c r="K23">
        <v>1738</v>
      </c>
      <c r="L23">
        <v>758</v>
      </c>
      <c r="M23">
        <v>305</v>
      </c>
      <c r="N23">
        <v>119</v>
      </c>
      <c r="O23">
        <v>2043</v>
      </c>
      <c r="P23">
        <v>877</v>
      </c>
    </row>
    <row r="24" spans="1:16" x14ac:dyDescent="0.25">
      <c r="A24" t="s">
        <v>126</v>
      </c>
      <c r="B24">
        <v>8</v>
      </c>
      <c r="C24">
        <v>0</v>
      </c>
      <c r="D24">
        <v>91</v>
      </c>
      <c r="E24">
        <v>86</v>
      </c>
      <c r="F24">
        <v>6</v>
      </c>
      <c r="G24">
        <v>3988</v>
      </c>
      <c r="H24">
        <v>2071</v>
      </c>
      <c r="I24">
        <v>84</v>
      </c>
      <c r="J24">
        <v>24</v>
      </c>
      <c r="K24">
        <v>219</v>
      </c>
      <c r="L24">
        <v>86</v>
      </c>
      <c r="M24">
        <v>26</v>
      </c>
      <c r="N24">
        <v>9</v>
      </c>
      <c r="O24">
        <v>245</v>
      </c>
      <c r="P24">
        <v>95</v>
      </c>
    </row>
    <row r="25" spans="1:16" x14ac:dyDescent="0.25">
      <c r="A25" t="s">
        <v>127</v>
      </c>
      <c r="B25">
        <v>20</v>
      </c>
      <c r="C25">
        <v>0</v>
      </c>
      <c r="D25">
        <v>586</v>
      </c>
      <c r="E25">
        <v>555</v>
      </c>
      <c r="F25">
        <v>30</v>
      </c>
      <c r="G25">
        <v>25513</v>
      </c>
      <c r="H25">
        <v>13290</v>
      </c>
      <c r="I25">
        <v>553</v>
      </c>
      <c r="J25">
        <v>150</v>
      </c>
      <c r="K25">
        <v>1246</v>
      </c>
      <c r="L25">
        <v>384</v>
      </c>
      <c r="M25">
        <v>219</v>
      </c>
      <c r="N25">
        <v>69</v>
      </c>
      <c r="O25">
        <v>1465</v>
      </c>
      <c r="P25">
        <v>453</v>
      </c>
    </row>
    <row r="26" spans="1:16" x14ac:dyDescent="0.25">
      <c r="A26" t="s">
        <v>128</v>
      </c>
      <c r="B26">
        <v>52</v>
      </c>
      <c r="C26">
        <v>0</v>
      </c>
      <c r="D26">
        <v>1340</v>
      </c>
      <c r="E26">
        <v>1322</v>
      </c>
      <c r="F26">
        <v>0</v>
      </c>
      <c r="G26">
        <v>56257</v>
      </c>
      <c r="H26">
        <v>29396</v>
      </c>
      <c r="I26">
        <v>1751</v>
      </c>
      <c r="J26">
        <v>566</v>
      </c>
      <c r="K26">
        <v>2445</v>
      </c>
      <c r="L26">
        <v>736</v>
      </c>
      <c r="M26">
        <v>539</v>
      </c>
      <c r="N26">
        <v>148</v>
      </c>
      <c r="O26">
        <v>2984</v>
      </c>
      <c r="P26">
        <v>884</v>
      </c>
    </row>
    <row r="27" spans="1:16" x14ac:dyDescent="0.25">
      <c r="A27" t="s">
        <v>129</v>
      </c>
      <c r="B27">
        <v>27</v>
      </c>
      <c r="C27">
        <v>0</v>
      </c>
      <c r="D27">
        <v>648</v>
      </c>
      <c r="E27">
        <v>598</v>
      </c>
      <c r="F27">
        <v>0</v>
      </c>
      <c r="G27">
        <v>30059</v>
      </c>
      <c r="H27">
        <v>16742</v>
      </c>
      <c r="I27">
        <v>879</v>
      </c>
      <c r="J27">
        <v>307</v>
      </c>
      <c r="K27">
        <v>1005</v>
      </c>
      <c r="L27">
        <v>395</v>
      </c>
      <c r="M27">
        <v>166</v>
      </c>
      <c r="N27">
        <v>49</v>
      </c>
      <c r="O27">
        <v>1171</v>
      </c>
      <c r="P27">
        <v>444</v>
      </c>
    </row>
    <row r="28" spans="1:16" x14ac:dyDescent="0.25">
      <c r="A28" t="s">
        <v>87</v>
      </c>
      <c r="B28">
        <v>544</v>
      </c>
      <c r="C28">
        <v>1</v>
      </c>
      <c r="D28">
        <v>13647</v>
      </c>
      <c r="E28">
        <v>12286</v>
      </c>
      <c r="F28">
        <v>124</v>
      </c>
      <c r="G28">
        <v>628694</v>
      </c>
      <c r="H28">
        <v>337122</v>
      </c>
      <c r="I28">
        <v>15223</v>
      </c>
      <c r="J28">
        <v>5167</v>
      </c>
      <c r="K28">
        <v>28493</v>
      </c>
      <c r="L28">
        <v>11478</v>
      </c>
      <c r="M28">
        <v>4309</v>
      </c>
      <c r="N28">
        <v>1240</v>
      </c>
      <c r="O28">
        <v>32802</v>
      </c>
      <c r="P28">
        <v>12718</v>
      </c>
    </row>
    <row r="29" spans="1:16" x14ac:dyDescent="0.25">
      <c r="A29" t="s">
        <v>130</v>
      </c>
      <c r="B29">
        <v>108</v>
      </c>
      <c r="C29">
        <v>0</v>
      </c>
      <c r="D29">
        <v>3908</v>
      </c>
      <c r="E29">
        <v>3226</v>
      </c>
      <c r="F29">
        <v>0</v>
      </c>
      <c r="G29">
        <v>181533</v>
      </c>
      <c r="H29">
        <v>94757</v>
      </c>
      <c r="I29">
        <v>4524</v>
      </c>
      <c r="J29">
        <v>1574</v>
      </c>
      <c r="K29">
        <v>9766</v>
      </c>
      <c r="L29">
        <v>4282</v>
      </c>
      <c r="M29">
        <v>1141</v>
      </c>
      <c r="N29">
        <v>420</v>
      </c>
      <c r="O29">
        <v>10907</v>
      </c>
      <c r="P29">
        <v>4702</v>
      </c>
    </row>
    <row r="30" spans="1:16" x14ac:dyDescent="0.25">
      <c r="A30" t="s">
        <v>131</v>
      </c>
      <c r="B30">
        <v>436</v>
      </c>
      <c r="C30">
        <v>1</v>
      </c>
      <c r="D30">
        <v>9739</v>
      </c>
      <c r="E30">
        <v>9060</v>
      </c>
      <c r="F30">
        <v>124</v>
      </c>
      <c r="G30">
        <v>447161</v>
      </c>
      <c r="H30">
        <v>242365</v>
      </c>
      <c r="I30">
        <v>10699</v>
      </c>
      <c r="J30">
        <v>3593</v>
      </c>
      <c r="K30">
        <v>18727</v>
      </c>
      <c r="L30">
        <v>7196</v>
      </c>
      <c r="M30">
        <v>3168</v>
      </c>
      <c r="N30">
        <v>820</v>
      </c>
      <c r="O30">
        <v>21895</v>
      </c>
      <c r="P30">
        <v>8016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7109375" customWidth="1"/>
    <col min="5" max="5" width="10.42578125" customWidth="1"/>
    <col min="6" max="6" width="10.7109375" customWidth="1"/>
    <col min="9" max="9" width="9.85546875" customWidth="1"/>
    <col min="10" max="10" width="10" customWidth="1"/>
    <col min="12" max="12" width="9.85546875" customWidth="1"/>
    <col min="13" max="13" width="10" customWidth="1"/>
    <col min="15" max="15" width="9.85546875" customWidth="1"/>
    <col min="16" max="16" width="10" customWidth="1"/>
  </cols>
  <sheetData>
    <row r="1" spans="1:16" x14ac:dyDescent="0.25">
      <c r="A1" s="27" t="s">
        <v>104</v>
      </c>
      <c r="B1" t="s">
        <v>75</v>
      </c>
      <c r="C1" t="s">
        <v>76</v>
      </c>
      <c r="D1" t="s">
        <v>75</v>
      </c>
      <c r="E1" t="s">
        <v>75</v>
      </c>
      <c r="F1" t="s">
        <v>77</v>
      </c>
      <c r="G1" s="27" t="s">
        <v>23</v>
      </c>
      <c r="H1" s="27"/>
      <c r="I1" s="27" t="s">
        <v>78</v>
      </c>
      <c r="J1" s="27"/>
      <c r="K1" s="27" t="s">
        <v>79</v>
      </c>
      <c r="L1" s="27"/>
      <c r="M1" s="27" t="s">
        <v>80</v>
      </c>
      <c r="N1" s="27"/>
      <c r="O1" s="27" t="s">
        <v>132</v>
      </c>
      <c r="P1" s="27"/>
    </row>
    <row r="2" spans="1:16" x14ac:dyDescent="0.25">
      <c r="A2" s="27"/>
      <c r="B2" t="s">
        <v>82</v>
      </c>
      <c r="C2" t="s">
        <v>82</v>
      </c>
      <c r="D2" t="s">
        <v>77</v>
      </c>
      <c r="E2" t="s">
        <v>134</v>
      </c>
      <c r="F2" t="s">
        <v>83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86</v>
      </c>
      <c r="M2" t="s">
        <v>84</v>
      </c>
      <c r="N2" t="s">
        <v>86</v>
      </c>
      <c r="O2" t="s">
        <v>84</v>
      </c>
      <c r="P2" t="s">
        <v>86</v>
      </c>
    </row>
    <row r="3" spans="1:16" x14ac:dyDescent="0.25">
      <c r="A3" t="s">
        <v>105</v>
      </c>
      <c r="B3">
        <v>54</v>
      </c>
      <c r="C3">
        <v>0</v>
      </c>
      <c r="D3">
        <v>296</v>
      </c>
      <c r="E3">
        <v>289</v>
      </c>
      <c r="F3">
        <v>0</v>
      </c>
      <c r="G3">
        <v>13945</v>
      </c>
      <c r="H3">
        <v>7456</v>
      </c>
      <c r="I3">
        <v>238</v>
      </c>
      <c r="J3">
        <v>66</v>
      </c>
      <c r="K3">
        <v>531</v>
      </c>
      <c r="L3">
        <v>235</v>
      </c>
      <c r="M3">
        <v>127</v>
      </c>
      <c r="N3">
        <v>36</v>
      </c>
      <c r="O3">
        <v>658</v>
      </c>
      <c r="P3">
        <v>271</v>
      </c>
    </row>
    <row r="4" spans="1:16" x14ac:dyDescent="0.25">
      <c r="A4" t="s">
        <v>106</v>
      </c>
      <c r="B4">
        <v>96</v>
      </c>
      <c r="C4">
        <v>2</v>
      </c>
      <c r="D4">
        <v>623</v>
      </c>
      <c r="E4">
        <v>591</v>
      </c>
      <c r="F4">
        <v>0</v>
      </c>
      <c r="G4">
        <v>29725</v>
      </c>
      <c r="H4">
        <v>15892</v>
      </c>
      <c r="I4">
        <v>682</v>
      </c>
      <c r="J4">
        <v>204</v>
      </c>
      <c r="K4">
        <v>1263</v>
      </c>
      <c r="L4">
        <v>624</v>
      </c>
      <c r="M4">
        <v>272</v>
      </c>
      <c r="N4">
        <v>89</v>
      </c>
      <c r="O4">
        <v>1535</v>
      </c>
      <c r="P4">
        <v>713</v>
      </c>
    </row>
    <row r="5" spans="1:16" x14ac:dyDescent="0.25">
      <c r="A5" t="s">
        <v>107</v>
      </c>
      <c r="B5">
        <v>81</v>
      </c>
      <c r="C5">
        <v>0</v>
      </c>
      <c r="D5">
        <v>460</v>
      </c>
      <c r="E5">
        <v>426</v>
      </c>
      <c r="F5">
        <v>7</v>
      </c>
      <c r="G5">
        <v>20417</v>
      </c>
      <c r="H5">
        <v>11076</v>
      </c>
      <c r="I5">
        <v>457</v>
      </c>
      <c r="J5">
        <v>144</v>
      </c>
      <c r="K5">
        <v>848</v>
      </c>
      <c r="L5">
        <v>452</v>
      </c>
      <c r="M5">
        <v>232</v>
      </c>
      <c r="N5">
        <v>61</v>
      </c>
      <c r="O5">
        <v>1080</v>
      </c>
      <c r="P5">
        <v>513</v>
      </c>
    </row>
    <row r="6" spans="1:16" x14ac:dyDescent="0.25">
      <c r="A6" t="s">
        <v>108</v>
      </c>
      <c r="B6">
        <v>61</v>
      </c>
      <c r="C6">
        <v>0</v>
      </c>
      <c r="D6">
        <v>316</v>
      </c>
      <c r="E6">
        <v>300</v>
      </c>
      <c r="F6">
        <v>4</v>
      </c>
      <c r="G6">
        <v>15012</v>
      </c>
      <c r="H6">
        <v>8114</v>
      </c>
      <c r="I6">
        <v>260</v>
      </c>
      <c r="J6">
        <v>64</v>
      </c>
      <c r="K6">
        <v>566</v>
      </c>
      <c r="L6">
        <v>266</v>
      </c>
      <c r="M6">
        <v>88</v>
      </c>
      <c r="N6">
        <v>25</v>
      </c>
      <c r="O6">
        <v>654</v>
      </c>
      <c r="P6">
        <v>291</v>
      </c>
    </row>
    <row r="7" spans="1:16" x14ac:dyDescent="0.25">
      <c r="A7" t="s">
        <v>109</v>
      </c>
      <c r="B7">
        <v>72</v>
      </c>
      <c r="C7">
        <v>1</v>
      </c>
      <c r="D7">
        <v>415</v>
      </c>
      <c r="E7">
        <v>367</v>
      </c>
      <c r="F7">
        <v>4</v>
      </c>
      <c r="G7">
        <v>20458</v>
      </c>
      <c r="H7">
        <v>10726</v>
      </c>
      <c r="I7">
        <v>291</v>
      </c>
      <c r="J7">
        <v>74</v>
      </c>
      <c r="K7">
        <v>912</v>
      </c>
      <c r="L7">
        <v>332</v>
      </c>
      <c r="M7">
        <v>121</v>
      </c>
      <c r="N7">
        <v>15</v>
      </c>
      <c r="O7">
        <v>1033</v>
      </c>
      <c r="P7">
        <v>347</v>
      </c>
    </row>
    <row r="8" spans="1:16" x14ac:dyDescent="0.25">
      <c r="A8" t="s">
        <v>110</v>
      </c>
      <c r="B8">
        <v>67</v>
      </c>
      <c r="C8">
        <v>0</v>
      </c>
      <c r="D8">
        <v>377</v>
      </c>
      <c r="E8">
        <v>367</v>
      </c>
      <c r="F8">
        <v>0</v>
      </c>
      <c r="G8">
        <v>17592</v>
      </c>
      <c r="H8">
        <v>9561</v>
      </c>
      <c r="I8">
        <v>529</v>
      </c>
      <c r="J8">
        <v>178</v>
      </c>
      <c r="K8">
        <v>621</v>
      </c>
      <c r="L8">
        <v>299</v>
      </c>
      <c r="M8">
        <v>139</v>
      </c>
      <c r="N8">
        <v>28</v>
      </c>
      <c r="O8">
        <v>760</v>
      </c>
      <c r="P8">
        <v>327</v>
      </c>
    </row>
    <row r="9" spans="1:16" x14ac:dyDescent="0.25">
      <c r="A9" t="s">
        <v>111</v>
      </c>
      <c r="B9">
        <v>76</v>
      </c>
      <c r="C9">
        <v>0</v>
      </c>
      <c r="D9">
        <v>602</v>
      </c>
      <c r="E9">
        <v>392</v>
      </c>
      <c r="F9">
        <v>0</v>
      </c>
      <c r="G9">
        <v>17305</v>
      </c>
      <c r="H9">
        <v>9030</v>
      </c>
      <c r="I9">
        <v>404</v>
      </c>
      <c r="J9">
        <v>98</v>
      </c>
      <c r="K9">
        <v>980</v>
      </c>
      <c r="L9">
        <v>434</v>
      </c>
      <c r="M9">
        <v>221</v>
      </c>
      <c r="N9">
        <v>45</v>
      </c>
      <c r="O9">
        <v>1201</v>
      </c>
      <c r="P9">
        <v>479</v>
      </c>
    </row>
    <row r="10" spans="1:16" x14ac:dyDescent="0.25">
      <c r="A10" t="s">
        <v>112</v>
      </c>
      <c r="B10">
        <v>101</v>
      </c>
      <c r="C10">
        <v>0</v>
      </c>
      <c r="D10">
        <v>697</v>
      </c>
      <c r="E10">
        <v>660</v>
      </c>
      <c r="F10">
        <v>30</v>
      </c>
      <c r="G10">
        <v>28959</v>
      </c>
      <c r="H10">
        <v>15002</v>
      </c>
      <c r="I10">
        <v>625</v>
      </c>
      <c r="J10">
        <v>167</v>
      </c>
      <c r="K10">
        <v>1636</v>
      </c>
      <c r="L10">
        <v>822</v>
      </c>
      <c r="M10">
        <v>272</v>
      </c>
      <c r="N10">
        <v>67</v>
      </c>
      <c r="O10">
        <v>1908</v>
      </c>
      <c r="P10">
        <v>889</v>
      </c>
    </row>
    <row r="11" spans="1:16" x14ac:dyDescent="0.25">
      <c r="A11" t="s">
        <v>113</v>
      </c>
      <c r="B11">
        <v>4</v>
      </c>
      <c r="C11">
        <v>0</v>
      </c>
      <c r="D11">
        <v>28</v>
      </c>
      <c r="E11">
        <v>28</v>
      </c>
      <c r="F11">
        <v>0</v>
      </c>
      <c r="G11">
        <v>776</v>
      </c>
      <c r="H11">
        <v>396</v>
      </c>
      <c r="I11">
        <v>9</v>
      </c>
      <c r="J11">
        <v>4</v>
      </c>
      <c r="K11">
        <v>95</v>
      </c>
      <c r="L11">
        <v>40</v>
      </c>
      <c r="M11">
        <v>20</v>
      </c>
      <c r="N11">
        <v>3</v>
      </c>
      <c r="O11">
        <v>115</v>
      </c>
      <c r="P11">
        <v>43</v>
      </c>
    </row>
    <row r="12" spans="1:16" x14ac:dyDescent="0.25">
      <c r="A12" t="s">
        <v>114</v>
      </c>
      <c r="B12">
        <v>19</v>
      </c>
      <c r="C12">
        <v>0</v>
      </c>
      <c r="D12">
        <v>64</v>
      </c>
      <c r="E12">
        <v>60</v>
      </c>
      <c r="F12">
        <v>0</v>
      </c>
      <c r="G12">
        <v>2075</v>
      </c>
      <c r="H12">
        <v>1076</v>
      </c>
      <c r="I12">
        <v>9</v>
      </c>
      <c r="J12">
        <v>0</v>
      </c>
      <c r="K12">
        <v>134</v>
      </c>
      <c r="L12">
        <v>39</v>
      </c>
      <c r="M12">
        <v>20</v>
      </c>
      <c r="N12">
        <v>5</v>
      </c>
      <c r="O12">
        <v>154</v>
      </c>
      <c r="P12">
        <v>44</v>
      </c>
    </row>
    <row r="13" spans="1:16" x14ac:dyDescent="0.25">
      <c r="A13" t="s">
        <v>115</v>
      </c>
      <c r="B13">
        <v>43</v>
      </c>
      <c r="C13">
        <v>0</v>
      </c>
      <c r="D13">
        <v>210</v>
      </c>
      <c r="E13">
        <v>205</v>
      </c>
      <c r="F13">
        <v>0</v>
      </c>
      <c r="G13">
        <v>9368</v>
      </c>
      <c r="H13">
        <v>5031</v>
      </c>
      <c r="I13">
        <v>129</v>
      </c>
      <c r="J13">
        <v>37</v>
      </c>
      <c r="K13">
        <v>478</v>
      </c>
      <c r="L13">
        <v>258</v>
      </c>
      <c r="M13">
        <v>67</v>
      </c>
      <c r="N13">
        <v>18</v>
      </c>
      <c r="O13">
        <v>545</v>
      </c>
      <c r="P13">
        <v>276</v>
      </c>
    </row>
    <row r="14" spans="1:16" x14ac:dyDescent="0.25">
      <c r="A14" t="s">
        <v>116</v>
      </c>
      <c r="B14">
        <v>9</v>
      </c>
      <c r="C14">
        <v>0</v>
      </c>
      <c r="D14">
        <v>35</v>
      </c>
      <c r="E14">
        <v>35</v>
      </c>
      <c r="F14">
        <v>0</v>
      </c>
      <c r="G14">
        <v>1409</v>
      </c>
      <c r="H14">
        <v>742</v>
      </c>
      <c r="I14">
        <v>53</v>
      </c>
      <c r="J14">
        <v>8</v>
      </c>
      <c r="K14">
        <v>72</v>
      </c>
      <c r="L14">
        <v>29</v>
      </c>
      <c r="M14">
        <v>1</v>
      </c>
      <c r="N14">
        <v>0</v>
      </c>
      <c r="O14">
        <v>73</v>
      </c>
      <c r="P14">
        <v>29</v>
      </c>
    </row>
    <row r="15" spans="1:16" x14ac:dyDescent="0.25">
      <c r="A15" t="s">
        <v>117</v>
      </c>
      <c r="B15">
        <v>29</v>
      </c>
      <c r="C15">
        <v>1</v>
      </c>
      <c r="D15">
        <v>129</v>
      </c>
      <c r="E15">
        <v>129</v>
      </c>
      <c r="F15">
        <v>0</v>
      </c>
      <c r="G15">
        <v>5870</v>
      </c>
      <c r="H15">
        <v>3008</v>
      </c>
      <c r="I15">
        <v>171</v>
      </c>
      <c r="J15">
        <v>45</v>
      </c>
      <c r="K15">
        <v>217</v>
      </c>
      <c r="L15">
        <v>77</v>
      </c>
      <c r="M15">
        <v>17</v>
      </c>
      <c r="N15">
        <v>0</v>
      </c>
      <c r="O15">
        <v>234</v>
      </c>
      <c r="P15">
        <v>77</v>
      </c>
    </row>
    <row r="16" spans="1:16" x14ac:dyDescent="0.25">
      <c r="A16" t="s">
        <v>118</v>
      </c>
      <c r="B16">
        <v>7</v>
      </c>
      <c r="C16">
        <v>0</v>
      </c>
      <c r="D16">
        <v>50</v>
      </c>
      <c r="E16">
        <v>50</v>
      </c>
      <c r="F16">
        <v>0</v>
      </c>
      <c r="G16">
        <v>1987</v>
      </c>
      <c r="H16">
        <v>1041</v>
      </c>
      <c r="I16">
        <v>29</v>
      </c>
      <c r="J16">
        <v>6</v>
      </c>
      <c r="K16">
        <v>161</v>
      </c>
      <c r="L16">
        <v>71</v>
      </c>
      <c r="M16">
        <v>20</v>
      </c>
      <c r="N16">
        <v>3</v>
      </c>
      <c r="O16">
        <v>181</v>
      </c>
      <c r="P16">
        <v>74</v>
      </c>
    </row>
    <row r="17" spans="1:16" x14ac:dyDescent="0.25">
      <c r="A17" t="s">
        <v>119</v>
      </c>
      <c r="B17">
        <v>27</v>
      </c>
      <c r="C17">
        <v>0</v>
      </c>
      <c r="D17">
        <v>270</v>
      </c>
      <c r="E17">
        <v>212</v>
      </c>
      <c r="F17">
        <v>0</v>
      </c>
      <c r="G17">
        <v>12209</v>
      </c>
      <c r="H17">
        <v>6090</v>
      </c>
      <c r="I17">
        <v>395</v>
      </c>
      <c r="J17">
        <v>122</v>
      </c>
      <c r="K17">
        <v>855</v>
      </c>
      <c r="L17">
        <v>440</v>
      </c>
      <c r="M17">
        <v>116</v>
      </c>
      <c r="N17">
        <v>31</v>
      </c>
      <c r="O17">
        <v>971</v>
      </c>
      <c r="P17">
        <v>471</v>
      </c>
    </row>
    <row r="18" spans="1:16" x14ac:dyDescent="0.25">
      <c r="A18" t="s">
        <v>120</v>
      </c>
      <c r="B18">
        <v>18</v>
      </c>
      <c r="C18">
        <v>0</v>
      </c>
      <c r="D18">
        <v>109</v>
      </c>
      <c r="E18">
        <v>109</v>
      </c>
      <c r="F18">
        <v>0</v>
      </c>
      <c r="G18">
        <v>4174</v>
      </c>
      <c r="H18">
        <v>2133</v>
      </c>
      <c r="I18">
        <v>143</v>
      </c>
      <c r="J18">
        <v>32</v>
      </c>
      <c r="K18">
        <v>240</v>
      </c>
      <c r="L18">
        <v>102</v>
      </c>
      <c r="M18">
        <v>41</v>
      </c>
      <c r="N18">
        <v>12</v>
      </c>
      <c r="O18">
        <v>281</v>
      </c>
      <c r="P18">
        <v>114</v>
      </c>
    </row>
    <row r="19" spans="1:16" x14ac:dyDescent="0.25">
      <c r="A19" t="s">
        <v>121</v>
      </c>
      <c r="B19">
        <v>47</v>
      </c>
      <c r="C19">
        <v>0</v>
      </c>
      <c r="D19">
        <v>198</v>
      </c>
      <c r="E19">
        <v>198</v>
      </c>
      <c r="F19">
        <v>0</v>
      </c>
      <c r="G19">
        <v>7827</v>
      </c>
      <c r="H19">
        <v>4371</v>
      </c>
      <c r="I19">
        <v>110</v>
      </c>
      <c r="J19">
        <v>46</v>
      </c>
      <c r="K19">
        <v>408</v>
      </c>
      <c r="L19">
        <v>161</v>
      </c>
      <c r="M19">
        <v>39</v>
      </c>
      <c r="N19">
        <v>14</v>
      </c>
      <c r="O19">
        <v>447</v>
      </c>
      <c r="P19">
        <v>175</v>
      </c>
    </row>
    <row r="20" spans="1:16" x14ac:dyDescent="0.25">
      <c r="A20" t="s">
        <v>122</v>
      </c>
      <c r="B20">
        <v>92</v>
      </c>
      <c r="C20">
        <v>0</v>
      </c>
      <c r="D20">
        <v>576</v>
      </c>
      <c r="E20">
        <v>548</v>
      </c>
      <c r="F20">
        <v>7</v>
      </c>
      <c r="G20">
        <v>27093</v>
      </c>
      <c r="H20">
        <v>14305</v>
      </c>
      <c r="I20">
        <v>146</v>
      </c>
      <c r="J20">
        <v>41</v>
      </c>
      <c r="K20">
        <v>842</v>
      </c>
      <c r="L20">
        <v>342</v>
      </c>
      <c r="M20">
        <v>277</v>
      </c>
      <c r="N20">
        <v>44</v>
      </c>
      <c r="O20">
        <v>1119</v>
      </c>
      <c r="P20">
        <v>386</v>
      </c>
    </row>
    <row r="21" spans="1:16" x14ac:dyDescent="0.25">
      <c r="A21" t="s">
        <v>123</v>
      </c>
      <c r="B21">
        <v>44</v>
      </c>
      <c r="C21">
        <v>0</v>
      </c>
      <c r="D21">
        <v>306</v>
      </c>
      <c r="E21">
        <v>291</v>
      </c>
      <c r="F21">
        <v>0</v>
      </c>
      <c r="G21">
        <v>13317</v>
      </c>
      <c r="H21">
        <v>7018</v>
      </c>
      <c r="I21">
        <v>156</v>
      </c>
      <c r="J21">
        <v>49</v>
      </c>
      <c r="K21">
        <v>694</v>
      </c>
      <c r="L21">
        <v>281</v>
      </c>
      <c r="M21">
        <v>100</v>
      </c>
      <c r="N21">
        <v>21</v>
      </c>
      <c r="O21">
        <v>794</v>
      </c>
      <c r="P21">
        <v>302</v>
      </c>
    </row>
    <row r="22" spans="1:16" x14ac:dyDescent="0.25">
      <c r="A22" t="s">
        <v>124</v>
      </c>
      <c r="B22">
        <v>16</v>
      </c>
      <c r="C22">
        <v>0</v>
      </c>
      <c r="D22">
        <v>78</v>
      </c>
      <c r="E22">
        <v>67</v>
      </c>
      <c r="F22">
        <v>0</v>
      </c>
      <c r="G22">
        <v>3896</v>
      </c>
      <c r="H22">
        <v>1958</v>
      </c>
      <c r="I22">
        <v>39</v>
      </c>
      <c r="J22">
        <v>7</v>
      </c>
      <c r="K22">
        <v>141</v>
      </c>
      <c r="L22">
        <v>64</v>
      </c>
      <c r="M22">
        <v>14</v>
      </c>
      <c r="N22">
        <v>4</v>
      </c>
      <c r="O22">
        <v>155</v>
      </c>
      <c r="P22">
        <v>68</v>
      </c>
    </row>
    <row r="23" spans="1:16" x14ac:dyDescent="0.25">
      <c r="A23" t="s">
        <v>125</v>
      </c>
      <c r="B23">
        <v>82</v>
      </c>
      <c r="C23">
        <v>0</v>
      </c>
      <c r="D23">
        <v>515</v>
      </c>
      <c r="E23">
        <v>457</v>
      </c>
      <c r="F23">
        <v>22</v>
      </c>
      <c r="G23">
        <v>24720</v>
      </c>
      <c r="H23">
        <v>13384</v>
      </c>
      <c r="I23">
        <v>878</v>
      </c>
      <c r="J23">
        <v>251</v>
      </c>
      <c r="K23">
        <v>722</v>
      </c>
      <c r="L23">
        <v>406</v>
      </c>
      <c r="M23">
        <v>173</v>
      </c>
      <c r="N23">
        <v>62</v>
      </c>
      <c r="O23">
        <v>895</v>
      </c>
      <c r="P23">
        <v>468</v>
      </c>
    </row>
    <row r="24" spans="1:16" x14ac:dyDescent="0.25">
      <c r="A24" t="s">
        <v>126</v>
      </c>
      <c r="B24">
        <v>29</v>
      </c>
      <c r="C24">
        <v>0</v>
      </c>
      <c r="D24">
        <v>100</v>
      </c>
      <c r="E24">
        <v>100</v>
      </c>
      <c r="F24">
        <v>0</v>
      </c>
      <c r="G24">
        <v>3555</v>
      </c>
      <c r="H24">
        <v>1891</v>
      </c>
      <c r="I24">
        <v>95</v>
      </c>
      <c r="J24">
        <v>40</v>
      </c>
      <c r="K24">
        <v>239</v>
      </c>
      <c r="L24">
        <v>106</v>
      </c>
      <c r="M24">
        <v>26</v>
      </c>
      <c r="N24">
        <v>5</v>
      </c>
      <c r="O24">
        <v>265</v>
      </c>
      <c r="P24">
        <v>111</v>
      </c>
    </row>
    <row r="25" spans="1:16" x14ac:dyDescent="0.25">
      <c r="A25" t="s">
        <v>127</v>
      </c>
      <c r="B25">
        <v>54</v>
      </c>
      <c r="C25">
        <v>0</v>
      </c>
      <c r="D25">
        <v>288</v>
      </c>
      <c r="E25">
        <v>271</v>
      </c>
      <c r="F25">
        <v>4</v>
      </c>
      <c r="G25">
        <v>12685</v>
      </c>
      <c r="H25">
        <v>6520</v>
      </c>
      <c r="I25">
        <v>140</v>
      </c>
      <c r="J25">
        <v>28</v>
      </c>
      <c r="K25">
        <v>587</v>
      </c>
      <c r="L25">
        <v>156</v>
      </c>
      <c r="M25">
        <v>152</v>
      </c>
      <c r="N25">
        <v>16</v>
      </c>
      <c r="O25">
        <v>739</v>
      </c>
      <c r="P25">
        <v>172</v>
      </c>
    </row>
    <row r="26" spans="1:16" x14ac:dyDescent="0.25">
      <c r="A26" t="s">
        <v>128</v>
      </c>
      <c r="B26">
        <v>67</v>
      </c>
      <c r="C26">
        <v>1</v>
      </c>
      <c r="D26">
        <v>423</v>
      </c>
      <c r="E26">
        <v>408</v>
      </c>
      <c r="F26">
        <v>11</v>
      </c>
      <c r="G26">
        <v>17056</v>
      </c>
      <c r="H26">
        <v>8667</v>
      </c>
      <c r="I26">
        <v>454</v>
      </c>
      <c r="J26">
        <v>109</v>
      </c>
      <c r="K26">
        <v>749</v>
      </c>
      <c r="L26">
        <v>263</v>
      </c>
      <c r="M26">
        <v>221</v>
      </c>
      <c r="N26">
        <v>38</v>
      </c>
      <c r="O26">
        <v>970</v>
      </c>
      <c r="P26">
        <v>301</v>
      </c>
    </row>
    <row r="27" spans="1:16" x14ac:dyDescent="0.25">
      <c r="A27" t="s">
        <v>129</v>
      </c>
      <c r="B27">
        <v>52</v>
      </c>
      <c r="C27">
        <v>0</v>
      </c>
      <c r="D27">
        <v>284</v>
      </c>
      <c r="E27">
        <v>278</v>
      </c>
      <c r="F27">
        <v>0</v>
      </c>
      <c r="G27">
        <v>13556</v>
      </c>
      <c r="H27">
        <v>7288</v>
      </c>
      <c r="I27">
        <v>329</v>
      </c>
      <c r="J27">
        <v>93</v>
      </c>
      <c r="K27">
        <v>413</v>
      </c>
      <c r="L27">
        <v>198</v>
      </c>
      <c r="M27">
        <v>80</v>
      </c>
      <c r="N27">
        <v>14</v>
      </c>
      <c r="O27">
        <v>493</v>
      </c>
      <c r="P27">
        <v>212</v>
      </c>
    </row>
    <row r="28" spans="1:16" x14ac:dyDescent="0.25">
      <c r="A28" t="s">
        <v>87</v>
      </c>
      <c r="B28">
        <v>1247</v>
      </c>
      <c r="C28">
        <v>5</v>
      </c>
      <c r="D28">
        <v>7449</v>
      </c>
      <c r="E28">
        <v>6838</v>
      </c>
      <c r="F28">
        <v>89</v>
      </c>
      <c r="G28">
        <v>324986</v>
      </c>
      <c r="H28">
        <v>171776</v>
      </c>
      <c r="I28">
        <v>6771</v>
      </c>
      <c r="J28">
        <v>1913</v>
      </c>
      <c r="K28">
        <v>14404</v>
      </c>
      <c r="L28">
        <v>6497</v>
      </c>
      <c r="M28">
        <v>2856</v>
      </c>
      <c r="N28">
        <v>656</v>
      </c>
      <c r="O28">
        <v>17260</v>
      </c>
      <c r="P28">
        <v>7153</v>
      </c>
    </row>
    <row r="29" spans="1:16" x14ac:dyDescent="0.25">
      <c r="A29" t="s">
        <v>130</v>
      </c>
      <c r="B29">
        <v>120</v>
      </c>
      <c r="C29">
        <v>1</v>
      </c>
      <c r="D29">
        <v>958</v>
      </c>
      <c r="E29">
        <v>867</v>
      </c>
      <c r="F29">
        <v>30</v>
      </c>
      <c r="G29">
        <v>39703</v>
      </c>
      <c r="H29">
        <v>20299</v>
      </c>
      <c r="I29">
        <v>1151</v>
      </c>
      <c r="J29">
        <v>359</v>
      </c>
      <c r="K29">
        <v>2610</v>
      </c>
      <c r="L29">
        <v>1369</v>
      </c>
      <c r="M29">
        <v>435</v>
      </c>
      <c r="N29">
        <v>146</v>
      </c>
      <c r="O29">
        <v>3045</v>
      </c>
      <c r="P29">
        <v>1515</v>
      </c>
    </row>
    <row r="30" spans="1:16" x14ac:dyDescent="0.25">
      <c r="A30" t="s">
        <v>131</v>
      </c>
      <c r="B30">
        <v>1127</v>
      </c>
      <c r="C30">
        <v>4</v>
      </c>
      <c r="D30">
        <v>6491</v>
      </c>
      <c r="E30">
        <v>5971</v>
      </c>
      <c r="F30">
        <v>59</v>
      </c>
      <c r="G30">
        <v>285283</v>
      </c>
      <c r="H30">
        <v>151477</v>
      </c>
      <c r="I30">
        <v>5620</v>
      </c>
      <c r="J30">
        <v>1554</v>
      </c>
      <c r="K30">
        <v>11794</v>
      </c>
      <c r="L30">
        <v>5128</v>
      </c>
      <c r="M30">
        <v>2421</v>
      </c>
      <c r="N30">
        <v>510</v>
      </c>
      <c r="O30">
        <v>14215</v>
      </c>
      <c r="P30">
        <v>5638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P18"/>
  <sheetViews>
    <sheetView workbookViewId="0"/>
  </sheetViews>
  <sheetFormatPr defaultRowHeight="15" x14ac:dyDescent="0.25"/>
  <cols>
    <col min="1" max="1" width="25.28515625" customWidth="1"/>
    <col min="2" max="2" width="12.7109375" customWidth="1"/>
    <col min="3" max="3" width="11.28515625" customWidth="1"/>
    <col min="7" max="7" width="11.42578125" customWidth="1"/>
    <col min="9" max="9" width="9.42578125" customWidth="1"/>
    <col min="10" max="10" width="9.28515625" customWidth="1"/>
    <col min="11" max="11" width="9.42578125" customWidth="1"/>
    <col min="12" max="12" width="9.28515625" customWidth="1"/>
    <col min="13" max="13" width="9.42578125" customWidth="1"/>
    <col min="14" max="14" width="9.28515625" customWidth="1"/>
    <col min="15" max="15" width="9.42578125" customWidth="1"/>
    <col min="16" max="16" width="9.28515625" customWidth="1"/>
  </cols>
  <sheetData>
    <row r="1" spans="1:16" x14ac:dyDescent="0.25">
      <c r="A1" s="27" t="s">
        <v>104</v>
      </c>
      <c r="B1" t="s">
        <v>135</v>
      </c>
      <c r="C1" t="s">
        <v>76</v>
      </c>
      <c r="D1" t="s">
        <v>75</v>
      </c>
      <c r="E1" t="s">
        <v>75</v>
      </c>
      <c r="F1" t="s">
        <v>77</v>
      </c>
      <c r="G1" s="27" t="s">
        <v>23</v>
      </c>
      <c r="H1" s="27"/>
      <c r="I1" s="27" t="s">
        <v>78</v>
      </c>
      <c r="J1" s="27"/>
      <c r="K1" s="27" t="s">
        <v>79</v>
      </c>
      <c r="L1" s="27"/>
      <c r="M1" s="27" t="s">
        <v>80</v>
      </c>
      <c r="N1" s="27"/>
      <c r="O1" s="27" t="s">
        <v>132</v>
      </c>
      <c r="P1" s="27"/>
    </row>
    <row r="2" spans="1:16" x14ac:dyDescent="0.25">
      <c r="A2" s="27"/>
      <c r="B2" t="s">
        <v>136</v>
      </c>
      <c r="C2" t="s">
        <v>82</v>
      </c>
      <c r="D2" t="s">
        <v>77</v>
      </c>
      <c r="E2" t="s">
        <v>134</v>
      </c>
      <c r="F2" t="s">
        <v>83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86</v>
      </c>
      <c r="M2" t="s">
        <v>84</v>
      </c>
      <c r="N2" t="s">
        <v>86</v>
      </c>
      <c r="O2" t="s">
        <v>84</v>
      </c>
      <c r="P2" t="s">
        <v>86</v>
      </c>
    </row>
    <row r="3" spans="1:16" x14ac:dyDescent="0.25">
      <c r="A3" t="s">
        <v>106</v>
      </c>
      <c r="B3">
        <v>2</v>
      </c>
      <c r="C3">
        <v>0</v>
      </c>
      <c r="D3">
        <v>49</v>
      </c>
      <c r="E3">
        <v>49</v>
      </c>
      <c r="F3">
        <v>0</v>
      </c>
      <c r="G3">
        <v>2843</v>
      </c>
      <c r="H3">
        <v>1543</v>
      </c>
      <c r="I3">
        <v>43</v>
      </c>
      <c r="J3">
        <v>24</v>
      </c>
      <c r="K3">
        <v>80</v>
      </c>
      <c r="L3">
        <v>28</v>
      </c>
      <c r="M3">
        <v>14</v>
      </c>
      <c r="N3">
        <v>4</v>
      </c>
      <c r="O3">
        <v>94</v>
      </c>
      <c r="P3">
        <v>32</v>
      </c>
    </row>
    <row r="4" spans="1:16" x14ac:dyDescent="0.25">
      <c r="A4" t="s">
        <v>109</v>
      </c>
      <c r="B4">
        <v>2</v>
      </c>
      <c r="C4">
        <v>0</v>
      </c>
      <c r="D4">
        <v>48</v>
      </c>
      <c r="E4">
        <v>39</v>
      </c>
      <c r="F4">
        <v>0</v>
      </c>
      <c r="G4">
        <v>2842</v>
      </c>
      <c r="H4">
        <v>1477</v>
      </c>
      <c r="I4">
        <v>7</v>
      </c>
      <c r="J4">
        <v>5</v>
      </c>
      <c r="K4">
        <v>102</v>
      </c>
      <c r="L4">
        <v>34</v>
      </c>
      <c r="M4">
        <v>14</v>
      </c>
      <c r="N4">
        <v>3</v>
      </c>
      <c r="O4">
        <v>116</v>
      </c>
      <c r="P4">
        <v>37</v>
      </c>
    </row>
    <row r="5" spans="1:16" x14ac:dyDescent="0.25">
      <c r="A5" t="s">
        <v>110</v>
      </c>
      <c r="B5">
        <v>1</v>
      </c>
      <c r="C5">
        <v>0</v>
      </c>
      <c r="D5">
        <v>10</v>
      </c>
      <c r="E5">
        <v>10</v>
      </c>
      <c r="F5">
        <v>0</v>
      </c>
      <c r="G5">
        <v>420</v>
      </c>
      <c r="H5">
        <v>272</v>
      </c>
      <c r="I5">
        <v>1</v>
      </c>
      <c r="J5">
        <v>0</v>
      </c>
      <c r="K5">
        <v>28</v>
      </c>
      <c r="L5">
        <v>8</v>
      </c>
      <c r="M5">
        <v>6</v>
      </c>
      <c r="N5">
        <v>1</v>
      </c>
      <c r="O5">
        <v>34</v>
      </c>
      <c r="P5">
        <v>9</v>
      </c>
    </row>
    <row r="6" spans="1:16" x14ac:dyDescent="0.25">
      <c r="A6" t="s">
        <v>111</v>
      </c>
      <c r="B6">
        <v>2</v>
      </c>
      <c r="C6">
        <v>0</v>
      </c>
      <c r="D6">
        <v>21</v>
      </c>
      <c r="E6">
        <v>21</v>
      </c>
      <c r="F6">
        <v>0</v>
      </c>
      <c r="G6">
        <v>913</v>
      </c>
      <c r="H6">
        <v>470</v>
      </c>
      <c r="I6">
        <v>12</v>
      </c>
      <c r="J6">
        <v>5</v>
      </c>
      <c r="K6">
        <v>56</v>
      </c>
      <c r="L6">
        <v>17</v>
      </c>
      <c r="M6">
        <v>6</v>
      </c>
      <c r="N6">
        <v>1</v>
      </c>
      <c r="O6">
        <v>62</v>
      </c>
      <c r="P6">
        <v>18</v>
      </c>
    </row>
    <row r="7" spans="1:16" x14ac:dyDescent="0.25">
      <c r="A7" t="s">
        <v>112</v>
      </c>
      <c r="B7">
        <v>2</v>
      </c>
      <c r="C7">
        <v>0</v>
      </c>
      <c r="D7">
        <v>67</v>
      </c>
      <c r="E7">
        <v>67</v>
      </c>
      <c r="F7">
        <v>0</v>
      </c>
      <c r="G7">
        <v>2926</v>
      </c>
      <c r="H7">
        <v>1622</v>
      </c>
      <c r="I7">
        <v>13</v>
      </c>
      <c r="J7">
        <v>4</v>
      </c>
      <c r="K7">
        <v>169</v>
      </c>
      <c r="L7">
        <v>49</v>
      </c>
      <c r="M7">
        <v>14</v>
      </c>
      <c r="N7">
        <v>1</v>
      </c>
      <c r="O7">
        <v>183</v>
      </c>
      <c r="P7">
        <v>50</v>
      </c>
    </row>
    <row r="8" spans="1:16" x14ac:dyDescent="0.25">
      <c r="A8" t="s">
        <v>115</v>
      </c>
      <c r="B8">
        <v>2</v>
      </c>
      <c r="C8">
        <v>0</v>
      </c>
      <c r="D8">
        <v>20</v>
      </c>
      <c r="E8">
        <v>20</v>
      </c>
      <c r="F8">
        <v>0</v>
      </c>
      <c r="G8">
        <v>869</v>
      </c>
      <c r="H8">
        <v>468</v>
      </c>
      <c r="I8">
        <v>13</v>
      </c>
      <c r="J8">
        <v>2</v>
      </c>
      <c r="K8">
        <v>48</v>
      </c>
      <c r="L8">
        <v>20</v>
      </c>
      <c r="M8">
        <v>3</v>
      </c>
      <c r="N8">
        <v>1</v>
      </c>
      <c r="O8">
        <v>51</v>
      </c>
      <c r="P8">
        <v>21</v>
      </c>
    </row>
    <row r="9" spans="1:16" x14ac:dyDescent="0.25">
      <c r="A9" t="s">
        <v>117</v>
      </c>
      <c r="B9">
        <v>2</v>
      </c>
      <c r="C9">
        <v>0</v>
      </c>
      <c r="D9">
        <v>44</v>
      </c>
      <c r="E9">
        <v>44</v>
      </c>
      <c r="F9">
        <v>0</v>
      </c>
      <c r="G9">
        <v>1937</v>
      </c>
      <c r="H9">
        <v>1068</v>
      </c>
      <c r="I9">
        <v>18</v>
      </c>
      <c r="J9">
        <v>7</v>
      </c>
      <c r="K9">
        <v>54</v>
      </c>
      <c r="L9">
        <v>18</v>
      </c>
      <c r="M9">
        <v>12</v>
      </c>
      <c r="N9">
        <v>3</v>
      </c>
      <c r="O9">
        <v>66</v>
      </c>
      <c r="P9">
        <v>21</v>
      </c>
    </row>
    <row r="10" spans="1:16" x14ac:dyDescent="0.25">
      <c r="A10" t="s">
        <v>120</v>
      </c>
      <c r="B10">
        <v>1</v>
      </c>
      <c r="C10">
        <v>0</v>
      </c>
      <c r="D10">
        <v>27</v>
      </c>
      <c r="E10">
        <v>27</v>
      </c>
      <c r="F10">
        <v>0</v>
      </c>
      <c r="G10">
        <v>926</v>
      </c>
      <c r="H10">
        <v>458</v>
      </c>
      <c r="I10">
        <v>0</v>
      </c>
      <c r="J10">
        <v>0</v>
      </c>
      <c r="K10">
        <v>77</v>
      </c>
      <c r="L10">
        <v>18</v>
      </c>
      <c r="M10">
        <v>11</v>
      </c>
      <c r="N10">
        <v>6</v>
      </c>
      <c r="O10">
        <v>88</v>
      </c>
      <c r="P10">
        <v>24</v>
      </c>
    </row>
    <row r="11" spans="1:16" x14ac:dyDescent="0.25">
      <c r="A11" t="s">
        <v>121</v>
      </c>
      <c r="B11">
        <v>8</v>
      </c>
      <c r="C11">
        <v>0</v>
      </c>
      <c r="D11">
        <v>51</v>
      </c>
      <c r="E11">
        <v>51</v>
      </c>
      <c r="F11">
        <v>0</v>
      </c>
      <c r="G11">
        <v>1947</v>
      </c>
      <c r="H11">
        <v>1056</v>
      </c>
      <c r="I11">
        <v>5</v>
      </c>
      <c r="J11">
        <v>0</v>
      </c>
      <c r="K11">
        <v>89</v>
      </c>
      <c r="L11">
        <v>30</v>
      </c>
      <c r="M11">
        <v>10</v>
      </c>
      <c r="N11">
        <v>1</v>
      </c>
      <c r="O11">
        <v>99</v>
      </c>
      <c r="P11">
        <v>31</v>
      </c>
    </row>
    <row r="12" spans="1:16" x14ac:dyDescent="0.25">
      <c r="A12" t="s">
        <v>123</v>
      </c>
      <c r="B12">
        <v>4</v>
      </c>
      <c r="C12">
        <v>0</v>
      </c>
      <c r="D12">
        <v>91</v>
      </c>
      <c r="E12">
        <v>91</v>
      </c>
      <c r="F12">
        <v>0</v>
      </c>
      <c r="G12">
        <v>4244</v>
      </c>
      <c r="H12">
        <v>2276</v>
      </c>
      <c r="I12">
        <v>69</v>
      </c>
      <c r="J12">
        <v>26</v>
      </c>
      <c r="K12">
        <v>203</v>
      </c>
      <c r="L12">
        <v>70</v>
      </c>
      <c r="M12">
        <v>31</v>
      </c>
      <c r="N12">
        <v>5</v>
      </c>
      <c r="O12">
        <v>234</v>
      </c>
      <c r="P12">
        <v>75</v>
      </c>
    </row>
    <row r="13" spans="1:16" x14ac:dyDescent="0.25">
      <c r="A13" t="s">
        <v>124</v>
      </c>
      <c r="B13">
        <v>2</v>
      </c>
      <c r="C13">
        <v>0</v>
      </c>
      <c r="D13">
        <v>14</v>
      </c>
      <c r="E13">
        <v>14</v>
      </c>
      <c r="F13">
        <v>0</v>
      </c>
      <c r="G13">
        <v>611</v>
      </c>
      <c r="H13">
        <v>296</v>
      </c>
      <c r="I13">
        <v>5</v>
      </c>
      <c r="J13">
        <v>1</v>
      </c>
      <c r="K13">
        <v>24</v>
      </c>
      <c r="L13">
        <v>5</v>
      </c>
      <c r="M13">
        <v>0</v>
      </c>
      <c r="N13">
        <v>0</v>
      </c>
      <c r="O13">
        <v>24</v>
      </c>
      <c r="P13">
        <v>5</v>
      </c>
    </row>
    <row r="14" spans="1:16" x14ac:dyDescent="0.25">
      <c r="A14" t="s">
        <v>125</v>
      </c>
      <c r="B14">
        <v>2</v>
      </c>
      <c r="C14">
        <v>0</v>
      </c>
      <c r="D14">
        <v>10</v>
      </c>
      <c r="E14">
        <v>10</v>
      </c>
      <c r="F14">
        <v>0</v>
      </c>
      <c r="G14">
        <v>388</v>
      </c>
      <c r="H14">
        <v>237</v>
      </c>
      <c r="I14">
        <v>21</v>
      </c>
      <c r="J14">
        <v>6</v>
      </c>
      <c r="K14">
        <v>20</v>
      </c>
      <c r="L14">
        <v>9</v>
      </c>
      <c r="M14">
        <v>4</v>
      </c>
      <c r="N14">
        <v>2</v>
      </c>
      <c r="O14">
        <v>24</v>
      </c>
      <c r="P14">
        <v>11</v>
      </c>
    </row>
    <row r="15" spans="1:16" x14ac:dyDescent="0.25">
      <c r="A15" t="s">
        <v>126</v>
      </c>
      <c r="B15">
        <v>4</v>
      </c>
      <c r="C15">
        <v>0</v>
      </c>
      <c r="D15">
        <v>21</v>
      </c>
      <c r="E15">
        <v>18</v>
      </c>
      <c r="F15">
        <v>6</v>
      </c>
      <c r="G15">
        <v>772</v>
      </c>
      <c r="H15">
        <v>394</v>
      </c>
      <c r="I15">
        <v>26</v>
      </c>
      <c r="J15">
        <v>2</v>
      </c>
      <c r="K15">
        <v>36</v>
      </c>
      <c r="L15">
        <v>10</v>
      </c>
      <c r="M15">
        <v>4</v>
      </c>
      <c r="N15">
        <v>0</v>
      </c>
      <c r="O15">
        <v>40</v>
      </c>
      <c r="P15">
        <v>10</v>
      </c>
    </row>
    <row r="16" spans="1:16" x14ac:dyDescent="0.25">
      <c r="A16" t="s">
        <v>137</v>
      </c>
      <c r="B16">
        <v>34</v>
      </c>
      <c r="C16">
        <v>0</v>
      </c>
      <c r="D16">
        <v>473</v>
      </c>
      <c r="E16">
        <v>461</v>
      </c>
      <c r="F16">
        <v>6</v>
      </c>
      <c r="G16">
        <v>21638</v>
      </c>
      <c r="H16">
        <v>11637</v>
      </c>
      <c r="I16">
        <v>233</v>
      </c>
      <c r="J16">
        <v>82</v>
      </c>
      <c r="K16">
        <v>986</v>
      </c>
      <c r="L16">
        <v>316</v>
      </c>
      <c r="M16">
        <v>129</v>
      </c>
      <c r="N16">
        <v>28</v>
      </c>
      <c r="O16">
        <v>1115</v>
      </c>
      <c r="P16">
        <v>344</v>
      </c>
    </row>
    <row r="17" spans="1:16" x14ac:dyDescent="0.25">
      <c r="A17" t="s">
        <v>130</v>
      </c>
      <c r="B17">
        <v>6</v>
      </c>
      <c r="C17">
        <v>0</v>
      </c>
      <c r="D17">
        <v>139</v>
      </c>
      <c r="E17">
        <v>130</v>
      </c>
      <c r="F17">
        <v>0</v>
      </c>
      <c r="G17">
        <v>6318</v>
      </c>
      <c r="H17">
        <v>3382</v>
      </c>
      <c r="I17">
        <v>78</v>
      </c>
      <c r="J17">
        <v>28</v>
      </c>
      <c r="K17">
        <v>293</v>
      </c>
      <c r="L17">
        <v>90</v>
      </c>
      <c r="M17">
        <v>38</v>
      </c>
      <c r="N17">
        <v>14</v>
      </c>
      <c r="O17">
        <v>331</v>
      </c>
      <c r="P17">
        <v>104</v>
      </c>
    </row>
    <row r="18" spans="1:16" x14ac:dyDescent="0.25">
      <c r="A18" t="s">
        <v>131</v>
      </c>
      <c r="B18">
        <v>28</v>
      </c>
      <c r="C18">
        <v>0</v>
      </c>
      <c r="D18">
        <v>334</v>
      </c>
      <c r="E18">
        <v>331</v>
      </c>
      <c r="F18">
        <v>6</v>
      </c>
      <c r="G18">
        <v>15320</v>
      </c>
      <c r="H18">
        <v>8255</v>
      </c>
      <c r="I18">
        <v>155</v>
      </c>
      <c r="J18">
        <v>54</v>
      </c>
      <c r="K18">
        <v>693</v>
      </c>
      <c r="L18">
        <v>226</v>
      </c>
      <c r="M18">
        <v>91</v>
      </c>
      <c r="N18">
        <v>14</v>
      </c>
      <c r="O18">
        <v>784</v>
      </c>
      <c r="P18">
        <v>240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7D31"/>
  </sheetPr>
  <dimension ref="A1:P30"/>
  <sheetViews>
    <sheetView workbookViewId="0"/>
  </sheetViews>
  <sheetFormatPr defaultRowHeight="15" x14ac:dyDescent="0.25"/>
  <cols>
    <col min="1" max="1" width="22.140625" customWidth="1"/>
    <col min="2" max="2" width="11.140625" customWidth="1"/>
    <col min="4" max="4" width="10.85546875" customWidth="1"/>
    <col min="5" max="5" width="11.140625" customWidth="1"/>
    <col min="8" max="8" width="10.7109375" customWidth="1"/>
    <col min="9" max="9" width="10.85546875" customWidth="1"/>
    <col min="10" max="10" width="10" customWidth="1"/>
    <col min="11" max="11" width="9.85546875" customWidth="1"/>
    <col min="12" max="12" width="10" customWidth="1"/>
    <col min="14" max="14" width="9.28515625" customWidth="1"/>
    <col min="15" max="15" width="9.42578125" customWidth="1"/>
    <col min="16" max="16" width="12.7109375" customWidth="1"/>
  </cols>
  <sheetData>
    <row r="1" spans="1:16" x14ac:dyDescent="0.25">
      <c r="A1" s="27" t="s">
        <v>104</v>
      </c>
      <c r="B1" t="s">
        <v>75</v>
      </c>
      <c r="C1" t="s">
        <v>138</v>
      </c>
      <c r="D1" t="s">
        <v>76</v>
      </c>
      <c r="E1" t="s">
        <v>75</v>
      </c>
      <c r="F1" t="s">
        <v>75</v>
      </c>
      <c r="G1" t="s">
        <v>77</v>
      </c>
      <c r="H1" s="27" t="s">
        <v>23</v>
      </c>
      <c r="I1" s="27"/>
      <c r="J1" s="27" t="s">
        <v>79</v>
      </c>
      <c r="K1" s="27"/>
      <c r="L1" s="27" t="s">
        <v>80</v>
      </c>
      <c r="M1" s="27"/>
      <c r="N1" s="27" t="s">
        <v>132</v>
      </c>
      <c r="O1" s="27"/>
      <c r="P1" s="27" t="s">
        <v>139</v>
      </c>
    </row>
    <row r="2" spans="1:16" x14ac:dyDescent="0.25">
      <c r="A2" s="27"/>
      <c r="B2" t="s">
        <v>82</v>
      </c>
      <c r="C2" t="s">
        <v>140</v>
      </c>
      <c r="D2" t="s">
        <v>82</v>
      </c>
      <c r="E2" t="s">
        <v>77</v>
      </c>
      <c r="F2" t="s">
        <v>134</v>
      </c>
      <c r="G2" t="s">
        <v>83</v>
      </c>
      <c r="H2" t="s">
        <v>84</v>
      </c>
      <c r="I2" t="s">
        <v>85</v>
      </c>
      <c r="J2" t="s">
        <v>84</v>
      </c>
      <c r="K2" t="s">
        <v>85</v>
      </c>
      <c r="L2" t="s">
        <v>84</v>
      </c>
      <c r="M2" t="s">
        <v>86</v>
      </c>
      <c r="N2" t="s">
        <v>84</v>
      </c>
      <c r="O2" t="s">
        <v>86</v>
      </c>
      <c r="P2" s="27"/>
    </row>
    <row r="3" spans="1:16" x14ac:dyDescent="0.25">
      <c r="A3" t="s">
        <v>105</v>
      </c>
      <c r="B3">
        <v>326</v>
      </c>
      <c r="C3">
        <v>20</v>
      </c>
      <c r="D3">
        <v>0</v>
      </c>
      <c r="E3">
        <v>546</v>
      </c>
      <c r="F3">
        <v>540</v>
      </c>
      <c r="G3">
        <v>0</v>
      </c>
      <c r="H3">
        <v>17609</v>
      </c>
      <c r="I3">
        <v>8732</v>
      </c>
      <c r="J3">
        <v>86</v>
      </c>
      <c r="K3">
        <v>86</v>
      </c>
      <c r="L3">
        <v>21</v>
      </c>
      <c r="M3">
        <v>21</v>
      </c>
      <c r="N3">
        <v>107</v>
      </c>
      <c r="O3">
        <v>107</v>
      </c>
      <c r="P3">
        <v>1</v>
      </c>
    </row>
    <row r="4" spans="1:16" x14ac:dyDescent="0.25">
      <c r="A4" t="s">
        <v>106</v>
      </c>
      <c r="B4">
        <v>373</v>
      </c>
      <c r="C4">
        <v>25</v>
      </c>
      <c r="D4">
        <v>8</v>
      </c>
      <c r="E4">
        <v>788</v>
      </c>
      <c r="F4">
        <v>586</v>
      </c>
      <c r="G4">
        <v>12</v>
      </c>
      <c r="H4">
        <v>19134</v>
      </c>
      <c r="I4">
        <v>9688</v>
      </c>
      <c r="J4">
        <v>624</v>
      </c>
      <c r="K4">
        <v>580</v>
      </c>
      <c r="L4">
        <v>19</v>
      </c>
      <c r="M4">
        <v>19</v>
      </c>
      <c r="N4">
        <v>643</v>
      </c>
      <c r="O4">
        <v>599</v>
      </c>
      <c r="P4">
        <v>32</v>
      </c>
    </row>
    <row r="5" spans="1:16" x14ac:dyDescent="0.25">
      <c r="A5" t="s">
        <v>107</v>
      </c>
      <c r="B5">
        <v>283</v>
      </c>
      <c r="C5">
        <v>6</v>
      </c>
      <c r="D5">
        <v>3</v>
      </c>
      <c r="E5">
        <v>554</v>
      </c>
      <c r="F5">
        <v>433</v>
      </c>
      <c r="G5">
        <v>14</v>
      </c>
      <c r="H5">
        <v>16413</v>
      </c>
      <c r="I5">
        <v>8006</v>
      </c>
      <c r="J5">
        <v>334</v>
      </c>
      <c r="K5">
        <v>317</v>
      </c>
      <c r="L5">
        <v>21</v>
      </c>
      <c r="M5">
        <v>18</v>
      </c>
      <c r="N5">
        <v>355</v>
      </c>
      <c r="O5">
        <v>335</v>
      </c>
      <c r="P5">
        <v>19</v>
      </c>
    </row>
    <row r="6" spans="1:16" x14ac:dyDescent="0.25">
      <c r="A6" t="s">
        <v>108</v>
      </c>
      <c r="B6">
        <v>113</v>
      </c>
      <c r="C6">
        <v>18</v>
      </c>
      <c r="D6">
        <v>3</v>
      </c>
      <c r="E6">
        <v>219</v>
      </c>
      <c r="F6">
        <v>212</v>
      </c>
      <c r="G6">
        <v>2</v>
      </c>
      <c r="H6">
        <v>7174</v>
      </c>
      <c r="I6">
        <v>3548</v>
      </c>
      <c r="J6">
        <v>161</v>
      </c>
      <c r="K6">
        <v>160</v>
      </c>
      <c r="L6">
        <v>15</v>
      </c>
      <c r="M6">
        <v>15</v>
      </c>
      <c r="N6">
        <v>176</v>
      </c>
      <c r="O6">
        <v>175</v>
      </c>
      <c r="P6">
        <v>6</v>
      </c>
    </row>
    <row r="7" spans="1:16" x14ac:dyDescent="0.25">
      <c r="A7" t="s">
        <v>109</v>
      </c>
      <c r="B7">
        <v>209</v>
      </c>
      <c r="C7">
        <v>3</v>
      </c>
      <c r="D7">
        <v>9</v>
      </c>
      <c r="E7">
        <v>309</v>
      </c>
      <c r="F7">
        <v>294</v>
      </c>
      <c r="G7">
        <v>1</v>
      </c>
      <c r="H7">
        <v>10683</v>
      </c>
      <c r="I7">
        <v>5367</v>
      </c>
      <c r="J7">
        <v>246</v>
      </c>
      <c r="K7">
        <v>223</v>
      </c>
      <c r="L7">
        <v>16</v>
      </c>
      <c r="M7">
        <v>9</v>
      </c>
      <c r="N7">
        <v>262</v>
      </c>
      <c r="O7">
        <v>232</v>
      </c>
      <c r="P7">
        <v>9</v>
      </c>
    </row>
    <row r="8" spans="1:16" x14ac:dyDescent="0.25">
      <c r="A8" t="s">
        <v>110</v>
      </c>
      <c r="B8">
        <v>207</v>
      </c>
      <c r="C8">
        <v>0</v>
      </c>
      <c r="D8">
        <v>2</v>
      </c>
      <c r="E8">
        <v>303</v>
      </c>
      <c r="F8">
        <v>276</v>
      </c>
      <c r="G8">
        <v>1</v>
      </c>
      <c r="H8">
        <v>10554</v>
      </c>
      <c r="I8">
        <v>5315</v>
      </c>
      <c r="J8">
        <v>281</v>
      </c>
      <c r="K8">
        <v>274</v>
      </c>
      <c r="L8">
        <v>4</v>
      </c>
      <c r="M8">
        <v>4</v>
      </c>
      <c r="N8">
        <v>285</v>
      </c>
      <c r="O8">
        <v>278</v>
      </c>
      <c r="P8">
        <v>3</v>
      </c>
    </row>
    <row r="9" spans="1:16" x14ac:dyDescent="0.25">
      <c r="A9" t="s">
        <v>111</v>
      </c>
      <c r="B9">
        <v>200</v>
      </c>
      <c r="C9">
        <v>5</v>
      </c>
      <c r="D9">
        <v>2</v>
      </c>
      <c r="E9">
        <v>266</v>
      </c>
      <c r="F9">
        <v>264</v>
      </c>
      <c r="G9">
        <v>0</v>
      </c>
      <c r="H9">
        <v>7728</v>
      </c>
      <c r="I9">
        <v>3751</v>
      </c>
      <c r="J9">
        <v>256</v>
      </c>
      <c r="K9">
        <v>248</v>
      </c>
      <c r="L9">
        <v>1</v>
      </c>
      <c r="M9">
        <v>1</v>
      </c>
      <c r="N9">
        <v>257</v>
      </c>
      <c r="O9">
        <v>249</v>
      </c>
      <c r="P9">
        <v>6</v>
      </c>
    </row>
    <row r="10" spans="1:16" x14ac:dyDescent="0.25">
      <c r="A10" t="s">
        <v>112</v>
      </c>
      <c r="B10">
        <v>239</v>
      </c>
      <c r="C10">
        <v>28</v>
      </c>
      <c r="D10">
        <v>4</v>
      </c>
      <c r="E10">
        <v>515</v>
      </c>
      <c r="F10">
        <v>494</v>
      </c>
      <c r="G10">
        <v>10</v>
      </c>
      <c r="H10">
        <v>16757</v>
      </c>
      <c r="I10">
        <v>8283</v>
      </c>
      <c r="J10">
        <v>509</v>
      </c>
      <c r="K10">
        <v>480</v>
      </c>
      <c r="L10">
        <v>22</v>
      </c>
      <c r="M10">
        <v>21</v>
      </c>
      <c r="N10">
        <v>531</v>
      </c>
      <c r="O10">
        <v>501</v>
      </c>
      <c r="P10">
        <v>11</v>
      </c>
    </row>
    <row r="11" spans="1:16" x14ac:dyDescent="0.25">
      <c r="A11" t="s">
        <v>113</v>
      </c>
      <c r="B11">
        <v>22</v>
      </c>
      <c r="C11">
        <v>0</v>
      </c>
      <c r="D11">
        <v>0</v>
      </c>
      <c r="E11">
        <v>32</v>
      </c>
      <c r="F11">
        <v>32</v>
      </c>
      <c r="G11">
        <v>2</v>
      </c>
      <c r="H11">
        <v>887</v>
      </c>
      <c r="I11">
        <v>455</v>
      </c>
      <c r="J11">
        <v>31</v>
      </c>
      <c r="K11">
        <v>31</v>
      </c>
      <c r="L11">
        <v>0</v>
      </c>
      <c r="M11">
        <v>0</v>
      </c>
      <c r="N11">
        <v>31</v>
      </c>
      <c r="O11">
        <v>31</v>
      </c>
      <c r="P11">
        <v>0</v>
      </c>
    </row>
    <row r="12" spans="1:16" x14ac:dyDescent="0.25">
      <c r="A12" t="s">
        <v>114</v>
      </c>
      <c r="B12">
        <v>67</v>
      </c>
      <c r="C12">
        <v>0</v>
      </c>
      <c r="D12">
        <v>0</v>
      </c>
      <c r="E12">
        <v>87</v>
      </c>
      <c r="F12">
        <v>83</v>
      </c>
      <c r="G12">
        <v>0</v>
      </c>
      <c r="H12">
        <v>2382</v>
      </c>
      <c r="I12">
        <v>1208</v>
      </c>
      <c r="J12">
        <v>33</v>
      </c>
      <c r="K12">
        <v>33</v>
      </c>
      <c r="L12">
        <v>1</v>
      </c>
      <c r="M12">
        <v>1</v>
      </c>
      <c r="N12">
        <v>34</v>
      </c>
      <c r="O12">
        <v>34</v>
      </c>
      <c r="P12">
        <v>0</v>
      </c>
    </row>
    <row r="13" spans="1:16" x14ac:dyDescent="0.25">
      <c r="A13" t="s">
        <v>115</v>
      </c>
      <c r="B13">
        <v>100</v>
      </c>
      <c r="C13">
        <v>7</v>
      </c>
      <c r="D13">
        <v>3</v>
      </c>
      <c r="E13">
        <v>152</v>
      </c>
      <c r="F13">
        <v>145</v>
      </c>
      <c r="G13">
        <v>17</v>
      </c>
      <c r="H13">
        <v>4626</v>
      </c>
      <c r="I13">
        <v>2353</v>
      </c>
      <c r="J13">
        <v>140</v>
      </c>
      <c r="K13">
        <v>138</v>
      </c>
      <c r="L13">
        <v>11</v>
      </c>
      <c r="M13">
        <v>11</v>
      </c>
      <c r="N13">
        <v>151</v>
      </c>
      <c r="O13">
        <v>149</v>
      </c>
      <c r="P13">
        <v>2</v>
      </c>
    </row>
    <row r="14" spans="1:16" x14ac:dyDescent="0.25">
      <c r="A14" t="s">
        <v>116</v>
      </c>
      <c r="B14">
        <v>25</v>
      </c>
      <c r="C14">
        <v>5</v>
      </c>
      <c r="D14">
        <v>0</v>
      </c>
      <c r="E14">
        <v>35</v>
      </c>
      <c r="F14">
        <v>35</v>
      </c>
      <c r="G14">
        <v>0</v>
      </c>
      <c r="H14">
        <v>1161</v>
      </c>
      <c r="I14">
        <v>581</v>
      </c>
      <c r="J14">
        <v>35</v>
      </c>
      <c r="K14">
        <v>34</v>
      </c>
      <c r="L14">
        <v>0</v>
      </c>
      <c r="M14">
        <v>0</v>
      </c>
      <c r="N14">
        <v>35</v>
      </c>
      <c r="O14">
        <v>34</v>
      </c>
      <c r="P14">
        <v>0</v>
      </c>
    </row>
    <row r="15" spans="1:16" x14ac:dyDescent="0.25">
      <c r="A15" t="s">
        <v>117</v>
      </c>
      <c r="B15">
        <v>103</v>
      </c>
      <c r="C15">
        <v>0</v>
      </c>
      <c r="D15">
        <v>2</v>
      </c>
      <c r="E15">
        <v>127</v>
      </c>
      <c r="F15">
        <v>123</v>
      </c>
      <c r="G15">
        <v>11</v>
      </c>
      <c r="H15">
        <v>3847</v>
      </c>
      <c r="I15">
        <v>1882</v>
      </c>
      <c r="J15">
        <v>94</v>
      </c>
      <c r="K15">
        <v>90</v>
      </c>
      <c r="L15">
        <v>0</v>
      </c>
      <c r="M15">
        <v>0</v>
      </c>
      <c r="N15">
        <v>94</v>
      </c>
      <c r="O15">
        <v>90</v>
      </c>
      <c r="P15">
        <v>8</v>
      </c>
    </row>
    <row r="16" spans="1:16" x14ac:dyDescent="0.25">
      <c r="A16" t="s">
        <v>118</v>
      </c>
      <c r="B16">
        <v>24</v>
      </c>
      <c r="C16">
        <v>2</v>
      </c>
      <c r="D16">
        <v>0</v>
      </c>
      <c r="E16">
        <v>39</v>
      </c>
      <c r="F16">
        <v>37</v>
      </c>
      <c r="G16">
        <v>0</v>
      </c>
      <c r="H16">
        <v>1173</v>
      </c>
      <c r="I16">
        <v>611</v>
      </c>
      <c r="J16">
        <v>34</v>
      </c>
      <c r="K16">
        <v>34</v>
      </c>
      <c r="L16">
        <v>1</v>
      </c>
      <c r="M16">
        <v>1</v>
      </c>
      <c r="N16">
        <v>35</v>
      </c>
      <c r="O16">
        <v>35</v>
      </c>
      <c r="P16">
        <v>0</v>
      </c>
    </row>
    <row r="17" spans="1:16" x14ac:dyDescent="0.25">
      <c r="A17" t="s">
        <v>119</v>
      </c>
      <c r="B17">
        <v>145</v>
      </c>
      <c r="C17">
        <v>19</v>
      </c>
      <c r="D17">
        <v>1</v>
      </c>
      <c r="E17">
        <v>280</v>
      </c>
      <c r="F17">
        <v>247</v>
      </c>
      <c r="G17">
        <v>2</v>
      </c>
      <c r="H17">
        <v>11061</v>
      </c>
      <c r="I17">
        <v>5254</v>
      </c>
      <c r="J17">
        <v>315</v>
      </c>
      <c r="K17">
        <v>313</v>
      </c>
      <c r="L17">
        <v>38</v>
      </c>
      <c r="M17">
        <v>36</v>
      </c>
      <c r="N17">
        <v>353</v>
      </c>
      <c r="O17">
        <v>349</v>
      </c>
      <c r="P17">
        <v>29</v>
      </c>
    </row>
    <row r="18" spans="1:16" x14ac:dyDescent="0.25">
      <c r="A18" t="s">
        <v>120</v>
      </c>
      <c r="B18">
        <v>58</v>
      </c>
      <c r="C18">
        <v>2</v>
      </c>
      <c r="D18">
        <v>0</v>
      </c>
      <c r="E18">
        <v>96</v>
      </c>
      <c r="F18">
        <v>94</v>
      </c>
      <c r="G18">
        <v>0</v>
      </c>
      <c r="H18">
        <v>2371</v>
      </c>
      <c r="I18">
        <v>1195</v>
      </c>
      <c r="J18">
        <v>95</v>
      </c>
      <c r="K18">
        <v>91</v>
      </c>
      <c r="L18">
        <v>1</v>
      </c>
      <c r="M18">
        <v>1</v>
      </c>
      <c r="N18">
        <v>96</v>
      </c>
      <c r="O18">
        <v>92</v>
      </c>
      <c r="P18">
        <v>2</v>
      </c>
    </row>
    <row r="19" spans="1:16" x14ac:dyDescent="0.25">
      <c r="A19" t="s">
        <v>121</v>
      </c>
      <c r="B19">
        <v>115</v>
      </c>
      <c r="C19">
        <v>6</v>
      </c>
      <c r="D19">
        <v>6</v>
      </c>
      <c r="E19">
        <v>187</v>
      </c>
      <c r="F19">
        <v>141</v>
      </c>
      <c r="G19">
        <v>1</v>
      </c>
      <c r="H19">
        <v>4611</v>
      </c>
      <c r="I19">
        <v>2424</v>
      </c>
      <c r="J19">
        <v>85</v>
      </c>
      <c r="K19">
        <v>83</v>
      </c>
      <c r="L19">
        <v>4</v>
      </c>
      <c r="M19">
        <v>4</v>
      </c>
      <c r="N19">
        <v>89</v>
      </c>
      <c r="O19">
        <v>87</v>
      </c>
      <c r="P19">
        <v>1</v>
      </c>
    </row>
    <row r="20" spans="1:16" x14ac:dyDescent="0.25">
      <c r="A20" t="s">
        <v>122</v>
      </c>
      <c r="B20">
        <v>386</v>
      </c>
      <c r="C20">
        <v>12</v>
      </c>
      <c r="D20">
        <v>18</v>
      </c>
      <c r="E20">
        <v>586</v>
      </c>
      <c r="F20">
        <v>551</v>
      </c>
      <c r="G20">
        <v>11</v>
      </c>
      <c r="H20">
        <v>17289</v>
      </c>
      <c r="I20">
        <v>8511</v>
      </c>
      <c r="J20">
        <v>453</v>
      </c>
      <c r="K20">
        <v>420</v>
      </c>
      <c r="L20">
        <v>11</v>
      </c>
      <c r="M20">
        <v>11</v>
      </c>
      <c r="N20">
        <v>464</v>
      </c>
      <c r="O20">
        <v>431</v>
      </c>
      <c r="P20">
        <v>24</v>
      </c>
    </row>
    <row r="21" spans="1:16" x14ac:dyDescent="0.25">
      <c r="A21" t="s">
        <v>123</v>
      </c>
      <c r="B21">
        <v>177</v>
      </c>
      <c r="C21">
        <v>20</v>
      </c>
      <c r="D21">
        <v>1</v>
      </c>
      <c r="E21">
        <v>287</v>
      </c>
      <c r="F21">
        <v>260</v>
      </c>
      <c r="G21">
        <v>2</v>
      </c>
      <c r="H21">
        <v>9332</v>
      </c>
      <c r="I21">
        <v>4748</v>
      </c>
      <c r="J21">
        <v>172</v>
      </c>
      <c r="K21">
        <v>166</v>
      </c>
      <c r="L21">
        <v>18</v>
      </c>
      <c r="M21">
        <v>18</v>
      </c>
      <c r="N21">
        <v>190</v>
      </c>
      <c r="O21">
        <v>184</v>
      </c>
      <c r="P21">
        <v>0</v>
      </c>
    </row>
    <row r="22" spans="1:16" x14ac:dyDescent="0.25">
      <c r="A22" t="s">
        <v>124</v>
      </c>
      <c r="B22">
        <v>62</v>
      </c>
      <c r="C22">
        <v>1</v>
      </c>
      <c r="D22">
        <v>10</v>
      </c>
      <c r="E22">
        <v>198</v>
      </c>
      <c r="F22">
        <v>64</v>
      </c>
      <c r="G22">
        <v>1</v>
      </c>
      <c r="H22">
        <v>2889</v>
      </c>
      <c r="I22">
        <v>1498</v>
      </c>
      <c r="J22">
        <v>64</v>
      </c>
      <c r="K22">
        <v>58</v>
      </c>
      <c r="L22">
        <v>2</v>
      </c>
      <c r="M22">
        <v>2</v>
      </c>
      <c r="N22">
        <v>66</v>
      </c>
      <c r="O22">
        <v>60</v>
      </c>
      <c r="P22">
        <v>2</v>
      </c>
    </row>
    <row r="23" spans="1:16" x14ac:dyDescent="0.25">
      <c r="A23" t="s">
        <v>125</v>
      </c>
      <c r="B23">
        <v>447</v>
      </c>
      <c r="C23">
        <v>19</v>
      </c>
      <c r="D23">
        <v>4</v>
      </c>
      <c r="E23">
        <v>915</v>
      </c>
      <c r="F23">
        <v>798</v>
      </c>
      <c r="G23">
        <v>24</v>
      </c>
      <c r="H23">
        <v>28273</v>
      </c>
      <c r="I23">
        <v>14179</v>
      </c>
      <c r="J23">
        <v>464</v>
      </c>
      <c r="K23">
        <v>454</v>
      </c>
      <c r="L23">
        <v>28</v>
      </c>
      <c r="M23">
        <v>26</v>
      </c>
      <c r="N23">
        <v>492</v>
      </c>
      <c r="O23">
        <v>480</v>
      </c>
      <c r="P23">
        <v>18</v>
      </c>
    </row>
    <row r="24" spans="1:16" x14ac:dyDescent="0.25">
      <c r="A24" t="s">
        <v>126</v>
      </c>
      <c r="B24">
        <v>36</v>
      </c>
      <c r="C24">
        <v>1</v>
      </c>
      <c r="D24">
        <v>1</v>
      </c>
      <c r="E24">
        <v>64</v>
      </c>
      <c r="F24">
        <v>49</v>
      </c>
      <c r="G24">
        <v>0</v>
      </c>
      <c r="H24">
        <v>1334</v>
      </c>
      <c r="I24">
        <v>648</v>
      </c>
      <c r="J24">
        <v>48</v>
      </c>
      <c r="K24">
        <v>48</v>
      </c>
      <c r="L24">
        <v>1</v>
      </c>
      <c r="M24">
        <v>1</v>
      </c>
      <c r="N24">
        <v>49</v>
      </c>
      <c r="O24">
        <v>49</v>
      </c>
      <c r="P24">
        <v>0</v>
      </c>
    </row>
    <row r="25" spans="1:16" x14ac:dyDescent="0.25">
      <c r="A25" t="s">
        <v>127</v>
      </c>
      <c r="B25">
        <v>173</v>
      </c>
      <c r="C25">
        <v>6</v>
      </c>
      <c r="D25">
        <v>8</v>
      </c>
      <c r="E25">
        <v>258</v>
      </c>
      <c r="F25">
        <v>245</v>
      </c>
      <c r="G25">
        <v>1</v>
      </c>
      <c r="H25">
        <v>8431</v>
      </c>
      <c r="I25">
        <v>4287</v>
      </c>
      <c r="J25">
        <v>203</v>
      </c>
      <c r="K25">
        <v>190</v>
      </c>
      <c r="L25">
        <v>18</v>
      </c>
      <c r="M25">
        <v>14</v>
      </c>
      <c r="N25">
        <v>221</v>
      </c>
      <c r="O25">
        <v>204</v>
      </c>
      <c r="P25">
        <v>4</v>
      </c>
    </row>
    <row r="26" spans="1:16" x14ac:dyDescent="0.25">
      <c r="A26" t="s">
        <v>128</v>
      </c>
      <c r="B26">
        <v>292</v>
      </c>
      <c r="C26">
        <v>4</v>
      </c>
      <c r="D26">
        <v>3</v>
      </c>
      <c r="E26">
        <v>450</v>
      </c>
      <c r="F26">
        <v>441</v>
      </c>
      <c r="G26">
        <v>15</v>
      </c>
      <c r="H26">
        <v>13054</v>
      </c>
      <c r="I26">
        <v>6466</v>
      </c>
      <c r="J26">
        <v>435</v>
      </c>
      <c r="K26">
        <v>394</v>
      </c>
      <c r="L26">
        <v>9</v>
      </c>
      <c r="M26">
        <v>6</v>
      </c>
      <c r="N26">
        <v>444</v>
      </c>
      <c r="O26">
        <v>400</v>
      </c>
      <c r="P26">
        <v>16</v>
      </c>
    </row>
    <row r="27" spans="1:16" x14ac:dyDescent="0.25">
      <c r="A27" t="s">
        <v>129</v>
      </c>
      <c r="B27">
        <v>227</v>
      </c>
      <c r="C27">
        <v>4</v>
      </c>
      <c r="D27">
        <v>9</v>
      </c>
      <c r="E27">
        <v>468</v>
      </c>
      <c r="F27">
        <v>356</v>
      </c>
      <c r="G27">
        <v>5</v>
      </c>
      <c r="H27">
        <v>14359</v>
      </c>
      <c r="I27">
        <v>7106</v>
      </c>
      <c r="J27">
        <v>216</v>
      </c>
      <c r="K27">
        <v>200</v>
      </c>
      <c r="L27">
        <v>2</v>
      </c>
      <c r="M27">
        <v>1</v>
      </c>
      <c r="N27">
        <v>218</v>
      </c>
      <c r="O27">
        <v>201</v>
      </c>
      <c r="P27">
        <v>12</v>
      </c>
    </row>
    <row r="28" spans="1:16" x14ac:dyDescent="0.25">
      <c r="A28" t="s">
        <v>87</v>
      </c>
      <c r="B28">
        <v>4409</v>
      </c>
      <c r="C28">
        <v>213</v>
      </c>
      <c r="D28">
        <v>97</v>
      </c>
      <c r="E28">
        <v>7761</v>
      </c>
      <c r="F28">
        <v>6800</v>
      </c>
      <c r="G28">
        <v>132</v>
      </c>
      <c r="H28">
        <v>233132</v>
      </c>
      <c r="I28">
        <v>116096</v>
      </c>
      <c r="J28">
        <v>5414</v>
      </c>
      <c r="K28">
        <v>5145</v>
      </c>
      <c r="L28">
        <v>264</v>
      </c>
      <c r="M28">
        <v>241</v>
      </c>
      <c r="N28">
        <v>5678</v>
      </c>
      <c r="O28">
        <v>5386</v>
      </c>
      <c r="P28">
        <v>205</v>
      </c>
    </row>
    <row r="29" spans="1:16" x14ac:dyDescent="0.25">
      <c r="A29" t="s">
        <v>130</v>
      </c>
      <c r="B29">
        <v>503</v>
      </c>
      <c r="C29">
        <v>54</v>
      </c>
      <c r="D29">
        <v>4</v>
      </c>
      <c r="E29">
        <v>1252</v>
      </c>
      <c r="F29">
        <v>966</v>
      </c>
      <c r="G29">
        <v>17</v>
      </c>
      <c r="H29">
        <v>39574</v>
      </c>
      <c r="I29">
        <v>19372</v>
      </c>
      <c r="J29">
        <v>979</v>
      </c>
      <c r="K29">
        <v>968</v>
      </c>
      <c r="L29">
        <v>108</v>
      </c>
      <c r="M29">
        <v>104</v>
      </c>
      <c r="N29">
        <v>1087</v>
      </c>
      <c r="O29">
        <v>1072</v>
      </c>
      <c r="P29">
        <v>45</v>
      </c>
    </row>
    <row r="30" spans="1:16" x14ac:dyDescent="0.25">
      <c r="A30" t="s">
        <v>131</v>
      </c>
      <c r="B30">
        <v>3906</v>
      </c>
      <c r="C30">
        <v>159</v>
      </c>
      <c r="D30">
        <v>93</v>
      </c>
      <c r="E30">
        <v>6509</v>
      </c>
      <c r="F30">
        <v>5834</v>
      </c>
      <c r="G30">
        <v>115</v>
      </c>
      <c r="H30">
        <v>193558</v>
      </c>
      <c r="I30">
        <v>96724</v>
      </c>
      <c r="J30">
        <v>4435</v>
      </c>
      <c r="K30">
        <v>4177</v>
      </c>
      <c r="L30">
        <v>156</v>
      </c>
      <c r="M30">
        <v>137</v>
      </c>
      <c r="N30">
        <v>4591</v>
      </c>
      <c r="O30">
        <v>4314</v>
      </c>
      <c r="P30">
        <v>160</v>
      </c>
    </row>
  </sheetData>
  <mergeCells count="6">
    <mergeCell ref="A1:A2"/>
    <mergeCell ref="H1:I1"/>
    <mergeCell ref="L1:M1"/>
    <mergeCell ref="J1:K1"/>
    <mergeCell ref="N1:O1"/>
    <mergeCell ref="P1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30"/>
  <sheetViews>
    <sheetView workbookViewId="0"/>
  </sheetViews>
  <sheetFormatPr defaultRowHeight="15" x14ac:dyDescent="0.25"/>
  <cols>
    <col min="1" max="1" width="26" customWidth="1"/>
    <col min="2" max="2" width="10.140625" customWidth="1"/>
    <col min="4" max="4" width="10.42578125" customWidth="1"/>
    <col min="5" max="5" width="10.140625" customWidth="1"/>
    <col min="6" max="6" width="10.42578125" customWidth="1"/>
    <col min="7" max="7" width="12" customWidth="1"/>
    <col min="8" max="8" width="12.140625" customWidth="1"/>
    <col min="9" max="9" width="10" customWidth="1"/>
    <col min="10" max="10" width="10.140625" customWidth="1"/>
    <col min="11" max="11" width="10" customWidth="1"/>
    <col min="14" max="14" width="10.140625" customWidth="1"/>
    <col min="15" max="15" width="10" customWidth="1"/>
  </cols>
  <sheetData>
    <row r="1" spans="1:16" x14ac:dyDescent="0.25">
      <c r="A1" s="27" t="s">
        <v>104</v>
      </c>
      <c r="B1" t="s">
        <v>75</v>
      </c>
      <c r="C1" t="s">
        <v>76</v>
      </c>
      <c r="D1" t="s">
        <v>75</v>
      </c>
      <c r="E1" t="s">
        <v>75</v>
      </c>
      <c r="F1" t="s">
        <v>77</v>
      </c>
      <c r="G1" s="27" t="s">
        <v>23</v>
      </c>
      <c r="H1" s="27"/>
      <c r="I1" s="27" t="s">
        <v>78</v>
      </c>
      <c r="J1" s="27"/>
      <c r="K1" s="27" t="s">
        <v>79</v>
      </c>
      <c r="L1" s="27"/>
      <c r="M1" s="27" t="s">
        <v>80</v>
      </c>
      <c r="N1" s="27"/>
      <c r="O1" s="27" t="s">
        <v>132</v>
      </c>
      <c r="P1" s="27"/>
    </row>
    <row r="2" spans="1:16" x14ac:dyDescent="0.25">
      <c r="A2" s="27"/>
      <c r="B2" t="s">
        <v>82</v>
      </c>
      <c r="C2" t="s">
        <v>82</v>
      </c>
      <c r="D2" t="s">
        <v>77</v>
      </c>
      <c r="E2" t="s">
        <v>134</v>
      </c>
      <c r="F2" t="s">
        <v>83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86</v>
      </c>
      <c r="M2" t="s">
        <v>84</v>
      </c>
      <c r="N2" t="s">
        <v>86</v>
      </c>
      <c r="O2" t="s">
        <v>84</v>
      </c>
      <c r="P2" t="s">
        <v>86</v>
      </c>
    </row>
    <row r="3" spans="1:16" x14ac:dyDescent="0.25">
      <c r="A3" t="s">
        <v>105</v>
      </c>
      <c r="B3">
        <v>408</v>
      </c>
      <c r="C3">
        <v>13</v>
      </c>
      <c r="D3">
        <v>3231</v>
      </c>
      <c r="E3">
        <v>2337</v>
      </c>
      <c r="F3">
        <v>8</v>
      </c>
      <c r="G3">
        <v>97157</v>
      </c>
      <c r="H3">
        <v>46850</v>
      </c>
      <c r="I3">
        <v>3469</v>
      </c>
      <c r="J3">
        <v>1160</v>
      </c>
      <c r="K3">
        <v>2924</v>
      </c>
      <c r="L3">
        <v>1679</v>
      </c>
      <c r="M3">
        <v>559</v>
      </c>
      <c r="N3">
        <v>108</v>
      </c>
      <c r="O3">
        <v>3483</v>
      </c>
      <c r="P3">
        <v>1787</v>
      </c>
    </row>
    <row r="4" spans="1:16" x14ac:dyDescent="0.25">
      <c r="A4" t="s">
        <v>106</v>
      </c>
      <c r="B4">
        <v>649</v>
      </c>
      <c r="C4">
        <v>13</v>
      </c>
      <c r="D4">
        <v>5536</v>
      </c>
      <c r="E4">
        <v>3587</v>
      </c>
      <c r="F4">
        <v>19</v>
      </c>
      <c r="G4">
        <v>169424</v>
      </c>
      <c r="H4">
        <v>80840</v>
      </c>
      <c r="I4">
        <v>10133</v>
      </c>
      <c r="J4">
        <v>3656</v>
      </c>
      <c r="K4">
        <v>3621</v>
      </c>
      <c r="L4">
        <v>2319</v>
      </c>
      <c r="M4">
        <v>1168</v>
      </c>
      <c r="N4">
        <v>448</v>
      </c>
      <c r="O4">
        <v>4789</v>
      </c>
      <c r="P4">
        <v>2767</v>
      </c>
    </row>
    <row r="5" spans="1:16" x14ac:dyDescent="0.25">
      <c r="A5" t="s">
        <v>107</v>
      </c>
      <c r="B5">
        <v>409</v>
      </c>
      <c r="C5">
        <v>6</v>
      </c>
      <c r="D5">
        <v>3856</v>
      </c>
      <c r="E5">
        <v>2907</v>
      </c>
      <c r="F5">
        <v>91</v>
      </c>
      <c r="G5">
        <v>139238</v>
      </c>
      <c r="H5">
        <v>66191</v>
      </c>
      <c r="I5">
        <v>11521</v>
      </c>
      <c r="J5">
        <v>4053</v>
      </c>
      <c r="K5">
        <v>2538</v>
      </c>
      <c r="L5">
        <v>1637</v>
      </c>
      <c r="M5">
        <v>1050</v>
      </c>
      <c r="N5">
        <v>411</v>
      </c>
      <c r="O5">
        <v>3588</v>
      </c>
      <c r="P5">
        <v>2048</v>
      </c>
    </row>
    <row r="6" spans="1:16" x14ac:dyDescent="0.25">
      <c r="A6" t="s">
        <v>108</v>
      </c>
      <c r="B6">
        <v>279</v>
      </c>
      <c r="C6">
        <v>2</v>
      </c>
      <c r="D6">
        <v>2212</v>
      </c>
      <c r="E6">
        <v>1509</v>
      </c>
      <c r="F6">
        <v>12</v>
      </c>
      <c r="G6">
        <v>73216</v>
      </c>
      <c r="H6">
        <v>35572</v>
      </c>
      <c r="I6">
        <v>4322</v>
      </c>
      <c r="J6">
        <v>1493</v>
      </c>
      <c r="K6">
        <v>1804</v>
      </c>
      <c r="L6">
        <v>910</v>
      </c>
      <c r="M6">
        <v>401</v>
      </c>
      <c r="N6">
        <v>92</v>
      </c>
      <c r="O6">
        <v>2205</v>
      </c>
      <c r="P6">
        <v>1002</v>
      </c>
    </row>
    <row r="7" spans="1:16" x14ac:dyDescent="0.25">
      <c r="A7" t="s">
        <v>109</v>
      </c>
      <c r="B7">
        <v>314</v>
      </c>
      <c r="C7">
        <v>5</v>
      </c>
      <c r="D7">
        <v>2863</v>
      </c>
      <c r="E7">
        <v>2168</v>
      </c>
      <c r="F7">
        <v>36</v>
      </c>
      <c r="G7">
        <v>108391</v>
      </c>
      <c r="H7">
        <v>52343</v>
      </c>
      <c r="I7">
        <v>5312</v>
      </c>
      <c r="J7">
        <v>2012</v>
      </c>
      <c r="K7">
        <v>2165</v>
      </c>
      <c r="L7">
        <v>1019</v>
      </c>
      <c r="M7">
        <v>490</v>
      </c>
      <c r="N7">
        <v>89</v>
      </c>
      <c r="O7">
        <v>2655</v>
      </c>
      <c r="P7">
        <v>1108</v>
      </c>
    </row>
    <row r="8" spans="1:16" x14ac:dyDescent="0.25">
      <c r="A8" t="s">
        <v>110</v>
      </c>
      <c r="B8">
        <v>490</v>
      </c>
      <c r="C8">
        <v>7</v>
      </c>
      <c r="D8">
        <v>3297</v>
      </c>
      <c r="E8">
        <v>2439</v>
      </c>
      <c r="F8">
        <v>49</v>
      </c>
      <c r="G8">
        <v>99857</v>
      </c>
      <c r="H8">
        <v>48731</v>
      </c>
      <c r="I8">
        <v>7102</v>
      </c>
      <c r="J8">
        <v>2570</v>
      </c>
      <c r="K8">
        <v>2389</v>
      </c>
      <c r="L8">
        <v>1377</v>
      </c>
      <c r="M8">
        <v>451</v>
      </c>
      <c r="N8">
        <v>128</v>
      </c>
      <c r="O8">
        <v>2840</v>
      </c>
      <c r="P8">
        <v>1505</v>
      </c>
    </row>
    <row r="9" spans="1:16" x14ac:dyDescent="0.25">
      <c r="A9" t="s">
        <v>111</v>
      </c>
      <c r="B9">
        <v>311</v>
      </c>
      <c r="C9">
        <v>3</v>
      </c>
      <c r="D9">
        <v>2437</v>
      </c>
      <c r="E9">
        <v>2061</v>
      </c>
      <c r="F9">
        <v>0</v>
      </c>
      <c r="G9">
        <v>76661</v>
      </c>
      <c r="H9">
        <v>36421</v>
      </c>
      <c r="I9">
        <v>3827</v>
      </c>
      <c r="J9">
        <v>1283</v>
      </c>
      <c r="K9">
        <v>2297</v>
      </c>
      <c r="L9">
        <v>1199</v>
      </c>
      <c r="M9">
        <v>533</v>
      </c>
      <c r="N9">
        <v>107</v>
      </c>
      <c r="O9">
        <v>2830</v>
      </c>
      <c r="P9">
        <v>1306</v>
      </c>
    </row>
    <row r="10" spans="1:16" x14ac:dyDescent="0.25">
      <c r="A10" t="s">
        <v>112</v>
      </c>
      <c r="B10">
        <v>373</v>
      </c>
      <c r="C10">
        <v>7</v>
      </c>
      <c r="D10">
        <v>4300</v>
      </c>
      <c r="E10">
        <v>3145</v>
      </c>
      <c r="F10">
        <v>50</v>
      </c>
      <c r="G10">
        <v>159614</v>
      </c>
      <c r="H10">
        <v>75340</v>
      </c>
      <c r="I10">
        <v>12450</v>
      </c>
      <c r="J10">
        <v>4328</v>
      </c>
      <c r="K10">
        <v>2407</v>
      </c>
      <c r="L10">
        <v>1540</v>
      </c>
      <c r="M10">
        <v>833</v>
      </c>
      <c r="N10">
        <v>237</v>
      </c>
      <c r="O10">
        <v>3240</v>
      </c>
      <c r="P10">
        <v>1777</v>
      </c>
    </row>
    <row r="11" spans="1:16" x14ac:dyDescent="0.25">
      <c r="A11" t="s">
        <v>113</v>
      </c>
      <c r="B11">
        <v>22</v>
      </c>
      <c r="C11">
        <v>2</v>
      </c>
      <c r="D11">
        <v>173</v>
      </c>
      <c r="E11">
        <v>149</v>
      </c>
      <c r="F11">
        <v>7</v>
      </c>
      <c r="G11">
        <v>5159</v>
      </c>
      <c r="H11">
        <v>2521</v>
      </c>
      <c r="I11">
        <v>479</v>
      </c>
      <c r="J11">
        <v>149</v>
      </c>
      <c r="K11">
        <v>200</v>
      </c>
      <c r="L11">
        <v>111</v>
      </c>
      <c r="M11">
        <v>60</v>
      </c>
      <c r="N11">
        <v>12</v>
      </c>
      <c r="O11">
        <v>260</v>
      </c>
      <c r="P11">
        <v>123</v>
      </c>
    </row>
    <row r="12" spans="1:16" x14ac:dyDescent="0.25">
      <c r="A12" t="s">
        <v>114</v>
      </c>
      <c r="B12">
        <v>121</v>
      </c>
      <c r="C12">
        <v>1</v>
      </c>
      <c r="D12">
        <v>809</v>
      </c>
      <c r="E12">
        <v>532</v>
      </c>
      <c r="F12">
        <v>0</v>
      </c>
      <c r="G12">
        <v>16395</v>
      </c>
      <c r="H12">
        <v>7885</v>
      </c>
      <c r="I12">
        <v>808</v>
      </c>
      <c r="J12">
        <v>294</v>
      </c>
      <c r="K12">
        <v>629</v>
      </c>
      <c r="L12">
        <v>319</v>
      </c>
      <c r="M12">
        <v>108</v>
      </c>
      <c r="N12">
        <v>28</v>
      </c>
      <c r="O12">
        <v>737</v>
      </c>
      <c r="P12">
        <v>347</v>
      </c>
    </row>
    <row r="13" spans="1:16" x14ac:dyDescent="0.25">
      <c r="A13" t="s">
        <v>115</v>
      </c>
      <c r="B13">
        <v>286</v>
      </c>
      <c r="C13">
        <v>8</v>
      </c>
      <c r="D13">
        <v>2200</v>
      </c>
      <c r="E13">
        <v>1380</v>
      </c>
      <c r="F13">
        <v>30</v>
      </c>
      <c r="G13">
        <v>63263</v>
      </c>
      <c r="H13">
        <v>30449</v>
      </c>
      <c r="I13">
        <v>4948</v>
      </c>
      <c r="J13">
        <v>1873</v>
      </c>
      <c r="K13">
        <v>1485</v>
      </c>
      <c r="L13">
        <v>1001</v>
      </c>
      <c r="M13">
        <v>245</v>
      </c>
      <c r="N13">
        <v>89</v>
      </c>
      <c r="O13">
        <v>1730</v>
      </c>
      <c r="P13">
        <v>1090</v>
      </c>
    </row>
    <row r="14" spans="1:16" x14ac:dyDescent="0.25">
      <c r="A14" t="s">
        <v>116</v>
      </c>
      <c r="B14">
        <v>88</v>
      </c>
      <c r="C14">
        <v>6</v>
      </c>
      <c r="D14">
        <v>658</v>
      </c>
      <c r="E14">
        <v>435</v>
      </c>
      <c r="F14">
        <v>2</v>
      </c>
      <c r="G14">
        <v>14623</v>
      </c>
      <c r="H14">
        <v>7285</v>
      </c>
      <c r="I14">
        <v>538</v>
      </c>
      <c r="J14">
        <v>226</v>
      </c>
      <c r="K14">
        <v>570</v>
      </c>
      <c r="L14">
        <v>287</v>
      </c>
      <c r="M14">
        <v>38</v>
      </c>
      <c r="N14">
        <v>9</v>
      </c>
      <c r="O14">
        <v>608</v>
      </c>
      <c r="P14">
        <v>296</v>
      </c>
    </row>
    <row r="15" spans="1:16" x14ac:dyDescent="0.25">
      <c r="A15" t="s">
        <v>117</v>
      </c>
      <c r="B15">
        <v>218</v>
      </c>
      <c r="C15">
        <v>5</v>
      </c>
      <c r="D15">
        <v>1508</v>
      </c>
      <c r="E15">
        <v>1044</v>
      </c>
      <c r="F15">
        <v>16</v>
      </c>
      <c r="G15">
        <v>37185</v>
      </c>
      <c r="H15">
        <v>17719</v>
      </c>
      <c r="I15">
        <v>2958</v>
      </c>
      <c r="J15">
        <v>1065</v>
      </c>
      <c r="K15">
        <v>967</v>
      </c>
      <c r="L15">
        <v>453</v>
      </c>
      <c r="M15">
        <v>257</v>
      </c>
      <c r="N15">
        <v>63</v>
      </c>
      <c r="O15">
        <v>1224</v>
      </c>
      <c r="P15">
        <v>516</v>
      </c>
    </row>
    <row r="16" spans="1:16" x14ac:dyDescent="0.25">
      <c r="A16" t="s">
        <v>118</v>
      </c>
      <c r="B16">
        <v>48</v>
      </c>
      <c r="C16">
        <v>1</v>
      </c>
      <c r="D16">
        <v>359</v>
      </c>
      <c r="E16">
        <v>264</v>
      </c>
      <c r="F16">
        <v>2</v>
      </c>
      <c r="G16">
        <v>10488</v>
      </c>
      <c r="H16">
        <v>4990</v>
      </c>
      <c r="I16">
        <v>569</v>
      </c>
      <c r="J16">
        <v>191</v>
      </c>
      <c r="K16">
        <v>293</v>
      </c>
      <c r="L16">
        <v>172</v>
      </c>
      <c r="M16">
        <v>39</v>
      </c>
      <c r="N16">
        <v>13</v>
      </c>
      <c r="O16">
        <v>332</v>
      </c>
      <c r="P16">
        <v>185</v>
      </c>
    </row>
    <row r="17" spans="1:16" x14ac:dyDescent="0.25">
      <c r="A17" t="s">
        <v>119</v>
      </c>
      <c r="B17">
        <v>163</v>
      </c>
      <c r="C17">
        <v>5</v>
      </c>
      <c r="D17">
        <v>3254</v>
      </c>
      <c r="E17">
        <v>2224</v>
      </c>
      <c r="F17">
        <v>38</v>
      </c>
      <c r="G17">
        <v>138050</v>
      </c>
      <c r="H17">
        <v>65794</v>
      </c>
      <c r="I17">
        <v>4793</v>
      </c>
      <c r="J17">
        <v>1602</v>
      </c>
      <c r="K17">
        <v>3351</v>
      </c>
      <c r="L17">
        <v>2546</v>
      </c>
      <c r="M17">
        <v>543</v>
      </c>
      <c r="N17">
        <v>230</v>
      </c>
      <c r="O17">
        <v>3894</v>
      </c>
      <c r="P17">
        <v>2776</v>
      </c>
    </row>
    <row r="18" spans="1:16" x14ac:dyDescent="0.25">
      <c r="A18" t="s">
        <v>120</v>
      </c>
      <c r="B18">
        <v>72</v>
      </c>
      <c r="C18">
        <v>0</v>
      </c>
      <c r="D18">
        <v>804</v>
      </c>
      <c r="E18">
        <v>753</v>
      </c>
      <c r="F18">
        <v>0</v>
      </c>
      <c r="G18">
        <v>26688</v>
      </c>
      <c r="H18">
        <v>13052</v>
      </c>
      <c r="I18">
        <v>1105</v>
      </c>
      <c r="J18">
        <v>385</v>
      </c>
      <c r="K18">
        <v>786</v>
      </c>
      <c r="L18">
        <v>444</v>
      </c>
      <c r="M18">
        <v>144</v>
      </c>
      <c r="N18">
        <v>51</v>
      </c>
      <c r="O18">
        <v>930</v>
      </c>
      <c r="P18">
        <v>495</v>
      </c>
    </row>
    <row r="19" spans="1:16" x14ac:dyDescent="0.25">
      <c r="A19" t="s">
        <v>121</v>
      </c>
      <c r="B19">
        <v>228</v>
      </c>
      <c r="C19">
        <v>7</v>
      </c>
      <c r="D19">
        <v>1567</v>
      </c>
      <c r="E19">
        <v>1125</v>
      </c>
      <c r="F19">
        <v>3</v>
      </c>
      <c r="G19">
        <v>37538</v>
      </c>
      <c r="H19">
        <v>18270</v>
      </c>
      <c r="I19">
        <v>3344</v>
      </c>
      <c r="J19">
        <v>1236</v>
      </c>
      <c r="K19">
        <v>1209</v>
      </c>
      <c r="L19">
        <v>673</v>
      </c>
      <c r="M19">
        <v>236</v>
      </c>
      <c r="N19">
        <v>58</v>
      </c>
      <c r="O19">
        <v>1445</v>
      </c>
      <c r="P19">
        <v>731</v>
      </c>
    </row>
    <row r="20" spans="1:16" x14ac:dyDescent="0.25">
      <c r="A20" t="s">
        <v>122</v>
      </c>
      <c r="B20">
        <v>547</v>
      </c>
      <c r="C20">
        <v>17</v>
      </c>
      <c r="D20">
        <v>4533</v>
      </c>
      <c r="E20">
        <v>3536</v>
      </c>
      <c r="F20">
        <v>56</v>
      </c>
      <c r="G20">
        <v>148230</v>
      </c>
      <c r="H20">
        <v>69470</v>
      </c>
      <c r="I20">
        <v>9898</v>
      </c>
      <c r="J20">
        <v>3431</v>
      </c>
      <c r="K20">
        <v>2691</v>
      </c>
      <c r="L20">
        <v>1340</v>
      </c>
      <c r="M20">
        <v>1262</v>
      </c>
      <c r="N20">
        <v>327</v>
      </c>
      <c r="O20">
        <v>3953</v>
      </c>
      <c r="P20">
        <v>1667</v>
      </c>
    </row>
    <row r="21" spans="1:16" x14ac:dyDescent="0.25">
      <c r="A21" t="s">
        <v>123</v>
      </c>
      <c r="B21">
        <v>306</v>
      </c>
      <c r="C21">
        <v>3</v>
      </c>
      <c r="D21">
        <v>2341</v>
      </c>
      <c r="E21">
        <v>1580</v>
      </c>
      <c r="F21">
        <v>7</v>
      </c>
      <c r="G21">
        <v>68838</v>
      </c>
      <c r="H21">
        <v>33507</v>
      </c>
      <c r="I21">
        <v>5364</v>
      </c>
      <c r="J21">
        <v>2089</v>
      </c>
      <c r="K21">
        <v>1544</v>
      </c>
      <c r="L21">
        <v>836</v>
      </c>
      <c r="M21">
        <v>434</v>
      </c>
      <c r="N21">
        <v>127</v>
      </c>
      <c r="O21">
        <v>1978</v>
      </c>
      <c r="P21">
        <v>963</v>
      </c>
    </row>
    <row r="22" spans="1:16" x14ac:dyDescent="0.25">
      <c r="A22" t="s">
        <v>124</v>
      </c>
      <c r="B22">
        <v>222</v>
      </c>
      <c r="C22">
        <v>18</v>
      </c>
      <c r="D22">
        <v>1416</v>
      </c>
      <c r="E22">
        <v>877</v>
      </c>
      <c r="F22">
        <v>12</v>
      </c>
      <c r="G22">
        <v>40612</v>
      </c>
      <c r="H22">
        <v>19545</v>
      </c>
      <c r="I22">
        <v>1683</v>
      </c>
      <c r="J22">
        <v>679</v>
      </c>
      <c r="K22">
        <v>791</v>
      </c>
      <c r="L22">
        <v>372</v>
      </c>
      <c r="M22">
        <v>87</v>
      </c>
      <c r="N22">
        <v>19</v>
      </c>
      <c r="O22">
        <v>878</v>
      </c>
      <c r="P22">
        <v>391</v>
      </c>
    </row>
    <row r="23" spans="1:16" x14ac:dyDescent="0.25">
      <c r="A23" t="s">
        <v>125</v>
      </c>
      <c r="B23">
        <v>507</v>
      </c>
      <c r="C23">
        <v>11</v>
      </c>
      <c r="D23">
        <v>4589</v>
      </c>
      <c r="E23">
        <v>3251</v>
      </c>
      <c r="F23">
        <v>52</v>
      </c>
      <c r="G23">
        <v>165114</v>
      </c>
      <c r="H23">
        <v>79734</v>
      </c>
      <c r="I23">
        <v>11904</v>
      </c>
      <c r="J23">
        <v>4069</v>
      </c>
      <c r="K23">
        <v>2845</v>
      </c>
      <c r="L23">
        <v>1961</v>
      </c>
      <c r="M23">
        <v>1303</v>
      </c>
      <c r="N23">
        <v>585</v>
      </c>
      <c r="O23">
        <v>4148</v>
      </c>
      <c r="P23">
        <v>2546</v>
      </c>
    </row>
    <row r="24" spans="1:16" x14ac:dyDescent="0.25">
      <c r="A24" t="s">
        <v>126</v>
      </c>
      <c r="B24">
        <v>173</v>
      </c>
      <c r="C24">
        <v>9</v>
      </c>
      <c r="D24">
        <v>1199</v>
      </c>
      <c r="E24">
        <v>785</v>
      </c>
      <c r="F24">
        <v>1</v>
      </c>
      <c r="G24">
        <v>26641</v>
      </c>
      <c r="H24">
        <v>13001</v>
      </c>
      <c r="I24">
        <v>2507</v>
      </c>
      <c r="J24">
        <v>1061</v>
      </c>
      <c r="K24">
        <v>815</v>
      </c>
      <c r="L24">
        <v>500</v>
      </c>
      <c r="M24">
        <v>93</v>
      </c>
      <c r="N24">
        <v>31</v>
      </c>
      <c r="O24">
        <v>908</v>
      </c>
      <c r="P24">
        <v>531</v>
      </c>
    </row>
    <row r="25" spans="1:16" x14ac:dyDescent="0.25">
      <c r="A25" t="s">
        <v>127</v>
      </c>
      <c r="B25">
        <v>262</v>
      </c>
      <c r="C25">
        <v>4</v>
      </c>
      <c r="D25">
        <v>2481</v>
      </c>
      <c r="E25">
        <v>1794</v>
      </c>
      <c r="F25">
        <v>8</v>
      </c>
      <c r="G25">
        <v>72639</v>
      </c>
      <c r="H25">
        <v>35132</v>
      </c>
      <c r="I25">
        <v>3034</v>
      </c>
      <c r="J25">
        <v>1027</v>
      </c>
      <c r="K25">
        <v>1658</v>
      </c>
      <c r="L25">
        <v>693</v>
      </c>
      <c r="M25">
        <v>544</v>
      </c>
      <c r="N25">
        <v>112</v>
      </c>
      <c r="O25">
        <v>2202</v>
      </c>
      <c r="P25">
        <v>805</v>
      </c>
    </row>
    <row r="26" spans="1:16" x14ac:dyDescent="0.25">
      <c r="A26" t="s">
        <v>128</v>
      </c>
      <c r="B26">
        <v>382</v>
      </c>
      <c r="C26">
        <v>16</v>
      </c>
      <c r="D26">
        <v>3493</v>
      </c>
      <c r="E26">
        <v>3024</v>
      </c>
      <c r="F26">
        <v>80</v>
      </c>
      <c r="G26">
        <v>114861</v>
      </c>
      <c r="H26">
        <v>54820</v>
      </c>
      <c r="I26">
        <v>9815</v>
      </c>
      <c r="J26">
        <v>3247</v>
      </c>
      <c r="K26">
        <v>2844</v>
      </c>
      <c r="L26">
        <v>1259</v>
      </c>
      <c r="M26">
        <v>955</v>
      </c>
      <c r="N26">
        <v>210</v>
      </c>
      <c r="O26">
        <v>3799</v>
      </c>
      <c r="P26">
        <v>1469</v>
      </c>
    </row>
    <row r="27" spans="1:16" x14ac:dyDescent="0.25">
      <c r="A27" t="s">
        <v>129</v>
      </c>
      <c r="B27">
        <v>404</v>
      </c>
      <c r="C27">
        <v>6</v>
      </c>
      <c r="D27">
        <v>3286</v>
      </c>
      <c r="E27">
        <v>2348</v>
      </c>
      <c r="F27">
        <v>34</v>
      </c>
      <c r="G27">
        <v>113591</v>
      </c>
      <c r="H27">
        <v>54591</v>
      </c>
      <c r="I27">
        <v>6880</v>
      </c>
      <c r="J27">
        <v>2568</v>
      </c>
      <c r="K27">
        <v>2091</v>
      </c>
      <c r="L27">
        <v>1275</v>
      </c>
      <c r="M27">
        <v>600</v>
      </c>
      <c r="N27">
        <v>182</v>
      </c>
      <c r="O27">
        <v>2691</v>
      </c>
      <c r="P27">
        <v>1457</v>
      </c>
    </row>
    <row r="28" spans="1:16" x14ac:dyDescent="0.25">
      <c r="A28" t="s">
        <v>87</v>
      </c>
      <c r="B28">
        <v>7282</v>
      </c>
      <c r="C28">
        <v>175</v>
      </c>
      <c r="D28">
        <v>62402</v>
      </c>
      <c r="E28">
        <v>45254</v>
      </c>
      <c r="F28">
        <v>613</v>
      </c>
      <c r="G28">
        <v>2023473</v>
      </c>
      <c r="H28">
        <v>970053</v>
      </c>
      <c r="I28">
        <v>128763</v>
      </c>
      <c r="J28">
        <v>45747</v>
      </c>
      <c r="K28">
        <v>44914</v>
      </c>
      <c r="L28">
        <v>25922</v>
      </c>
      <c r="M28">
        <v>12433</v>
      </c>
      <c r="N28">
        <v>3766</v>
      </c>
      <c r="O28">
        <v>57347</v>
      </c>
      <c r="P28">
        <v>29688</v>
      </c>
    </row>
    <row r="29" spans="1:16" x14ac:dyDescent="0.25">
      <c r="A29" t="s">
        <v>130</v>
      </c>
      <c r="B29">
        <v>659</v>
      </c>
      <c r="C29">
        <v>17</v>
      </c>
      <c r="D29">
        <v>8883</v>
      </c>
      <c r="E29">
        <v>6482</v>
      </c>
      <c r="F29">
        <v>88</v>
      </c>
      <c r="G29">
        <v>334805</v>
      </c>
      <c r="H29">
        <v>160114</v>
      </c>
      <c r="I29">
        <v>16141</v>
      </c>
      <c r="J29">
        <v>5514</v>
      </c>
      <c r="K29">
        <v>8976</v>
      </c>
      <c r="L29">
        <v>6351</v>
      </c>
      <c r="M29">
        <v>1804</v>
      </c>
      <c r="N29">
        <v>755</v>
      </c>
      <c r="O29">
        <v>10780</v>
      </c>
      <c r="P29">
        <v>7106</v>
      </c>
    </row>
    <row r="30" spans="1:16" x14ac:dyDescent="0.25">
      <c r="A30" t="s">
        <v>131</v>
      </c>
      <c r="B30">
        <v>6623</v>
      </c>
      <c r="C30">
        <v>158</v>
      </c>
      <c r="D30">
        <v>53519</v>
      </c>
      <c r="E30">
        <v>38772</v>
      </c>
      <c r="F30">
        <v>525</v>
      </c>
      <c r="G30">
        <v>1688668</v>
      </c>
      <c r="H30">
        <v>809939</v>
      </c>
      <c r="I30">
        <v>112622</v>
      </c>
      <c r="J30">
        <v>40233</v>
      </c>
      <c r="K30">
        <v>35938</v>
      </c>
      <c r="L30">
        <v>19571</v>
      </c>
      <c r="M30">
        <v>10629</v>
      </c>
      <c r="N30">
        <v>3011</v>
      </c>
      <c r="O30">
        <v>46567</v>
      </c>
      <c r="P30">
        <v>22582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P30"/>
  <sheetViews>
    <sheetView workbookViewId="0"/>
  </sheetViews>
  <sheetFormatPr defaultRowHeight="15" x14ac:dyDescent="0.25"/>
  <cols>
    <col min="1" max="1" width="26.140625" customWidth="1"/>
    <col min="2" max="2" width="10.42578125" customWidth="1"/>
    <col min="3" max="3" width="10" customWidth="1"/>
    <col min="4" max="4" width="10.140625" customWidth="1"/>
    <col min="7" max="7" width="11.140625" customWidth="1"/>
    <col min="9" max="9" width="10.42578125" customWidth="1"/>
    <col min="15" max="15" width="10" customWidth="1"/>
  </cols>
  <sheetData>
    <row r="1" spans="1:16" x14ac:dyDescent="0.25">
      <c r="A1" s="27" t="s">
        <v>104</v>
      </c>
      <c r="B1" t="s">
        <v>75</v>
      </c>
      <c r="C1" t="s">
        <v>76</v>
      </c>
      <c r="D1" t="s">
        <v>75</v>
      </c>
      <c r="E1" t="s">
        <v>75</v>
      </c>
      <c r="F1" t="s">
        <v>77</v>
      </c>
      <c r="G1" s="27" t="s">
        <v>23</v>
      </c>
      <c r="H1" s="27"/>
      <c r="I1" s="27" t="s">
        <v>78</v>
      </c>
      <c r="J1" s="27"/>
      <c r="K1" s="27" t="s">
        <v>79</v>
      </c>
      <c r="L1" s="27"/>
      <c r="M1" s="27" t="s">
        <v>80</v>
      </c>
      <c r="N1" s="27"/>
      <c r="O1" s="27" t="s">
        <v>132</v>
      </c>
      <c r="P1" s="27"/>
    </row>
    <row r="2" spans="1:16" x14ac:dyDescent="0.25">
      <c r="A2" s="27"/>
      <c r="B2" t="s">
        <v>82</v>
      </c>
      <c r="C2" t="s">
        <v>82</v>
      </c>
      <c r="D2" t="s">
        <v>77</v>
      </c>
      <c r="E2" t="s">
        <v>134</v>
      </c>
      <c r="F2" t="s">
        <v>83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86</v>
      </c>
      <c r="M2" t="s">
        <v>84</v>
      </c>
      <c r="N2" t="s">
        <v>86</v>
      </c>
      <c r="O2" t="s">
        <v>84</v>
      </c>
      <c r="P2" t="s">
        <v>86</v>
      </c>
    </row>
    <row r="3" spans="1:16" x14ac:dyDescent="0.25">
      <c r="A3" t="s">
        <v>105</v>
      </c>
      <c r="B3">
        <v>84</v>
      </c>
      <c r="C3">
        <v>0</v>
      </c>
      <c r="D3">
        <v>890</v>
      </c>
      <c r="E3">
        <v>883</v>
      </c>
      <c r="F3">
        <v>0</v>
      </c>
      <c r="G3">
        <v>41434</v>
      </c>
      <c r="H3">
        <v>22558</v>
      </c>
      <c r="I3">
        <v>823</v>
      </c>
      <c r="J3">
        <v>267</v>
      </c>
      <c r="K3">
        <v>1824</v>
      </c>
      <c r="L3">
        <v>751</v>
      </c>
      <c r="M3">
        <v>314</v>
      </c>
      <c r="N3">
        <v>87</v>
      </c>
      <c r="O3">
        <v>2138</v>
      </c>
      <c r="P3">
        <v>838</v>
      </c>
    </row>
    <row r="4" spans="1:16" x14ac:dyDescent="0.25">
      <c r="A4" t="s">
        <v>106</v>
      </c>
      <c r="B4">
        <v>125</v>
      </c>
      <c r="C4">
        <v>2</v>
      </c>
      <c r="D4">
        <v>1370</v>
      </c>
      <c r="E4">
        <v>1268</v>
      </c>
      <c r="F4">
        <v>0</v>
      </c>
      <c r="G4">
        <v>66806</v>
      </c>
      <c r="H4">
        <v>36169</v>
      </c>
      <c r="I4">
        <v>1550</v>
      </c>
      <c r="J4">
        <v>501</v>
      </c>
      <c r="K4">
        <v>2606</v>
      </c>
      <c r="L4">
        <v>1229</v>
      </c>
      <c r="M4">
        <v>499</v>
      </c>
      <c r="N4">
        <v>165</v>
      </c>
      <c r="O4">
        <v>3105</v>
      </c>
      <c r="P4">
        <v>1394</v>
      </c>
    </row>
    <row r="5" spans="1:16" x14ac:dyDescent="0.25">
      <c r="A5" t="s">
        <v>107</v>
      </c>
      <c r="B5">
        <v>124</v>
      </c>
      <c r="C5">
        <v>1</v>
      </c>
      <c r="D5">
        <v>1495</v>
      </c>
      <c r="E5">
        <v>1355</v>
      </c>
      <c r="F5">
        <v>7</v>
      </c>
      <c r="G5">
        <v>65701</v>
      </c>
      <c r="H5">
        <v>36237</v>
      </c>
      <c r="I5">
        <v>1839</v>
      </c>
      <c r="J5">
        <v>662</v>
      </c>
      <c r="K5">
        <v>2907</v>
      </c>
      <c r="L5">
        <v>1398</v>
      </c>
      <c r="M5">
        <v>672</v>
      </c>
      <c r="N5">
        <v>255</v>
      </c>
      <c r="O5">
        <v>3579</v>
      </c>
      <c r="P5">
        <v>1653</v>
      </c>
    </row>
    <row r="6" spans="1:16" x14ac:dyDescent="0.25">
      <c r="A6" t="s">
        <v>108</v>
      </c>
      <c r="B6">
        <v>77</v>
      </c>
      <c r="C6">
        <v>0</v>
      </c>
      <c r="D6">
        <v>773</v>
      </c>
      <c r="E6">
        <v>742</v>
      </c>
      <c r="F6">
        <v>4</v>
      </c>
      <c r="G6">
        <v>37032</v>
      </c>
      <c r="H6">
        <v>20368</v>
      </c>
      <c r="I6">
        <v>638</v>
      </c>
      <c r="J6">
        <v>178</v>
      </c>
      <c r="K6">
        <v>1602</v>
      </c>
      <c r="L6">
        <v>657</v>
      </c>
      <c r="M6">
        <v>259</v>
      </c>
      <c r="N6">
        <v>68</v>
      </c>
      <c r="O6">
        <v>1861</v>
      </c>
      <c r="P6">
        <v>725</v>
      </c>
    </row>
    <row r="7" spans="1:16" x14ac:dyDescent="0.25">
      <c r="A7" t="s">
        <v>109</v>
      </c>
      <c r="B7">
        <v>96</v>
      </c>
      <c r="C7">
        <v>1</v>
      </c>
      <c r="D7">
        <v>972</v>
      </c>
      <c r="E7">
        <v>828</v>
      </c>
      <c r="F7">
        <v>4</v>
      </c>
      <c r="G7">
        <v>49865</v>
      </c>
      <c r="H7">
        <v>26268</v>
      </c>
      <c r="I7">
        <v>789</v>
      </c>
      <c r="J7">
        <v>228</v>
      </c>
      <c r="K7">
        <v>1979</v>
      </c>
      <c r="L7">
        <v>697</v>
      </c>
      <c r="M7">
        <v>287</v>
      </c>
      <c r="N7">
        <v>44</v>
      </c>
      <c r="O7">
        <v>2266</v>
      </c>
      <c r="P7">
        <v>741</v>
      </c>
    </row>
    <row r="8" spans="1:16" x14ac:dyDescent="0.25">
      <c r="A8" t="s">
        <v>110</v>
      </c>
      <c r="B8">
        <v>92</v>
      </c>
      <c r="C8">
        <v>0</v>
      </c>
      <c r="D8">
        <v>975</v>
      </c>
      <c r="E8">
        <v>945</v>
      </c>
      <c r="F8">
        <v>0</v>
      </c>
      <c r="G8">
        <v>45912</v>
      </c>
      <c r="H8">
        <v>25287</v>
      </c>
      <c r="I8">
        <v>1184</v>
      </c>
      <c r="J8">
        <v>409</v>
      </c>
      <c r="K8">
        <v>1728</v>
      </c>
      <c r="L8">
        <v>793</v>
      </c>
      <c r="M8">
        <v>319</v>
      </c>
      <c r="N8">
        <v>60</v>
      </c>
      <c r="O8">
        <v>2047</v>
      </c>
      <c r="P8">
        <v>853</v>
      </c>
    </row>
    <row r="9" spans="1:16" x14ac:dyDescent="0.25">
      <c r="A9" t="s">
        <v>111</v>
      </c>
      <c r="B9">
        <v>100</v>
      </c>
      <c r="C9">
        <v>0</v>
      </c>
      <c r="D9">
        <v>1159</v>
      </c>
      <c r="E9">
        <v>923</v>
      </c>
      <c r="F9">
        <v>0</v>
      </c>
      <c r="G9">
        <v>42808</v>
      </c>
      <c r="H9">
        <v>22396</v>
      </c>
      <c r="I9">
        <v>1046</v>
      </c>
      <c r="J9">
        <v>301</v>
      </c>
      <c r="K9">
        <v>2249</v>
      </c>
      <c r="L9">
        <v>931</v>
      </c>
      <c r="M9">
        <v>410</v>
      </c>
      <c r="N9">
        <v>91</v>
      </c>
      <c r="O9">
        <v>2659</v>
      </c>
      <c r="P9">
        <v>1022</v>
      </c>
    </row>
    <row r="10" spans="1:16" x14ac:dyDescent="0.25">
      <c r="A10" t="s">
        <v>112</v>
      </c>
      <c r="B10">
        <v>140</v>
      </c>
      <c r="C10">
        <v>0</v>
      </c>
      <c r="D10">
        <v>1794</v>
      </c>
      <c r="E10">
        <v>1655</v>
      </c>
      <c r="F10">
        <v>52</v>
      </c>
      <c r="G10">
        <v>78586</v>
      </c>
      <c r="H10">
        <v>42128</v>
      </c>
      <c r="I10">
        <v>1771</v>
      </c>
      <c r="J10">
        <v>568</v>
      </c>
      <c r="K10">
        <v>4382</v>
      </c>
      <c r="L10">
        <v>2030</v>
      </c>
      <c r="M10">
        <v>606</v>
      </c>
      <c r="N10">
        <v>133</v>
      </c>
      <c r="O10">
        <v>4988</v>
      </c>
      <c r="P10">
        <v>2163</v>
      </c>
    </row>
    <row r="11" spans="1:16" x14ac:dyDescent="0.25">
      <c r="A11" t="s">
        <v>113</v>
      </c>
      <c r="B11">
        <v>6</v>
      </c>
      <c r="C11">
        <v>0</v>
      </c>
      <c r="D11">
        <v>71</v>
      </c>
      <c r="E11">
        <v>71</v>
      </c>
      <c r="F11">
        <v>0</v>
      </c>
      <c r="G11">
        <v>2513</v>
      </c>
      <c r="H11">
        <v>1304</v>
      </c>
      <c r="I11">
        <v>90</v>
      </c>
      <c r="J11">
        <v>24</v>
      </c>
      <c r="K11">
        <v>225</v>
      </c>
      <c r="L11">
        <v>97</v>
      </c>
      <c r="M11">
        <v>33</v>
      </c>
      <c r="N11">
        <v>8</v>
      </c>
      <c r="O11">
        <v>258</v>
      </c>
      <c r="P11">
        <v>105</v>
      </c>
    </row>
    <row r="12" spans="1:16" x14ac:dyDescent="0.25">
      <c r="A12" t="s">
        <v>114</v>
      </c>
      <c r="B12">
        <v>31</v>
      </c>
      <c r="C12">
        <v>0</v>
      </c>
      <c r="D12">
        <v>205</v>
      </c>
      <c r="E12">
        <v>192</v>
      </c>
      <c r="F12">
        <v>0</v>
      </c>
      <c r="G12">
        <v>7789</v>
      </c>
      <c r="H12">
        <v>3950</v>
      </c>
      <c r="I12">
        <v>86</v>
      </c>
      <c r="J12">
        <v>29</v>
      </c>
      <c r="K12">
        <v>435</v>
      </c>
      <c r="L12">
        <v>151</v>
      </c>
      <c r="M12">
        <v>53</v>
      </c>
      <c r="N12">
        <v>12</v>
      </c>
      <c r="O12">
        <v>488</v>
      </c>
      <c r="P12">
        <v>163</v>
      </c>
    </row>
    <row r="13" spans="1:16" x14ac:dyDescent="0.25">
      <c r="A13" t="s">
        <v>115</v>
      </c>
      <c r="B13">
        <v>55</v>
      </c>
      <c r="C13">
        <v>0</v>
      </c>
      <c r="D13">
        <v>429</v>
      </c>
      <c r="E13">
        <v>419</v>
      </c>
      <c r="F13">
        <v>24</v>
      </c>
      <c r="G13">
        <v>19315</v>
      </c>
      <c r="H13">
        <v>10426</v>
      </c>
      <c r="I13">
        <v>344</v>
      </c>
      <c r="J13">
        <v>102</v>
      </c>
      <c r="K13">
        <v>952</v>
      </c>
      <c r="L13">
        <v>484</v>
      </c>
      <c r="M13">
        <v>116</v>
      </c>
      <c r="N13">
        <v>32</v>
      </c>
      <c r="O13">
        <v>1068</v>
      </c>
      <c r="P13">
        <v>516</v>
      </c>
    </row>
    <row r="14" spans="1:16" x14ac:dyDescent="0.25">
      <c r="A14" t="s">
        <v>116</v>
      </c>
      <c r="B14">
        <v>14</v>
      </c>
      <c r="C14">
        <v>0</v>
      </c>
      <c r="D14">
        <v>108</v>
      </c>
      <c r="E14">
        <v>101</v>
      </c>
      <c r="F14">
        <v>0</v>
      </c>
      <c r="G14">
        <v>4904</v>
      </c>
      <c r="H14">
        <v>2621</v>
      </c>
      <c r="I14">
        <v>166</v>
      </c>
      <c r="J14">
        <v>53</v>
      </c>
      <c r="K14">
        <v>234</v>
      </c>
      <c r="L14">
        <v>87</v>
      </c>
      <c r="M14">
        <v>15</v>
      </c>
      <c r="N14">
        <v>2</v>
      </c>
      <c r="O14">
        <v>249</v>
      </c>
      <c r="P14">
        <v>89</v>
      </c>
    </row>
    <row r="15" spans="1:16" x14ac:dyDescent="0.25">
      <c r="A15" t="s">
        <v>117</v>
      </c>
      <c r="B15">
        <v>38</v>
      </c>
      <c r="C15">
        <v>1</v>
      </c>
      <c r="D15">
        <v>322</v>
      </c>
      <c r="E15">
        <v>303</v>
      </c>
      <c r="F15">
        <v>0</v>
      </c>
      <c r="G15">
        <v>14582</v>
      </c>
      <c r="H15">
        <v>7592</v>
      </c>
      <c r="I15">
        <v>537</v>
      </c>
      <c r="J15">
        <v>162</v>
      </c>
      <c r="K15">
        <v>500</v>
      </c>
      <c r="L15">
        <v>178</v>
      </c>
      <c r="M15">
        <v>61</v>
      </c>
      <c r="N15">
        <v>10</v>
      </c>
      <c r="O15">
        <v>561</v>
      </c>
      <c r="P15">
        <v>188</v>
      </c>
    </row>
    <row r="16" spans="1:16" x14ac:dyDescent="0.25">
      <c r="A16" t="s">
        <v>118</v>
      </c>
      <c r="B16">
        <v>9</v>
      </c>
      <c r="C16">
        <v>0</v>
      </c>
      <c r="D16">
        <v>114</v>
      </c>
      <c r="E16">
        <v>114</v>
      </c>
      <c r="F16">
        <v>0</v>
      </c>
      <c r="G16">
        <v>4936</v>
      </c>
      <c r="H16">
        <v>2632</v>
      </c>
      <c r="I16">
        <v>176</v>
      </c>
      <c r="J16">
        <v>63</v>
      </c>
      <c r="K16">
        <v>309</v>
      </c>
      <c r="L16">
        <v>135</v>
      </c>
      <c r="M16">
        <v>41</v>
      </c>
      <c r="N16">
        <v>8</v>
      </c>
      <c r="O16">
        <v>350</v>
      </c>
      <c r="P16">
        <v>143</v>
      </c>
    </row>
    <row r="17" spans="1:16" x14ac:dyDescent="0.25">
      <c r="A17" t="s">
        <v>119</v>
      </c>
      <c r="B17">
        <v>66</v>
      </c>
      <c r="C17">
        <v>0</v>
      </c>
      <c r="D17">
        <v>1967</v>
      </c>
      <c r="E17">
        <v>1322</v>
      </c>
      <c r="F17">
        <v>0</v>
      </c>
      <c r="G17">
        <v>90657</v>
      </c>
      <c r="H17">
        <v>45883</v>
      </c>
      <c r="I17">
        <v>2301</v>
      </c>
      <c r="J17">
        <v>822</v>
      </c>
      <c r="K17">
        <v>5779</v>
      </c>
      <c r="L17">
        <v>2647</v>
      </c>
      <c r="M17">
        <v>552</v>
      </c>
      <c r="N17">
        <v>173</v>
      </c>
      <c r="O17">
        <v>6331</v>
      </c>
      <c r="P17">
        <v>2820</v>
      </c>
    </row>
    <row r="18" spans="1:16" x14ac:dyDescent="0.25">
      <c r="A18" t="s">
        <v>120</v>
      </c>
      <c r="B18">
        <v>27</v>
      </c>
      <c r="C18">
        <v>0</v>
      </c>
      <c r="D18">
        <v>300</v>
      </c>
      <c r="E18">
        <v>300</v>
      </c>
      <c r="F18">
        <v>0</v>
      </c>
      <c r="G18">
        <v>12331</v>
      </c>
      <c r="H18">
        <v>6334</v>
      </c>
      <c r="I18">
        <v>612</v>
      </c>
      <c r="J18">
        <v>221</v>
      </c>
      <c r="K18">
        <v>689</v>
      </c>
      <c r="L18">
        <v>246</v>
      </c>
      <c r="M18">
        <v>87</v>
      </c>
      <c r="N18">
        <v>23</v>
      </c>
      <c r="O18">
        <v>776</v>
      </c>
      <c r="P18">
        <v>269</v>
      </c>
    </row>
    <row r="19" spans="1:16" x14ac:dyDescent="0.25">
      <c r="A19" t="s">
        <v>121</v>
      </c>
      <c r="B19">
        <v>64</v>
      </c>
      <c r="C19">
        <v>0</v>
      </c>
      <c r="D19">
        <v>378</v>
      </c>
      <c r="E19">
        <v>378</v>
      </c>
      <c r="F19">
        <v>0</v>
      </c>
      <c r="G19">
        <v>15325</v>
      </c>
      <c r="H19">
        <v>8386</v>
      </c>
      <c r="I19">
        <v>149</v>
      </c>
      <c r="J19">
        <v>59</v>
      </c>
      <c r="K19">
        <v>747</v>
      </c>
      <c r="L19">
        <v>305</v>
      </c>
      <c r="M19">
        <v>81</v>
      </c>
      <c r="N19">
        <v>26</v>
      </c>
      <c r="O19">
        <v>828</v>
      </c>
      <c r="P19">
        <v>331</v>
      </c>
    </row>
    <row r="20" spans="1:16" x14ac:dyDescent="0.25">
      <c r="A20" t="s">
        <v>122</v>
      </c>
      <c r="B20">
        <v>124</v>
      </c>
      <c r="C20">
        <v>0</v>
      </c>
      <c r="D20">
        <v>1557</v>
      </c>
      <c r="E20">
        <v>1448</v>
      </c>
      <c r="F20">
        <v>38</v>
      </c>
      <c r="G20">
        <v>71281</v>
      </c>
      <c r="H20">
        <v>37777</v>
      </c>
      <c r="I20">
        <v>746</v>
      </c>
      <c r="J20">
        <v>239</v>
      </c>
      <c r="K20">
        <v>2504</v>
      </c>
      <c r="L20">
        <v>939</v>
      </c>
      <c r="M20">
        <v>590</v>
      </c>
      <c r="N20">
        <v>112</v>
      </c>
      <c r="O20">
        <v>3094</v>
      </c>
      <c r="P20">
        <v>1051</v>
      </c>
    </row>
    <row r="21" spans="1:16" x14ac:dyDescent="0.25">
      <c r="A21" t="s">
        <v>123</v>
      </c>
      <c r="B21">
        <v>60</v>
      </c>
      <c r="C21">
        <v>0</v>
      </c>
      <c r="D21">
        <v>653</v>
      </c>
      <c r="E21">
        <v>634</v>
      </c>
      <c r="F21">
        <v>0</v>
      </c>
      <c r="G21">
        <v>28858</v>
      </c>
      <c r="H21">
        <v>15425</v>
      </c>
      <c r="I21">
        <v>351</v>
      </c>
      <c r="J21">
        <v>105</v>
      </c>
      <c r="K21">
        <v>1422</v>
      </c>
      <c r="L21">
        <v>538</v>
      </c>
      <c r="M21">
        <v>227</v>
      </c>
      <c r="N21">
        <v>46</v>
      </c>
      <c r="O21">
        <v>1649</v>
      </c>
      <c r="P21">
        <v>584</v>
      </c>
    </row>
    <row r="22" spans="1:16" x14ac:dyDescent="0.25">
      <c r="A22" t="s">
        <v>124</v>
      </c>
      <c r="B22">
        <v>27</v>
      </c>
      <c r="C22">
        <v>0</v>
      </c>
      <c r="D22">
        <v>242</v>
      </c>
      <c r="E22">
        <v>227</v>
      </c>
      <c r="F22">
        <v>11</v>
      </c>
      <c r="G22">
        <v>12110</v>
      </c>
      <c r="H22">
        <v>6005</v>
      </c>
      <c r="I22">
        <v>125</v>
      </c>
      <c r="J22">
        <v>38</v>
      </c>
      <c r="K22">
        <v>461</v>
      </c>
      <c r="L22">
        <v>194</v>
      </c>
      <c r="M22">
        <v>36</v>
      </c>
      <c r="N22">
        <v>12</v>
      </c>
      <c r="O22">
        <v>497</v>
      </c>
      <c r="P22">
        <v>206</v>
      </c>
    </row>
    <row r="23" spans="1:16" x14ac:dyDescent="0.25">
      <c r="A23" t="s">
        <v>125</v>
      </c>
      <c r="B23">
        <v>123</v>
      </c>
      <c r="C23">
        <v>0</v>
      </c>
      <c r="D23">
        <v>1562</v>
      </c>
      <c r="E23">
        <v>1398</v>
      </c>
      <c r="F23">
        <v>22</v>
      </c>
      <c r="G23">
        <v>78266</v>
      </c>
      <c r="H23">
        <v>43287</v>
      </c>
      <c r="I23">
        <v>2386</v>
      </c>
      <c r="J23">
        <v>732</v>
      </c>
      <c r="K23">
        <v>2460</v>
      </c>
      <c r="L23">
        <v>1164</v>
      </c>
      <c r="M23">
        <v>478</v>
      </c>
      <c r="N23">
        <v>181</v>
      </c>
      <c r="O23">
        <v>2938</v>
      </c>
      <c r="P23">
        <v>1345</v>
      </c>
    </row>
    <row r="24" spans="1:16" x14ac:dyDescent="0.25">
      <c r="A24" t="s">
        <v>126</v>
      </c>
      <c r="B24">
        <v>37</v>
      </c>
      <c r="C24">
        <v>0</v>
      </c>
      <c r="D24">
        <v>191</v>
      </c>
      <c r="E24">
        <v>186</v>
      </c>
      <c r="F24">
        <v>6</v>
      </c>
      <c r="G24">
        <v>7543</v>
      </c>
      <c r="H24">
        <v>3962</v>
      </c>
      <c r="I24">
        <v>179</v>
      </c>
      <c r="J24">
        <v>64</v>
      </c>
      <c r="K24">
        <v>458</v>
      </c>
      <c r="L24">
        <v>192</v>
      </c>
      <c r="M24">
        <v>52</v>
      </c>
      <c r="N24">
        <v>14</v>
      </c>
      <c r="O24">
        <v>510</v>
      </c>
      <c r="P24">
        <v>206</v>
      </c>
    </row>
    <row r="25" spans="1:16" x14ac:dyDescent="0.25">
      <c r="A25" t="s">
        <v>127</v>
      </c>
      <c r="B25">
        <v>74</v>
      </c>
      <c r="C25">
        <v>0</v>
      </c>
      <c r="D25">
        <v>874</v>
      </c>
      <c r="E25">
        <v>826</v>
      </c>
      <c r="F25">
        <v>34</v>
      </c>
      <c r="G25">
        <v>38198</v>
      </c>
      <c r="H25">
        <v>19810</v>
      </c>
      <c r="I25">
        <v>693</v>
      </c>
      <c r="J25">
        <v>178</v>
      </c>
      <c r="K25">
        <v>1833</v>
      </c>
      <c r="L25">
        <v>540</v>
      </c>
      <c r="M25">
        <v>371</v>
      </c>
      <c r="N25">
        <v>85</v>
      </c>
      <c r="O25">
        <v>2204</v>
      </c>
      <c r="P25">
        <v>625</v>
      </c>
    </row>
    <row r="26" spans="1:16" x14ac:dyDescent="0.25">
      <c r="A26" t="s">
        <v>128</v>
      </c>
      <c r="B26">
        <v>119</v>
      </c>
      <c r="C26">
        <v>1</v>
      </c>
      <c r="D26">
        <v>1763</v>
      </c>
      <c r="E26">
        <v>1730</v>
      </c>
      <c r="F26">
        <v>11</v>
      </c>
      <c r="G26">
        <v>73313</v>
      </c>
      <c r="H26">
        <v>38063</v>
      </c>
      <c r="I26">
        <v>2205</v>
      </c>
      <c r="J26">
        <v>675</v>
      </c>
      <c r="K26">
        <v>3194</v>
      </c>
      <c r="L26">
        <v>999</v>
      </c>
      <c r="M26">
        <v>760</v>
      </c>
      <c r="N26">
        <v>186</v>
      </c>
      <c r="O26">
        <v>3954</v>
      </c>
      <c r="P26">
        <v>1185</v>
      </c>
    </row>
    <row r="27" spans="1:16" x14ac:dyDescent="0.25">
      <c r="A27" t="s">
        <v>129</v>
      </c>
      <c r="B27">
        <v>79</v>
      </c>
      <c r="C27">
        <v>0</v>
      </c>
      <c r="D27">
        <v>932</v>
      </c>
      <c r="E27">
        <v>876</v>
      </c>
      <c r="F27">
        <v>0</v>
      </c>
      <c r="G27">
        <v>43615</v>
      </c>
      <c r="H27">
        <v>24030</v>
      </c>
      <c r="I27">
        <v>1208</v>
      </c>
      <c r="J27">
        <v>400</v>
      </c>
      <c r="K27">
        <v>1418</v>
      </c>
      <c r="L27">
        <v>593</v>
      </c>
      <c r="M27">
        <v>246</v>
      </c>
      <c r="N27">
        <v>63</v>
      </c>
      <c r="O27">
        <v>1664</v>
      </c>
      <c r="P27">
        <v>656</v>
      </c>
    </row>
    <row r="28" spans="1:16" x14ac:dyDescent="0.25">
      <c r="A28" t="s">
        <v>87</v>
      </c>
      <c r="B28">
        <v>1791</v>
      </c>
      <c r="C28">
        <v>6</v>
      </c>
      <c r="D28">
        <v>21096</v>
      </c>
      <c r="E28">
        <v>19124</v>
      </c>
      <c r="F28">
        <v>213</v>
      </c>
      <c r="G28">
        <v>953680</v>
      </c>
      <c r="H28">
        <v>508898</v>
      </c>
      <c r="I28">
        <v>21994</v>
      </c>
      <c r="J28">
        <v>7080</v>
      </c>
      <c r="K28">
        <v>42897</v>
      </c>
      <c r="L28">
        <v>17975</v>
      </c>
      <c r="M28">
        <v>7165</v>
      </c>
      <c r="N28">
        <v>1896</v>
      </c>
      <c r="O28">
        <v>50062</v>
      </c>
      <c r="P28">
        <v>19871</v>
      </c>
    </row>
    <row r="29" spans="1:16" x14ac:dyDescent="0.25">
      <c r="A29" t="s">
        <v>130</v>
      </c>
      <c r="B29">
        <v>228</v>
      </c>
      <c r="C29">
        <v>1</v>
      </c>
      <c r="D29">
        <v>4866</v>
      </c>
      <c r="E29">
        <v>4093</v>
      </c>
      <c r="F29">
        <v>30</v>
      </c>
      <c r="G29">
        <v>221236</v>
      </c>
      <c r="H29">
        <v>115056</v>
      </c>
      <c r="I29">
        <v>5675</v>
      </c>
      <c r="J29">
        <v>1933</v>
      </c>
      <c r="K29">
        <v>12376</v>
      </c>
      <c r="L29">
        <v>5651</v>
      </c>
      <c r="M29">
        <v>1576</v>
      </c>
      <c r="N29">
        <v>566</v>
      </c>
      <c r="O29">
        <v>13952</v>
      </c>
      <c r="P29">
        <v>6217</v>
      </c>
    </row>
    <row r="30" spans="1:16" x14ac:dyDescent="0.25">
      <c r="A30" t="s">
        <v>131</v>
      </c>
      <c r="B30">
        <v>1563</v>
      </c>
      <c r="C30">
        <v>5</v>
      </c>
      <c r="D30">
        <v>16230</v>
      </c>
      <c r="E30">
        <v>15031</v>
      </c>
      <c r="F30">
        <v>183</v>
      </c>
      <c r="G30">
        <v>732444</v>
      </c>
      <c r="H30">
        <v>393842</v>
      </c>
      <c r="I30">
        <v>16319</v>
      </c>
      <c r="J30">
        <v>5147</v>
      </c>
      <c r="K30">
        <v>30521</v>
      </c>
      <c r="L30">
        <v>12324</v>
      </c>
      <c r="M30">
        <v>5589</v>
      </c>
      <c r="N30">
        <v>1330</v>
      </c>
      <c r="O30">
        <v>36110</v>
      </c>
      <c r="P30">
        <v>13654</v>
      </c>
    </row>
  </sheetData>
  <mergeCells count="6">
    <mergeCell ref="A1:A2"/>
    <mergeCell ref="G1:H1"/>
    <mergeCell ref="K1:L1"/>
    <mergeCell ref="O1:P1"/>
    <mergeCell ref="M1:N1"/>
    <mergeCell ref="I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</sheetPr>
  <dimension ref="A1:V30"/>
  <sheetViews>
    <sheetView workbookViewId="0"/>
  </sheetViews>
  <sheetFormatPr defaultRowHeight="15" x14ac:dyDescent="0.25"/>
  <cols>
    <col min="1" max="1" width="19.28515625" customWidth="1"/>
    <col min="2" max="2" width="6.42578125" customWidth="1"/>
    <col min="3" max="3" width="6.85546875" customWidth="1"/>
    <col min="4" max="4" width="7.140625" customWidth="1"/>
    <col min="5" max="5" width="7.28515625" customWidth="1"/>
    <col min="6" max="6" width="8" customWidth="1"/>
    <col min="7" max="7" width="8.140625" customWidth="1"/>
    <col min="9" max="9" width="8" customWidth="1"/>
    <col min="10" max="10" width="7.28515625" customWidth="1"/>
    <col min="15" max="15" width="7.42578125" customWidth="1"/>
    <col min="16" max="16" width="7.28515625" customWidth="1"/>
    <col min="17" max="17" width="7.85546875" customWidth="1"/>
    <col min="18" max="18" width="8.7109375" customWidth="1"/>
    <col min="19" max="19" width="8.42578125" customWidth="1"/>
    <col min="20" max="20" width="8.140625" customWidth="1"/>
    <col min="21" max="21" width="7.28515625" customWidth="1"/>
    <col min="22" max="22" width="8" customWidth="1"/>
  </cols>
  <sheetData>
    <row r="1" spans="1:22" x14ac:dyDescent="0.25">
      <c r="A1" s="27" t="s">
        <v>104</v>
      </c>
      <c r="B1" s="27" t="s">
        <v>141</v>
      </c>
      <c r="C1" s="27"/>
      <c r="D1" s="27"/>
      <c r="E1" s="27"/>
      <c r="F1" s="27" t="s">
        <v>142</v>
      </c>
      <c r="G1" s="27"/>
      <c r="H1" s="27"/>
      <c r="I1" s="27"/>
      <c r="J1" s="27"/>
      <c r="K1" s="27"/>
      <c r="L1" s="27" t="s">
        <v>143</v>
      </c>
      <c r="M1" s="27"/>
      <c r="N1" s="27"/>
      <c r="O1" s="27" t="s">
        <v>144</v>
      </c>
      <c r="P1" s="27"/>
      <c r="Q1" s="27"/>
      <c r="R1" s="27" t="s">
        <v>77</v>
      </c>
      <c r="S1" s="27"/>
      <c r="T1" s="27"/>
      <c r="U1" s="27"/>
      <c r="V1" s="27"/>
    </row>
    <row r="2" spans="1:22" x14ac:dyDescent="0.25">
      <c r="A2" s="27"/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  <c r="R2" t="s">
        <v>141</v>
      </c>
      <c r="S2" t="s">
        <v>161</v>
      </c>
      <c r="T2" t="s">
        <v>162</v>
      </c>
      <c r="U2" t="s">
        <v>163</v>
      </c>
      <c r="V2" t="s">
        <v>84</v>
      </c>
    </row>
    <row r="3" spans="1:22" x14ac:dyDescent="0.25">
      <c r="A3" t="s">
        <v>105</v>
      </c>
      <c r="B3">
        <v>34</v>
      </c>
      <c r="C3">
        <v>97</v>
      </c>
      <c r="D3">
        <v>173</v>
      </c>
      <c r="E3">
        <v>242</v>
      </c>
      <c r="F3">
        <v>563</v>
      </c>
      <c r="G3">
        <v>562</v>
      </c>
      <c r="H3">
        <v>548</v>
      </c>
      <c r="I3">
        <v>542</v>
      </c>
      <c r="J3">
        <v>523</v>
      </c>
      <c r="K3">
        <v>493</v>
      </c>
      <c r="L3">
        <v>239</v>
      </c>
      <c r="M3">
        <v>193</v>
      </c>
      <c r="N3">
        <v>164</v>
      </c>
      <c r="O3">
        <v>114</v>
      </c>
      <c r="P3">
        <v>93</v>
      </c>
      <c r="Q3">
        <v>87</v>
      </c>
      <c r="R3">
        <v>546</v>
      </c>
      <c r="S3">
        <v>3231</v>
      </c>
      <c r="T3">
        <v>596</v>
      </c>
      <c r="U3">
        <v>294</v>
      </c>
      <c r="V3">
        <v>4667</v>
      </c>
    </row>
    <row r="4" spans="1:22" x14ac:dyDescent="0.25">
      <c r="A4" t="s">
        <v>106</v>
      </c>
      <c r="B4">
        <v>35</v>
      </c>
      <c r="C4">
        <v>162</v>
      </c>
      <c r="D4">
        <v>295</v>
      </c>
      <c r="E4">
        <v>296</v>
      </c>
      <c r="F4">
        <v>1025</v>
      </c>
      <c r="G4">
        <v>995</v>
      </c>
      <c r="H4">
        <v>939</v>
      </c>
      <c r="I4">
        <v>895</v>
      </c>
      <c r="J4">
        <v>859</v>
      </c>
      <c r="K4">
        <v>823</v>
      </c>
      <c r="L4">
        <v>389</v>
      </c>
      <c r="M4">
        <v>300</v>
      </c>
      <c r="N4">
        <v>248</v>
      </c>
      <c r="O4">
        <v>177</v>
      </c>
      <c r="P4">
        <v>135</v>
      </c>
      <c r="Q4">
        <v>121</v>
      </c>
      <c r="R4">
        <v>788</v>
      </c>
      <c r="S4">
        <v>5536</v>
      </c>
      <c r="T4">
        <v>937</v>
      </c>
      <c r="U4">
        <v>433</v>
      </c>
      <c r="V4">
        <v>7694</v>
      </c>
    </row>
    <row r="5" spans="1:22" x14ac:dyDescent="0.25">
      <c r="A5" t="s">
        <v>107</v>
      </c>
      <c r="B5">
        <v>14</v>
      </c>
      <c r="C5">
        <v>111</v>
      </c>
      <c r="D5">
        <v>383</v>
      </c>
      <c r="E5">
        <v>46</v>
      </c>
      <c r="F5">
        <v>711</v>
      </c>
      <c r="G5">
        <v>689</v>
      </c>
      <c r="H5">
        <v>652</v>
      </c>
      <c r="I5">
        <v>632</v>
      </c>
      <c r="J5">
        <v>608</v>
      </c>
      <c r="K5">
        <v>564</v>
      </c>
      <c r="L5">
        <v>371</v>
      </c>
      <c r="M5">
        <v>315</v>
      </c>
      <c r="N5">
        <v>267</v>
      </c>
      <c r="O5">
        <v>204</v>
      </c>
      <c r="P5">
        <v>175</v>
      </c>
      <c r="Q5">
        <v>163</v>
      </c>
      <c r="R5">
        <v>554</v>
      </c>
      <c r="S5">
        <v>3856</v>
      </c>
      <c r="T5">
        <v>953</v>
      </c>
      <c r="U5">
        <v>542</v>
      </c>
      <c r="V5">
        <v>5905</v>
      </c>
    </row>
    <row r="6" spans="1:22" x14ac:dyDescent="0.25">
      <c r="A6" t="s">
        <v>108</v>
      </c>
      <c r="B6">
        <v>17</v>
      </c>
      <c r="C6">
        <v>48</v>
      </c>
      <c r="D6">
        <v>114</v>
      </c>
      <c r="E6">
        <v>40</v>
      </c>
      <c r="F6">
        <v>394</v>
      </c>
      <c r="G6">
        <v>376</v>
      </c>
      <c r="H6">
        <v>373</v>
      </c>
      <c r="I6">
        <v>355</v>
      </c>
      <c r="J6">
        <v>359</v>
      </c>
      <c r="K6">
        <v>355</v>
      </c>
      <c r="L6">
        <v>198</v>
      </c>
      <c r="M6">
        <v>163</v>
      </c>
      <c r="N6">
        <v>145</v>
      </c>
      <c r="O6">
        <v>99</v>
      </c>
      <c r="P6">
        <v>89</v>
      </c>
      <c r="Q6">
        <v>79</v>
      </c>
      <c r="R6">
        <v>219</v>
      </c>
      <c r="S6">
        <v>2212</v>
      </c>
      <c r="T6">
        <v>506</v>
      </c>
      <c r="U6">
        <v>267</v>
      </c>
      <c r="V6">
        <v>3204</v>
      </c>
    </row>
    <row r="7" spans="1:22" x14ac:dyDescent="0.25">
      <c r="A7" t="s">
        <v>109</v>
      </c>
      <c r="B7">
        <v>11</v>
      </c>
      <c r="C7">
        <v>35</v>
      </c>
      <c r="D7">
        <v>191</v>
      </c>
      <c r="E7">
        <v>72</v>
      </c>
      <c r="F7">
        <v>485</v>
      </c>
      <c r="G7">
        <v>475</v>
      </c>
      <c r="H7">
        <v>488</v>
      </c>
      <c r="I7">
        <v>475</v>
      </c>
      <c r="J7">
        <v>481</v>
      </c>
      <c r="K7">
        <v>459</v>
      </c>
      <c r="L7">
        <v>271</v>
      </c>
      <c r="M7">
        <v>215</v>
      </c>
      <c r="N7">
        <v>183</v>
      </c>
      <c r="O7">
        <v>114</v>
      </c>
      <c r="P7">
        <v>95</v>
      </c>
      <c r="Q7">
        <v>94</v>
      </c>
      <c r="R7">
        <v>309</v>
      </c>
      <c r="S7">
        <v>2863</v>
      </c>
      <c r="T7">
        <v>669</v>
      </c>
      <c r="U7">
        <v>303</v>
      </c>
      <c r="V7">
        <v>4144</v>
      </c>
    </row>
    <row r="8" spans="1:22" x14ac:dyDescent="0.25">
      <c r="A8" t="s">
        <v>110</v>
      </c>
      <c r="B8">
        <v>16</v>
      </c>
      <c r="C8">
        <v>54</v>
      </c>
      <c r="D8">
        <v>149</v>
      </c>
      <c r="E8">
        <v>84</v>
      </c>
      <c r="F8">
        <v>598</v>
      </c>
      <c r="G8">
        <v>584</v>
      </c>
      <c r="H8">
        <v>566</v>
      </c>
      <c r="I8">
        <v>535</v>
      </c>
      <c r="J8">
        <v>512</v>
      </c>
      <c r="K8">
        <v>502</v>
      </c>
      <c r="L8">
        <v>252</v>
      </c>
      <c r="M8">
        <v>205</v>
      </c>
      <c r="N8">
        <v>185</v>
      </c>
      <c r="O8">
        <v>123</v>
      </c>
      <c r="P8">
        <v>109</v>
      </c>
      <c r="Q8">
        <v>101</v>
      </c>
      <c r="R8">
        <v>303</v>
      </c>
      <c r="S8">
        <v>3297</v>
      </c>
      <c r="T8">
        <v>642</v>
      </c>
      <c r="U8">
        <v>333</v>
      </c>
      <c r="V8">
        <v>4575</v>
      </c>
    </row>
    <row r="9" spans="1:22" x14ac:dyDescent="0.25">
      <c r="A9" t="s">
        <v>111</v>
      </c>
      <c r="B9">
        <v>10</v>
      </c>
      <c r="C9">
        <v>26</v>
      </c>
      <c r="D9">
        <v>189</v>
      </c>
      <c r="E9">
        <v>41</v>
      </c>
      <c r="F9">
        <v>431</v>
      </c>
      <c r="G9">
        <v>416</v>
      </c>
      <c r="H9">
        <v>405</v>
      </c>
      <c r="I9">
        <v>397</v>
      </c>
      <c r="J9">
        <v>403</v>
      </c>
      <c r="K9">
        <v>385</v>
      </c>
      <c r="L9">
        <v>315</v>
      </c>
      <c r="M9">
        <v>250</v>
      </c>
      <c r="N9">
        <v>248</v>
      </c>
      <c r="O9">
        <v>124</v>
      </c>
      <c r="P9">
        <v>114</v>
      </c>
      <c r="Q9">
        <v>108</v>
      </c>
      <c r="R9">
        <v>266</v>
      </c>
      <c r="S9">
        <v>2437</v>
      </c>
      <c r="T9">
        <v>813</v>
      </c>
      <c r="U9">
        <v>346</v>
      </c>
      <c r="V9">
        <v>3862</v>
      </c>
    </row>
    <row r="10" spans="1:22" x14ac:dyDescent="0.25">
      <c r="A10" t="s">
        <v>112</v>
      </c>
      <c r="B10">
        <v>37</v>
      </c>
      <c r="C10">
        <v>129</v>
      </c>
      <c r="D10">
        <v>325</v>
      </c>
      <c r="E10">
        <v>24</v>
      </c>
      <c r="F10">
        <v>794</v>
      </c>
      <c r="G10">
        <v>761</v>
      </c>
      <c r="H10">
        <v>731</v>
      </c>
      <c r="I10">
        <v>696</v>
      </c>
      <c r="J10">
        <v>676</v>
      </c>
      <c r="K10">
        <v>642</v>
      </c>
      <c r="L10">
        <v>453</v>
      </c>
      <c r="M10">
        <v>375</v>
      </c>
      <c r="N10">
        <v>327</v>
      </c>
      <c r="O10">
        <v>240</v>
      </c>
      <c r="P10">
        <v>209</v>
      </c>
      <c r="Q10">
        <v>190</v>
      </c>
      <c r="R10">
        <v>515</v>
      </c>
      <c r="S10">
        <v>4300</v>
      </c>
      <c r="T10">
        <v>1155</v>
      </c>
      <c r="U10">
        <v>639</v>
      </c>
      <c r="V10">
        <v>6609</v>
      </c>
    </row>
    <row r="11" spans="1:22" x14ac:dyDescent="0.25">
      <c r="A11" t="s">
        <v>113</v>
      </c>
      <c r="B11">
        <v>1</v>
      </c>
      <c r="C11">
        <v>4</v>
      </c>
      <c r="D11">
        <v>11</v>
      </c>
      <c r="E11">
        <v>16</v>
      </c>
      <c r="F11">
        <v>35</v>
      </c>
      <c r="G11">
        <v>32</v>
      </c>
      <c r="H11">
        <v>28</v>
      </c>
      <c r="I11">
        <v>26</v>
      </c>
      <c r="J11">
        <v>27</v>
      </c>
      <c r="K11">
        <v>25</v>
      </c>
      <c r="L11">
        <v>16</v>
      </c>
      <c r="M11">
        <v>14</v>
      </c>
      <c r="N11">
        <v>14</v>
      </c>
      <c r="O11">
        <v>9</v>
      </c>
      <c r="P11">
        <v>9</v>
      </c>
      <c r="Q11">
        <v>9</v>
      </c>
      <c r="R11">
        <v>32</v>
      </c>
      <c r="S11">
        <v>173</v>
      </c>
      <c r="T11">
        <v>44</v>
      </c>
      <c r="U11">
        <v>27</v>
      </c>
      <c r="V11">
        <v>276</v>
      </c>
    </row>
    <row r="12" spans="1:22" x14ac:dyDescent="0.25">
      <c r="A12" t="s">
        <v>114</v>
      </c>
      <c r="B12">
        <v>4</v>
      </c>
      <c r="C12">
        <v>7</v>
      </c>
      <c r="D12">
        <v>16</v>
      </c>
      <c r="E12">
        <v>60</v>
      </c>
      <c r="F12">
        <v>143</v>
      </c>
      <c r="G12">
        <v>145</v>
      </c>
      <c r="H12">
        <v>133</v>
      </c>
      <c r="I12">
        <v>136</v>
      </c>
      <c r="J12">
        <v>127</v>
      </c>
      <c r="K12">
        <v>125</v>
      </c>
      <c r="L12">
        <v>52</v>
      </c>
      <c r="M12">
        <v>45</v>
      </c>
      <c r="N12">
        <v>42</v>
      </c>
      <c r="O12">
        <v>26</v>
      </c>
      <c r="P12">
        <v>23</v>
      </c>
      <c r="Q12">
        <v>17</v>
      </c>
      <c r="R12">
        <v>87</v>
      </c>
      <c r="S12">
        <v>809</v>
      </c>
      <c r="T12">
        <v>139</v>
      </c>
      <c r="U12">
        <v>66</v>
      </c>
      <c r="V12">
        <v>1101</v>
      </c>
    </row>
    <row r="13" spans="1:22" x14ac:dyDescent="0.25">
      <c r="A13" t="s">
        <v>115</v>
      </c>
      <c r="B13">
        <v>6</v>
      </c>
      <c r="C13">
        <v>27</v>
      </c>
      <c r="D13">
        <v>87</v>
      </c>
      <c r="E13">
        <v>32</v>
      </c>
      <c r="F13">
        <v>435</v>
      </c>
      <c r="G13">
        <v>408</v>
      </c>
      <c r="H13">
        <v>390</v>
      </c>
      <c r="I13">
        <v>351</v>
      </c>
      <c r="J13">
        <v>327</v>
      </c>
      <c r="K13">
        <v>289</v>
      </c>
      <c r="L13">
        <v>118</v>
      </c>
      <c r="M13">
        <v>96</v>
      </c>
      <c r="N13">
        <v>76</v>
      </c>
      <c r="O13">
        <v>51</v>
      </c>
      <c r="P13">
        <v>45</v>
      </c>
      <c r="Q13">
        <v>43</v>
      </c>
      <c r="R13">
        <v>152</v>
      </c>
      <c r="S13">
        <v>2200</v>
      </c>
      <c r="T13">
        <v>290</v>
      </c>
      <c r="U13">
        <v>139</v>
      </c>
      <c r="V13">
        <v>2781</v>
      </c>
    </row>
    <row r="14" spans="1:22" x14ac:dyDescent="0.25">
      <c r="A14" t="s">
        <v>116</v>
      </c>
      <c r="B14">
        <v>4</v>
      </c>
      <c r="C14">
        <v>4</v>
      </c>
      <c r="D14">
        <v>6</v>
      </c>
      <c r="E14">
        <v>21</v>
      </c>
      <c r="F14">
        <v>122</v>
      </c>
      <c r="G14">
        <v>120</v>
      </c>
      <c r="H14">
        <v>114</v>
      </c>
      <c r="I14">
        <v>107</v>
      </c>
      <c r="J14">
        <v>101</v>
      </c>
      <c r="K14">
        <v>94</v>
      </c>
      <c r="L14">
        <v>29</v>
      </c>
      <c r="M14">
        <v>25</v>
      </c>
      <c r="N14">
        <v>21</v>
      </c>
      <c r="O14">
        <v>12</v>
      </c>
      <c r="P14">
        <v>11</v>
      </c>
      <c r="Q14">
        <v>10</v>
      </c>
      <c r="R14">
        <v>35</v>
      </c>
      <c r="S14">
        <v>658</v>
      </c>
      <c r="T14">
        <v>75</v>
      </c>
      <c r="U14">
        <v>33</v>
      </c>
      <c r="V14">
        <v>801</v>
      </c>
    </row>
    <row r="15" spans="1:22" x14ac:dyDescent="0.25">
      <c r="A15" t="s">
        <v>117</v>
      </c>
      <c r="B15">
        <v>4</v>
      </c>
      <c r="C15">
        <v>14</v>
      </c>
      <c r="D15">
        <v>48</v>
      </c>
      <c r="E15">
        <v>61</v>
      </c>
      <c r="F15">
        <v>268</v>
      </c>
      <c r="G15">
        <v>259</v>
      </c>
      <c r="H15">
        <v>259</v>
      </c>
      <c r="I15">
        <v>253</v>
      </c>
      <c r="J15">
        <v>240</v>
      </c>
      <c r="K15">
        <v>229</v>
      </c>
      <c r="L15">
        <v>87</v>
      </c>
      <c r="M15">
        <v>66</v>
      </c>
      <c r="N15">
        <v>61</v>
      </c>
      <c r="O15">
        <v>42</v>
      </c>
      <c r="P15">
        <v>33</v>
      </c>
      <c r="Q15">
        <v>33</v>
      </c>
      <c r="R15">
        <v>127</v>
      </c>
      <c r="S15">
        <v>1508</v>
      </c>
      <c r="T15">
        <v>214</v>
      </c>
      <c r="U15">
        <v>108</v>
      </c>
      <c r="V15">
        <v>1957</v>
      </c>
    </row>
    <row r="16" spans="1:22" x14ac:dyDescent="0.25">
      <c r="A16" t="s">
        <v>118</v>
      </c>
      <c r="B16">
        <v>2</v>
      </c>
      <c r="C16">
        <v>8</v>
      </c>
      <c r="D16">
        <v>12</v>
      </c>
      <c r="E16">
        <v>17</v>
      </c>
      <c r="F16">
        <v>64</v>
      </c>
      <c r="G16">
        <v>63</v>
      </c>
      <c r="H16">
        <v>60</v>
      </c>
      <c r="I16">
        <v>58</v>
      </c>
      <c r="J16">
        <v>57</v>
      </c>
      <c r="K16">
        <v>57</v>
      </c>
      <c r="L16">
        <v>32</v>
      </c>
      <c r="M16">
        <v>26</v>
      </c>
      <c r="N16">
        <v>23</v>
      </c>
      <c r="O16">
        <v>12</v>
      </c>
      <c r="P16">
        <v>11</v>
      </c>
      <c r="Q16">
        <v>10</v>
      </c>
      <c r="R16">
        <v>39</v>
      </c>
      <c r="S16">
        <v>359</v>
      </c>
      <c r="T16">
        <v>81</v>
      </c>
      <c r="U16">
        <v>33</v>
      </c>
      <c r="V16">
        <v>512</v>
      </c>
    </row>
    <row r="17" spans="1:22" x14ac:dyDescent="0.25">
      <c r="A17" t="s">
        <v>119</v>
      </c>
      <c r="B17">
        <v>24</v>
      </c>
      <c r="C17">
        <v>31</v>
      </c>
      <c r="D17">
        <v>222</v>
      </c>
      <c r="E17">
        <v>3</v>
      </c>
      <c r="F17">
        <v>567</v>
      </c>
      <c r="G17">
        <v>560</v>
      </c>
      <c r="H17">
        <v>542</v>
      </c>
      <c r="I17">
        <v>522</v>
      </c>
      <c r="J17">
        <v>549</v>
      </c>
      <c r="K17">
        <v>514</v>
      </c>
      <c r="L17">
        <v>408</v>
      </c>
      <c r="M17">
        <v>368</v>
      </c>
      <c r="N17">
        <v>357</v>
      </c>
      <c r="O17">
        <v>285</v>
      </c>
      <c r="P17">
        <v>273</v>
      </c>
      <c r="Q17">
        <v>276</v>
      </c>
      <c r="R17">
        <v>280</v>
      </c>
      <c r="S17">
        <v>3254</v>
      </c>
      <c r="T17">
        <v>1133</v>
      </c>
      <c r="U17">
        <v>834</v>
      </c>
      <c r="V17">
        <v>5501</v>
      </c>
    </row>
    <row r="18" spans="1:22" x14ac:dyDescent="0.25">
      <c r="A18" t="s">
        <v>120</v>
      </c>
      <c r="B18">
        <v>5</v>
      </c>
      <c r="C18">
        <v>9</v>
      </c>
      <c r="D18">
        <v>35</v>
      </c>
      <c r="E18">
        <v>47</v>
      </c>
      <c r="F18">
        <v>146</v>
      </c>
      <c r="G18">
        <v>143</v>
      </c>
      <c r="H18">
        <v>138</v>
      </c>
      <c r="I18">
        <v>125</v>
      </c>
      <c r="J18">
        <v>127</v>
      </c>
      <c r="K18">
        <v>125</v>
      </c>
      <c r="L18">
        <v>78</v>
      </c>
      <c r="M18">
        <v>62</v>
      </c>
      <c r="N18">
        <v>55</v>
      </c>
      <c r="O18">
        <v>38</v>
      </c>
      <c r="P18">
        <v>32</v>
      </c>
      <c r="Q18">
        <v>35</v>
      </c>
      <c r="R18">
        <v>96</v>
      </c>
      <c r="S18">
        <v>804</v>
      </c>
      <c r="T18">
        <v>195</v>
      </c>
      <c r="U18">
        <v>105</v>
      </c>
      <c r="V18">
        <v>1200</v>
      </c>
    </row>
    <row r="19" spans="1:22" x14ac:dyDescent="0.25">
      <c r="A19" t="s">
        <v>121</v>
      </c>
      <c r="B19">
        <v>7</v>
      </c>
      <c r="C19">
        <v>19</v>
      </c>
      <c r="D19">
        <v>34</v>
      </c>
      <c r="E19">
        <v>127</v>
      </c>
      <c r="F19">
        <v>293</v>
      </c>
      <c r="G19">
        <v>283</v>
      </c>
      <c r="H19">
        <v>263</v>
      </c>
      <c r="I19">
        <v>254</v>
      </c>
      <c r="J19">
        <v>242</v>
      </c>
      <c r="K19">
        <v>232</v>
      </c>
      <c r="L19">
        <v>92</v>
      </c>
      <c r="M19">
        <v>85</v>
      </c>
      <c r="N19">
        <v>74</v>
      </c>
      <c r="O19">
        <v>44</v>
      </c>
      <c r="P19">
        <v>43</v>
      </c>
      <c r="Q19">
        <v>40</v>
      </c>
      <c r="R19">
        <v>187</v>
      </c>
      <c r="S19">
        <v>1567</v>
      </c>
      <c r="T19">
        <v>251</v>
      </c>
      <c r="U19">
        <v>127</v>
      </c>
      <c r="V19">
        <v>2132</v>
      </c>
    </row>
    <row r="20" spans="1:22" x14ac:dyDescent="0.25">
      <c r="A20" t="s">
        <v>122</v>
      </c>
      <c r="B20">
        <v>18</v>
      </c>
      <c r="C20">
        <v>100</v>
      </c>
      <c r="D20">
        <v>442</v>
      </c>
      <c r="E20">
        <v>26</v>
      </c>
      <c r="F20">
        <v>775</v>
      </c>
      <c r="G20">
        <v>765</v>
      </c>
      <c r="H20">
        <v>763</v>
      </c>
      <c r="I20">
        <v>764</v>
      </c>
      <c r="J20">
        <v>751</v>
      </c>
      <c r="K20">
        <v>715</v>
      </c>
      <c r="L20">
        <v>391</v>
      </c>
      <c r="M20">
        <v>332</v>
      </c>
      <c r="N20">
        <v>290</v>
      </c>
      <c r="O20">
        <v>210</v>
      </c>
      <c r="P20">
        <v>176</v>
      </c>
      <c r="Q20">
        <v>158</v>
      </c>
      <c r="R20">
        <v>586</v>
      </c>
      <c r="S20">
        <v>4533</v>
      </c>
      <c r="T20">
        <v>1013</v>
      </c>
      <c r="U20">
        <v>544</v>
      </c>
      <c r="V20">
        <v>6676</v>
      </c>
    </row>
    <row r="21" spans="1:22" x14ac:dyDescent="0.25">
      <c r="A21" t="s">
        <v>123</v>
      </c>
      <c r="B21">
        <v>20</v>
      </c>
      <c r="C21">
        <v>52</v>
      </c>
      <c r="D21">
        <v>120</v>
      </c>
      <c r="E21">
        <v>95</v>
      </c>
      <c r="F21">
        <v>431</v>
      </c>
      <c r="G21">
        <v>408</v>
      </c>
      <c r="H21">
        <v>395</v>
      </c>
      <c r="I21">
        <v>380</v>
      </c>
      <c r="J21">
        <v>382</v>
      </c>
      <c r="K21">
        <v>345</v>
      </c>
      <c r="L21">
        <v>174</v>
      </c>
      <c r="M21">
        <v>135</v>
      </c>
      <c r="N21">
        <v>122</v>
      </c>
      <c r="O21">
        <v>83</v>
      </c>
      <c r="P21">
        <v>73</v>
      </c>
      <c r="Q21">
        <v>66</v>
      </c>
      <c r="R21">
        <v>287</v>
      </c>
      <c r="S21">
        <v>2341</v>
      </c>
      <c r="T21">
        <v>431</v>
      </c>
      <c r="U21">
        <v>222</v>
      </c>
      <c r="V21">
        <v>3281</v>
      </c>
    </row>
    <row r="22" spans="1:22" x14ac:dyDescent="0.25">
      <c r="A22" t="s">
        <v>124</v>
      </c>
      <c r="B22">
        <v>8</v>
      </c>
      <c r="C22">
        <v>21</v>
      </c>
      <c r="D22">
        <v>131</v>
      </c>
      <c r="E22">
        <v>38</v>
      </c>
      <c r="F22">
        <v>270</v>
      </c>
      <c r="G22">
        <v>265</v>
      </c>
      <c r="H22">
        <v>252</v>
      </c>
      <c r="I22">
        <v>239</v>
      </c>
      <c r="J22">
        <v>209</v>
      </c>
      <c r="K22">
        <v>181</v>
      </c>
      <c r="L22">
        <v>67</v>
      </c>
      <c r="M22">
        <v>50</v>
      </c>
      <c r="N22">
        <v>45</v>
      </c>
      <c r="O22">
        <v>31</v>
      </c>
      <c r="P22">
        <v>27</v>
      </c>
      <c r="Q22">
        <v>22</v>
      </c>
      <c r="R22">
        <v>198</v>
      </c>
      <c r="S22">
        <v>1416</v>
      </c>
      <c r="T22">
        <v>162</v>
      </c>
      <c r="U22">
        <v>80</v>
      </c>
      <c r="V22">
        <v>1856</v>
      </c>
    </row>
    <row r="23" spans="1:22" x14ac:dyDescent="0.25">
      <c r="A23" t="s">
        <v>125</v>
      </c>
      <c r="B23">
        <v>61</v>
      </c>
      <c r="C23">
        <v>197</v>
      </c>
      <c r="D23">
        <v>451</v>
      </c>
      <c r="E23">
        <v>206</v>
      </c>
      <c r="F23">
        <v>859</v>
      </c>
      <c r="G23">
        <v>819</v>
      </c>
      <c r="H23">
        <v>769</v>
      </c>
      <c r="I23">
        <v>741</v>
      </c>
      <c r="J23">
        <v>721</v>
      </c>
      <c r="K23">
        <v>680</v>
      </c>
      <c r="L23">
        <v>395</v>
      </c>
      <c r="M23">
        <v>331</v>
      </c>
      <c r="N23">
        <v>278</v>
      </c>
      <c r="O23">
        <v>213</v>
      </c>
      <c r="P23">
        <v>177</v>
      </c>
      <c r="Q23">
        <v>168</v>
      </c>
      <c r="R23">
        <v>915</v>
      </c>
      <c r="S23">
        <v>4589</v>
      </c>
      <c r="T23">
        <v>1004</v>
      </c>
      <c r="U23">
        <v>558</v>
      </c>
      <c r="V23">
        <v>7066</v>
      </c>
    </row>
    <row r="24" spans="1:22" x14ac:dyDescent="0.25">
      <c r="A24" t="s">
        <v>126</v>
      </c>
      <c r="B24">
        <v>3</v>
      </c>
      <c r="C24">
        <v>9</v>
      </c>
      <c r="D24">
        <v>19</v>
      </c>
      <c r="E24">
        <v>33</v>
      </c>
      <c r="F24">
        <v>231</v>
      </c>
      <c r="G24">
        <v>213</v>
      </c>
      <c r="H24">
        <v>207</v>
      </c>
      <c r="I24">
        <v>194</v>
      </c>
      <c r="J24">
        <v>183</v>
      </c>
      <c r="K24">
        <v>171</v>
      </c>
      <c r="L24">
        <v>52</v>
      </c>
      <c r="M24">
        <v>43</v>
      </c>
      <c r="N24">
        <v>40</v>
      </c>
      <c r="O24">
        <v>19</v>
      </c>
      <c r="P24">
        <v>20</v>
      </c>
      <c r="Q24">
        <v>17</v>
      </c>
      <c r="R24">
        <v>64</v>
      </c>
      <c r="S24">
        <v>1199</v>
      </c>
      <c r="T24">
        <v>135</v>
      </c>
      <c r="U24">
        <v>56</v>
      </c>
      <c r="V24">
        <v>1454</v>
      </c>
    </row>
    <row r="25" spans="1:22" x14ac:dyDescent="0.25">
      <c r="A25" t="s">
        <v>127</v>
      </c>
      <c r="B25">
        <v>12</v>
      </c>
      <c r="C25">
        <v>42</v>
      </c>
      <c r="D25">
        <v>104</v>
      </c>
      <c r="E25">
        <v>100</v>
      </c>
      <c r="F25">
        <v>443</v>
      </c>
      <c r="G25">
        <v>431</v>
      </c>
      <c r="H25">
        <v>413</v>
      </c>
      <c r="I25">
        <v>391</v>
      </c>
      <c r="J25">
        <v>408</v>
      </c>
      <c r="K25">
        <v>395</v>
      </c>
      <c r="L25">
        <v>222</v>
      </c>
      <c r="M25">
        <v>184</v>
      </c>
      <c r="N25">
        <v>158</v>
      </c>
      <c r="O25">
        <v>119</v>
      </c>
      <c r="P25">
        <v>98</v>
      </c>
      <c r="Q25">
        <v>93</v>
      </c>
      <c r="R25">
        <v>258</v>
      </c>
      <c r="S25">
        <v>2481</v>
      </c>
      <c r="T25">
        <v>564</v>
      </c>
      <c r="U25">
        <v>310</v>
      </c>
      <c r="V25">
        <v>3613</v>
      </c>
    </row>
    <row r="26" spans="1:22" x14ac:dyDescent="0.25">
      <c r="A26" t="s">
        <v>128</v>
      </c>
      <c r="B26">
        <v>16</v>
      </c>
      <c r="C26">
        <v>71</v>
      </c>
      <c r="D26">
        <v>297</v>
      </c>
      <c r="E26">
        <v>66</v>
      </c>
      <c r="F26">
        <v>604</v>
      </c>
      <c r="G26">
        <v>594</v>
      </c>
      <c r="H26">
        <v>573</v>
      </c>
      <c r="I26">
        <v>570</v>
      </c>
      <c r="J26">
        <v>584</v>
      </c>
      <c r="K26">
        <v>568</v>
      </c>
      <c r="L26">
        <v>378</v>
      </c>
      <c r="M26">
        <v>352</v>
      </c>
      <c r="N26">
        <v>334</v>
      </c>
      <c r="O26">
        <v>247</v>
      </c>
      <c r="P26">
        <v>235</v>
      </c>
      <c r="Q26">
        <v>217</v>
      </c>
      <c r="R26">
        <v>450</v>
      </c>
      <c r="S26">
        <v>3493</v>
      </c>
      <c r="T26">
        <v>1064</v>
      </c>
      <c r="U26">
        <v>699</v>
      </c>
      <c r="V26">
        <v>5706</v>
      </c>
    </row>
    <row r="27" spans="1:22" x14ac:dyDescent="0.25">
      <c r="A27" t="s">
        <v>129</v>
      </c>
      <c r="B27">
        <v>24</v>
      </c>
      <c r="C27">
        <v>143</v>
      </c>
      <c r="D27">
        <v>226</v>
      </c>
      <c r="E27">
        <v>75</v>
      </c>
      <c r="F27">
        <v>604</v>
      </c>
      <c r="G27">
        <v>599</v>
      </c>
      <c r="H27">
        <v>558</v>
      </c>
      <c r="I27">
        <v>532</v>
      </c>
      <c r="J27">
        <v>522</v>
      </c>
      <c r="K27">
        <v>471</v>
      </c>
      <c r="L27">
        <v>258</v>
      </c>
      <c r="M27">
        <v>198</v>
      </c>
      <c r="N27">
        <v>168</v>
      </c>
      <c r="O27">
        <v>119</v>
      </c>
      <c r="P27">
        <v>101</v>
      </c>
      <c r="Q27">
        <v>88</v>
      </c>
      <c r="R27">
        <v>468</v>
      </c>
      <c r="S27">
        <v>3286</v>
      </c>
      <c r="T27">
        <v>624</v>
      </c>
      <c r="U27">
        <v>308</v>
      </c>
      <c r="V27">
        <v>4686</v>
      </c>
    </row>
    <row r="28" spans="1:22" x14ac:dyDescent="0.25">
      <c r="A28" t="s">
        <v>87</v>
      </c>
      <c r="B28">
        <v>393</v>
      </c>
      <c r="C28">
        <v>1420</v>
      </c>
      <c r="D28">
        <v>4080</v>
      </c>
      <c r="E28">
        <v>1868</v>
      </c>
      <c r="F28">
        <v>11291</v>
      </c>
      <c r="G28">
        <v>10965</v>
      </c>
      <c r="H28">
        <v>10559</v>
      </c>
      <c r="I28">
        <v>10170</v>
      </c>
      <c r="J28">
        <v>9978</v>
      </c>
      <c r="K28">
        <v>9439</v>
      </c>
      <c r="L28">
        <v>5337</v>
      </c>
      <c r="M28">
        <v>4428</v>
      </c>
      <c r="N28">
        <v>3925</v>
      </c>
      <c r="O28">
        <v>2755</v>
      </c>
      <c r="P28">
        <v>2406</v>
      </c>
      <c r="Q28">
        <v>2245</v>
      </c>
      <c r="R28">
        <v>7761</v>
      </c>
      <c r="S28">
        <v>62402</v>
      </c>
      <c r="T28">
        <v>13690</v>
      </c>
      <c r="U28">
        <v>7406</v>
      </c>
      <c r="V28">
        <v>91259</v>
      </c>
    </row>
    <row r="29" spans="1:22" x14ac:dyDescent="0.25">
      <c r="A29" t="s">
        <v>130</v>
      </c>
      <c r="B29">
        <v>110</v>
      </c>
      <c r="C29">
        <v>240</v>
      </c>
      <c r="D29">
        <v>681</v>
      </c>
      <c r="E29">
        <v>221</v>
      </c>
      <c r="F29">
        <v>1611</v>
      </c>
      <c r="G29">
        <v>1564</v>
      </c>
      <c r="H29">
        <v>1497</v>
      </c>
      <c r="I29">
        <v>1427</v>
      </c>
      <c r="J29">
        <v>1443</v>
      </c>
      <c r="K29">
        <v>1341</v>
      </c>
      <c r="L29">
        <v>1019</v>
      </c>
      <c r="M29">
        <v>890</v>
      </c>
      <c r="N29">
        <v>827</v>
      </c>
      <c r="O29">
        <v>746</v>
      </c>
      <c r="P29">
        <v>696</v>
      </c>
      <c r="Q29">
        <v>688</v>
      </c>
      <c r="R29">
        <v>1252</v>
      </c>
      <c r="S29">
        <v>8883</v>
      </c>
      <c r="T29">
        <v>2736</v>
      </c>
      <c r="U29">
        <v>2130</v>
      </c>
      <c r="V29">
        <v>15001</v>
      </c>
    </row>
    <row r="30" spans="1:22" x14ac:dyDescent="0.25">
      <c r="A30" t="s">
        <v>131</v>
      </c>
      <c r="B30">
        <v>283</v>
      </c>
      <c r="C30">
        <v>1180</v>
      </c>
      <c r="D30">
        <v>3399</v>
      </c>
      <c r="E30">
        <v>1647</v>
      </c>
      <c r="F30">
        <v>9680</v>
      </c>
      <c r="G30">
        <v>9401</v>
      </c>
      <c r="H30">
        <v>9062</v>
      </c>
      <c r="I30">
        <v>8743</v>
      </c>
      <c r="J30">
        <v>8535</v>
      </c>
      <c r="K30">
        <v>8098</v>
      </c>
      <c r="L30">
        <v>4318</v>
      </c>
      <c r="M30">
        <v>3538</v>
      </c>
      <c r="N30">
        <v>3098</v>
      </c>
      <c r="O30">
        <v>2009</v>
      </c>
      <c r="P30">
        <v>1710</v>
      </c>
      <c r="Q30">
        <v>1557</v>
      </c>
      <c r="R30">
        <v>6509</v>
      </c>
      <c r="S30">
        <v>53519</v>
      </c>
      <c r="T30">
        <v>10954</v>
      </c>
      <c r="U30">
        <v>5276</v>
      </c>
      <c r="V30">
        <v>76258</v>
      </c>
    </row>
  </sheetData>
  <mergeCells count="6">
    <mergeCell ref="A1:A2"/>
    <mergeCell ref="R1:V1"/>
    <mergeCell ref="L1:N1"/>
    <mergeCell ref="B1:E1"/>
    <mergeCell ref="O1:Q1"/>
    <mergeCell ref="F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M32"/>
  <sheetViews>
    <sheetView workbookViewId="0"/>
  </sheetViews>
  <sheetFormatPr defaultRowHeight="15" x14ac:dyDescent="0.25"/>
  <cols>
    <col min="1" max="1" width="26.7109375" customWidth="1"/>
    <col min="2" max="2" width="13.42578125" customWidth="1"/>
    <col min="4" max="4" width="14.140625" customWidth="1"/>
    <col min="6" max="6" width="12.140625" customWidth="1"/>
    <col min="7" max="7" width="12.42578125" customWidth="1"/>
    <col min="13" max="13" width="12.140625" customWidth="1"/>
  </cols>
  <sheetData>
    <row r="1" spans="1:13" x14ac:dyDescent="0.25">
      <c r="A1" s="27" t="s">
        <v>164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7" t="s">
        <v>104</v>
      </c>
      <c r="B2" s="27" t="s">
        <v>165</v>
      </c>
      <c r="C2" s="27" t="s">
        <v>166</v>
      </c>
      <c r="D2" s="27" t="s">
        <v>167</v>
      </c>
      <c r="E2" s="27"/>
      <c r="F2" s="27" t="s">
        <v>168</v>
      </c>
      <c r="G2" s="27"/>
      <c r="H2" s="27"/>
      <c r="I2" s="27"/>
      <c r="J2" s="27"/>
      <c r="K2" s="27"/>
      <c r="L2" s="27"/>
      <c r="M2" s="27"/>
    </row>
    <row r="3" spans="1:13" x14ac:dyDescent="0.25">
      <c r="A3" s="27"/>
      <c r="B3" s="27"/>
      <c r="C3" s="27"/>
      <c r="D3" s="27" t="s">
        <v>82</v>
      </c>
      <c r="E3" s="27" t="s">
        <v>77</v>
      </c>
      <c r="F3" s="27" t="s">
        <v>169</v>
      </c>
      <c r="G3" s="27"/>
      <c r="H3" s="27" t="s">
        <v>142</v>
      </c>
      <c r="I3" s="27"/>
      <c r="J3" s="27" t="s">
        <v>170</v>
      </c>
      <c r="K3" s="27"/>
      <c r="L3" s="27" t="s">
        <v>171</v>
      </c>
      <c r="M3" s="27"/>
    </row>
    <row r="4" spans="1:13" x14ac:dyDescent="0.25">
      <c r="A4" s="27"/>
      <c r="B4" s="27"/>
      <c r="C4" s="27"/>
      <c r="D4" s="27"/>
      <c r="E4" s="27"/>
      <c r="F4" t="s">
        <v>82</v>
      </c>
      <c r="G4" t="s">
        <v>77</v>
      </c>
      <c r="H4" t="s">
        <v>82</v>
      </c>
      <c r="I4" t="s">
        <v>77</v>
      </c>
      <c r="J4" t="s">
        <v>82</v>
      </c>
      <c r="K4" t="s">
        <v>77</v>
      </c>
      <c r="L4" t="s">
        <v>82</v>
      </c>
      <c r="M4" t="s">
        <v>77</v>
      </c>
    </row>
    <row r="5" spans="1:13" x14ac:dyDescent="0.25">
      <c r="A5" t="s">
        <v>105</v>
      </c>
      <c r="B5">
        <v>408</v>
      </c>
      <c r="C5">
        <v>86</v>
      </c>
      <c r="D5">
        <v>322</v>
      </c>
      <c r="E5">
        <v>2212</v>
      </c>
      <c r="F5">
        <v>8</v>
      </c>
      <c r="G5">
        <v>8</v>
      </c>
      <c r="H5">
        <v>10</v>
      </c>
      <c r="I5">
        <v>73</v>
      </c>
      <c r="J5">
        <v>1</v>
      </c>
      <c r="K5">
        <v>4</v>
      </c>
      <c r="L5">
        <v>0</v>
      </c>
      <c r="M5">
        <v>0</v>
      </c>
    </row>
    <row r="6" spans="1:13" x14ac:dyDescent="0.25">
      <c r="A6" t="s">
        <v>106</v>
      </c>
      <c r="B6">
        <v>649</v>
      </c>
      <c r="C6">
        <v>155</v>
      </c>
      <c r="D6">
        <v>494</v>
      </c>
      <c r="E6">
        <v>3606</v>
      </c>
      <c r="F6">
        <v>27</v>
      </c>
      <c r="G6">
        <v>51</v>
      </c>
      <c r="H6">
        <v>34</v>
      </c>
      <c r="I6">
        <v>302</v>
      </c>
      <c r="J6">
        <v>2</v>
      </c>
      <c r="K6">
        <v>12</v>
      </c>
      <c r="L6">
        <v>0</v>
      </c>
      <c r="M6">
        <v>0</v>
      </c>
    </row>
    <row r="7" spans="1:13" x14ac:dyDescent="0.25">
      <c r="A7" t="s">
        <v>107</v>
      </c>
      <c r="B7">
        <v>409</v>
      </c>
      <c r="C7">
        <v>64</v>
      </c>
      <c r="D7">
        <v>345</v>
      </c>
      <c r="E7">
        <v>2896</v>
      </c>
      <c r="F7">
        <v>45</v>
      </c>
      <c r="G7">
        <v>70</v>
      </c>
      <c r="H7">
        <v>83</v>
      </c>
      <c r="I7">
        <v>687</v>
      </c>
      <c r="J7">
        <v>10</v>
      </c>
      <c r="K7">
        <v>59</v>
      </c>
      <c r="L7">
        <v>2</v>
      </c>
      <c r="M7">
        <v>37</v>
      </c>
    </row>
    <row r="8" spans="1:13" x14ac:dyDescent="0.25">
      <c r="A8" t="s">
        <v>108</v>
      </c>
      <c r="B8">
        <v>279</v>
      </c>
      <c r="C8">
        <v>48</v>
      </c>
      <c r="D8">
        <v>231</v>
      </c>
      <c r="E8">
        <v>1658</v>
      </c>
      <c r="F8">
        <v>11</v>
      </c>
      <c r="G8">
        <v>20</v>
      </c>
      <c r="H8">
        <v>26</v>
      </c>
      <c r="I8">
        <v>205</v>
      </c>
      <c r="J8">
        <v>8</v>
      </c>
      <c r="K8">
        <v>33</v>
      </c>
      <c r="L8">
        <v>0</v>
      </c>
      <c r="M8">
        <v>0</v>
      </c>
    </row>
    <row r="9" spans="1:13" x14ac:dyDescent="0.25">
      <c r="A9" t="s">
        <v>109</v>
      </c>
      <c r="B9">
        <v>314</v>
      </c>
      <c r="C9">
        <v>48</v>
      </c>
      <c r="D9">
        <v>266</v>
      </c>
      <c r="E9">
        <v>2226</v>
      </c>
      <c r="F9">
        <v>16</v>
      </c>
      <c r="G9">
        <v>26</v>
      </c>
      <c r="H9">
        <v>29</v>
      </c>
      <c r="I9">
        <v>258</v>
      </c>
      <c r="J9">
        <v>1</v>
      </c>
      <c r="K9">
        <v>5</v>
      </c>
      <c r="L9">
        <v>1</v>
      </c>
      <c r="M9">
        <v>14</v>
      </c>
    </row>
    <row r="10" spans="1:13" x14ac:dyDescent="0.25">
      <c r="A10" t="s">
        <v>110</v>
      </c>
      <c r="B10">
        <v>490</v>
      </c>
      <c r="C10">
        <v>77</v>
      </c>
      <c r="D10">
        <v>413</v>
      </c>
      <c r="E10">
        <v>2511</v>
      </c>
      <c r="F10">
        <v>33</v>
      </c>
      <c r="G10">
        <v>43</v>
      </c>
      <c r="H10">
        <v>43</v>
      </c>
      <c r="I10">
        <v>301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 t="s">
        <v>111</v>
      </c>
      <c r="B11">
        <v>311</v>
      </c>
      <c r="C11">
        <v>63</v>
      </c>
      <c r="D11">
        <v>248</v>
      </c>
      <c r="E11">
        <v>1756</v>
      </c>
      <c r="F11">
        <v>108</v>
      </c>
      <c r="G11">
        <v>143</v>
      </c>
      <c r="H11">
        <v>154</v>
      </c>
      <c r="I11">
        <v>1293</v>
      </c>
      <c r="J11">
        <v>34</v>
      </c>
      <c r="K11">
        <v>349</v>
      </c>
      <c r="L11">
        <v>1</v>
      </c>
      <c r="M11">
        <v>11</v>
      </c>
    </row>
    <row r="12" spans="1:13" x14ac:dyDescent="0.25">
      <c r="A12" t="s">
        <v>112</v>
      </c>
      <c r="B12">
        <v>373</v>
      </c>
      <c r="C12">
        <v>77</v>
      </c>
      <c r="D12">
        <v>498</v>
      </c>
      <c r="E12">
        <v>3411</v>
      </c>
      <c r="F12">
        <v>72</v>
      </c>
      <c r="G12">
        <v>160</v>
      </c>
      <c r="H12">
        <v>114</v>
      </c>
      <c r="I12">
        <v>1268</v>
      </c>
      <c r="J12">
        <v>15</v>
      </c>
      <c r="K12">
        <v>89</v>
      </c>
      <c r="L12">
        <v>3</v>
      </c>
      <c r="M12">
        <v>49</v>
      </c>
    </row>
    <row r="13" spans="1:13" x14ac:dyDescent="0.25">
      <c r="A13" t="s">
        <v>113</v>
      </c>
      <c r="B13">
        <v>22</v>
      </c>
      <c r="C13">
        <v>6</v>
      </c>
      <c r="D13">
        <v>16</v>
      </c>
      <c r="E13">
        <v>110</v>
      </c>
      <c r="F13">
        <v>6</v>
      </c>
      <c r="G13">
        <v>9</v>
      </c>
      <c r="H13">
        <v>5</v>
      </c>
      <c r="I13">
        <v>43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 t="s">
        <v>114</v>
      </c>
      <c r="B14">
        <v>121</v>
      </c>
      <c r="C14">
        <v>23</v>
      </c>
      <c r="D14">
        <v>98</v>
      </c>
      <c r="E14">
        <v>575</v>
      </c>
      <c r="F14">
        <v>2</v>
      </c>
      <c r="G14">
        <v>2</v>
      </c>
      <c r="H14">
        <v>2</v>
      </c>
      <c r="I14">
        <v>13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 t="s">
        <v>115</v>
      </c>
      <c r="B15">
        <v>286</v>
      </c>
      <c r="C15">
        <v>51</v>
      </c>
      <c r="D15">
        <v>235</v>
      </c>
      <c r="E15">
        <v>1659</v>
      </c>
      <c r="F15">
        <v>20</v>
      </c>
      <c r="G15">
        <v>36</v>
      </c>
      <c r="H15">
        <v>27</v>
      </c>
      <c r="I15">
        <v>212</v>
      </c>
      <c r="J15">
        <v>5</v>
      </c>
      <c r="K15">
        <v>21</v>
      </c>
      <c r="L15">
        <v>2</v>
      </c>
      <c r="M15">
        <v>36</v>
      </c>
    </row>
    <row r="16" spans="1:13" x14ac:dyDescent="0.25">
      <c r="A16" t="s">
        <v>116</v>
      </c>
      <c r="B16">
        <v>88</v>
      </c>
      <c r="C16">
        <v>11</v>
      </c>
      <c r="D16">
        <v>77</v>
      </c>
      <c r="E16">
        <v>531</v>
      </c>
      <c r="F16">
        <v>1</v>
      </c>
      <c r="G16">
        <v>1</v>
      </c>
      <c r="H16">
        <v>1</v>
      </c>
      <c r="I16">
        <v>6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117</v>
      </c>
      <c r="B17">
        <v>218</v>
      </c>
      <c r="C17">
        <v>27</v>
      </c>
      <c r="D17">
        <v>191</v>
      </c>
      <c r="E17">
        <v>1248</v>
      </c>
      <c r="F17">
        <v>3</v>
      </c>
      <c r="G17">
        <v>3</v>
      </c>
      <c r="H17">
        <v>2</v>
      </c>
      <c r="I17">
        <v>22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118</v>
      </c>
      <c r="B18">
        <v>48</v>
      </c>
      <c r="C18">
        <v>8</v>
      </c>
      <c r="D18">
        <v>40</v>
      </c>
      <c r="E18">
        <v>280</v>
      </c>
      <c r="F18">
        <v>1</v>
      </c>
      <c r="G18">
        <v>1</v>
      </c>
      <c r="H18">
        <v>1</v>
      </c>
      <c r="I18">
        <v>12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119</v>
      </c>
      <c r="B19">
        <v>163</v>
      </c>
      <c r="C19">
        <v>40</v>
      </c>
      <c r="D19">
        <v>123</v>
      </c>
      <c r="E19">
        <v>2030</v>
      </c>
      <c r="F19">
        <v>32</v>
      </c>
      <c r="G19">
        <v>40</v>
      </c>
      <c r="H19">
        <v>46</v>
      </c>
      <c r="I19">
        <v>575</v>
      </c>
      <c r="J19">
        <v>4</v>
      </c>
      <c r="K19">
        <v>34</v>
      </c>
      <c r="L19">
        <v>1</v>
      </c>
      <c r="M19">
        <v>17</v>
      </c>
    </row>
    <row r="20" spans="1:13" x14ac:dyDescent="0.25">
      <c r="A20" t="s">
        <v>120</v>
      </c>
      <c r="B20">
        <v>72</v>
      </c>
      <c r="C20">
        <v>15</v>
      </c>
      <c r="D20">
        <v>57</v>
      </c>
      <c r="E20">
        <v>556</v>
      </c>
      <c r="F20">
        <v>10</v>
      </c>
      <c r="G20">
        <v>13</v>
      </c>
      <c r="H20">
        <v>6</v>
      </c>
      <c r="I20">
        <v>73</v>
      </c>
      <c r="J20">
        <v>2</v>
      </c>
      <c r="K20">
        <v>9</v>
      </c>
      <c r="L20">
        <v>0</v>
      </c>
      <c r="M20">
        <v>0</v>
      </c>
    </row>
    <row r="21" spans="1:13" x14ac:dyDescent="0.25">
      <c r="A21" t="s">
        <v>121</v>
      </c>
      <c r="B21">
        <v>228</v>
      </c>
      <c r="C21">
        <v>34</v>
      </c>
      <c r="D21">
        <v>194</v>
      </c>
      <c r="E21">
        <v>1232</v>
      </c>
      <c r="F21">
        <v>0</v>
      </c>
      <c r="G21">
        <v>0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 t="s">
        <v>122</v>
      </c>
      <c r="B22">
        <v>547</v>
      </c>
      <c r="C22">
        <v>98</v>
      </c>
      <c r="D22">
        <v>449</v>
      </c>
      <c r="E22">
        <v>3428</v>
      </c>
      <c r="F22">
        <v>100</v>
      </c>
      <c r="G22">
        <v>152</v>
      </c>
      <c r="H22">
        <v>134</v>
      </c>
      <c r="I22">
        <v>1071</v>
      </c>
      <c r="J22">
        <v>12</v>
      </c>
      <c r="K22">
        <v>75</v>
      </c>
      <c r="L22">
        <v>1</v>
      </c>
      <c r="M22">
        <v>31</v>
      </c>
    </row>
    <row r="23" spans="1:13" x14ac:dyDescent="0.25">
      <c r="A23" t="s">
        <v>123</v>
      </c>
      <c r="B23">
        <v>306</v>
      </c>
      <c r="C23">
        <v>51</v>
      </c>
      <c r="D23">
        <v>255</v>
      </c>
      <c r="E23">
        <v>1666</v>
      </c>
      <c r="F23">
        <v>4</v>
      </c>
      <c r="G23">
        <v>6</v>
      </c>
      <c r="H23">
        <v>6</v>
      </c>
      <c r="I23">
        <v>42</v>
      </c>
      <c r="J23">
        <v>1</v>
      </c>
      <c r="K23">
        <v>10</v>
      </c>
      <c r="L23">
        <v>0</v>
      </c>
      <c r="M23">
        <v>0</v>
      </c>
    </row>
    <row r="24" spans="1:13" x14ac:dyDescent="0.25">
      <c r="A24" t="s">
        <v>124</v>
      </c>
      <c r="B24">
        <v>222</v>
      </c>
      <c r="C24">
        <v>29</v>
      </c>
      <c r="D24">
        <v>193</v>
      </c>
      <c r="E24">
        <v>1113</v>
      </c>
      <c r="F24">
        <v>1</v>
      </c>
      <c r="G24">
        <v>1</v>
      </c>
      <c r="H24">
        <v>2</v>
      </c>
      <c r="I24">
        <v>12</v>
      </c>
      <c r="J24">
        <v>1</v>
      </c>
      <c r="K24">
        <v>8</v>
      </c>
      <c r="L24">
        <v>0</v>
      </c>
      <c r="M24">
        <v>0</v>
      </c>
    </row>
    <row r="25" spans="1:13" x14ac:dyDescent="0.25">
      <c r="A25" t="s">
        <v>125</v>
      </c>
      <c r="B25">
        <v>507</v>
      </c>
      <c r="C25">
        <v>79</v>
      </c>
      <c r="D25">
        <v>428</v>
      </c>
      <c r="E25">
        <v>3398</v>
      </c>
      <c r="F25">
        <v>25</v>
      </c>
      <c r="G25">
        <v>47</v>
      </c>
      <c r="H25">
        <v>20</v>
      </c>
      <c r="I25">
        <v>168</v>
      </c>
      <c r="J25">
        <v>2</v>
      </c>
      <c r="K25">
        <v>26</v>
      </c>
      <c r="L25">
        <v>1</v>
      </c>
      <c r="M25">
        <v>8</v>
      </c>
    </row>
    <row r="26" spans="1:13" x14ac:dyDescent="0.25">
      <c r="A26" t="s">
        <v>126</v>
      </c>
      <c r="B26">
        <v>173</v>
      </c>
      <c r="C26">
        <v>22</v>
      </c>
      <c r="D26">
        <v>151</v>
      </c>
      <c r="E26">
        <v>1008</v>
      </c>
      <c r="F26">
        <v>2</v>
      </c>
      <c r="G26">
        <v>2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</row>
    <row r="27" spans="1:13" x14ac:dyDescent="0.25">
      <c r="A27" t="s">
        <v>127</v>
      </c>
      <c r="B27">
        <v>262</v>
      </c>
      <c r="C27">
        <v>38</v>
      </c>
      <c r="D27">
        <v>224</v>
      </c>
      <c r="E27">
        <v>1949</v>
      </c>
      <c r="F27">
        <v>25</v>
      </c>
      <c r="G27">
        <v>31</v>
      </c>
      <c r="H27">
        <v>58</v>
      </c>
      <c r="I27">
        <v>411</v>
      </c>
      <c r="J27">
        <v>1</v>
      </c>
      <c r="K27">
        <v>7</v>
      </c>
      <c r="L27">
        <v>1</v>
      </c>
      <c r="M27">
        <v>16</v>
      </c>
    </row>
    <row r="28" spans="1:13" x14ac:dyDescent="0.25">
      <c r="A28" t="s">
        <v>128</v>
      </c>
      <c r="B28">
        <v>382</v>
      </c>
      <c r="C28">
        <v>71</v>
      </c>
      <c r="D28">
        <v>311</v>
      </c>
      <c r="E28">
        <v>2607</v>
      </c>
      <c r="F28">
        <v>82</v>
      </c>
      <c r="G28">
        <v>121</v>
      </c>
      <c r="H28">
        <v>120</v>
      </c>
      <c r="I28">
        <v>1042</v>
      </c>
      <c r="J28">
        <v>14</v>
      </c>
      <c r="K28">
        <v>73</v>
      </c>
      <c r="L28">
        <v>2</v>
      </c>
      <c r="M28">
        <v>49</v>
      </c>
    </row>
    <row r="29" spans="1:13" x14ac:dyDescent="0.25">
      <c r="A29" t="s">
        <v>129</v>
      </c>
      <c r="B29">
        <v>404</v>
      </c>
      <c r="C29">
        <v>52</v>
      </c>
      <c r="D29">
        <v>352</v>
      </c>
      <c r="E29">
        <v>2532</v>
      </c>
      <c r="F29">
        <v>25</v>
      </c>
      <c r="G29">
        <v>48</v>
      </c>
      <c r="H29">
        <v>49</v>
      </c>
      <c r="I29">
        <v>343</v>
      </c>
      <c r="J29">
        <v>3</v>
      </c>
      <c r="K29">
        <v>14</v>
      </c>
      <c r="L29">
        <v>3</v>
      </c>
      <c r="M29">
        <v>94</v>
      </c>
    </row>
    <row r="30" spans="1:13" x14ac:dyDescent="0.25">
      <c r="A30" t="s">
        <v>87</v>
      </c>
      <c r="B30">
        <v>7282</v>
      </c>
      <c r="C30">
        <v>1273</v>
      </c>
      <c r="D30">
        <v>6211</v>
      </c>
      <c r="E30">
        <v>46198</v>
      </c>
      <c r="F30">
        <v>659</v>
      </c>
      <c r="G30">
        <v>1034</v>
      </c>
      <c r="H30">
        <v>974</v>
      </c>
      <c r="I30">
        <v>8441</v>
      </c>
      <c r="J30">
        <v>116</v>
      </c>
      <c r="K30">
        <v>828</v>
      </c>
      <c r="L30">
        <v>18</v>
      </c>
      <c r="M30">
        <v>362</v>
      </c>
    </row>
    <row r="31" spans="1:13" x14ac:dyDescent="0.25">
      <c r="A31" t="s">
        <v>130</v>
      </c>
      <c r="B31">
        <v>659</v>
      </c>
      <c r="C31">
        <v>141</v>
      </c>
      <c r="D31">
        <v>527</v>
      </c>
      <c r="E31">
        <v>5652</v>
      </c>
      <c r="F31">
        <v>68</v>
      </c>
      <c r="G31">
        <v>116</v>
      </c>
      <c r="H31">
        <v>88</v>
      </c>
      <c r="I31">
        <v>1006</v>
      </c>
      <c r="J31">
        <v>8</v>
      </c>
      <c r="K31">
        <v>73</v>
      </c>
      <c r="L31">
        <v>1</v>
      </c>
      <c r="M31">
        <v>17</v>
      </c>
    </row>
    <row r="32" spans="1:13" x14ac:dyDescent="0.25">
      <c r="A32" t="s">
        <v>131</v>
      </c>
      <c r="B32">
        <v>6623</v>
      </c>
      <c r="C32">
        <v>1132</v>
      </c>
      <c r="D32">
        <v>5684</v>
      </c>
      <c r="E32">
        <v>40546</v>
      </c>
      <c r="F32">
        <v>591</v>
      </c>
      <c r="G32">
        <v>918</v>
      </c>
      <c r="H32">
        <v>886</v>
      </c>
      <c r="I32">
        <v>7435</v>
      </c>
      <c r="J32">
        <v>108</v>
      </c>
      <c r="K32">
        <v>755</v>
      </c>
      <c r="L32">
        <v>17</v>
      </c>
      <c r="M32">
        <v>345</v>
      </c>
    </row>
  </sheetData>
  <mergeCells count="12">
    <mergeCell ref="F3:G3"/>
    <mergeCell ref="L3:M3"/>
    <mergeCell ref="J3:K3"/>
    <mergeCell ref="F2:M2"/>
    <mergeCell ref="A1:M1"/>
    <mergeCell ref="D2:E2"/>
    <mergeCell ref="A2:A4"/>
    <mergeCell ref="C2:C4"/>
    <mergeCell ref="E3:E4"/>
    <mergeCell ref="D3:D4"/>
    <mergeCell ref="B2:B4"/>
    <mergeCell ref="H3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AD47"/>
  </sheetPr>
  <dimension ref="A1:O30"/>
  <sheetViews>
    <sheetView workbookViewId="0"/>
  </sheetViews>
  <sheetFormatPr defaultRowHeight="15" x14ac:dyDescent="0.25"/>
  <cols>
    <col min="1" max="1" width="26.140625" customWidth="1"/>
    <col min="2" max="2" width="11.140625" customWidth="1"/>
    <col min="3" max="3" width="10.85546875" customWidth="1"/>
    <col min="4" max="4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5" max="15" width="10.85546875" customWidth="1"/>
  </cols>
  <sheetData>
    <row r="1" spans="1:15" x14ac:dyDescent="0.25">
      <c r="A1" s="27" t="s">
        <v>104</v>
      </c>
      <c r="B1" s="27" t="s">
        <v>172</v>
      </c>
      <c r="C1" s="27"/>
      <c r="D1" s="27"/>
      <c r="E1" s="27"/>
      <c r="F1" t="s">
        <v>173</v>
      </c>
      <c r="G1" t="s">
        <v>174</v>
      </c>
      <c r="H1" t="s">
        <v>82</v>
      </c>
      <c r="I1" t="s">
        <v>175</v>
      </c>
      <c r="J1" s="27" t="s">
        <v>176</v>
      </c>
      <c r="K1" s="27"/>
      <c r="L1" s="27" t="s">
        <v>177</v>
      </c>
      <c r="M1" s="27"/>
      <c r="N1" s="27"/>
      <c r="O1" s="27"/>
    </row>
    <row r="2" spans="1:15" x14ac:dyDescent="0.25">
      <c r="A2" s="27"/>
      <c r="B2" t="s">
        <v>178</v>
      </c>
      <c r="C2" t="s">
        <v>161</v>
      </c>
      <c r="D2" t="s">
        <v>179</v>
      </c>
      <c r="E2" t="s">
        <v>180</v>
      </c>
      <c r="F2" t="s">
        <v>82</v>
      </c>
      <c r="G2" t="s">
        <v>82</v>
      </c>
      <c r="H2" t="s">
        <v>83</v>
      </c>
      <c r="I2" t="s">
        <v>178</v>
      </c>
      <c r="J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86</v>
      </c>
    </row>
    <row r="3" spans="1:15" x14ac:dyDescent="0.25">
      <c r="A3" t="s">
        <v>105</v>
      </c>
      <c r="B3">
        <v>326</v>
      </c>
      <c r="C3">
        <v>408</v>
      </c>
      <c r="D3">
        <v>54</v>
      </c>
      <c r="E3">
        <v>30</v>
      </c>
      <c r="F3">
        <v>280</v>
      </c>
      <c r="G3">
        <v>0</v>
      </c>
      <c r="H3">
        <v>19</v>
      </c>
      <c r="I3">
        <v>306</v>
      </c>
      <c r="J3">
        <v>651</v>
      </c>
      <c r="K3">
        <v>389</v>
      </c>
      <c r="L3">
        <v>45.2</v>
      </c>
      <c r="M3">
        <v>22.9</v>
      </c>
      <c r="N3">
        <v>537</v>
      </c>
      <c r="O3">
        <v>91</v>
      </c>
    </row>
    <row r="4" spans="1:15" x14ac:dyDescent="0.25">
      <c r="A4" t="s">
        <v>106</v>
      </c>
      <c r="B4">
        <v>373</v>
      </c>
      <c r="C4">
        <v>649</v>
      </c>
      <c r="D4">
        <v>96</v>
      </c>
      <c r="E4">
        <v>29</v>
      </c>
      <c r="F4">
        <v>581</v>
      </c>
      <c r="G4">
        <v>5</v>
      </c>
      <c r="H4">
        <v>63</v>
      </c>
      <c r="I4">
        <v>348</v>
      </c>
      <c r="J4">
        <v>856</v>
      </c>
      <c r="K4">
        <v>358</v>
      </c>
      <c r="L4">
        <v>43.7</v>
      </c>
      <c r="M4">
        <v>21.6</v>
      </c>
      <c r="N4">
        <v>841</v>
      </c>
      <c r="O4">
        <v>231</v>
      </c>
    </row>
    <row r="5" spans="1:15" x14ac:dyDescent="0.25">
      <c r="A5" t="s">
        <v>107</v>
      </c>
      <c r="B5">
        <v>283</v>
      </c>
      <c r="C5">
        <v>409</v>
      </c>
      <c r="D5">
        <v>81</v>
      </c>
      <c r="E5">
        <v>43</v>
      </c>
      <c r="F5">
        <v>323</v>
      </c>
      <c r="G5">
        <v>0</v>
      </c>
      <c r="H5">
        <v>140</v>
      </c>
      <c r="I5">
        <v>277</v>
      </c>
      <c r="J5">
        <v>476</v>
      </c>
      <c r="K5">
        <v>336</v>
      </c>
      <c r="L5">
        <v>39.299999999999997</v>
      </c>
      <c r="M5">
        <v>26.2</v>
      </c>
      <c r="N5">
        <v>478</v>
      </c>
      <c r="O5">
        <v>110</v>
      </c>
    </row>
    <row r="6" spans="1:15" x14ac:dyDescent="0.25">
      <c r="A6" t="s">
        <v>108</v>
      </c>
      <c r="B6">
        <v>113</v>
      </c>
      <c r="C6">
        <v>279</v>
      </c>
      <c r="D6">
        <v>61</v>
      </c>
      <c r="E6">
        <v>16</v>
      </c>
      <c r="F6">
        <v>185</v>
      </c>
      <c r="G6">
        <v>7</v>
      </c>
      <c r="H6">
        <v>45</v>
      </c>
      <c r="I6">
        <v>95</v>
      </c>
      <c r="J6">
        <v>333</v>
      </c>
      <c r="K6">
        <v>167</v>
      </c>
      <c r="L6">
        <v>45.2</v>
      </c>
      <c r="M6">
        <v>22.2</v>
      </c>
      <c r="N6">
        <v>362</v>
      </c>
      <c r="O6">
        <v>76</v>
      </c>
    </row>
    <row r="7" spans="1:15" x14ac:dyDescent="0.25">
      <c r="A7" t="s">
        <v>109</v>
      </c>
      <c r="B7">
        <v>209</v>
      </c>
      <c r="C7">
        <v>314</v>
      </c>
      <c r="D7">
        <v>72</v>
      </c>
      <c r="E7">
        <v>24</v>
      </c>
      <c r="F7">
        <v>244</v>
      </c>
      <c r="G7">
        <v>0</v>
      </c>
      <c r="H7">
        <v>47</v>
      </c>
      <c r="I7">
        <v>206</v>
      </c>
      <c r="J7">
        <v>409</v>
      </c>
      <c r="K7">
        <v>236</v>
      </c>
      <c r="L7">
        <v>44.6</v>
      </c>
      <c r="M7">
        <v>22.8</v>
      </c>
      <c r="N7">
        <v>455</v>
      </c>
      <c r="O7">
        <v>50</v>
      </c>
    </row>
    <row r="8" spans="1:15" x14ac:dyDescent="0.25">
      <c r="A8" t="s">
        <v>110</v>
      </c>
      <c r="B8">
        <v>207</v>
      </c>
      <c r="C8">
        <v>490</v>
      </c>
      <c r="D8">
        <v>67</v>
      </c>
      <c r="E8">
        <v>25</v>
      </c>
      <c r="F8">
        <v>296</v>
      </c>
      <c r="G8">
        <v>7</v>
      </c>
      <c r="H8">
        <v>76</v>
      </c>
      <c r="I8">
        <v>207</v>
      </c>
      <c r="J8">
        <v>580</v>
      </c>
      <c r="K8">
        <v>297</v>
      </c>
      <c r="L8">
        <v>36.299999999999997</v>
      </c>
      <c r="M8">
        <v>21.2</v>
      </c>
      <c r="N8">
        <v>590</v>
      </c>
      <c r="O8">
        <v>153</v>
      </c>
    </row>
    <row r="9" spans="1:15" x14ac:dyDescent="0.25">
      <c r="A9" t="s">
        <v>111</v>
      </c>
      <c r="B9">
        <v>200</v>
      </c>
      <c r="C9">
        <v>311</v>
      </c>
      <c r="D9">
        <v>76</v>
      </c>
      <c r="E9">
        <v>24</v>
      </c>
      <c r="F9">
        <v>195</v>
      </c>
      <c r="G9">
        <v>0</v>
      </c>
      <c r="H9">
        <v>297</v>
      </c>
      <c r="I9">
        <v>195</v>
      </c>
      <c r="J9">
        <v>460</v>
      </c>
      <c r="K9">
        <v>203</v>
      </c>
      <c r="L9">
        <v>45.9</v>
      </c>
      <c r="M9">
        <v>24.9</v>
      </c>
      <c r="N9">
        <v>514</v>
      </c>
      <c r="O9">
        <v>37</v>
      </c>
    </row>
    <row r="10" spans="1:15" x14ac:dyDescent="0.25">
      <c r="A10" t="s">
        <v>112</v>
      </c>
      <c r="B10">
        <v>239</v>
      </c>
      <c r="C10">
        <v>373</v>
      </c>
      <c r="D10">
        <v>101</v>
      </c>
      <c r="E10">
        <v>39</v>
      </c>
      <c r="F10">
        <v>329</v>
      </c>
      <c r="G10">
        <v>0</v>
      </c>
      <c r="H10">
        <v>204</v>
      </c>
      <c r="I10">
        <v>211</v>
      </c>
      <c r="J10">
        <v>368</v>
      </c>
      <c r="K10">
        <v>270</v>
      </c>
      <c r="L10">
        <v>48</v>
      </c>
      <c r="M10">
        <v>26</v>
      </c>
      <c r="N10">
        <v>526</v>
      </c>
      <c r="O10">
        <v>132</v>
      </c>
    </row>
    <row r="11" spans="1:15" x14ac:dyDescent="0.25">
      <c r="A11" t="s">
        <v>113</v>
      </c>
      <c r="B11">
        <v>22</v>
      </c>
      <c r="C11">
        <v>22</v>
      </c>
      <c r="D11">
        <v>4</v>
      </c>
      <c r="E11">
        <v>2</v>
      </c>
      <c r="F11">
        <v>9</v>
      </c>
      <c r="G11">
        <v>0</v>
      </c>
      <c r="H11">
        <v>11</v>
      </c>
      <c r="I11">
        <v>22</v>
      </c>
      <c r="J11">
        <v>43</v>
      </c>
      <c r="K11">
        <v>27</v>
      </c>
      <c r="L11">
        <v>45.4</v>
      </c>
      <c r="M11">
        <v>22.1</v>
      </c>
      <c r="N11">
        <v>45</v>
      </c>
      <c r="O11">
        <v>4</v>
      </c>
    </row>
    <row r="12" spans="1:15" x14ac:dyDescent="0.25">
      <c r="A12" t="s">
        <v>114</v>
      </c>
      <c r="B12">
        <v>67</v>
      </c>
      <c r="C12">
        <v>121</v>
      </c>
      <c r="D12">
        <v>19</v>
      </c>
      <c r="E12">
        <v>12</v>
      </c>
      <c r="F12">
        <v>78</v>
      </c>
      <c r="G12">
        <v>0</v>
      </c>
      <c r="H12">
        <v>4</v>
      </c>
      <c r="I12">
        <v>67</v>
      </c>
      <c r="J12">
        <v>171</v>
      </c>
      <c r="K12">
        <v>110</v>
      </c>
      <c r="L12">
        <v>39.299999999999997</v>
      </c>
      <c r="M12">
        <v>17.8</v>
      </c>
      <c r="N12">
        <v>158</v>
      </c>
      <c r="O12">
        <v>10</v>
      </c>
    </row>
    <row r="13" spans="1:15" x14ac:dyDescent="0.25">
      <c r="A13" t="s">
        <v>115</v>
      </c>
      <c r="B13">
        <v>100</v>
      </c>
      <c r="C13">
        <v>286</v>
      </c>
      <c r="D13">
        <v>43</v>
      </c>
      <c r="E13">
        <v>12</v>
      </c>
      <c r="F13">
        <v>201</v>
      </c>
      <c r="G13">
        <v>0</v>
      </c>
      <c r="H13">
        <v>54</v>
      </c>
      <c r="I13">
        <v>93</v>
      </c>
      <c r="J13">
        <v>313</v>
      </c>
      <c r="K13">
        <v>150</v>
      </c>
      <c r="L13">
        <v>42.1</v>
      </c>
      <c r="M13">
        <v>20.8</v>
      </c>
      <c r="N13">
        <v>251</v>
      </c>
      <c r="O13">
        <v>83</v>
      </c>
    </row>
    <row r="14" spans="1:15" x14ac:dyDescent="0.25">
      <c r="A14" t="s">
        <v>116</v>
      </c>
      <c r="B14">
        <v>25</v>
      </c>
      <c r="C14">
        <v>88</v>
      </c>
      <c r="D14">
        <v>9</v>
      </c>
      <c r="E14">
        <v>5</v>
      </c>
      <c r="F14">
        <v>46</v>
      </c>
      <c r="G14">
        <v>0</v>
      </c>
      <c r="H14">
        <v>2</v>
      </c>
      <c r="I14">
        <v>20</v>
      </c>
      <c r="J14">
        <v>104</v>
      </c>
      <c r="K14">
        <v>66</v>
      </c>
      <c r="L14">
        <v>36.1</v>
      </c>
      <c r="M14">
        <v>15.2</v>
      </c>
      <c r="N14">
        <v>63</v>
      </c>
      <c r="O14">
        <v>30</v>
      </c>
    </row>
    <row r="15" spans="1:15" x14ac:dyDescent="0.25">
      <c r="A15" t="s">
        <v>117</v>
      </c>
      <c r="B15">
        <v>103</v>
      </c>
      <c r="C15">
        <v>218</v>
      </c>
      <c r="D15">
        <v>29</v>
      </c>
      <c r="E15">
        <v>9</v>
      </c>
      <c r="F15">
        <v>96</v>
      </c>
      <c r="G15">
        <v>0</v>
      </c>
      <c r="H15">
        <v>5</v>
      </c>
      <c r="I15">
        <v>103</v>
      </c>
      <c r="J15">
        <v>296</v>
      </c>
      <c r="K15">
        <v>154</v>
      </c>
      <c r="L15">
        <v>43.3</v>
      </c>
      <c r="M15">
        <v>17.600000000000001</v>
      </c>
      <c r="N15">
        <v>204</v>
      </c>
      <c r="O15">
        <v>17</v>
      </c>
    </row>
    <row r="16" spans="1:15" x14ac:dyDescent="0.25">
      <c r="A16" t="s">
        <v>118</v>
      </c>
      <c r="B16">
        <v>24</v>
      </c>
      <c r="C16">
        <v>48</v>
      </c>
      <c r="D16">
        <v>7</v>
      </c>
      <c r="E16">
        <v>2</v>
      </c>
      <c r="F16">
        <v>27</v>
      </c>
      <c r="G16">
        <v>0</v>
      </c>
      <c r="H16">
        <v>2</v>
      </c>
      <c r="I16">
        <v>22</v>
      </c>
      <c r="J16">
        <v>62</v>
      </c>
      <c r="K16">
        <v>36</v>
      </c>
      <c r="L16">
        <v>40.1</v>
      </c>
      <c r="M16">
        <v>18.100000000000001</v>
      </c>
      <c r="N16">
        <v>67</v>
      </c>
      <c r="O16">
        <v>16</v>
      </c>
    </row>
    <row r="17" spans="1:15" x14ac:dyDescent="0.25">
      <c r="A17" t="s">
        <v>119</v>
      </c>
      <c r="B17">
        <v>145</v>
      </c>
      <c r="C17">
        <v>163</v>
      </c>
      <c r="D17">
        <v>27</v>
      </c>
      <c r="E17">
        <v>39</v>
      </c>
      <c r="F17">
        <v>168</v>
      </c>
      <c r="G17">
        <v>0</v>
      </c>
      <c r="H17">
        <v>83</v>
      </c>
      <c r="I17">
        <v>126</v>
      </c>
      <c r="J17">
        <v>84</v>
      </c>
      <c r="K17">
        <v>227</v>
      </c>
      <c r="L17">
        <v>54.3</v>
      </c>
      <c r="M17">
        <v>28.2</v>
      </c>
      <c r="N17">
        <v>301</v>
      </c>
      <c r="O17">
        <v>70</v>
      </c>
    </row>
    <row r="18" spans="1:15" x14ac:dyDescent="0.25">
      <c r="A18" t="s">
        <v>120</v>
      </c>
      <c r="B18">
        <v>58</v>
      </c>
      <c r="C18">
        <v>72</v>
      </c>
      <c r="D18">
        <v>18</v>
      </c>
      <c r="E18">
        <v>9</v>
      </c>
      <c r="F18">
        <v>71</v>
      </c>
      <c r="G18">
        <v>0</v>
      </c>
      <c r="H18">
        <v>18</v>
      </c>
      <c r="I18">
        <v>56</v>
      </c>
      <c r="J18">
        <v>132</v>
      </c>
      <c r="K18">
        <v>25</v>
      </c>
      <c r="L18">
        <v>43.7</v>
      </c>
      <c r="M18">
        <v>21.6</v>
      </c>
      <c r="N18">
        <v>124</v>
      </c>
      <c r="O18">
        <v>23</v>
      </c>
    </row>
    <row r="19" spans="1:15" x14ac:dyDescent="0.25">
      <c r="A19" t="s">
        <v>121</v>
      </c>
      <c r="B19">
        <v>115</v>
      </c>
      <c r="C19">
        <v>228</v>
      </c>
      <c r="D19">
        <v>47</v>
      </c>
      <c r="E19">
        <v>17</v>
      </c>
      <c r="F19">
        <v>45</v>
      </c>
      <c r="G19">
        <v>1</v>
      </c>
      <c r="H19">
        <v>1</v>
      </c>
      <c r="I19">
        <v>109</v>
      </c>
      <c r="J19">
        <v>334</v>
      </c>
      <c r="K19">
        <v>164</v>
      </c>
      <c r="L19">
        <v>38.299999999999997</v>
      </c>
      <c r="M19">
        <v>16.399999999999999</v>
      </c>
      <c r="N19">
        <v>249</v>
      </c>
      <c r="O19">
        <v>64</v>
      </c>
    </row>
    <row r="20" spans="1:15" x14ac:dyDescent="0.25">
      <c r="A20" t="s">
        <v>122</v>
      </c>
      <c r="B20">
        <v>386</v>
      </c>
      <c r="C20">
        <v>547</v>
      </c>
      <c r="D20">
        <v>92</v>
      </c>
      <c r="E20">
        <v>32</v>
      </c>
      <c r="F20">
        <v>452</v>
      </c>
      <c r="G20">
        <v>0</v>
      </c>
      <c r="H20">
        <v>247</v>
      </c>
      <c r="I20">
        <v>374</v>
      </c>
      <c r="J20">
        <v>690</v>
      </c>
      <c r="K20">
        <v>413</v>
      </c>
      <c r="L20">
        <v>46.1</v>
      </c>
      <c r="M20">
        <v>25.1</v>
      </c>
      <c r="N20">
        <v>661</v>
      </c>
      <c r="O20">
        <v>118</v>
      </c>
    </row>
    <row r="21" spans="1:15" x14ac:dyDescent="0.25">
      <c r="A21" t="s">
        <v>123</v>
      </c>
      <c r="B21">
        <v>177</v>
      </c>
      <c r="C21">
        <v>306</v>
      </c>
      <c r="D21">
        <v>44</v>
      </c>
      <c r="E21">
        <v>16</v>
      </c>
      <c r="F21">
        <v>211</v>
      </c>
      <c r="G21">
        <v>11</v>
      </c>
      <c r="H21">
        <v>11</v>
      </c>
      <c r="I21">
        <v>157</v>
      </c>
      <c r="J21">
        <v>441</v>
      </c>
      <c r="K21">
        <v>200</v>
      </c>
      <c r="L21">
        <v>44</v>
      </c>
      <c r="M21">
        <v>22.8</v>
      </c>
      <c r="N21">
        <v>400</v>
      </c>
      <c r="O21">
        <v>89</v>
      </c>
    </row>
    <row r="22" spans="1:15" x14ac:dyDescent="0.25">
      <c r="A22" t="s">
        <v>124</v>
      </c>
      <c r="B22">
        <v>62</v>
      </c>
      <c r="C22">
        <v>222</v>
      </c>
      <c r="D22">
        <v>16</v>
      </c>
      <c r="E22">
        <v>11</v>
      </c>
      <c r="F22">
        <v>142</v>
      </c>
      <c r="G22">
        <v>0</v>
      </c>
      <c r="H22">
        <v>4</v>
      </c>
      <c r="I22">
        <v>61</v>
      </c>
      <c r="J22">
        <v>246</v>
      </c>
      <c r="K22">
        <v>140</v>
      </c>
      <c r="L22">
        <v>36.299999999999997</v>
      </c>
      <c r="M22">
        <v>14.8</v>
      </c>
      <c r="N22">
        <v>195</v>
      </c>
      <c r="O22">
        <v>35</v>
      </c>
    </row>
    <row r="23" spans="1:15" x14ac:dyDescent="0.25">
      <c r="A23" t="s">
        <v>125</v>
      </c>
      <c r="B23">
        <v>447</v>
      </c>
      <c r="C23">
        <v>507</v>
      </c>
      <c r="D23">
        <v>82</v>
      </c>
      <c r="E23">
        <v>41</v>
      </c>
      <c r="F23">
        <v>382</v>
      </c>
      <c r="G23">
        <v>4</v>
      </c>
      <c r="H23">
        <v>48</v>
      </c>
      <c r="I23">
        <v>428</v>
      </c>
      <c r="J23">
        <v>803</v>
      </c>
      <c r="K23">
        <v>462</v>
      </c>
      <c r="L23">
        <v>42.3</v>
      </c>
      <c r="M23">
        <v>19.600000000000001</v>
      </c>
      <c r="N23">
        <v>670</v>
      </c>
      <c r="O23">
        <v>224</v>
      </c>
    </row>
    <row r="24" spans="1:15" x14ac:dyDescent="0.25">
      <c r="A24" t="s">
        <v>126</v>
      </c>
      <c r="B24">
        <v>36</v>
      </c>
      <c r="C24">
        <v>173</v>
      </c>
      <c r="D24">
        <v>29</v>
      </c>
      <c r="E24">
        <v>8</v>
      </c>
      <c r="F24">
        <v>111</v>
      </c>
      <c r="G24">
        <v>0</v>
      </c>
      <c r="H24">
        <v>3</v>
      </c>
      <c r="I24">
        <v>35</v>
      </c>
      <c r="J24">
        <v>205</v>
      </c>
      <c r="K24">
        <v>95</v>
      </c>
      <c r="L24">
        <v>42.2</v>
      </c>
      <c r="M24">
        <v>15.6</v>
      </c>
      <c r="N24">
        <v>142</v>
      </c>
      <c r="O24">
        <v>46</v>
      </c>
    </row>
    <row r="25" spans="1:15" x14ac:dyDescent="0.25">
      <c r="A25" t="s">
        <v>127</v>
      </c>
      <c r="B25">
        <v>173</v>
      </c>
      <c r="C25">
        <v>262</v>
      </c>
      <c r="D25">
        <v>54</v>
      </c>
      <c r="E25">
        <v>20</v>
      </c>
      <c r="F25">
        <v>160</v>
      </c>
      <c r="G25">
        <v>0</v>
      </c>
      <c r="H25">
        <v>85</v>
      </c>
      <c r="I25">
        <v>167</v>
      </c>
      <c r="J25">
        <v>382</v>
      </c>
      <c r="K25">
        <v>196</v>
      </c>
      <c r="L25">
        <v>47.1</v>
      </c>
      <c r="M25">
        <v>26.2</v>
      </c>
      <c r="N25">
        <v>422</v>
      </c>
      <c r="O25">
        <v>57</v>
      </c>
    </row>
    <row r="26" spans="1:15" x14ac:dyDescent="0.25">
      <c r="A26" t="s">
        <v>128</v>
      </c>
      <c r="B26">
        <v>292</v>
      </c>
      <c r="C26">
        <v>382</v>
      </c>
      <c r="D26">
        <v>67</v>
      </c>
      <c r="E26">
        <v>52</v>
      </c>
      <c r="F26">
        <v>187</v>
      </c>
      <c r="G26">
        <v>0</v>
      </c>
      <c r="H26">
        <v>218</v>
      </c>
      <c r="I26">
        <v>288</v>
      </c>
      <c r="J26">
        <v>556</v>
      </c>
      <c r="K26">
        <v>293</v>
      </c>
      <c r="L26">
        <v>40.5</v>
      </c>
      <c r="M26">
        <v>26.9</v>
      </c>
      <c r="N26">
        <v>616</v>
      </c>
      <c r="O26">
        <v>66</v>
      </c>
    </row>
    <row r="27" spans="1:15" x14ac:dyDescent="0.25">
      <c r="A27" t="s">
        <v>129</v>
      </c>
      <c r="B27">
        <v>227</v>
      </c>
      <c r="C27">
        <v>404</v>
      </c>
      <c r="D27">
        <v>52</v>
      </c>
      <c r="E27">
        <v>27</v>
      </c>
      <c r="F27">
        <v>314</v>
      </c>
      <c r="G27">
        <v>0</v>
      </c>
      <c r="H27">
        <v>80</v>
      </c>
      <c r="I27">
        <v>223</v>
      </c>
      <c r="J27">
        <v>459</v>
      </c>
      <c r="K27">
        <v>250</v>
      </c>
      <c r="L27">
        <v>44.8</v>
      </c>
      <c r="M27">
        <v>21.4</v>
      </c>
      <c r="N27">
        <v>476</v>
      </c>
      <c r="O27">
        <v>80</v>
      </c>
    </row>
    <row r="28" spans="1:15" x14ac:dyDescent="0.25">
      <c r="A28" t="s">
        <v>87</v>
      </c>
      <c r="B28">
        <v>4409</v>
      </c>
      <c r="C28">
        <v>7282</v>
      </c>
      <c r="D28">
        <v>1247</v>
      </c>
      <c r="E28">
        <v>544</v>
      </c>
      <c r="F28">
        <v>5133</v>
      </c>
      <c r="G28">
        <v>35</v>
      </c>
      <c r="H28">
        <v>1767</v>
      </c>
      <c r="I28">
        <v>4196</v>
      </c>
      <c r="J28">
        <v>9454</v>
      </c>
      <c r="K28">
        <v>5264</v>
      </c>
      <c r="L28">
        <v>43.3</v>
      </c>
      <c r="M28">
        <v>22.5</v>
      </c>
      <c r="N28">
        <v>9347</v>
      </c>
      <c r="O28">
        <v>1912</v>
      </c>
    </row>
    <row r="29" spans="1:15" x14ac:dyDescent="0.25">
      <c r="A29" t="s">
        <v>130</v>
      </c>
      <c r="B29">
        <v>503</v>
      </c>
      <c r="C29">
        <v>659</v>
      </c>
      <c r="D29">
        <v>120</v>
      </c>
      <c r="E29">
        <v>108</v>
      </c>
      <c r="F29">
        <v>498</v>
      </c>
      <c r="G29">
        <v>1</v>
      </c>
      <c r="H29">
        <v>165</v>
      </c>
      <c r="I29">
        <v>449</v>
      </c>
      <c r="J29">
        <v>681</v>
      </c>
      <c r="K29">
        <v>592</v>
      </c>
      <c r="L29">
        <v>44.6</v>
      </c>
      <c r="M29">
        <v>25.4</v>
      </c>
      <c r="N29">
        <v>1079</v>
      </c>
      <c r="O29">
        <v>323</v>
      </c>
    </row>
    <row r="30" spans="1:15" x14ac:dyDescent="0.25">
      <c r="A30" t="s">
        <v>131</v>
      </c>
      <c r="B30">
        <v>3906</v>
      </c>
      <c r="C30">
        <v>6623</v>
      </c>
      <c r="D30">
        <v>1127</v>
      </c>
      <c r="E30">
        <v>436</v>
      </c>
      <c r="F30">
        <v>4635</v>
      </c>
      <c r="G30">
        <v>34</v>
      </c>
      <c r="H30">
        <v>1602</v>
      </c>
      <c r="I30">
        <v>3747</v>
      </c>
      <c r="J30">
        <v>8773</v>
      </c>
      <c r="K30">
        <v>4672</v>
      </c>
      <c r="L30">
        <v>43.2</v>
      </c>
      <c r="M30">
        <v>22.2</v>
      </c>
      <c r="N30">
        <v>8268</v>
      </c>
      <c r="O30">
        <v>1589</v>
      </c>
    </row>
  </sheetData>
  <mergeCells count="4">
    <mergeCell ref="J1:K1"/>
    <mergeCell ref="L1:O1"/>
    <mergeCell ref="B1:E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O30"/>
  <sheetViews>
    <sheetView workbookViewId="0"/>
  </sheetViews>
  <sheetFormatPr defaultRowHeight="15" x14ac:dyDescent="0.25"/>
  <cols>
    <col min="1" max="1" width="27.140625" customWidth="1"/>
    <col min="2" max="2" width="11.140625" customWidth="1"/>
    <col min="4" max="4" width="10.85546875" customWidth="1"/>
    <col min="5" max="5" width="11.140625" customWidth="1"/>
    <col min="7" max="7" width="10.85546875" customWidth="1"/>
    <col min="8" max="8" width="11.140625" customWidth="1"/>
    <col min="11" max="11" width="10.85546875" customWidth="1"/>
    <col min="12" max="12" width="11.140625" customWidth="1"/>
    <col min="14" max="14" width="10.85546875" customWidth="1"/>
    <col min="15" max="15" width="11.140625" customWidth="1"/>
  </cols>
  <sheetData>
    <row r="1" spans="1:15" x14ac:dyDescent="0.25">
      <c r="A1" s="27" t="s">
        <v>104</v>
      </c>
      <c r="B1" s="27" t="s">
        <v>141</v>
      </c>
      <c r="C1" s="27"/>
      <c r="D1" s="27" t="s">
        <v>161</v>
      </c>
      <c r="E1" s="27"/>
      <c r="F1" s="27"/>
      <c r="G1" s="27"/>
      <c r="H1" s="27"/>
      <c r="I1" s="27"/>
      <c r="J1" s="27" t="s">
        <v>179</v>
      </c>
      <c r="K1" s="27"/>
      <c r="L1" s="27"/>
      <c r="M1" s="27" t="s">
        <v>180</v>
      </c>
      <c r="N1" s="27"/>
      <c r="O1" s="27"/>
    </row>
    <row r="2" spans="1:15" x14ac:dyDescent="0.25">
      <c r="A2" s="27"/>
      <c r="B2" t="s">
        <v>84</v>
      </c>
      <c r="C2" t="s">
        <v>186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 t="s">
        <v>160</v>
      </c>
    </row>
    <row r="3" spans="1:15" x14ac:dyDescent="0.25">
      <c r="A3" t="s">
        <v>105</v>
      </c>
      <c r="B3">
        <v>326</v>
      </c>
      <c r="C3">
        <v>191</v>
      </c>
      <c r="D3">
        <v>1</v>
      </c>
      <c r="E3">
        <v>3</v>
      </c>
      <c r="F3">
        <v>4</v>
      </c>
      <c r="G3">
        <v>9</v>
      </c>
      <c r="H3">
        <v>9</v>
      </c>
      <c r="I3">
        <v>382</v>
      </c>
      <c r="J3">
        <v>0</v>
      </c>
      <c r="K3">
        <v>0</v>
      </c>
      <c r="L3">
        <v>54</v>
      </c>
      <c r="M3">
        <v>2</v>
      </c>
      <c r="N3">
        <v>3</v>
      </c>
      <c r="O3">
        <v>25</v>
      </c>
    </row>
    <row r="4" spans="1:15" x14ac:dyDescent="0.25">
      <c r="A4" t="s">
        <v>106</v>
      </c>
      <c r="B4">
        <v>373</v>
      </c>
      <c r="C4">
        <v>161</v>
      </c>
      <c r="D4">
        <v>3</v>
      </c>
      <c r="E4">
        <v>2</v>
      </c>
      <c r="F4">
        <v>3</v>
      </c>
      <c r="G4">
        <v>15</v>
      </c>
      <c r="H4">
        <v>14</v>
      </c>
      <c r="I4">
        <v>612</v>
      </c>
      <c r="J4">
        <v>2</v>
      </c>
      <c r="K4">
        <v>2</v>
      </c>
      <c r="L4">
        <v>92</v>
      </c>
      <c r="M4">
        <v>1</v>
      </c>
      <c r="N4">
        <v>1</v>
      </c>
      <c r="O4">
        <v>27</v>
      </c>
    </row>
    <row r="5" spans="1:15" x14ac:dyDescent="0.25">
      <c r="A5" t="s">
        <v>107</v>
      </c>
      <c r="B5">
        <v>283</v>
      </c>
      <c r="C5">
        <v>38</v>
      </c>
      <c r="D5">
        <v>2</v>
      </c>
      <c r="E5">
        <v>4</v>
      </c>
      <c r="F5">
        <v>3</v>
      </c>
      <c r="G5">
        <v>4</v>
      </c>
      <c r="H5">
        <v>4</v>
      </c>
      <c r="I5">
        <v>392</v>
      </c>
      <c r="J5">
        <v>1</v>
      </c>
      <c r="K5">
        <v>1</v>
      </c>
      <c r="L5">
        <v>79</v>
      </c>
      <c r="M5">
        <v>0</v>
      </c>
      <c r="N5">
        <v>0</v>
      </c>
      <c r="O5">
        <v>43</v>
      </c>
    </row>
    <row r="6" spans="1:15" x14ac:dyDescent="0.25">
      <c r="A6" t="s">
        <v>108</v>
      </c>
      <c r="B6">
        <v>113</v>
      </c>
      <c r="C6">
        <v>29</v>
      </c>
      <c r="D6">
        <v>0</v>
      </c>
      <c r="E6">
        <v>0</v>
      </c>
      <c r="F6">
        <v>0</v>
      </c>
      <c r="G6">
        <v>4</v>
      </c>
      <c r="H6">
        <v>1</v>
      </c>
      <c r="I6">
        <v>274</v>
      </c>
      <c r="J6">
        <v>1</v>
      </c>
      <c r="K6">
        <v>0</v>
      </c>
      <c r="L6">
        <v>60</v>
      </c>
      <c r="M6">
        <v>0</v>
      </c>
      <c r="N6">
        <v>0</v>
      </c>
      <c r="O6">
        <v>16</v>
      </c>
    </row>
    <row r="7" spans="1:15" x14ac:dyDescent="0.25">
      <c r="A7" t="s">
        <v>109</v>
      </c>
      <c r="B7">
        <v>209</v>
      </c>
      <c r="C7">
        <v>61</v>
      </c>
      <c r="D7">
        <v>0</v>
      </c>
      <c r="E7">
        <v>0</v>
      </c>
      <c r="F7">
        <v>1</v>
      </c>
      <c r="G7">
        <v>0</v>
      </c>
      <c r="H7">
        <v>0</v>
      </c>
      <c r="I7">
        <v>313</v>
      </c>
      <c r="J7">
        <v>1</v>
      </c>
      <c r="K7">
        <v>1</v>
      </c>
      <c r="L7">
        <v>70</v>
      </c>
      <c r="M7">
        <v>0</v>
      </c>
      <c r="N7">
        <v>0</v>
      </c>
      <c r="O7">
        <v>24</v>
      </c>
    </row>
    <row r="8" spans="1:15" x14ac:dyDescent="0.25">
      <c r="A8" t="s">
        <v>110</v>
      </c>
      <c r="B8">
        <v>207</v>
      </c>
      <c r="C8">
        <v>81</v>
      </c>
      <c r="D8">
        <v>3</v>
      </c>
      <c r="E8">
        <v>7</v>
      </c>
      <c r="F8">
        <v>18</v>
      </c>
      <c r="G8">
        <v>13</v>
      </c>
      <c r="H8">
        <v>6</v>
      </c>
      <c r="I8">
        <v>443</v>
      </c>
      <c r="J8">
        <v>1</v>
      </c>
      <c r="K8">
        <v>0</v>
      </c>
      <c r="L8">
        <v>66</v>
      </c>
      <c r="M8">
        <v>0</v>
      </c>
      <c r="N8">
        <v>1</v>
      </c>
      <c r="O8">
        <v>24</v>
      </c>
    </row>
    <row r="9" spans="1:15" x14ac:dyDescent="0.25">
      <c r="A9" t="s">
        <v>111</v>
      </c>
      <c r="B9">
        <v>200</v>
      </c>
      <c r="C9">
        <v>34</v>
      </c>
      <c r="D9">
        <v>0</v>
      </c>
      <c r="E9">
        <v>0</v>
      </c>
      <c r="F9">
        <v>1</v>
      </c>
      <c r="G9">
        <v>2</v>
      </c>
      <c r="H9">
        <v>2</v>
      </c>
      <c r="I9">
        <v>306</v>
      </c>
      <c r="J9">
        <v>0</v>
      </c>
      <c r="K9">
        <v>1</v>
      </c>
      <c r="L9">
        <v>75</v>
      </c>
      <c r="M9">
        <v>0</v>
      </c>
      <c r="N9">
        <v>1</v>
      </c>
      <c r="O9">
        <v>23</v>
      </c>
    </row>
    <row r="10" spans="1:15" x14ac:dyDescent="0.25">
      <c r="A10" t="s">
        <v>112</v>
      </c>
      <c r="B10">
        <v>239</v>
      </c>
      <c r="C10">
        <v>22</v>
      </c>
      <c r="D10">
        <v>0</v>
      </c>
      <c r="E10">
        <v>3</v>
      </c>
      <c r="F10">
        <v>1</v>
      </c>
      <c r="G10">
        <v>3</v>
      </c>
      <c r="H10">
        <v>1</v>
      </c>
      <c r="I10">
        <v>365</v>
      </c>
      <c r="J10">
        <v>0</v>
      </c>
      <c r="K10">
        <v>0</v>
      </c>
      <c r="L10">
        <v>101</v>
      </c>
      <c r="M10">
        <v>1</v>
      </c>
      <c r="N10">
        <v>0</v>
      </c>
      <c r="O10">
        <v>38</v>
      </c>
    </row>
    <row r="11" spans="1:15" x14ac:dyDescent="0.25">
      <c r="A11" t="s">
        <v>113</v>
      </c>
      <c r="B11">
        <v>22</v>
      </c>
      <c r="C11">
        <v>15</v>
      </c>
      <c r="D11">
        <v>0</v>
      </c>
      <c r="E11">
        <v>0</v>
      </c>
      <c r="F11">
        <v>0</v>
      </c>
      <c r="G11">
        <v>0</v>
      </c>
      <c r="H11">
        <v>0</v>
      </c>
      <c r="I11">
        <v>22</v>
      </c>
      <c r="J11">
        <v>0</v>
      </c>
      <c r="K11">
        <v>0</v>
      </c>
      <c r="L11">
        <v>4</v>
      </c>
      <c r="M11">
        <v>0</v>
      </c>
      <c r="N11">
        <v>0</v>
      </c>
      <c r="O11">
        <v>2</v>
      </c>
    </row>
    <row r="12" spans="1:15" x14ac:dyDescent="0.25">
      <c r="A12" t="s">
        <v>114</v>
      </c>
      <c r="B12">
        <v>67</v>
      </c>
      <c r="C12">
        <v>54</v>
      </c>
      <c r="D12">
        <v>1</v>
      </c>
      <c r="E12">
        <v>5</v>
      </c>
      <c r="F12">
        <v>1</v>
      </c>
      <c r="G12">
        <v>2</v>
      </c>
      <c r="H12">
        <v>6</v>
      </c>
      <c r="I12">
        <v>106</v>
      </c>
      <c r="J12">
        <v>0</v>
      </c>
      <c r="K12">
        <v>1</v>
      </c>
      <c r="L12">
        <v>18</v>
      </c>
      <c r="M12">
        <v>1</v>
      </c>
      <c r="N12">
        <v>3</v>
      </c>
      <c r="O12">
        <v>8</v>
      </c>
    </row>
    <row r="13" spans="1:15" x14ac:dyDescent="0.25">
      <c r="A13" t="s">
        <v>115</v>
      </c>
      <c r="B13">
        <v>100</v>
      </c>
      <c r="C13">
        <v>28</v>
      </c>
      <c r="D13">
        <v>4</v>
      </c>
      <c r="E13">
        <v>5</v>
      </c>
      <c r="F13">
        <v>5</v>
      </c>
      <c r="G13">
        <v>5</v>
      </c>
      <c r="H13">
        <v>15</v>
      </c>
      <c r="I13">
        <v>252</v>
      </c>
      <c r="J13">
        <v>0</v>
      </c>
      <c r="K13">
        <v>2</v>
      </c>
      <c r="L13">
        <v>41</v>
      </c>
      <c r="M13">
        <v>0</v>
      </c>
      <c r="N13">
        <v>0</v>
      </c>
      <c r="O13">
        <v>11</v>
      </c>
    </row>
    <row r="14" spans="1:15" x14ac:dyDescent="0.25">
      <c r="A14" t="s">
        <v>116</v>
      </c>
      <c r="B14">
        <v>25</v>
      </c>
      <c r="C14">
        <v>21</v>
      </c>
      <c r="D14">
        <v>0</v>
      </c>
      <c r="E14">
        <v>0</v>
      </c>
      <c r="F14">
        <v>0</v>
      </c>
      <c r="G14">
        <v>0</v>
      </c>
      <c r="H14">
        <v>2</v>
      </c>
      <c r="I14">
        <v>86</v>
      </c>
      <c r="J14">
        <v>0</v>
      </c>
      <c r="K14">
        <v>0</v>
      </c>
      <c r="L14">
        <v>9</v>
      </c>
      <c r="M14">
        <v>0</v>
      </c>
      <c r="N14">
        <v>0</v>
      </c>
      <c r="O14">
        <v>5</v>
      </c>
    </row>
    <row r="15" spans="1:15" x14ac:dyDescent="0.25">
      <c r="A15" t="s">
        <v>117</v>
      </c>
      <c r="B15">
        <v>103</v>
      </c>
      <c r="C15">
        <v>60</v>
      </c>
      <c r="D15">
        <v>0</v>
      </c>
      <c r="E15">
        <v>0</v>
      </c>
      <c r="F15">
        <v>0</v>
      </c>
      <c r="G15">
        <v>7</v>
      </c>
      <c r="H15">
        <v>5</v>
      </c>
      <c r="I15">
        <v>206</v>
      </c>
      <c r="J15">
        <v>0</v>
      </c>
      <c r="K15">
        <v>1</v>
      </c>
      <c r="L15">
        <v>28</v>
      </c>
      <c r="M15">
        <v>0</v>
      </c>
      <c r="N15">
        <v>0</v>
      </c>
      <c r="O15">
        <v>9</v>
      </c>
    </row>
    <row r="16" spans="1:15" x14ac:dyDescent="0.25">
      <c r="A16" t="s">
        <v>118</v>
      </c>
      <c r="B16">
        <v>24</v>
      </c>
      <c r="C16">
        <v>14</v>
      </c>
      <c r="D16">
        <v>0</v>
      </c>
      <c r="E16">
        <v>0</v>
      </c>
      <c r="F16">
        <v>0</v>
      </c>
      <c r="G16">
        <v>1</v>
      </c>
      <c r="H16">
        <v>0</v>
      </c>
      <c r="I16">
        <v>47</v>
      </c>
      <c r="J16">
        <v>0</v>
      </c>
      <c r="K16">
        <v>0</v>
      </c>
      <c r="L16">
        <v>7</v>
      </c>
      <c r="M16">
        <v>0</v>
      </c>
      <c r="N16">
        <v>0</v>
      </c>
      <c r="O16">
        <v>2</v>
      </c>
    </row>
    <row r="17" spans="1:15" x14ac:dyDescent="0.25">
      <c r="A17" t="s">
        <v>119</v>
      </c>
      <c r="B17">
        <v>145</v>
      </c>
      <c r="C17">
        <v>1</v>
      </c>
      <c r="D17">
        <v>0</v>
      </c>
      <c r="E17">
        <v>2</v>
      </c>
      <c r="F17">
        <v>1</v>
      </c>
      <c r="G17">
        <v>1</v>
      </c>
      <c r="H17">
        <v>0</v>
      </c>
      <c r="I17">
        <v>159</v>
      </c>
      <c r="J17">
        <v>0</v>
      </c>
      <c r="K17">
        <v>0</v>
      </c>
      <c r="L17">
        <v>27</v>
      </c>
      <c r="M17">
        <v>1</v>
      </c>
      <c r="N17">
        <v>2</v>
      </c>
      <c r="O17">
        <v>36</v>
      </c>
    </row>
    <row r="18" spans="1:15" x14ac:dyDescent="0.25">
      <c r="A18" t="s">
        <v>120</v>
      </c>
      <c r="B18">
        <v>58</v>
      </c>
      <c r="C18">
        <v>33</v>
      </c>
      <c r="D18">
        <v>0</v>
      </c>
      <c r="E18">
        <v>1</v>
      </c>
      <c r="F18">
        <v>0</v>
      </c>
      <c r="G18">
        <v>0</v>
      </c>
      <c r="H18">
        <v>3</v>
      </c>
      <c r="I18">
        <v>68</v>
      </c>
      <c r="J18">
        <v>0</v>
      </c>
      <c r="K18">
        <v>1</v>
      </c>
      <c r="L18">
        <v>17</v>
      </c>
      <c r="M18">
        <v>0</v>
      </c>
      <c r="N18">
        <v>1</v>
      </c>
      <c r="O18">
        <v>8</v>
      </c>
    </row>
    <row r="19" spans="1:15" x14ac:dyDescent="0.25">
      <c r="A19" t="s">
        <v>121</v>
      </c>
      <c r="B19">
        <v>115</v>
      </c>
      <c r="C19">
        <v>85</v>
      </c>
      <c r="D19">
        <v>1</v>
      </c>
      <c r="E19">
        <v>0</v>
      </c>
      <c r="F19">
        <v>5</v>
      </c>
      <c r="G19">
        <v>3</v>
      </c>
      <c r="H19">
        <v>8</v>
      </c>
      <c r="I19">
        <v>211</v>
      </c>
      <c r="J19">
        <v>0</v>
      </c>
      <c r="K19">
        <v>0</v>
      </c>
      <c r="L19">
        <v>47</v>
      </c>
      <c r="M19">
        <v>2</v>
      </c>
      <c r="N19">
        <v>0</v>
      </c>
      <c r="O19">
        <v>15</v>
      </c>
    </row>
    <row r="20" spans="1:15" x14ac:dyDescent="0.25">
      <c r="A20" t="s">
        <v>122</v>
      </c>
      <c r="B20">
        <v>386</v>
      </c>
      <c r="C20">
        <v>21</v>
      </c>
      <c r="D20">
        <v>0</v>
      </c>
      <c r="E20">
        <v>3</v>
      </c>
      <c r="F20">
        <v>3</v>
      </c>
      <c r="G20">
        <v>9</v>
      </c>
      <c r="H20">
        <v>8</v>
      </c>
      <c r="I20">
        <v>524</v>
      </c>
      <c r="J20">
        <v>1</v>
      </c>
      <c r="K20">
        <v>0</v>
      </c>
      <c r="L20">
        <v>91</v>
      </c>
      <c r="M20">
        <v>0</v>
      </c>
      <c r="N20">
        <v>1</v>
      </c>
      <c r="O20">
        <v>31</v>
      </c>
    </row>
    <row r="21" spans="1:15" x14ac:dyDescent="0.25">
      <c r="A21" t="s">
        <v>123</v>
      </c>
      <c r="B21">
        <v>177</v>
      </c>
      <c r="C21">
        <v>87</v>
      </c>
      <c r="D21">
        <v>2</v>
      </c>
      <c r="E21">
        <v>6</v>
      </c>
      <c r="F21">
        <v>9</v>
      </c>
      <c r="G21">
        <v>4</v>
      </c>
      <c r="H21">
        <v>7</v>
      </c>
      <c r="I21">
        <v>278</v>
      </c>
      <c r="J21">
        <v>0</v>
      </c>
      <c r="K21">
        <v>0</v>
      </c>
      <c r="L21">
        <v>44</v>
      </c>
      <c r="M21">
        <v>1</v>
      </c>
      <c r="N21">
        <v>0</v>
      </c>
      <c r="O21">
        <v>15</v>
      </c>
    </row>
    <row r="22" spans="1:15" x14ac:dyDescent="0.25">
      <c r="A22" t="s">
        <v>124</v>
      </c>
      <c r="B22">
        <v>62</v>
      </c>
      <c r="C22">
        <v>31</v>
      </c>
      <c r="D22">
        <v>2</v>
      </c>
      <c r="E22">
        <v>4</v>
      </c>
      <c r="F22">
        <v>10</v>
      </c>
      <c r="G22">
        <v>21</v>
      </c>
      <c r="H22">
        <v>25</v>
      </c>
      <c r="I22">
        <v>160</v>
      </c>
      <c r="J22">
        <v>2</v>
      </c>
      <c r="K22">
        <v>4</v>
      </c>
      <c r="L22">
        <v>10</v>
      </c>
      <c r="M22">
        <v>2</v>
      </c>
      <c r="N22">
        <v>0</v>
      </c>
      <c r="O22">
        <v>9</v>
      </c>
    </row>
    <row r="23" spans="1:15" x14ac:dyDescent="0.25">
      <c r="A23" t="s">
        <v>125</v>
      </c>
      <c r="B23">
        <v>447</v>
      </c>
      <c r="C23">
        <v>130</v>
      </c>
      <c r="D23">
        <v>1</v>
      </c>
      <c r="E23">
        <v>2</v>
      </c>
      <c r="F23">
        <v>2</v>
      </c>
      <c r="G23">
        <v>3</v>
      </c>
      <c r="H23">
        <v>2</v>
      </c>
      <c r="I23">
        <v>497</v>
      </c>
      <c r="J23">
        <v>1</v>
      </c>
      <c r="K23">
        <v>2</v>
      </c>
      <c r="L23">
        <v>79</v>
      </c>
      <c r="M23">
        <v>3</v>
      </c>
      <c r="N23">
        <v>3</v>
      </c>
      <c r="O23">
        <v>35</v>
      </c>
    </row>
    <row r="24" spans="1:15" x14ac:dyDescent="0.25">
      <c r="A24" t="s">
        <v>126</v>
      </c>
      <c r="B24">
        <v>36</v>
      </c>
      <c r="C24">
        <v>19</v>
      </c>
      <c r="D24">
        <v>0</v>
      </c>
      <c r="E24">
        <v>2</v>
      </c>
      <c r="F24">
        <v>3</v>
      </c>
      <c r="G24">
        <v>7</v>
      </c>
      <c r="H24">
        <v>4</v>
      </c>
      <c r="I24">
        <v>157</v>
      </c>
      <c r="J24">
        <v>2</v>
      </c>
      <c r="K24">
        <v>2</v>
      </c>
      <c r="L24">
        <v>25</v>
      </c>
      <c r="M24">
        <v>0</v>
      </c>
      <c r="N24">
        <v>0</v>
      </c>
      <c r="O24">
        <v>8</v>
      </c>
    </row>
    <row r="25" spans="1:15" x14ac:dyDescent="0.25">
      <c r="A25" t="s">
        <v>127</v>
      </c>
      <c r="B25">
        <v>173</v>
      </c>
      <c r="C25">
        <v>80</v>
      </c>
      <c r="D25">
        <v>1</v>
      </c>
      <c r="E25">
        <v>1</v>
      </c>
      <c r="F25">
        <v>1</v>
      </c>
      <c r="G25">
        <v>0</v>
      </c>
      <c r="H25">
        <v>1</v>
      </c>
      <c r="I25">
        <v>258</v>
      </c>
      <c r="J25">
        <v>0</v>
      </c>
      <c r="K25">
        <v>0</v>
      </c>
      <c r="L25">
        <v>54</v>
      </c>
      <c r="M25">
        <v>1</v>
      </c>
      <c r="N25">
        <v>0</v>
      </c>
      <c r="O25">
        <v>19</v>
      </c>
    </row>
    <row r="26" spans="1:15" x14ac:dyDescent="0.25">
      <c r="A26" t="s">
        <v>128</v>
      </c>
      <c r="B26">
        <v>292</v>
      </c>
      <c r="C26">
        <v>43</v>
      </c>
      <c r="D26">
        <v>0</v>
      </c>
      <c r="E26">
        <v>0</v>
      </c>
      <c r="F26">
        <v>1</v>
      </c>
      <c r="G26">
        <v>1</v>
      </c>
      <c r="H26">
        <v>0</v>
      </c>
      <c r="I26">
        <v>380</v>
      </c>
      <c r="J26">
        <v>0</v>
      </c>
      <c r="K26">
        <v>0</v>
      </c>
      <c r="L26">
        <v>67</v>
      </c>
      <c r="M26">
        <v>0</v>
      </c>
      <c r="N26">
        <v>2</v>
      </c>
      <c r="O26">
        <v>50</v>
      </c>
    </row>
    <row r="27" spans="1:15" x14ac:dyDescent="0.25">
      <c r="A27" t="s">
        <v>129</v>
      </c>
      <c r="B27">
        <v>227</v>
      </c>
      <c r="C27">
        <v>65</v>
      </c>
      <c r="D27">
        <v>3</v>
      </c>
      <c r="E27">
        <v>17</v>
      </c>
      <c r="F27">
        <v>4</v>
      </c>
      <c r="G27">
        <v>25</v>
      </c>
      <c r="H27">
        <v>10</v>
      </c>
      <c r="I27">
        <v>345</v>
      </c>
      <c r="J27">
        <v>0</v>
      </c>
      <c r="K27">
        <v>1</v>
      </c>
      <c r="L27">
        <v>51</v>
      </c>
      <c r="M27">
        <v>3</v>
      </c>
      <c r="N27">
        <v>0</v>
      </c>
      <c r="O27">
        <v>24</v>
      </c>
    </row>
    <row r="28" spans="1:15" x14ac:dyDescent="0.25">
      <c r="A28" t="s">
        <v>87</v>
      </c>
      <c r="B28">
        <v>4409</v>
      </c>
      <c r="C28">
        <v>1404</v>
      </c>
      <c r="D28">
        <v>24</v>
      </c>
      <c r="E28">
        <v>67</v>
      </c>
      <c r="F28">
        <v>76</v>
      </c>
      <c r="G28">
        <v>139</v>
      </c>
      <c r="H28">
        <v>133</v>
      </c>
      <c r="I28">
        <v>6843</v>
      </c>
      <c r="J28">
        <v>12</v>
      </c>
      <c r="K28">
        <v>19</v>
      </c>
      <c r="L28">
        <v>1216</v>
      </c>
      <c r="M28">
        <v>18</v>
      </c>
      <c r="N28">
        <v>18</v>
      </c>
      <c r="O28">
        <v>507</v>
      </c>
    </row>
    <row r="29" spans="1:15" x14ac:dyDescent="0.25">
      <c r="A29" t="s">
        <v>130</v>
      </c>
      <c r="B29">
        <v>503</v>
      </c>
      <c r="C29">
        <v>147</v>
      </c>
      <c r="D29">
        <v>0</v>
      </c>
      <c r="E29">
        <v>4</v>
      </c>
      <c r="F29">
        <v>4</v>
      </c>
      <c r="G29">
        <v>4</v>
      </c>
      <c r="H29">
        <v>9</v>
      </c>
      <c r="I29">
        <v>638</v>
      </c>
      <c r="J29">
        <v>1</v>
      </c>
      <c r="K29">
        <v>1</v>
      </c>
      <c r="L29">
        <v>118</v>
      </c>
      <c r="M29">
        <v>3</v>
      </c>
      <c r="N29">
        <v>3</v>
      </c>
      <c r="O29">
        <v>102</v>
      </c>
    </row>
    <row r="30" spans="1:15" x14ac:dyDescent="0.25">
      <c r="A30" t="s">
        <v>131</v>
      </c>
      <c r="B30">
        <v>3906</v>
      </c>
      <c r="C30">
        <v>1257</v>
      </c>
      <c r="D30">
        <v>24</v>
      </c>
      <c r="E30">
        <v>63</v>
      </c>
      <c r="F30">
        <v>72</v>
      </c>
      <c r="G30">
        <v>135</v>
      </c>
      <c r="H30">
        <v>124</v>
      </c>
      <c r="I30">
        <v>6205</v>
      </c>
      <c r="J30">
        <v>11</v>
      </c>
      <c r="K30">
        <v>18</v>
      </c>
      <c r="L30">
        <v>1098</v>
      </c>
      <c r="M30">
        <v>15</v>
      </c>
      <c r="N30">
        <v>15</v>
      </c>
      <c r="O30">
        <v>405</v>
      </c>
    </row>
  </sheetData>
  <mergeCells count="5">
    <mergeCell ref="J1:L1"/>
    <mergeCell ref="D1:I1"/>
    <mergeCell ref="M1:O1"/>
    <mergeCell ref="B1:C1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B9BD5"/>
  </sheetPr>
  <dimension ref="A1:AW30"/>
  <sheetViews>
    <sheetView workbookViewId="0"/>
  </sheetViews>
  <sheetFormatPr defaultRowHeight="15" x14ac:dyDescent="0.25"/>
  <sheetData>
    <row r="1" spans="1:49" x14ac:dyDescent="0.25">
      <c r="A1" s="27" t="s">
        <v>104</v>
      </c>
      <c r="B1" s="27" t="s">
        <v>187</v>
      </c>
      <c r="C1" s="27"/>
      <c r="D1" s="27" t="s">
        <v>188</v>
      </c>
      <c r="E1" s="27"/>
      <c r="F1" s="27" t="s">
        <v>189</v>
      </c>
      <c r="G1" s="27"/>
      <c r="H1" s="27" t="s">
        <v>190</v>
      </c>
      <c r="I1" s="27"/>
      <c r="J1" s="27" t="s">
        <v>191</v>
      </c>
      <c r="K1" s="27"/>
      <c r="L1" s="27" t="s">
        <v>192</v>
      </c>
      <c r="M1" s="27"/>
      <c r="N1" s="27" t="s">
        <v>193</v>
      </c>
      <c r="O1" s="27"/>
      <c r="P1" s="27" t="s">
        <v>194</v>
      </c>
      <c r="Q1" s="27"/>
      <c r="R1" s="27" t="s">
        <v>195</v>
      </c>
      <c r="S1" s="27"/>
      <c r="T1" s="27" t="s">
        <v>196</v>
      </c>
      <c r="U1" s="27"/>
      <c r="V1" s="27" t="s">
        <v>197</v>
      </c>
      <c r="W1" s="27"/>
      <c r="X1" s="27" t="s">
        <v>198</v>
      </c>
      <c r="Y1" s="27"/>
      <c r="Z1" s="27" t="s">
        <v>199</v>
      </c>
      <c r="AA1" s="27"/>
      <c r="AB1" s="27" t="s">
        <v>200</v>
      </c>
      <c r="AC1" s="27"/>
      <c r="AD1" s="27" t="s">
        <v>201</v>
      </c>
      <c r="AE1" s="27"/>
      <c r="AF1" s="27" t="s">
        <v>202</v>
      </c>
      <c r="AG1" s="27"/>
      <c r="AH1" s="27" t="s">
        <v>203</v>
      </c>
      <c r="AI1" s="27"/>
      <c r="AJ1" s="27" t="s">
        <v>204</v>
      </c>
      <c r="AK1" s="27"/>
      <c r="AL1" s="27" t="s">
        <v>205</v>
      </c>
      <c r="AM1" s="27"/>
      <c r="AN1" s="27" t="s">
        <v>206</v>
      </c>
      <c r="AO1" s="27"/>
      <c r="AP1" s="27" t="s">
        <v>207</v>
      </c>
      <c r="AQ1" s="27"/>
      <c r="AR1" s="27" t="s">
        <v>208</v>
      </c>
      <c r="AS1" s="27"/>
      <c r="AT1" s="27" t="s">
        <v>209</v>
      </c>
      <c r="AU1" s="27"/>
      <c r="AV1" s="27" t="s">
        <v>210</v>
      </c>
      <c r="AW1" s="27"/>
    </row>
    <row r="2" spans="1:49" x14ac:dyDescent="0.25">
      <c r="A2" s="27"/>
      <c r="B2" t="s">
        <v>84</v>
      </c>
      <c r="C2" t="s">
        <v>85</v>
      </c>
      <c r="D2" t="s">
        <v>84</v>
      </c>
      <c r="E2" t="s">
        <v>85</v>
      </c>
      <c r="F2" t="s">
        <v>84</v>
      </c>
      <c r="G2" t="s">
        <v>85</v>
      </c>
      <c r="H2" t="s">
        <v>84</v>
      </c>
      <c r="I2" t="s">
        <v>85</v>
      </c>
      <c r="J2" t="s">
        <v>84</v>
      </c>
      <c r="K2" t="s">
        <v>85</v>
      </c>
      <c r="L2" t="s">
        <v>84</v>
      </c>
      <c r="M2" t="s">
        <v>85</v>
      </c>
      <c r="N2" t="s">
        <v>84</v>
      </c>
      <c r="O2" t="s">
        <v>85</v>
      </c>
      <c r="P2" t="s">
        <v>84</v>
      </c>
      <c r="Q2" t="s">
        <v>85</v>
      </c>
      <c r="R2" t="s">
        <v>84</v>
      </c>
      <c r="S2" t="s">
        <v>85</v>
      </c>
      <c r="T2" t="s">
        <v>84</v>
      </c>
      <c r="U2" t="s">
        <v>85</v>
      </c>
      <c r="V2" t="s">
        <v>84</v>
      </c>
      <c r="W2" t="s">
        <v>85</v>
      </c>
      <c r="X2" t="s">
        <v>84</v>
      </c>
      <c r="Y2" t="s">
        <v>85</v>
      </c>
      <c r="Z2" t="s">
        <v>84</v>
      </c>
      <c r="AA2" t="s">
        <v>85</v>
      </c>
      <c r="AB2" t="s">
        <v>84</v>
      </c>
      <c r="AC2" t="s">
        <v>85</v>
      </c>
      <c r="AD2" t="s">
        <v>84</v>
      </c>
      <c r="AE2" t="s">
        <v>85</v>
      </c>
      <c r="AF2" t="s">
        <v>84</v>
      </c>
      <c r="AG2" t="s">
        <v>85</v>
      </c>
      <c r="AH2" t="s">
        <v>84</v>
      </c>
      <c r="AI2" t="s">
        <v>85</v>
      </c>
      <c r="AJ2" t="s">
        <v>84</v>
      </c>
      <c r="AK2" t="s">
        <v>85</v>
      </c>
      <c r="AL2" t="s">
        <v>84</v>
      </c>
      <c r="AM2" t="s">
        <v>85</v>
      </c>
      <c r="AN2" t="s">
        <v>84</v>
      </c>
      <c r="AO2" t="s">
        <v>85</v>
      </c>
      <c r="AP2" t="s">
        <v>84</v>
      </c>
      <c r="AQ2" t="s">
        <v>85</v>
      </c>
      <c r="AR2" t="s">
        <v>84</v>
      </c>
      <c r="AS2" t="s">
        <v>85</v>
      </c>
      <c r="AT2" t="s">
        <v>84</v>
      </c>
      <c r="AU2" t="s">
        <v>85</v>
      </c>
      <c r="AV2" t="s">
        <v>84</v>
      </c>
      <c r="AW2" t="s">
        <v>85</v>
      </c>
    </row>
    <row r="3" spans="1:49" x14ac:dyDescent="0.25">
      <c r="A3" t="s">
        <v>105</v>
      </c>
      <c r="B3">
        <v>17988</v>
      </c>
      <c r="C3">
        <v>8373</v>
      </c>
      <c r="D3">
        <v>1152</v>
      </c>
      <c r="E3">
        <v>404</v>
      </c>
      <c r="F3">
        <v>17401</v>
      </c>
      <c r="G3">
        <v>8344</v>
      </c>
      <c r="H3">
        <v>817</v>
      </c>
      <c r="I3">
        <v>297</v>
      </c>
      <c r="J3">
        <v>16217</v>
      </c>
      <c r="K3">
        <v>7788</v>
      </c>
      <c r="L3">
        <v>582</v>
      </c>
      <c r="M3">
        <v>194</v>
      </c>
      <c r="N3">
        <v>15983</v>
      </c>
      <c r="O3">
        <v>7716</v>
      </c>
      <c r="P3">
        <v>478</v>
      </c>
      <c r="Q3">
        <v>123</v>
      </c>
      <c r="R3">
        <v>15414</v>
      </c>
      <c r="S3">
        <v>7546</v>
      </c>
      <c r="T3">
        <v>265</v>
      </c>
      <c r="U3">
        <v>73</v>
      </c>
      <c r="V3">
        <v>14154</v>
      </c>
      <c r="W3">
        <v>7083</v>
      </c>
      <c r="X3">
        <v>175</v>
      </c>
      <c r="Y3">
        <v>69</v>
      </c>
      <c r="Z3">
        <v>11717</v>
      </c>
      <c r="AA3">
        <v>6067</v>
      </c>
      <c r="AB3">
        <v>239</v>
      </c>
      <c r="AC3">
        <v>72</v>
      </c>
      <c r="AD3">
        <v>8784</v>
      </c>
      <c r="AE3">
        <v>4791</v>
      </c>
      <c r="AF3">
        <v>159</v>
      </c>
      <c r="AG3">
        <v>47</v>
      </c>
      <c r="AH3">
        <v>7519</v>
      </c>
      <c r="AI3">
        <v>4073</v>
      </c>
      <c r="AJ3">
        <v>268</v>
      </c>
      <c r="AK3">
        <v>87</v>
      </c>
      <c r="AL3">
        <v>5330</v>
      </c>
      <c r="AM3">
        <v>3095</v>
      </c>
      <c r="AN3">
        <v>38</v>
      </c>
      <c r="AO3">
        <v>11</v>
      </c>
      <c r="AP3">
        <v>4249</v>
      </c>
      <c r="AQ3">
        <v>2467</v>
      </c>
      <c r="AR3">
        <v>15</v>
      </c>
      <c r="AS3">
        <v>5</v>
      </c>
      <c r="AT3">
        <v>3835</v>
      </c>
      <c r="AU3">
        <v>2065</v>
      </c>
      <c r="AV3">
        <v>104</v>
      </c>
      <c r="AW3">
        <v>45</v>
      </c>
    </row>
    <row r="4" spans="1:49" x14ac:dyDescent="0.25">
      <c r="A4" t="s">
        <v>106</v>
      </c>
      <c r="B4">
        <v>33046</v>
      </c>
      <c r="C4">
        <v>15345</v>
      </c>
      <c r="D4">
        <v>3796</v>
      </c>
      <c r="E4">
        <v>1456</v>
      </c>
      <c r="F4">
        <v>31067</v>
      </c>
      <c r="G4">
        <v>14568</v>
      </c>
      <c r="H4">
        <v>2384</v>
      </c>
      <c r="I4">
        <v>848</v>
      </c>
      <c r="J4">
        <v>28768</v>
      </c>
      <c r="K4">
        <v>13600</v>
      </c>
      <c r="L4">
        <v>1627</v>
      </c>
      <c r="M4">
        <v>575</v>
      </c>
      <c r="N4">
        <v>26888</v>
      </c>
      <c r="O4">
        <v>12831</v>
      </c>
      <c r="P4">
        <v>1087</v>
      </c>
      <c r="Q4">
        <v>359</v>
      </c>
      <c r="R4">
        <v>25739</v>
      </c>
      <c r="S4">
        <v>12525</v>
      </c>
      <c r="T4">
        <v>711</v>
      </c>
      <c r="U4">
        <v>244</v>
      </c>
      <c r="V4">
        <v>23916</v>
      </c>
      <c r="W4">
        <v>11971</v>
      </c>
      <c r="X4">
        <v>528</v>
      </c>
      <c r="Y4">
        <v>174</v>
      </c>
      <c r="Z4">
        <v>19280</v>
      </c>
      <c r="AA4">
        <v>9967</v>
      </c>
      <c r="AB4">
        <v>573</v>
      </c>
      <c r="AC4">
        <v>164</v>
      </c>
      <c r="AD4">
        <v>14309</v>
      </c>
      <c r="AE4">
        <v>7722</v>
      </c>
      <c r="AF4">
        <v>271</v>
      </c>
      <c r="AG4">
        <v>87</v>
      </c>
      <c r="AH4">
        <v>11640</v>
      </c>
      <c r="AI4">
        <v>6378</v>
      </c>
      <c r="AJ4">
        <v>388</v>
      </c>
      <c r="AK4">
        <v>123</v>
      </c>
      <c r="AL4">
        <v>8882</v>
      </c>
      <c r="AM4">
        <v>4960</v>
      </c>
      <c r="AN4">
        <v>109</v>
      </c>
      <c r="AO4">
        <v>26</v>
      </c>
      <c r="AP4">
        <v>6769</v>
      </c>
      <c r="AQ4">
        <v>3806</v>
      </c>
      <c r="AR4">
        <v>34</v>
      </c>
      <c r="AS4">
        <v>16</v>
      </c>
      <c r="AT4">
        <v>5926</v>
      </c>
      <c r="AU4">
        <v>3336</v>
      </c>
      <c r="AV4">
        <v>175</v>
      </c>
      <c r="AW4">
        <v>85</v>
      </c>
    </row>
    <row r="5" spans="1:49" x14ac:dyDescent="0.25">
      <c r="A5" t="s">
        <v>107</v>
      </c>
      <c r="B5">
        <v>26288</v>
      </c>
      <c r="C5">
        <v>12138</v>
      </c>
      <c r="D5">
        <v>3545</v>
      </c>
      <c r="E5">
        <v>1349</v>
      </c>
      <c r="F5">
        <v>25135</v>
      </c>
      <c r="G5">
        <v>11639</v>
      </c>
      <c r="H5">
        <v>2486</v>
      </c>
      <c r="I5">
        <v>907</v>
      </c>
      <c r="J5">
        <v>23789</v>
      </c>
      <c r="K5">
        <v>11102</v>
      </c>
      <c r="L5">
        <v>2079</v>
      </c>
      <c r="M5">
        <v>694</v>
      </c>
      <c r="N5">
        <v>22806</v>
      </c>
      <c r="O5">
        <v>10820</v>
      </c>
      <c r="P5">
        <v>1489</v>
      </c>
      <c r="Q5">
        <v>498</v>
      </c>
      <c r="R5">
        <v>21546</v>
      </c>
      <c r="S5">
        <v>10550</v>
      </c>
      <c r="T5">
        <v>1192</v>
      </c>
      <c r="U5">
        <v>374</v>
      </c>
      <c r="V5">
        <v>19674</v>
      </c>
      <c r="W5">
        <v>9942</v>
      </c>
      <c r="X5">
        <v>730</v>
      </c>
      <c r="Y5">
        <v>231</v>
      </c>
      <c r="Z5">
        <v>17067</v>
      </c>
      <c r="AA5">
        <v>9006</v>
      </c>
      <c r="AB5">
        <v>677</v>
      </c>
      <c r="AC5">
        <v>235</v>
      </c>
      <c r="AD5">
        <v>13633</v>
      </c>
      <c r="AE5">
        <v>7373</v>
      </c>
      <c r="AF5">
        <v>368</v>
      </c>
      <c r="AG5">
        <v>117</v>
      </c>
      <c r="AH5">
        <v>11497</v>
      </c>
      <c r="AI5">
        <v>6397</v>
      </c>
      <c r="AJ5">
        <v>401</v>
      </c>
      <c r="AK5">
        <v>154</v>
      </c>
      <c r="AL5">
        <v>9287</v>
      </c>
      <c r="AM5">
        <v>5250</v>
      </c>
      <c r="AN5">
        <v>147</v>
      </c>
      <c r="AO5">
        <v>54</v>
      </c>
      <c r="AP5">
        <v>7425</v>
      </c>
      <c r="AQ5">
        <v>4336</v>
      </c>
      <c r="AR5">
        <v>51</v>
      </c>
      <c r="AS5">
        <v>19</v>
      </c>
      <c r="AT5">
        <v>6792</v>
      </c>
      <c r="AU5">
        <v>3875</v>
      </c>
      <c r="AV5">
        <v>195</v>
      </c>
      <c r="AW5">
        <v>83</v>
      </c>
    </row>
    <row r="6" spans="1:49" x14ac:dyDescent="0.25">
      <c r="A6" t="s">
        <v>108</v>
      </c>
      <c r="B6">
        <v>13231</v>
      </c>
      <c r="C6">
        <v>6275</v>
      </c>
      <c r="D6">
        <v>1400</v>
      </c>
      <c r="E6">
        <v>547</v>
      </c>
      <c r="F6">
        <v>12648</v>
      </c>
      <c r="G6">
        <v>5957</v>
      </c>
      <c r="H6">
        <v>975</v>
      </c>
      <c r="I6">
        <v>346</v>
      </c>
      <c r="J6">
        <v>12148</v>
      </c>
      <c r="K6">
        <v>5808</v>
      </c>
      <c r="L6">
        <v>797</v>
      </c>
      <c r="M6">
        <v>228</v>
      </c>
      <c r="N6">
        <v>12134</v>
      </c>
      <c r="O6">
        <v>5868</v>
      </c>
      <c r="P6">
        <v>609</v>
      </c>
      <c r="Q6">
        <v>190</v>
      </c>
      <c r="R6">
        <v>11856</v>
      </c>
      <c r="S6">
        <v>5951</v>
      </c>
      <c r="T6">
        <v>355</v>
      </c>
      <c r="U6">
        <v>121</v>
      </c>
      <c r="V6">
        <v>11199</v>
      </c>
      <c r="W6">
        <v>5713</v>
      </c>
      <c r="X6">
        <v>186</v>
      </c>
      <c r="Y6">
        <v>61</v>
      </c>
      <c r="Z6">
        <v>9658</v>
      </c>
      <c r="AA6">
        <v>5096</v>
      </c>
      <c r="AB6">
        <v>255</v>
      </c>
      <c r="AC6">
        <v>64</v>
      </c>
      <c r="AD6">
        <v>7847</v>
      </c>
      <c r="AE6">
        <v>4350</v>
      </c>
      <c r="AF6">
        <v>118</v>
      </c>
      <c r="AG6">
        <v>31</v>
      </c>
      <c r="AH6">
        <v>6784</v>
      </c>
      <c r="AI6">
        <v>3701</v>
      </c>
      <c r="AJ6">
        <v>131</v>
      </c>
      <c r="AK6">
        <v>28</v>
      </c>
      <c r="AL6">
        <v>4914</v>
      </c>
      <c r="AM6">
        <v>2831</v>
      </c>
      <c r="AN6">
        <v>25</v>
      </c>
      <c r="AO6">
        <v>4</v>
      </c>
      <c r="AP6">
        <v>4161</v>
      </c>
      <c r="AQ6">
        <v>2335</v>
      </c>
      <c r="AR6">
        <v>13</v>
      </c>
      <c r="AS6">
        <v>6</v>
      </c>
      <c r="AT6">
        <v>3668</v>
      </c>
      <c r="AU6">
        <v>2055</v>
      </c>
      <c r="AV6">
        <v>96</v>
      </c>
      <c r="AW6">
        <v>45</v>
      </c>
    </row>
    <row r="7" spans="1:49" x14ac:dyDescent="0.25">
      <c r="A7" t="s">
        <v>109</v>
      </c>
      <c r="B7">
        <v>19117</v>
      </c>
      <c r="C7">
        <v>8962</v>
      </c>
      <c r="D7">
        <v>1684</v>
      </c>
      <c r="E7">
        <v>660</v>
      </c>
      <c r="F7">
        <v>17986</v>
      </c>
      <c r="G7">
        <v>8575</v>
      </c>
      <c r="H7">
        <v>1112</v>
      </c>
      <c r="I7">
        <v>436</v>
      </c>
      <c r="J7">
        <v>17956</v>
      </c>
      <c r="K7">
        <v>8494</v>
      </c>
      <c r="L7">
        <v>959</v>
      </c>
      <c r="M7">
        <v>336</v>
      </c>
      <c r="N7">
        <v>17883</v>
      </c>
      <c r="O7">
        <v>8522</v>
      </c>
      <c r="P7">
        <v>694</v>
      </c>
      <c r="Q7">
        <v>253</v>
      </c>
      <c r="R7">
        <v>18220</v>
      </c>
      <c r="S7">
        <v>9035</v>
      </c>
      <c r="T7">
        <v>465</v>
      </c>
      <c r="U7">
        <v>155</v>
      </c>
      <c r="V7">
        <v>17229</v>
      </c>
      <c r="W7">
        <v>8755</v>
      </c>
      <c r="X7">
        <v>398</v>
      </c>
      <c r="Y7">
        <v>172</v>
      </c>
      <c r="Z7">
        <v>14491</v>
      </c>
      <c r="AA7">
        <v>7547</v>
      </c>
      <c r="AB7">
        <v>262</v>
      </c>
      <c r="AC7">
        <v>75</v>
      </c>
      <c r="AD7">
        <v>10687</v>
      </c>
      <c r="AE7">
        <v>5646</v>
      </c>
      <c r="AF7">
        <v>166</v>
      </c>
      <c r="AG7">
        <v>48</v>
      </c>
      <c r="AH7">
        <v>9001</v>
      </c>
      <c r="AI7">
        <v>4707</v>
      </c>
      <c r="AJ7">
        <v>279</v>
      </c>
      <c r="AK7">
        <v>74</v>
      </c>
      <c r="AL7">
        <v>6155</v>
      </c>
      <c r="AM7">
        <v>3323</v>
      </c>
      <c r="AN7">
        <v>14</v>
      </c>
      <c r="AO7">
        <v>2</v>
      </c>
      <c r="AP7">
        <v>5095</v>
      </c>
      <c r="AQ7">
        <v>2711</v>
      </c>
      <c r="AR7">
        <v>12</v>
      </c>
      <c r="AS7">
        <v>1</v>
      </c>
      <c r="AT7">
        <v>4436</v>
      </c>
      <c r="AU7">
        <v>2334</v>
      </c>
      <c r="AV7">
        <v>56</v>
      </c>
      <c r="AW7">
        <v>28</v>
      </c>
    </row>
    <row r="8" spans="1:49" x14ac:dyDescent="0.25">
      <c r="A8" t="s">
        <v>110</v>
      </c>
      <c r="B8">
        <v>19773</v>
      </c>
      <c r="C8">
        <v>9216</v>
      </c>
      <c r="D8">
        <v>2616</v>
      </c>
      <c r="E8">
        <v>1015</v>
      </c>
      <c r="F8">
        <v>18319</v>
      </c>
      <c r="G8">
        <v>8843</v>
      </c>
      <c r="H8">
        <v>1639</v>
      </c>
      <c r="I8">
        <v>611</v>
      </c>
      <c r="J8">
        <v>16909</v>
      </c>
      <c r="K8">
        <v>8026</v>
      </c>
      <c r="L8">
        <v>1219</v>
      </c>
      <c r="M8">
        <v>413</v>
      </c>
      <c r="N8">
        <v>16155</v>
      </c>
      <c r="O8">
        <v>7942</v>
      </c>
      <c r="P8">
        <v>766</v>
      </c>
      <c r="Q8">
        <v>266</v>
      </c>
      <c r="R8">
        <v>14705</v>
      </c>
      <c r="S8">
        <v>7437</v>
      </c>
      <c r="T8">
        <v>485</v>
      </c>
      <c r="U8">
        <v>145</v>
      </c>
      <c r="V8">
        <v>13996</v>
      </c>
      <c r="W8">
        <v>7267</v>
      </c>
      <c r="X8">
        <v>377</v>
      </c>
      <c r="Y8">
        <v>120</v>
      </c>
      <c r="Z8">
        <v>12392</v>
      </c>
      <c r="AA8">
        <v>6555</v>
      </c>
      <c r="AB8">
        <v>508</v>
      </c>
      <c r="AC8">
        <v>189</v>
      </c>
      <c r="AD8">
        <v>9864</v>
      </c>
      <c r="AE8">
        <v>5552</v>
      </c>
      <c r="AF8">
        <v>211</v>
      </c>
      <c r="AG8">
        <v>68</v>
      </c>
      <c r="AH8">
        <v>8255</v>
      </c>
      <c r="AI8">
        <v>4458</v>
      </c>
      <c r="AJ8">
        <v>318</v>
      </c>
      <c r="AK8">
        <v>104</v>
      </c>
      <c r="AL8">
        <v>6107</v>
      </c>
      <c r="AM8">
        <v>3449</v>
      </c>
      <c r="AN8">
        <v>53</v>
      </c>
      <c r="AO8">
        <v>13</v>
      </c>
      <c r="AP8">
        <v>4812</v>
      </c>
      <c r="AQ8">
        <v>2699</v>
      </c>
      <c r="AR8">
        <v>39</v>
      </c>
      <c r="AS8">
        <v>11</v>
      </c>
      <c r="AT8">
        <v>4482</v>
      </c>
      <c r="AU8">
        <v>2574</v>
      </c>
      <c r="AV8">
        <v>55</v>
      </c>
      <c r="AW8">
        <v>24</v>
      </c>
    </row>
    <row r="9" spans="1:49" x14ac:dyDescent="0.25">
      <c r="A9" t="s">
        <v>111</v>
      </c>
      <c r="B9">
        <v>14156</v>
      </c>
      <c r="C9">
        <v>6391</v>
      </c>
      <c r="D9">
        <v>1338</v>
      </c>
      <c r="E9">
        <v>483</v>
      </c>
      <c r="F9">
        <v>13167</v>
      </c>
      <c r="G9">
        <v>6227</v>
      </c>
      <c r="H9">
        <v>827</v>
      </c>
      <c r="I9">
        <v>274</v>
      </c>
      <c r="J9">
        <v>12619</v>
      </c>
      <c r="K9">
        <v>5948</v>
      </c>
      <c r="L9">
        <v>601</v>
      </c>
      <c r="M9">
        <v>200</v>
      </c>
      <c r="N9">
        <v>12556</v>
      </c>
      <c r="O9">
        <v>5954</v>
      </c>
      <c r="P9">
        <v>417</v>
      </c>
      <c r="Q9">
        <v>123</v>
      </c>
      <c r="R9">
        <v>12407</v>
      </c>
      <c r="S9">
        <v>6005</v>
      </c>
      <c r="T9">
        <v>380</v>
      </c>
      <c r="U9">
        <v>130</v>
      </c>
      <c r="V9">
        <v>11756</v>
      </c>
      <c r="W9">
        <v>5896</v>
      </c>
      <c r="X9">
        <v>264</v>
      </c>
      <c r="Y9">
        <v>73</v>
      </c>
      <c r="Z9">
        <v>10768</v>
      </c>
      <c r="AA9">
        <v>5534</v>
      </c>
      <c r="AB9">
        <v>323</v>
      </c>
      <c r="AC9">
        <v>89</v>
      </c>
      <c r="AD9">
        <v>8432</v>
      </c>
      <c r="AE9">
        <v>4392</v>
      </c>
      <c r="AF9">
        <v>172</v>
      </c>
      <c r="AG9">
        <v>36</v>
      </c>
      <c r="AH9">
        <v>7854</v>
      </c>
      <c r="AI9">
        <v>4126</v>
      </c>
      <c r="AJ9">
        <v>306</v>
      </c>
      <c r="AK9">
        <v>80</v>
      </c>
      <c r="AL9">
        <v>5840</v>
      </c>
      <c r="AM9">
        <v>3138</v>
      </c>
      <c r="AN9">
        <v>108</v>
      </c>
      <c r="AO9">
        <v>38</v>
      </c>
      <c r="AP9">
        <v>5219</v>
      </c>
      <c r="AQ9">
        <v>2737</v>
      </c>
      <c r="AR9">
        <v>48</v>
      </c>
      <c r="AS9">
        <v>21</v>
      </c>
      <c r="AT9">
        <v>4695</v>
      </c>
      <c r="AU9">
        <v>2469</v>
      </c>
      <c r="AV9">
        <v>89</v>
      </c>
      <c r="AW9">
        <v>37</v>
      </c>
    </row>
    <row r="10" spans="1:49" x14ac:dyDescent="0.25">
      <c r="A10" t="s">
        <v>112</v>
      </c>
      <c r="B10">
        <v>29507</v>
      </c>
      <c r="C10">
        <v>13637</v>
      </c>
      <c r="D10">
        <v>3727</v>
      </c>
      <c r="E10">
        <v>1448</v>
      </c>
      <c r="F10">
        <v>27771</v>
      </c>
      <c r="G10">
        <v>13182</v>
      </c>
      <c r="H10">
        <v>2625</v>
      </c>
      <c r="I10">
        <v>896</v>
      </c>
      <c r="J10">
        <v>26276</v>
      </c>
      <c r="K10">
        <v>12069</v>
      </c>
      <c r="L10">
        <v>2166</v>
      </c>
      <c r="M10">
        <v>739</v>
      </c>
      <c r="N10">
        <v>26024</v>
      </c>
      <c r="O10">
        <v>12137</v>
      </c>
      <c r="P10">
        <v>1759</v>
      </c>
      <c r="Q10">
        <v>558</v>
      </c>
      <c r="R10">
        <v>25763</v>
      </c>
      <c r="S10">
        <v>12351</v>
      </c>
      <c r="T10">
        <v>1334</v>
      </c>
      <c r="U10">
        <v>440</v>
      </c>
      <c r="V10">
        <v>24273</v>
      </c>
      <c r="W10">
        <v>11964</v>
      </c>
      <c r="X10">
        <v>839</v>
      </c>
      <c r="Y10">
        <v>247</v>
      </c>
      <c r="Z10">
        <v>20343</v>
      </c>
      <c r="AA10">
        <v>10462</v>
      </c>
      <c r="AB10">
        <v>667</v>
      </c>
      <c r="AC10">
        <v>176</v>
      </c>
      <c r="AD10">
        <v>15866</v>
      </c>
      <c r="AE10">
        <v>8346</v>
      </c>
      <c r="AF10">
        <v>273</v>
      </c>
      <c r="AG10">
        <v>92</v>
      </c>
      <c r="AH10">
        <v>13734</v>
      </c>
      <c r="AI10">
        <v>7316</v>
      </c>
      <c r="AJ10">
        <v>372</v>
      </c>
      <c r="AK10">
        <v>116</v>
      </c>
      <c r="AL10">
        <v>11109</v>
      </c>
      <c r="AM10">
        <v>6207</v>
      </c>
      <c r="AN10">
        <v>122</v>
      </c>
      <c r="AO10">
        <v>47</v>
      </c>
      <c r="AP10">
        <v>9249</v>
      </c>
      <c r="AQ10">
        <v>5261</v>
      </c>
      <c r="AR10">
        <v>72</v>
      </c>
      <c r="AS10">
        <v>19</v>
      </c>
      <c r="AT10">
        <v>8285</v>
      </c>
      <c r="AU10">
        <v>4536</v>
      </c>
      <c r="AV10">
        <v>265</v>
      </c>
      <c r="AW10">
        <v>118</v>
      </c>
    </row>
    <row r="11" spans="1:49" x14ac:dyDescent="0.25">
      <c r="A11" t="s">
        <v>113</v>
      </c>
      <c r="B11">
        <v>1136</v>
      </c>
      <c r="C11">
        <v>527</v>
      </c>
      <c r="D11">
        <v>138</v>
      </c>
      <c r="E11">
        <v>56</v>
      </c>
      <c r="F11">
        <v>936</v>
      </c>
      <c r="G11">
        <v>455</v>
      </c>
      <c r="H11">
        <v>94</v>
      </c>
      <c r="I11">
        <v>30</v>
      </c>
      <c r="J11">
        <v>885</v>
      </c>
      <c r="K11">
        <v>425</v>
      </c>
      <c r="L11">
        <v>88</v>
      </c>
      <c r="M11">
        <v>30</v>
      </c>
      <c r="N11">
        <v>823</v>
      </c>
      <c r="O11">
        <v>389</v>
      </c>
      <c r="P11">
        <v>94</v>
      </c>
      <c r="Q11">
        <v>24</v>
      </c>
      <c r="R11">
        <v>721</v>
      </c>
      <c r="S11">
        <v>395</v>
      </c>
      <c r="T11">
        <v>38</v>
      </c>
      <c r="U11">
        <v>5</v>
      </c>
      <c r="V11">
        <v>658</v>
      </c>
      <c r="W11">
        <v>330</v>
      </c>
      <c r="X11">
        <v>27</v>
      </c>
      <c r="Y11">
        <v>4</v>
      </c>
      <c r="Z11">
        <v>601</v>
      </c>
      <c r="AA11">
        <v>302</v>
      </c>
      <c r="AB11">
        <v>39</v>
      </c>
      <c r="AC11">
        <v>6</v>
      </c>
      <c r="AD11">
        <v>445</v>
      </c>
      <c r="AE11">
        <v>236</v>
      </c>
      <c r="AF11">
        <v>16</v>
      </c>
      <c r="AG11">
        <v>3</v>
      </c>
      <c r="AH11">
        <v>422</v>
      </c>
      <c r="AI11">
        <v>223</v>
      </c>
      <c r="AJ11">
        <v>19</v>
      </c>
      <c r="AK11">
        <v>10</v>
      </c>
      <c r="AL11">
        <v>372</v>
      </c>
      <c r="AM11">
        <v>182</v>
      </c>
      <c r="AN11">
        <v>7</v>
      </c>
      <c r="AO11">
        <v>3</v>
      </c>
      <c r="AP11">
        <v>328</v>
      </c>
      <c r="AQ11">
        <v>176</v>
      </c>
      <c r="AR11">
        <v>2</v>
      </c>
      <c r="AS11">
        <v>0</v>
      </c>
      <c r="AT11">
        <v>345</v>
      </c>
      <c r="AU11">
        <v>185</v>
      </c>
      <c r="AV11">
        <v>7</v>
      </c>
      <c r="AW11">
        <v>2</v>
      </c>
    </row>
    <row r="12" spans="1:49" x14ac:dyDescent="0.25">
      <c r="A12" t="s">
        <v>114</v>
      </c>
      <c r="B12">
        <v>3266</v>
      </c>
      <c r="C12">
        <v>1524</v>
      </c>
      <c r="D12">
        <v>305</v>
      </c>
      <c r="E12">
        <v>123</v>
      </c>
      <c r="F12">
        <v>2980</v>
      </c>
      <c r="G12">
        <v>1379</v>
      </c>
      <c r="H12">
        <v>211</v>
      </c>
      <c r="I12">
        <v>74</v>
      </c>
      <c r="J12">
        <v>2747</v>
      </c>
      <c r="K12">
        <v>1294</v>
      </c>
      <c r="L12">
        <v>126</v>
      </c>
      <c r="M12">
        <v>47</v>
      </c>
      <c r="N12">
        <v>2609</v>
      </c>
      <c r="O12">
        <v>1207</v>
      </c>
      <c r="P12">
        <v>86</v>
      </c>
      <c r="Q12">
        <v>29</v>
      </c>
      <c r="R12">
        <v>2428</v>
      </c>
      <c r="S12">
        <v>1204</v>
      </c>
      <c r="T12">
        <v>45</v>
      </c>
      <c r="U12">
        <v>9</v>
      </c>
      <c r="V12">
        <v>2365</v>
      </c>
      <c r="W12">
        <v>1277</v>
      </c>
      <c r="X12">
        <v>35</v>
      </c>
      <c r="Y12">
        <v>12</v>
      </c>
      <c r="Z12">
        <v>2074</v>
      </c>
      <c r="AA12">
        <v>1059</v>
      </c>
      <c r="AB12">
        <v>13</v>
      </c>
      <c r="AC12">
        <v>5</v>
      </c>
      <c r="AD12">
        <v>1634</v>
      </c>
      <c r="AE12">
        <v>839</v>
      </c>
      <c r="AF12">
        <v>11</v>
      </c>
      <c r="AG12">
        <v>2</v>
      </c>
      <c r="AH12">
        <v>1420</v>
      </c>
      <c r="AI12">
        <v>730</v>
      </c>
      <c r="AJ12">
        <v>39</v>
      </c>
      <c r="AK12">
        <v>11</v>
      </c>
      <c r="AL12">
        <v>1014</v>
      </c>
      <c r="AM12">
        <v>523</v>
      </c>
      <c r="AN12">
        <v>5</v>
      </c>
      <c r="AO12">
        <v>1</v>
      </c>
      <c r="AP12">
        <v>906</v>
      </c>
      <c r="AQ12">
        <v>468</v>
      </c>
      <c r="AR12">
        <v>3</v>
      </c>
      <c r="AS12">
        <v>0</v>
      </c>
      <c r="AT12">
        <v>741</v>
      </c>
      <c r="AU12">
        <v>331</v>
      </c>
      <c r="AV12">
        <v>15</v>
      </c>
      <c r="AW12">
        <v>10</v>
      </c>
    </row>
    <row r="13" spans="1:49" x14ac:dyDescent="0.25">
      <c r="A13" t="s">
        <v>115</v>
      </c>
      <c r="B13">
        <v>13347</v>
      </c>
      <c r="C13">
        <v>6067</v>
      </c>
      <c r="D13">
        <v>1858</v>
      </c>
      <c r="E13">
        <v>735</v>
      </c>
      <c r="F13">
        <v>12119</v>
      </c>
      <c r="G13">
        <v>5754</v>
      </c>
      <c r="H13">
        <v>1168</v>
      </c>
      <c r="I13">
        <v>436</v>
      </c>
      <c r="J13">
        <v>11126</v>
      </c>
      <c r="K13">
        <v>5180</v>
      </c>
      <c r="L13">
        <v>854</v>
      </c>
      <c r="M13">
        <v>319</v>
      </c>
      <c r="N13">
        <v>9807</v>
      </c>
      <c r="O13">
        <v>4759</v>
      </c>
      <c r="P13">
        <v>515</v>
      </c>
      <c r="Q13">
        <v>195</v>
      </c>
      <c r="R13">
        <v>9111</v>
      </c>
      <c r="S13">
        <v>4668</v>
      </c>
      <c r="T13">
        <v>353</v>
      </c>
      <c r="U13">
        <v>105</v>
      </c>
      <c r="V13">
        <v>7753</v>
      </c>
      <c r="W13">
        <v>4021</v>
      </c>
      <c r="X13">
        <v>200</v>
      </c>
      <c r="Y13">
        <v>83</v>
      </c>
      <c r="Z13">
        <v>5624</v>
      </c>
      <c r="AA13">
        <v>2926</v>
      </c>
      <c r="AB13">
        <v>107</v>
      </c>
      <c r="AC13">
        <v>31</v>
      </c>
      <c r="AD13">
        <v>4184</v>
      </c>
      <c r="AE13">
        <v>2260</v>
      </c>
      <c r="AF13">
        <v>54</v>
      </c>
      <c r="AG13">
        <v>16</v>
      </c>
      <c r="AH13">
        <v>3299</v>
      </c>
      <c r="AI13">
        <v>1813</v>
      </c>
      <c r="AJ13">
        <v>93</v>
      </c>
      <c r="AK13">
        <v>32</v>
      </c>
      <c r="AL13">
        <v>2346</v>
      </c>
      <c r="AM13">
        <v>1278</v>
      </c>
      <c r="AN13">
        <v>28</v>
      </c>
      <c r="AO13">
        <v>5</v>
      </c>
      <c r="AP13">
        <v>1969</v>
      </c>
      <c r="AQ13">
        <v>1114</v>
      </c>
      <c r="AR13">
        <v>18</v>
      </c>
      <c r="AS13">
        <v>6</v>
      </c>
      <c r="AT13">
        <v>1893</v>
      </c>
      <c r="AU13">
        <v>1035</v>
      </c>
      <c r="AV13">
        <v>44</v>
      </c>
      <c r="AW13">
        <v>12</v>
      </c>
    </row>
    <row r="14" spans="1:49" x14ac:dyDescent="0.25">
      <c r="A14" t="s">
        <v>116</v>
      </c>
      <c r="B14">
        <v>3055</v>
      </c>
      <c r="C14">
        <v>1501</v>
      </c>
      <c r="D14">
        <v>180</v>
      </c>
      <c r="E14">
        <v>89</v>
      </c>
      <c r="F14">
        <v>2881</v>
      </c>
      <c r="G14">
        <v>1441</v>
      </c>
      <c r="H14">
        <v>120</v>
      </c>
      <c r="I14">
        <v>50</v>
      </c>
      <c r="J14">
        <v>2469</v>
      </c>
      <c r="K14">
        <v>1164</v>
      </c>
      <c r="L14">
        <v>95</v>
      </c>
      <c r="M14">
        <v>38</v>
      </c>
      <c r="N14">
        <v>2441</v>
      </c>
      <c r="O14">
        <v>1257</v>
      </c>
      <c r="P14">
        <v>76</v>
      </c>
      <c r="Q14">
        <v>27</v>
      </c>
      <c r="R14">
        <v>2055</v>
      </c>
      <c r="S14">
        <v>1015</v>
      </c>
      <c r="T14">
        <v>41</v>
      </c>
      <c r="U14">
        <v>9</v>
      </c>
      <c r="V14">
        <v>1722</v>
      </c>
      <c r="W14">
        <v>907</v>
      </c>
      <c r="X14">
        <v>26</v>
      </c>
      <c r="Y14">
        <v>13</v>
      </c>
      <c r="Z14">
        <v>1340</v>
      </c>
      <c r="AA14">
        <v>691</v>
      </c>
      <c r="AB14">
        <v>49</v>
      </c>
      <c r="AC14">
        <v>14</v>
      </c>
      <c r="AD14">
        <v>1085</v>
      </c>
      <c r="AE14">
        <v>581</v>
      </c>
      <c r="AF14">
        <v>30</v>
      </c>
      <c r="AG14">
        <v>13</v>
      </c>
      <c r="AH14">
        <v>931</v>
      </c>
      <c r="AI14">
        <v>498</v>
      </c>
      <c r="AJ14">
        <v>86</v>
      </c>
      <c r="AK14">
        <v>26</v>
      </c>
      <c r="AL14">
        <v>604</v>
      </c>
      <c r="AM14">
        <v>334</v>
      </c>
      <c r="AN14">
        <v>1</v>
      </c>
      <c r="AO14">
        <v>0</v>
      </c>
      <c r="AP14">
        <v>491</v>
      </c>
      <c r="AQ14">
        <v>266</v>
      </c>
      <c r="AR14">
        <v>0</v>
      </c>
      <c r="AS14">
        <v>0</v>
      </c>
      <c r="AT14">
        <v>453</v>
      </c>
      <c r="AU14">
        <v>251</v>
      </c>
      <c r="AV14">
        <v>0</v>
      </c>
      <c r="AW14">
        <v>0</v>
      </c>
    </row>
    <row r="15" spans="1:49" x14ac:dyDescent="0.25">
      <c r="A15" t="s">
        <v>117</v>
      </c>
      <c r="B15">
        <v>7847</v>
      </c>
      <c r="C15">
        <v>3603</v>
      </c>
      <c r="D15">
        <v>1072</v>
      </c>
      <c r="E15">
        <v>411</v>
      </c>
      <c r="F15">
        <v>6670</v>
      </c>
      <c r="G15">
        <v>3049</v>
      </c>
      <c r="H15">
        <v>625</v>
      </c>
      <c r="I15">
        <v>222</v>
      </c>
      <c r="J15">
        <v>6314</v>
      </c>
      <c r="K15">
        <v>2983</v>
      </c>
      <c r="L15">
        <v>532</v>
      </c>
      <c r="M15">
        <v>187</v>
      </c>
      <c r="N15">
        <v>5922</v>
      </c>
      <c r="O15">
        <v>2865</v>
      </c>
      <c r="P15">
        <v>328</v>
      </c>
      <c r="Q15">
        <v>105</v>
      </c>
      <c r="R15">
        <v>5523</v>
      </c>
      <c r="S15">
        <v>2723</v>
      </c>
      <c r="T15">
        <v>219</v>
      </c>
      <c r="U15">
        <v>76</v>
      </c>
      <c r="V15">
        <v>4909</v>
      </c>
      <c r="W15">
        <v>2496</v>
      </c>
      <c r="X15">
        <v>182</v>
      </c>
      <c r="Y15">
        <v>64</v>
      </c>
      <c r="Z15">
        <v>4196</v>
      </c>
      <c r="AA15">
        <v>2212</v>
      </c>
      <c r="AB15">
        <v>180</v>
      </c>
      <c r="AC15">
        <v>53</v>
      </c>
      <c r="AD15">
        <v>3135</v>
      </c>
      <c r="AE15">
        <v>1580</v>
      </c>
      <c r="AF15">
        <v>75</v>
      </c>
      <c r="AG15">
        <v>21</v>
      </c>
      <c r="AH15">
        <v>2636</v>
      </c>
      <c r="AI15">
        <v>1350</v>
      </c>
      <c r="AJ15">
        <v>194</v>
      </c>
      <c r="AK15">
        <v>64</v>
      </c>
      <c r="AL15">
        <v>1879</v>
      </c>
      <c r="AM15">
        <v>983</v>
      </c>
      <c r="AN15">
        <v>44</v>
      </c>
      <c r="AO15">
        <v>12</v>
      </c>
      <c r="AP15">
        <v>1475</v>
      </c>
      <c r="AQ15">
        <v>805</v>
      </c>
      <c r="AR15">
        <v>21</v>
      </c>
      <c r="AS15">
        <v>3</v>
      </c>
      <c r="AT15">
        <v>1261</v>
      </c>
      <c r="AU15">
        <v>662</v>
      </c>
      <c r="AV15">
        <v>23</v>
      </c>
      <c r="AW15">
        <v>9</v>
      </c>
    </row>
    <row r="16" spans="1:49" x14ac:dyDescent="0.25">
      <c r="A16" t="s">
        <v>118</v>
      </c>
      <c r="B16">
        <v>2055</v>
      </c>
      <c r="C16">
        <v>961</v>
      </c>
      <c r="D16">
        <v>191</v>
      </c>
      <c r="E16">
        <v>70</v>
      </c>
      <c r="F16">
        <v>1979</v>
      </c>
      <c r="G16">
        <v>928</v>
      </c>
      <c r="H16">
        <v>144</v>
      </c>
      <c r="I16">
        <v>49</v>
      </c>
      <c r="J16">
        <v>1789</v>
      </c>
      <c r="K16">
        <v>840</v>
      </c>
      <c r="L16">
        <v>112</v>
      </c>
      <c r="M16">
        <v>49</v>
      </c>
      <c r="N16">
        <v>1631</v>
      </c>
      <c r="O16">
        <v>753</v>
      </c>
      <c r="P16">
        <v>51</v>
      </c>
      <c r="Q16">
        <v>12</v>
      </c>
      <c r="R16">
        <v>1583</v>
      </c>
      <c r="S16">
        <v>794</v>
      </c>
      <c r="T16">
        <v>59</v>
      </c>
      <c r="U16">
        <v>10</v>
      </c>
      <c r="V16">
        <v>1451</v>
      </c>
      <c r="W16">
        <v>714</v>
      </c>
      <c r="X16">
        <v>12</v>
      </c>
      <c r="Y16">
        <v>1</v>
      </c>
      <c r="Z16">
        <v>1413</v>
      </c>
      <c r="AA16">
        <v>746</v>
      </c>
      <c r="AB16">
        <v>54</v>
      </c>
      <c r="AC16">
        <v>14</v>
      </c>
      <c r="AD16">
        <v>1085</v>
      </c>
      <c r="AE16">
        <v>587</v>
      </c>
      <c r="AF16">
        <v>18</v>
      </c>
      <c r="AG16">
        <v>4</v>
      </c>
      <c r="AH16">
        <v>930</v>
      </c>
      <c r="AI16">
        <v>469</v>
      </c>
      <c r="AJ16">
        <v>76</v>
      </c>
      <c r="AK16">
        <v>31</v>
      </c>
      <c r="AL16">
        <v>593</v>
      </c>
      <c r="AM16">
        <v>325</v>
      </c>
      <c r="AN16">
        <v>13</v>
      </c>
      <c r="AO16">
        <v>3</v>
      </c>
      <c r="AP16">
        <v>499</v>
      </c>
      <c r="AQ16">
        <v>280</v>
      </c>
      <c r="AR16">
        <v>1</v>
      </c>
      <c r="AS16">
        <v>0</v>
      </c>
      <c r="AT16">
        <v>416</v>
      </c>
      <c r="AU16">
        <v>225</v>
      </c>
      <c r="AV16">
        <v>14</v>
      </c>
      <c r="AW16">
        <v>11</v>
      </c>
    </row>
    <row r="17" spans="1:49" x14ac:dyDescent="0.25">
      <c r="A17" t="s">
        <v>119</v>
      </c>
      <c r="B17">
        <v>24321</v>
      </c>
      <c r="C17">
        <v>11365</v>
      </c>
      <c r="D17">
        <v>1549</v>
      </c>
      <c r="E17">
        <v>556</v>
      </c>
      <c r="F17">
        <v>24416</v>
      </c>
      <c r="G17">
        <v>11502</v>
      </c>
      <c r="H17">
        <v>1054</v>
      </c>
      <c r="I17">
        <v>343</v>
      </c>
      <c r="J17">
        <v>22491</v>
      </c>
      <c r="K17">
        <v>10689</v>
      </c>
      <c r="L17">
        <v>753</v>
      </c>
      <c r="M17">
        <v>257</v>
      </c>
      <c r="N17">
        <v>21335</v>
      </c>
      <c r="O17">
        <v>10002</v>
      </c>
      <c r="P17">
        <v>675</v>
      </c>
      <c r="Q17">
        <v>212</v>
      </c>
      <c r="R17">
        <v>23256</v>
      </c>
      <c r="S17">
        <v>11197</v>
      </c>
      <c r="T17">
        <v>467</v>
      </c>
      <c r="U17">
        <v>145</v>
      </c>
      <c r="V17">
        <v>22231</v>
      </c>
      <c r="W17">
        <v>11039</v>
      </c>
      <c r="X17">
        <v>295</v>
      </c>
      <c r="Y17">
        <v>89</v>
      </c>
      <c r="Z17">
        <v>20286</v>
      </c>
      <c r="AA17">
        <v>10198</v>
      </c>
      <c r="AB17">
        <v>633</v>
      </c>
      <c r="AC17">
        <v>229</v>
      </c>
      <c r="AD17">
        <v>16240</v>
      </c>
      <c r="AE17">
        <v>8165</v>
      </c>
      <c r="AF17">
        <v>342</v>
      </c>
      <c r="AG17">
        <v>124</v>
      </c>
      <c r="AH17">
        <v>16108</v>
      </c>
      <c r="AI17">
        <v>8023</v>
      </c>
      <c r="AJ17">
        <v>547</v>
      </c>
      <c r="AK17">
        <v>179</v>
      </c>
      <c r="AL17">
        <v>13391</v>
      </c>
      <c r="AM17">
        <v>6905</v>
      </c>
      <c r="AN17">
        <v>113</v>
      </c>
      <c r="AO17">
        <v>40</v>
      </c>
      <c r="AP17">
        <v>12367</v>
      </c>
      <c r="AQ17">
        <v>6446</v>
      </c>
      <c r="AR17">
        <v>86</v>
      </c>
      <c r="AS17">
        <v>31</v>
      </c>
      <c r="AT17">
        <v>12265</v>
      </c>
      <c r="AU17">
        <v>6146</v>
      </c>
      <c r="AV17">
        <v>580</v>
      </c>
      <c r="AW17">
        <v>219</v>
      </c>
    </row>
    <row r="18" spans="1:49" x14ac:dyDescent="0.25">
      <c r="A18" t="s">
        <v>120</v>
      </c>
      <c r="B18">
        <v>5217</v>
      </c>
      <c r="C18">
        <v>2573</v>
      </c>
      <c r="D18">
        <v>334</v>
      </c>
      <c r="E18">
        <v>136</v>
      </c>
      <c r="F18">
        <v>4694</v>
      </c>
      <c r="G18">
        <v>2215</v>
      </c>
      <c r="H18">
        <v>248</v>
      </c>
      <c r="I18">
        <v>86</v>
      </c>
      <c r="J18">
        <v>4538</v>
      </c>
      <c r="K18">
        <v>2153</v>
      </c>
      <c r="L18">
        <v>215</v>
      </c>
      <c r="M18">
        <v>71</v>
      </c>
      <c r="N18">
        <v>4098</v>
      </c>
      <c r="O18">
        <v>1975</v>
      </c>
      <c r="P18">
        <v>134</v>
      </c>
      <c r="Q18">
        <v>46</v>
      </c>
      <c r="R18">
        <v>4186</v>
      </c>
      <c r="S18">
        <v>2163</v>
      </c>
      <c r="T18">
        <v>81</v>
      </c>
      <c r="U18">
        <v>26</v>
      </c>
      <c r="V18">
        <v>3955</v>
      </c>
      <c r="W18">
        <v>1973</v>
      </c>
      <c r="X18">
        <v>93</v>
      </c>
      <c r="Y18">
        <v>20</v>
      </c>
      <c r="Z18">
        <v>3475</v>
      </c>
      <c r="AA18">
        <v>1681</v>
      </c>
      <c r="AB18">
        <v>196</v>
      </c>
      <c r="AC18">
        <v>40</v>
      </c>
      <c r="AD18">
        <v>2517</v>
      </c>
      <c r="AE18">
        <v>1342</v>
      </c>
      <c r="AF18">
        <v>61</v>
      </c>
      <c r="AG18">
        <v>27</v>
      </c>
      <c r="AH18">
        <v>2204</v>
      </c>
      <c r="AI18">
        <v>1103</v>
      </c>
      <c r="AJ18">
        <v>131</v>
      </c>
      <c r="AK18">
        <v>40</v>
      </c>
      <c r="AL18">
        <v>1595</v>
      </c>
      <c r="AM18">
        <v>868</v>
      </c>
      <c r="AN18">
        <v>16</v>
      </c>
      <c r="AO18">
        <v>7</v>
      </c>
      <c r="AP18">
        <v>1206</v>
      </c>
      <c r="AQ18">
        <v>662</v>
      </c>
      <c r="AR18">
        <v>3</v>
      </c>
      <c r="AS18">
        <v>1</v>
      </c>
      <c r="AT18">
        <v>1334</v>
      </c>
      <c r="AU18">
        <v>678</v>
      </c>
      <c r="AV18">
        <v>205</v>
      </c>
      <c r="AW18">
        <v>106</v>
      </c>
    </row>
    <row r="19" spans="1:49" x14ac:dyDescent="0.25">
      <c r="A19" t="s">
        <v>121</v>
      </c>
      <c r="B19">
        <v>8120</v>
      </c>
      <c r="C19">
        <v>3735</v>
      </c>
      <c r="D19">
        <v>1353</v>
      </c>
      <c r="E19">
        <v>520</v>
      </c>
      <c r="F19">
        <v>7166</v>
      </c>
      <c r="G19">
        <v>3441</v>
      </c>
      <c r="H19">
        <v>819</v>
      </c>
      <c r="I19">
        <v>318</v>
      </c>
      <c r="J19">
        <v>6492</v>
      </c>
      <c r="K19">
        <v>3077</v>
      </c>
      <c r="L19">
        <v>511</v>
      </c>
      <c r="M19">
        <v>168</v>
      </c>
      <c r="N19">
        <v>5720</v>
      </c>
      <c r="O19">
        <v>2834</v>
      </c>
      <c r="P19">
        <v>359</v>
      </c>
      <c r="Q19">
        <v>129</v>
      </c>
      <c r="R19">
        <v>5258</v>
      </c>
      <c r="S19">
        <v>2666</v>
      </c>
      <c r="T19">
        <v>179</v>
      </c>
      <c r="U19">
        <v>58</v>
      </c>
      <c r="V19">
        <v>4782</v>
      </c>
      <c r="W19">
        <v>2517</v>
      </c>
      <c r="X19">
        <v>123</v>
      </c>
      <c r="Y19">
        <v>43</v>
      </c>
      <c r="Z19">
        <v>4213</v>
      </c>
      <c r="AA19">
        <v>2261</v>
      </c>
      <c r="AB19">
        <v>61</v>
      </c>
      <c r="AC19">
        <v>28</v>
      </c>
      <c r="AD19">
        <v>3278</v>
      </c>
      <c r="AE19">
        <v>1871</v>
      </c>
      <c r="AF19">
        <v>28</v>
      </c>
      <c r="AG19">
        <v>13</v>
      </c>
      <c r="AH19">
        <v>2817</v>
      </c>
      <c r="AI19">
        <v>1537</v>
      </c>
      <c r="AJ19">
        <v>44</v>
      </c>
      <c r="AK19">
        <v>11</v>
      </c>
      <c r="AL19">
        <v>2089</v>
      </c>
      <c r="AM19">
        <v>1160</v>
      </c>
      <c r="AN19">
        <v>9</v>
      </c>
      <c r="AO19">
        <v>2</v>
      </c>
      <c r="AP19">
        <v>1589</v>
      </c>
      <c r="AQ19">
        <v>875</v>
      </c>
      <c r="AR19">
        <v>0</v>
      </c>
      <c r="AS19">
        <v>0</v>
      </c>
      <c r="AT19">
        <v>1339</v>
      </c>
      <c r="AU19">
        <v>682</v>
      </c>
      <c r="AV19">
        <v>7</v>
      </c>
      <c r="AW19">
        <v>5</v>
      </c>
    </row>
    <row r="20" spans="1:49" x14ac:dyDescent="0.25">
      <c r="A20" t="s">
        <v>122</v>
      </c>
      <c r="B20">
        <v>25789</v>
      </c>
      <c r="C20">
        <v>11949</v>
      </c>
      <c r="D20">
        <v>3032</v>
      </c>
      <c r="E20">
        <v>1154</v>
      </c>
      <c r="F20">
        <v>25136</v>
      </c>
      <c r="G20">
        <v>11544</v>
      </c>
      <c r="H20">
        <v>2039</v>
      </c>
      <c r="I20">
        <v>695</v>
      </c>
      <c r="J20">
        <v>24917</v>
      </c>
      <c r="K20">
        <v>11367</v>
      </c>
      <c r="L20">
        <v>1718</v>
      </c>
      <c r="M20">
        <v>548</v>
      </c>
      <c r="N20">
        <v>24873</v>
      </c>
      <c r="O20">
        <v>11710</v>
      </c>
      <c r="P20">
        <v>1300</v>
      </c>
      <c r="Q20">
        <v>460</v>
      </c>
      <c r="R20">
        <v>24510</v>
      </c>
      <c r="S20">
        <v>11654</v>
      </c>
      <c r="T20">
        <v>1016</v>
      </c>
      <c r="U20">
        <v>327</v>
      </c>
      <c r="V20">
        <v>23005</v>
      </c>
      <c r="W20">
        <v>11246</v>
      </c>
      <c r="X20">
        <v>793</v>
      </c>
      <c r="Y20">
        <v>247</v>
      </c>
      <c r="Z20">
        <v>18555</v>
      </c>
      <c r="AA20">
        <v>9619</v>
      </c>
      <c r="AB20">
        <v>132</v>
      </c>
      <c r="AC20">
        <v>42</v>
      </c>
      <c r="AD20">
        <v>15452</v>
      </c>
      <c r="AE20">
        <v>8217</v>
      </c>
      <c r="AF20">
        <v>99</v>
      </c>
      <c r="AG20">
        <v>21</v>
      </c>
      <c r="AH20">
        <v>13298</v>
      </c>
      <c r="AI20">
        <v>6932</v>
      </c>
      <c r="AJ20">
        <v>230</v>
      </c>
      <c r="AK20">
        <v>71</v>
      </c>
      <c r="AL20">
        <v>9576</v>
      </c>
      <c r="AM20">
        <v>5327</v>
      </c>
      <c r="AN20">
        <v>75</v>
      </c>
      <c r="AO20">
        <v>37</v>
      </c>
      <c r="AP20">
        <v>7724</v>
      </c>
      <c r="AQ20">
        <v>4206</v>
      </c>
      <c r="AR20">
        <v>42</v>
      </c>
      <c r="AS20">
        <v>11</v>
      </c>
      <c r="AT20">
        <v>6676</v>
      </c>
      <c r="AU20">
        <v>3476</v>
      </c>
      <c r="AV20">
        <v>168</v>
      </c>
      <c r="AW20">
        <v>57</v>
      </c>
    </row>
    <row r="21" spans="1:49" x14ac:dyDescent="0.25">
      <c r="A21" t="s">
        <v>123</v>
      </c>
      <c r="B21">
        <v>13784</v>
      </c>
      <c r="C21">
        <v>6451</v>
      </c>
      <c r="D21">
        <v>2087</v>
      </c>
      <c r="E21">
        <v>850</v>
      </c>
      <c r="F21">
        <v>12590</v>
      </c>
      <c r="G21">
        <v>6047</v>
      </c>
      <c r="H21">
        <v>1146</v>
      </c>
      <c r="I21">
        <v>436</v>
      </c>
      <c r="J21">
        <v>11930</v>
      </c>
      <c r="K21">
        <v>5672</v>
      </c>
      <c r="L21">
        <v>918</v>
      </c>
      <c r="M21">
        <v>342</v>
      </c>
      <c r="N21">
        <v>11005</v>
      </c>
      <c r="O21">
        <v>5367</v>
      </c>
      <c r="P21">
        <v>591</v>
      </c>
      <c r="Q21">
        <v>241</v>
      </c>
      <c r="R21">
        <v>10187</v>
      </c>
      <c r="S21">
        <v>5150</v>
      </c>
      <c r="T21">
        <v>373</v>
      </c>
      <c r="U21">
        <v>121</v>
      </c>
      <c r="V21">
        <v>9342</v>
      </c>
      <c r="W21">
        <v>4820</v>
      </c>
      <c r="X21">
        <v>249</v>
      </c>
      <c r="Y21">
        <v>99</v>
      </c>
      <c r="Z21">
        <v>7900</v>
      </c>
      <c r="AA21">
        <v>4083</v>
      </c>
      <c r="AB21">
        <v>70</v>
      </c>
      <c r="AC21">
        <v>24</v>
      </c>
      <c r="AD21">
        <v>6000</v>
      </c>
      <c r="AE21">
        <v>3259</v>
      </c>
      <c r="AF21">
        <v>33</v>
      </c>
      <c r="AG21">
        <v>10</v>
      </c>
      <c r="AH21">
        <v>5150</v>
      </c>
      <c r="AI21">
        <v>2702</v>
      </c>
      <c r="AJ21">
        <v>137</v>
      </c>
      <c r="AK21">
        <v>35</v>
      </c>
      <c r="AL21">
        <v>3739</v>
      </c>
      <c r="AM21">
        <v>2101</v>
      </c>
      <c r="AN21">
        <v>16</v>
      </c>
      <c r="AO21">
        <v>2</v>
      </c>
      <c r="AP21">
        <v>3254</v>
      </c>
      <c r="AQ21">
        <v>1782</v>
      </c>
      <c r="AR21">
        <v>16</v>
      </c>
      <c r="AS21">
        <v>3</v>
      </c>
      <c r="AT21">
        <v>2815</v>
      </c>
      <c r="AU21">
        <v>1498</v>
      </c>
      <c r="AV21">
        <v>79</v>
      </c>
      <c r="AW21">
        <v>31</v>
      </c>
    </row>
    <row r="22" spans="1:49" x14ac:dyDescent="0.25">
      <c r="A22" t="s">
        <v>124</v>
      </c>
      <c r="B22">
        <v>8650</v>
      </c>
      <c r="C22">
        <v>3994</v>
      </c>
      <c r="D22">
        <v>739</v>
      </c>
      <c r="E22">
        <v>292</v>
      </c>
      <c r="F22">
        <v>7918</v>
      </c>
      <c r="G22">
        <v>3660</v>
      </c>
      <c r="H22">
        <v>365</v>
      </c>
      <c r="I22">
        <v>158</v>
      </c>
      <c r="J22">
        <v>7338</v>
      </c>
      <c r="K22">
        <v>3625</v>
      </c>
      <c r="L22">
        <v>261</v>
      </c>
      <c r="M22">
        <v>111</v>
      </c>
      <c r="N22">
        <v>6657</v>
      </c>
      <c r="O22">
        <v>3280</v>
      </c>
      <c r="P22">
        <v>164</v>
      </c>
      <c r="Q22">
        <v>57</v>
      </c>
      <c r="R22">
        <v>5449</v>
      </c>
      <c r="S22">
        <v>2656</v>
      </c>
      <c r="T22">
        <v>106</v>
      </c>
      <c r="U22">
        <v>49</v>
      </c>
      <c r="V22">
        <v>4600</v>
      </c>
      <c r="W22">
        <v>2330</v>
      </c>
      <c r="X22">
        <v>48</v>
      </c>
      <c r="Y22">
        <v>12</v>
      </c>
      <c r="Z22">
        <v>3448</v>
      </c>
      <c r="AA22">
        <v>1777</v>
      </c>
      <c r="AB22">
        <v>36</v>
      </c>
      <c r="AC22">
        <v>5</v>
      </c>
      <c r="AD22">
        <v>2488</v>
      </c>
      <c r="AE22">
        <v>1259</v>
      </c>
      <c r="AF22">
        <v>2</v>
      </c>
      <c r="AG22">
        <v>0</v>
      </c>
      <c r="AH22">
        <v>2375</v>
      </c>
      <c r="AI22">
        <v>1172</v>
      </c>
      <c r="AJ22">
        <v>58</v>
      </c>
      <c r="AK22">
        <v>21</v>
      </c>
      <c r="AL22">
        <v>1612</v>
      </c>
      <c r="AM22">
        <v>788</v>
      </c>
      <c r="AN22">
        <v>2</v>
      </c>
      <c r="AO22">
        <v>0</v>
      </c>
      <c r="AP22">
        <v>1207</v>
      </c>
      <c r="AQ22">
        <v>563</v>
      </c>
      <c r="AR22">
        <v>4</v>
      </c>
      <c r="AS22">
        <v>2</v>
      </c>
      <c r="AT22">
        <v>980</v>
      </c>
      <c r="AU22">
        <v>446</v>
      </c>
      <c r="AV22">
        <v>23</v>
      </c>
      <c r="AW22">
        <v>10</v>
      </c>
    </row>
    <row r="23" spans="1:49" x14ac:dyDescent="0.25">
      <c r="A23" t="s">
        <v>125</v>
      </c>
      <c r="B23">
        <v>32154</v>
      </c>
      <c r="C23">
        <v>14930</v>
      </c>
      <c r="D23">
        <v>4354</v>
      </c>
      <c r="E23">
        <v>1657</v>
      </c>
      <c r="F23">
        <v>29636</v>
      </c>
      <c r="G23">
        <v>13846</v>
      </c>
      <c r="H23">
        <v>2782</v>
      </c>
      <c r="I23">
        <v>970</v>
      </c>
      <c r="J23">
        <v>27388</v>
      </c>
      <c r="K23">
        <v>12974</v>
      </c>
      <c r="L23">
        <v>2060</v>
      </c>
      <c r="M23">
        <v>648</v>
      </c>
      <c r="N23">
        <v>26485</v>
      </c>
      <c r="O23">
        <v>12877</v>
      </c>
      <c r="P23">
        <v>1262</v>
      </c>
      <c r="Q23">
        <v>391</v>
      </c>
      <c r="R23">
        <v>25643</v>
      </c>
      <c r="S23">
        <v>12868</v>
      </c>
      <c r="T23">
        <v>891</v>
      </c>
      <c r="U23">
        <v>252</v>
      </c>
      <c r="V23">
        <v>23808</v>
      </c>
      <c r="W23">
        <v>12239</v>
      </c>
      <c r="X23">
        <v>555</v>
      </c>
      <c r="Y23">
        <v>151</v>
      </c>
      <c r="Z23">
        <v>20619</v>
      </c>
      <c r="AA23">
        <v>10743</v>
      </c>
      <c r="AB23">
        <v>957</v>
      </c>
      <c r="AC23">
        <v>263</v>
      </c>
      <c r="AD23">
        <v>16066</v>
      </c>
      <c r="AE23">
        <v>8794</v>
      </c>
      <c r="AF23">
        <v>402</v>
      </c>
      <c r="AG23">
        <v>130</v>
      </c>
      <c r="AH23">
        <v>13888</v>
      </c>
      <c r="AI23">
        <v>7618</v>
      </c>
      <c r="AJ23">
        <v>529</v>
      </c>
      <c r="AK23">
        <v>168</v>
      </c>
      <c r="AL23">
        <v>10987</v>
      </c>
      <c r="AM23">
        <v>6437</v>
      </c>
      <c r="AN23">
        <v>230</v>
      </c>
      <c r="AO23">
        <v>80</v>
      </c>
      <c r="AP23">
        <v>8750</v>
      </c>
      <c r="AQ23">
        <v>5067</v>
      </c>
      <c r="AR23">
        <v>107</v>
      </c>
      <c r="AS23">
        <v>33</v>
      </c>
      <c r="AT23">
        <v>7956</v>
      </c>
      <c r="AU23">
        <v>4628</v>
      </c>
      <c r="AV23">
        <v>161</v>
      </c>
      <c r="AW23">
        <v>58</v>
      </c>
    </row>
    <row r="24" spans="1:49" x14ac:dyDescent="0.25">
      <c r="A24" t="s">
        <v>126</v>
      </c>
      <c r="B24">
        <v>6086</v>
      </c>
      <c r="C24">
        <v>2800</v>
      </c>
      <c r="D24">
        <v>1079</v>
      </c>
      <c r="E24">
        <v>458</v>
      </c>
      <c r="F24">
        <v>5114</v>
      </c>
      <c r="G24">
        <v>2482</v>
      </c>
      <c r="H24">
        <v>605</v>
      </c>
      <c r="I24">
        <v>264</v>
      </c>
      <c r="J24">
        <v>4784</v>
      </c>
      <c r="K24">
        <v>2248</v>
      </c>
      <c r="L24">
        <v>412</v>
      </c>
      <c r="M24">
        <v>181</v>
      </c>
      <c r="N24">
        <v>4028</v>
      </c>
      <c r="O24">
        <v>2008</v>
      </c>
      <c r="P24">
        <v>241</v>
      </c>
      <c r="Q24">
        <v>84</v>
      </c>
      <c r="R24">
        <v>3650</v>
      </c>
      <c r="S24">
        <v>1926</v>
      </c>
      <c r="T24">
        <v>104</v>
      </c>
      <c r="U24">
        <v>42</v>
      </c>
      <c r="V24">
        <v>2979</v>
      </c>
      <c r="W24">
        <v>1537</v>
      </c>
      <c r="X24">
        <v>66</v>
      </c>
      <c r="Y24">
        <v>32</v>
      </c>
      <c r="Z24">
        <v>2206</v>
      </c>
      <c r="AA24">
        <v>1099</v>
      </c>
      <c r="AB24">
        <v>62</v>
      </c>
      <c r="AC24">
        <v>23</v>
      </c>
      <c r="AD24">
        <v>1573</v>
      </c>
      <c r="AE24">
        <v>898</v>
      </c>
      <c r="AF24">
        <v>31</v>
      </c>
      <c r="AG24">
        <v>17</v>
      </c>
      <c r="AH24">
        <v>1387</v>
      </c>
      <c r="AI24">
        <v>723</v>
      </c>
      <c r="AJ24">
        <v>33</v>
      </c>
      <c r="AK24">
        <v>11</v>
      </c>
      <c r="AL24">
        <v>886</v>
      </c>
      <c r="AM24">
        <v>478</v>
      </c>
      <c r="AN24">
        <v>22</v>
      </c>
      <c r="AO24">
        <v>3</v>
      </c>
      <c r="AP24">
        <v>814</v>
      </c>
      <c r="AQ24">
        <v>414</v>
      </c>
      <c r="AR24">
        <v>2</v>
      </c>
      <c r="AS24">
        <v>1</v>
      </c>
      <c r="AT24">
        <v>677</v>
      </c>
      <c r="AU24">
        <v>350</v>
      </c>
      <c r="AV24">
        <v>29</v>
      </c>
      <c r="AW24">
        <v>9</v>
      </c>
    </row>
    <row r="25" spans="1:49" x14ac:dyDescent="0.25">
      <c r="A25" t="s">
        <v>127</v>
      </c>
      <c r="B25">
        <v>13280</v>
      </c>
      <c r="C25">
        <v>6361</v>
      </c>
      <c r="D25">
        <v>1082</v>
      </c>
      <c r="E25">
        <v>415</v>
      </c>
      <c r="F25">
        <v>12139</v>
      </c>
      <c r="G25">
        <v>5702</v>
      </c>
      <c r="H25">
        <v>608</v>
      </c>
      <c r="I25">
        <v>210</v>
      </c>
      <c r="J25">
        <v>11863</v>
      </c>
      <c r="K25">
        <v>5670</v>
      </c>
      <c r="L25">
        <v>485</v>
      </c>
      <c r="M25">
        <v>158</v>
      </c>
      <c r="N25">
        <v>11786</v>
      </c>
      <c r="O25">
        <v>5649</v>
      </c>
      <c r="P25">
        <v>360</v>
      </c>
      <c r="Q25">
        <v>108</v>
      </c>
      <c r="R25">
        <v>12202</v>
      </c>
      <c r="S25">
        <v>6076</v>
      </c>
      <c r="T25">
        <v>304</v>
      </c>
      <c r="U25">
        <v>85</v>
      </c>
      <c r="V25">
        <v>11369</v>
      </c>
      <c r="W25">
        <v>5674</v>
      </c>
      <c r="X25">
        <v>195</v>
      </c>
      <c r="Y25">
        <v>51</v>
      </c>
      <c r="Z25">
        <v>10023</v>
      </c>
      <c r="AA25">
        <v>5021</v>
      </c>
      <c r="AB25">
        <v>268</v>
      </c>
      <c r="AC25">
        <v>52</v>
      </c>
      <c r="AD25">
        <v>8198</v>
      </c>
      <c r="AE25">
        <v>4347</v>
      </c>
      <c r="AF25">
        <v>119</v>
      </c>
      <c r="AG25">
        <v>31</v>
      </c>
      <c r="AH25">
        <v>6771</v>
      </c>
      <c r="AI25">
        <v>3483</v>
      </c>
      <c r="AJ25">
        <v>145</v>
      </c>
      <c r="AK25">
        <v>39</v>
      </c>
      <c r="AL25">
        <v>5221</v>
      </c>
      <c r="AM25">
        <v>2793</v>
      </c>
      <c r="AN25">
        <v>66</v>
      </c>
      <c r="AO25">
        <v>22</v>
      </c>
      <c r="AP25">
        <v>4193</v>
      </c>
      <c r="AQ25">
        <v>2161</v>
      </c>
      <c r="AR25">
        <v>18</v>
      </c>
      <c r="AS25">
        <v>2</v>
      </c>
      <c r="AT25">
        <v>3792</v>
      </c>
      <c r="AU25">
        <v>2005</v>
      </c>
      <c r="AV25">
        <v>77</v>
      </c>
      <c r="AW25">
        <v>32</v>
      </c>
    </row>
    <row r="26" spans="1:49" x14ac:dyDescent="0.25">
      <c r="A26" t="s">
        <v>128</v>
      </c>
      <c r="B26">
        <v>19825</v>
      </c>
      <c r="C26">
        <v>9190</v>
      </c>
      <c r="D26">
        <v>2419</v>
      </c>
      <c r="E26">
        <v>869</v>
      </c>
      <c r="F26">
        <v>19460</v>
      </c>
      <c r="G26">
        <v>9084</v>
      </c>
      <c r="H26">
        <v>1866</v>
      </c>
      <c r="I26">
        <v>661</v>
      </c>
      <c r="J26">
        <v>18676</v>
      </c>
      <c r="K26">
        <v>8833</v>
      </c>
      <c r="L26">
        <v>1765</v>
      </c>
      <c r="M26">
        <v>571</v>
      </c>
      <c r="N26">
        <v>18877</v>
      </c>
      <c r="O26">
        <v>8996</v>
      </c>
      <c r="P26">
        <v>1325</v>
      </c>
      <c r="Q26">
        <v>400</v>
      </c>
      <c r="R26">
        <v>19359</v>
      </c>
      <c r="S26">
        <v>9507</v>
      </c>
      <c r="T26">
        <v>1233</v>
      </c>
      <c r="U26">
        <v>395</v>
      </c>
      <c r="V26">
        <v>18664</v>
      </c>
      <c r="W26">
        <v>9210</v>
      </c>
      <c r="X26">
        <v>1207</v>
      </c>
      <c r="Y26">
        <v>351</v>
      </c>
      <c r="Z26">
        <v>16561</v>
      </c>
      <c r="AA26">
        <v>8534</v>
      </c>
      <c r="AB26">
        <v>579</v>
      </c>
      <c r="AC26">
        <v>189</v>
      </c>
      <c r="AD26">
        <v>14561</v>
      </c>
      <c r="AE26">
        <v>7376</v>
      </c>
      <c r="AF26">
        <v>429</v>
      </c>
      <c r="AG26">
        <v>151</v>
      </c>
      <c r="AH26">
        <v>13507</v>
      </c>
      <c r="AI26">
        <v>6851</v>
      </c>
      <c r="AJ26">
        <v>641</v>
      </c>
      <c r="AK26">
        <v>150</v>
      </c>
      <c r="AL26">
        <v>10724</v>
      </c>
      <c r="AM26">
        <v>5779</v>
      </c>
      <c r="AN26">
        <v>148</v>
      </c>
      <c r="AO26">
        <v>36</v>
      </c>
      <c r="AP26">
        <v>9529</v>
      </c>
      <c r="AQ26">
        <v>5081</v>
      </c>
      <c r="AR26">
        <v>76</v>
      </c>
      <c r="AS26">
        <v>23</v>
      </c>
      <c r="AT26">
        <v>8431</v>
      </c>
      <c r="AU26">
        <v>4442</v>
      </c>
      <c r="AV26">
        <v>332</v>
      </c>
      <c r="AW26">
        <v>126</v>
      </c>
    </row>
    <row r="27" spans="1:49" x14ac:dyDescent="0.25">
      <c r="A27" t="s">
        <v>129</v>
      </c>
      <c r="B27">
        <v>22202</v>
      </c>
      <c r="C27">
        <v>10243</v>
      </c>
      <c r="D27">
        <v>2332</v>
      </c>
      <c r="E27">
        <v>921</v>
      </c>
      <c r="F27">
        <v>20971</v>
      </c>
      <c r="G27">
        <v>9882</v>
      </c>
      <c r="H27">
        <v>1553</v>
      </c>
      <c r="I27">
        <v>581</v>
      </c>
      <c r="J27">
        <v>19375</v>
      </c>
      <c r="K27">
        <v>9240</v>
      </c>
      <c r="L27">
        <v>1151</v>
      </c>
      <c r="M27">
        <v>417</v>
      </c>
      <c r="N27">
        <v>18001</v>
      </c>
      <c r="O27">
        <v>8638</v>
      </c>
      <c r="P27">
        <v>831</v>
      </c>
      <c r="Q27">
        <v>297</v>
      </c>
      <c r="R27">
        <v>17560</v>
      </c>
      <c r="S27">
        <v>8749</v>
      </c>
      <c r="T27">
        <v>632</v>
      </c>
      <c r="U27">
        <v>238</v>
      </c>
      <c r="V27">
        <v>15482</v>
      </c>
      <c r="W27">
        <v>7839</v>
      </c>
      <c r="X27">
        <v>381</v>
      </c>
      <c r="Y27">
        <v>114</v>
      </c>
      <c r="Z27">
        <v>12596</v>
      </c>
      <c r="AA27">
        <v>6698</v>
      </c>
      <c r="AB27">
        <v>479</v>
      </c>
      <c r="AC27">
        <v>137</v>
      </c>
      <c r="AD27">
        <v>9387</v>
      </c>
      <c r="AE27">
        <v>5086</v>
      </c>
      <c r="AF27">
        <v>248</v>
      </c>
      <c r="AG27">
        <v>75</v>
      </c>
      <c r="AH27">
        <v>7945</v>
      </c>
      <c r="AI27">
        <v>4368</v>
      </c>
      <c r="AJ27">
        <v>286</v>
      </c>
      <c r="AK27">
        <v>106</v>
      </c>
      <c r="AL27">
        <v>5420</v>
      </c>
      <c r="AM27">
        <v>3083</v>
      </c>
      <c r="AN27">
        <v>84</v>
      </c>
      <c r="AO27">
        <v>33</v>
      </c>
      <c r="AP27">
        <v>4442</v>
      </c>
      <c r="AQ27">
        <v>2578</v>
      </c>
      <c r="AR27">
        <v>27</v>
      </c>
      <c r="AS27">
        <v>7</v>
      </c>
      <c r="AT27">
        <v>3825</v>
      </c>
      <c r="AU27">
        <v>2217</v>
      </c>
      <c r="AV27">
        <v>84</v>
      </c>
      <c r="AW27">
        <v>42</v>
      </c>
    </row>
    <row r="28" spans="1:49" x14ac:dyDescent="0.25">
      <c r="A28" t="s">
        <v>87</v>
      </c>
      <c r="B28">
        <v>383240</v>
      </c>
      <c r="C28">
        <v>178111</v>
      </c>
      <c r="D28">
        <v>43362</v>
      </c>
      <c r="E28">
        <v>16674</v>
      </c>
      <c r="F28">
        <v>360299</v>
      </c>
      <c r="G28">
        <v>169746</v>
      </c>
      <c r="H28">
        <v>28312</v>
      </c>
      <c r="I28">
        <v>10198</v>
      </c>
      <c r="J28">
        <v>339804</v>
      </c>
      <c r="K28">
        <v>160269</v>
      </c>
      <c r="L28">
        <v>22086</v>
      </c>
      <c r="M28">
        <v>7521</v>
      </c>
      <c r="N28">
        <v>326527</v>
      </c>
      <c r="O28">
        <v>156356</v>
      </c>
      <c r="P28">
        <v>15691</v>
      </c>
      <c r="Q28">
        <v>5187</v>
      </c>
      <c r="R28">
        <v>318331</v>
      </c>
      <c r="S28">
        <v>156811</v>
      </c>
      <c r="T28">
        <v>11328</v>
      </c>
      <c r="U28">
        <v>3634</v>
      </c>
      <c r="V28">
        <v>295272</v>
      </c>
      <c r="W28">
        <v>148760</v>
      </c>
      <c r="X28">
        <v>7984</v>
      </c>
      <c r="Y28">
        <v>2533</v>
      </c>
      <c r="Z28">
        <v>250846</v>
      </c>
      <c r="AA28">
        <v>129884</v>
      </c>
      <c r="AB28">
        <v>7419</v>
      </c>
      <c r="AC28">
        <v>2219</v>
      </c>
      <c r="AD28">
        <v>196750</v>
      </c>
      <c r="AE28">
        <v>104869</v>
      </c>
      <c r="AF28">
        <v>3736</v>
      </c>
      <c r="AG28">
        <v>1184</v>
      </c>
      <c r="AH28">
        <v>171372</v>
      </c>
      <c r="AI28">
        <v>90751</v>
      </c>
      <c r="AJ28">
        <v>5751</v>
      </c>
      <c r="AK28">
        <v>1771</v>
      </c>
      <c r="AL28">
        <v>129672</v>
      </c>
      <c r="AM28">
        <v>71597</v>
      </c>
      <c r="AN28">
        <v>1495</v>
      </c>
      <c r="AO28">
        <v>481</v>
      </c>
      <c r="AP28">
        <v>107722</v>
      </c>
      <c r="AQ28">
        <v>59296</v>
      </c>
      <c r="AR28">
        <v>710</v>
      </c>
      <c r="AS28">
        <v>221</v>
      </c>
      <c r="AT28">
        <v>97318</v>
      </c>
      <c r="AU28">
        <v>52501</v>
      </c>
      <c r="AV28">
        <v>2883</v>
      </c>
      <c r="AW28">
        <v>1204</v>
      </c>
    </row>
    <row r="29" spans="1:49" x14ac:dyDescent="0.25">
      <c r="A29" t="s">
        <v>130</v>
      </c>
      <c r="B29">
        <v>62988</v>
      </c>
      <c r="C29">
        <v>29230</v>
      </c>
      <c r="D29">
        <v>5891</v>
      </c>
      <c r="E29">
        <v>2244</v>
      </c>
      <c r="F29">
        <v>60201</v>
      </c>
      <c r="G29">
        <v>28318</v>
      </c>
      <c r="H29">
        <v>3774</v>
      </c>
      <c r="I29">
        <v>1270</v>
      </c>
      <c r="J29">
        <v>55108</v>
      </c>
      <c r="K29">
        <v>26179</v>
      </c>
      <c r="L29">
        <v>2575</v>
      </c>
      <c r="M29">
        <v>862</v>
      </c>
      <c r="N29">
        <v>52107</v>
      </c>
      <c r="O29">
        <v>24689</v>
      </c>
      <c r="P29">
        <v>1873</v>
      </c>
      <c r="Q29">
        <v>579</v>
      </c>
      <c r="R29">
        <v>53796</v>
      </c>
      <c r="S29">
        <v>26328</v>
      </c>
      <c r="T29">
        <v>1232</v>
      </c>
      <c r="U29">
        <v>342</v>
      </c>
      <c r="V29">
        <v>50605</v>
      </c>
      <c r="W29">
        <v>25370</v>
      </c>
      <c r="X29">
        <v>796</v>
      </c>
      <c r="Y29">
        <v>217</v>
      </c>
      <c r="Z29">
        <v>48258</v>
      </c>
      <c r="AA29">
        <v>24494</v>
      </c>
      <c r="AB29">
        <v>1683</v>
      </c>
      <c r="AC29">
        <v>521</v>
      </c>
      <c r="AD29">
        <v>38449</v>
      </c>
      <c r="AE29">
        <v>19832</v>
      </c>
      <c r="AF29">
        <v>813</v>
      </c>
      <c r="AG29">
        <v>261</v>
      </c>
      <c r="AH29">
        <v>36991</v>
      </c>
      <c r="AI29">
        <v>18791</v>
      </c>
      <c r="AJ29">
        <v>1544</v>
      </c>
      <c r="AK29">
        <v>559</v>
      </c>
      <c r="AL29">
        <v>35355</v>
      </c>
      <c r="AM29">
        <v>18928</v>
      </c>
      <c r="AN29">
        <v>447</v>
      </c>
      <c r="AO29">
        <v>142</v>
      </c>
      <c r="AP29">
        <v>31508</v>
      </c>
      <c r="AQ29">
        <v>16924</v>
      </c>
      <c r="AR29">
        <v>233</v>
      </c>
      <c r="AS29">
        <v>72</v>
      </c>
      <c r="AT29">
        <v>30675</v>
      </c>
      <c r="AU29">
        <v>16087</v>
      </c>
      <c r="AV29">
        <v>955</v>
      </c>
      <c r="AW29">
        <v>378</v>
      </c>
    </row>
    <row r="30" spans="1:49" x14ac:dyDescent="0.25">
      <c r="A30" t="s">
        <v>131</v>
      </c>
      <c r="B30">
        <v>320252</v>
      </c>
      <c r="C30">
        <v>148881</v>
      </c>
      <c r="D30">
        <v>37471</v>
      </c>
      <c r="E30">
        <v>14430</v>
      </c>
      <c r="F30">
        <v>300098</v>
      </c>
      <c r="G30">
        <v>141428</v>
      </c>
      <c r="H30">
        <v>24538</v>
      </c>
      <c r="I30">
        <v>8928</v>
      </c>
      <c r="J30">
        <v>284696</v>
      </c>
      <c r="K30">
        <v>134090</v>
      </c>
      <c r="L30">
        <v>19511</v>
      </c>
      <c r="M30">
        <v>6659</v>
      </c>
      <c r="N30">
        <v>274420</v>
      </c>
      <c r="O30">
        <v>131667</v>
      </c>
      <c r="P30">
        <v>13818</v>
      </c>
      <c r="Q30">
        <v>4608</v>
      </c>
      <c r="R30">
        <v>264535</v>
      </c>
      <c r="S30">
        <v>130483</v>
      </c>
      <c r="T30">
        <v>10096</v>
      </c>
      <c r="U30">
        <v>3292</v>
      </c>
      <c r="V30">
        <v>244667</v>
      </c>
      <c r="W30">
        <v>123390</v>
      </c>
      <c r="X30">
        <v>7188</v>
      </c>
      <c r="Y30">
        <v>2316</v>
      </c>
      <c r="Z30">
        <v>202588</v>
      </c>
      <c r="AA30">
        <v>105390</v>
      </c>
      <c r="AB30">
        <v>5736</v>
      </c>
      <c r="AC30">
        <v>1698</v>
      </c>
      <c r="AD30">
        <v>158301</v>
      </c>
      <c r="AE30">
        <v>85037</v>
      </c>
      <c r="AF30">
        <v>2923</v>
      </c>
      <c r="AG30">
        <v>923</v>
      </c>
      <c r="AH30">
        <v>134381</v>
      </c>
      <c r="AI30">
        <v>71960</v>
      </c>
      <c r="AJ30">
        <v>4207</v>
      </c>
      <c r="AK30">
        <v>1212</v>
      </c>
      <c r="AL30">
        <v>94317</v>
      </c>
      <c r="AM30">
        <v>52669</v>
      </c>
      <c r="AN30">
        <v>1048</v>
      </c>
      <c r="AO30">
        <v>339</v>
      </c>
      <c r="AP30">
        <v>76214</v>
      </c>
      <c r="AQ30">
        <v>42372</v>
      </c>
      <c r="AR30">
        <v>477</v>
      </c>
      <c r="AS30">
        <v>149</v>
      </c>
      <c r="AT30">
        <v>66643</v>
      </c>
      <c r="AU30">
        <v>36414</v>
      </c>
      <c r="AV30">
        <v>1928</v>
      </c>
      <c r="AW30">
        <v>826</v>
      </c>
    </row>
  </sheetData>
  <mergeCells count="25">
    <mergeCell ref="A1:A2"/>
    <mergeCell ref="B1:C1"/>
    <mergeCell ref="N1:O1"/>
    <mergeCell ref="T1:U1"/>
    <mergeCell ref="L1:M1"/>
    <mergeCell ref="AF1:AG1"/>
    <mergeCell ref="X1:Y1"/>
    <mergeCell ref="Z1:AA1"/>
    <mergeCell ref="F1:G1"/>
    <mergeCell ref="R1:S1"/>
    <mergeCell ref="AV1:AW1"/>
    <mergeCell ref="D1:E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AJ1:AK1"/>
    <mergeCell ref="AL1:AM1"/>
    <mergeCell ref="AR1:AS1"/>
    <mergeCell ref="AT1:A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5B9BD5"/>
  </sheetPr>
  <dimension ref="A1:N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3" max="3" width="11.85546875" customWidth="1"/>
    <col min="8" max="8" width="12" customWidth="1"/>
    <col min="9" max="9" width="11.85546875" customWidth="1"/>
    <col min="14" max="14" width="12" customWidth="1"/>
  </cols>
  <sheetData>
    <row r="1" spans="1:14" x14ac:dyDescent="0.25">
      <c r="A1" s="27" t="s">
        <v>104</v>
      </c>
      <c r="B1" t="s">
        <v>75</v>
      </c>
      <c r="C1" s="27" t="s">
        <v>141</v>
      </c>
      <c r="D1" s="27"/>
      <c r="E1" s="27" t="s">
        <v>161</v>
      </c>
      <c r="F1" s="27"/>
      <c r="G1" s="27" t="s">
        <v>211</v>
      </c>
      <c r="H1" s="27"/>
      <c r="I1" s="27" t="s">
        <v>212</v>
      </c>
      <c r="J1" s="27"/>
      <c r="K1" s="27" t="s">
        <v>84</v>
      </c>
      <c r="L1" s="27"/>
      <c r="M1" s="27" t="s">
        <v>213</v>
      </c>
      <c r="N1" s="27"/>
    </row>
    <row r="2" spans="1:14" x14ac:dyDescent="0.25">
      <c r="A2" s="27"/>
      <c r="B2" t="s">
        <v>82</v>
      </c>
      <c r="C2" t="s">
        <v>84</v>
      </c>
      <c r="D2" t="s">
        <v>85</v>
      </c>
      <c r="E2" t="s">
        <v>84</v>
      </c>
      <c r="F2" t="s">
        <v>85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85</v>
      </c>
      <c r="M2" t="s">
        <v>161</v>
      </c>
      <c r="N2" t="s">
        <v>214</v>
      </c>
    </row>
    <row r="3" spans="1:14" x14ac:dyDescent="0.25">
      <c r="A3" t="s">
        <v>105</v>
      </c>
      <c r="B3">
        <v>818</v>
      </c>
      <c r="C3">
        <v>16624</v>
      </c>
      <c r="D3">
        <v>8212</v>
      </c>
      <c r="E3">
        <v>96900</v>
      </c>
      <c r="F3">
        <v>46855</v>
      </c>
      <c r="G3">
        <v>26777</v>
      </c>
      <c r="H3">
        <v>14245</v>
      </c>
      <c r="I3">
        <v>12289</v>
      </c>
      <c r="J3">
        <v>6787</v>
      </c>
      <c r="K3">
        <v>152590</v>
      </c>
      <c r="L3">
        <v>76099</v>
      </c>
      <c r="M3">
        <v>48.4</v>
      </c>
      <c r="N3">
        <v>49.9</v>
      </c>
    </row>
    <row r="4" spans="1:14" x14ac:dyDescent="0.25">
      <c r="A4" t="s">
        <v>106</v>
      </c>
      <c r="B4">
        <v>1133</v>
      </c>
      <c r="C4">
        <v>18765</v>
      </c>
      <c r="D4">
        <v>9360</v>
      </c>
      <c r="E4">
        <v>171713</v>
      </c>
      <c r="F4">
        <v>82096</v>
      </c>
      <c r="G4">
        <v>43372</v>
      </c>
      <c r="H4">
        <v>23034</v>
      </c>
      <c r="I4">
        <v>19631</v>
      </c>
      <c r="J4">
        <v>11089</v>
      </c>
      <c r="K4">
        <v>253481</v>
      </c>
      <c r="L4">
        <v>125579</v>
      </c>
      <c r="M4">
        <v>47.8</v>
      </c>
      <c r="N4">
        <v>49.5</v>
      </c>
    </row>
    <row r="5" spans="1:14" x14ac:dyDescent="0.25">
      <c r="A5" t="s">
        <v>107</v>
      </c>
      <c r="B5">
        <v>804</v>
      </c>
      <c r="C5">
        <v>15704</v>
      </c>
      <c r="D5">
        <v>7756</v>
      </c>
      <c r="E5">
        <v>141437</v>
      </c>
      <c r="F5">
        <v>67395</v>
      </c>
      <c r="G5">
        <v>42139</v>
      </c>
      <c r="H5">
        <v>22561</v>
      </c>
      <c r="I5">
        <v>22427</v>
      </c>
      <c r="J5">
        <v>12651</v>
      </c>
      <c r="K5">
        <v>221707</v>
      </c>
      <c r="L5">
        <v>110363</v>
      </c>
      <c r="M5">
        <v>47.7</v>
      </c>
      <c r="N5">
        <v>49.8</v>
      </c>
    </row>
    <row r="6" spans="1:14" x14ac:dyDescent="0.25">
      <c r="A6" t="s">
        <v>108</v>
      </c>
      <c r="B6">
        <v>466</v>
      </c>
      <c r="C6">
        <v>6914</v>
      </c>
      <c r="D6">
        <v>3452</v>
      </c>
      <c r="E6">
        <v>74274</v>
      </c>
      <c r="F6">
        <v>36121</v>
      </c>
      <c r="G6">
        <v>24396</v>
      </c>
      <c r="H6">
        <v>13059</v>
      </c>
      <c r="I6">
        <v>12560</v>
      </c>
      <c r="J6">
        <v>7009</v>
      </c>
      <c r="K6">
        <v>118144</v>
      </c>
      <c r="L6">
        <v>59641</v>
      </c>
      <c r="M6">
        <v>48.6</v>
      </c>
      <c r="N6">
        <v>50.5</v>
      </c>
    </row>
    <row r="7" spans="1:14" x14ac:dyDescent="0.25">
      <c r="A7" t="s">
        <v>109</v>
      </c>
      <c r="B7">
        <v>603</v>
      </c>
      <c r="C7">
        <v>9886</v>
      </c>
      <c r="D7">
        <v>4992</v>
      </c>
      <c r="E7">
        <v>110874</v>
      </c>
      <c r="F7">
        <v>53596</v>
      </c>
      <c r="G7">
        <v>34034</v>
      </c>
      <c r="H7">
        <v>17505</v>
      </c>
      <c r="I7">
        <v>15428</v>
      </c>
      <c r="J7">
        <v>7878</v>
      </c>
      <c r="K7">
        <v>170222</v>
      </c>
      <c r="L7">
        <v>83971</v>
      </c>
      <c r="M7">
        <v>48.3</v>
      </c>
      <c r="N7">
        <v>49.3</v>
      </c>
    </row>
    <row r="8" spans="1:14" x14ac:dyDescent="0.25">
      <c r="A8" t="s">
        <v>110</v>
      </c>
      <c r="B8">
        <v>782</v>
      </c>
      <c r="C8">
        <v>10080</v>
      </c>
      <c r="D8">
        <v>5071</v>
      </c>
      <c r="E8">
        <v>100565</v>
      </c>
      <c r="F8">
        <v>48939</v>
      </c>
      <c r="G8">
        <v>30503</v>
      </c>
      <c r="H8">
        <v>16654</v>
      </c>
      <c r="I8">
        <v>14963</v>
      </c>
      <c r="J8">
        <v>8337</v>
      </c>
      <c r="K8">
        <v>156111</v>
      </c>
      <c r="L8">
        <v>79001</v>
      </c>
      <c r="M8">
        <v>48.7</v>
      </c>
      <c r="N8">
        <v>50.6</v>
      </c>
    </row>
    <row r="9" spans="1:14" x14ac:dyDescent="0.25">
      <c r="A9" t="s">
        <v>111</v>
      </c>
      <c r="B9">
        <v>608</v>
      </c>
      <c r="C9">
        <v>7056</v>
      </c>
      <c r="D9">
        <v>3396</v>
      </c>
      <c r="E9">
        <v>78535</v>
      </c>
      <c r="F9">
        <v>37379</v>
      </c>
      <c r="G9">
        <v>28240</v>
      </c>
      <c r="H9">
        <v>14436</v>
      </c>
      <c r="I9">
        <v>15963</v>
      </c>
      <c r="J9">
        <v>8231</v>
      </c>
      <c r="K9">
        <v>129794</v>
      </c>
      <c r="L9">
        <v>63442</v>
      </c>
      <c r="M9">
        <v>47.6</v>
      </c>
      <c r="N9">
        <v>48.9</v>
      </c>
    </row>
    <row r="10" spans="1:14" x14ac:dyDescent="0.25">
      <c r="A10" t="s">
        <v>112</v>
      </c>
      <c r="B10">
        <v>748</v>
      </c>
      <c r="C10">
        <v>15755</v>
      </c>
      <c r="D10">
        <v>7748</v>
      </c>
      <c r="E10">
        <v>159688</v>
      </c>
      <c r="F10">
        <v>75273</v>
      </c>
      <c r="G10">
        <v>48495</v>
      </c>
      <c r="H10">
        <v>25225</v>
      </c>
      <c r="I10">
        <v>27412</v>
      </c>
      <c r="J10">
        <v>15170</v>
      </c>
      <c r="K10">
        <v>251350</v>
      </c>
      <c r="L10">
        <v>123416</v>
      </c>
      <c r="M10">
        <v>47.1</v>
      </c>
      <c r="N10">
        <v>49.1</v>
      </c>
    </row>
    <row r="11" spans="1:14" x14ac:dyDescent="0.25">
      <c r="A11" t="s">
        <v>113</v>
      </c>
      <c r="B11">
        <v>50</v>
      </c>
      <c r="C11">
        <v>909</v>
      </c>
      <c r="D11">
        <v>452</v>
      </c>
      <c r="E11">
        <v>5104</v>
      </c>
      <c r="F11">
        <v>2523</v>
      </c>
      <c r="G11">
        <v>1606</v>
      </c>
      <c r="H11">
        <v>793</v>
      </c>
      <c r="I11">
        <v>1070</v>
      </c>
      <c r="J11">
        <v>572</v>
      </c>
      <c r="K11">
        <v>8689</v>
      </c>
      <c r="L11">
        <v>4340</v>
      </c>
      <c r="M11">
        <v>49.4</v>
      </c>
      <c r="N11">
        <v>49.9</v>
      </c>
    </row>
    <row r="12" spans="1:14" x14ac:dyDescent="0.25">
      <c r="A12" t="s">
        <v>114</v>
      </c>
      <c r="B12">
        <v>218</v>
      </c>
      <c r="C12">
        <v>2078</v>
      </c>
      <c r="D12">
        <v>982</v>
      </c>
      <c r="E12">
        <v>16689</v>
      </c>
      <c r="F12">
        <v>8006</v>
      </c>
      <c r="G12">
        <v>5136</v>
      </c>
      <c r="H12">
        <v>2610</v>
      </c>
      <c r="I12">
        <v>2610</v>
      </c>
      <c r="J12">
        <v>1219</v>
      </c>
      <c r="K12">
        <v>26513</v>
      </c>
      <c r="L12">
        <v>12817</v>
      </c>
      <c r="M12">
        <v>48</v>
      </c>
      <c r="N12">
        <v>48.3</v>
      </c>
    </row>
    <row r="13" spans="1:14" x14ac:dyDescent="0.25">
      <c r="A13" t="s">
        <v>115</v>
      </c>
      <c r="B13">
        <v>418</v>
      </c>
      <c r="C13">
        <v>3896</v>
      </c>
      <c r="D13">
        <v>1925</v>
      </c>
      <c r="E13">
        <v>63323</v>
      </c>
      <c r="F13">
        <v>30637</v>
      </c>
      <c r="G13">
        <v>12917</v>
      </c>
      <c r="H13">
        <v>6892</v>
      </c>
      <c r="I13">
        <v>6039</v>
      </c>
      <c r="J13">
        <v>3261</v>
      </c>
      <c r="K13">
        <v>86175</v>
      </c>
      <c r="L13">
        <v>42715</v>
      </c>
      <c r="M13">
        <v>48.4</v>
      </c>
      <c r="N13">
        <v>49.6</v>
      </c>
    </row>
    <row r="14" spans="1:14" x14ac:dyDescent="0.25">
      <c r="A14" t="s">
        <v>116</v>
      </c>
      <c r="B14">
        <v>126</v>
      </c>
      <c r="C14">
        <v>1079</v>
      </c>
      <c r="D14">
        <v>530</v>
      </c>
      <c r="E14">
        <v>14576</v>
      </c>
      <c r="F14">
        <v>7211</v>
      </c>
      <c r="G14">
        <v>3212</v>
      </c>
      <c r="H14">
        <v>1706</v>
      </c>
      <c r="I14">
        <v>1386</v>
      </c>
      <c r="J14">
        <v>747</v>
      </c>
      <c r="K14">
        <v>20253</v>
      </c>
      <c r="L14">
        <v>10194</v>
      </c>
      <c r="M14">
        <v>49.5</v>
      </c>
      <c r="N14">
        <v>50.3</v>
      </c>
    </row>
    <row r="15" spans="1:14" x14ac:dyDescent="0.25">
      <c r="A15" t="s">
        <v>117</v>
      </c>
      <c r="B15">
        <v>358</v>
      </c>
      <c r="C15">
        <v>3652</v>
      </c>
      <c r="D15">
        <v>1788</v>
      </c>
      <c r="E15">
        <v>37379</v>
      </c>
      <c r="F15">
        <v>17940</v>
      </c>
      <c r="G15">
        <v>9509</v>
      </c>
      <c r="H15">
        <v>4773</v>
      </c>
      <c r="I15">
        <v>4181</v>
      </c>
      <c r="J15">
        <v>2150</v>
      </c>
      <c r="K15">
        <v>54721</v>
      </c>
      <c r="L15">
        <v>26651</v>
      </c>
      <c r="M15">
        <v>48</v>
      </c>
      <c r="N15">
        <v>48.7</v>
      </c>
    </row>
    <row r="16" spans="1:14" x14ac:dyDescent="0.25">
      <c r="A16" t="s">
        <v>118</v>
      </c>
      <c r="B16">
        <v>82</v>
      </c>
      <c r="C16">
        <v>1092</v>
      </c>
      <c r="D16">
        <v>565</v>
      </c>
      <c r="E16">
        <v>10316</v>
      </c>
      <c r="F16">
        <v>4960</v>
      </c>
      <c r="G16">
        <v>3210</v>
      </c>
      <c r="H16">
        <v>1655</v>
      </c>
      <c r="I16">
        <v>1479</v>
      </c>
      <c r="J16">
        <v>798</v>
      </c>
      <c r="K16">
        <v>16097</v>
      </c>
      <c r="L16">
        <v>7978</v>
      </c>
      <c r="M16">
        <v>48.1</v>
      </c>
      <c r="N16">
        <v>49.6</v>
      </c>
    </row>
    <row r="17" spans="1:14" x14ac:dyDescent="0.25">
      <c r="A17" t="s">
        <v>119</v>
      </c>
      <c r="B17">
        <v>376</v>
      </c>
      <c r="C17">
        <v>10901</v>
      </c>
      <c r="D17">
        <v>5247</v>
      </c>
      <c r="E17">
        <v>138900</v>
      </c>
      <c r="F17">
        <v>66114</v>
      </c>
      <c r="G17">
        <v>49761</v>
      </c>
      <c r="H17">
        <v>24849</v>
      </c>
      <c r="I17">
        <v>36902</v>
      </c>
      <c r="J17">
        <v>18562</v>
      </c>
      <c r="K17">
        <v>236464</v>
      </c>
      <c r="L17">
        <v>114772</v>
      </c>
      <c r="M17">
        <v>47.6</v>
      </c>
      <c r="N17">
        <v>48.5</v>
      </c>
    </row>
    <row r="18" spans="1:14" x14ac:dyDescent="0.25">
      <c r="A18" t="s">
        <v>120</v>
      </c>
      <c r="B18">
        <v>156</v>
      </c>
      <c r="C18">
        <v>2395</v>
      </c>
      <c r="D18">
        <v>1233</v>
      </c>
      <c r="E18">
        <v>26923</v>
      </c>
      <c r="F18">
        <v>13117</v>
      </c>
      <c r="G18">
        <v>8156</v>
      </c>
      <c r="H18">
        <v>4094</v>
      </c>
      <c r="I18">
        <v>4010</v>
      </c>
      <c r="J18">
        <v>2075</v>
      </c>
      <c r="K18">
        <v>41484</v>
      </c>
      <c r="L18">
        <v>20519</v>
      </c>
      <c r="M18">
        <v>48.7</v>
      </c>
      <c r="N18">
        <v>49.5</v>
      </c>
    </row>
    <row r="19" spans="1:14" x14ac:dyDescent="0.25">
      <c r="A19" t="s">
        <v>121</v>
      </c>
      <c r="B19">
        <v>401</v>
      </c>
      <c r="C19">
        <v>3822</v>
      </c>
      <c r="D19">
        <v>1940</v>
      </c>
      <c r="E19">
        <v>37343</v>
      </c>
      <c r="F19">
        <v>18183</v>
      </c>
      <c r="G19">
        <v>9828</v>
      </c>
      <c r="H19">
        <v>5446</v>
      </c>
      <c r="I19">
        <v>4393</v>
      </c>
      <c r="J19">
        <v>2291</v>
      </c>
      <c r="K19">
        <v>55386</v>
      </c>
      <c r="L19">
        <v>27860</v>
      </c>
      <c r="M19">
        <v>48.7</v>
      </c>
      <c r="N19">
        <v>50.3</v>
      </c>
    </row>
    <row r="20" spans="1:14" x14ac:dyDescent="0.25">
      <c r="A20" t="s">
        <v>122</v>
      </c>
      <c r="B20">
        <v>1035</v>
      </c>
      <c r="C20">
        <v>15501</v>
      </c>
      <c r="D20">
        <v>7625</v>
      </c>
      <c r="E20">
        <v>149003</v>
      </c>
      <c r="F20">
        <v>70067</v>
      </c>
      <c r="G20">
        <v>47242</v>
      </c>
      <c r="H20">
        <v>24689</v>
      </c>
      <c r="I20">
        <v>22950</v>
      </c>
      <c r="J20">
        <v>12149</v>
      </c>
      <c r="K20">
        <v>234696</v>
      </c>
      <c r="L20">
        <v>114530</v>
      </c>
      <c r="M20">
        <v>47</v>
      </c>
      <c r="N20">
        <v>48.8</v>
      </c>
    </row>
    <row r="21" spans="1:14" x14ac:dyDescent="0.25">
      <c r="A21" t="s">
        <v>123</v>
      </c>
      <c r="B21">
        <v>537</v>
      </c>
      <c r="C21">
        <v>8387</v>
      </c>
      <c r="D21">
        <v>4267</v>
      </c>
      <c r="E21">
        <v>69224</v>
      </c>
      <c r="F21">
        <v>33569</v>
      </c>
      <c r="G21">
        <v>18276</v>
      </c>
      <c r="H21">
        <v>9702</v>
      </c>
      <c r="I21">
        <v>8797</v>
      </c>
      <c r="J21">
        <v>4712</v>
      </c>
      <c r="K21">
        <v>104684</v>
      </c>
      <c r="L21">
        <v>52250</v>
      </c>
      <c r="M21">
        <v>48.5</v>
      </c>
      <c r="N21">
        <v>49.9</v>
      </c>
    </row>
    <row r="22" spans="1:14" x14ac:dyDescent="0.25">
      <c r="A22" t="s">
        <v>124</v>
      </c>
      <c r="B22">
        <v>303</v>
      </c>
      <c r="C22">
        <v>2422</v>
      </c>
      <c r="D22">
        <v>1178</v>
      </c>
      <c r="E22">
        <v>40979</v>
      </c>
      <c r="F22">
        <v>19760</v>
      </c>
      <c r="G22">
        <v>7645</v>
      </c>
      <c r="H22">
        <v>3741</v>
      </c>
      <c r="I22">
        <v>3102</v>
      </c>
      <c r="J22">
        <v>1447</v>
      </c>
      <c r="K22">
        <v>54148</v>
      </c>
      <c r="L22">
        <v>26126</v>
      </c>
      <c r="M22">
        <v>48.2</v>
      </c>
      <c r="N22">
        <v>48.2</v>
      </c>
    </row>
    <row r="23" spans="1:14" x14ac:dyDescent="0.25">
      <c r="A23" t="s">
        <v>125</v>
      </c>
      <c r="B23">
        <v>1067</v>
      </c>
      <c r="C23">
        <v>26016</v>
      </c>
      <c r="D23">
        <v>13294</v>
      </c>
      <c r="E23">
        <v>164652</v>
      </c>
      <c r="F23">
        <v>79415</v>
      </c>
      <c r="G23">
        <v>49012</v>
      </c>
      <c r="H23">
        <v>26447</v>
      </c>
      <c r="I23">
        <v>26246</v>
      </c>
      <c r="J23">
        <v>14608</v>
      </c>
      <c r="K23">
        <v>265926</v>
      </c>
      <c r="L23">
        <v>133764</v>
      </c>
      <c r="M23">
        <v>48.2</v>
      </c>
      <c r="N23">
        <v>50.3</v>
      </c>
    </row>
    <row r="24" spans="1:14" x14ac:dyDescent="0.25">
      <c r="A24" t="s">
        <v>126</v>
      </c>
      <c r="B24">
        <v>218</v>
      </c>
      <c r="C24">
        <v>1215</v>
      </c>
      <c r="D24">
        <v>580</v>
      </c>
      <c r="E24">
        <v>25807</v>
      </c>
      <c r="F24">
        <v>12648</v>
      </c>
      <c r="G24">
        <v>4719</v>
      </c>
      <c r="H24">
        <v>2490</v>
      </c>
      <c r="I24">
        <v>2233</v>
      </c>
      <c r="J24">
        <v>1120</v>
      </c>
      <c r="K24">
        <v>33974</v>
      </c>
      <c r="L24">
        <v>16838</v>
      </c>
      <c r="M24">
        <v>49</v>
      </c>
      <c r="N24">
        <v>49.6</v>
      </c>
    </row>
    <row r="25" spans="1:14" x14ac:dyDescent="0.25">
      <c r="A25" t="s">
        <v>127</v>
      </c>
      <c r="B25">
        <v>508</v>
      </c>
      <c r="C25">
        <v>7757</v>
      </c>
      <c r="D25">
        <v>3933</v>
      </c>
      <c r="E25">
        <v>72118</v>
      </c>
      <c r="F25">
        <v>34824</v>
      </c>
      <c r="G25">
        <v>25222</v>
      </c>
      <c r="H25">
        <v>12954</v>
      </c>
      <c r="I25">
        <v>12981</v>
      </c>
      <c r="J25">
        <v>6576</v>
      </c>
      <c r="K25">
        <v>118078</v>
      </c>
      <c r="L25">
        <v>58287</v>
      </c>
      <c r="M25">
        <v>48.3</v>
      </c>
      <c r="N25">
        <v>49.4</v>
      </c>
    </row>
    <row r="26" spans="1:14" x14ac:dyDescent="0.25">
      <c r="A26" t="s">
        <v>128</v>
      </c>
      <c r="B26">
        <v>782</v>
      </c>
      <c r="C26">
        <v>12229</v>
      </c>
      <c r="D26">
        <v>6025</v>
      </c>
      <c r="E26">
        <v>118349</v>
      </c>
      <c r="F26">
        <v>56317</v>
      </c>
      <c r="G26">
        <v>46704</v>
      </c>
      <c r="H26">
        <v>23432</v>
      </c>
      <c r="I26">
        <v>29080</v>
      </c>
      <c r="J26">
        <v>14939</v>
      </c>
      <c r="K26">
        <v>206362</v>
      </c>
      <c r="L26">
        <v>100713</v>
      </c>
      <c r="M26">
        <v>47.6</v>
      </c>
      <c r="N26">
        <v>48.8</v>
      </c>
    </row>
    <row r="27" spans="1:14" x14ac:dyDescent="0.25">
      <c r="A27" t="s">
        <v>129</v>
      </c>
      <c r="B27">
        <v>703</v>
      </c>
      <c r="C27">
        <v>13374</v>
      </c>
      <c r="D27">
        <v>6529</v>
      </c>
      <c r="E27">
        <v>115586</v>
      </c>
      <c r="F27">
        <v>55855</v>
      </c>
      <c r="G27">
        <v>30150</v>
      </c>
      <c r="H27">
        <v>15905</v>
      </c>
      <c r="I27">
        <v>13013</v>
      </c>
      <c r="J27">
        <v>7116</v>
      </c>
      <c r="K27">
        <v>172123</v>
      </c>
      <c r="L27">
        <v>85405</v>
      </c>
      <c r="M27">
        <v>48.3</v>
      </c>
      <c r="N27">
        <v>49.6</v>
      </c>
    </row>
    <row r="28" spans="1:14" x14ac:dyDescent="0.25">
      <c r="A28" t="s">
        <v>87</v>
      </c>
      <c r="B28">
        <v>13300</v>
      </c>
      <c r="C28">
        <v>217509</v>
      </c>
      <c r="D28">
        <v>108080</v>
      </c>
      <c r="E28">
        <v>2040257</v>
      </c>
      <c r="F28">
        <v>978800</v>
      </c>
      <c r="G28">
        <v>610261</v>
      </c>
      <c r="H28">
        <v>318897</v>
      </c>
      <c r="I28">
        <v>321145</v>
      </c>
      <c r="J28">
        <v>171494</v>
      </c>
      <c r="K28">
        <v>3189172</v>
      </c>
      <c r="L28">
        <v>1577271</v>
      </c>
      <c r="M28">
        <v>48</v>
      </c>
      <c r="N28">
        <v>49.5</v>
      </c>
    </row>
    <row r="29" spans="1:14" x14ac:dyDescent="0.25">
      <c r="A29" t="s">
        <v>130</v>
      </c>
      <c r="B29">
        <v>1422</v>
      </c>
      <c r="C29">
        <v>38796</v>
      </c>
      <c r="D29">
        <v>19178</v>
      </c>
      <c r="E29">
        <v>339526</v>
      </c>
      <c r="F29">
        <v>162443</v>
      </c>
      <c r="G29">
        <v>120483</v>
      </c>
      <c r="H29">
        <v>61019</v>
      </c>
      <c r="I29">
        <v>96109</v>
      </c>
      <c r="J29">
        <v>49901</v>
      </c>
      <c r="K29">
        <v>594914</v>
      </c>
      <c r="L29">
        <v>292541</v>
      </c>
      <c r="M29">
        <v>47.8</v>
      </c>
      <c r="N29">
        <v>49.2</v>
      </c>
    </row>
    <row r="30" spans="1:14" x14ac:dyDescent="0.25">
      <c r="A30" t="s">
        <v>131</v>
      </c>
      <c r="B30">
        <v>11878</v>
      </c>
      <c r="C30">
        <v>178713</v>
      </c>
      <c r="D30">
        <v>88902</v>
      </c>
      <c r="E30">
        <v>1700731</v>
      </c>
      <c r="F30">
        <v>816357</v>
      </c>
      <c r="G30">
        <v>489778</v>
      </c>
      <c r="H30">
        <v>257878</v>
      </c>
      <c r="I30">
        <v>225036</v>
      </c>
      <c r="J30">
        <v>121593</v>
      </c>
      <c r="K30">
        <v>2594258</v>
      </c>
      <c r="L30">
        <v>1284730</v>
      </c>
      <c r="M30">
        <v>48</v>
      </c>
      <c r="N30">
        <v>49.5</v>
      </c>
    </row>
  </sheetData>
  <mergeCells count="7">
    <mergeCell ref="A1:A2"/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5B9BD5"/>
  </sheetPr>
  <dimension ref="A1:P30"/>
  <sheetViews>
    <sheetView workbookViewId="0"/>
  </sheetViews>
  <sheetFormatPr defaultRowHeight="15" x14ac:dyDescent="0.25"/>
  <cols>
    <col min="1" max="1" width="27.28515625" customWidth="1"/>
    <col min="2" max="2" width="10.7109375" customWidth="1"/>
    <col min="3" max="3" width="10.42578125" customWidth="1"/>
    <col min="4" max="4" width="10.85546875" customWidth="1"/>
    <col min="5" max="5" width="11.140625" customWidth="1"/>
    <col min="6" max="6" width="10.140625" customWidth="1"/>
    <col min="9" max="9" width="10" customWidth="1"/>
    <col min="11" max="11" width="10.140625" customWidth="1"/>
    <col min="12" max="12" width="10" customWidth="1"/>
    <col min="15" max="15" width="10.140625" customWidth="1"/>
    <col min="16" max="16" width="10" customWidth="1"/>
  </cols>
  <sheetData>
    <row r="1" spans="1:16" x14ac:dyDescent="0.25">
      <c r="A1" s="27" t="s">
        <v>104</v>
      </c>
      <c r="B1" s="27" t="s">
        <v>215</v>
      </c>
      <c r="C1" s="27"/>
      <c r="D1" s="27" t="s">
        <v>216</v>
      </c>
      <c r="E1" s="27"/>
      <c r="F1" s="27" t="s">
        <v>217</v>
      </c>
      <c r="G1" s="27"/>
      <c r="H1" s="27" t="s">
        <v>218</v>
      </c>
      <c r="I1" s="27"/>
      <c r="J1" s="27" t="s">
        <v>219</v>
      </c>
      <c r="K1" s="27"/>
      <c r="L1" s="27" t="s">
        <v>220</v>
      </c>
      <c r="M1" s="27"/>
      <c r="N1" s="27" t="s">
        <v>221</v>
      </c>
      <c r="O1" s="27"/>
      <c r="P1" s="27"/>
    </row>
    <row r="2" spans="1:16" x14ac:dyDescent="0.25">
      <c r="A2" s="27"/>
      <c r="B2" t="s">
        <v>84</v>
      </c>
      <c r="C2" t="s">
        <v>222</v>
      </c>
      <c r="D2" t="s">
        <v>84</v>
      </c>
      <c r="E2" t="s">
        <v>223</v>
      </c>
      <c r="F2" t="s">
        <v>84</v>
      </c>
      <c r="G2" t="s">
        <v>224</v>
      </c>
      <c r="H2" t="s">
        <v>84</v>
      </c>
      <c r="I2" t="s">
        <v>225</v>
      </c>
      <c r="J2" t="s">
        <v>84</v>
      </c>
      <c r="K2" t="s">
        <v>226</v>
      </c>
      <c r="L2" t="s">
        <v>84</v>
      </c>
      <c r="M2" t="s">
        <v>227</v>
      </c>
      <c r="N2" t="s">
        <v>161</v>
      </c>
      <c r="O2" t="s">
        <v>228</v>
      </c>
      <c r="P2" t="s">
        <v>229</v>
      </c>
    </row>
    <row r="3" spans="1:16" x14ac:dyDescent="0.25">
      <c r="A3" t="s">
        <v>105</v>
      </c>
      <c r="B3">
        <v>16836</v>
      </c>
      <c r="C3">
        <v>13723</v>
      </c>
      <c r="D3">
        <v>97157</v>
      </c>
      <c r="E3">
        <v>11046</v>
      </c>
      <c r="F3">
        <v>11478</v>
      </c>
      <c r="G3">
        <v>6951</v>
      </c>
      <c r="H3">
        <v>28020</v>
      </c>
      <c r="I3">
        <v>5020</v>
      </c>
      <c r="J3">
        <v>5292</v>
      </c>
      <c r="K3">
        <v>4008</v>
      </c>
      <c r="L3">
        <v>13414</v>
      </c>
      <c r="M3">
        <v>2092</v>
      </c>
      <c r="N3">
        <v>11.4</v>
      </c>
      <c r="O3">
        <v>17.899999999999999</v>
      </c>
      <c r="P3">
        <v>15.6</v>
      </c>
    </row>
    <row r="4" spans="1:16" x14ac:dyDescent="0.25">
      <c r="A4" t="s">
        <v>106</v>
      </c>
      <c r="B4">
        <v>29250</v>
      </c>
      <c r="C4">
        <v>23932</v>
      </c>
      <c r="D4">
        <v>169424</v>
      </c>
      <c r="E4">
        <v>22088</v>
      </c>
      <c r="F4">
        <v>18707</v>
      </c>
      <c r="G4">
        <v>9901</v>
      </c>
      <c r="H4">
        <v>45229</v>
      </c>
      <c r="I4">
        <v>9498</v>
      </c>
      <c r="J4">
        <v>8773</v>
      </c>
      <c r="K4">
        <v>5184</v>
      </c>
      <c r="L4">
        <v>21577</v>
      </c>
      <c r="M4">
        <v>4735</v>
      </c>
      <c r="N4">
        <v>13</v>
      </c>
      <c r="O4">
        <v>21</v>
      </c>
      <c r="P4">
        <v>21.9</v>
      </c>
    </row>
    <row r="5" spans="1:16" x14ac:dyDescent="0.25">
      <c r="A5" t="s">
        <v>107</v>
      </c>
      <c r="B5">
        <v>22743</v>
      </c>
      <c r="C5">
        <v>18036</v>
      </c>
      <c r="D5">
        <v>139238</v>
      </c>
      <c r="E5">
        <v>20943</v>
      </c>
      <c r="F5">
        <v>16390</v>
      </c>
      <c r="G5">
        <v>9805</v>
      </c>
      <c r="H5">
        <v>42197</v>
      </c>
      <c r="I5">
        <v>7386</v>
      </c>
      <c r="J5">
        <v>9140</v>
      </c>
      <c r="K5">
        <v>6545</v>
      </c>
      <c r="L5">
        <v>23504</v>
      </c>
      <c r="M5">
        <v>3674</v>
      </c>
      <c r="N5">
        <v>15</v>
      </c>
      <c r="O5">
        <v>17.5</v>
      </c>
      <c r="P5">
        <v>15.6</v>
      </c>
    </row>
    <row r="6" spans="1:16" x14ac:dyDescent="0.25">
      <c r="A6" t="s">
        <v>108</v>
      </c>
      <c r="B6">
        <v>11831</v>
      </c>
      <c r="C6">
        <v>10634</v>
      </c>
      <c r="D6">
        <v>73216</v>
      </c>
      <c r="E6">
        <v>6700</v>
      </c>
      <c r="F6">
        <v>9403</v>
      </c>
      <c r="G6">
        <v>6179</v>
      </c>
      <c r="H6">
        <v>24289</v>
      </c>
      <c r="I6">
        <v>4384</v>
      </c>
      <c r="J6">
        <v>4889</v>
      </c>
      <c r="K6">
        <v>3104</v>
      </c>
      <c r="L6">
        <v>12743</v>
      </c>
      <c r="M6">
        <v>2398</v>
      </c>
      <c r="N6">
        <v>9.1999999999999993</v>
      </c>
      <c r="O6">
        <v>18</v>
      </c>
      <c r="P6">
        <v>18.8</v>
      </c>
    </row>
    <row r="7" spans="1:16" x14ac:dyDescent="0.25">
      <c r="A7" t="s">
        <v>109</v>
      </c>
      <c r="B7">
        <v>17433</v>
      </c>
      <c r="C7">
        <v>15048</v>
      </c>
      <c r="D7">
        <v>108391</v>
      </c>
      <c r="E7">
        <v>11188</v>
      </c>
      <c r="F7">
        <v>14229</v>
      </c>
      <c r="G7">
        <v>8337</v>
      </c>
      <c r="H7">
        <v>34179</v>
      </c>
      <c r="I7">
        <v>5765</v>
      </c>
      <c r="J7">
        <v>6141</v>
      </c>
      <c r="K7">
        <v>4278</v>
      </c>
      <c r="L7">
        <v>15686</v>
      </c>
      <c r="M7">
        <v>2600</v>
      </c>
      <c r="N7">
        <v>10.3</v>
      </c>
      <c r="O7">
        <v>16.899999999999999</v>
      </c>
      <c r="P7">
        <v>16.600000000000001</v>
      </c>
    </row>
    <row r="8" spans="1:16" x14ac:dyDescent="0.25">
      <c r="A8" t="s">
        <v>110</v>
      </c>
      <c r="B8">
        <v>17157</v>
      </c>
      <c r="C8">
        <v>14577</v>
      </c>
      <c r="D8">
        <v>99857</v>
      </c>
      <c r="E8">
        <v>13648</v>
      </c>
      <c r="F8">
        <v>11884</v>
      </c>
      <c r="G8">
        <v>5976</v>
      </c>
      <c r="H8">
        <v>30511</v>
      </c>
      <c r="I8">
        <v>6859</v>
      </c>
      <c r="J8">
        <v>6054</v>
      </c>
      <c r="K8">
        <v>3683</v>
      </c>
      <c r="L8">
        <v>15401</v>
      </c>
      <c r="M8">
        <v>3487</v>
      </c>
      <c r="N8">
        <v>13.7</v>
      </c>
      <c r="O8">
        <v>22.5</v>
      </c>
      <c r="P8">
        <v>22.6</v>
      </c>
    </row>
    <row r="9" spans="1:16" x14ac:dyDescent="0.25">
      <c r="A9" t="s">
        <v>111</v>
      </c>
      <c r="B9">
        <v>12818</v>
      </c>
      <c r="C9">
        <v>11272</v>
      </c>
      <c r="D9">
        <v>76661</v>
      </c>
      <c r="E9">
        <v>7681</v>
      </c>
      <c r="F9">
        <v>10445</v>
      </c>
      <c r="G9">
        <v>6239</v>
      </c>
      <c r="H9">
        <v>27054</v>
      </c>
      <c r="I9">
        <v>5035</v>
      </c>
      <c r="J9">
        <v>5732</v>
      </c>
      <c r="K9">
        <v>3893</v>
      </c>
      <c r="L9">
        <v>15754</v>
      </c>
      <c r="M9">
        <v>3139</v>
      </c>
      <c r="N9">
        <v>10</v>
      </c>
      <c r="O9">
        <v>18.600000000000001</v>
      </c>
      <c r="P9">
        <v>19.899999999999999</v>
      </c>
    </row>
    <row r="10" spans="1:16" x14ac:dyDescent="0.25">
      <c r="A10" t="s">
        <v>112</v>
      </c>
      <c r="B10">
        <v>25780</v>
      </c>
      <c r="C10">
        <v>22388</v>
      </c>
      <c r="D10">
        <v>159614</v>
      </c>
      <c r="E10">
        <v>17672</v>
      </c>
      <c r="F10">
        <v>19676</v>
      </c>
      <c r="G10">
        <v>12188</v>
      </c>
      <c r="H10">
        <v>49943</v>
      </c>
      <c r="I10">
        <v>8171</v>
      </c>
      <c r="J10">
        <v>10987</v>
      </c>
      <c r="K10">
        <v>7647</v>
      </c>
      <c r="L10">
        <v>28643</v>
      </c>
      <c r="M10">
        <v>5043</v>
      </c>
      <c r="N10">
        <v>11.1</v>
      </c>
      <c r="O10">
        <v>16.399999999999999</v>
      </c>
      <c r="P10">
        <v>17.600000000000001</v>
      </c>
    </row>
    <row r="11" spans="1:16" x14ac:dyDescent="0.25">
      <c r="A11" t="s">
        <v>113</v>
      </c>
      <c r="B11">
        <v>998</v>
      </c>
      <c r="C11">
        <v>853</v>
      </c>
      <c r="D11">
        <v>5159</v>
      </c>
      <c r="E11">
        <v>526</v>
      </c>
      <c r="F11">
        <v>562</v>
      </c>
      <c r="G11">
        <v>325</v>
      </c>
      <c r="H11">
        <v>1468</v>
      </c>
      <c r="I11">
        <v>236</v>
      </c>
      <c r="J11">
        <v>365</v>
      </c>
      <c r="K11">
        <v>241</v>
      </c>
      <c r="L11">
        <v>1045</v>
      </c>
      <c r="M11">
        <v>207</v>
      </c>
      <c r="N11">
        <v>10.199999999999999</v>
      </c>
      <c r="O11">
        <v>16.100000000000001</v>
      </c>
      <c r="P11">
        <v>19.8</v>
      </c>
    </row>
    <row r="12" spans="1:16" x14ac:dyDescent="0.25">
      <c r="A12" t="s">
        <v>114</v>
      </c>
      <c r="B12">
        <v>2961</v>
      </c>
      <c r="C12">
        <v>2121</v>
      </c>
      <c r="D12">
        <v>16395</v>
      </c>
      <c r="E12">
        <v>2993</v>
      </c>
      <c r="F12">
        <v>2061</v>
      </c>
      <c r="G12">
        <v>740</v>
      </c>
      <c r="H12">
        <v>5128</v>
      </c>
      <c r="I12">
        <v>1458</v>
      </c>
      <c r="J12">
        <v>1009</v>
      </c>
      <c r="K12">
        <v>457</v>
      </c>
      <c r="L12">
        <v>2661</v>
      </c>
      <c r="M12">
        <v>621</v>
      </c>
      <c r="N12">
        <v>18.3</v>
      </c>
      <c r="O12">
        <v>28.4</v>
      </c>
      <c r="P12">
        <v>23.3</v>
      </c>
    </row>
    <row r="13" spans="1:16" x14ac:dyDescent="0.25">
      <c r="A13" t="s">
        <v>115</v>
      </c>
      <c r="B13">
        <v>11489</v>
      </c>
      <c r="C13">
        <v>8917</v>
      </c>
      <c r="D13">
        <v>63263</v>
      </c>
      <c r="E13">
        <v>9164</v>
      </c>
      <c r="F13">
        <v>5517</v>
      </c>
      <c r="G13">
        <v>2831</v>
      </c>
      <c r="H13">
        <v>13107</v>
      </c>
      <c r="I13">
        <v>2773</v>
      </c>
      <c r="J13">
        <v>2318</v>
      </c>
      <c r="K13">
        <v>1583</v>
      </c>
      <c r="L13">
        <v>6208</v>
      </c>
      <c r="M13">
        <v>1113</v>
      </c>
      <c r="N13">
        <v>14.5</v>
      </c>
      <c r="O13">
        <v>21.2</v>
      </c>
      <c r="P13">
        <v>17.899999999999999</v>
      </c>
    </row>
    <row r="14" spans="1:16" x14ac:dyDescent="0.25">
      <c r="A14" t="s">
        <v>116</v>
      </c>
      <c r="B14">
        <v>2875</v>
      </c>
      <c r="C14">
        <v>2067</v>
      </c>
      <c r="D14">
        <v>14623</v>
      </c>
      <c r="E14">
        <v>3041</v>
      </c>
      <c r="F14">
        <v>1291</v>
      </c>
      <c r="G14">
        <v>392</v>
      </c>
      <c r="H14">
        <v>3356</v>
      </c>
      <c r="I14">
        <v>1201</v>
      </c>
      <c r="J14">
        <v>603</v>
      </c>
      <c r="K14">
        <v>273</v>
      </c>
      <c r="L14">
        <v>1548</v>
      </c>
      <c r="M14">
        <v>522</v>
      </c>
      <c r="N14">
        <v>20.8</v>
      </c>
      <c r="O14">
        <v>35.799999999999997</v>
      </c>
      <c r="P14">
        <v>33.700000000000003</v>
      </c>
    </row>
    <row r="15" spans="1:16" x14ac:dyDescent="0.25">
      <c r="A15" t="s">
        <v>117</v>
      </c>
      <c r="B15">
        <v>6775</v>
      </c>
      <c r="C15">
        <v>5422</v>
      </c>
      <c r="D15">
        <v>37185</v>
      </c>
      <c r="E15">
        <v>5572</v>
      </c>
      <c r="F15">
        <v>4016</v>
      </c>
      <c r="G15">
        <v>2078</v>
      </c>
      <c r="H15">
        <v>9967</v>
      </c>
      <c r="I15">
        <v>2467</v>
      </c>
      <c r="J15">
        <v>1835</v>
      </c>
      <c r="K15">
        <v>1100</v>
      </c>
      <c r="L15">
        <v>4615</v>
      </c>
      <c r="M15">
        <v>1180</v>
      </c>
      <c r="N15">
        <v>15</v>
      </c>
      <c r="O15">
        <v>24.8</v>
      </c>
      <c r="P15">
        <v>25.6</v>
      </c>
    </row>
    <row r="16" spans="1:16" x14ac:dyDescent="0.25">
      <c r="A16" t="s">
        <v>118</v>
      </c>
      <c r="B16">
        <v>1864</v>
      </c>
      <c r="C16">
        <v>1478</v>
      </c>
      <c r="D16">
        <v>10488</v>
      </c>
      <c r="E16">
        <v>1505</v>
      </c>
      <c r="F16">
        <v>1359</v>
      </c>
      <c r="G16">
        <v>726</v>
      </c>
      <c r="H16">
        <v>3428</v>
      </c>
      <c r="I16">
        <v>695</v>
      </c>
      <c r="J16">
        <v>580</v>
      </c>
      <c r="K16">
        <v>362</v>
      </c>
      <c r="L16">
        <v>1508</v>
      </c>
      <c r="M16">
        <v>315</v>
      </c>
      <c r="N16">
        <v>14.3</v>
      </c>
      <c r="O16">
        <v>20.3</v>
      </c>
      <c r="P16">
        <v>20.9</v>
      </c>
    </row>
    <row r="17" spans="1:16" x14ac:dyDescent="0.25">
      <c r="A17" t="s">
        <v>119</v>
      </c>
      <c r="B17">
        <v>22772</v>
      </c>
      <c r="C17">
        <v>19470</v>
      </c>
      <c r="D17">
        <v>138050</v>
      </c>
      <c r="E17">
        <v>12202</v>
      </c>
      <c r="F17">
        <v>19653</v>
      </c>
      <c r="G17">
        <v>13474</v>
      </c>
      <c r="H17">
        <v>52634</v>
      </c>
      <c r="I17">
        <v>8083</v>
      </c>
      <c r="J17">
        <v>13278</v>
      </c>
      <c r="K17">
        <v>9220</v>
      </c>
      <c r="L17">
        <v>38023</v>
      </c>
      <c r="M17">
        <v>6352</v>
      </c>
      <c r="N17">
        <v>8.8000000000000007</v>
      </c>
      <c r="O17">
        <v>15.4</v>
      </c>
      <c r="P17">
        <v>16.7</v>
      </c>
    </row>
    <row r="18" spans="1:16" x14ac:dyDescent="0.25">
      <c r="A18" t="s">
        <v>120</v>
      </c>
      <c r="B18">
        <v>4883</v>
      </c>
      <c r="C18">
        <v>3458</v>
      </c>
      <c r="D18">
        <v>26688</v>
      </c>
      <c r="E18">
        <v>3600</v>
      </c>
      <c r="F18">
        <v>3279</v>
      </c>
      <c r="G18">
        <v>1907</v>
      </c>
      <c r="H18">
        <v>8196</v>
      </c>
      <c r="I18">
        <v>1553</v>
      </c>
      <c r="J18">
        <v>1579</v>
      </c>
      <c r="K18">
        <v>1020</v>
      </c>
      <c r="L18">
        <v>4135</v>
      </c>
      <c r="M18">
        <v>947</v>
      </c>
      <c r="N18">
        <v>13.5</v>
      </c>
      <c r="O18">
        <v>18.899999999999999</v>
      </c>
      <c r="P18">
        <v>22.9</v>
      </c>
    </row>
    <row r="19" spans="1:16" x14ac:dyDescent="0.25">
      <c r="A19" t="s">
        <v>121</v>
      </c>
      <c r="B19">
        <v>6767</v>
      </c>
      <c r="C19">
        <v>4361</v>
      </c>
      <c r="D19">
        <v>37538</v>
      </c>
      <c r="E19">
        <v>9902</v>
      </c>
      <c r="F19">
        <v>4152</v>
      </c>
      <c r="G19">
        <v>1755</v>
      </c>
      <c r="H19">
        <v>10308</v>
      </c>
      <c r="I19">
        <v>2784</v>
      </c>
      <c r="J19">
        <v>2080</v>
      </c>
      <c r="K19">
        <v>1131</v>
      </c>
      <c r="L19">
        <v>5017</v>
      </c>
      <c r="M19">
        <v>1185</v>
      </c>
      <c r="N19">
        <v>26.4</v>
      </c>
      <c r="O19">
        <v>27</v>
      </c>
      <c r="P19">
        <v>23.6</v>
      </c>
    </row>
    <row r="20" spans="1:16" x14ac:dyDescent="0.25">
      <c r="A20" t="s">
        <v>122</v>
      </c>
      <c r="B20">
        <v>22757</v>
      </c>
      <c r="C20">
        <v>19580</v>
      </c>
      <c r="D20">
        <v>148230</v>
      </c>
      <c r="E20">
        <v>19295</v>
      </c>
      <c r="F20">
        <v>18423</v>
      </c>
      <c r="G20">
        <v>11560</v>
      </c>
      <c r="H20">
        <v>47305</v>
      </c>
      <c r="I20">
        <v>8106</v>
      </c>
      <c r="J20">
        <v>9501</v>
      </c>
      <c r="K20">
        <v>6465</v>
      </c>
      <c r="L20">
        <v>23976</v>
      </c>
      <c r="M20">
        <v>4459</v>
      </c>
      <c r="N20">
        <v>13</v>
      </c>
      <c r="O20">
        <v>17.100000000000001</v>
      </c>
      <c r="P20">
        <v>18.600000000000001</v>
      </c>
    </row>
    <row r="21" spans="1:16" x14ac:dyDescent="0.25">
      <c r="A21" t="s">
        <v>123</v>
      </c>
      <c r="B21">
        <v>11697</v>
      </c>
      <c r="C21">
        <v>9024</v>
      </c>
      <c r="D21">
        <v>68838</v>
      </c>
      <c r="E21">
        <v>10390</v>
      </c>
      <c r="F21">
        <v>7830</v>
      </c>
      <c r="G21">
        <v>4073</v>
      </c>
      <c r="H21">
        <v>19050</v>
      </c>
      <c r="I21">
        <v>4294</v>
      </c>
      <c r="J21">
        <v>3723</v>
      </c>
      <c r="K21">
        <v>2076</v>
      </c>
      <c r="L21">
        <v>9808</v>
      </c>
      <c r="M21">
        <v>2362</v>
      </c>
      <c r="N21">
        <v>15.1</v>
      </c>
      <c r="O21">
        <v>22.5</v>
      </c>
      <c r="P21">
        <v>24.1</v>
      </c>
    </row>
    <row r="22" spans="1:16" x14ac:dyDescent="0.25">
      <c r="A22" t="s">
        <v>124</v>
      </c>
      <c r="B22">
        <v>7911</v>
      </c>
      <c r="C22">
        <v>4541</v>
      </c>
      <c r="D22">
        <v>40612</v>
      </c>
      <c r="E22">
        <v>11271</v>
      </c>
      <c r="F22">
        <v>3412</v>
      </c>
      <c r="G22">
        <v>838</v>
      </c>
      <c r="H22">
        <v>8311</v>
      </c>
      <c r="I22">
        <v>3811</v>
      </c>
      <c r="J22">
        <v>1610</v>
      </c>
      <c r="K22">
        <v>580</v>
      </c>
      <c r="L22">
        <v>3799</v>
      </c>
      <c r="M22">
        <v>1418</v>
      </c>
      <c r="N22">
        <v>27.8</v>
      </c>
      <c r="O22">
        <v>45.9</v>
      </c>
      <c r="P22">
        <v>37.299999999999997</v>
      </c>
    </row>
    <row r="23" spans="1:16" x14ac:dyDescent="0.25">
      <c r="A23" t="s">
        <v>125</v>
      </c>
      <c r="B23">
        <v>27800</v>
      </c>
      <c r="C23">
        <v>23589</v>
      </c>
      <c r="D23">
        <v>165114</v>
      </c>
      <c r="E23">
        <v>22770</v>
      </c>
      <c r="F23">
        <v>19662</v>
      </c>
      <c r="G23">
        <v>10675</v>
      </c>
      <c r="H23">
        <v>50573</v>
      </c>
      <c r="I23">
        <v>10658</v>
      </c>
      <c r="J23">
        <v>10757</v>
      </c>
      <c r="K23">
        <v>5971</v>
      </c>
      <c r="L23">
        <v>27693</v>
      </c>
      <c r="M23">
        <v>7929</v>
      </c>
      <c r="N23">
        <v>13.8</v>
      </c>
      <c r="O23">
        <v>21.1</v>
      </c>
      <c r="P23">
        <v>28.6</v>
      </c>
    </row>
    <row r="24" spans="1:16" x14ac:dyDescent="0.25">
      <c r="A24" t="s">
        <v>126</v>
      </c>
      <c r="B24">
        <v>5007</v>
      </c>
      <c r="C24">
        <v>3167</v>
      </c>
      <c r="D24">
        <v>26641</v>
      </c>
      <c r="E24">
        <v>6248</v>
      </c>
      <c r="F24">
        <v>2144</v>
      </c>
      <c r="G24">
        <v>679</v>
      </c>
      <c r="H24">
        <v>5166</v>
      </c>
      <c r="I24">
        <v>1715</v>
      </c>
      <c r="J24">
        <v>864</v>
      </c>
      <c r="K24">
        <v>453</v>
      </c>
      <c r="L24">
        <v>2377</v>
      </c>
      <c r="M24">
        <v>584</v>
      </c>
      <c r="N24">
        <v>23.5</v>
      </c>
      <c r="O24">
        <v>33.200000000000003</v>
      </c>
      <c r="P24">
        <v>24.6</v>
      </c>
    </row>
    <row r="25" spans="1:16" x14ac:dyDescent="0.25">
      <c r="A25" t="s">
        <v>127</v>
      </c>
      <c r="B25">
        <v>12198</v>
      </c>
      <c r="C25">
        <v>9425</v>
      </c>
      <c r="D25">
        <v>72639</v>
      </c>
      <c r="E25">
        <v>10808</v>
      </c>
      <c r="F25">
        <v>9755</v>
      </c>
      <c r="G25">
        <v>6706</v>
      </c>
      <c r="H25">
        <v>24992</v>
      </c>
      <c r="I25">
        <v>3204</v>
      </c>
      <c r="J25">
        <v>5155</v>
      </c>
      <c r="K25">
        <v>3778</v>
      </c>
      <c r="L25">
        <v>13206</v>
      </c>
      <c r="M25">
        <v>2244</v>
      </c>
      <c r="N25">
        <v>14.9</v>
      </c>
      <c r="O25">
        <v>12.8</v>
      </c>
      <c r="P25">
        <v>17</v>
      </c>
    </row>
    <row r="26" spans="1:16" x14ac:dyDescent="0.25">
      <c r="A26" t="s">
        <v>128</v>
      </c>
      <c r="B26">
        <v>17406</v>
      </c>
      <c r="C26">
        <v>16155</v>
      </c>
      <c r="D26">
        <v>114861</v>
      </c>
      <c r="E26">
        <v>9820</v>
      </c>
      <c r="F26">
        <v>15982</v>
      </c>
      <c r="G26">
        <v>10388</v>
      </c>
      <c r="H26">
        <v>44629</v>
      </c>
      <c r="I26">
        <v>7717</v>
      </c>
      <c r="J26">
        <v>10576</v>
      </c>
      <c r="K26">
        <v>7316</v>
      </c>
      <c r="L26">
        <v>28684</v>
      </c>
      <c r="M26">
        <v>4942</v>
      </c>
      <c r="N26">
        <v>8.5</v>
      </c>
      <c r="O26">
        <v>17.3</v>
      </c>
      <c r="P26">
        <v>17.2</v>
      </c>
    </row>
    <row r="27" spans="1:16" x14ac:dyDescent="0.25">
      <c r="A27" t="s">
        <v>129</v>
      </c>
      <c r="B27">
        <v>19870</v>
      </c>
      <c r="C27">
        <v>14736</v>
      </c>
      <c r="D27">
        <v>113591</v>
      </c>
      <c r="E27">
        <v>16601</v>
      </c>
      <c r="F27">
        <v>12117</v>
      </c>
      <c r="G27">
        <v>6579</v>
      </c>
      <c r="H27">
        <v>29928</v>
      </c>
      <c r="I27">
        <v>6371</v>
      </c>
      <c r="J27">
        <v>5336</v>
      </c>
      <c r="K27">
        <v>2828</v>
      </c>
      <c r="L27">
        <v>13687</v>
      </c>
      <c r="M27">
        <v>4284</v>
      </c>
      <c r="N27">
        <v>14.6</v>
      </c>
      <c r="O27">
        <v>21.3</v>
      </c>
      <c r="P27">
        <v>31.3</v>
      </c>
    </row>
    <row r="28" spans="1:16" x14ac:dyDescent="0.25">
      <c r="A28" t="s">
        <v>87</v>
      </c>
      <c r="B28">
        <v>339878</v>
      </c>
      <c r="C28">
        <v>277974</v>
      </c>
      <c r="D28">
        <v>2023473</v>
      </c>
      <c r="E28">
        <v>266674</v>
      </c>
      <c r="F28">
        <v>243427</v>
      </c>
      <c r="G28">
        <v>141302</v>
      </c>
      <c r="H28">
        <v>618968</v>
      </c>
      <c r="I28">
        <v>119244</v>
      </c>
      <c r="J28">
        <v>128177</v>
      </c>
      <c r="K28">
        <v>83196</v>
      </c>
      <c r="L28">
        <v>334712</v>
      </c>
      <c r="M28">
        <v>67832</v>
      </c>
      <c r="N28">
        <v>13.2</v>
      </c>
      <c r="O28">
        <v>19.3</v>
      </c>
      <c r="P28">
        <v>20.3</v>
      </c>
    </row>
    <row r="29" spans="1:16" x14ac:dyDescent="0.25">
      <c r="A29" t="s">
        <v>130</v>
      </c>
      <c r="B29">
        <v>57097</v>
      </c>
      <c r="C29">
        <v>47401</v>
      </c>
      <c r="D29">
        <v>334805</v>
      </c>
      <c r="E29">
        <v>34790</v>
      </c>
      <c r="F29">
        <v>46575</v>
      </c>
      <c r="G29">
        <v>29597</v>
      </c>
      <c r="H29">
        <v>123698</v>
      </c>
      <c r="I29">
        <v>22118</v>
      </c>
      <c r="J29">
        <v>34908</v>
      </c>
      <c r="K29">
        <v>22830</v>
      </c>
      <c r="L29">
        <v>97538</v>
      </c>
      <c r="M29">
        <v>19512</v>
      </c>
      <c r="N29">
        <v>10.4</v>
      </c>
      <c r="O29">
        <v>17.899999999999999</v>
      </c>
      <c r="P29">
        <v>20</v>
      </c>
    </row>
    <row r="30" spans="1:16" x14ac:dyDescent="0.25">
      <c r="A30" t="s">
        <v>131</v>
      </c>
      <c r="B30">
        <v>282781</v>
      </c>
      <c r="C30">
        <v>230573</v>
      </c>
      <c r="D30">
        <v>1688668</v>
      </c>
      <c r="E30">
        <v>231884</v>
      </c>
      <c r="F30">
        <v>196852</v>
      </c>
      <c r="G30">
        <v>111705</v>
      </c>
      <c r="H30">
        <v>495270</v>
      </c>
      <c r="I30">
        <v>97126</v>
      </c>
      <c r="J30">
        <v>93269</v>
      </c>
      <c r="K30">
        <v>60366</v>
      </c>
      <c r="L30">
        <v>237174</v>
      </c>
      <c r="M30">
        <v>48320</v>
      </c>
      <c r="N30">
        <v>13.7</v>
      </c>
      <c r="O30">
        <v>19.600000000000001</v>
      </c>
      <c r="P30">
        <v>20.399999999999999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5B9BD5"/>
  </sheetPr>
  <dimension ref="A1:P30"/>
  <sheetViews>
    <sheetView workbookViewId="0"/>
  </sheetViews>
  <sheetFormatPr defaultRowHeight="15" x14ac:dyDescent="0.25"/>
  <cols>
    <col min="1" max="1" width="27.42578125" customWidth="1"/>
    <col min="2" max="2" width="10.42578125" customWidth="1"/>
    <col min="3" max="3" width="10.7109375" customWidth="1"/>
    <col min="4" max="4" width="10.42578125" customWidth="1"/>
    <col min="5" max="5" width="10.7109375" customWidth="1"/>
    <col min="6" max="6" width="11.140625" customWidth="1"/>
    <col min="7" max="7" width="10.85546875" customWidth="1"/>
    <col min="8" max="8" width="10.140625" customWidth="1"/>
    <col min="9" max="9" width="10" customWidth="1"/>
    <col min="10" max="10" width="10.140625" customWidth="1"/>
    <col min="11" max="11" width="10" customWidth="1"/>
    <col min="13" max="13" width="10.140625" customWidth="1"/>
    <col min="14" max="14" width="10" customWidth="1"/>
    <col min="16" max="16" width="10.140625" customWidth="1"/>
  </cols>
  <sheetData>
    <row r="1" spans="1:16" x14ac:dyDescent="0.25">
      <c r="A1" s="27" t="s">
        <v>104</v>
      </c>
      <c r="B1" s="27" t="s">
        <v>215</v>
      </c>
      <c r="C1" s="27"/>
      <c r="D1" s="27" t="s">
        <v>216</v>
      </c>
      <c r="E1" s="27"/>
      <c r="F1" s="27" t="s">
        <v>217</v>
      </c>
      <c r="G1" s="27"/>
      <c r="H1" s="27" t="s">
        <v>218</v>
      </c>
      <c r="I1" s="27"/>
      <c r="J1" s="27" t="s">
        <v>219</v>
      </c>
      <c r="K1" s="27"/>
      <c r="L1" s="27" t="s">
        <v>220</v>
      </c>
      <c r="M1" s="27"/>
      <c r="N1" s="27" t="s">
        <v>221</v>
      </c>
      <c r="O1" s="27"/>
      <c r="P1" s="27"/>
    </row>
    <row r="2" spans="1:16" x14ac:dyDescent="0.25">
      <c r="A2" s="27"/>
      <c r="B2" t="s">
        <v>84</v>
      </c>
      <c r="C2" t="s">
        <v>222</v>
      </c>
      <c r="D2" t="s">
        <v>84</v>
      </c>
      <c r="E2" t="s">
        <v>223</v>
      </c>
      <c r="F2" t="s">
        <v>84</v>
      </c>
      <c r="G2" t="s">
        <v>224</v>
      </c>
      <c r="H2" t="s">
        <v>84</v>
      </c>
      <c r="I2" t="s">
        <v>225</v>
      </c>
      <c r="J2" t="s">
        <v>84</v>
      </c>
      <c r="K2" t="s">
        <v>226</v>
      </c>
      <c r="L2" t="s">
        <v>84</v>
      </c>
      <c r="M2" t="s">
        <v>227</v>
      </c>
      <c r="N2" t="s">
        <v>161</v>
      </c>
      <c r="O2" t="s">
        <v>228</v>
      </c>
      <c r="P2" t="s">
        <v>229</v>
      </c>
    </row>
    <row r="3" spans="1:16" x14ac:dyDescent="0.25">
      <c r="A3" t="s">
        <v>105</v>
      </c>
      <c r="B3">
        <v>7969</v>
      </c>
      <c r="C3">
        <v>6600</v>
      </c>
      <c r="D3">
        <v>46850</v>
      </c>
      <c r="E3">
        <v>4764</v>
      </c>
      <c r="F3">
        <v>5995</v>
      </c>
      <c r="G3">
        <v>3868</v>
      </c>
      <c r="H3">
        <v>14931</v>
      </c>
      <c r="I3">
        <v>2306</v>
      </c>
      <c r="J3">
        <v>3084</v>
      </c>
      <c r="K3">
        <v>2403</v>
      </c>
      <c r="L3">
        <v>7627</v>
      </c>
      <c r="M3">
        <v>962</v>
      </c>
      <c r="N3">
        <v>10.199999999999999</v>
      </c>
      <c r="O3">
        <v>15.4</v>
      </c>
      <c r="P3">
        <v>12.6</v>
      </c>
    </row>
    <row r="4" spans="1:16" x14ac:dyDescent="0.25">
      <c r="A4" t="s">
        <v>106</v>
      </c>
      <c r="B4">
        <v>13889</v>
      </c>
      <c r="C4">
        <v>11646</v>
      </c>
      <c r="D4">
        <v>80840</v>
      </c>
      <c r="E4">
        <v>9265</v>
      </c>
      <c r="F4">
        <v>9803</v>
      </c>
      <c r="G4">
        <v>5570</v>
      </c>
      <c r="H4">
        <v>24067</v>
      </c>
      <c r="I4">
        <v>4546</v>
      </c>
      <c r="J4">
        <v>4934</v>
      </c>
      <c r="K4">
        <v>3053</v>
      </c>
      <c r="L4">
        <v>12102</v>
      </c>
      <c r="M4">
        <v>2461</v>
      </c>
      <c r="N4">
        <v>11.5</v>
      </c>
      <c r="O4">
        <v>18.899999999999999</v>
      </c>
      <c r="P4">
        <v>20.3</v>
      </c>
    </row>
    <row r="5" spans="1:16" x14ac:dyDescent="0.25">
      <c r="A5" t="s">
        <v>107</v>
      </c>
      <c r="B5">
        <v>10789</v>
      </c>
      <c r="C5">
        <v>8650</v>
      </c>
      <c r="D5">
        <v>66191</v>
      </c>
      <c r="E5">
        <v>9468</v>
      </c>
      <c r="F5">
        <v>8771</v>
      </c>
      <c r="G5">
        <v>5623</v>
      </c>
      <c r="H5">
        <v>22776</v>
      </c>
      <c r="I5">
        <v>3516</v>
      </c>
      <c r="J5">
        <v>5196</v>
      </c>
      <c r="K5">
        <v>3922</v>
      </c>
      <c r="L5">
        <v>13461</v>
      </c>
      <c r="M5">
        <v>1804</v>
      </c>
      <c r="N5">
        <v>14.3</v>
      </c>
      <c r="O5">
        <v>15.4</v>
      </c>
      <c r="P5">
        <v>13.4</v>
      </c>
    </row>
    <row r="6" spans="1:16" x14ac:dyDescent="0.25">
      <c r="A6" t="s">
        <v>108</v>
      </c>
      <c r="B6">
        <v>5728</v>
      </c>
      <c r="C6">
        <v>5244</v>
      </c>
      <c r="D6">
        <v>35572</v>
      </c>
      <c r="E6">
        <v>2905</v>
      </c>
      <c r="F6">
        <v>5032</v>
      </c>
      <c r="G6">
        <v>3381</v>
      </c>
      <c r="H6">
        <v>13147</v>
      </c>
      <c r="I6">
        <v>2061</v>
      </c>
      <c r="J6">
        <v>2827</v>
      </c>
      <c r="K6">
        <v>1883</v>
      </c>
      <c r="L6">
        <v>7221</v>
      </c>
      <c r="M6">
        <v>1164</v>
      </c>
      <c r="N6">
        <v>8.1999999999999993</v>
      </c>
      <c r="O6">
        <v>15.7</v>
      </c>
      <c r="P6">
        <v>16.100000000000001</v>
      </c>
    </row>
    <row r="7" spans="1:16" x14ac:dyDescent="0.25">
      <c r="A7" t="s">
        <v>109</v>
      </c>
      <c r="B7">
        <v>8302</v>
      </c>
      <c r="C7">
        <v>7291</v>
      </c>
      <c r="D7">
        <v>52343</v>
      </c>
      <c r="E7">
        <v>4979</v>
      </c>
      <c r="F7">
        <v>7472</v>
      </c>
      <c r="G7">
        <v>4668</v>
      </c>
      <c r="H7">
        <v>17900</v>
      </c>
      <c r="I7">
        <v>2561</v>
      </c>
      <c r="J7">
        <v>3321</v>
      </c>
      <c r="K7">
        <v>2486</v>
      </c>
      <c r="L7">
        <v>8368</v>
      </c>
      <c r="M7">
        <v>1194</v>
      </c>
      <c r="N7">
        <v>9.5</v>
      </c>
      <c r="O7">
        <v>14.3</v>
      </c>
      <c r="P7">
        <v>14.3</v>
      </c>
    </row>
    <row r="8" spans="1:16" x14ac:dyDescent="0.25">
      <c r="A8" t="s">
        <v>110</v>
      </c>
      <c r="B8">
        <v>8201</v>
      </c>
      <c r="C8">
        <v>7125</v>
      </c>
      <c r="D8">
        <v>48731</v>
      </c>
      <c r="E8">
        <v>6089</v>
      </c>
      <c r="F8">
        <v>6366</v>
      </c>
      <c r="G8">
        <v>3380</v>
      </c>
      <c r="H8">
        <v>16565</v>
      </c>
      <c r="I8">
        <v>3273</v>
      </c>
      <c r="J8">
        <v>3436</v>
      </c>
      <c r="K8">
        <v>2196</v>
      </c>
      <c r="L8">
        <v>8722</v>
      </c>
      <c r="M8">
        <v>1753</v>
      </c>
      <c r="N8">
        <v>12.5</v>
      </c>
      <c r="O8">
        <v>19.8</v>
      </c>
      <c r="P8">
        <v>20.100000000000001</v>
      </c>
    </row>
    <row r="9" spans="1:16" x14ac:dyDescent="0.25">
      <c r="A9" t="s">
        <v>111</v>
      </c>
      <c r="B9">
        <v>5908</v>
      </c>
      <c r="C9">
        <v>5270</v>
      </c>
      <c r="D9">
        <v>36421</v>
      </c>
      <c r="E9">
        <v>3232</v>
      </c>
      <c r="F9">
        <v>5445</v>
      </c>
      <c r="G9">
        <v>3459</v>
      </c>
      <c r="H9">
        <v>14052</v>
      </c>
      <c r="I9">
        <v>2190</v>
      </c>
      <c r="J9">
        <v>3100</v>
      </c>
      <c r="K9">
        <v>2220</v>
      </c>
      <c r="L9">
        <v>8344</v>
      </c>
      <c r="M9">
        <v>1441</v>
      </c>
      <c r="N9">
        <v>8.9</v>
      </c>
      <c r="O9">
        <v>15.6</v>
      </c>
      <c r="P9">
        <v>17.3</v>
      </c>
    </row>
    <row r="10" spans="1:16" x14ac:dyDescent="0.25">
      <c r="A10" t="s">
        <v>112</v>
      </c>
      <c r="B10">
        <v>12189</v>
      </c>
      <c r="C10">
        <v>10875</v>
      </c>
      <c r="D10">
        <v>75340</v>
      </c>
      <c r="E10">
        <v>6858</v>
      </c>
      <c r="F10">
        <v>10286</v>
      </c>
      <c r="G10">
        <v>6815</v>
      </c>
      <c r="H10">
        <v>26124</v>
      </c>
      <c r="I10">
        <v>3633</v>
      </c>
      <c r="J10">
        <v>6160</v>
      </c>
      <c r="K10">
        <v>4575</v>
      </c>
      <c r="L10">
        <v>16004</v>
      </c>
      <c r="M10">
        <v>2251</v>
      </c>
      <c r="N10">
        <v>9.1</v>
      </c>
      <c r="O10">
        <v>13.9</v>
      </c>
      <c r="P10">
        <v>14.1</v>
      </c>
    </row>
    <row r="11" spans="1:16" x14ac:dyDescent="0.25">
      <c r="A11" t="s">
        <v>113</v>
      </c>
      <c r="B11">
        <v>471</v>
      </c>
      <c r="C11">
        <v>419</v>
      </c>
      <c r="D11">
        <v>2521</v>
      </c>
      <c r="E11">
        <v>223</v>
      </c>
      <c r="F11">
        <v>296</v>
      </c>
      <c r="G11">
        <v>174</v>
      </c>
      <c r="H11">
        <v>761</v>
      </c>
      <c r="I11">
        <v>112</v>
      </c>
      <c r="J11">
        <v>179</v>
      </c>
      <c r="K11">
        <v>123</v>
      </c>
      <c r="L11">
        <v>543</v>
      </c>
      <c r="M11">
        <v>89</v>
      </c>
      <c r="N11">
        <v>8.8000000000000007</v>
      </c>
      <c r="O11">
        <v>14.7</v>
      </c>
      <c r="P11">
        <v>16.399999999999999</v>
      </c>
    </row>
    <row r="12" spans="1:16" x14ac:dyDescent="0.25">
      <c r="A12" t="s">
        <v>114</v>
      </c>
      <c r="B12">
        <v>1401</v>
      </c>
      <c r="C12">
        <v>1045</v>
      </c>
      <c r="D12">
        <v>7885</v>
      </c>
      <c r="E12">
        <v>1353</v>
      </c>
      <c r="F12">
        <v>1054</v>
      </c>
      <c r="G12">
        <v>423</v>
      </c>
      <c r="H12">
        <v>2628</v>
      </c>
      <c r="I12">
        <v>633</v>
      </c>
      <c r="J12">
        <v>522</v>
      </c>
      <c r="K12">
        <v>261</v>
      </c>
      <c r="L12">
        <v>1322</v>
      </c>
      <c r="M12">
        <v>222</v>
      </c>
      <c r="N12">
        <v>17.2</v>
      </c>
      <c r="O12">
        <v>24.1</v>
      </c>
      <c r="P12">
        <v>16.8</v>
      </c>
    </row>
    <row r="13" spans="1:16" x14ac:dyDescent="0.25">
      <c r="A13" t="s">
        <v>115</v>
      </c>
      <c r="B13">
        <v>5332</v>
      </c>
      <c r="C13">
        <v>4289</v>
      </c>
      <c r="D13">
        <v>30449</v>
      </c>
      <c r="E13">
        <v>4148</v>
      </c>
      <c r="F13">
        <v>2895</v>
      </c>
      <c r="G13">
        <v>1627</v>
      </c>
      <c r="H13">
        <v>6999</v>
      </c>
      <c r="I13">
        <v>1270</v>
      </c>
      <c r="J13">
        <v>1273</v>
      </c>
      <c r="K13">
        <v>923</v>
      </c>
      <c r="L13">
        <v>3427</v>
      </c>
      <c r="M13">
        <v>505</v>
      </c>
      <c r="N13">
        <v>13.6</v>
      </c>
      <c r="O13">
        <v>18.100000000000001</v>
      </c>
      <c r="P13">
        <v>14.7</v>
      </c>
    </row>
    <row r="14" spans="1:16" x14ac:dyDescent="0.25">
      <c r="A14" t="s">
        <v>116</v>
      </c>
      <c r="B14">
        <v>1412</v>
      </c>
      <c r="C14">
        <v>1058</v>
      </c>
      <c r="D14">
        <v>7285</v>
      </c>
      <c r="E14">
        <v>1379</v>
      </c>
      <c r="F14">
        <v>677</v>
      </c>
      <c r="G14">
        <v>223</v>
      </c>
      <c r="H14">
        <v>1770</v>
      </c>
      <c r="I14">
        <v>577</v>
      </c>
      <c r="J14">
        <v>334</v>
      </c>
      <c r="K14">
        <v>173</v>
      </c>
      <c r="L14">
        <v>851</v>
      </c>
      <c r="M14">
        <v>247</v>
      </c>
      <c r="N14">
        <v>18.899999999999999</v>
      </c>
      <c r="O14">
        <v>32.6</v>
      </c>
      <c r="P14">
        <v>29</v>
      </c>
    </row>
    <row r="15" spans="1:16" x14ac:dyDescent="0.25">
      <c r="A15" t="s">
        <v>117</v>
      </c>
      <c r="B15">
        <v>3192</v>
      </c>
      <c r="C15">
        <v>2610</v>
      </c>
      <c r="D15">
        <v>17719</v>
      </c>
      <c r="E15">
        <v>2417</v>
      </c>
      <c r="F15">
        <v>2159</v>
      </c>
      <c r="G15">
        <v>1202</v>
      </c>
      <c r="H15">
        <v>5142</v>
      </c>
      <c r="I15">
        <v>1053</v>
      </c>
      <c r="J15">
        <v>971</v>
      </c>
      <c r="K15">
        <v>616</v>
      </c>
      <c r="L15">
        <v>2450</v>
      </c>
      <c r="M15">
        <v>543</v>
      </c>
      <c r="N15">
        <v>13.6</v>
      </c>
      <c r="O15">
        <v>20.5</v>
      </c>
      <c r="P15">
        <v>22.2</v>
      </c>
    </row>
    <row r="16" spans="1:16" x14ac:dyDescent="0.25">
      <c r="A16" t="s">
        <v>118</v>
      </c>
      <c r="B16">
        <v>891</v>
      </c>
      <c r="C16">
        <v>733</v>
      </c>
      <c r="D16">
        <v>4990</v>
      </c>
      <c r="E16">
        <v>628</v>
      </c>
      <c r="F16">
        <v>732</v>
      </c>
      <c r="G16">
        <v>430</v>
      </c>
      <c r="H16">
        <v>1802</v>
      </c>
      <c r="I16">
        <v>290</v>
      </c>
      <c r="J16">
        <v>322</v>
      </c>
      <c r="K16">
        <v>233</v>
      </c>
      <c r="L16">
        <v>830</v>
      </c>
      <c r="M16">
        <v>134</v>
      </c>
      <c r="N16">
        <v>12.6</v>
      </c>
      <c r="O16">
        <v>16.100000000000001</v>
      </c>
      <c r="P16">
        <v>16.100000000000001</v>
      </c>
    </row>
    <row r="17" spans="1:16" x14ac:dyDescent="0.25">
      <c r="A17" t="s">
        <v>119</v>
      </c>
      <c r="B17">
        <v>10809</v>
      </c>
      <c r="C17">
        <v>9299</v>
      </c>
      <c r="D17">
        <v>65794</v>
      </c>
      <c r="E17">
        <v>4870</v>
      </c>
      <c r="F17">
        <v>9969</v>
      </c>
      <c r="G17">
        <v>7161</v>
      </c>
      <c r="H17">
        <v>26386</v>
      </c>
      <c r="I17">
        <v>3300</v>
      </c>
      <c r="J17">
        <v>6865</v>
      </c>
      <c r="K17">
        <v>4901</v>
      </c>
      <c r="L17">
        <v>19497</v>
      </c>
      <c r="M17">
        <v>2688</v>
      </c>
      <c r="N17">
        <v>7.4</v>
      </c>
      <c r="O17">
        <v>12.5</v>
      </c>
      <c r="P17">
        <v>13.8</v>
      </c>
    </row>
    <row r="18" spans="1:16" x14ac:dyDescent="0.25">
      <c r="A18" t="s">
        <v>120</v>
      </c>
      <c r="B18">
        <v>2437</v>
      </c>
      <c r="C18">
        <v>1737</v>
      </c>
      <c r="D18">
        <v>13052</v>
      </c>
      <c r="E18">
        <v>1545</v>
      </c>
      <c r="F18">
        <v>1641</v>
      </c>
      <c r="G18">
        <v>1072</v>
      </c>
      <c r="H18">
        <v>4126</v>
      </c>
      <c r="I18">
        <v>631</v>
      </c>
      <c r="J18">
        <v>861</v>
      </c>
      <c r="K18">
        <v>588</v>
      </c>
      <c r="L18">
        <v>2208</v>
      </c>
      <c r="M18">
        <v>430</v>
      </c>
      <c r="N18">
        <v>11.8</v>
      </c>
      <c r="O18">
        <v>15.3</v>
      </c>
      <c r="P18">
        <v>19.5</v>
      </c>
    </row>
    <row r="19" spans="1:16" x14ac:dyDescent="0.25">
      <c r="A19" t="s">
        <v>121</v>
      </c>
      <c r="B19">
        <v>3215</v>
      </c>
      <c r="C19">
        <v>2232</v>
      </c>
      <c r="D19">
        <v>18270</v>
      </c>
      <c r="E19">
        <v>4666</v>
      </c>
      <c r="F19">
        <v>2233</v>
      </c>
      <c r="G19">
        <v>1039</v>
      </c>
      <c r="H19">
        <v>5669</v>
      </c>
      <c r="I19">
        <v>1389</v>
      </c>
      <c r="J19">
        <v>1158</v>
      </c>
      <c r="K19">
        <v>645</v>
      </c>
      <c r="L19">
        <v>2717</v>
      </c>
      <c r="M19">
        <v>544</v>
      </c>
      <c r="N19">
        <v>25.5</v>
      </c>
      <c r="O19">
        <v>24.5</v>
      </c>
      <c r="P19">
        <v>20</v>
      </c>
    </row>
    <row r="20" spans="1:16" x14ac:dyDescent="0.25">
      <c r="A20" t="s">
        <v>122</v>
      </c>
      <c r="B20">
        <v>10795</v>
      </c>
      <c r="C20">
        <v>9371</v>
      </c>
      <c r="D20">
        <v>69470</v>
      </c>
      <c r="E20">
        <v>7559</v>
      </c>
      <c r="F20">
        <v>9577</v>
      </c>
      <c r="G20">
        <v>6396</v>
      </c>
      <c r="H20">
        <v>24768</v>
      </c>
      <c r="I20">
        <v>3716</v>
      </c>
      <c r="J20">
        <v>5290</v>
      </c>
      <c r="K20">
        <v>3752</v>
      </c>
      <c r="L20">
        <v>13009</v>
      </c>
      <c r="M20">
        <v>2132</v>
      </c>
      <c r="N20">
        <v>10.9</v>
      </c>
      <c r="O20">
        <v>15</v>
      </c>
      <c r="P20">
        <v>16.399999999999999</v>
      </c>
    </row>
    <row r="21" spans="1:16" x14ac:dyDescent="0.25">
      <c r="A21" t="s">
        <v>123</v>
      </c>
      <c r="B21">
        <v>5601</v>
      </c>
      <c r="C21">
        <v>4342</v>
      </c>
      <c r="D21">
        <v>33507</v>
      </c>
      <c r="E21">
        <v>5017</v>
      </c>
      <c r="F21">
        <v>4059</v>
      </c>
      <c r="G21">
        <v>2249</v>
      </c>
      <c r="H21">
        <v>10044</v>
      </c>
      <c r="I21">
        <v>1967</v>
      </c>
      <c r="J21">
        <v>2099</v>
      </c>
      <c r="K21">
        <v>1238</v>
      </c>
      <c r="L21">
        <v>5381</v>
      </c>
      <c r="M21">
        <v>1161</v>
      </c>
      <c r="N21">
        <v>15</v>
      </c>
      <c r="O21">
        <v>19.600000000000001</v>
      </c>
      <c r="P21">
        <v>21.6</v>
      </c>
    </row>
    <row r="22" spans="1:16" x14ac:dyDescent="0.25">
      <c r="A22" t="s">
        <v>124</v>
      </c>
      <c r="B22">
        <v>3702</v>
      </c>
      <c r="C22">
        <v>2158</v>
      </c>
      <c r="D22">
        <v>19545</v>
      </c>
      <c r="E22">
        <v>5290</v>
      </c>
      <c r="F22">
        <v>1772</v>
      </c>
      <c r="G22">
        <v>512</v>
      </c>
      <c r="H22">
        <v>4208</v>
      </c>
      <c r="I22">
        <v>1742</v>
      </c>
      <c r="J22">
        <v>788</v>
      </c>
      <c r="K22">
        <v>336</v>
      </c>
      <c r="L22">
        <v>1797</v>
      </c>
      <c r="M22">
        <v>548</v>
      </c>
      <c r="N22">
        <v>27.1</v>
      </c>
      <c r="O22">
        <v>41.4</v>
      </c>
      <c r="P22">
        <v>30.5</v>
      </c>
    </row>
    <row r="23" spans="1:16" x14ac:dyDescent="0.25">
      <c r="A23" t="s">
        <v>125</v>
      </c>
      <c r="B23">
        <v>13273</v>
      </c>
      <c r="C23">
        <v>11498</v>
      </c>
      <c r="D23">
        <v>79734</v>
      </c>
      <c r="E23">
        <v>9801</v>
      </c>
      <c r="F23">
        <v>10480</v>
      </c>
      <c r="G23">
        <v>6128</v>
      </c>
      <c r="H23">
        <v>27155</v>
      </c>
      <c r="I23">
        <v>5034</v>
      </c>
      <c r="J23">
        <v>6357</v>
      </c>
      <c r="K23">
        <v>3727</v>
      </c>
      <c r="L23">
        <v>16132</v>
      </c>
      <c r="M23">
        <v>4146</v>
      </c>
      <c r="N23">
        <v>12.3</v>
      </c>
      <c r="O23">
        <v>18.5</v>
      </c>
      <c r="P23">
        <v>25.7</v>
      </c>
    </row>
    <row r="24" spans="1:16" x14ac:dyDescent="0.25">
      <c r="A24" t="s">
        <v>126</v>
      </c>
      <c r="B24">
        <v>2342</v>
      </c>
      <c r="C24">
        <v>1513</v>
      </c>
      <c r="D24">
        <v>13001</v>
      </c>
      <c r="E24">
        <v>2950</v>
      </c>
      <c r="F24">
        <v>1076</v>
      </c>
      <c r="G24">
        <v>377</v>
      </c>
      <c r="H24">
        <v>2720</v>
      </c>
      <c r="I24">
        <v>822</v>
      </c>
      <c r="J24">
        <v>475</v>
      </c>
      <c r="K24">
        <v>302</v>
      </c>
      <c r="L24">
        <v>1242</v>
      </c>
      <c r="M24">
        <v>260</v>
      </c>
      <c r="N24">
        <v>22.7</v>
      </c>
      <c r="O24">
        <v>30.2</v>
      </c>
      <c r="P24">
        <v>20.9</v>
      </c>
    </row>
    <row r="25" spans="1:16" x14ac:dyDescent="0.25">
      <c r="A25" t="s">
        <v>127</v>
      </c>
      <c r="B25">
        <v>5946</v>
      </c>
      <c r="C25">
        <v>4645</v>
      </c>
      <c r="D25">
        <v>35132</v>
      </c>
      <c r="E25">
        <v>4789</v>
      </c>
      <c r="F25">
        <v>4969</v>
      </c>
      <c r="G25">
        <v>3608</v>
      </c>
      <c r="H25">
        <v>12851</v>
      </c>
      <c r="I25">
        <v>1369</v>
      </c>
      <c r="J25">
        <v>2771</v>
      </c>
      <c r="K25">
        <v>2128</v>
      </c>
      <c r="L25">
        <v>6959</v>
      </c>
      <c r="M25">
        <v>975</v>
      </c>
      <c r="N25">
        <v>13.6</v>
      </c>
      <c r="O25">
        <v>10.7</v>
      </c>
      <c r="P25">
        <v>14</v>
      </c>
    </row>
    <row r="26" spans="1:16" x14ac:dyDescent="0.25">
      <c r="A26" t="s">
        <v>128</v>
      </c>
      <c r="B26">
        <v>8321</v>
      </c>
      <c r="C26">
        <v>7794</v>
      </c>
      <c r="D26">
        <v>54820</v>
      </c>
      <c r="E26">
        <v>3998</v>
      </c>
      <c r="F26">
        <v>8345</v>
      </c>
      <c r="G26">
        <v>5661</v>
      </c>
      <c r="H26">
        <v>22761</v>
      </c>
      <c r="I26">
        <v>3291</v>
      </c>
      <c r="J26">
        <v>5743</v>
      </c>
      <c r="K26">
        <v>4130</v>
      </c>
      <c r="L26">
        <v>15302</v>
      </c>
      <c r="M26">
        <v>2287</v>
      </c>
      <c r="N26">
        <v>7.3</v>
      </c>
      <c r="O26">
        <v>14.5</v>
      </c>
      <c r="P26">
        <v>14.9</v>
      </c>
    </row>
    <row r="27" spans="1:16" x14ac:dyDescent="0.25">
      <c r="A27" t="s">
        <v>129</v>
      </c>
      <c r="B27">
        <v>9322</v>
      </c>
      <c r="C27">
        <v>7084</v>
      </c>
      <c r="D27">
        <v>54591</v>
      </c>
      <c r="E27">
        <v>7312</v>
      </c>
      <c r="F27">
        <v>6561</v>
      </c>
      <c r="G27">
        <v>3792</v>
      </c>
      <c r="H27">
        <v>16152</v>
      </c>
      <c r="I27">
        <v>3054</v>
      </c>
      <c r="J27">
        <v>3050</v>
      </c>
      <c r="K27">
        <v>1740</v>
      </c>
      <c r="L27">
        <v>7878</v>
      </c>
      <c r="M27">
        <v>2296</v>
      </c>
      <c r="N27">
        <v>13.4</v>
      </c>
      <c r="O27">
        <v>18.899999999999999</v>
      </c>
      <c r="P27">
        <v>29.1</v>
      </c>
    </row>
    <row r="28" spans="1:16" x14ac:dyDescent="0.25">
      <c r="A28" t="s">
        <v>87</v>
      </c>
      <c r="B28">
        <v>161437</v>
      </c>
      <c r="C28">
        <v>134528</v>
      </c>
      <c r="D28">
        <v>970053</v>
      </c>
      <c r="E28">
        <v>115505</v>
      </c>
      <c r="F28">
        <v>127665</v>
      </c>
      <c r="G28">
        <v>78838</v>
      </c>
      <c r="H28">
        <v>325504</v>
      </c>
      <c r="I28">
        <v>54336</v>
      </c>
      <c r="J28">
        <v>71116</v>
      </c>
      <c r="K28">
        <v>48554</v>
      </c>
      <c r="L28">
        <v>183394</v>
      </c>
      <c r="M28">
        <v>32237</v>
      </c>
      <c r="N28">
        <v>11.9</v>
      </c>
      <c r="O28">
        <v>16.7</v>
      </c>
      <c r="P28">
        <v>17.600000000000001</v>
      </c>
    </row>
    <row r="29" spans="1:16" x14ac:dyDescent="0.25">
      <c r="A29" t="s">
        <v>130</v>
      </c>
      <c r="B29">
        <v>26986</v>
      </c>
      <c r="C29">
        <v>22736</v>
      </c>
      <c r="D29">
        <v>160114</v>
      </c>
      <c r="E29">
        <v>14286</v>
      </c>
      <c r="F29">
        <v>23973</v>
      </c>
      <c r="G29">
        <v>16156</v>
      </c>
      <c r="H29">
        <v>63117</v>
      </c>
      <c r="I29">
        <v>9450</v>
      </c>
      <c r="J29">
        <v>18786</v>
      </c>
      <c r="K29">
        <v>12727</v>
      </c>
      <c r="L29">
        <v>51939</v>
      </c>
      <c r="M29">
        <v>8903</v>
      </c>
      <c r="N29">
        <v>8.9</v>
      </c>
      <c r="O29">
        <v>15</v>
      </c>
      <c r="P29">
        <v>17.100000000000001</v>
      </c>
    </row>
    <row r="30" spans="1:16" x14ac:dyDescent="0.25">
      <c r="A30" t="s">
        <v>131</v>
      </c>
      <c r="B30">
        <v>134451</v>
      </c>
      <c r="C30">
        <v>111792</v>
      </c>
      <c r="D30">
        <v>809939</v>
      </c>
      <c r="E30">
        <v>101219</v>
      </c>
      <c r="F30">
        <v>103692</v>
      </c>
      <c r="G30">
        <v>62682</v>
      </c>
      <c r="H30">
        <v>262387</v>
      </c>
      <c r="I30">
        <v>44886</v>
      </c>
      <c r="J30">
        <v>52330</v>
      </c>
      <c r="K30">
        <v>35827</v>
      </c>
      <c r="L30">
        <v>131455</v>
      </c>
      <c r="M30">
        <v>23334</v>
      </c>
      <c r="N30">
        <v>12.5</v>
      </c>
      <c r="O30">
        <v>17.100000000000001</v>
      </c>
      <c r="P30">
        <v>17.8</v>
      </c>
    </row>
  </sheetData>
  <mergeCells count="8">
    <mergeCell ref="B1:C1"/>
    <mergeCell ref="F1:G1"/>
    <mergeCell ref="A1:A2"/>
    <mergeCell ref="D1:E1"/>
    <mergeCell ref="H1:I1"/>
    <mergeCell ref="L1:M1"/>
    <mergeCell ref="J1:K1"/>
    <mergeCell ref="N1:P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5B9BD5"/>
  </sheetPr>
  <dimension ref="A1:K30"/>
  <sheetViews>
    <sheetView workbookViewId="0"/>
  </sheetViews>
  <sheetFormatPr defaultRowHeight="15" x14ac:dyDescent="0.25"/>
  <cols>
    <col min="1" max="1" width="27.28515625" customWidth="1"/>
    <col min="2" max="2" width="15.28515625" customWidth="1"/>
    <col min="3" max="3" width="15.85546875" customWidth="1"/>
    <col min="4" max="4" width="15.42578125" customWidth="1"/>
    <col min="5" max="5" width="15.28515625" customWidth="1"/>
    <col min="6" max="6" width="15.42578125" customWidth="1"/>
    <col min="8" max="8" width="15.28515625" customWidth="1"/>
    <col min="9" max="9" width="15.42578125" customWidth="1"/>
    <col min="11" max="11" width="15.28515625" customWidth="1"/>
  </cols>
  <sheetData>
    <row r="1" spans="1:11" x14ac:dyDescent="0.25">
      <c r="A1" s="27" t="s">
        <v>104</v>
      </c>
      <c r="B1" s="27" t="s">
        <v>230</v>
      </c>
      <c r="C1" s="27"/>
      <c r="D1" s="27" t="s">
        <v>231</v>
      </c>
      <c r="E1" s="27"/>
      <c r="F1" s="27" t="s">
        <v>232</v>
      </c>
      <c r="G1" s="27"/>
      <c r="H1" s="27" t="s">
        <v>186</v>
      </c>
      <c r="I1" s="27"/>
      <c r="J1" s="27" t="s">
        <v>233</v>
      </c>
      <c r="K1" s="27"/>
    </row>
    <row r="2" spans="1:11" x14ac:dyDescent="0.25">
      <c r="A2" s="27"/>
      <c r="B2" t="s">
        <v>84</v>
      </c>
      <c r="C2" t="s">
        <v>85</v>
      </c>
      <c r="D2" t="s">
        <v>84</v>
      </c>
      <c r="E2" t="s">
        <v>85</v>
      </c>
      <c r="F2" t="s">
        <v>84</v>
      </c>
      <c r="G2" t="s">
        <v>85</v>
      </c>
      <c r="H2" t="s">
        <v>84</v>
      </c>
      <c r="I2" t="s">
        <v>85</v>
      </c>
      <c r="J2" t="s">
        <v>84</v>
      </c>
      <c r="K2" t="s">
        <v>85</v>
      </c>
    </row>
    <row r="3" spans="1:11" x14ac:dyDescent="0.25">
      <c r="A3" t="s">
        <v>105</v>
      </c>
      <c r="B3">
        <v>1017</v>
      </c>
      <c r="C3">
        <v>536</v>
      </c>
      <c r="D3">
        <v>3208</v>
      </c>
      <c r="E3">
        <v>1611</v>
      </c>
      <c r="F3">
        <v>5852</v>
      </c>
      <c r="G3">
        <v>2845</v>
      </c>
      <c r="H3">
        <v>7532</v>
      </c>
      <c r="I3">
        <v>3740</v>
      </c>
      <c r="J3">
        <v>17609</v>
      </c>
      <c r="K3">
        <v>8732</v>
      </c>
    </row>
    <row r="4" spans="1:11" x14ac:dyDescent="0.25">
      <c r="A4" t="s">
        <v>106</v>
      </c>
      <c r="B4">
        <v>870</v>
      </c>
      <c r="C4">
        <v>454</v>
      </c>
      <c r="D4">
        <v>4204</v>
      </c>
      <c r="E4">
        <v>2178</v>
      </c>
      <c r="F4">
        <v>8585</v>
      </c>
      <c r="G4">
        <v>4279</v>
      </c>
      <c r="H4">
        <v>5475</v>
      </c>
      <c r="I4">
        <v>2777</v>
      </c>
      <c r="J4">
        <v>19134</v>
      </c>
      <c r="K4">
        <v>9688</v>
      </c>
    </row>
    <row r="5" spans="1:11" x14ac:dyDescent="0.25">
      <c r="A5" t="s">
        <v>107</v>
      </c>
      <c r="B5">
        <v>371</v>
      </c>
      <c r="C5">
        <v>175</v>
      </c>
      <c r="D5">
        <v>3451</v>
      </c>
      <c r="E5">
        <v>1709</v>
      </c>
      <c r="F5">
        <v>11428</v>
      </c>
      <c r="G5">
        <v>5559</v>
      </c>
      <c r="H5">
        <v>1163</v>
      </c>
      <c r="I5">
        <v>563</v>
      </c>
      <c r="J5">
        <v>16413</v>
      </c>
      <c r="K5">
        <v>8006</v>
      </c>
    </row>
    <row r="6" spans="1:11" x14ac:dyDescent="0.25">
      <c r="A6" t="s">
        <v>108</v>
      </c>
      <c r="B6">
        <v>459</v>
      </c>
      <c r="C6">
        <v>222</v>
      </c>
      <c r="D6">
        <v>1753</v>
      </c>
      <c r="E6">
        <v>899</v>
      </c>
      <c r="F6">
        <v>3753</v>
      </c>
      <c r="G6">
        <v>1824</v>
      </c>
      <c r="H6">
        <v>1209</v>
      </c>
      <c r="I6">
        <v>603</v>
      </c>
      <c r="J6">
        <v>7174</v>
      </c>
      <c r="K6">
        <v>3548</v>
      </c>
    </row>
    <row r="7" spans="1:11" x14ac:dyDescent="0.25">
      <c r="A7" t="s">
        <v>109</v>
      </c>
      <c r="B7">
        <v>316</v>
      </c>
      <c r="C7">
        <v>176</v>
      </c>
      <c r="D7">
        <v>1041</v>
      </c>
      <c r="E7">
        <v>515</v>
      </c>
      <c r="F7">
        <v>6791</v>
      </c>
      <c r="G7">
        <v>3381</v>
      </c>
      <c r="H7">
        <v>2535</v>
      </c>
      <c r="I7">
        <v>1295</v>
      </c>
      <c r="J7">
        <v>10683</v>
      </c>
      <c r="K7">
        <v>5367</v>
      </c>
    </row>
    <row r="8" spans="1:11" x14ac:dyDescent="0.25">
      <c r="A8" t="s">
        <v>110</v>
      </c>
      <c r="B8">
        <v>519</v>
      </c>
      <c r="C8">
        <v>284</v>
      </c>
      <c r="D8">
        <v>2109</v>
      </c>
      <c r="E8">
        <v>1037</v>
      </c>
      <c r="F8">
        <v>4828</v>
      </c>
      <c r="G8">
        <v>2404</v>
      </c>
      <c r="H8">
        <v>3098</v>
      </c>
      <c r="I8">
        <v>1590</v>
      </c>
      <c r="J8">
        <v>10554</v>
      </c>
      <c r="K8">
        <v>5315</v>
      </c>
    </row>
    <row r="9" spans="1:11" x14ac:dyDescent="0.25">
      <c r="A9" t="s">
        <v>111</v>
      </c>
      <c r="B9">
        <v>194</v>
      </c>
      <c r="C9">
        <v>91</v>
      </c>
      <c r="D9">
        <v>939</v>
      </c>
      <c r="E9">
        <v>486</v>
      </c>
      <c r="F9">
        <v>5414</v>
      </c>
      <c r="G9">
        <v>2591</v>
      </c>
      <c r="H9">
        <v>1181</v>
      </c>
      <c r="I9">
        <v>583</v>
      </c>
      <c r="J9">
        <v>7728</v>
      </c>
      <c r="K9">
        <v>3751</v>
      </c>
    </row>
    <row r="10" spans="1:11" x14ac:dyDescent="0.25">
      <c r="A10" t="s">
        <v>112</v>
      </c>
      <c r="B10">
        <v>1008</v>
      </c>
      <c r="C10">
        <v>520</v>
      </c>
      <c r="D10">
        <v>4291</v>
      </c>
      <c r="E10">
        <v>2160</v>
      </c>
      <c r="F10">
        <v>10782</v>
      </c>
      <c r="G10">
        <v>5263</v>
      </c>
      <c r="H10">
        <v>676</v>
      </c>
      <c r="I10">
        <v>340</v>
      </c>
      <c r="J10">
        <v>16757</v>
      </c>
      <c r="K10">
        <v>8283</v>
      </c>
    </row>
    <row r="11" spans="1:11" x14ac:dyDescent="0.25">
      <c r="A11" t="s">
        <v>113</v>
      </c>
      <c r="B11">
        <v>23</v>
      </c>
      <c r="C11">
        <v>15</v>
      </c>
      <c r="D11">
        <v>141</v>
      </c>
      <c r="E11">
        <v>71</v>
      </c>
      <c r="F11">
        <v>300</v>
      </c>
      <c r="G11">
        <v>146</v>
      </c>
      <c r="H11">
        <v>423</v>
      </c>
      <c r="I11">
        <v>223</v>
      </c>
      <c r="J11">
        <v>887</v>
      </c>
      <c r="K11">
        <v>455</v>
      </c>
    </row>
    <row r="12" spans="1:11" x14ac:dyDescent="0.25">
      <c r="A12" t="s">
        <v>114</v>
      </c>
      <c r="B12">
        <v>96</v>
      </c>
      <c r="C12">
        <v>47</v>
      </c>
      <c r="D12">
        <v>197</v>
      </c>
      <c r="E12">
        <v>110</v>
      </c>
      <c r="F12">
        <v>498</v>
      </c>
      <c r="G12">
        <v>232</v>
      </c>
      <c r="H12">
        <v>1591</v>
      </c>
      <c r="I12">
        <v>819</v>
      </c>
      <c r="J12">
        <v>2382</v>
      </c>
      <c r="K12">
        <v>1208</v>
      </c>
    </row>
    <row r="13" spans="1:11" x14ac:dyDescent="0.25">
      <c r="A13" t="s">
        <v>115</v>
      </c>
      <c r="B13">
        <v>145</v>
      </c>
      <c r="C13">
        <v>72</v>
      </c>
      <c r="D13">
        <v>901</v>
      </c>
      <c r="E13">
        <v>503</v>
      </c>
      <c r="F13">
        <v>2447</v>
      </c>
      <c r="G13">
        <v>1198</v>
      </c>
      <c r="H13">
        <v>1133</v>
      </c>
      <c r="I13">
        <v>580</v>
      </c>
      <c r="J13">
        <v>4626</v>
      </c>
      <c r="K13">
        <v>2353</v>
      </c>
    </row>
    <row r="14" spans="1:11" x14ac:dyDescent="0.25">
      <c r="A14" t="s">
        <v>116</v>
      </c>
      <c r="B14">
        <v>76</v>
      </c>
      <c r="C14">
        <v>31</v>
      </c>
      <c r="D14">
        <v>176</v>
      </c>
      <c r="E14">
        <v>88</v>
      </c>
      <c r="F14">
        <v>229</v>
      </c>
      <c r="G14">
        <v>109</v>
      </c>
      <c r="H14">
        <v>680</v>
      </c>
      <c r="I14">
        <v>353</v>
      </c>
      <c r="J14">
        <v>1161</v>
      </c>
      <c r="K14">
        <v>581</v>
      </c>
    </row>
    <row r="15" spans="1:11" x14ac:dyDescent="0.25">
      <c r="A15" t="s">
        <v>117</v>
      </c>
      <c r="B15">
        <v>78</v>
      </c>
      <c r="C15">
        <v>41</v>
      </c>
      <c r="D15">
        <v>472</v>
      </c>
      <c r="E15">
        <v>243</v>
      </c>
      <c r="F15">
        <v>1540</v>
      </c>
      <c r="G15">
        <v>710</v>
      </c>
      <c r="H15">
        <v>1757</v>
      </c>
      <c r="I15">
        <v>888</v>
      </c>
      <c r="J15">
        <v>3847</v>
      </c>
      <c r="K15">
        <v>1882</v>
      </c>
    </row>
    <row r="16" spans="1:11" x14ac:dyDescent="0.25">
      <c r="A16" t="s">
        <v>118</v>
      </c>
      <c r="B16">
        <v>72</v>
      </c>
      <c r="C16">
        <v>40</v>
      </c>
      <c r="D16">
        <v>254</v>
      </c>
      <c r="E16">
        <v>144</v>
      </c>
      <c r="F16">
        <v>392</v>
      </c>
      <c r="G16">
        <v>203</v>
      </c>
      <c r="H16">
        <v>455</v>
      </c>
      <c r="I16">
        <v>224</v>
      </c>
      <c r="J16">
        <v>1173</v>
      </c>
      <c r="K16">
        <v>611</v>
      </c>
    </row>
    <row r="17" spans="1:11" x14ac:dyDescent="0.25">
      <c r="A17" t="s">
        <v>119</v>
      </c>
      <c r="B17">
        <v>690</v>
      </c>
      <c r="C17">
        <v>336</v>
      </c>
      <c r="D17">
        <v>1422</v>
      </c>
      <c r="E17">
        <v>696</v>
      </c>
      <c r="F17">
        <v>8748</v>
      </c>
      <c r="G17">
        <v>4111</v>
      </c>
      <c r="H17">
        <v>201</v>
      </c>
      <c r="I17">
        <v>111</v>
      </c>
      <c r="J17">
        <v>11061</v>
      </c>
      <c r="K17">
        <v>5254</v>
      </c>
    </row>
    <row r="18" spans="1:11" x14ac:dyDescent="0.25">
      <c r="A18" t="s">
        <v>120</v>
      </c>
      <c r="B18">
        <v>76</v>
      </c>
      <c r="C18">
        <v>42</v>
      </c>
      <c r="D18">
        <v>363</v>
      </c>
      <c r="E18">
        <v>172</v>
      </c>
      <c r="F18">
        <v>846</v>
      </c>
      <c r="G18">
        <v>438</v>
      </c>
      <c r="H18">
        <v>1086</v>
      </c>
      <c r="I18">
        <v>543</v>
      </c>
      <c r="J18">
        <v>2371</v>
      </c>
      <c r="K18">
        <v>1195</v>
      </c>
    </row>
    <row r="19" spans="1:11" x14ac:dyDescent="0.25">
      <c r="A19" t="s">
        <v>121</v>
      </c>
      <c r="B19">
        <v>206</v>
      </c>
      <c r="C19">
        <v>121</v>
      </c>
      <c r="D19">
        <v>700</v>
      </c>
      <c r="E19">
        <v>345</v>
      </c>
      <c r="F19">
        <v>1068</v>
      </c>
      <c r="G19">
        <v>572</v>
      </c>
      <c r="H19">
        <v>2637</v>
      </c>
      <c r="I19">
        <v>1386</v>
      </c>
      <c r="J19">
        <v>4611</v>
      </c>
      <c r="K19">
        <v>2424</v>
      </c>
    </row>
    <row r="20" spans="1:11" x14ac:dyDescent="0.25">
      <c r="A20" t="s">
        <v>122</v>
      </c>
      <c r="B20">
        <v>511</v>
      </c>
      <c r="C20">
        <v>276</v>
      </c>
      <c r="D20">
        <v>3082</v>
      </c>
      <c r="E20">
        <v>1525</v>
      </c>
      <c r="F20">
        <v>12963</v>
      </c>
      <c r="G20">
        <v>6348</v>
      </c>
      <c r="H20">
        <v>733</v>
      </c>
      <c r="I20">
        <v>362</v>
      </c>
      <c r="J20">
        <v>17289</v>
      </c>
      <c r="K20">
        <v>8511</v>
      </c>
    </row>
    <row r="21" spans="1:11" x14ac:dyDescent="0.25">
      <c r="A21" t="s">
        <v>123</v>
      </c>
      <c r="B21">
        <v>560</v>
      </c>
      <c r="C21">
        <v>300</v>
      </c>
      <c r="D21">
        <v>1835</v>
      </c>
      <c r="E21">
        <v>943</v>
      </c>
      <c r="F21">
        <v>3967</v>
      </c>
      <c r="G21">
        <v>1950</v>
      </c>
      <c r="H21">
        <v>2970</v>
      </c>
      <c r="I21">
        <v>1555</v>
      </c>
      <c r="J21">
        <v>9332</v>
      </c>
      <c r="K21">
        <v>4748</v>
      </c>
    </row>
    <row r="22" spans="1:11" x14ac:dyDescent="0.25">
      <c r="A22" t="s">
        <v>124</v>
      </c>
      <c r="B22">
        <v>237</v>
      </c>
      <c r="C22">
        <v>138</v>
      </c>
      <c r="D22">
        <v>689</v>
      </c>
      <c r="E22">
        <v>362</v>
      </c>
      <c r="F22">
        <v>1106</v>
      </c>
      <c r="G22">
        <v>552</v>
      </c>
      <c r="H22">
        <v>857</v>
      </c>
      <c r="I22">
        <v>446</v>
      </c>
      <c r="J22">
        <v>2889</v>
      </c>
      <c r="K22">
        <v>1498</v>
      </c>
    </row>
    <row r="23" spans="1:11" x14ac:dyDescent="0.25">
      <c r="A23" t="s">
        <v>125</v>
      </c>
      <c r="B23">
        <v>1686</v>
      </c>
      <c r="C23">
        <v>845</v>
      </c>
      <c r="D23">
        <v>6535</v>
      </c>
      <c r="E23">
        <v>3330</v>
      </c>
      <c r="F23">
        <v>13834</v>
      </c>
      <c r="G23">
        <v>6821</v>
      </c>
      <c r="H23">
        <v>6218</v>
      </c>
      <c r="I23">
        <v>3183</v>
      </c>
      <c r="J23">
        <v>28273</v>
      </c>
      <c r="K23">
        <v>14179</v>
      </c>
    </row>
    <row r="24" spans="1:11" x14ac:dyDescent="0.25">
      <c r="A24" t="s">
        <v>126</v>
      </c>
      <c r="B24">
        <v>91</v>
      </c>
      <c r="C24">
        <v>52</v>
      </c>
      <c r="D24">
        <v>233</v>
      </c>
      <c r="E24">
        <v>120</v>
      </c>
      <c r="F24">
        <v>496</v>
      </c>
      <c r="G24">
        <v>231</v>
      </c>
      <c r="H24">
        <v>514</v>
      </c>
      <c r="I24">
        <v>245</v>
      </c>
      <c r="J24">
        <v>1334</v>
      </c>
      <c r="K24">
        <v>648</v>
      </c>
    </row>
    <row r="25" spans="1:11" x14ac:dyDescent="0.25">
      <c r="A25" t="s">
        <v>127</v>
      </c>
      <c r="B25">
        <v>288</v>
      </c>
      <c r="C25">
        <v>158</v>
      </c>
      <c r="D25">
        <v>1600</v>
      </c>
      <c r="E25">
        <v>840</v>
      </c>
      <c r="F25">
        <v>3259</v>
      </c>
      <c r="G25">
        <v>1627</v>
      </c>
      <c r="H25">
        <v>3284</v>
      </c>
      <c r="I25">
        <v>1662</v>
      </c>
      <c r="J25">
        <v>8431</v>
      </c>
      <c r="K25">
        <v>4287</v>
      </c>
    </row>
    <row r="26" spans="1:11" x14ac:dyDescent="0.25">
      <c r="A26" t="s">
        <v>128</v>
      </c>
      <c r="B26">
        <v>365</v>
      </c>
      <c r="C26">
        <v>202</v>
      </c>
      <c r="D26">
        <v>2222</v>
      </c>
      <c r="E26">
        <v>1135</v>
      </c>
      <c r="F26">
        <v>8854</v>
      </c>
      <c r="G26">
        <v>4344</v>
      </c>
      <c r="H26">
        <v>1613</v>
      </c>
      <c r="I26">
        <v>785</v>
      </c>
      <c r="J26">
        <v>13054</v>
      </c>
      <c r="K26">
        <v>6466</v>
      </c>
    </row>
    <row r="27" spans="1:11" x14ac:dyDescent="0.25">
      <c r="A27" t="s">
        <v>129</v>
      </c>
      <c r="B27">
        <v>557</v>
      </c>
      <c r="C27">
        <v>311</v>
      </c>
      <c r="D27">
        <v>4515</v>
      </c>
      <c r="E27">
        <v>2294</v>
      </c>
      <c r="F27">
        <v>7004</v>
      </c>
      <c r="G27">
        <v>3375</v>
      </c>
      <c r="H27">
        <v>2283</v>
      </c>
      <c r="I27">
        <v>1126</v>
      </c>
      <c r="J27">
        <v>14359</v>
      </c>
      <c r="K27">
        <v>7106</v>
      </c>
    </row>
    <row r="28" spans="1:11" x14ac:dyDescent="0.25">
      <c r="A28" t="s">
        <v>87</v>
      </c>
      <c r="B28">
        <v>10511</v>
      </c>
      <c r="C28">
        <v>5485</v>
      </c>
      <c r="D28">
        <v>46333</v>
      </c>
      <c r="E28">
        <v>23516</v>
      </c>
      <c r="F28">
        <v>124984</v>
      </c>
      <c r="G28">
        <v>61113</v>
      </c>
      <c r="H28">
        <v>51304</v>
      </c>
      <c r="I28">
        <v>25982</v>
      </c>
      <c r="J28">
        <v>233132</v>
      </c>
      <c r="K28">
        <v>116096</v>
      </c>
    </row>
    <row r="29" spans="1:11" x14ac:dyDescent="0.25">
      <c r="A29" t="s">
        <v>130</v>
      </c>
      <c r="B29">
        <v>3283</v>
      </c>
      <c r="C29">
        <v>1696</v>
      </c>
      <c r="D29">
        <v>9429</v>
      </c>
      <c r="E29">
        <v>4741</v>
      </c>
      <c r="F29">
        <v>21614</v>
      </c>
      <c r="G29">
        <v>10324</v>
      </c>
      <c r="H29">
        <v>5248</v>
      </c>
      <c r="I29">
        <v>2611</v>
      </c>
      <c r="J29">
        <v>39574</v>
      </c>
      <c r="K29">
        <v>19372</v>
      </c>
    </row>
    <row r="30" spans="1:11" x14ac:dyDescent="0.25">
      <c r="A30" t="s">
        <v>131</v>
      </c>
      <c r="B30">
        <v>7228</v>
      </c>
      <c r="C30">
        <v>3789</v>
      </c>
      <c r="D30">
        <v>36904</v>
      </c>
      <c r="E30">
        <v>18775</v>
      </c>
      <c r="F30">
        <v>103370</v>
      </c>
      <c r="G30">
        <v>50789</v>
      </c>
      <c r="H30">
        <v>46056</v>
      </c>
      <c r="I30">
        <v>23371</v>
      </c>
      <c r="J30">
        <v>193558</v>
      </c>
      <c r="K30">
        <v>96724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5B9BD5"/>
  </sheetPr>
  <dimension ref="A1:N30"/>
  <sheetViews>
    <sheetView workbookViewId="0"/>
  </sheetViews>
  <sheetFormatPr defaultRowHeight="15" x14ac:dyDescent="0.25"/>
  <cols>
    <col min="1" max="1" width="24.140625" customWidth="1"/>
    <col min="2" max="2" width="14.42578125" customWidth="1"/>
    <col min="3" max="3" width="11.85546875" customWidth="1"/>
    <col min="4" max="4" width="12" customWidth="1"/>
    <col min="6" max="6" width="11.85546875" customWidth="1"/>
    <col min="7" max="7" width="12" customWidth="1"/>
    <col min="8" max="8" width="11.85546875" customWidth="1"/>
    <col min="9" max="9" width="12" customWidth="1"/>
    <col min="11" max="11" width="11.85546875" customWidth="1"/>
    <col min="12" max="12" width="12" customWidth="1"/>
    <col min="14" max="14" width="11.85546875" customWidth="1"/>
  </cols>
  <sheetData>
    <row r="1" spans="1:14" x14ac:dyDescent="0.25">
      <c r="A1" s="27" t="s">
        <v>104</v>
      </c>
      <c r="B1" t="s">
        <v>75</v>
      </c>
      <c r="C1" s="27" t="s">
        <v>141</v>
      </c>
      <c r="D1" s="27"/>
      <c r="E1" s="27" t="s">
        <v>161</v>
      </c>
      <c r="F1" s="27"/>
      <c r="G1" s="27" t="s">
        <v>211</v>
      </c>
      <c r="H1" s="27"/>
      <c r="I1" s="27" t="s">
        <v>212</v>
      </c>
      <c r="J1" s="27"/>
      <c r="K1" s="27" t="s">
        <v>84</v>
      </c>
      <c r="L1" s="27"/>
      <c r="M1" s="27" t="s">
        <v>213</v>
      </c>
      <c r="N1" s="27"/>
    </row>
    <row r="2" spans="1:14" x14ac:dyDescent="0.25">
      <c r="A2" s="27"/>
      <c r="B2" t="s">
        <v>82</v>
      </c>
      <c r="C2" t="s">
        <v>84</v>
      </c>
      <c r="D2" t="s">
        <v>85</v>
      </c>
      <c r="E2" t="s">
        <v>84</v>
      </c>
      <c r="F2" t="s">
        <v>85</v>
      </c>
      <c r="G2" t="s">
        <v>84</v>
      </c>
      <c r="H2" t="s">
        <v>85</v>
      </c>
      <c r="I2" t="s">
        <v>84</v>
      </c>
      <c r="J2" t="s">
        <v>85</v>
      </c>
      <c r="K2" t="s">
        <v>84</v>
      </c>
      <c r="L2" t="s">
        <v>85</v>
      </c>
      <c r="M2" t="s">
        <v>161</v>
      </c>
      <c r="N2" t="s">
        <v>214</v>
      </c>
    </row>
    <row r="3" spans="1:14" x14ac:dyDescent="0.25">
      <c r="A3" t="s">
        <v>105</v>
      </c>
      <c r="B3">
        <v>818</v>
      </c>
      <c r="C3">
        <v>17609</v>
      </c>
      <c r="D3">
        <v>8732</v>
      </c>
      <c r="E3">
        <v>97157</v>
      </c>
      <c r="F3">
        <v>46850</v>
      </c>
      <c r="G3">
        <v>28020</v>
      </c>
      <c r="H3">
        <v>14931</v>
      </c>
      <c r="I3">
        <v>13414</v>
      </c>
      <c r="J3">
        <v>7627</v>
      </c>
      <c r="K3">
        <v>156200</v>
      </c>
      <c r="L3">
        <v>78140</v>
      </c>
      <c r="M3">
        <v>48.2</v>
      </c>
      <c r="N3">
        <v>50</v>
      </c>
    </row>
    <row r="4" spans="1:14" x14ac:dyDescent="0.25">
      <c r="A4" t="s">
        <v>106</v>
      </c>
      <c r="B4">
        <v>1147</v>
      </c>
      <c r="C4">
        <v>19134</v>
      </c>
      <c r="D4">
        <v>9688</v>
      </c>
      <c r="E4">
        <v>169424</v>
      </c>
      <c r="F4">
        <v>80840</v>
      </c>
      <c r="G4">
        <v>45229</v>
      </c>
      <c r="H4">
        <v>24067</v>
      </c>
      <c r="I4">
        <v>21577</v>
      </c>
      <c r="J4">
        <v>12102</v>
      </c>
      <c r="K4">
        <v>255364</v>
      </c>
      <c r="L4">
        <v>126697</v>
      </c>
      <c r="M4">
        <v>47.7</v>
      </c>
      <c r="N4">
        <v>49.6</v>
      </c>
    </row>
    <row r="5" spans="1:14" x14ac:dyDescent="0.25">
      <c r="A5" t="s">
        <v>107</v>
      </c>
      <c r="B5">
        <v>816</v>
      </c>
      <c r="C5">
        <v>16413</v>
      </c>
      <c r="D5">
        <v>8006</v>
      </c>
      <c r="E5">
        <v>139238</v>
      </c>
      <c r="F5">
        <v>66191</v>
      </c>
      <c r="G5">
        <v>42197</v>
      </c>
      <c r="H5">
        <v>22776</v>
      </c>
      <c r="I5">
        <v>23504</v>
      </c>
      <c r="J5">
        <v>13461</v>
      </c>
      <c r="K5">
        <v>221352</v>
      </c>
      <c r="L5">
        <v>110434</v>
      </c>
      <c r="M5">
        <v>47.5</v>
      </c>
      <c r="N5">
        <v>49.9</v>
      </c>
    </row>
    <row r="6" spans="1:14" x14ac:dyDescent="0.25">
      <c r="A6" t="s">
        <v>108</v>
      </c>
      <c r="B6">
        <v>469</v>
      </c>
      <c r="C6">
        <v>7174</v>
      </c>
      <c r="D6">
        <v>3548</v>
      </c>
      <c r="E6">
        <v>73216</v>
      </c>
      <c r="F6">
        <v>35572</v>
      </c>
      <c r="G6">
        <v>24289</v>
      </c>
      <c r="H6">
        <v>13147</v>
      </c>
      <c r="I6">
        <v>12743</v>
      </c>
      <c r="J6">
        <v>7221</v>
      </c>
      <c r="K6">
        <v>117422</v>
      </c>
      <c r="L6">
        <v>59488</v>
      </c>
      <c r="M6">
        <v>48.6</v>
      </c>
      <c r="N6">
        <v>50.7</v>
      </c>
    </row>
    <row r="7" spans="1:14" x14ac:dyDescent="0.25">
      <c r="A7" t="s">
        <v>109</v>
      </c>
      <c r="B7">
        <v>619</v>
      </c>
      <c r="C7">
        <v>10683</v>
      </c>
      <c r="D7">
        <v>5367</v>
      </c>
      <c r="E7">
        <v>108391</v>
      </c>
      <c r="F7">
        <v>52343</v>
      </c>
      <c r="G7">
        <v>34179</v>
      </c>
      <c r="H7">
        <v>17900</v>
      </c>
      <c r="I7">
        <v>15686</v>
      </c>
      <c r="J7">
        <v>8368</v>
      </c>
      <c r="K7">
        <v>168939</v>
      </c>
      <c r="L7">
        <v>83978</v>
      </c>
      <c r="M7">
        <v>48.3</v>
      </c>
      <c r="N7">
        <v>49.7</v>
      </c>
    </row>
    <row r="8" spans="1:14" x14ac:dyDescent="0.25">
      <c r="A8" t="s">
        <v>110</v>
      </c>
      <c r="B8">
        <v>789</v>
      </c>
      <c r="C8">
        <v>10554</v>
      </c>
      <c r="D8">
        <v>5315</v>
      </c>
      <c r="E8">
        <v>99857</v>
      </c>
      <c r="F8">
        <v>48731</v>
      </c>
      <c r="G8">
        <v>30511</v>
      </c>
      <c r="H8">
        <v>16565</v>
      </c>
      <c r="I8">
        <v>15401</v>
      </c>
      <c r="J8">
        <v>8722</v>
      </c>
      <c r="K8">
        <v>156323</v>
      </c>
      <c r="L8">
        <v>79333</v>
      </c>
      <c r="M8">
        <v>48.8</v>
      </c>
      <c r="N8">
        <v>50.7</v>
      </c>
    </row>
    <row r="9" spans="1:14" x14ac:dyDescent="0.25">
      <c r="A9" t="s">
        <v>111</v>
      </c>
      <c r="B9">
        <v>611</v>
      </c>
      <c r="C9">
        <v>7728</v>
      </c>
      <c r="D9">
        <v>3751</v>
      </c>
      <c r="E9">
        <v>76661</v>
      </c>
      <c r="F9">
        <v>36421</v>
      </c>
      <c r="G9">
        <v>27054</v>
      </c>
      <c r="H9">
        <v>14052</v>
      </c>
      <c r="I9">
        <v>15754</v>
      </c>
      <c r="J9">
        <v>8344</v>
      </c>
      <c r="K9">
        <v>127197</v>
      </c>
      <c r="L9">
        <v>62568</v>
      </c>
      <c r="M9">
        <v>47.5</v>
      </c>
      <c r="N9">
        <v>49.2</v>
      </c>
    </row>
    <row r="10" spans="1:14" x14ac:dyDescent="0.25">
      <c r="A10" t="s">
        <v>112</v>
      </c>
      <c r="B10">
        <v>752</v>
      </c>
      <c r="C10">
        <v>16757</v>
      </c>
      <c r="D10">
        <v>8283</v>
      </c>
      <c r="E10">
        <v>159614</v>
      </c>
      <c r="F10">
        <v>75340</v>
      </c>
      <c r="G10">
        <v>49943</v>
      </c>
      <c r="H10">
        <v>26124</v>
      </c>
      <c r="I10">
        <v>28643</v>
      </c>
      <c r="J10">
        <v>16004</v>
      </c>
      <c r="K10">
        <v>254957</v>
      </c>
      <c r="L10">
        <v>125751</v>
      </c>
      <c r="M10">
        <v>47.2</v>
      </c>
      <c r="N10">
        <v>49.3</v>
      </c>
    </row>
    <row r="11" spans="1:14" x14ac:dyDescent="0.25">
      <c r="A11" t="s">
        <v>113</v>
      </c>
      <c r="B11">
        <v>50</v>
      </c>
      <c r="C11">
        <v>887</v>
      </c>
      <c r="D11">
        <v>455</v>
      </c>
      <c r="E11">
        <v>5159</v>
      </c>
      <c r="F11">
        <v>2521</v>
      </c>
      <c r="G11">
        <v>1468</v>
      </c>
      <c r="H11">
        <v>761</v>
      </c>
      <c r="I11">
        <v>1045</v>
      </c>
      <c r="J11">
        <v>543</v>
      </c>
      <c r="K11">
        <v>8559</v>
      </c>
      <c r="L11">
        <v>4280</v>
      </c>
      <c r="M11">
        <v>48.9</v>
      </c>
      <c r="N11">
        <v>50</v>
      </c>
    </row>
    <row r="12" spans="1:14" x14ac:dyDescent="0.25">
      <c r="A12" t="s">
        <v>114</v>
      </c>
      <c r="B12">
        <v>219</v>
      </c>
      <c r="C12">
        <v>2382</v>
      </c>
      <c r="D12">
        <v>1208</v>
      </c>
      <c r="E12">
        <v>16395</v>
      </c>
      <c r="F12">
        <v>7885</v>
      </c>
      <c r="G12">
        <v>5128</v>
      </c>
      <c r="H12">
        <v>2628</v>
      </c>
      <c r="I12">
        <v>2661</v>
      </c>
      <c r="J12">
        <v>1322</v>
      </c>
      <c r="K12">
        <v>26566</v>
      </c>
      <c r="L12">
        <v>13043</v>
      </c>
      <c r="M12">
        <v>48.1</v>
      </c>
      <c r="N12">
        <v>49.1</v>
      </c>
    </row>
    <row r="13" spans="1:14" x14ac:dyDescent="0.25">
      <c r="A13" t="s">
        <v>115</v>
      </c>
      <c r="B13">
        <v>441</v>
      </c>
      <c r="C13">
        <v>4626</v>
      </c>
      <c r="D13">
        <v>2353</v>
      </c>
      <c r="E13">
        <v>63263</v>
      </c>
      <c r="F13">
        <v>30449</v>
      </c>
      <c r="G13">
        <v>13107</v>
      </c>
      <c r="H13">
        <v>6999</v>
      </c>
      <c r="I13">
        <v>6208</v>
      </c>
      <c r="J13">
        <v>3427</v>
      </c>
      <c r="K13">
        <v>87204</v>
      </c>
      <c r="L13">
        <v>43228</v>
      </c>
      <c r="M13">
        <v>48.1</v>
      </c>
      <c r="N13">
        <v>49.6</v>
      </c>
    </row>
    <row r="14" spans="1:14" x14ac:dyDescent="0.25">
      <c r="A14" t="s">
        <v>116</v>
      </c>
      <c r="B14">
        <v>127</v>
      </c>
      <c r="C14">
        <v>1161</v>
      </c>
      <c r="D14">
        <v>581</v>
      </c>
      <c r="E14">
        <v>14623</v>
      </c>
      <c r="F14">
        <v>7285</v>
      </c>
      <c r="G14">
        <v>3356</v>
      </c>
      <c r="H14">
        <v>1770</v>
      </c>
      <c r="I14">
        <v>1548</v>
      </c>
      <c r="J14">
        <v>851</v>
      </c>
      <c r="K14">
        <v>20688</v>
      </c>
      <c r="L14">
        <v>10487</v>
      </c>
      <c r="M14">
        <v>49.8</v>
      </c>
      <c r="N14">
        <v>50.7</v>
      </c>
    </row>
    <row r="15" spans="1:14" x14ac:dyDescent="0.25">
      <c r="A15" t="s">
        <v>117</v>
      </c>
      <c r="B15">
        <v>359</v>
      </c>
      <c r="C15">
        <v>3847</v>
      </c>
      <c r="D15">
        <v>1882</v>
      </c>
      <c r="E15">
        <v>37185</v>
      </c>
      <c r="F15">
        <v>17719</v>
      </c>
      <c r="G15">
        <v>9967</v>
      </c>
      <c r="H15">
        <v>5142</v>
      </c>
      <c r="I15">
        <v>4615</v>
      </c>
      <c r="J15">
        <v>2450</v>
      </c>
      <c r="K15">
        <v>55614</v>
      </c>
      <c r="L15">
        <v>27193</v>
      </c>
      <c r="M15">
        <v>47.7</v>
      </c>
      <c r="N15">
        <v>48.9</v>
      </c>
    </row>
    <row r="16" spans="1:14" x14ac:dyDescent="0.25">
      <c r="A16" t="s">
        <v>118</v>
      </c>
      <c r="B16">
        <v>81</v>
      </c>
      <c r="C16">
        <v>1173</v>
      </c>
      <c r="D16">
        <v>611</v>
      </c>
      <c r="E16">
        <v>10488</v>
      </c>
      <c r="F16">
        <v>4990</v>
      </c>
      <c r="G16">
        <v>3428</v>
      </c>
      <c r="H16">
        <v>1802</v>
      </c>
      <c r="I16">
        <v>1508</v>
      </c>
      <c r="J16">
        <v>830</v>
      </c>
      <c r="K16">
        <v>16597</v>
      </c>
      <c r="L16">
        <v>8233</v>
      </c>
      <c r="M16">
        <v>47.6</v>
      </c>
      <c r="N16">
        <v>49.6</v>
      </c>
    </row>
    <row r="17" spans="1:14" x14ac:dyDescent="0.25">
      <c r="A17" t="s">
        <v>119</v>
      </c>
      <c r="B17">
        <v>374</v>
      </c>
      <c r="C17">
        <v>11061</v>
      </c>
      <c r="D17">
        <v>5254</v>
      </c>
      <c r="E17">
        <v>138050</v>
      </c>
      <c r="F17">
        <v>65794</v>
      </c>
      <c r="G17">
        <v>52634</v>
      </c>
      <c r="H17">
        <v>26386</v>
      </c>
      <c r="I17">
        <v>38023</v>
      </c>
      <c r="J17">
        <v>19497</v>
      </c>
      <c r="K17">
        <v>239768</v>
      </c>
      <c r="L17">
        <v>116931</v>
      </c>
      <c r="M17">
        <v>47.7</v>
      </c>
      <c r="N17">
        <v>48.8</v>
      </c>
    </row>
    <row r="18" spans="1:14" x14ac:dyDescent="0.25">
      <c r="A18" t="s">
        <v>120</v>
      </c>
      <c r="B18">
        <v>157</v>
      </c>
      <c r="C18">
        <v>2371</v>
      </c>
      <c r="D18">
        <v>1195</v>
      </c>
      <c r="E18">
        <v>26688</v>
      </c>
      <c r="F18">
        <v>13052</v>
      </c>
      <c r="G18">
        <v>8196</v>
      </c>
      <c r="H18">
        <v>4126</v>
      </c>
      <c r="I18">
        <v>4135</v>
      </c>
      <c r="J18">
        <v>2208</v>
      </c>
      <c r="K18">
        <v>41390</v>
      </c>
      <c r="L18">
        <v>20581</v>
      </c>
      <c r="M18">
        <v>48.9</v>
      </c>
      <c r="N18">
        <v>49.7</v>
      </c>
    </row>
    <row r="19" spans="1:14" x14ac:dyDescent="0.25">
      <c r="A19" t="s">
        <v>121</v>
      </c>
      <c r="B19">
        <v>407</v>
      </c>
      <c r="C19">
        <v>4611</v>
      </c>
      <c r="D19">
        <v>2424</v>
      </c>
      <c r="E19">
        <v>37538</v>
      </c>
      <c r="F19">
        <v>18270</v>
      </c>
      <c r="G19">
        <v>10308</v>
      </c>
      <c r="H19">
        <v>5669</v>
      </c>
      <c r="I19">
        <v>5017</v>
      </c>
      <c r="J19">
        <v>2717</v>
      </c>
      <c r="K19">
        <v>57474</v>
      </c>
      <c r="L19">
        <v>29080</v>
      </c>
      <c r="M19">
        <v>48.7</v>
      </c>
      <c r="N19">
        <v>50.6</v>
      </c>
    </row>
    <row r="20" spans="1:14" x14ac:dyDescent="0.25">
      <c r="A20" t="s">
        <v>122</v>
      </c>
      <c r="B20">
        <v>1057</v>
      </c>
      <c r="C20">
        <v>17289</v>
      </c>
      <c r="D20">
        <v>8511</v>
      </c>
      <c r="E20">
        <v>148230</v>
      </c>
      <c r="F20">
        <v>69470</v>
      </c>
      <c r="G20">
        <v>47305</v>
      </c>
      <c r="H20">
        <v>24768</v>
      </c>
      <c r="I20">
        <v>23976</v>
      </c>
      <c r="J20">
        <v>13009</v>
      </c>
      <c r="K20">
        <v>236800</v>
      </c>
      <c r="L20">
        <v>115758</v>
      </c>
      <c r="M20">
        <v>46.9</v>
      </c>
      <c r="N20">
        <v>48.9</v>
      </c>
    </row>
    <row r="21" spans="1:14" x14ac:dyDescent="0.25">
      <c r="A21" t="s">
        <v>123</v>
      </c>
      <c r="B21">
        <v>543</v>
      </c>
      <c r="C21">
        <v>9332</v>
      </c>
      <c r="D21">
        <v>4748</v>
      </c>
      <c r="E21">
        <v>68838</v>
      </c>
      <c r="F21">
        <v>33507</v>
      </c>
      <c r="G21">
        <v>19050</v>
      </c>
      <c r="H21">
        <v>10044</v>
      </c>
      <c r="I21">
        <v>9808</v>
      </c>
      <c r="J21">
        <v>5381</v>
      </c>
      <c r="K21">
        <v>107028</v>
      </c>
      <c r="L21">
        <v>53680</v>
      </c>
      <c r="M21">
        <v>48.7</v>
      </c>
      <c r="N21">
        <v>50.2</v>
      </c>
    </row>
    <row r="22" spans="1:14" x14ac:dyDescent="0.25">
      <c r="A22" t="s">
        <v>124</v>
      </c>
      <c r="B22">
        <v>311</v>
      </c>
      <c r="C22">
        <v>2889</v>
      </c>
      <c r="D22">
        <v>1498</v>
      </c>
      <c r="E22">
        <v>40612</v>
      </c>
      <c r="F22">
        <v>19545</v>
      </c>
      <c r="G22">
        <v>8311</v>
      </c>
      <c r="H22">
        <v>4208</v>
      </c>
      <c r="I22">
        <v>3799</v>
      </c>
      <c r="J22">
        <v>1797</v>
      </c>
      <c r="K22">
        <v>55611</v>
      </c>
      <c r="L22">
        <v>27048</v>
      </c>
      <c r="M22">
        <v>48.1</v>
      </c>
      <c r="N22">
        <v>48.6</v>
      </c>
    </row>
    <row r="23" spans="1:14" x14ac:dyDescent="0.25">
      <c r="A23" t="s">
        <v>125</v>
      </c>
      <c r="B23">
        <v>1077</v>
      </c>
      <c r="C23">
        <v>28273</v>
      </c>
      <c r="D23">
        <v>14179</v>
      </c>
      <c r="E23">
        <v>165114</v>
      </c>
      <c r="F23">
        <v>79734</v>
      </c>
      <c r="G23">
        <v>50573</v>
      </c>
      <c r="H23">
        <v>27155</v>
      </c>
      <c r="I23">
        <v>27693</v>
      </c>
      <c r="J23">
        <v>16132</v>
      </c>
      <c r="K23">
        <v>271653</v>
      </c>
      <c r="L23">
        <v>137200</v>
      </c>
      <c r="M23">
        <v>48.3</v>
      </c>
      <c r="N23">
        <v>50.5</v>
      </c>
    </row>
    <row r="24" spans="1:14" x14ac:dyDescent="0.25">
      <c r="A24" t="s">
        <v>126</v>
      </c>
      <c r="B24">
        <v>246</v>
      </c>
      <c r="C24">
        <v>1334</v>
      </c>
      <c r="D24">
        <v>648</v>
      </c>
      <c r="E24">
        <v>26641</v>
      </c>
      <c r="F24">
        <v>13001</v>
      </c>
      <c r="G24">
        <v>5166</v>
      </c>
      <c r="H24">
        <v>2720</v>
      </c>
      <c r="I24">
        <v>2377</v>
      </c>
      <c r="J24">
        <v>1242</v>
      </c>
      <c r="K24">
        <v>35518</v>
      </c>
      <c r="L24">
        <v>17611</v>
      </c>
      <c r="M24">
        <v>48.8</v>
      </c>
      <c r="N24">
        <v>49.6</v>
      </c>
    </row>
    <row r="25" spans="1:14" x14ac:dyDescent="0.25">
      <c r="A25" t="s">
        <v>127</v>
      </c>
      <c r="B25">
        <v>509</v>
      </c>
      <c r="C25">
        <v>8431</v>
      </c>
      <c r="D25">
        <v>4287</v>
      </c>
      <c r="E25">
        <v>72639</v>
      </c>
      <c r="F25">
        <v>35132</v>
      </c>
      <c r="G25">
        <v>24992</v>
      </c>
      <c r="H25">
        <v>12851</v>
      </c>
      <c r="I25">
        <v>13206</v>
      </c>
      <c r="J25">
        <v>6959</v>
      </c>
      <c r="K25">
        <v>119268</v>
      </c>
      <c r="L25">
        <v>59229</v>
      </c>
      <c r="M25">
        <v>48.4</v>
      </c>
      <c r="N25">
        <v>49.7</v>
      </c>
    </row>
    <row r="26" spans="1:14" x14ac:dyDescent="0.25">
      <c r="A26" t="s">
        <v>128</v>
      </c>
      <c r="B26">
        <v>793</v>
      </c>
      <c r="C26">
        <v>13054</v>
      </c>
      <c r="D26">
        <v>6466</v>
      </c>
      <c r="E26">
        <v>114861</v>
      </c>
      <c r="F26">
        <v>54820</v>
      </c>
      <c r="G26">
        <v>44629</v>
      </c>
      <c r="H26">
        <v>22761</v>
      </c>
      <c r="I26">
        <v>28684</v>
      </c>
      <c r="J26">
        <v>15302</v>
      </c>
      <c r="K26">
        <v>201228</v>
      </c>
      <c r="L26">
        <v>99349</v>
      </c>
      <c r="M26">
        <v>47.7</v>
      </c>
      <c r="N26">
        <v>49.4</v>
      </c>
    </row>
    <row r="27" spans="1:14" x14ac:dyDescent="0.25">
      <c r="A27" t="s">
        <v>129</v>
      </c>
      <c r="B27">
        <v>710</v>
      </c>
      <c r="C27">
        <v>14359</v>
      </c>
      <c r="D27">
        <v>7106</v>
      </c>
      <c r="E27">
        <v>113591</v>
      </c>
      <c r="F27">
        <v>54591</v>
      </c>
      <c r="G27">
        <v>29928</v>
      </c>
      <c r="H27">
        <v>16152</v>
      </c>
      <c r="I27">
        <v>13687</v>
      </c>
      <c r="J27">
        <v>7878</v>
      </c>
      <c r="K27">
        <v>171565</v>
      </c>
      <c r="L27">
        <v>85727</v>
      </c>
      <c r="M27">
        <v>48.1</v>
      </c>
      <c r="N27">
        <v>50</v>
      </c>
    </row>
    <row r="28" spans="1:14" x14ac:dyDescent="0.25">
      <c r="A28" t="s">
        <v>87</v>
      </c>
      <c r="B28">
        <v>13482</v>
      </c>
      <c r="C28">
        <v>233132</v>
      </c>
      <c r="D28">
        <v>116096</v>
      </c>
      <c r="E28">
        <v>2023473</v>
      </c>
      <c r="F28">
        <v>970053</v>
      </c>
      <c r="G28">
        <v>618968</v>
      </c>
      <c r="H28">
        <v>325504</v>
      </c>
      <c r="I28">
        <v>334712</v>
      </c>
      <c r="J28">
        <v>183394</v>
      </c>
      <c r="K28">
        <v>3210285</v>
      </c>
      <c r="L28">
        <v>1595047</v>
      </c>
      <c r="M28">
        <v>47.9</v>
      </c>
      <c r="N28">
        <v>49.7</v>
      </c>
    </row>
    <row r="29" spans="1:14" x14ac:dyDescent="0.25">
      <c r="A29" t="s">
        <v>130</v>
      </c>
      <c r="B29">
        <v>1390</v>
      </c>
      <c r="C29">
        <v>39574</v>
      </c>
      <c r="D29">
        <v>19372</v>
      </c>
      <c r="E29">
        <v>334805</v>
      </c>
      <c r="F29">
        <v>160114</v>
      </c>
      <c r="G29">
        <v>123698</v>
      </c>
      <c r="H29">
        <v>63117</v>
      </c>
      <c r="I29">
        <v>97538</v>
      </c>
      <c r="J29">
        <v>51939</v>
      </c>
      <c r="K29">
        <v>595615</v>
      </c>
      <c r="L29">
        <v>294542</v>
      </c>
      <c r="M29">
        <v>47.8</v>
      </c>
      <c r="N29">
        <v>49.5</v>
      </c>
    </row>
    <row r="30" spans="1:14" x14ac:dyDescent="0.25">
      <c r="A30" t="s">
        <v>131</v>
      </c>
      <c r="B30">
        <v>12092</v>
      </c>
      <c r="C30">
        <v>193558</v>
      </c>
      <c r="D30">
        <v>96724</v>
      </c>
      <c r="E30">
        <v>1688668</v>
      </c>
      <c r="F30">
        <v>809939</v>
      </c>
      <c r="G30">
        <v>495270</v>
      </c>
      <c r="H30">
        <v>262387</v>
      </c>
      <c r="I30">
        <v>237174</v>
      </c>
      <c r="J30">
        <v>131455</v>
      </c>
      <c r="K30">
        <v>2614670</v>
      </c>
      <c r="L30">
        <v>1300505</v>
      </c>
      <c r="M30">
        <v>48</v>
      </c>
      <c r="N30">
        <v>49.7</v>
      </c>
    </row>
  </sheetData>
  <mergeCells count="7">
    <mergeCell ref="A1:A2"/>
    <mergeCell ref="C1:D1"/>
    <mergeCell ref="G1:H1"/>
    <mergeCell ref="E1:F1"/>
    <mergeCell ref="K1:L1"/>
    <mergeCell ref="M1:N1"/>
    <mergeCell ref="I1:J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L30"/>
  <sheetViews>
    <sheetView workbookViewId="0"/>
  </sheetViews>
  <sheetFormatPr defaultRowHeight="15" x14ac:dyDescent="0.25"/>
  <cols>
    <col min="1" max="1" width="21.42578125" customWidth="1"/>
    <col min="2" max="2" width="26.85546875" customWidth="1"/>
    <col min="3" max="3" width="13.28515625" customWidth="1"/>
    <col min="5" max="5" width="13.140625" customWidth="1"/>
    <col min="6" max="6" width="13.28515625" customWidth="1"/>
    <col min="9" max="9" width="13.140625" customWidth="1"/>
    <col min="10" max="10" width="13.28515625" customWidth="1"/>
    <col min="12" max="12" width="12.7109375" customWidth="1"/>
  </cols>
  <sheetData>
    <row r="1" spans="1:12" x14ac:dyDescent="0.25">
      <c r="A1" s="27" t="s">
        <v>104</v>
      </c>
      <c r="B1" t="s">
        <v>234</v>
      </c>
      <c r="C1" s="27" t="s">
        <v>235</v>
      </c>
      <c r="D1" s="27"/>
      <c r="E1" s="27" t="s">
        <v>236</v>
      </c>
      <c r="F1" s="27"/>
      <c r="G1" s="27" t="s">
        <v>237</v>
      </c>
      <c r="H1" s="27"/>
      <c r="I1" s="27" t="s">
        <v>238</v>
      </c>
      <c r="J1" s="27"/>
      <c r="K1" s="27" t="s">
        <v>81</v>
      </c>
      <c r="L1" s="27"/>
    </row>
    <row r="2" spans="1:12" x14ac:dyDescent="0.25">
      <c r="A2" s="27"/>
      <c r="B2" t="s">
        <v>239</v>
      </c>
      <c r="C2" t="s">
        <v>84</v>
      </c>
      <c r="D2" t="s">
        <v>86</v>
      </c>
      <c r="E2" t="s">
        <v>84</v>
      </c>
      <c r="F2" t="s">
        <v>86</v>
      </c>
      <c r="G2" t="s">
        <v>84</v>
      </c>
      <c r="H2" t="s">
        <v>86</v>
      </c>
      <c r="I2" t="s">
        <v>84</v>
      </c>
      <c r="J2" t="s">
        <v>86</v>
      </c>
      <c r="K2" t="s">
        <v>84</v>
      </c>
      <c r="L2" t="s">
        <v>86</v>
      </c>
    </row>
    <row r="3" spans="1:12" x14ac:dyDescent="0.25">
      <c r="A3" t="s">
        <v>105</v>
      </c>
      <c r="B3" t="s">
        <v>240</v>
      </c>
      <c r="C3">
        <v>91</v>
      </c>
      <c r="D3">
        <v>25</v>
      </c>
      <c r="E3">
        <v>154</v>
      </c>
      <c r="F3">
        <v>40</v>
      </c>
      <c r="G3">
        <v>4834</v>
      </c>
      <c r="H3">
        <v>2516</v>
      </c>
      <c r="I3">
        <v>894</v>
      </c>
      <c r="J3">
        <v>216</v>
      </c>
      <c r="K3">
        <v>5973</v>
      </c>
      <c r="L3">
        <v>2797</v>
      </c>
    </row>
    <row r="4" spans="1:12" x14ac:dyDescent="0.25">
      <c r="A4" t="s">
        <v>106</v>
      </c>
      <c r="B4" t="s">
        <v>241</v>
      </c>
      <c r="C4">
        <v>121</v>
      </c>
      <c r="D4">
        <v>31</v>
      </c>
      <c r="E4">
        <v>181</v>
      </c>
      <c r="F4">
        <v>47</v>
      </c>
      <c r="G4">
        <v>6851</v>
      </c>
      <c r="H4">
        <v>4128</v>
      </c>
      <c r="I4">
        <v>1686</v>
      </c>
      <c r="J4">
        <v>632</v>
      </c>
      <c r="K4">
        <v>8839</v>
      </c>
      <c r="L4">
        <v>4838</v>
      </c>
    </row>
    <row r="5" spans="1:12" x14ac:dyDescent="0.25">
      <c r="A5" t="s">
        <v>107</v>
      </c>
      <c r="B5" t="s">
        <v>242</v>
      </c>
      <c r="C5">
        <v>140</v>
      </c>
      <c r="D5">
        <v>54</v>
      </c>
      <c r="E5">
        <v>127</v>
      </c>
      <c r="F5">
        <v>39</v>
      </c>
      <c r="G5">
        <v>5779</v>
      </c>
      <c r="H5">
        <v>3352</v>
      </c>
      <c r="I5">
        <v>1743</v>
      </c>
      <c r="J5">
        <v>684</v>
      </c>
      <c r="K5">
        <v>7789</v>
      </c>
      <c r="L5">
        <v>4129</v>
      </c>
    </row>
    <row r="6" spans="1:12" x14ac:dyDescent="0.25">
      <c r="A6" t="s">
        <v>108</v>
      </c>
      <c r="B6" t="s">
        <v>243</v>
      </c>
      <c r="C6">
        <v>121</v>
      </c>
      <c r="D6">
        <v>34</v>
      </c>
      <c r="E6">
        <v>113</v>
      </c>
      <c r="F6">
        <v>31</v>
      </c>
      <c r="G6">
        <v>3567</v>
      </c>
      <c r="H6">
        <v>1727</v>
      </c>
      <c r="I6">
        <v>675</v>
      </c>
      <c r="J6">
        <v>175</v>
      </c>
      <c r="K6">
        <v>4476</v>
      </c>
      <c r="L6">
        <v>1967</v>
      </c>
    </row>
    <row r="7" spans="1:12" x14ac:dyDescent="0.25">
      <c r="A7" t="s">
        <v>109</v>
      </c>
      <c r="B7" t="s">
        <v>244</v>
      </c>
      <c r="C7">
        <v>96</v>
      </c>
      <c r="D7">
        <v>27</v>
      </c>
      <c r="E7">
        <v>109</v>
      </c>
      <c r="F7">
        <v>21</v>
      </c>
      <c r="G7">
        <v>4390</v>
      </c>
      <c r="H7">
        <v>1939</v>
      </c>
      <c r="I7">
        <v>793</v>
      </c>
      <c r="J7">
        <v>142</v>
      </c>
      <c r="K7">
        <v>5388</v>
      </c>
      <c r="L7">
        <v>2129</v>
      </c>
    </row>
    <row r="8" spans="1:12" x14ac:dyDescent="0.25">
      <c r="A8" t="s">
        <v>110</v>
      </c>
      <c r="B8" t="s">
        <v>245</v>
      </c>
      <c r="C8">
        <v>94</v>
      </c>
      <c r="D8">
        <v>22</v>
      </c>
      <c r="E8">
        <v>111</v>
      </c>
      <c r="F8">
        <v>25</v>
      </c>
      <c r="G8">
        <v>4398</v>
      </c>
      <c r="H8">
        <v>2444</v>
      </c>
      <c r="I8">
        <v>774</v>
      </c>
      <c r="J8">
        <v>192</v>
      </c>
      <c r="K8">
        <v>5377</v>
      </c>
      <c r="L8">
        <v>2683</v>
      </c>
    </row>
    <row r="9" spans="1:12" x14ac:dyDescent="0.25">
      <c r="A9" t="s">
        <v>111</v>
      </c>
      <c r="B9" t="s">
        <v>246</v>
      </c>
      <c r="C9">
        <v>105</v>
      </c>
      <c r="D9">
        <v>13</v>
      </c>
      <c r="E9">
        <v>122</v>
      </c>
      <c r="F9">
        <v>21</v>
      </c>
      <c r="G9">
        <v>4802</v>
      </c>
      <c r="H9">
        <v>2378</v>
      </c>
      <c r="I9">
        <v>944</v>
      </c>
      <c r="J9">
        <v>199</v>
      </c>
      <c r="K9">
        <v>5973</v>
      </c>
      <c r="L9">
        <v>2611</v>
      </c>
    </row>
    <row r="10" spans="1:12" x14ac:dyDescent="0.25">
      <c r="A10" t="s">
        <v>112</v>
      </c>
      <c r="B10" t="s">
        <v>247</v>
      </c>
      <c r="C10">
        <v>114</v>
      </c>
      <c r="D10">
        <v>40</v>
      </c>
      <c r="E10">
        <v>148</v>
      </c>
      <c r="F10">
        <v>43</v>
      </c>
      <c r="G10">
        <v>7298</v>
      </c>
      <c r="H10">
        <v>4050</v>
      </c>
      <c r="I10">
        <v>1461</v>
      </c>
      <c r="J10">
        <v>391</v>
      </c>
      <c r="K10">
        <v>9021</v>
      </c>
      <c r="L10">
        <v>4524</v>
      </c>
    </row>
    <row r="11" spans="1:12" x14ac:dyDescent="0.25">
      <c r="A11" t="s">
        <v>113</v>
      </c>
      <c r="B11" t="s">
        <v>248</v>
      </c>
      <c r="C11">
        <v>47</v>
      </c>
      <c r="D11">
        <v>13</v>
      </c>
      <c r="E11">
        <v>22</v>
      </c>
      <c r="F11">
        <v>6</v>
      </c>
      <c r="G11">
        <v>456</v>
      </c>
      <c r="H11">
        <v>239</v>
      </c>
      <c r="I11">
        <v>93</v>
      </c>
      <c r="J11">
        <v>20</v>
      </c>
      <c r="K11">
        <v>618</v>
      </c>
      <c r="L11">
        <v>278</v>
      </c>
    </row>
    <row r="12" spans="1:12" x14ac:dyDescent="0.25">
      <c r="A12" t="s">
        <v>114</v>
      </c>
      <c r="B12" t="s">
        <v>249</v>
      </c>
      <c r="C12">
        <v>64</v>
      </c>
      <c r="D12">
        <v>19</v>
      </c>
      <c r="E12">
        <v>69</v>
      </c>
      <c r="F12">
        <v>18</v>
      </c>
      <c r="G12">
        <v>1097</v>
      </c>
      <c r="H12">
        <v>503</v>
      </c>
      <c r="I12">
        <v>162</v>
      </c>
      <c r="J12">
        <v>41</v>
      </c>
      <c r="K12">
        <v>1392</v>
      </c>
      <c r="L12">
        <v>581</v>
      </c>
    </row>
    <row r="13" spans="1:12" x14ac:dyDescent="0.25">
      <c r="A13" t="s">
        <v>115</v>
      </c>
      <c r="B13" t="s">
        <v>250</v>
      </c>
      <c r="C13">
        <v>69</v>
      </c>
      <c r="D13">
        <v>22</v>
      </c>
      <c r="E13">
        <v>72</v>
      </c>
      <c r="F13">
        <v>19</v>
      </c>
      <c r="G13">
        <v>2577</v>
      </c>
      <c r="H13">
        <v>1623</v>
      </c>
      <c r="I13">
        <v>372</v>
      </c>
      <c r="J13">
        <v>132</v>
      </c>
      <c r="K13">
        <v>3090</v>
      </c>
      <c r="L13">
        <v>1796</v>
      </c>
    </row>
    <row r="14" spans="1:12" x14ac:dyDescent="0.25">
      <c r="A14" t="s">
        <v>116</v>
      </c>
      <c r="B14" t="s">
        <v>251</v>
      </c>
      <c r="C14">
        <v>5</v>
      </c>
      <c r="D14">
        <v>0</v>
      </c>
      <c r="E14">
        <v>21</v>
      </c>
      <c r="F14">
        <v>3</v>
      </c>
      <c r="G14">
        <v>839</v>
      </c>
      <c r="H14">
        <v>408</v>
      </c>
      <c r="I14">
        <v>53</v>
      </c>
      <c r="J14">
        <v>11</v>
      </c>
      <c r="K14">
        <v>918</v>
      </c>
      <c r="L14">
        <v>422</v>
      </c>
    </row>
    <row r="15" spans="1:12" x14ac:dyDescent="0.25">
      <c r="A15" t="s">
        <v>117</v>
      </c>
      <c r="B15" t="s">
        <v>252</v>
      </c>
      <c r="C15">
        <v>51</v>
      </c>
      <c r="D15">
        <v>12</v>
      </c>
      <c r="E15">
        <v>63</v>
      </c>
      <c r="F15">
        <v>11</v>
      </c>
      <c r="G15">
        <v>1561</v>
      </c>
      <c r="H15">
        <v>721</v>
      </c>
      <c r="I15">
        <v>318</v>
      </c>
      <c r="J15">
        <v>73</v>
      </c>
      <c r="K15">
        <v>1993</v>
      </c>
      <c r="L15">
        <v>817</v>
      </c>
    </row>
    <row r="16" spans="1:12" x14ac:dyDescent="0.25">
      <c r="A16" t="s">
        <v>118</v>
      </c>
      <c r="B16" t="s">
        <v>253</v>
      </c>
      <c r="C16">
        <v>47</v>
      </c>
      <c r="D16">
        <v>12</v>
      </c>
      <c r="E16">
        <v>19</v>
      </c>
      <c r="F16">
        <v>4</v>
      </c>
      <c r="G16">
        <v>636</v>
      </c>
      <c r="H16">
        <v>341</v>
      </c>
      <c r="I16">
        <v>81</v>
      </c>
      <c r="J16">
        <v>22</v>
      </c>
      <c r="K16">
        <v>783</v>
      </c>
      <c r="L16">
        <v>379</v>
      </c>
    </row>
    <row r="17" spans="1:12" x14ac:dyDescent="0.25">
      <c r="A17" t="s">
        <v>119</v>
      </c>
      <c r="B17" t="s">
        <v>254</v>
      </c>
      <c r="C17">
        <v>109</v>
      </c>
      <c r="D17">
        <v>32</v>
      </c>
      <c r="E17">
        <v>112</v>
      </c>
      <c r="F17">
        <v>42</v>
      </c>
      <c r="G17">
        <v>9445</v>
      </c>
      <c r="H17">
        <v>5506</v>
      </c>
      <c r="I17">
        <v>1133</v>
      </c>
      <c r="J17">
        <v>439</v>
      </c>
      <c r="K17">
        <v>10799</v>
      </c>
      <c r="L17">
        <v>6019</v>
      </c>
    </row>
    <row r="18" spans="1:12" x14ac:dyDescent="0.25">
      <c r="A18" t="s">
        <v>120</v>
      </c>
      <c r="B18" t="s">
        <v>255</v>
      </c>
      <c r="C18">
        <v>65</v>
      </c>
      <c r="D18">
        <v>20</v>
      </c>
      <c r="E18">
        <v>49</v>
      </c>
      <c r="F18">
        <v>16</v>
      </c>
      <c r="G18">
        <v>1570</v>
      </c>
      <c r="H18">
        <v>781</v>
      </c>
      <c r="I18">
        <v>232</v>
      </c>
      <c r="J18">
        <v>75</v>
      </c>
      <c r="K18">
        <v>1916</v>
      </c>
      <c r="L18">
        <v>892</v>
      </c>
    </row>
    <row r="19" spans="1:12" x14ac:dyDescent="0.25">
      <c r="A19" t="s">
        <v>121</v>
      </c>
      <c r="B19" t="s">
        <v>256</v>
      </c>
      <c r="C19">
        <v>64</v>
      </c>
      <c r="D19">
        <v>13</v>
      </c>
      <c r="E19">
        <v>88</v>
      </c>
      <c r="F19">
        <v>20</v>
      </c>
      <c r="G19">
        <v>2041</v>
      </c>
      <c r="H19">
        <v>1061</v>
      </c>
      <c r="I19">
        <v>321</v>
      </c>
      <c r="J19">
        <v>88</v>
      </c>
      <c r="K19">
        <v>2514</v>
      </c>
      <c r="L19">
        <v>1182</v>
      </c>
    </row>
    <row r="20" spans="1:12" x14ac:dyDescent="0.25">
      <c r="A20" t="s">
        <v>122</v>
      </c>
      <c r="B20" t="s">
        <v>257</v>
      </c>
      <c r="C20">
        <v>104</v>
      </c>
      <c r="D20">
        <v>39</v>
      </c>
      <c r="E20">
        <v>155</v>
      </c>
      <c r="F20">
        <v>46</v>
      </c>
      <c r="G20">
        <v>5648</v>
      </c>
      <c r="H20">
        <v>2699</v>
      </c>
      <c r="I20">
        <v>1863</v>
      </c>
      <c r="J20">
        <v>450</v>
      </c>
      <c r="K20">
        <v>7770</v>
      </c>
      <c r="L20">
        <v>3234</v>
      </c>
    </row>
    <row r="21" spans="1:12" x14ac:dyDescent="0.25">
      <c r="A21" t="s">
        <v>123</v>
      </c>
      <c r="B21" t="s">
        <v>258</v>
      </c>
      <c r="C21">
        <v>84</v>
      </c>
      <c r="D21">
        <v>19</v>
      </c>
      <c r="E21">
        <v>99</v>
      </c>
      <c r="F21">
        <v>26</v>
      </c>
      <c r="G21">
        <v>3138</v>
      </c>
      <c r="H21">
        <v>1540</v>
      </c>
      <c r="I21">
        <v>679</v>
      </c>
      <c r="J21">
        <v>191</v>
      </c>
      <c r="K21">
        <v>4000</v>
      </c>
      <c r="L21">
        <v>1776</v>
      </c>
    </row>
    <row r="22" spans="1:12" x14ac:dyDescent="0.25">
      <c r="A22" t="s">
        <v>124</v>
      </c>
      <c r="B22" t="s">
        <v>259</v>
      </c>
      <c r="C22">
        <v>50</v>
      </c>
      <c r="D22">
        <v>11</v>
      </c>
      <c r="E22">
        <v>52</v>
      </c>
      <c r="F22">
        <v>5</v>
      </c>
      <c r="G22">
        <v>1316</v>
      </c>
      <c r="H22">
        <v>624</v>
      </c>
      <c r="I22">
        <v>125</v>
      </c>
      <c r="J22">
        <v>33</v>
      </c>
      <c r="K22">
        <v>1543</v>
      </c>
      <c r="L22">
        <v>673</v>
      </c>
    </row>
    <row r="23" spans="1:12" x14ac:dyDescent="0.25">
      <c r="A23" t="s">
        <v>125</v>
      </c>
      <c r="B23" t="s">
        <v>260</v>
      </c>
      <c r="C23">
        <v>127</v>
      </c>
      <c r="D23">
        <v>33</v>
      </c>
      <c r="E23">
        <v>170</v>
      </c>
      <c r="F23">
        <v>49</v>
      </c>
      <c r="G23">
        <v>5769</v>
      </c>
      <c r="H23">
        <v>3579</v>
      </c>
      <c r="I23">
        <v>1809</v>
      </c>
      <c r="J23">
        <v>792</v>
      </c>
      <c r="K23">
        <v>7875</v>
      </c>
      <c r="L23">
        <v>4453</v>
      </c>
    </row>
    <row r="24" spans="1:12" x14ac:dyDescent="0.25">
      <c r="A24" t="s">
        <v>126</v>
      </c>
      <c r="B24" t="s">
        <v>261</v>
      </c>
      <c r="C24">
        <v>60</v>
      </c>
      <c r="D24">
        <v>17</v>
      </c>
      <c r="E24">
        <v>58</v>
      </c>
      <c r="F24">
        <v>19</v>
      </c>
      <c r="G24">
        <v>1321</v>
      </c>
      <c r="H24">
        <v>740</v>
      </c>
      <c r="I24">
        <v>146</v>
      </c>
      <c r="J24">
        <v>46</v>
      </c>
      <c r="K24">
        <v>1585</v>
      </c>
      <c r="L24">
        <v>822</v>
      </c>
    </row>
    <row r="25" spans="1:12" x14ac:dyDescent="0.25">
      <c r="A25" t="s">
        <v>127</v>
      </c>
      <c r="B25" t="s">
        <v>262</v>
      </c>
      <c r="C25">
        <v>115</v>
      </c>
      <c r="D25">
        <v>21</v>
      </c>
      <c r="E25">
        <v>123</v>
      </c>
      <c r="F25">
        <v>24</v>
      </c>
      <c r="G25">
        <v>3694</v>
      </c>
      <c r="H25">
        <v>1423</v>
      </c>
      <c r="I25">
        <v>933</v>
      </c>
      <c r="J25">
        <v>211</v>
      </c>
      <c r="K25">
        <v>4865</v>
      </c>
      <c r="L25">
        <v>1679</v>
      </c>
    </row>
    <row r="26" spans="1:12" x14ac:dyDescent="0.25">
      <c r="A26" t="s">
        <v>128</v>
      </c>
      <c r="B26" t="s">
        <v>263</v>
      </c>
      <c r="C26">
        <v>151</v>
      </c>
      <c r="D26">
        <v>45</v>
      </c>
      <c r="E26">
        <v>135</v>
      </c>
      <c r="F26">
        <v>25</v>
      </c>
      <c r="G26">
        <v>6473</v>
      </c>
      <c r="H26">
        <v>2652</v>
      </c>
      <c r="I26">
        <v>1724</v>
      </c>
      <c r="J26">
        <v>402</v>
      </c>
      <c r="K26">
        <v>8483</v>
      </c>
      <c r="L26">
        <v>3124</v>
      </c>
    </row>
    <row r="27" spans="1:12" x14ac:dyDescent="0.25">
      <c r="A27" t="s">
        <v>129</v>
      </c>
      <c r="B27" t="s">
        <v>264</v>
      </c>
      <c r="C27">
        <v>87</v>
      </c>
      <c r="D27">
        <v>28</v>
      </c>
      <c r="E27">
        <v>80</v>
      </c>
      <c r="F27">
        <v>16</v>
      </c>
      <c r="G27">
        <v>3725</v>
      </c>
      <c r="H27">
        <v>2068</v>
      </c>
      <c r="I27">
        <v>848</v>
      </c>
      <c r="J27">
        <v>246</v>
      </c>
      <c r="K27">
        <v>4740</v>
      </c>
      <c r="L27">
        <v>2358</v>
      </c>
    </row>
    <row r="28" spans="1:12" x14ac:dyDescent="0.25">
      <c r="A28" t="s">
        <v>87</v>
      </c>
      <c r="C28">
        <v>2181</v>
      </c>
      <c r="D28">
        <v>602</v>
      </c>
      <c r="E28">
        <v>2452</v>
      </c>
      <c r="F28">
        <v>616</v>
      </c>
      <c r="G28">
        <v>93225</v>
      </c>
      <c r="H28">
        <v>49042</v>
      </c>
      <c r="I28">
        <v>19862</v>
      </c>
      <c r="J28">
        <v>5903</v>
      </c>
      <c r="K28">
        <v>117720</v>
      </c>
      <c r="L28">
        <v>56163</v>
      </c>
    </row>
    <row r="29" spans="1:12" x14ac:dyDescent="0.25">
      <c r="A29" t="s">
        <v>265</v>
      </c>
      <c r="C29">
        <v>2181</v>
      </c>
      <c r="D29">
        <v>602</v>
      </c>
      <c r="E29">
        <v>480</v>
      </c>
      <c r="F29">
        <v>178</v>
      </c>
      <c r="G29">
        <v>22331</v>
      </c>
      <c r="H29">
        <v>12970</v>
      </c>
      <c r="I29">
        <v>3488</v>
      </c>
      <c r="J29">
        <v>1425</v>
      </c>
      <c r="K29">
        <v>28480</v>
      </c>
      <c r="L29">
        <v>15175</v>
      </c>
    </row>
    <row r="30" spans="1:12" x14ac:dyDescent="0.25">
      <c r="A30" t="s">
        <v>266</v>
      </c>
      <c r="C30">
        <v>0</v>
      </c>
      <c r="D30">
        <v>0</v>
      </c>
      <c r="E30">
        <v>1972</v>
      </c>
      <c r="F30">
        <v>438</v>
      </c>
      <c r="G30">
        <v>70894</v>
      </c>
      <c r="H30">
        <v>36072</v>
      </c>
      <c r="I30">
        <v>16374</v>
      </c>
      <c r="J30">
        <v>4478</v>
      </c>
      <c r="K30">
        <v>89240</v>
      </c>
      <c r="L30">
        <v>40988</v>
      </c>
    </row>
  </sheetData>
  <mergeCells count="6">
    <mergeCell ref="A1:A2"/>
    <mergeCell ref="C1:D1"/>
    <mergeCell ref="G1:H1"/>
    <mergeCell ref="E1:F1"/>
    <mergeCell ref="K1:L1"/>
    <mergeCell ref="I1:J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M30"/>
  <sheetViews>
    <sheetView workbookViewId="0"/>
  </sheetViews>
  <sheetFormatPr defaultRowHeight="15" x14ac:dyDescent="0.25"/>
  <cols>
    <col min="1" max="1" width="28.42578125" customWidth="1"/>
    <col min="2" max="2" width="12.42578125" customWidth="1"/>
    <col min="9" max="9" width="12.140625" customWidth="1"/>
    <col min="10" max="10" width="12.42578125" customWidth="1"/>
    <col min="12" max="12" width="14.42578125" customWidth="1"/>
    <col min="13" max="13" width="14.7109375" customWidth="1"/>
  </cols>
  <sheetData>
    <row r="1" spans="1:13" x14ac:dyDescent="0.25">
      <c r="A1" s="27" t="s">
        <v>104</v>
      </c>
      <c r="B1" s="27" t="s">
        <v>267</v>
      </c>
      <c r="C1" s="27"/>
      <c r="D1" s="27"/>
      <c r="E1" s="27"/>
      <c r="F1" s="27"/>
      <c r="G1" s="27"/>
      <c r="H1" s="27"/>
      <c r="I1" s="27"/>
      <c r="J1" s="27"/>
      <c r="K1" s="27"/>
      <c r="L1" t="s">
        <v>268</v>
      </c>
      <c r="M1" t="s">
        <v>269</v>
      </c>
    </row>
    <row r="2" spans="1:13" x14ac:dyDescent="0.25">
      <c r="A2" s="27"/>
      <c r="B2" t="s">
        <v>270</v>
      </c>
      <c r="C2" t="s">
        <v>271</v>
      </c>
      <c r="D2" t="s">
        <v>272</v>
      </c>
      <c r="E2" t="s">
        <v>273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280</v>
      </c>
    </row>
    <row r="3" spans="1:13" x14ac:dyDescent="0.25">
      <c r="A3" t="s">
        <v>105</v>
      </c>
      <c r="B3">
        <v>173</v>
      </c>
      <c r="C3">
        <v>231</v>
      </c>
      <c r="D3">
        <v>118</v>
      </c>
      <c r="E3">
        <v>50</v>
      </c>
      <c r="F3">
        <v>112</v>
      </c>
      <c r="G3">
        <v>26</v>
      </c>
      <c r="H3">
        <v>36</v>
      </c>
      <c r="I3">
        <v>72</v>
      </c>
      <c r="J3">
        <v>21</v>
      </c>
      <c r="K3">
        <v>837</v>
      </c>
      <c r="L3">
        <v>23</v>
      </c>
      <c r="M3">
        <v>0</v>
      </c>
    </row>
    <row r="4" spans="1:13" x14ac:dyDescent="0.25">
      <c r="A4" t="s">
        <v>106</v>
      </c>
      <c r="B4">
        <v>461</v>
      </c>
      <c r="C4">
        <v>384</v>
      </c>
      <c r="D4">
        <v>168</v>
      </c>
      <c r="E4">
        <v>75</v>
      </c>
      <c r="F4">
        <v>437</v>
      </c>
      <c r="G4">
        <v>32</v>
      </c>
      <c r="H4">
        <v>79</v>
      </c>
      <c r="I4">
        <v>152</v>
      </c>
      <c r="J4">
        <v>51</v>
      </c>
      <c r="K4">
        <v>1830</v>
      </c>
      <c r="L4">
        <v>15</v>
      </c>
      <c r="M4">
        <v>0</v>
      </c>
    </row>
    <row r="5" spans="1:13" x14ac:dyDescent="0.25">
      <c r="A5" t="s">
        <v>107</v>
      </c>
      <c r="B5">
        <v>329</v>
      </c>
      <c r="C5">
        <v>360</v>
      </c>
      <c r="D5">
        <v>139</v>
      </c>
      <c r="E5">
        <v>27</v>
      </c>
      <c r="F5">
        <v>185</v>
      </c>
      <c r="G5">
        <v>59</v>
      </c>
      <c r="H5">
        <v>80</v>
      </c>
      <c r="I5">
        <v>47</v>
      </c>
      <c r="J5">
        <v>32</v>
      </c>
      <c r="K5">
        <v>1250</v>
      </c>
      <c r="L5">
        <v>12</v>
      </c>
      <c r="M5">
        <v>0</v>
      </c>
    </row>
    <row r="6" spans="1:13" x14ac:dyDescent="0.25">
      <c r="A6" t="s">
        <v>108</v>
      </c>
      <c r="B6">
        <v>107</v>
      </c>
      <c r="C6">
        <v>140</v>
      </c>
      <c r="D6">
        <v>90</v>
      </c>
      <c r="E6">
        <v>22</v>
      </c>
      <c r="F6">
        <v>118</v>
      </c>
      <c r="G6">
        <v>10</v>
      </c>
      <c r="H6">
        <v>108</v>
      </c>
      <c r="I6">
        <v>84</v>
      </c>
      <c r="J6">
        <v>42</v>
      </c>
      <c r="K6">
        <v>719</v>
      </c>
      <c r="L6">
        <v>17</v>
      </c>
      <c r="M6">
        <v>0</v>
      </c>
    </row>
    <row r="7" spans="1:13" x14ac:dyDescent="0.25">
      <c r="A7" t="s">
        <v>109</v>
      </c>
      <c r="B7">
        <v>188</v>
      </c>
      <c r="C7">
        <v>227</v>
      </c>
      <c r="D7">
        <v>205</v>
      </c>
      <c r="E7">
        <v>70</v>
      </c>
      <c r="F7">
        <v>349</v>
      </c>
      <c r="G7">
        <v>18</v>
      </c>
      <c r="H7">
        <v>205</v>
      </c>
      <c r="I7">
        <v>87</v>
      </c>
      <c r="J7">
        <v>110</v>
      </c>
      <c r="K7">
        <v>1451</v>
      </c>
      <c r="L7">
        <v>32</v>
      </c>
      <c r="M7">
        <v>0</v>
      </c>
    </row>
    <row r="8" spans="1:13" x14ac:dyDescent="0.25">
      <c r="A8" t="s">
        <v>110</v>
      </c>
      <c r="B8">
        <v>127</v>
      </c>
      <c r="C8">
        <v>228</v>
      </c>
      <c r="D8">
        <v>96</v>
      </c>
      <c r="E8">
        <v>23</v>
      </c>
      <c r="F8">
        <v>108</v>
      </c>
      <c r="G8">
        <v>19</v>
      </c>
      <c r="H8">
        <v>46</v>
      </c>
      <c r="I8">
        <v>81</v>
      </c>
      <c r="J8">
        <v>22</v>
      </c>
      <c r="K8">
        <v>748</v>
      </c>
      <c r="L8">
        <v>37</v>
      </c>
      <c r="M8">
        <v>0</v>
      </c>
    </row>
    <row r="9" spans="1:13" x14ac:dyDescent="0.25">
      <c r="A9" t="s">
        <v>111</v>
      </c>
      <c r="B9">
        <v>221</v>
      </c>
      <c r="C9">
        <v>212</v>
      </c>
      <c r="D9">
        <v>182</v>
      </c>
      <c r="E9">
        <v>25</v>
      </c>
      <c r="F9">
        <v>130</v>
      </c>
      <c r="G9">
        <v>15</v>
      </c>
      <c r="H9">
        <v>58</v>
      </c>
      <c r="I9">
        <v>88</v>
      </c>
      <c r="J9">
        <v>106</v>
      </c>
      <c r="K9">
        <v>1035</v>
      </c>
      <c r="L9">
        <v>12</v>
      </c>
      <c r="M9">
        <v>0</v>
      </c>
    </row>
    <row r="10" spans="1:13" x14ac:dyDescent="0.25">
      <c r="A10" t="s">
        <v>112</v>
      </c>
      <c r="B10">
        <v>311</v>
      </c>
      <c r="C10">
        <v>396</v>
      </c>
      <c r="D10">
        <v>170</v>
      </c>
      <c r="E10">
        <v>50</v>
      </c>
      <c r="F10">
        <v>139</v>
      </c>
      <c r="G10">
        <v>69</v>
      </c>
      <c r="H10">
        <v>109</v>
      </c>
      <c r="I10">
        <v>117</v>
      </c>
      <c r="J10">
        <v>19</v>
      </c>
      <c r="K10">
        <v>1374</v>
      </c>
      <c r="L10">
        <v>34</v>
      </c>
      <c r="M10">
        <v>0</v>
      </c>
    </row>
    <row r="11" spans="1:13" x14ac:dyDescent="0.25">
      <c r="A11" t="s">
        <v>113</v>
      </c>
      <c r="B11">
        <v>22</v>
      </c>
      <c r="C11">
        <v>26</v>
      </c>
      <c r="D11">
        <v>15</v>
      </c>
      <c r="E11">
        <v>7</v>
      </c>
      <c r="F11">
        <v>9</v>
      </c>
      <c r="G11">
        <v>7</v>
      </c>
      <c r="H11">
        <v>6</v>
      </c>
      <c r="I11">
        <v>12</v>
      </c>
      <c r="J11">
        <v>3</v>
      </c>
      <c r="K11">
        <v>107</v>
      </c>
      <c r="L11">
        <v>0</v>
      </c>
      <c r="M11">
        <v>0</v>
      </c>
    </row>
    <row r="12" spans="1:13" x14ac:dyDescent="0.25">
      <c r="A12" t="s">
        <v>114</v>
      </c>
      <c r="B12">
        <v>63</v>
      </c>
      <c r="C12">
        <v>56</v>
      </c>
      <c r="D12">
        <v>29</v>
      </c>
      <c r="E12">
        <v>14</v>
      </c>
      <c r="F12">
        <v>59</v>
      </c>
      <c r="G12">
        <v>8</v>
      </c>
      <c r="H12">
        <v>20</v>
      </c>
      <c r="I12">
        <v>31</v>
      </c>
      <c r="J12">
        <v>13</v>
      </c>
      <c r="K12">
        <v>292</v>
      </c>
      <c r="L12">
        <v>2</v>
      </c>
      <c r="M12">
        <v>0</v>
      </c>
    </row>
    <row r="13" spans="1:13" x14ac:dyDescent="0.25">
      <c r="A13" t="s">
        <v>115</v>
      </c>
      <c r="B13">
        <v>82</v>
      </c>
      <c r="C13">
        <v>83</v>
      </c>
      <c r="D13">
        <v>63</v>
      </c>
      <c r="E13">
        <v>24</v>
      </c>
      <c r="F13">
        <v>138</v>
      </c>
      <c r="G13">
        <v>9</v>
      </c>
      <c r="H13">
        <v>42</v>
      </c>
      <c r="I13">
        <v>45</v>
      </c>
      <c r="J13">
        <v>27</v>
      </c>
      <c r="K13">
        <v>510</v>
      </c>
      <c r="L13">
        <v>0</v>
      </c>
      <c r="M13">
        <v>0</v>
      </c>
    </row>
    <row r="14" spans="1:13" x14ac:dyDescent="0.25">
      <c r="A14" t="s">
        <v>116</v>
      </c>
      <c r="B14">
        <v>14</v>
      </c>
      <c r="C14">
        <v>11</v>
      </c>
      <c r="D14">
        <v>23</v>
      </c>
      <c r="E14">
        <v>9</v>
      </c>
      <c r="F14">
        <v>35</v>
      </c>
      <c r="G14">
        <v>5</v>
      </c>
      <c r="H14">
        <v>14</v>
      </c>
      <c r="I14">
        <v>5</v>
      </c>
      <c r="J14">
        <v>2</v>
      </c>
      <c r="K14">
        <v>118</v>
      </c>
      <c r="L14">
        <v>0</v>
      </c>
      <c r="M14">
        <v>0</v>
      </c>
    </row>
    <row r="15" spans="1:13" x14ac:dyDescent="0.25">
      <c r="A15" t="s">
        <v>117</v>
      </c>
      <c r="B15">
        <v>109</v>
      </c>
      <c r="C15">
        <v>56</v>
      </c>
      <c r="D15">
        <v>40</v>
      </c>
      <c r="E15">
        <v>9</v>
      </c>
      <c r="F15">
        <v>63</v>
      </c>
      <c r="G15">
        <v>2</v>
      </c>
      <c r="H15">
        <v>16</v>
      </c>
      <c r="I15">
        <v>17</v>
      </c>
      <c r="J15">
        <v>12</v>
      </c>
      <c r="K15">
        <v>321</v>
      </c>
      <c r="L15">
        <v>9</v>
      </c>
      <c r="M15">
        <v>0</v>
      </c>
    </row>
    <row r="16" spans="1:13" x14ac:dyDescent="0.25">
      <c r="A16" t="s">
        <v>118</v>
      </c>
      <c r="B16">
        <v>17</v>
      </c>
      <c r="C16">
        <v>20</v>
      </c>
      <c r="D16">
        <v>18</v>
      </c>
      <c r="E16">
        <v>4</v>
      </c>
      <c r="F16">
        <v>13</v>
      </c>
      <c r="G16">
        <v>5</v>
      </c>
      <c r="H16">
        <v>7</v>
      </c>
      <c r="I16">
        <v>5</v>
      </c>
      <c r="J16">
        <v>3</v>
      </c>
      <c r="K16">
        <v>92</v>
      </c>
      <c r="L16">
        <v>1</v>
      </c>
      <c r="M16">
        <v>0</v>
      </c>
    </row>
    <row r="17" spans="1:13" x14ac:dyDescent="0.25">
      <c r="A17" t="s">
        <v>119</v>
      </c>
      <c r="B17">
        <v>178</v>
      </c>
      <c r="C17">
        <v>208</v>
      </c>
      <c r="D17">
        <v>267</v>
      </c>
      <c r="E17">
        <v>73</v>
      </c>
      <c r="F17">
        <v>143</v>
      </c>
      <c r="G17">
        <v>94</v>
      </c>
      <c r="H17">
        <v>135</v>
      </c>
      <c r="I17">
        <v>272</v>
      </c>
      <c r="J17">
        <v>38</v>
      </c>
      <c r="K17">
        <v>1380</v>
      </c>
      <c r="L17">
        <v>61</v>
      </c>
      <c r="M17">
        <v>2</v>
      </c>
    </row>
    <row r="18" spans="1:13" x14ac:dyDescent="0.25">
      <c r="A18" t="s">
        <v>120</v>
      </c>
      <c r="B18">
        <v>21</v>
      </c>
      <c r="C18">
        <v>21</v>
      </c>
      <c r="D18">
        <v>8</v>
      </c>
      <c r="E18">
        <v>3</v>
      </c>
      <c r="F18">
        <v>11</v>
      </c>
      <c r="G18">
        <v>0</v>
      </c>
      <c r="H18">
        <v>5</v>
      </c>
      <c r="I18">
        <v>3</v>
      </c>
      <c r="J18">
        <v>6</v>
      </c>
      <c r="K18">
        <v>77</v>
      </c>
      <c r="L18">
        <v>0</v>
      </c>
      <c r="M18">
        <v>0</v>
      </c>
    </row>
    <row r="19" spans="1:13" x14ac:dyDescent="0.25">
      <c r="A19" t="s">
        <v>121</v>
      </c>
      <c r="B19">
        <v>111</v>
      </c>
      <c r="C19">
        <v>55</v>
      </c>
      <c r="D19">
        <v>51</v>
      </c>
      <c r="E19">
        <v>24</v>
      </c>
      <c r="F19">
        <v>171</v>
      </c>
      <c r="G19">
        <v>9</v>
      </c>
      <c r="H19">
        <v>20</v>
      </c>
      <c r="I19">
        <v>25</v>
      </c>
      <c r="J19">
        <v>29</v>
      </c>
      <c r="K19">
        <v>494</v>
      </c>
      <c r="L19">
        <v>17</v>
      </c>
      <c r="M19">
        <v>0</v>
      </c>
    </row>
    <row r="20" spans="1:13" x14ac:dyDescent="0.25">
      <c r="A20" t="s">
        <v>122</v>
      </c>
      <c r="B20">
        <v>503</v>
      </c>
      <c r="C20">
        <v>352</v>
      </c>
      <c r="D20">
        <v>202</v>
      </c>
      <c r="E20">
        <v>77</v>
      </c>
      <c r="F20">
        <v>316</v>
      </c>
      <c r="G20">
        <v>44</v>
      </c>
      <c r="H20">
        <v>119</v>
      </c>
      <c r="I20">
        <v>141</v>
      </c>
      <c r="J20">
        <v>97</v>
      </c>
      <c r="K20">
        <v>1835</v>
      </c>
      <c r="L20">
        <v>33</v>
      </c>
      <c r="M20">
        <v>17</v>
      </c>
    </row>
    <row r="21" spans="1:13" x14ac:dyDescent="0.25">
      <c r="A21" t="s">
        <v>123</v>
      </c>
      <c r="B21">
        <v>107</v>
      </c>
      <c r="C21">
        <v>108</v>
      </c>
      <c r="D21">
        <v>95</v>
      </c>
      <c r="E21">
        <v>31</v>
      </c>
      <c r="F21">
        <v>197</v>
      </c>
      <c r="G21">
        <v>7</v>
      </c>
      <c r="H21">
        <v>75</v>
      </c>
      <c r="I21">
        <v>52</v>
      </c>
      <c r="J21">
        <v>34</v>
      </c>
      <c r="K21">
        <v>688</v>
      </c>
      <c r="L21">
        <v>24</v>
      </c>
      <c r="M21">
        <v>2</v>
      </c>
    </row>
    <row r="22" spans="1:13" x14ac:dyDescent="0.25">
      <c r="A22" t="s">
        <v>124</v>
      </c>
      <c r="B22">
        <v>36</v>
      </c>
      <c r="C22">
        <v>38</v>
      </c>
      <c r="D22">
        <v>25</v>
      </c>
      <c r="E22">
        <v>21</v>
      </c>
      <c r="F22">
        <v>39</v>
      </c>
      <c r="G22">
        <v>5</v>
      </c>
      <c r="H22">
        <v>18</v>
      </c>
      <c r="I22">
        <v>27</v>
      </c>
      <c r="J22">
        <v>5</v>
      </c>
      <c r="K22">
        <v>211</v>
      </c>
      <c r="L22">
        <v>12</v>
      </c>
      <c r="M22">
        <v>0</v>
      </c>
    </row>
    <row r="23" spans="1:13" x14ac:dyDescent="0.25">
      <c r="A23" t="s">
        <v>125</v>
      </c>
      <c r="B23">
        <v>284</v>
      </c>
      <c r="C23">
        <v>382</v>
      </c>
      <c r="D23">
        <v>115</v>
      </c>
      <c r="E23">
        <v>41</v>
      </c>
      <c r="F23">
        <v>156</v>
      </c>
      <c r="G23">
        <v>12</v>
      </c>
      <c r="H23">
        <v>82</v>
      </c>
      <c r="I23">
        <v>109</v>
      </c>
      <c r="J23">
        <v>39</v>
      </c>
      <c r="K23">
        <v>1208</v>
      </c>
      <c r="L23">
        <v>102</v>
      </c>
      <c r="M23">
        <v>0</v>
      </c>
    </row>
    <row r="24" spans="1:13" x14ac:dyDescent="0.25">
      <c r="A24" t="s">
        <v>126</v>
      </c>
      <c r="B24">
        <v>71</v>
      </c>
      <c r="C24">
        <v>38</v>
      </c>
      <c r="D24">
        <v>38</v>
      </c>
      <c r="E24">
        <v>7</v>
      </c>
      <c r="F24">
        <v>54</v>
      </c>
      <c r="G24">
        <v>12</v>
      </c>
      <c r="H24">
        <v>21</v>
      </c>
      <c r="I24">
        <v>33</v>
      </c>
      <c r="J24">
        <v>26</v>
      </c>
      <c r="K24">
        <v>300</v>
      </c>
      <c r="L24">
        <v>4</v>
      </c>
      <c r="M24">
        <v>0</v>
      </c>
    </row>
    <row r="25" spans="1:13" x14ac:dyDescent="0.25">
      <c r="A25" t="s">
        <v>127</v>
      </c>
      <c r="B25">
        <v>180</v>
      </c>
      <c r="C25">
        <v>198</v>
      </c>
      <c r="D25">
        <v>92</v>
      </c>
      <c r="E25">
        <v>69</v>
      </c>
      <c r="F25">
        <v>185</v>
      </c>
      <c r="G25">
        <v>23</v>
      </c>
      <c r="H25">
        <v>72</v>
      </c>
      <c r="I25">
        <v>86</v>
      </c>
      <c r="J25">
        <v>48</v>
      </c>
      <c r="K25">
        <v>949</v>
      </c>
      <c r="L25">
        <v>20</v>
      </c>
      <c r="M25">
        <v>0</v>
      </c>
    </row>
    <row r="26" spans="1:13" x14ac:dyDescent="0.25">
      <c r="A26" t="s">
        <v>128</v>
      </c>
      <c r="B26">
        <v>323</v>
      </c>
      <c r="C26">
        <v>348</v>
      </c>
      <c r="D26">
        <v>272</v>
      </c>
      <c r="E26">
        <v>47</v>
      </c>
      <c r="F26">
        <v>203</v>
      </c>
      <c r="G26">
        <v>65</v>
      </c>
      <c r="H26">
        <v>99</v>
      </c>
      <c r="I26">
        <v>164</v>
      </c>
      <c r="J26">
        <v>90</v>
      </c>
      <c r="K26">
        <v>1605</v>
      </c>
      <c r="L26">
        <v>52</v>
      </c>
      <c r="M26">
        <v>0</v>
      </c>
    </row>
    <row r="27" spans="1:13" x14ac:dyDescent="0.25">
      <c r="A27" t="s">
        <v>129</v>
      </c>
      <c r="B27">
        <v>212</v>
      </c>
      <c r="C27">
        <v>186</v>
      </c>
      <c r="D27">
        <v>91</v>
      </c>
      <c r="E27">
        <v>34</v>
      </c>
      <c r="F27">
        <v>196</v>
      </c>
      <c r="G27">
        <v>17</v>
      </c>
      <c r="H27">
        <v>63</v>
      </c>
      <c r="I27">
        <v>52</v>
      </c>
      <c r="J27">
        <v>36</v>
      </c>
      <c r="K27">
        <v>881</v>
      </c>
      <c r="L27">
        <v>9</v>
      </c>
      <c r="M27">
        <v>1</v>
      </c>
    </row>
    <row r="28" spans="1:13" x14ac:dyDescent="0.25">
      <c r="A28" t="s">
        <v>87</v>
      </c>
      <c r="B28">
        <v>4250</v>
      </c>
      <c r="C28">
        <v>4364</v>
      </c>
      <c r="D28">
        <v>2612</v>
      </c>
      <c r="E28">
        <v>836</v>
      </c>
      <c r="F28">
        <v>3566</v>
      </c>
      <c r="G28">
        <v>572</v>
      </c>
      <c r="H28">
        <v>1535</v>
      </c>
      <c r="I28">
        <v>1807</v>
      </c>
      <c r="J28">
        <v>911</v>
      </c>
      <c r="K28">
        <v>20312</v>
      </c>
      <c r="L28">
        <v>528</v>
      </c>
      <c r="M28">
        <v>22</v>
      </c>
    </row>
    <row r="29" spans="1:13" x14ac:dyDescent="0.25">
      <c r="A29" t="s">
        <v>130</v>
      </c>
      <c r="B29">
        <v>612</v>
      </c>
      <c r="C29">
        <v>745</v>
      </c>
      <c r="D29">
        <v>575</v>
      </c>
      <c r="E29">
        <v>206</v>
      </c>
      <c r="F29">
        <v>459</v>
      </c>
      <c r="G29">
        <v>216</v>
      </c>
      <c r="H29">
        <v>364</v>
      </c>
      <c r="I29">
        <v>496</v>
      </c>
      <c r="J29">
        <v>171</v>
      </c>
      <c r="K29">
        <v>3785</v>
      </c>
      <c r="L29">
        <v>76</v>
      </c>
      <c r="M29">
        <v>2</v>
      </c>
    </row>
    <row r="30" spans="1:13" x14ac:dyDescent="0.25">
      <c r="A30" t="s">
        <v>131</v>
      </c>
      <c r="B30">
        <v>3638</v>
      </c>
      <c r="C30">
        <v>3619</v>
      </c>
      <c r="D30">
        <v>2037</v>
      </c>
      <c r="E30">
        <v>630</v>
      </c>
      <c r="F30">
        <v>3107</v>
      </c>
      <c r="G30">
        <v>356</v>
      </c>
      <c r="H30">
        <v>1171</v>
      </c>
      <c r="I30">
        <v>1311</v>
      </c>
      <c r="J30">
        <v>740</v>
      </c>
      <c r="K30">
        <v>16527</v>
      </c>
      <c r="L30">
        <v>452</v>
      </c>
      <c r="M30">
        <v>20</v>
      </c>
    </row>
  </sheetData>
  <mergeCells count="2">
    <mergeCell ref="B1:K1"/>
    <mergeCell ref="A1:A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000"/>
  </sheetPr>
  <dimension ref="A1:S30"/>
  <sheetViews>
    <sheetView workbookViewId="0"/>
  </sheetViews>
  <sheetFormatPr defaultRowHeight="15" x14ac:dyDescent="0.25"/>
  <cols>
    <col min="1" max="1" width="24.42578125" customWidth="1"/>
    <col min="2" max="2" width="8.7109375" customWidth="1"/>
    <col min="4" max="4" width="8.42578125" customWidth="1"/>
    <col min="5" max="5" width="8.7109375" customWidth="1"/>
    <col min="9" max="9" width="8.42578125" customWidth="1"/>
    <col min="10" max="10" width="8.7109375" customWidth="1"/>
    <col min="15" max="15" width="8.42578125" customWidth="1"/>
    <col min="16" max="16" width="8.7109375" customWidth="1"/>
    <col min="19" max="19" width="8.42578125" customWidth="1"/>
  </cols>
  <sheetData>
    <row r="1" spans="1:19" x14ac:dyDescent="0.25">
      <c r="A1" s="27" t="s">
        <v>104</v>
      </c>
      <c r="B1" s="27" t="s">
        <v>281</v>
      </c>
      <c r="C1" s="27"/>
      <c r="D1" s="27"/>
      <c r="E1" s="27"/>
      <c r="F1" s="27"/>
      <c r="G1" s="27"/>
      <c r="H1" s="27" t="s">
        <v>282</v>
      </c>
      <c r="I1" s="27"/>
      <c r="J1" s="27"/>
      <c r="K1" s="27"/>
      <c r="L1" s="27"/>
      <c r="M1" s="27"/>
      <c r="N1" s="27" t="s">
        <v>283</v>
      </c>
      <c r="O1" s="27"/>
      <c r="P1" s="27"/>
      <c r="Q1" s="27"/>
      <c r="R1" s="27"/>
      <c r="S1" s="27"/>
    </row>
    <row r="2" spans="1:19" x14ac:dyDescent="0.25">
      <c r="A2" s="27"/>
      <c r="B2" t="s">
        <v>161</v>
      </c>
      <c r="C2" t="s">
        <v>284</v>
      </c>
      <c r="D2" t="s">
        <v>285</v>
      </c>
      <c r="E2" t="s">
        <v>286</v>
      </c>
      <c r="F2" t="s">
        <v>287</v>
      </c>
      <c r="G2" t="s">
        <v>288</v>
      </c>
      <c r="H2" t="s">
        <v>161</v>
      </c>
      <c r="I2" t="s">
        <v>284</v>
      </c>
      <c r="J2" t="s">
        <v>285</v>
      </c>
      <c r="K2" t="s">
        <v>286</v>
      </c>
      <c r="L2" t="s">
        <v>289</v>
      </c>
      <c r="M2" t="s">
        <v>288</v>
      </c>
      <c r="N2" t="s">
        <v>161</v>
      </c>
      <c r="O2" t="s">
        <v>284</v>
      </c>
      <c r="P2" t="s">
        <v>285</v>
      </c>
      <c r="Q2" t="s">
        <v>286</v>
      </c>
      <c r="R2" t="s">
        <v>289</v>
      </c>
      <c r="S2" t="s">
        <v>288</v>
      </c>
    </row>
    <row r="3" spans="1:19" x14ac:dyDescent="0.25">
      <c r="A3" t="s">
        <v>105</v>
      </c>
      <c r="B3">
        <v>74</v>
      </c>
      <c r="C3">
        <v>769</v>
      </c>
      <c r="D3">
        <v>2722</v>
      </c>
      <c r="E3">
        <v>1192</v>
      </c>
      <c r="F3">
        <v>77</v>
      </c>
      <c r="G3">
        <v>0</v>
      </c>
      <c r="H3">
        <v>20</v>
      </c>
      <c r="I3">
        <v>175</v>
      </c>
      <c r="J3">
        <v>434</v>
      </c>
      <c r="K3">
        <v>230</v>
      </c>
      <c r="L3">
        <v>35</v>
      </c>
      <c r="M3">
        <v>0</v>
      </c>
      <c r="N3">
        <v>1</v>
      </c>
      <c r="O3">
        <v>5</v>
      </c>
      <c r="P3">
        <v>12</v>
      </c>
      <c r="Q3">
        <v>27</v>
      </c>
      <c r="R3">
        <v>0</v>
      </c>
      <c r="S3">
        <v>0</v>
      </c>
    </row>
    <row r="4" spans="1:19" x14ac:dyDescent="0.25">
      <c r="A4" t="s">
        <v>106</v>
      </c>
      <c r="B4">
        <v>147</v>
      </c>
      <c r="C4">
        <v>1038</v>
      </c>
      <c r="D4">
        <v>2980</v>
      </c>
      <c r="E4">
        <v>2524</v>
      </c>
      <c r="F4">
        <v>159</v>
      </c>
      <c r="G4">
        <v>1</v>
      </c>
      <c r="H4">
        <v>56</v>
      </c>
      <c r="I4">
        <v>283</v>
      </c>
      <c r="J4">
        <v>603</v>
      </c>
      <c r="K4">
        <v>647</v>
      </c>
      <c r="L4">
        <v>95</v>
      </c>
      <c r="M4">
        <v>2</v>
      </c>
      <c r="N4">
        <v>13</v>
      </c>
      <c r="O4">
        <v>22</v>
      </c>
      <c r="P4">
        <v>46</v>
      </c>
      <c r="Q4">
        <v>47</v>
      </c>
      <c r="R4">
        <v>2</v>
      </c>
      <c r="S4">
        <v>0</v>
      </c>
    </row>
    <row r="5" spans="1:19" x14ac:dyDescent="0.25">
      <c r="A5" t="s">
        <v>107</v>
      </c>
      <c r="B5">
        <v>215</v>
      </c>
      <c r="C5">
        <v>1491</v>
      </c>
      <c r="D5">
        <v>2716</v>
      </c>
      <c r="E5">
        <v>1291</v>
      </c>
      <c r="F5">
        <v>63</v>
      </c>
      <c r="G5">
        <v>3</v>
      </c>
      <c r="H5">
        <v>66</v>
      </c>
      <c r="I5">
        <v>530</v>
      </c>
      <c r="J5">
        <v>813</v>
      </c>
      <c r="K5">
        <v>286</v>
      </c>
      <c r="L5">
        <v>48</v>
      </c>
      <c r="M5">
        <v>0</v>
      </c>
      <c r="N5">
        <v>7</v>
      </c>
      <c r="O5">
        <v>38</v>
      </c>
      <c r="P5">
        <v>47</v>
      </c>
      <c r="Q5">
        <v>63</v>
      </c>
      <c r="R5">
        <v>3</v>
      </c>
      <c r="S5">
        <v>3</v>
      </c>
    </row>
    <row r="6" spans="1:19" x14ac:dyDescent="0.25">
      <c r="A6" t="s">
        <v>108</v>
      </c>
      <c r="B6">
        <v>38</v>
      </c>
      <c r="C6">
        <v>624</v>
      </c>
      <c r="D6">
        <v>1764</v>
      </c>
      <c r="E6">
        <v>1090</v>
      </c>
      <c r="F6">
        <v>51</v>
      </c>
      <c r="G6">
        <v>0</v>
      </c>
      <c r="H6">
        <v>14</v>
      </c>
      <c r="I6">
        <v>150</v>
      </c>
      <c r="J6">
        <v>305</v>
      </c>
      <c r="K6">
        <v>181</v>
      </c>
      <c r="L6">
        <v>25</v>
      </c>
      <c r="M6">
        <v>0</v>
      </c>
      <c r="N6">
        <v>0</v>
      </c>
      <c r="O6">
        <v>3</v>
      </c>
      <c r="P6">
        <v>6</v>
      </c>
      <c r="Q6">
        <v>4</v>
      </c>
      <c r="R6">
        <v>0</v>
      </c>
      <c r="S6">
        <v>0</v>
      </c>
    </row>
    <row r="7" spans="1:19" x14ac:dyDescent="0.25">
      <c r="A7" t="s">
        <v>109</v>
      </c>
      <c r="B7">
        <v>154</v>
      </c>
      <c r="C7">
        <v>906</v>
      </c>
      <c r="D7">
        <v>1931</v>
      </c>
      <c r="E7">
        <v>1318</v>
      </c>
      <c r="F7">
        <v>79</v>
      </c>
      <c r="G7">
        <v>2</v>
      </c>
      <c r="H7">
        <v>42</v>
      </c>
      <c r="I7">
        <v>190</v>
      </c>
      <c r="J7">
        <v>265</v>
      </c>
      <c r="K7">
        <v>257</v>
      </c>
      <c r="L7">
        <v>39</v>
      </c>
      <c r="M7">
        <v>0</v>
      </c>
      <c r="N7">
        <v>1</v>
      </c>
      <c r="O7">
        <v>9</v>
      </c>
      <c r="P7">
        <v>7</v>
      </c>
      <c r="Q7">
        <v>8</v>
      </c>
      <c r="R7">
        <v>0</v>
      </c>
      <c r="S7">
        <v>0</v>
      </c>
    </row>
    <row r="8" spans="1:19" x14ac:dyDescent="0.25">
      <c r="A8" t="s">
        <v>110</v>
      </c>
      <c r="B8">
        <v>158</v>
      </c>
      <c r="C8">
        <v>721</v>
      </c>
      <c r="D8">
        <v>2165</v>
      </c>
      <c r="E8">
        <v>1277</v>
      </c>
      <c r="F8">
        <v>75</v>
      </c>
      <c r="G8">
        <v>2</v>
      </c>
      <c r="H8">
        <v>25</v>
      </c>
      <c r="I8">
        <v>143</v>
      </c>
      <c r="J8">
        <v>290</v>
      </c>
      <c r="K8">
        <v>287</v>
      </c>
      <c r="L8">
        <v>29</v>
      </c>
      <c r="M8">
        <v>0</v>
      </c>
      <c r="N8">
        <v>0</v>
      </c>
      <c r="O8">
        <v>0</v>
      </c>
      <c r="P8">
        <v>19</v>
      </c>
      <c r="Q8">
        <v>1</v>
      </c>
      <c r="R8">
        <v>4</v>
      </c>
      <c r="S8">
        <v>0</v>
      </c>
    </row>
    <row r="9" spans="1:19" x14ac:dyDescent="0.25">
      <c r="A9" t="s">
        <v>111</v>
      </c>
      <c r="B9">
        <v>65</v>
      </c>
      <c r="C9">
        <v>872</v>
      </c>
      <c r="D9">
        <v>2517</v>
      </c>
      <c r="E9">
        <v>1286</v>
      </c>
      <c r="F9">
        <v>62</v>
      </c>
      <c r="G9">
        <v>0</v>
      </c>
      <c r="H9">
        <v>12</v>
      </c>
      <c r="I9">
        <v>172</v>
      </c>
      <c r="J9">
        <v>430</v>
      </c>
      <c r="K9">
        <v>291</v>
      </c>
      <c r="L9">
        <v>39</v>
      </c>
      <c r="M9">
        <v>0</v>
      </c>
      <c r="N9">
        <v>1</v>
      </c>
      <c r="O9">
        <v>7</v>
      </c>
      <c r="P9">
        <v>12</v>
      </c>
      <c r="Q9">
        <v>15</v>
      </c>
      <c r="R9">
        <v>0</v>
      </c>
      <c r="S9">
        <v>0</v>
      </c>
    </row>
    <row r="10" spans="1:19" x14ac:dyDescent="0.25">
      <c r="A10" t="s">
        <v>112</v>
      </c>
      <c r="B10">
        <v>277</v>
      </c>
      <c r="C10">
        <v>1554</v>
      </c>
      <c r="D10">
        <v>2988</v>
      </c>
      <c r="E10">
        <v>2337</v>
      </c>
      <c r="F10">
        <v>141</v>
      </c>
      <c r="G10">
        <v>1</v>
      </c>
      <c r="H10">
        <v>57</v>
      </c>
      <c r="I10">
        <v>358</v>
      </c>
      <c r="J10">
        <v>544</v>
      </c>
      <c r="K10">
        <v>415</v>
      </c>
      <c r="L10">
        <v>87</v>
      </c>
      <c r="M10">
        <v>0</v>
      </c>
      <c r="N10">
        <v>2</v>
      </c>
      <c r="O10">
        <v>6</v>
      </c>
      <c r="P10">
        <v>13</v>
      </c>
      <c r="Q10">
        <v>28</v>
      </c>
      <c r="R10">
        <v>2</v>
      </c>
      <c r="S10">
        <v>0</v>
      </c>
    </row>
    <row r="11" spans="1:19" x14ac:dyDescent="0.25">
      <c r="A11" t="s">
        <v>113</v>
      </c>
      <c r="B11">
        <v>1</v>
      </c>
      <c r="C11">
        <v>62</v>
      </c>
      <c r="D11">
        <v>230</v>
      </c>
      <c r="E11">
        <v>157</v>
      </c>
      <c r="F11">
        <v>6</v>
      </c>
      <c r="G11">
        <v>0</v>
      </c>
      <c r="H11">
        <v>0</v>
      </c>
      <c r="I11">
        <v>8</v>
      </c>
      <c r="J11">
        <v>44</v>
      </c>
      <c r="K11">
        <v>37</v>
      </c>
      <c r="L11">
        <v>4</v>
      </c>
      <c r="M11">
        <v>0</v>
      </c>
      <c r="N11">
        <v>0</v>
      </c>
      <c r="O11">
        <v>0</v>
      </c>
      <c r="P11">
        <v>0</v>
      </c>
      <c r="Q11">
        <v>6</v>
      </c>
      <c r="R11">
        <v>0</v>
      </c>
      <c r="S11">
        <v>0</v>
      </c>
    </row>
    <row r="12" spans="1:19" x14ac:dyDescent="0.25">
      <c r="A12" t="s">
        <v>114</v>
      </c>
      <c r="B12">
        <v>17</v>
      </c>
      <c r="C12">
        <v>185</v>
      </c>
      <c r="D12">
        <v>734</v>
      </c>
      <c r="E12">
        <v>159</v>
      </c>
      <c r="F12">
        <v>2</v>
      </c>
      <c r="G12">
        <v>0</v>
      </c>
      <c r="H12">
        <v>3</v>
      </c>
      <c r="I12">
        <v>45</v>
      </c>
      <c r="J12">
        <v>79</v>
      </c>
      <c r="K12">
        <v>32</v>
      </c>
      <c r="L12">
        <v>3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115</v>
      </c>
      <c r="B13">
        <v>48</v>
      </c>
      <c r="C13">
        <v>676</v>
      </c>
      <c r="D13">
        <v>1596</v>
      </c>
      <c r="E13">
        <v>248</v>
      </c>
      <c r="F13">
        <v>8</v>
      </c>
      <c r="G13">
        <v>0</v>
      </c>
      <c r="H13">
        <v>7</v>
      </c>
      <c r="I13">
        <v>134</v>
      </c>
      <c r="J13">
        <v>190</v>
      </c>
      <c r="K13">
        <v>30</v>
      </c>
      <c r="L13">
        <v>9</v>
      </c>
      <c r="M13">
        <v>0</v>
      </c>
      <c r="N13">
        <v>0</v>
      </c>
      <c r="O13">
        <v>2</v>
      </c>
      <c r="P13">
        <v>23</v>
      </c>
      <c r="Q13">
        <v>12</v>
      </c>
      <c r="R13">
        <v>0</v>
      </c>
      <c r="S13">
        <v>0</v>
      </c>
    </row>
    <row r="14" spans="1:19" x14ac:dyDescent="0.25">
      <c r="A14" t="s">
        <v>116</v>
      </c>
      <c r="B14">
        <v>32</v>
      </c>
      <c r="C14">
        <v>251</v>
      </c>
      <c r="D14">
        <v>484</v>
      </c>
      <c r="E14">
        <v>72</v>
      </c>
      <c r="F14">
        <v>0</v>
      </c>
      <c r="G14">
        <v>0</v>
      </c>
      <c r="H14">
        <v>8</v>
      </c>
      <c r="I14">
        <v>14</v>
      </c>
      <c r="J14">
        <v>21</v>
      </c>
      <c r="K14">
        <v>9</v>
      </c>
      <c r="L14">
        <v>1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</row>
    <row r="15" spans="1:19" x14ac:dyDescent="0.25">
      <c r="A15" t="s">
        <v>117</v>
      </c>
      <c r="B15">
        <v>104</v>
      </c>
      <c r="C15">
        <v>319</v>
      </c>
      <c r="D15">
        <v>902</v>
      </c>
      <c r="E15">
        <v>225</v>
      </c>
      <c r="F15">
        <v>11</v>
      </c>
      <c r="G15">
        <v>0</v>
      </c>
      <c r="H15">
        <v>36</v>
      </c>
      <c r="I15">
        <v>80</v>
      </c>
      <c r="J15">
        <v>165</v>
      </c>
      <c r="K15">
        <v>32</v>
      </c>
      <c r="L15">
        <v>5</v>
      </c>
      <c r="M15">
        <v>0</v>
      </c>
      <c r="N15">
        <v>0</v>
      </c>
      <c r="O15">
        <v>1</v>
      </c>
      <c r="P15">
        <v>10</v>
      </c>
      <c r="Q15">
        <v>7</v>
      </c>
      <c r="R15">
        <v>5</v>
      </c>
      <c r="S15">
        <v>0</v>
      </c>
    </row>
    <row r="16" spans="1:19" x14ac:dyDescent="0.25">
      <c r="A16" t="s">
        <v>118</v>
      </c>
      <c r="B16">
        <v>19</v>
      </c>
      <c r="C16">
        <v>43</v>
      </c>
      <c r="D16">
        <v>408</v>
      </c>
      <c r="E16">
        <v>163</v>
      </c>
      <c r="F16">
        <v>3</v>
      </c>
      <c r="G16">
        <v>0</v>
      </c>
      <c r="H16">
        <v>1</v>
      </c>
      <c r="I16">
        <v>10</v>
      </c>
      <c r="J16">
        <v>34</v>
      </c>
      <c r="K16">
        <v>31</v>
      </c>
      <c r="L16">
        <v>4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119</v>
      </c>
      <c r="B17">
        <v>324</v>
      </c>
      <c r="C17">
        <v>1785</v>
      </c>
      <c r="D17">
        <v>3613</v>
      </c>
      <c r="E17">
        <v>3202</v>
      </c>
      <c r="F17">
        <v>420</v>
      </c>
      <c r="G17">
        <v>5</v>
      </c>
      <c r="H17">
        <v>52</v>
      </c>
      <c r="I17">
        <v>235</v>
      </c>
      <c r="J17">
        <v>361</v>
      </c>
      <c r="K17">
        <v>332</v>
      </c>
      <c r="L17">
        <v>140</v>
      </c>
      <c r="M17">
        <v>4</v>
      </c>
      <c r="N17">
        <v>5</v>
      </c>
      <c r="O17">
        <v>33</v>
      </c>
      <c r="P17">
        <v>109</v>
      </c>
      <c r="Q17">
        <v>44</v>
      </c>
      <c r="R17">
        <v>0</v>
      </c>
      <c r="S17">
        <v>3</v>
      </c>
    </row>
    <row r="18" spans="1:19" x14ac:dyDescent="0.25">
      <c r="A18" t="s">
        <v>120</v>
      </c>
      <c r="B18">
        <v>14</v>
      </c>
      <c r="C18">
        <v>194</v>
      </c>
      <c r="D18">
        <v>1003</v>
      </c>
      <c r="E18">
        <v>344</v>
      </c>
      <c r="F18">
        <v>15</v>
      </c>
      <c r="G18">
        <v>0</v>
      </c>
      <c r="H18">
        <v>2</v>
      </c>
      <c r="I18">
        <v>28</v>
      </c>
      <c r="J18">
        <v>141</v>
      </c>
      <c r="K18">
        <v>59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</row>
    <row r="19" spans="1:19" x14ac:dyDescent="0.25">
      <c r="A19" t="s">
        <v>121</v>
      </c>
      <c r="B19">
        <v>110</v>
      </c>
      <c r="C19">
        <v>327</v>
      </c>
      <c r="D19">
        <v>1274</v>
      </c>
      <c r="E19">
        <v>270</v>
      </c>
      <c r="F19">
        <v>14</v>
      </c>
      <c r="G19">
        <v>0</v>
      </c>
      <c r="H19">
        <v>40</v>
      </c>
      <c r="I19">
        <v>73</v>
      </c>
      <c r="J19">
        <v>142</v>
      </c>
      <c r="K19">
        <v>57</v>
      </c>
      <c r="L19">
        <v>4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</row>
    <row r="20" spans="1:19" x14ac:dyDescent="0.25">
      <c r="A20" t="s">
        <v>122</v>
      </c>
      <c r="B20">
        <v>126</v>
      </c>
      <c r="C20">
        <v>1325</v>
      </c>
      <c r="D20">
        <v>2425</v>
      </c>
      <c r="E20">
        <v>1735</v>
      </c>
      <c r="F20">
        <v>36</v>
      </c>
      <c r="G20">
        <v>1</v>
      </c>
      <c r="H20">
        <v>42</v>
      </c>
      <c r="I20">
        <v>575</v>
      </c>
      <c r="J20">
        <v>684</v>
      </c>
      <c r="K20">
        <v>517</v>
      </c>
      <c r="L20">
        <v>44</v>
      </c>
      <c r="M20">
        <v>1</v>
      </c>
      <c r="N20">
        <v>1</v>
      </c>
      <c r="O20">
        <v>14</v>
      </c>
      <c r="P20">
        <v>28</v>
      </c>
      <c r="Q20">
        <v>24</v>
      </c>
      <c r="R20">
        <v>0</v>
      </c>
      <c r="S20">
        <v>0</v>
      </c>
    </row>
    <row r="21" spans="1:19" x14ac:dyDescent="0.25">
      <c r="A21" t="s">
        <v>123</v>
      </c>
      <c r="B21">
        <v>70</v>
      </c>
      <c r="C21">
        <v>645</v>
      </c>
      <c r="D21">
        <v>1710</v>
      </c>
      <c r="E21">
        <v>684</v>
      </c>
      <c r="F21">
        <v>29</v>
      </c>
      <c r="G21">
        <v>0</v>
      </c>
      <c r="H21">
        <v>12</v>
      </c>
      <c r="I21">
        <v>191</v>
      </c>
      <c r="J21">
        <v>336</v>
      </c>
      <c r="K21">
        <v>120</v>
      </c>
      <c r="L21">
        <v>20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124</v>
      </c>
      <c r="B22">
        <v>60</v>
      </c>
      <c r="C22">
        <v>213</v>
      </c>
      <c r="D22">
        <v>817</v>
      </c>
      <c r="E22">
        <v>172</v>
      </c>
      <c r="F22">
        <v>6</v>
      </c>
      <c r="G22">
        <v>0</v>
      </c>
      <c r="H22">
        <v>14</v>
      </c>
      <c r="I22">
        <v>22</v>
      </c>
      <c r="J22">
        <v>56</v>
      </c>
      <c r="K22">
        <v>24</v>
      </c>
      <c r="L22">
        <v>1</v>
      </c>
      <c r="M22">
        <v>0</v>
      </c>
      <c r="N22">
        <v>1</v>
      </c>
      <c r="O22">
        <v>5</v>
      </c>
      <c r="P22">
        <v>10</v>
      </c>
      <c r="Q22">
        <v>15</v>
      </c>
      <c r="R22">
        <v>0</v>
      </c>
      <c r="S22">
        <v>0</v>
      </c>
    </row>
    <row r="23" spans="1:19" x14ac:dyDescent="0.25">
      <c r="A23" t="s">
        <v>125</v>
      </c>
      <c r="B23">
        <v>53</v>
      </c>
      <c r="C23">
        <v>623</v>
      </c>
      <c r="D23">
        <v>3378</v>
      </c>
      <c r="E23">
        <v>1572</v>
      </c>
      <c r="F23">
        <v>142</v>
      </c>
      <c r="G23">
        <v>1</v>
      </c>
      <c r="H23">
        <v>33</v>
      </c>
      <c r="I23">
        <v>257</v>
      </c>
      <c r="J23">
        <v>1085</v>
      </c>
      <c r="K23">
        <v>364</v>
      </c>
      <c r="L23">
        <v>68</v>
      </c>
      <c r="M23">
        <v>2</v>
      </c>
      <c r="N23">
        <v>1</v>
      </c>
      <c r="O23">
        <v>6</v>
      </c>
      <c r="P23">
        <v>25</v>
      </c>
      <c r="Q23">
        <v>17</v>
      </c>
      <c r="R23">
        <v>0</v>
      </c>
      <c r="S23">
        <v>0</v>
      </c>
    </row>
    <row r="24" spans="1:19" x14ac:dyDescent="0.25">
      <c r="A24" t="s">
        <v>126</v>
      </c>
      <c r="B24">
        <v>84</v>
      </c>
      <c r="C24">
        <v>360</v>
      </c>
      <c r="D24">
        <v>804</v>
      </c>
      <c r="E24">
        <v>73</v>
      </c>
      <c r="F24">
        <v>1</v>
      </c>
      <c r="G24">
        <v>0</v>
      </c>
      <c r="H24">
        <v>16</v>
      </c>
      <c r="I24">
        <v>33</v>
      </c>
      <c r="J24">
        <v>76</v>
      </c>
      <c r="K24">
        <v>17</v>
      </c>
      <c r="L24">
        <v>4</v>
      </c>
      <c r="M24">
        <v>0</v>
      </c>
      <c r="N24">
        <v>0</v>
      </c>
      <c r="O24">
        <v>3</v>
      </c>
      <c r="P24">
        <v>10</v>
      </c>
      <c r="Q24">
        <v>1</v>
      </c>
      <c r="R24">
        <v>0</v>
      </c>
      <c r="S24">
        <v>0</v>
      </c>
    </row>
    <row r="25" spans="1:19" x14ac:dyDescent="0.25">
      <c r="A25" t="s">
        <v>127</v>
      </c>
      <c r="B25">
        <v>100</v>
      </c>
      <c r="C25">
        <v>528</v>
      </c>
      <c r="D25">
        <v>2019</v>
      </c>
      <c r="E25">
        <v>1012</v>
      </c>
      <c r="F25">
        <v>34</v>
      </c>
      <c r="G25">
        <v>1</v>
      </c>
      <c r="H25">
        <v>31</v>
      </c>
      <c r="I25">
        <v>202</v>
      </c>
      <c r="J25">
        <v>487</v>
      </c>
      <c r="K25">
        <v>195</v>
      </c>
      <c r="L25">
        <v>17</v>
      </c>
      <c r="M25">
        <v>1</v>
      </c>
      <c r="N25">
        <v>0</v>
      </c>
      <c r="O25">
        <v>5</v>
      </c>
      <c r="P25">
        <v>11</v>
      </c>
      <c r="Q25">
        <v>2</v>
      </c>
      <c r="R25">
        <v>0</v>
      </c>
      <c r="S25">
        <v>0</v>
      </c>
    </row>
    <row r="26" spans="1:19" x14ac:dyDescent="0.25">
      <c r="A26" t="s">
        <v>128</v>
      </c>
      <c r="B26">
        <v>87</v>
      </c>
      <c r="C26">
        <v>1088</v>
      </c>
      <c r="D26">
        <v>3166</v>
      </c>
      <c r="E26">
        <v>2048</v>
      </c>
      <c r="F26">
        <v>78</v>
      </c>
      <c r="G26">
        <v>6</v>
      </c>
      <c r="H26">
        <v>35</v>
      </c>
      <c r="I26">
        <v>322</v>
      </c>
      <c r="J26">
        <v>851</v>
      </c>
      <c r="K26">
        <v>476</v>
      </c>
      <c r="L26">
        <v>40</v>
      </c>
      <c r="M26">
        <v>0</v>
      </c>
      <c r="N26">
        <v>1</v>
      </c>
      <c r="O26">
        <v>11</v>
      </c>
      <c r="P26">
        <v>30</v>
      </c>
      <c r="Q26">
        <v>27</v>
      </c>
      <c r="R26">
        <v>0</v>
      </c>
      <c r="S26">
        <v>0</v>
      </c>
    </row>
    <row r="27" spans="1:19" x14ac:dyDescent="0.25">
      <c r="A27" t="s">
        <v>129</v>
      </c>
      <c r="B27">
        <v>105</v>
      </c>
      <c r="C27">
        <v>743</v>
      </c>
      <c r="D27">
        <v>2091</v>
      </c>
      <c r="E27">
        <v>755</v>
      </c>
      <c r="F27">
        <v>31</v>
      </c>
      <c r="G27">
        <v>0</v>
      </c>
      <c r="H27">
        <v>42</v>
      </c>
      <c r="I27">
        <v>213</v>
      </c>
      <c r="J27">
        <v>397</v>
      </c>
      <c r="K27">
        <v>170</v>
      </c>
      <c r="L27">
        <v>26</v>
      </c>
      <c r="M27">
        <v>0</v>
      </c>
      <c r="N27">
        <v>4</v>
      </c>
      <c r="O27">
        <v>17</v>
      </c>
      <c r="P27">
        <v>35</v>
      </c>
      <c r="Q27">
        <v>50</v>
      </c>
      <c r="R27">
        <v>2</v>
      </c>
      <c r="S27">
        <v>0</v>
      </c>
    </row>
    <row r="28" spans="1:19" x14ac:dyDescent="0.25">
      <c r="A28" t="s">
        <v>87</v>
      </c>
      <c r="B28">
        <v>2482</v>
      </c>
      <c r="C28">
        <v>17342</v>
      </c>
      <c r="D28">
        <v>46437</v>
      </c>
      <c r="E28">
        <v>25206</v>
      </c>
      <c r="F28">
        <v>1543</v>
      </c>
      <c r="G28">
        <v>23</v>
      </c>
      <c r="H28">
        <v>666</v>
      </c>
      <c r="I28">
        <v>4443</v>
      </c>
      <c r="J28">
        <v>8833</v>
      </c>
      <c r="K28">
        <v>5096</v>
      </c>
      <c r="L28">
        <v>788</v>
      </c>
      <c r="M28">
        <v>12</v>
      </c>
      <c r="N28">
        <v>38</v>
      </c>
      <c r="O28">
        <v>188</v>
      </c>
      <c r="P28">
        <v>457</v>
      </c>
      <c r="Q28">
        <v>399</v>
      </c>
      <c r="R28">
        <v>18</v>
      </c>
      <c r="S28">
        <v>6</v>
      </c>
    </row>
    <row r="29" spans="1:19" x14ac:dyDescent="0.25">
      <c r="A29" t="s">
        <v>130</v>
      </c>
      <c r="B29">
        <v>525</v>
      </c>
      <c r="C29">
        <v>3840</v>
      </c>
      <c r="D29">
        <v>9712</v>
      </c>
      <c r="E29">
        <v>7371</v>
      </c>
      <c r="F29">
        <v>781</v>
      </c>
      <c r="G29">
        <v>6</v>
      </c>
      <c r="H29">
        <v>110</v>
      </c>
      <c r="I29">
        <v>674</v>
      </c>
      <c r="J29">
        <v>1347</v>
      </c>
      <c r="K29">
        <v>1073</v>
      </c>
      <c r="L29">
        <v>268</v>
      </c>
      <c r="M29">
        <v>7</v>
      </c>
      <c r="N29">
        <v>4</v>
      </c>
      <c r="O29">
        <v>38</v>
      </c>
      <c r="P29">
        <v>127</v>
      </c>
      <c r="Q29">
        <v>64</v>
      </c>
      <c r="R29">
        <v>5</v>
      </c>
      <c r="S29">
        <v>3</v>
      </c>
    </row>
    <row r="30" spans="1:19" x14ac:dyDescent="0.25">
      <c r="A30" t="s">
        <v>131</v>
      </c>
      <c r="B30">
        <v>1957</v>
      </c>
      <c r="C30">
        <v>13502</v>
      </c>
      <c r="D30">
        <v>36725</v>
      </c>
      <c r="E30">
        <v>17835</v>
      </c>
      <c r="F30">
        <v>762</v>
      </c>
      <c r="G30">
        <v>17</v>
      </c>
      <c r="H30">
        <v>556</v>
      </c>
      <c r="I30">
        <v>3769</v>
      </c>
      <c r="J30">
        <v>7486</v>
      </c>
      <c r="K30">
        <v>4023</v>
      </c>
      <c r="L30">
        <v>520</v>
      </c>
      <c r="M30">
        <v>5</v>
      </c>
      <c r="N30">
        <v>34</v>
      </c>
      <c r="O30">
        <v>150</v>
      </c>
      <c r="P30">
        <v>330</v>
      </c>
      <c r="Q30">
        <v>335</v>
      </c>
      <c r="R30">
        <v>13</v>
      </c>
      <c r="S30">
        <v>3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T30"/>
  <sheetViews>
    <sheetView workbookViewId="0"/>
  </sheetViews>
  <sheetFormatPr defaultRowHeight="15" x14ac:dyDescent="0.25"/>
  <cols>
    <col min="1" max="1" width="25.140625" customWidth="1"/>
    <col min="2" max="2" width="8" customWidth="1"/>
    <col min="5" max="5" width="7.85546875" customWidth="1"/>
    <col min="6" max="6" width="8" customWidth="1"/>
    <col min="8" max="8" width="8.140625" customWidth="1"/>
    <col min="9" max="9" width="8" customWidth="1"/>
    <col min="10" max="10" width="8.140625" customWidth="1"/>
    <col min="11" max="11" width="8" customWidth="1"/>
    <col min="12" max="12" width="8.140625" customWidth="1"/>
    <col min="13" max="13" width="8" customWidth="1"/>
    <col min="20" max="20" width="9.42578125" customWidth="1"/>
  </cols>
  <sheetData>
    <row r="1" spans="1:20" x14ac:dyDescent="0.25">
      <c r="A1" s="27" t="s">
        <v>104</v>
      </c>
      <c r="B1" s="27" t="s">
        <v>290</v>
      </c>
      <c r="C1" s="27"/>
      <c r="D1" s="27"/>
      <c r="E1" s="27"/>
      <c r="F1" s="27"/>
      <c r="G1" s="27"/>
      <c r="H1" s="27" t="s">
        <v>291</v>
      </c>
      <c r="I1" s="27"/>
      <c r="J1" s="27"/>
      <c r="K1" s="27"/>
      <c r="L1" s="27"/>
      <c r="M1" s="27"/>
      <c r="N1" s="27" t="s">
        <v>292</v>
      </c>
      <c r="O1" s="27"/>
      <c r="P1" s="27"/>
      <c r="Q1" s="27"/>
      <c r="R1" s="27"/>
      <c r="S1" s="27"/>
      <c r="T1" t="s">
        <v>293</v>
      </c>
    </row>
    <row r="2" spans="1:20" x14ac:dyDescent="0.25">
      <c r="A2" s="27"/>
      <c r="B2" t="s">
        <v>161</v>
      </c>
      <c r="C2" t="s">
        <v>284</v>
      </c>
      <c r="D2" t="s">
        <v>285</v>
      </c>
      <c r="E2" t="s">
        <v>286</v>
      </c>
      <c r="F2" t="s">
        <v>289</v>
      </c>
      <c r="G2" t="s">
        <v>288</v>
      </c>
      <c r="H2" t="s">
        <v>161</v>
      </c>
      <c r="I2" t="s">
        <v>284</v>
      </c>
      <c r="J2" t="s">
        <v>285</v>
      </c>
      <c r="K2" t="s">
        <v>286</v>
      </c>
      <c r="L2" t="s">
        <v>289</v>
      </c>
      <c r="M2" t="s">
        <v>288</v>
      </c>
      <c r="N2" t="s">
        <v>161</v>
      </c>
      <c r="O2" t="s">
        <v>284</v>
      </c>
      <c r="P2" t="s">
        <v>285</v>
      </c>
      <c r="Q2" t="s">
        <v>286</v>
      </c>
      <c r="R2" t="s">
        <v>289</v>
      </c>
      <c r="S2" t="s">
        <v>288</v>
      </c>
      <c r="T2" t="s">
        <v>294</v>
      </c>
    </row>
    <row r="3" spans="1:20" x14ac:dyDescent="0.25">
      <c r="A3" t="s">
        <v>105</v>
      </c>
      <c r="B3">
        <v>3</v>
      </c>
      <c r="C3">
        <v>15</v>
      </c>
      <c r="D3">
        <v>59</v>
      </c>
      <c r="E3">
        <v>9</v>
      </c>
      <c r="F3">
        <v>0</v>
      </c>
      <c r="G3">
        <v>0</v>
      </c>
      <c r="H3">
        <v>68</v>
      </c>
      <c r="I3">
        <v>600</v>
      </c>
      <c r="J3">
        <v>1864</v>
      </c>
      <c r="K3">
        <v>381</v>
      </c>
      <c r="L3">
        <v>11</v>
      </c>
      <c r="M3">
        <v>0</v>
      </c>
      <c r="N3">
        <v>3</v>
      </c>
      <c r="O3">
        <v>154</v>
      </c>
      <c r="P3">
        <v>799</v>
      </c>
      <c r="Q3">
        <v>802</v>
      </c>
      <c r="R3">
        <v>66</v>
      </c>
      <c r="S3">
        <v>0</v>
      </c>
      <c r="T3">
        <v>45</v>
      </c>
    </row>
    <row r="4" spans="1:20" x14ac:dyDescent="0.25">
      <c r="A4" t="s">
        <v>106</v>
      </c>
      <c r="B4">
        <v>14</v>
      </c>
      <c r="C4">
        <v>141</v>
      </c>
      <c r="D4">
        <v>317</v>
      </c>
      <c r="E4">
        <v>147</v>
      </c>
      <c r="F4">
        <v>5</v>
      </c>
      <c r="G4">
        <v>0</v>
      </c>
      <c r="H4">
        <v>93</v>
      </c>
      <c r="I4">
        <v>691</v>
      </c>
      <c r="J4">
        <v>1749</v>
      </c>
      <c r="K4">
        <v>1047</v>
      </c>
      <c r="L4">
        <v>41</v>
      </c>
      <c r="M4">
        <v>0</v>
      </c>
      <c r="N4">
        <v>40</v>
      </c>
      <c r="O4">
        <v>206</v>
      </c>
      <c r="P4">
        <v>914</v>
      </c>
      <c r="Q4">
        <v>1330</v>
      </c>
      <c r="R4">
        <v>113</v>
      </c>
      <c r="S4">
        <v>1</v>
      </c>
      <c r="T4">
        <v>128</v>
      </c>
    </row>
    <row r="5" spans="1:20" x14ac:dyDescent="0.25">
      <c r="A5" t="s">
        <v>107</v>
      </c>
      <c r="B5">
        <v>17</v>
      </c>
      <c r="C5">
        <v>101</v>
      </c>
      <c r="D5">
        <v>193</v>
      </c>
      <c r="E5">
        <v>23</v>
      </c>
      <c r="F5">
        <v>0</v>
      </c>
      <c r="G5">
        <v>0</v>
      </c>
      <c r="H5">
        <v>115</v>
      </c>
      <c r="I5">
        <v>871</v>
      </c>
      <c r="J5">
        <v>1292</v>
      </c>
      <c r="K5">
        <v>248</v>
      </c>
      <c r="L5">
        <v>12</v>
      </c>
      <c r="M5">
        <v>0</v>
      </c>
      <c r="N5">
        <v>83</v>
      </c>
      <c r="O5">
        <v>519</v>
      </c>
      <c r="P5">
        <v>1231</v>
      </c>
      <c r="Q5">
        <v>1020</v>
      </c>
      <c r="R5">
        <v>51</v>
      </c>
      <c r="S5">
        <v>3</v>
      </c>
      <c r="T5">
        <v>158</v>
      </c>
    </row>
    <row r="6" spans="1:20" x14ac:dyDescent="0.25">
      <c r="A6" t="s">
        <v>108</v>
      </c>
      <c r="B6">
        <v>9</v>
      </c>
      <c r="C6">
        <v>59</v>
      </c>
      <c r="D6">
        <v>78</v>
      </c>
      <c r="E6">
        <v>15</v>
      </c>
      <c r="F6">
        <v>0</v>
      </c>
      <c r="G6">
        <v>0</v>
      </c>
      <c r="H6">
        <v>21</v>
      </c>
      <c r="I6">
        <v>322</v>
      </c>
      <c r="J6">
        <v>1186</v>
      </c>
      <c r="K6">
        <v>268</v>
      </c>
      <c r="L6">
        <v>7</v>
      </c>
      <c r="M6">
        <v>0</v>
      </c>
      <c r="N6">
        <v>8</v>
      </c>
      <c r="O6">
        <v>243</v>
      </c>
      <c r="P6">
        <v>500</v>
      </c>
      <c r="Q6">
        <v>807</v>
      </c>
      <c r="R6">
        <v>44</v>
      </c>
      <c r="S6">
        <v>0</v>
      </c>
      <c r="T6">
        <v>13</v>
      </c>
    </row>
    <row r="7" spans="1:20" x14ac:dyDescent="0.25">
      <c r="A7" t="s">
        <v>109</v>
      </c>
      <c r="B7">
        <v>22</v>
      </c>
      <c r="C7">
        <v>81</v>
      </c>
      <c r="D7">
        <v>120</v>
      </c>
      <c r="E7">
        <v>22</v>
      </c>
      <c r="F7">
        <v>1</v>
      </c>
      <c r="G7">
        <v>0</v>
      </c>
      <c r="H7">
        <v>117</v>
      </c>
      <c r="I7">
        <v>553</v>
      </c>
      <c r="J7">
        <v>1166</v>
      </c>
      <c r="K7">
        <v>319</v>
      </c>
      <c r="L7">
        <v>10</v>
      </c>
      <c r="M7">
        <v>0</v>
      </c>
      <c r="N7">
        <v>15</v>
      </c>
      <c r="O7">
        <v>272</v>
      </c>
      <c r="P7">
        <v>645</v>
      </c>
      <c r="Q7">
        <v>977</v>
      </c>
      <c r="R7">
        <v>68</v>
      </c>
      <c r="S7">
        <v>2</v>
      </c>
      <c r="T7">
        <v>25</v>
      </c>
    </row>
    <row r="8" spans="1:20" x14ac:dyDescent="0.25">
      <c r="A8" t="s">
        <v>110</v>
      </c>
      <c r="B8">
        <v>13</v>
      </c>
      <c r="C8">
        <v>64</v>
      </c>
      <c r="D8">
        <v>173</v>
      </c>
      <c r="E8">
        <v>31</v>
      </c>
      <c r="F8">
        <v>0</v>
      </c>
      <c r="G8">
        <v>0</v>
      </c>
      <c r="H8">
        <v>116</v>
      </c>
      <c r="I8">
        <v>386</v>
      </c>
      <c r="J8">
        <v>1384</v>
      </c>
      <c r="K8">
        <v>491</v>
      </c>
      <c r="L8">
        <v>10</v>
      </c>
      <c r="M8">
        <v>2</v>
      </c>
      <c r="N8">
        <v>29</v>
      </c>
      <c r="O8">
        <v>271</v>
      </c>
      <c r="P8">
        <v>608</v>
      </c>
      <c r="Q8">
        <v>755</v>
      </c>
      <c r="R8">
        <v>65</v>
      </c>
      <c r="S8">
        <v>0</v>
      </c>
      <c r="T8">
        <v>20</v>
      </c>
    </row>
    <row r="9" spans="1:20" x14ac:dyDescent="0.25">
      <c r="A9" t="s">
        <v>111</v>
      </c>
      <c r="B9">
        <v>6</v>
      </c>
      <c r="C9">
        <v>74</v>
      </c>
      <c r="D9">
        <v>158</v>
      </c>
      <c r="E9">
        <v>18</v>
      </c>
      <c r="F9">
        <v>0</v>
      </c>
      <c r="G9">
        <v>0</v>
      </c>
      <c r="H9">
        <v>27</v>
      </c>
      <c r="I9">
        <v>476</v>
      </c>
      <c r="J9">
        <v>1430</v>
      </c>
      <c r="K9">
        <v>355</v>
      </c>
      <c r="L9">
        <v>9</v>
      </c>
      <c r="M9">
        <v>0</v>
      </c>
      <c r="N9">
        <v>32</v>
      </c>
      <c r="O9">
        <v>322</v>
      </c>
      <c r="P9">
        <v>929</v>
      </c>
      <c r="Q9">
        <v>913</v>
      </c>
      <c r="R9">
        <v>53</v>
      </c>
      <c r="S9">
        <v>0</v>
      </c>
      <c r="T9">
        <v>35</v>
      </c>
    </row>
    <row r="10" spans="1:20" x14ac:dyDescent="0.25">
      <c r="A10" t="s">
        <v>112</v>
      </c>
      <c r="B10">
        <v>22</v>
      </c>
      <c r="C10">
        <v>189</v>
      </c>
      <c r="D10">
        <v>262</v>
      </c>
      <c r="E10">
        <v>35</v>
      </c>
      <c r="F10">
        <v>1</v>
      </c>
      <c r="G10">
        <v>0</v>
      </c>
      <c r="H10">
        <v>56</v>
      </c>
      <c r="I10">
        <v>735</v>
      </c>
      <c r="J10">
        <v>1356</v>
      </c>
      <c r="K10">
        <v>253</v>
      </c>
      <c r="L10">
        <v>6</v>
      </c>
      <c r="M10">
        <v>1</v>
      </c>
      <c r="N10">
        <v>199</v>
      </c>
      <c r="O10">
        <v>630</v>
      </c>
      <c r="P10">
        <v>1370</v>
      </c>
      <c r="Q10">
        <v>2049</v>
      </c>
      <c r="R10">
        <v>134</v>
      </c>
      <c r="S10">
        <v>0</v>
      </c>
      <c r="T10">
        <v>49</v>
      </c>
    </row>
    <row r="11" spans="1:20" x14ac:dyDescent="0.25">
      <c r="A11" t="s">
        <v>113</v>
      </c>
      <c r="B11">
        <v>1</v>
      </c>
      <c r="C11">
        <v>5</v>
      </c>
      <c r="D11">
        <v>23</v>
      </c>
      <c r="E11">
        <v>2</v>
      </c>
      <c r="F11">
        <v>0</v>
      </c>
      <c r="G11">
        <v>0</v>
      </c>
      <c r="H11">
        <v>0</v>
      </c>
      <c r="I11">
        <v>10</v>
      </c>
      <c r="J11">
        <v>131</v>
      </c>
      <c r="K11">
        <v>59</v>
      </c>
      <c r="L11">
        <v>0</v>
      </c>
      <c r="M11">
        <v>0</v>
      </c>
      <c r="N11">
        <v>0</v>
      </c>
      <c r="O11">
        <v>47</v>
      </c>
      <c r="P11">
        <v>76</v>
      </c>
      <c r="Q11">
        <v>96</v>
      </c>
      <c r="R11">
        <v>6</v>
      </c>
      <c r="S11">
        <v>0</v>
      </c>
      <c r="T11">
        <v>6</v>
      </c>
    </row>
    <row r="12" spans="1:20" x14ac:dyDescent="0.25">
      <c r="A12" t="s">
        <v>114</v>
      </c>
      <c r="B12">
        <v>2</v>
      </c>
      <c r="C12">
        <v>9</v>
      </c>
      <c r="D12">
        <v>22</v>
      </c>
      <c r="E12">
        <v>0</v>
      </c>
      <c r="F12">
        <v>0</v>
      </c>
      <c r="G12">
        <v>0</v>
      </c>
      <c r="H12">
        <v>11</v>
      </c>
      <c r="I12">
        <v>133</v>
      </c>
      <c r="J12">
        <v>462</v>
      </c>
      <c r="K12">
        <v>23</v>
      </c>
      <c r="L12">
        <v>0</v>
      </c>
      <c r="M12">
        <v>0</v>
      </c>
      <c r="N12">
        <v>4</v>
      </c>
      <c r="O12">
        <v>43</v>
      </c>
      <c r="P12">
        <v>250</v>
      </c>
      <c r="Q12">
        <v>136</v>
      </c>
      <c r="R12">
        <v>2</v>
      </c>
      <c r="S12">
        <v>0</v>
      </c>
      <c r="T12">
        <v>1</v>
      </c>
    </row>
    <row r="13" spans="1:20" x14ac:dyDescent="0.25">
      <c r="A13" t="s">
        <v>115</v>
      </c>
      <c r="B13">
        <v>5</v>
      </c>
      <c r="C13">
        <v>54</v>
      </c>
      <c r="D13">
        <v>81</v>
      </c>
      <c r="E13">
        <v>0</v>
      </c>
      <c r="F13">
        <v>0</v>
      </c>
      <c r="G13">
        <v>0</v>
      </c>
      <c r="H13">
        <v>39</v>
      </c>
      <c r="I13">
        <v>407</v>
      </c>
      <c r="J13">
        <v>1001</v>
      </c>
      <c r="K13">
        <v>37</v>
      </c>
      <c r="L13">
        <v>1</v>
      </c>
      <c r="M13">
        <v>0</v>
      </c>
      <c r="N13">
        <v>4</v>
      </c>
      <c r="O13">
        <v>215</v>
      </c>
      <c r="P13">
        <v>514</v>
      </c>
      <c r="Q13">
        <v>211</v>
      </c>
      <c r="R13">
        <v>7</v>
      </c>
      <c r="S13">
        <v>0</v>
      </c>
      <c r="T13">
        <v>37</v>
      </c>
    </row>
    <row r="14" spans="1:20" x14ac:dyDescent="0.25">
      <c r="A14" t="s">
        <v>116</v>
      </c>
      <c r="B14">
        <v>0</v>
      </c>
      <c r="C14">
        <v>12</v>
      </c>
      <c r="D14">
        <v>23</v>
      </c>
      <c r="E14">
        <v>0</v>
      </c>
      <c r="F14">
        <v>0</v>
      </c>
      <c r="G14">
        <v>0</v>
      </c>
      <c r="H14">
        <v>32</v>
      </c>
      <c r="I14">
        <v>239</v>
      </c>
      <c r="J14">
        <v>292</v>
      </c>
      <c r="K14">
        <v>7</v>
      </c>
      <c r="L14">
        <v>0</v>
      </c>
      <c r="M14">
        <v>0</v>
      </c>
      <c r="N14">
        <v>0</v>
      </c>
      <c r="O14">
        <v>0</v>
      </c>
      <c r="P14">
        <v>169</v>
      </c>
      <c r="Q14">
        <v>65</v>
      </c>
      <c r="R14">
        <v>0</v>
      </c>
      <c r="S14">
        <v>0</v>
      </c>
      <c r="T14">
        <v>1</v>
      </c>
    </row>
    <row r="15" spans="1:20" x14ac:dyDescent="0.25">
      <c r="A15" t="s">
        <v>117</v>
      </c>
      <c r="B15">
        <v>6</v>
      </c>
      <c r="C15">
        <v>16</v>
      </c>
      <c r="D15">
        <v>72</v>
      </c>
      <c r="E15">
        <v>0</v>
      </c>
      <c r="F15">
        <v>0</v>
      </c>
      <c r="G15">
        <v>0</v>
      </c>
      <c r="H15">
        <v>98</v>
      </c>
      <c r="I15">
        <v>229</v>
      </c>
      <c r="J15">
        <v>600</v>
      </c>
      <c r="K15">
        <v>39</v>
      </c>
      <c r="L15">
        <v>1</v>
      </c>
      <c r="M15">
        <v>0</v>
      </c>
      <c r="N15">
        <v>0</v>
      </c>
      <c r="O15">
        <v>74</v>
      </c>
      <c r="P15">
        <v>230</v>
      </c>
      <c r="Q15">
        <v>186</v>
      </c>
      <c r="R15">
        <v>10</v>
      </c>
      <c r="S15">
        <v>0</v>
      </c>
      <c r="T15">
        <v>18</v>
      </c>
    </row>
    <row r="16" spans="1:20" x14ac:dyDescent="0.25">
      <c r="A16" t="s">
        <v>118</v>
      </c>
      <c r="B16">
        <v>1</v>
      </c>
      <c r="C16">
        <v>5</v>
      </c>
      <c r="D16">
        <v>24</v>
      </c>
      <c r="E16">
        <v>4</v>
      </c>
      <c r="F16">
        <v>0</v>
      </c>
      <c r="G16">
        <v>0</v>
      </c>
      <c r="H16">
        <v>18</v>
      </c>
      <c r="I16">
        <v>37</v>
      </c>
      <c r="J16">
        <v>199</v>
      </c>
      <c r="K16">
        <v>37</v>
      </c>
      <c r="L16">
        <v>2</v>
      </c>
      <c r="M16">
        <v>0</v>
      </c>
      <c r="N16">
        <v>0</v>
      </c>
      <c r="O16">
        <v>1</v>
      </c>
      <c r="P16">
        <v>185</v>
      </c>
      <c r="Q16">
        <v>122</v>
      </c>
      <c r="R16">
        <v>1</v>
      </c>
      <c r="S16">
        <v>0</v>
      </c>
      <c r="T16">
        <v>0</v>
      </c>
    </row>
    <row r="17" spans="1:20" x14ac:dyDescent="0.25">
      <c r="A17" t="s">
        <v>119</v>
      </c>
      <c r="B17">
        <v>20</v>
      </c>
      <c r="C17">
        <v>139</v>
      </c>
      <c r="D17">
        <v>117</v>
      </c>
      <c r="E17">
        <v>35</v>
      </c>
      <c r="F17">
        <v>3</v>
      </c>
      <c r="G17">
        <v>1</v>
      </c>
      <c r="H17">
        <v>86</v>
      </c>
      <c r="I17">
        <v>842</v>
      </c>
      <c r="J17">
        <v>1797</v>
      </c>
      <c r="K17">
        <v>568</v>
      </c>
      <c r="L17">
        <v>58</v>
      </c>
      <c r="M17">
        <v>0</v>
      </c>
      <c r="N17">
        <v>218</v>
      </c>
      <c r="O17">
        <v>804</v>
      </c>
      <c r="P17">
        <v>1699</v>
      </c>
      <c r="Q17">
        <v>2599</v>
      </c>
      <c r="R17">
        <v>359</v>
      </c>
      <c r="S17">
        <v>4</v>
      </c>
      <c r="T17">
        <v>194</v>
      </c>
    </row>
    <row r="18" spans="1:20" x14ac:dyDescent="0.25">
      <c r="A18" t="s">
        <v>120</v>
      </c>
      <c r="B18">
        <v>6</v>
      </c>
      <c r="C18">
        <v>29</v>
      </c>
      <c r="D18">
        <v>57</v>
      </c>
      <c r="E18">
        <v>3</v>
      </c>
      <c r="F18">
        <v>0</v>
      </c>
      <c r="G18">
        <v>0</v>
      </c>
      <c r="H18">
        <v>8</v>
      </c>
      <c r="I18">
        <v>131</v>
      </c>
      <c r="J18">
        <v>562</v>
      </c>
      <c r="K18">
        <v>80</v>
      </c>
      <c r="L18">
        <v>5</v>
      </c>
      <c r="M18">
        <v>0</v>
      </c>
      <c r="N18">
        <v>0</v>
      </c>
      <c r="O18">
        <v>34</v>
      </c>
      <c r="P18">
        <v>384</v>
      </c>
      <c r="Q18">
        <v>261</v>
      </c>
      <c r="R18">
        <v>10</v>
      </c>
      <c r="S18">
        <v>0</v>
      </c>
      <c r="T18">
        <v>2</v>
      </c>
    </row>
    <row r="19" spans="1:20" x14ac:dyDescent="0.25">
      <c r="A19" t="s">
        <v>121</v>
      </c>
      <c r="B19">
        <v>15</v>
      </c>
      <c r="C19">
        <v>27</v>
      </c>
      <c r="D19">
        <v>44</v>
      </c>
      <c r="E19">
        <v>3</v>
      </c>
      <c r="F19">
        <v>0</v>
      </c>
      <c r="G19">
        <v>0</v>
      </c>
      <c r="H19">
        <v>85</v>
      </c>
      <c r="I19">
        <v>235</v>
      </c>
      <c r="J19">
        <v>830</v>
      </c>
      <c r="K19">
        <v>39</v>
      </c>
      <c r="L19">
        <v>1</v>
      </c>
      <c r="M19">
        <v>0</v>
      </c>
      <c r="N19">
        <v>10</v>
      </c>
      <c r="O19">
        <v>65</v>
      </c>
      <c r="P19">
        <v>400</v>
      </c>
      <c r="Q19">
        <v>228</v>
      </c>
      <c r="R19">
        <v>13</v>
      </c>
      <c r="S19">
        <v>0</v>
      </c>
      <c r="T19">
        <v>2</v>
      </c>
    </row>
    <row r="20" spans="1:20" x14ac:dyDescent="0.25">
      <c r="A20" t="s">
        <v>122</v>
      </c>
      <c r="B20">
        <v>28</v>
      </c>
      <c r="C20">
        <v>145</v>
      </c>
      <c r="D20">
        <v>207</v>
      </c>
      <c r="E20">
        <v>72</v>
      </c>
      <c r="F20">
        <v>1</v>
      </c>
      <c r="G20">
        <v>0</v>
      </c>
      <c r="H20">
        <v>73</v>
      </c>
      <c r="I20">
        <v>778</v>
      </c>
      <c r="J20">
        <v>1291</v>
      </c>
      <c r="K20">
        <v>543</v>
      </c>
      <c r="L20">
        <v>6</v>
      </c>
      <c r="M20">
        <v>0</v>
      </c>
      <c r="N20">
        <v>25</v>
      </c>
      <c r="O20">
        <v>402</v>
      </c>
      <c r="P20">
        <v>927</v>
      </c>
      <c r="Q20">
        <v>1120</v>
      </c>
      <c r="R20">
        <v>29</v>
      </c>
      <c r="S20">
        <v>1</v>
      </c>
      <c r="T20">
        <v>67</v>
      </c>
    </row>
    <row r="21" spans="1:20" x14ac:dyDescent="0.25">
      <c r="A21" t="s">
        <v>123</v>
      </c>
      <c r="B21">
        <v>5</v>
      </c>
      <c r="C21">
        <v>61</v>
      </c>
      <c r="D21">
        <v>97</v>
      </c>
      <c r="E21">
        <v>9</v>
      </c>
      <c r="F21">
        <v>0</v>
      </c>
      <c r="G21">
        <v>0</v>
      </c>
      <c r="H21">
        <v>48</v>
      </c>
      <c r="I21">
        <v>384</v>
      </c>
      <c r="J21">
        <v>972</v>
      </c>
      <c r="K21">
        <v>137</v>
      </c>
      <c r="L21">
        <v>3</v>
      </c>
      <c r="M21">
        <v>0</v>
      </c>
      <c r="N21">
        <v>17</v>
      </c>
      <c r="O21">
        <v>200</v>
      </c>
      <c r="P21">
        <v>641</v>
      </c>
      <c r="Q21">
        <v>538</v>
      </c>
      <c r="R21">
        <v>26</v>
      </c>
      <c r="S21">
        <v>0</v>
      </c>
      <c r="T21">
        <v>0</v>
      </c>
    </row>
    <row r="22" spans="1:20" x14ac:dyDescent="0.25">
      <c r="A22" t="s">
        <v>124</v>
      </c>
      <c r="B22">
        <v>6</v>
      </c>
      <c r="C22">
        <v>13</v>
      </c>
      <c r="D22">
        <v>43</v>
      </c>
      <c r="E22">
        <v>1</v>
      </c>
      <c r="F22">
        <v>0</v>
      </c>
      <c r="G22">
        <v>0</v>
      </c>
      <c r="H22">
        <v>53</v>
      </c>
      <c r="I22">
        <v>190</v>
      </c>
      <c r="J22">
        <v>509</v>
      </c>
      <c r="K22">
        <v>26</v>
      </c>
      <c r="L22">
        <v>1</v>
      </c>
      <c r="M22">
        <v>0</v>
      </c>
      <c r="N22">
        <v>1</v>
      </c>
      <c r="O22">
        <v>10</v>
      </c>
      <c r="P22">
        <v>265</v>
      </c>
      <c r="Q22">
        <v>145</v>
      </c>
      <c r="R22">
        <v>5</v>
      </c>
      <c r="S22">
        <v>0</v>
      </c>
      <c r="T22">
        <v>31</v>
      </c>
    </row>
    <row r="23" spans="1:20" x14ac:dyDescent="0.25">
      <c r="A23" t="s">
        <v>125</v>
      </c>
      <c r="B23">
        <v>9</v>
      </c>
      <c r="C23">
        <v>111</v>
      </c>
      <c r="D23">
        <v>326</v>
      </c>
      <c r="E23">
        <v>18</v>
      </c>
      <c r="F23">
        <v>0</v>
      </c>
      <c r="G23">
        <v>0</v>
      </c>
      <c r="H23">
        <v>29</v>
      </c>
      <c r="I23">
        <v>365</v>
      </c>
      <c r="J23">
        <v>2152</v>
      </c>
      <c r="K23">
        <v>270</v>
      </c>
      <c r="L23">
        <v>29</v>
      </c>
      <c r="M23">
        <v>0</v>
      </c>
      <c r="N23">
        <v>15</v>
      </c>
      <c r="O23">
        <v>147</v>
      </c>
      <c r="P23">
        <v>900</v>
      </c>
      <c r="Q23">
        <v>1284</v>
      </c>
      <c r="R23">
        <v>113</v>
      </c>
      <c r="S23">
        <v>1</v>
      </c>
      <c r="T23">
        <v>49</v>
      </c>
    </row>
    <row r="24" spans="1:20" x14ac:dyDescent="0.25">
      <c r="A24" t="s">
        <v>126</v>
      </c>
      <c r="B24">
        <v>9</v>
      </c>
      <c r="C24">
        <v>12</v>
      </c>
      <c r="D24">
        <v>27</v>
      </c>
      <c r="E24">
        <v>0</v>
      </c>
      <c r="F24">
        <v>0</v>
      </c>
      <c r="G24">
        <v>0</v>
      </c>
      <c r="H24">
        <v>60</v>
      </c>
      <c r="I24">
        <v>210</v>
      </c>
      <c r="J24">
        <v>530</v>
      </c>
      <c r="K24">
        <v>16</v>
      </c>
      <c r="L24">
        <v>0</v>
      </c>
      <c r="M24">
        <v>0</v>
      </c>
      <c r="N24">
        <v>15</v>
      </c>
      <c r="O24">
        <v>138</v>
      </c>
      <c r="P24">
        <v>247</v>
      </c>
      <c r="Q24">
        <v>57</v>
      </c>
      <c r="R24">
        <v>1</v>
      </c>
      <c r="S24">
        <v>0</v>
      </c>
      <c r="T24">
        <v>14</v>
      </c>
    </row>
    <row r="25" spans="1:20" x14ac:dyDescent="0.25">
      <c r="A25" t="s">
        <v>127</v>
      </c>
      <c r="B25">
        <v>5</v>
      </c>
      <c r="C25">
        <v>53</v>
      </c>
      <c r="D25">
        <v>121</v>
      </c>
      <c r="E25">
        <v>24</v>
      </c>
      <c r="F25">
        <v>0</v>
      </c>
      <c r="G25">
        <v>0</v>
      </c>
      <c r="H25">
        <v>31</v>
      </c>
      <c r="I25">
        <v>253</v>
      </c>
      <c r="J25">
        <v>1125</v>
      </c>
      <c r="K25">
        <v>245</v>
      </c>
      <c r="L25">
        <v>3</v>
      </c>
      <c r="M25">
        <v>1</v>
      </c>
      <c r="N25">
        <v>64</v>
      </c>
      <c r="O25">
        <v>222</v>
      </c>
      <c r="P25">
        <v>773</v>
      </c>
      <c r="Q25">
        <v>743</v>
      </c>
      <c r="R25">
        <v>31</v>
      </c>
      <c r="S25">
        <v>0</v>
      </c>
      <c r="T25">
        <v>18</v>
      </c>
    </row>
    <row r="26" spans="1:20" x14ac:dyDescent="0.25">
      <c r="A26" t="s">
        <v>128</v>
      </c>
      <c r="B26">
        <v>12</v>
      </c>
      <c r="C26">
        <v>115</v>
      </c>
      <c r="D26">
        <v>261</v>
      </c>
      <c r="E26">
        <v>47</v>
      </c>
      <c r="F26">
        <v>0</v>
      </c>
      <c r="G26">
        <v>0</v>
      </c>
      <c r="H26">
        <v>53</v>
      </c>
      <c r="I26">
        <v>570</v>
      </c>
      <c r="J26">
        <v>1656</v>
      </c>
      <c r="K26">
        <v>559</v>
      </c>
      <c r="L26">
        <v>6</v>
      </c>
      <c r="M26">
        <v>0</v>
      </c>
      <c r="N26">
        <v>22</v>
      </c>
      <c r="O26">
        <v>403</v>
      </c>
      <c r="P26">
        <v>1249</v>
      </c>
      <c r="Q26">
        <v>1442</v>
      </c>
      <c r="R26">
        <v>72</v>
      </c>
      <c r="S26">
        <v>6</v>
      </c>
      <c r="T26">
        <v>69</v>
      </c>
    </row>
    <row r="27" spans="1:20" x14ac:dyDescent="0.25">
      <c r="A27" t="s">
        <v>129</v>
      </c>
      <c r="B27">
        <v>2</v>
      </c>
      <c r="C27">
        <v>39</v>
      </c>
      <c r="D27">
        <v>163</v>
      </c>
      <c r="E27">
        <v>12</v>
      </c>
      <c r="F27">
        <v>0</v>
      </c>
      <c r="G27">
        <v>0</v>
      </c>
      <c r="H27">
        <v>91</v>
      </c>
      <c r="I27">
        <v>415</v>
      </c>
      <c r="J27">
        <v>1368</v>
      </c>
      <c r="K27">
        <v>209</v>
      </c>
      <c r="L27">
        <v>8</v>
      </c>
      <c r="M27">
        <v>0</v>
      </c>
      <c r="N27">
        <v>12</v>
      </c>
      <c r="O27">
        <v>289</v>
      </c>
      <c r="P27">
        <v>560</v>
      </c>
      <c r="Q27">
        <v>534</v>
      </c>
      <c r="R27">
        <v>23</v>
      </c>
      <c r="S27">
        <v>0</v>
      </c>
      <c r="T27">
        <v>106</v>
      </c>
    </row>
    <row r="28" spans="1:20" x14ac:dyDescent="0.25">
      <c r="A28" t="s">
        <v>87</v>
      </c>
      <c r="B28">
        <v>238</v>
      </c>
      <c r="C28">
        <v>1569</v>
      </c>
      <c r="D28">
        <v>3068</v>
      </c>
      <c r="E28">
        <v>530</v>
      </c>
      <c r="F28">
        <v>11</v>
      </c>
      <c r="G28">
        <v>1</v>
      </c>
      <c r="H28">
        <v>1428</v>
      </c>
      <c r="I28">
        <v>10062</v>
      </c>
      <c r="J28">
        <v>26904</v>
      </c>
      <c r="K28">
        <v>6256</v>
      </c>
      <c r="L28">
        <v>230</v>
      </c>
      <c r="M28">
        <v>4</v>
      </c>
      <c r="N28">
        <v>816</v>
      </c>
      <c r="O28">
        <v>5711</v>
      </c>
      <c r="P28" t="s">
        <v>295</v>
      </c>
      <c r="Q28" t="s">
        <v>295</v>
      </c>
      <c r="R28">
        <v>1302</v>
      </c>
      <c r="S28">
        <v>18</v>
      </c>
      <c r="T28">
        <v>1088</v>
      </c>
    </row>
    <row r="29" spans="1:20" x14ac:dyDescent="0.25">
      <c r="A29" t="s">
        <v>130</v>
      </c>
      <c r="B29">
        <v>47</v>
      </c>
      <c r="C29">
        <v>309</v>
      </c>
      <c r="D29">
        <v>505</v>
      </c>
      <c r="E29">
        <v>113</v>
      </c>
      <c r="F29">
        <v>4</v>
      </c>
      <c r="G29">
        <v>1</v>
      </c>
      <c r="H29">
        <v>218</v>
      </c>
      <c r="I29">
        <v>1916</v>
      </c>
      <c r="J29">
        <v>5146</v>
      </c>
      <c r="K29">
        <v>1579</v>
      </c>
      <c r="L29">
        <v>117</v>
      </c>
      <c r="M29">
        <v>0</v>
      </c>
      <c r="N29">
        <v>260</v>
      </c>
      <c r="O29">
        <v>1615</v>
      </c>
      <c r="P29">
        <v>4061</v>
      </c>
      <c r="Q29">
        <v>5679</v>
      </c>
      <c r="R29">
        <v>660</v>
      </c>
      <c r="S29">
        <v>5</v>
      </c>
      <c r="T29">
        <v>236</v>
      </c>
    </row>
    <row r="30" spans="1:20" x14ac:dyDescent="0.25">
      <c r="A30" t="s">
        <v>131</v>
      </c>
      <c r="B30">
        <v>191</v>
      </c>
      <c r="C30">
        <v>1260</v>
      </c>
      <c r="D30">
        <v>2563</v>
      </c>
      <c r="E30">
        <v>417</v>
      </c>
      <c r="F30">
        <v>7</v>
      </c>
      <c r="G30">
        <v>0</v>
      </c>
      <c r="H30">
        <v>1210</v>
      </c>
      <c r="I30">
        <v>8146</v>
      </c>
      <c r="J30">
        <v>21758</v>
      </c>
      <c r="K30">
        <v>4677</v>
      </c>
      <c r="L30">
        <v>113</v>
      </c>
      <c r="M30">
        <v>4</v>
      </c>
      <c r="N30">
        <v>556</v>
      </c>
      <c r="O30">
        <v>4096</v>
      </c>
      <c r="P30" t="s">
        <v>295</v>
      </c>
      <c r="Q30" t="s">
        <v>295</v>
      </c>
      <c r="R30">
        <v>642</v>
      </c>
      <c r="S30">
        <v>13</v>
      </c>
      <c r="T30">
        <v>852</v>
      </c>
    </row>
  </sheetData>
  <mergeCells count="4">
    <mergeCell ref="N1:S1"/>
    <mergeCell ref="B1:G1"/>
    <mergeCell ref="H1:M1"/>
    <mergeCell ref="A1:A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A9D18E"/>
  </sheetPr>
  <dimension ref="A1:J30"/>
  <sheetViews>
    <sheetView workbookViewId="0"/>
  </sheetViews>
  <sheetFormatPr defaultRowHeight="15" x14ac:dyDescent="0.25"/>
  <cols>
    <col min="1" max="1" width="31.85546875" customWidth="1"/>
    <col min="2" max="2" width="15.42578125" customWidth="1"/>
    <col min="3" max="3" width="16.85546875" customWidth="1"/>
    <col min="4" max="4" width="16.7109375" customWidth="1"/>
    <col min="5" max="5" width="16.85546875" customWidth="1"/>
    <col min="8" max="8" width="16.7109375" customWidth="1"/>
    <col min="9" max="9" width="16.85546875" customWidth="1"/>
  </cols>
  <sheetData>
    <row r="1" spans="1:10" x14ac:dyDescent="0.25">
      <c r="A1" s="27" t="s">
        <v>104</v>
      </c>
      <c r="B1" t="s">
        <v>75</v>
      </c>
      <c r="C1" s="27" t="s">
        <v>296</v>
      </c>
      <c r="D1" s="27"/>
      <c r="E1" s="27"/>
      <c r="F1" s="27" t="s">
        <v>297</v>
      </c>
      <c r="G1" s="27"/>
      <c r="H1" s="27"/>
      <c r="I1" s="27" t="s">
        <v>298</v>
      </c>
      <c r="J1" s="27"/>
    </row>
    <row r="2" spans="1:10" x14ac:dyDescent="0.25">
      <c r="A2" s="27"/>
      <c r="B2" t="s">
        <v>134</v>
      </c>
      <c r="C2" t="s">
        <v>83</v>
      </c>
      <c r="D2" t="s">
        <v>299</v>
      </c>
      <c r="E2" t="s">
        <v>300</v>
      </c>
      <c r="F2" t="s">
        <v>301</v>
      </c>
      <c r="G2" t="s">
        <v>302</v>
      </c>
      <c r="H2" t="s">
        <v>303</v>
      </c>
      <c r="I2" t="s">
        <v>304</v>
      </c>
      <c r="J2" t="s">
        <v>305</v>
      </c>
    </row>
    <row r="3" spans="1:10" x14ac:dyDescent="0.25">
      <c r="A3" t="s">
        <v>105</v>
      </c>
      <c r="B3">
        <v>3760</v>
      </c>
      <c r="C3">
        <v>8</v>
      </c>
      <c r="D3">
        <v>99</v>
      </c>
      <c r="E3">
        <v>894</v>
      </c>
      <c r="F3">
        <v>934</v>
      </c>
      <c r="G3">
        <v>609</v>
      </c>
      <c r="H3">
        <v>832</v>
      </c>
      <c r="I3">
        <v>146</v>
      </c>
      <c r="J3">
        <v>148</v>
      </c>
    </row>
    <row r="4" spans="1:10" x14ac:dyDescent="0.25">
      <c r="A4" t="s">
        <v>106</v>
      </c>
      <c r="B4">
        <v>5441</v>
      </c>
      <c r="C4">
        <v>31</v>
      </c>
      <c r="D4">
        <v>338</v>
      </c>
      <c r="E4">
        <v>587</v>
      </c>
      <c r="F4">
        <v>1628</v>
      </c>
      <c r="G4">
        <v>1001</v>
      </c>
      <c r="H4">
        <v>1224</v>
      </c>
      <c r="I4">
        <v>192</v>
      </c>
      <c r="J4">
        <v>136</v>
      </c>
    </row>
    <row r="5" spans="1:10" x14ac:dyDescent="0.25">
      <c r="A5" t="s">
        <v>107</v>
      </c>
      <c r="B5">
        <v>4695</v>
      </c>
      <c r="C5">
        <v>112</v>
      </c>
      <c r="D5">
        <v>345</v>
      </c>
      <c r="E5">
        <v>335</v>
      </c>
      <c r="F5">
        <v>1281</v>
      </c>
      <c r="G5">
        <v>751</v>
      </c>
      <c r="H5">
        <v>839</v>
      </c>
      <c r="I5">
        <v>144</v>
      </c>
      <c r="J5">
        <v>200</v>
      </c>
    </row>
    <row r="6" spans="1:10" x14ac:dyDescent="0.25">
      <c r="A6" t="s">
        <v>108</v>
      </c>
      <c r="B6">
        <v>2463</v>
      </c>
      <c r="C6">
        <v>18</v>
      </c>
      <c r="D6">
        <v>82</v>
      </c>
      <c r="E6">
        <v>448</v>
      </c>
      <c r="F6">
        <v>499</v>
      </c>
      <c r="G6">
        <v>336</v>
      </c>
      <c r="H6">
        <v>464</v>
      </c>
      <c r="I6">
        <v>98</v>
      </c>
      <c r="J6">
        <v>79</v>
      </c>
    </row>
    <row r="7" spans="1:10" x14ac:dyDescent="0.25">
      <c r="A7" t="s">
        <v>109</v>
      </c>
      <c r="B7">
        <v>3290</v>
      </c>
      <c r="C7">
        <v>41</v>
      </c>
      <c r="D7">
        <v>203</v>
      </c>
      <c r="E7">
        <v>243</v>
      </c>
      <c r="F7">
        <v>1235</v>
      </c>
      <c r="G7">
        <v>691</v>
      </c>
      <c r="H7">
        <v>810</v>
      </c>
      <c r="I7">
        <v>115</v>
      </c>
      <c r="J7">
        <v>129</v>
      </c>
    </row>
    <row r="8" spans="1:10" x14ac:dyDescent="0.25">
      <c r="A8" t="s">
        <v>110</v>
      </c>
      <c r="B8">
        <v>3660</v>
      </c>
      <c r="C8">
        <v>50</v>
      </c>
      <c r="D8">
        <v>180</v>
      </c>
      <c r="E8">
        <v>346</v>
      </c>
      <c r="F8">
        <v>818</v>
      </c>
      <c r="G8">
        <v>334</v>
      </c>
      <c r="H8">
        <v>484</v>
      </c>
      <c r="I8">
        <v>99</v>
      </c>
      <c r="J8">
        <v>151</v>
      </c>
    </row>
    <row r="9" spans="1:10" x14ac:dyDescent="0.25">
      <c r="A9" t="s">
        <v>111</v>
      </c>
      <c r="B9">
        <v>3248</v>
      </c>
      <c r="C9">
        <v>0</v>
      </c>
      <c r="D9">
        <v>132</v>
      </c>
      <c r="E9">
        <v>283</v>
      </c>
      <c r="F9">
        <v>926</v>
      </c>
      <c r="G9">
        <v>485</v>
      </c>
      <c r="H9">
        <v>472</v>
      </c>
      <c r="I9">
        <v>137</v>
      </c>
      <c r="J9">
        <v>102</v>
      </c>
    </row>
    <row r="10" spans="1:10" x14ac:dyDescent="0.25">
      <c r="A10" t="s">
        <v>112</v>
      </c>
      <c r="B10">
        <v>5294</v>
      </c>
      <c r="C10">
        <v>112</v>
      </c>
      <c r="D10">
        <v>393</v>
      </c>
      <c r="E10">
        <v>400</v>
      </c>
      <c r="F10">
        <v>1150</v>
      </c>
      <c r="G10">
        <v>793</v>
      </c>
      <c r="H10">
        <v>895</v>
      </c>
      <c r="I10">
        <v>152</v>
      </c>
      <c r="J10">
        <v>122</v>
      </c>
    </row>
    <row r="11" spans="1:10" x14ac:dyDescent="0.25">
      <c r="A11" t="s">
        <v>113</v>
      </c>
      <c r="B11">
        <v>252</v>
      </c>
      <c r="C11">
        <v>9</v>
      </c>
      <c r="D11">
        <v>24</v>
      </c>
      <c r="E11">
        <v>85</v>
      </c>
      <c r="F11">
        <v>50</v>
      </c>
      <c r="G11">
        <v>45</v>
      </c>
      <c r="H11">
        <v>53</v>
      </c>
      <c r="I11">
        <v>8</v>
      </c>
      <c r="J11">
        <v>8</v>
      </c>
    </row>
    <row r="12" spans="1:10" x14ac:dyDescent="0.25">
      <c r="A12" t="s">
        <v>114</v>
      </c>
      <c r="B12">
        <v>807</v>
      </c>
      <c r="C12">
        <v>0</v>
      </c>
      <c r="D12">
        <v>35</v>
      </c>
      <c r="E12">
        <v>376</v>
      </c>
      <c r="F12">
        <v>86</v>
      </c>
      <c r="G12">
        <v>26</v>
      </c>
      <c r="H12">
        <v>97</v>
      </c>
      <c r="I12">
        <v>33</v>
      </c>
      <c r="J12">
        <v>27</v>
      </c>
    </row>
    <row r="13" spans="1:10" x14ac:dyDescent="0.25">
      <c r="A13" t="s">
        <v>115</v>
      </c>
      <c r="B13">
        <v>1944</v>
      </c>
      <c r="C13">
        <v>71</v>
      </c>
      <c r="D13">
        <v>105</v>
      </c>
      <c r="E13">
        <v>252</v>
      </c>
      <c r="F13">
        <v>436</v>
      </c>
      <c r="G13">
        <v>283</v>
      </c>
      <c r="H13">
        <v>334</v>
      </c>
      <c r="I13">
        <v>70</v>
      </c>
      <c r="J13">
        <v>74</v>
      </c>
    </row>
    <row r="14" spans="1:10" x14ac:dyDescent="0.25">
      <c r="A14" t="s">
        <v>116</v>
      </c>
      <c r="B14">
        <v>571</v>
      </c>
      <c r="C14">
        <v>2</v>
      </c>
      <c r="D14">
        <v>33</v>
      </c>
      <c r="E14">
        <v>155</v>
      </c>
      <c r="F14">
        <v>203</v>
      </c>
      <c r="G14">
        <v>93</v>
      </c>
      <c r="H14">
        <v>136</v>
      </c>
      <c r="I14">
        <v>8</v>
      </c>
      <c r="J14">
        <v>5</v>
      </c>
    </row>
    <row r="15" spans="1:10" x14ac:dyDescent="0.25">
      <c r="A15" t="s">
        <v>117</v>
      </c>
      <c r="B15">
        <v>1470</v>
      </c>
      <c r="C15">
        <v>27</v>
      </c>
      <c r="D15">
        <v>47</v>
      </c>
      <c r="E15">
        <v>224</v>
      </c>
      <c r="F15">
        <v>280</v>
      </c>
      <c r="G15">
        <v>206</v>
      </c>
      <c r="H15">
        <v>227</v>
      </c>
      <c r="I15">
        <v>56</v>
      </c>
      <c r="J15">
        <v>20</v>
      </c>
    </row>
    <row r="16" spans="1:10" x14ac:dyDescent="0.25">
      <c r="A16" t="s">
        <v>118</v>
      </c>
      <c r="B16">
        <v>415</v>
      </c>
      <c r="C16">
        <v>2</v>
      </c>
      <c r="D16">
        <v>42</v>
      </c>
      <c r="E16">
        <v>112</v>
      </c>
      <c r="F16">
        <v>69</v>
      </c>
      <c r="G16">
        <v>18</v>
      </c>
      <c r="H16">
        <v>43</v>
      </c>
      <c r="I16">
        <v>18</v>
      </c>
      <c r="J16">
        <v>16</v>
      </c>
    </row>
    <row r="17" spans="1:10" x14ac:dyDescent="0.25">
      <c r="A17" t="s">
        <v>119</v>
      </c>
      <c r="B17">
        <v>3793</v>
      </c>
      <c r="C17">
        <v>40</v>
      </c>
      <c r="D17">
        <v>526</v>
      </c>
      <c r="E17">
        <v>200</v>
      </c>
      <c r="F17">
        <v>905</v>
      </c>
      <c r="G17">
        <v>614</v>
      </c>
      <c r="H17">
        <v>616</v>
      </c>
      <c r="I17">
        <v>102</v>
      </c>
      <c r="J17">
        <v>91</v>
      </c>
    </row>
    <row r="18" spans="1:10" x14ac:dyDescent="0.25">
      <c r="A18" t="s">
        <v>120</v>
      </c>
      <c r="B18">
        <v>1147</v>
      </c>
      <c r="C18">
        <v>0</v>
      </c>
      <c r="D18">
        <v>5</v>
      </c>
      <c r="E18">
        <v>193</v>
      </c>
      <c r="F18">
        <v>60</v>
      </c>
      <c r="G18">
        <v>52</v>
      </c>
      <c r="H18">
        <v>48</v>
      </c>
      <c r="I18">
        <v>12</v>
      </c>
      <c r="J18">
        <v>8</v>
      </c>
    </row>
    <row r="19" spans="1:10" x14ac:dyDescent="0.25">
      <c r="A19" t="s">
        <v>121</v>
      </c>
      <c r="B19">
        <v>1644</v>
      </c>
      <c r="C19">
        <v>4</v>
      </c>
      <c r="D19">
        <v>66</v>
      </c>
      <c r="E19">
        <v>322</v>
      </c>
      <c r="F19">
        <v>408</v>
      </c>
      <c r="G19">
        <v>204</v>
      </c>
      <c r="H19">
        <v>242</v>
      </c>
      <c r="I19">
        <v>36</v>
      </c>
      <c r="J19">
        <v>23</v>
      </c>
    </row>
    <row r="20" spans="1:10" x14ac:dyDescent="0.25">
      <c r="A20" t="s">
        <v>122</v>
      </c>
      <c r="B20">
        <v>5535</v>
      </c>
      <c r="C20">
        <v>105</v>
      </c>
      <c r="D20">
        <v>365</v>
      </c>
      <c r="E20">
        <v>759</v>
      </c>
      <c r="F20">
        <v>1497</v>
      </c>
      <c r="G20">
        <v>951</v>
      </c>
      <c r="H20">
        <v>1065</v>
      </c>
      <c r="I20">
        <v>226</v>
      </c>
      <c r="J20">
        <v>215</v>
      </c>
    </row>
    <row r="21" spans="1:10" x14ac:dyDescent="0.25">
      <c r="A21" t="s">
        <v>123</v>
      </c>
      <c r="B21">
        <v>2474</v>
      </c>
      <c r="C21">
        <v>9</v>
      </c>
      <c r="D21">
        <v>123</v>
      </c>
      <c r="E21">
        <v>235</v>
      </c>
      <c r="F21">
        <v>453</v>
      </c>
      <c r="G21">
        <v>372</v>
      </c>
      <c r="H21">
        <v>403</v>
      </c>
      <c r="I21">
        <v>85</v>
      </c>
      <c r="J21">
        <v>58</v>
      </c>
    </row>
    <row r="22" spans="1:10" x14ac:dyDescent="0.25">
      <c r="A22" t="s">
        <v>124</v>
      </c>
      <c r="B22">
        <v>1168</v>
      </c>
      <c r="C22">
        <v>24</v>
      </c>
      <c r="D22">
        <v>109</v>
      </c>
      <c r="E22">
        <v>299</v>
      </c>
      <c r="F22">
        <v>263</v>
      </c>
      <c r="G22">
        <v>221</v>
      </c>
      <c r="H22">
        <v>185</v>
      </c>
      <c r="I22">
        <v>21</v>
      </c>
      <c r="J22">
        <v>27</v>
      </c>
    </row>
    <row r="23" spans="1:10" x14ac:dyDescent="0.25">
      <c r="A23" t="s">
        <v>125</v>
      </c>
      <c r="B23">
        <v>5447</v>
      </c>
      <c r="C23">
        <v>98</v>
      </c>
      <c r="D23">
        <v>262</v>
      </c>
      <c r="E23">
        <v>416</v>
      </c>
      <c r="F23">
        <v>1152</v>
      </c>
      <c r="G23">
        <v>759</v>
      </c>
      <c r="H23">
        <v>880</v>
      </c>
      <c r="I23">
        <v>198</v>
      </c>
      <c r="J23">
        <v>240</v>
      </c>
    </row>
    <row r="24" spans="1:10" x14ac:dyDescent="0.25">
      <c r="A24" t="s">
        <v>126</v>
      </c>
      <c r="B24">
        <v>1020</v>
      </c>
      <c r="C24">
        <v>7</v>
      </c>
      <c r="D24">
        <v>90</v>
      </c>
      <c r="E24">
        <v>240</v>
      </c>
      <c r="F24">
        <v>218</v>
      </c>
      <c r="G24">
        <v>188</v>
      </c>
      <c r="H24">
        <v>252</v>
      </c>
      <c r="I24">
        <v>24</v>
      </c>
      <c r="J24">
        <v>18</v>
      </c>
    </row>
    <row r="25" spans="1:10" x14ac:dyDescent="0.25">
      <c r="A25" t="s">
        <v>127</v>
      </c>
      <c r="B25">
        <v>2865</v>
      </c>
      <c r="C25">
        <v>43</v>
      </c>
      <c r="D25">
        <v>161</v>
      </c>
      <c r="E25">
        <v>323</v>
      </c>
      <c r="F25">
        <v>696</v>
      </c>
      <c r="G25">
        <v>416</v>
      </c>
      <c r="H25">
        <v>536</v>
      </c>
      <c r="I25">
        <v>92</v>
      </c>
      <c r="J25">
        <v>89</v>
      </c>
    </row>
    <row r="26" spans="1:10" x14ac:dyDescent="0.25">
      <c r="A26" t="s">
        <v>128</v>
      </c>
      <c r="B26">
        <v>5195</v>
      </c>
      <c r="C26">
        <v>106</v>
      </c>
      <c r="D26">
        <v>397</v>
      </c>
      <c r="E26">
        <v>310</v>
      </c>
      <c r="F26">
        <v>1906</v>
      </c>
      <c r="G26">
        <v>1139</v>
      </c>
      <c r="H26">
        <v>1449</v>
      </c>
      <c r="I26">
        <v>166</v>
      </c>
      <c r="J26">
        <v>150</v>
      </c>
    </row>
    <row r="27" spans="1:10" x14ac:dyDescent="0.25">
      <c r="A27" t="s">
        <v>129</v>
      </c>
      <c r="B27">
        <v>3580</v>
      </c>
      <c r="C27">
        <v>39</v>
      </c>
      <c r="D27">
        <v>290</v>
      </c>
      <c r="E27">
        <v>504</v>
      </c>
      <c r="F27">
        <v>927</v>
      </c>
      <c r="G27">
        <v>592</v>
      </c>
      <c r="H27">
        <v>641</v>
      </c>
      <c r="I27">
        <v>102</v>
      </c>
      <c r="J27">
        <v>105</v>
      </c>
    </row>
    <row r="28" spans="1:10" x14ac:dyDescent="0.25">
      <c r="A28" t="s">
        <v>87</v>
      </c>
      <c r="B28">
        <v>71178</v>
      </c>
      <c r="C28">
        <v>958</v>
      </c>
      <c r="D28">
        <v>4452</v>
      </c>
      <c r="E28">
        <v>8541</v>
      </c>
      <c r="F28">
        <v>18080</v>
      </c>
      <c r="G28">
        <v>11179</v>
      </c>
      <c r="H28">
        <v>13227</v>
      </c>
      <c r="I28">
        <v>2340</v>
      </c>
      <c r="J28">
        <v>2241</v>
      </c>
    </row>
    <row r="29" spans="1:10" x14ac:dyDescent="0.25">
      <c r="A29" t="s">
        <v>130</v>
      </c>
      <c r="B29">
        <v>11541</v>
      </c>
      <c r="C29">
        <v>135</v>
      </c>
      <c r="D29">
        <v>1067</v>
      </c>
      <c r="E29">
        <v>1596</v>
      </c>
      <c r="F29">
        <v>2358</v>
      </c>
      <c r="G29">
        <v>1601</v>
      </c>
      <c r="H29">
        <v>1777</v>
      </c>
      <c r="I29">
        <v>361</v>
      </c>
      <c r="J29">
        <v>331</v>
      </c>
    </row>
    <row r="30" spans="1:10" x14ac:dyDescent="0.25">
      <c r="A30" t="s">
        <v>131</v>
      </c>
      <c r="B30">
        <v>59637</v>
      </c>
      <c r="C30">
        <v>823</v>
      </c>
      <c r="D30">
        <v>3385</v>
      </c>
      <c r="E30">
        <v>6945</v>
      </c>
      <c r="F30">
        <v>15722</v>
      </c>
      <c r="G30">
        <v>9578</v>
      </c>
      <c r="H30">
        <v>11450</v>
      </c>
      <c r="I30">
        <v>1979</v>
      </c>
      <c r="J30">
        <v>1910</v>
      </c>
    </row>
  </sheetData>
  <mergeCells count="4">
    <mergeCell ref="I1:J1"/>
    <mergeCell ref="C1:E1"/>
    <mergeCell ref="F1:H1"/>
    <mergeCell ref="A1:A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A9D18E"/>
  </sheetPr>
  <dimension ref="A1:N30"/>
  <sheetViews>
    <sheetView workbookViewId="0">
      <selection sqref="A1:A2"/>
    </sheetView>
  </sheetViews>
  <sheetFormatPr defaultRowHeight="15" x14ac:dyDescent="0.25"/>
  <cols>
    <col min="1" max="1" width="30.42578125" customWidth="1"/>
    <col min="2" max="2" width="11.140625" customWidth="1"/>
    <col min="4" max="4" width="10.85546875" customWidth="1"/>
    <col min="5" max="5" width="11.140625" customWidth="1"/>
    <col min="8" max="8" width="12.85546875" customWidth="1"/>
    <col min="10" max="10" width="11.85546875" customWidth="1"/>
    <col min="11" max="11" width="11.28515625" customWidth="1"/>
    <col min="12" max="12" width="15.140625" customWidth="1"/>
    <col min="13" max="13" width="9.42578125" customWidth="1"/>
    <col min="14" max="14" width="10.85546875" customWidth="1"/>
  </cols>
  <sheetData>
    <row r="1" spans="1:14" x14ac:dyDescent="0.25">
      <c r="A1" s="27" t="s">
        <v>104</v>
      </c>
      <c r="B1" s="27" t="s">
        <v>306</v>
      </c>
      <c r="C1" s="27"/>
      <c r="D1" s="27"/>
      <c r="E1" s="27"/>
      <c r="F1" t="s">
        <v>307</v>
      </c>
      <c r="G1" t="s">
        <v>308</v>
      </c>
      <c r="H1" s="27" t="s">
        <v>309</v>
      </c>
      <c r="I1" s="27"/>
      <c r="J1" s="27" t="s">
        <v>310</v>
      </c>
      <c r="K1" s="27"/>
      <c r="L1" s="27"/>
      <c r="M1" s="27"/>
      <c r="N1" s="27"/>
    </row>
    <row r="2" spans="1:14" x14ac:dyDescent="0.25">
      <c r="A2" s="27"/>
      <c r="B2" t="s">
        <v>311</v>
      </c>
      <c r="C2" t="s">
        <v>312</v>
      </c>
      <c r="D2" t="s">
        <v>84</v>
      </c>
      <c r="E2" t="s">
        <v>86</v>
      </c>
      <c r="F2" t="s">
        <v>280</v>
      </c>
      <c r="G2" t="s">
        <v>313</v>
      </c>
      <c r="H2" t="s">
        <v>314</v>
      </c>
      <c r="I2" t="s">
        <v>315</v>
      </c>
      <c r="J2" t="s">
        <v>316</v>
      </c>
      <c r="K2" t="s">
        <v>317</v>
      </c>
      <c r="L2" t="s">
        <v>318</v>
      </c>
      <c r="M2" t="s">
        <v>319</v>
      </c>
      <c r="N2" t="s">
        <v>320</v>
      </c>
    </row>
    <row r="3" spans="1:14" x14ac:dyDescent="0.25">
      <c r="A3" t="s">
        <v>105</v>
      </c>
      <c r="B3">
        <v>687</v>
      </c>
      <c r="C3">
        <v>616</v>
      </c>
      <c r="D3">
        <v>6</v>
      </c>
      <c r="E3">
        <v>2</v>
      </c>
      <c r="F3">
        <v>4</v>
      </c>
      <c r="G3">
        <v>4</v>
      </c>
      <c r="H3">
        <v>51851</v>
      </c>
      <c r="I3">
        <v>12125841</v>
      </c>
      <c r="J3">
        <v>100</v>
      </c>
      <c r="K3">
        <v>26</v>
      </c>
      <c r="L3">
        <v>9</v>
      </c>
      <c r="M3">
        <v>145</v>
      </c>
      <c r="N3">
        <v>27</v>
      </c>
    </row>
    <row r="4" spans="1:14" x14ac:dyDescent="0.25">
      <c r="A4" t="s">
        <v>106</v>
      </c>
      <c r="B4">
        <v>1100</v>
      </c>
      <c r="C4">
        <v>1073</v>
      </c>
      <c r="D4">
        <v>5</v>
      </c>
      <c r="E4">
        <v>2</v>
      </c>
      <c r="F4">
        <v>8</v>
      </c>
      <c r="G4">
        <v>7</v>
      </c>
      <c r="H4">
        <v>59500</v>
      </c>
      <c r="I4">
        <v>12432941</v>
      </c>
      <c r="J4">
        <v>149</v>
      </c>
      <c r="K4">
        <v>55</v>
      </c>
      <c r="L4">
        <v>48</v>
      </c>
      <c r="M4">
        <v>126</v>
      </c>
      <c r="N4">
        <v>54</v>
      </c>
    </row>
    <row r="5" spans="1:14" x14ac:dyDescent="0.25">
      <c r="A5" t="s">
        <v>107</v>
      </c>
      <c r="B5">
        <v>703</v>
      </c>
      <c r="C5">
        <v>650</v>
      </c>
      <c r="D5">
        <v>7</v>
      </c>
      <c r="E5">
        <v>2</v>
      </c>
      <c r="F5">
        <v>30</v>
      </c>
      <c r="G5">
        <v>0</v>
      </c>
      <c r="H5">
        <v>42922</v>
      </c>
      <c r="I5">
        <v>11034024</v>
      </c>
      <c r="J5">
        <v>66</v>
      </c>
      <c r="K5">
        <v>21</v>
      </c>
      <c r="L5">
        <v>23</v>
      </c>
      <c r="M5">
        <v>467</v>
      </c>
      <c r="N5">
        <v>24</v>
      </c>
    </row>
    <row r="6" spans="1:14" x14ac:dyDescent="0.25">
      <c r="A6" t="s">
        <v>108</v>
      </c>
      <c r="B6">
        <v>458</v>
      </c>
      <c r="C6">
        <v>422</v>
      </c>
      <c r="D6">
        <v>6</v>
      </c>
      <c r="E6">
        <v>2</v>
      </c>
      <c r="F6">
        <v>2</v>
      </c>
      <c r="G6">
        <v>0</v>
      </c>
      <c r="H6">
        <v>51760</v>
      </c>
      <c r="I6">
        <v>13181354</v>
      </c>
      <c r="J6">
        <v>61</v>
      </c>
      <c r="K6">
        <v>34</v>
      </c>
      <c r="L6">
        <v>19</v>
      </c>
      <c r="M6">
        <v>207</v>
      </c>
      <c r="N6">
        <v>38</v>
      </c>
    </row>
    <row r="7" spans="1:14" x14ac:dyDescent="0.25">
      <c r="A7" t="s">
        <v>109</v>
      </c>
      <c r="B7">
        <v>559</v>
      </c>
      <c r="C7">
        <v>538</v>
      </c>
      <c r="D7">
        <v>6</v>
      </c>
      <c r="E7">
        <v>1</v>
      </c>
      <c r="F7">
        <v>8</v>
      </c>
      <c r="G7">
        <v>0</v>
      </c>
      <c r="H7">
        <v>42251</v>
      </c>
      <c r="I7">
        <v>11348481</v>
      </c>
      <c r="J7">
        <v>130</v>
      </c>
      <c r="K7">
        <v>66</v>
      </c>
      <c r="L7">
        <v>21</v>
      </c>
      <c r="M7">
        <v>364</v>
      </c>
      <c r="N7">
        <v>28</v>
      </c>
    </row>
    <row r="8" spans="1:14" x14ac:dyDescent="0.25">
      <c r="A8" t="s">
        <v>110</v>
      </c>
      <c r="B8">
        <v>683</v>
      </c>
      <c r="C8">
        <v>646</v>
      </c>
      <c r="D8">
        <v>7</v>
      </c>
      <c r="E8">
        <v>2</v>
      </c>
      <c r="F8">
        <v>42</v>
      </c>
      <c r="G8">
        <v>2</v>
      </c>
      <c r="H8">
        <v>79408</v>
      </c>
      <c r="I8">
        <v>16600587</v>
      </c>
      <c r="J8">
        <v>183</v>
      </c>
      <c r="K8">
        <v>50</v>
      </c>
      <c r="L8">
        <v>31</v>
      </c>
      <c r="M8">
        <v>388</v>
      </c>
      <c r="N8">
        <v>89</v>
      </c>
    </row>
    <row r="9" spans="1:14" x14ac:dyDescent="0.25">
      <c r="A9" t="s">
        <v>111</v>
      </c>
      <c r="B9">
        <v>540</v>
      </c>
      <c r="C9">
        <v>520</v>
      </c>
      <c r="D9">
        <v>7</v>
      </c>
      <c r="E9">
        <v>2</v>
      </c>
      <c r="F9">
        <v>3</v>
      </c>
      <c r="G9">
        <v>0</v>
      </c>
      <c r="H9">
        <v>49932</v>
      </c>
      <c r="I9">
        <v>11111035</v>
      </c>
      <c r="J9">
        <v>73</v>
      </c>
      <c r="K9">
        <v>13</v>
      </c>
      <c r="L9">
        <v>19</v>
      </c>
      <c r="M9">
        <v>212</v>
      </c>
      <c r="N9">
        <v>30</v>
      </c>
    </row>
    <row r="10" spans="1:14" x14ac:dyDescent="0.25">
      <c r="A10" t="s">
        <v>112</v>
      </c>
      <c r="B10">
        <v>692</v>
      </c>
      <c r="C10">
        <v>643</v>
      </c>
      <c r="D10">
        <v>6</v>
      </c>
      <c r="E10">
        <v>2</v>
      </c>
      <c r="F10">
        <v>13</v>
      </c>
      <c r="G10">
        <v>0</v>
      </c>
      <c r="H10">
        <v>40988</v>
      </c>
      <c r="I10">
        <v>15546371</v>
      </c>
      <c r="J10">
        <v>29</v>
      </c>
      <c r="K10">
        <v>8</v>
      </c>
      <c r="L10">
        <v>18</v>
      </c>
      <c r="M10">
        <v>335</v>
      </c>
      <c r="N10">
        <v>8</v>
      </c>
    </row>
    <row r="11" spans="1:14" x14ac:dyDescent="0.25">
      <c r="A11" t="s">
        <v>113</v>
      </c>
      <c r="B11">
        <v>42</v>
      </c>
      <c r="C11">
        <v>36</v>
      </c>
      <c r="D11">
        <v>6</v>
      </c>
      <c r="E11">
        <v>2</v>
      </c>
      <c r="F11">
        <v>0</v>
      </c>
      <c r="G11">
        <v>0</v>
      </c>
      <c r="H11">
        <v>46582</v>
      </c>
      <c r="I11">
        <v>6895077</v>
      </c>
      <c r="J11">
        <v>3</v>
      </c>
      <c r="K11">
        <v>1</v>
      </c>
      <c r="L11">
        <v>1</v>
      </c>
      <c r="M11">
        <v>42</v>
      </c>
      <c r="N11">
        <v>0</v>
      </c>
    </row>
    <row r="12" spans="1:14" x14ac:dyDescent="0.25">
      <c r="A12" t="s">
        <v>114</v>
      </c>
      <c r="B12">
        <v>183</v>
      </c>
      <c r="C12">
        <v>172</v>
      </c>
      <c r="D12">
        <v>6</v>
      </c>
      <c r="E12">
        <v>2</v>
      </c>
      <c r="F12">
        <v>3</v>
      </c>
      <c r="G12">
        <v>0</v>
      </c>
      <c r="H12">
        <v>81683</v>
      </c>
      <c r="I12">
        <v>11954892</v>
      </c>
      <c r="J12">
        <v>28</v>
      </c>
      <c r="K12">
        <v>5</v>
      </c>
      <c r="L12">
        <v>2</v>
      </c>
      <c r="M12">
        <v>113</v>
      </c>
      <c r="N12">
        <v>1</v>
      </c>
    </row>
    <row r="13" spans="1:14" x14ac:dyDescent="0.25">
      <c r="A13" t="s">
        <v>115</v>
      </c>
      <c r="B13">
        <v>402</v>
      </c>
      <c r="C13">
        <v>371</v>
      </c>
      <c r="D13">
        <v>6</v>
      </c>
      <c r="E13">
        <v>2</v>
      </c>
      <c r="F13">
        <v>8</v>
      </c>
      <c r="G13">
        <v>0</v>
      </c>
      <c r="H13">
        <v>55336</v>
      </c>
      <c r="I13">
        <v>12442739</v>
      </c>
      <c r="J13">
        <v>40</v>
      </c>
      <c r="K13">
        <v>11</v>
      </c>
      <c r="L13">
        <v>7</v>
      </c>
      <c r="M13">
        <v>213</v>
      </c>
      <c r="N13">
        <v>7</v>
      </c>
    </row>
    <row r="14" spans="1:14" x14ac:dyDescent="0.25">
      <c r="A14" t="s">
        <v>116</v>
      </c>
      <c r="B14">
        <v>112</v>
      </c>
      <c r="C14">
        <v>111</v>
      </c>
      <c r="D14">
        <v>6</v>
      </c>
      <c r="E14">
        <v>2</v>
      </c>
      <c r="F14">
        <v>0</v>
      </c>
      <c r="G14">
        <v>0</v>
      </c>
      <c r="H14">
        <v>74203</v>
      </c>
      <c r="I14">
        <v>13237762</v>
      </c>
      <c r="J14">
        <v>8</v>
      </c>
      <c r="K14">
        <v>4</v>
      </c>
      <c r="L14">
        <v>0</v>
      </c>
      <c r="M14">
        <v>91</v>
      </c>
      <c r="N14">
        <v>0</v>
      </c>
    </row>
    <row r="15" spans="1:14" x14ac:dyDescent="0.25">
      <c r="A15" t="s">
        <v>117</v>
      </c>
      <c r="B15">
        <v>303</v>
      </c>
      <c r="C15">
        <v>292</v>
      </c>
      <c r="D15">
        <v>5</v>
      </c>
      <c r="E15">
        <v>1</v>
      </c>
      <c r="F15">
        <v>1</v>
      </c>
      <c r="G15">
        <v>0</v>
      </c>
      <c r="H15">
        <v>71698</v>
      </c>
      <c r="I15">
        <v>10718490</v>
      </c>
      <c r="J15">
        <v>50</v>
      </c>
      <c r="K15">
        <v>70</v>
      </c>
      <c r="L15">
        <v>3</v>
      </c>
      <c r="M15">
        <v>98</v>
      </c>
      <c r="N15">
        <v>6</v>
      </c>
    </row>
    <row r="16" spans="1:14" x14ac:dyDescent="0.25">
      <c r="A16" t="s">
        <v>118</v>
      </c>
      <c r="B16">
        <v>73</v>
      </c>
      <c r="C16">
        <v>72</v>
      </c>
      <c r="D16">
        <v>6</v>
      </c>
      <c r="E16">
        <v>3</v>
      </c>
      <c r="F16">
        <v>0</v>
      </c>
      <c r="G16">
        <v>0</v>
      </c>
      <c r="H16">
        <v>57728</v>
      </c>
      <c r="I16">
        <v>11395283</v>
      </c>
      <c r="J16">
        <v>2</v>
      </c>
      <c r="K16">
        <v>1</v>
      </c>
      <c r="L16">
        <v>4</v>
      </c>
      <c r="M16">
        <v>5</v>
      </c>
      <c r="N16">
        <v>2</v>
      </c>
    </row>
    <row r="17" spans="1:14" x14ac:dyDescent="0.25">
      <c r="A17" t="s">
        <v>119</v>
      </c>
      <c r="B17">
        <v>360</v>
      </c>
      <c r="C17">
        <v>353</v>
      </c>
      <c r="D17">
        <v>8</v>
      </c>
      <c r="E17">
        <v>3</v>
      </c>
      <c r="F17">
        <v>1</v>
      </c>
      <c r="G17">
        <v>1</v>
      </c>
      <c r="H17">
        <v>33152</v>
      </c>
      <c r="I17">
        <v>19731288</v>
      </c>
      <c r="J17">
        <v>81</v>
      </c>
      <c r="K17">
        <v>7</v>
      </c>
      <c r="L17">
        <v>6</v>
      </c>
      <c r="M17">
        <v>75</v>
      </c>
      <c r="N17">
        <v>44</v>
      </c>
    </row>
    <row r="18" spans="1:14" x14ac:dyDescent="0.25">
      <c r="A18" t="s">
        <v>120</v>
      </c>
      <c r="B18">
        <v>138</v>
      </c>
      <c r="C18">
        <v>52</v>
      </c>
      <c r="D18">
        <v>3</v>
      </c>
      <c r="E18">
        <v>1</v>
      </c>
      <c r="F18">
        <v>2</v>
      </c>
      <c r="G18">
        <v>0</v>
      </c>
      <c r="H18">
        <v>51925</v>
      </c>
      <c r="I18">
        <v>14069064</v>
      </c>
      <c r="J18">
        <v>2</v>
      </c>
      <c r="K18">
        <v>0</v>
      </c>
      <c r="L18">
        <v>1</v>
      </c>
      <c r="M18">
        <v>5</v>
      </c>
      <c r="N18">
        <v>0</v>
      </c>
    </row>
    <row r="19" spans="1:14" x14ac:dyDescent="0.25">
      <c r="A19" t="s">
        <v>121</v>
      </c>
      <c r="B19">
        <v>340</v>
      </c>
      <c r="C19">
        <v>325</v>
      </c>
      <c r="D19">
        <v>8</v>
      </c>
      <c r="E19">
        <v>3</v>
      </c>
      <c r="F19">
        <v>3</v>
      </c>
      <c r="G19">
        <v>2</v>
      </c>
      <c r="H19">
        <v>65742</v>
      </c>
      <c r="I19">
        <v>9597150</v>
      </c>
      <c r="J19">
        <v>44</v>
      </c>
      <c r="K19">
        <v>11</v>
      </c>
      <c r="L19">
        <v>5</v>
      </c>
      <c r="M19">
        <v>113</v>
      </c>
      <c r="N19">
        <v>27</v>
      </c>
    </row>
    <row r="20" spans="1:14" x14ac:dyDescent="0.25">
      <c r="A20" t="s">
        <v>122</v>
      </c>
      <c r="B20">
        <v>938</v>
      </c>
      <c r="C20">
        <v>888</v>
      </c>
      <c r="D20">
        <v>7</v>
      </c>
      <c r="E20">
        <v>2</v>
      </c>
      <c r="F20">
        <v>3</v>
      </c>
      <c r="G20">
        <v>0</v>
      </c>
      <c r="H20">
        <v>40683</v>
      </c>
      <c r="I20">
        <v>8995634</v>
      </c>
      <c r="J20">
        <v>234</v>
      </c>
      <c r="K20">
        <v>58</v>
      </c>
      <c r="L20">
        <v>44</v>
      </c>
      <c r="M20">
        <v>518</v>
      </c>
      <c r="N20">
        <v>86</v>
      </c>
    </row>
    <row r="21" spans="1:14" x14ac:dyDescent="0.25">
      <c r="A21" t="s">
        <v>123</v>
      </c>
      <c r="B21">
        <v>475</v>
      </c>
      <c r="C21">
        <v>459</v>
      </c>
      <c r="D21">
        <v>6</v>
      </c>
      <c r="E21">
        <v>2</v>
      </c>
      <c r="F21">
        <v>2</v>
      </c>
      <c r="G21">
        <v>0</v>
      </c>
      <c r="H21">
        <v>53962</v>
      </c>
      <c r="I21">
        <v>9764332</v>
      </c>
      <c r="J21">
        <v>73</v>
      </c>
      <c r="K21">
        <v>19</v>
      </c>
      <c r="L21">
        <v>15</v>
      </c>
      <c r="M21">
        <v>227</v>
      </c>
      <c r="N21">
        <v>48</v>
      </c>
    </row>
    <row r="22" spans="1:14" x14ac:dyDescent="0.25">
      <c r="A22" t="s">
        <v>124</v>
      </c>
      <c r="B22">
        <v>265</v>
      </c>
      <c r="C22">
        <v>257</v>
      </c>
      <c r="D22">
        <v>7</v>
      </c>
      <c r="E22">
        <v>2</v>
      </c>
      <c r="F22">
        <v>22</v>
      </c>
      <c r="G22">
        <v>0</v>
      </c>
      <c r="H22">
        <v>67298</v>
      </c>
      <c r="I22">
        <v>12181502</v>
      </c>
      <c r="J22">
        <v>10</v>
      </c>
      <c r="K22">
        <v>25</v>
      </c>
      <c r="L22">
        <v>7</v>
      </c>
      <c r="M22">
        <v>74</v>
      </c>
      <c r="N22">
        <v>1</v>
      </c>
    </row>
    <row r="23" spans="1:14" x14ac:dyDescent="0.25">
      <c r="A23" t="s">
        <v>125</v>
      </c>
      <c r="B23">
        <v>808</v>
      </c>
      <c r="C23">
        <v>780</v>
      </c>
      <c r="D23">
        <v>8</v>
      </c>
      <c r="E23">
        <v>2</v>
      </c>
      <c r="F23">
        <v>16</v>
      </c>
      <c r="G23">
        <v>4</v>
      </c>
      <c r="H23">
        <v>44282</v>
      </c>
      <c r="I23">
        <v>10337649</v>
      </c>
      <c r="J23">
        <v>144</v>
      </c>
      <c r="K23">
        <v>79</v>
      </c>
      <c r="L23">
        <v>33</v>
      </c>
      <c r="M23">
        <v>394</v>
      </c>
      <c r="N23">
        <v>23</v>
      </c>
    </row>
    <row r="24" spans="1:14" x14ac:dyDescent="0.25">
      <c r="A24" t="s">
        <v>126</v>
      </c>
      <c r="B24">
        <v>225</v>
      </c>
      <c r="C24">
        <v>217</v>
      </c>
      <c r="D24">
        <v>6</v>
      </c>
      <c r="E24">
        <v>2</v>
      </c>
      <c r="F24">
        <v>8</v>
      </c>
      <c r="G24">
        <v>0</v>
      </c>
      <c r="H24">
        <v>70322</v>
      </c>
      <c r="I24">
        <v>10110095</v>
      </c>
      <c r="J24">
        <v>16</v>
      </c>
      <c r="K24">
        <v>8</v>
      </c>
      <c r="L24">
        <v>12</v>
      </c>
      <c r="M24">
        <v>96</v>
      </c>
      <c r="N24">
        <v>4</v>
      </c>
    </row>
    <row r="25" spans="1:14" x14ac:dyDescent="0.25">
      <c r="A25" t="s">
        <v>127</v>
      </c>
      <c r="B25">
        <v>427</v>
      </c>
      <c r="C25">
        <v>407</v>
      </c>
      <c r="D25">
        <v>9</v>
      </c>
      <c r="E25">
        <v>2</v>
      </c>
      <c r="F25">
        <v>32</v>
      </c>
      <c r="G25">
        <v>0</v>
      </c>
      <c r="H25">
        <v>62346</v>
      </c>
      <c r="I25">
        <v>14410660</v>
      </c>
      <c r="J25">
        <v>143</v>
      </c>
      <c r="K25">
        <v>28</v>
      </c>
      <c r="L25">
        <v>18</v>
      </c>
      <c r="M25">
        <v>227</v>
      </c>
      <c r="N25">
        <v>82</v>
      </c>
    </row>
    <row r="26" spans="1:14" x14ac:dyDescent="0.25">
      <c r="A26" t="s">
        <v>128</v>
      </c>
      <c r="B26">
        <v>730</v>
      </c>
      <c r="C26">
        <v>658</v>
      </c>
      <c r="D26">
        <v>10</v>
      </c>
      <c r="E26">
        <v>2</v>
      </c>
      <c r="F26">
        <v>13</v>
      </c>
      <c r="G26">
        <v>0</v>
      </c>
      <c r="H26">
        <v>43128</v>
      </c>
      <c r="I26">
        <v>11323975</v>
      </c>
      <c r="J26">
        <v>87</v>
      </c>
      <c r="K26">
        <v>28</v>
      </c>
      <c r="L26">
        <v>24</v>
      </c>
      <c r="M26">
        <v>309</v>
      </c>
      <c r="N26">
        <v>36</v>
      </c>
    </row>
    <row r="27" spans="1:14" x14ac:dyDescent="0.25">
      <c r="A27" t="s">
        <v>129</v>
      </c>
      <c r="B27">
        <v>652</v>
      </c>
      <c r="C27">
        <v>624</v>
      </c>
      <c r="D27">
        <v>6</v>
      </c>
      <c r="E27">
        <v>2</v>
      </c>
      <c r="F27">
        <v>33</v>
      </c>
      <c r="G27">
        <v>0</v>
      </c>
      <c r="H27">
        <v>50484</v>
      </c>
      <c r="I27">
        <v>11725641</v>
      </c>
      <c r="J27">
        <v>61</v>
      </c>
      <c r="K27">
        <v>19</v>
      </c>
      <c r="L27">
        <v>46</v>
      </c>
      <c r="M27">
        <v>283</v>
      </c>
      <c r="N27">
        <v>10</v>
      </c>
    </row>
    <row r="28" spans="1:14" x14ac:dyDescent="0.25">
      <c r="A28" t="s">
        <v>87</v>
      </c>
      <c r="B28">
        <v>11895</v>
      </c>
      <c r="C28">
        <v>11182</v>
      </c>
      <c r="D28">
        <v>7</v>
      </c>
      <c r="E28">
        <v>2</v>
      </c>
      <c r="F28">
        <v>257</v>
      </c>
      <c r="G28">
        <v>20</v>
      </c>
      <c r="H28">
        <v>50198</v>
      </c>
      <c r="I28">
        <v>12058004</v>
      </c>
      <c r="J28">
        <v>1817</v>
      </c>
      <c r="K28">
        <v>647</v>
      </c>
      <c r="L28">
        <v>416</v>
      </c>
      <c r="M28">
        <v>5127</v>
      </c>
      <c r="N28">
        <v>675</v>
      </c>
    </row>
    <row r="29" spans="1:14" x14ac:dyDescent="0.25">
      <c r="A29" t="s">
        <v>130</v>
      </c>
      <c r="B29">
        <v>1219</v>
      </c>
      <c r="C29">
        <v>1148</v>
      </c>
      <c r="D29">
        <v>7</v>
      </c>
      <c r="E29">
        <v>2</v>
      </c>
      <c r="F29">
        <v>12</v>
      </c>
      <c r="G29">
        <v>6</v>
      </c>
      <c r="H29">
        <v>38612</v>
      </c>
      <c r="I29">
        <v>16228522</v>
      </c>
      <c r="J29">
        <v>190</v>
      </c>
      <c r="K29">
        <v>94</v>
      </c>
      <c r="L29">
        <v>30</v>
      </c>
      <c r="M29">
        <v>404</v>
      </c>
      <c r="N29">
        <v>85</v>
      </c>
    </row>
    <row r="30" spans="1:14" x14ac:dyDescent="0.25">
      <c r="A30" t="s">
        <v>131</v>
      </c>
      <c r="B30">
        <v>10676</v>
      </c>
      <c r="C30">
        <v>10034</v>
      </c>
      <c r="D30">
        <v>7</v>
      </c>
      <c r="E30">
        <v>2</v>
      </c>
      <c r="F30">
        <v>245</v>
      </c>
      <c r="G30">
        <v>14</v>
      </c>
      <c r="H30">
        <v>52801</v>
      </c>
      <c r="I30">
        <v>11569449</v>
      </c>
      <c r="J30">
        <v>1627</v>
      </c>
      <c r="K30">
        <v>553</v>
      </c>
      <c r="L30">
        <v>386</v>
      </c>
      <c r="M30">
        <v>4723</v>
      </c>
      <c r="N30">
        <v>590</v>
      </c>
    </row>
  </sheetData>
  <mergeCells count="4">
    <mergeCell ref="B1:E1"/>
    <mergeCell ref="J1:N1"/>
    <mergeCell ref="H1:I1"/>
    <mergeCell ref="A1:A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A9D18E"/>
  </sheetPr>
  <dimension ref="A1:N30"/>
  <sheetViews>
    <sheetView workbookViewId="0">
      <selection sqref="A1:A2"/>
    </sheetView>
  </sheetViews>
  <sheetFormatPr defaultRowHeight="15" x14ac:dyDescent="0.25"/>
  <cols>
    <col min="1" max="1" width="30" customWidth="1"/>
    <col min="2" max="2" width="11.42578125" customWidth="1"/>
    <col min="3" max="3" width="11.85546875" customWidth="1"/>
    <col min="4" max="4" width="11.42578125" customWidth="1"/>
    <col min="5" max="5" width="11.85546875" customWidth="1"/>
    <col min="6" max="6" width="11.42578125" customWidth="1"/>
    <col min="7" max="7" width="11.85546875" customWidth="1"/>
    <col min="8" max="8" width="11.42578125" customWidth="1"/>
    <col min="9" max="9" width="11.85546875" customWidth="1"/>
    <col min="10" max="10" width="11.42578125" customWidth="1"/>
    <col min="11" max="11" width="11.85546875" customWidth="1"/>
    <col min="12" max="12" width="11.42578125" customWidth="1"/>
    <col min="13" max="13" width="11.85546875" customWidth="1"/>
    <col min="14" max="14" width="11.42578125" customWidth="1"/>
  </cols>
  <sheetData>
    <row r="1" spans="1:14" x14ac:dyDescent="0.25">
      <c r="A1" s="27" t="s">
        <v>104</v>
      </c>
      <c r="B1" s="27" t="s">
        <v>321</v>
      </c>
      <c r="C1" s="27"/>
      <c r="D1" s="27" t="s">
        <v>322</v>
      </c>
      <c r="E1" s="27"/>
      <c r="F1" s="27" t="s">
        <v>323</v>
      </c>
      <c r="G1" s="27"/>
      <c r="H1" s="27" t="s">
        <v>324</v>
      </c>
      <c r="I1" s="27"/>
      <c r="J1" s="27" t="s">
        <v>325</v>
      </c>
      <c r="K1" s="27"/>
      <c r="L1" s="27" t="s">
        <v>326</v>
      </c>
      <c r="M1" s="27"/>
      <c r="N1" s="27"/>
    </row>
    <row r="2" spans="1:14" x14ac:dyDescent="0.25">
      <c r="A2" s="27"/>
      <c r="B2" t="s">
        <v>327</v>
      </c>
      <c r="C2" t="s">
        <v>328</v>
      </c>
      <c r="D2" t="s">
        <v>327</v>
      </c>
      <c r="E2" t="s">
        <v>328</v>
      </c>
      <c r="F2" t="s">
        <v>327</v>
      </c>
      <c r="G2" t="s">
        <v>328</v>
      </c>
      <c r="H2" t="s">
        <v>327</v>
      </c>
      <c r="I2" t="s">
        <v>328</v>
      </c>
      <c r="J2" t="s">
        <v>329</v>
      </c>
      <c r="K2" t="s">
        <v>330</v>
      </c>
      <c r="L2" t="s">
        <v>301</v>
      </c>
      <c r="M2" t="s">
        <v>302</v>
      </c>
      <c r="N2" t="s">
        <v>303</v>
      </c>
    </row>
    <row r="3" spans="1:14" x14ac:dyDescent="0.25">
      <c r="A3" t="s">
        <v>105</v>
      </c>
      <c r="B3">
        <v>1177</v>
      </c>
      <c r="C3">
        <v>5402</v>
      </c>
      <c r="D3">
        <v>958</v>
      </c>
      <c r="E3">
        <v>4735</v>
      </c>
      <c r="F3">
        <v>217</v>
      </c>
      <c r="G3">
        <v>665</v>
      </c>
      <c r="H3">
        <v>2</v>
      </c>
      <c r="I3">
        <v>2</v>
      </c>
      <c r="J3">
        <v>29</v>
      </c>
      <c r="K3">
        <v>119</v>
      </c>
      <c r="L3">
        <v>257</v>
      </c>
      <c r="M3">
        <v>179</v>
      </c>
      <c r="N3">
        <v>210</v>
      </c>
    </row>
    <row r="4" spans="1:14" x14ac:dyDescent="0.25">
      <c r="A4" t="s">
        <v>106</v>
      </c>
      <c r="B4">
        <v>1885</v>
      </c>
      <c r="C4">
        <v>7921</v>
      </c>
      <c r="D4">
        <v>1417</v>
      </c>
      <c r="E4">
        <v>6507</v>
      </c>
      <c r="F4">
        <v>459</v>
      </c>
      <c r="G4">
        <v>1398</v>
      </c>
      <c r="H4">
        <v>9</v>
      </c>
      <c r="I4">
        <v>16</v>
      </c>
      <c r="J4">
        <v>101</v>
      </c>
      <c r="K4">
        <v>139</v>
      </c>
      <c r="L4">
        <v>471</v>
      </c>
      <c r="M4">
        <v>292</v>
      </c>
      <c r="N4">
        <v>405</v>
      </c>
    </row>
    <row r="5" spans="1:14" x14ac:dyDescent="0.25">
      <c r="A5" t="s">
        <v>107</v>
      </c>
      <c r="B5">
        <v>1567</v>
      </c>
      <c r="C5">
        <v>6719</v>
      </c>
      <c r="D5">
        <v>1493</v>
      </c>
      <c r="E5">
        <v>6507</v>
      </c>
      <c r="F5">
        <v>73</v>
      </c>
      <c r="G5">
        <v>210</v>
      </c>
      <c r="H5">
        <v>1</v>
      </c>
      <c r="I5">
        <v>2</v>
      </c>
      <c r="J5">
        <v>76</v>
      </c>
      <c r="K5">
        <v>59</v>
      </c>
      <c r="L5">
        <v>320</v>
      </c>
      <c r="M5">
        <v>194</v>
      </c>
      <c r="N5">
        <v>218</v>
      </c>
    </row>
    <row r="6" spans="1:14" x14ac:dyDescent="0.25">
      <c r="A6" t="s">
        <v>108</v>
      </c>
      <c r="B6">
        <v>838</v>
      </c>
      <c r="C6">
        <v>3759</v>
      </c>
      <c r="D6">
        <v>777</v>
      </c>
      <c r="E6">
        <v>3607</v>
      </c>
      <c r="F6">
        <v>60</v>
      </c>
      <c r="G6">
        <v>151</v>
      </c>
      <c r="H6">
        <v>1</v>
      </c>
      <c r="I6">
        <v>1</v>
      </c>
      <c r="J6">
        <v>22</v>
      </c>
      <c r="K6">
        <v>63</v>
      </c>
      <c r="L6">
        <v>140</v>
      </c>
      <c r="M6">
        <v>94</v>
      </c>
      <c r="N6">
        <v>138</v>
      </c>
    </row>
    <row r="7" spans="1:14" x14ac:dyDescent="0.25">
      <c r="A7" t="s">
        <v>109</v>
      </c>
      <c r="B7">
        <v>1197</v>
      </c>
      <c r="C7">
        <v>6537</v>
      </c>
      <c r="D7">
        <v>1117</v>
      </c>
      <c r="E7">
        <v>6319</v>
      </c>
      <c r="F7">
        <v>80</v>
      </c>
      <c r="G7">
        <v>218</v>
      </c>
      <c r="H7">
        <v>0</v>
      </c>
      <c r="I7">
        <v>0</v>
      </c>
      <c r="J7">
        <v>48</v>
      </c>
      <c r="K7">
        <v>56</v>
      </c>
      <c r="L7">
        <v>304</v>
      </c>
      <c r="M7">
        <v>183</v>
      </c>
      <c r="N7">
        <v>218</v>
      </c>
    </row>
    <row r="8" spans="1:14" x14ac:dyDescent="0.25">
      <c r="A8" t="s">
        <v>110</v>
      </c>
      <c r="B8">
        <v>1243</v>
      </c>
      <c r="C8">
        <v>5003</v>
      </c>
      <c r="D8">
        <v>1140</v>
      </c>
      <c r="E8">
        <v>4729</v>
      </c>
      <c r="F8">
        <v>101</v>
      </c>
      <c r="G8">
        <v>268</v>
      </c>
      <c r="H8">
        <v>2</v>
      </c>
      <c r="I8">
        <v>6</v>
      </c>
      <c r="J8">
        <v>48</v>
      </c>
      <c r="K8">
        <v>85</v>
      </c>
      <c r="L8">
        <v>227</v>
      </c>
      <c r="M8">
        <v>107</v>
      </c>
      <c r="N8">
        <v>150</v>
      </c>
    </row>
    <row r="9" spans="1:14" x14ac:dyDescent="0.25">
      <c r="A9" t="s">
        <v>111</v>
      </c>
      <c r="B9">
        <v>1024</v>
      </c>
      <c r="C9">
        <v>4611</v>
      </c>
      <c r="D9">
        <v>982</v>
      </c>
      <c r="E9">
        <v>4490</v>
      </c>
      <c r="F9">
        <v>40</v>
      </c>
      <c r="G9">
        <v>118</v>
      </c>
      <c r="H9">
        <v>2</v>
      </c>
      <c r="I9">
        <v>3</v>
      </c>
      <c r="J9">
        <v>31</v>
      </c>
      <c r="K9">
        <v>56</v>
      </c>
      <c r="L9">
        <v>226</v>
      </c>
      <c r="M9">
        <v>122</v>
      </c>
      <c r="N9">
        <v>130</v>
      </c>
    </row>
    <row r="10" spans="1:14" x14ac:dyDescent="0.25">
      <c r="A10" t="s">
        <v>112</v>
      </c>
      <c r="B10">
        <v>1676</v>
      </c>
      <c r="C10">
        <v>7439</v>
      </c>
      <c r="D10">
        <v>1648</v>
      </c>
      <c r="E10">
        <v>7364</v>
      </c>
      <c r="F10">
        <v>28</v>
      </c>
      <c r="G10">
        <v>75</v>
      </c>
      <c r="H10">
        <v>0</v>
      </c>
      <c r="I10">
        <v>0</v>
      </c>
      <c r="J10">
        <v>96</v>
      </c>
      <c r="K10">
        <v>76</v>
      </c>
      <c r="L10">
        <v>304</v>
      </c>
      <c r="M10">
        <v>216</v>
      </c>
      <c r="N10">
        <v>284</v>
      </c>
    </row>
    <row r="11" spans="1:14" x14ac:dyDescent="0.25">
      <c r="A11" t="s">
        <v>113</v>
      </c>
      <c r="B11">
        <v>82</v>
      </c>
      <c r="C11">
        <v>373</v>
      </c>
      <c r="D11">
        <v>82</v>
      </c>
      <c r="E11">
        <v>373</v>
      </c>
      <c r="F11">
        <v>0</v>
      </c>
      <c r="G11">
        <v>0</v>
      </c>
      <c r="H11">
        <v>0</v>
      </c>
      <c r="I11">
        <v>0</v>
      </c>
      <c r="J11">
        <v>6</v>
      </c>
      <c r="K11">
        <v>4</v>
      </c>
      <c r="L11">
        <v>13</v>
      </c>
      <c r="M11">
        <v>11</v>
      </c>
      <c r="N11">
        <v>12</v>
      </c>
    </row>
    <row r="12" spans="1:14" x14ac:dyDescent="0.25">
      <c r="A12" t="s">
        <v>114</v>
      </c>
      <c r="B12">
        <v>269</v>
      </c>
      <c r="C12">
        <v>1207</v>
      </c>
      <c r="D12">
        <v>207</v>
      </c>
      <c r="E12">
        <v>1078</v>
      </c>
      <c r="F12">
        <v>60</v>
      </c>
      <c r="G12">
        <v>127</v>
      </c>
      <c r="H12">
        <v>2</v>
      </c>
      <c r="I12">
        <v>2</v>
      </c>
      <c r="J12">
        <v>13</v>
      </c>
      <c r="K12">
        <v>42</v>
      </c>
      <c r="L12">
        <v>31</v>
      </c>
      <c r="M12">
        <v>11</v>
      </c>
      <c r="N12">
        <v>38</v>
      </c>
    </row>
    <row r="13" spans="1:14" x14ac:dyDescent="0.25">
      <c r="A13" t="s">
        <v>115</v>
      </c>
      <c r="B13">
        <v>673</v>
      </c>
      <c r="C13">
        <v>2622</v>
      </c>
      <c r="D13">
        <v>454</v>
      </c>
      <c r="E13">
        <v>2055</v>
      </c>
      <c r="F13">
        <v>217</v>
      </c>
      <c r="G13">
        <v>566</v>
      </c>
      <c r="H13">
        <v>2</v>
      </c>
      <c r="I13">
        <v>1</v>
      </c>
      <c r="J13">
        <v>35</v>
      </c>
      <c r="K13">
        <v>69</v>
      </c>
      <c r="L13">
        <v>139</v>
      </c>
      <c r="M13">
        <v>92</v>
      </c>
      <c r="N13">
        <v>128</v>
      </c>
    </row>
    <row r="14" spans="1:14" x14ac:dyDescent="0.25">
      <c r="A14" t="s">
        <v>116</v>
      </c>
      <c r="B14">
        <v>219</v>
      </c>
      <c r="C14">
        <v>732</v>
      </c>
      <c r="D14">
        <v>100</v>
      </c>
      <c r="E14">
        <v>469</v>
      </c>
      <c r="F14">
        <v>119</v>
      </c>
      <c r="G14">
        <v>263</v>
      </c>
      <c r="H14">
        <v>0</v>
      </c>
      <c r="I14">
        <v>0</v>
      </c>
      <c r="J14">
        <v>15</v>
      </c>
      <c r="K14">
        <v>30</v>
      </c>
      <c r="L14">
        <v>70</v>
      </c>
      <c r="M14">
        <v>41</v>
      </c>
      <c r="N14">
        <v>59</v>
      </c>
    </row>
    <row r="15" spans="1:14" x14ac:dyDescent="0.25">
      <c r="A15" t="s">
        <v>117</v>
      </c>
      <c r="B15">
        <v>462</v>
      </c>
      <c r="C15">
        <v>2151</v>
      </c>
      <c r="D15">
        <v>347</v>
      </c>
      <c r="E15">
        <v>1870</v>
      </c>
      <c r="F15">
        <v>108</v>
      </c>
      <c r="G15">
        <v>272</v>
      </c>
      <c r="H15">
        <v>7</v>
      </c>
      <c r="I15">
        <v>9</v>
      </c>
      <c r="J15">
        <v>13</v>
      </c>
      <c r="K15">
        <v>32</v>
      </c>
      <c r="L15">
        <v>72</v>
      </c>
      <c r="M15">
        <v>56</v>
      </c>
      <c r="N15">
        <v>70</v>
      </c>
    </row>
    <row r="16" spans="1:14" x14ac:dyDescent="0.25">
      <c r="A16" t="s">
        <v>118</v>
      </c>
      <c r="B16">
        <v>134</v>
      </c>
      <c r="C16">
        <v>772</v>
      </c>
      <c r="D16">
        <v>122</v>
      </c>
      <c r="E16">
        <v>744</v>
      </c>
      <c r="F16">
        <v>12</v>
      </c>
      <c r="G16">
        <v>28</v>
      </c>
      <c r="H16">
        <v>0</v>
      </c>
      <c r="I16">
        <v>0</v>
      </c>
      <c r="J16">
        <v>9</v>
      </c>
      <c r="K16">
        <v>18</v>
      </c>
      <c r="L16">
        <v>17</v>
      </c>
      <c r="M16">
        <v>6</v>
      </c>
      <c r="N16">
        <v>14</v>
      </c>
    </row>
    <row r="17" spans="1:14" x14ac:dyDescent="0.25">
      <c r="A17" t="s">
        <v>119</v>
      </c>
      <c r="B17">
        <v>1028</v>
      </c>
      <c r="C17">
        <v>5558</v>
      </c>
      <c r="D17">
        <v>1017</v>
      </c>
      <c r="E17">
        <v>5527</v>
      </c>
      <c r="F17">
        <v>11</v>
      </c>
      <c r="G17">
        <v>31</v>
      </c>
      <c r="H17">
        <v>0</v>
      </c>
      <c r="I17">
        <v>0</v>
      </c>
      <c r="J17">
        <v>89</v>
      </c>
      <c r="K17">
        <v>23</v>
      </c>
      <c r="L17">
        <v>196</v>
      </c>
      <c r="M17">
        <v>138</v>
      </c>
      <c r="N17">
        <v>140</v>
      </c>
    </row>
    <row r="18" spans="1:14" x14ac:dyDescent="0.25">
      <c r="A18" t="s">
        <v>120</v>
      </c>
      <c r="B18">
        <v>106</v>
      </c>
      <c r="C18">
        <v>616</v>
      </c>
      <c r="D18">
        <v>105</v>
      </c>
      <c r="E18">
        <v>613</v>
      </c>
      <c r="F18">
        <v>1</v>
      </c>
      <c r="G18">
        <v>3</v>
      </c>
      <c r="H18">
        <v>0</v>
      </c>
      <c r="I18">
        <v>0</v>
      </c>
      <c r="J18">
        <v>1</v>
      </c>
      <c r="K18">
        <v>14</v>
      </c>
      <c r="L18">
        <v>10</v>
      </c>
      <c r="M18">
        <v>9</v>
      </c>
      <c r="N18">
        <v>9</v>
      </c>
    </row>
    <row r="19" spans="1:14" x14ac:dyDescent="0.25">
      <c r="A19" t="s">
        <v>121</v>
      </c>
      <c r="B19">
        <v>525</v>
      </c>
      <c r="C19">
        <v>2246</v>
      </c>
      <c r="D19">
        <v>343</v>
      </c>
      <c r="E19">
        <v>1854</v>
      </c>
      <c r="F19">
        <v>179</v>
      </c>
      <c r="G19">
        <v>385</v>
      </c>
      <c r="H19">
        <v>3</v>
      </c>
      <c r="I19">
        <v>7</v>
      </c>
      <c r="J19">
        <v>23</v>
      </c>
      <c r="K19">
        <v>58</v>
      </c>
      <c r="L19">
        <v>128</v>
      </c>
      <c r="M19">
        <v>85</v>
      </c>
      <c r="N19">
        <v>101</v>
      </c>
    </row>
    <row r="20" spans="1:14" x14ac:dyDescent="0.25">
      <c r="A20" t="s">
        <v>122</v>
      </c>
      <c r="B20">
        <v>1954</v>
      </c>
      <c r="C20">
        <v>8301</v>
      </c>
      <c r="D20">
        <v>1869</v>
      </c>
      <c r="E20">
        <v>8066</v>
      </c>
      <c r="F20">
        <v>85</v>
      </c>
      <c r="G20">
        <v>235</v>
      </c>
      <c r="H20">
        <v>0</v>
      </c>
      <c r="I20">
        <v>0</v>
      </c>
      <c r="J20">
        <v>89</v>
      </c>
      <c r="K20">
        <v>125</v>
      </c>
      <c r="L20">
        <v>402</v>
      </c>
      <c r="M20">
        <v>259</v>
      </c>
      <c r="N20">
        <v>327</v>
      </c>
    </row>
    <row r="21" spans="1:14" x14ac:dyDescent="0.25">
      <c r="A21" t="s">
        <v>123</v>
      </c>
      <c r="B21">
        <v>834</v>
      </c>
      <c r="C21">
        <v>4441</v>
      </c>
      <c r="D21">
        <v>637</v>
      </c>
      <c r="E21">
        <v>3975</v>
      </c>
      <c r="F21">
        <v>187</v>
      </c>
      <c r="G21">
        <v>450</v>
      </c>
      <c r="H21">
        <v>10</v>
      </c>
      <c r="I21">
        <v>16</v>
      </c>
      <c r="J21">
        <v>35</v>
      </c>
      <c r="K21">
        <v>71</v>
      </c>
      <c r="L21">
        <v>136</v>
      </c>
      <c r="M21">
        <v>108</v>
      </c>
      <c r="N21">
        <v>129</v>
      </c>
    </row>
    <row r="22" spans="1:14" x14ac:dyDescent="0.25">
      <c r="A22" t="s">
        <v>124</v>
      </c>
      <c r="B22">
        <v>511</v>
      </c>
      <c r="C22">
        <v>1625</v>
      </c>
      <c r="D22">
        <v>271</v>
      </c>
      <c r="E22">
        <v>1129</v>
      </c>
      <c r="F22">
        <v>239</v>
      </c>
      <c r="G22">
        <v>494</v>
      </c>
      <c r="H22">
        <v>1</v>
      </c>
      <c r="I22">
        <v>2</v>
      </c>
      <c r="J22">
        <v>41</v>
      </c>
      <c r="K22">
        <v>71</v>
      </c>
      <c r="L22">
        <v>97</v>
      </c>
      <c r="M22">
        <v>82</v>
      </c>
      <c r="N22">
        <v>87</v>
      </c>
    </row>
    <row r="23" spans="1:14" x14ac:dyDescent="0.25">
      <c r="A23" t="s">
        <v>125</v>
      </c>
      <c r="B23">
        <v>1911</v>
      </c>
      <c r="C23">
        <v>7312</v>
      </c>
      <c r="D23">
        <v>1638</v>
      </c>
      <c r="E23">
        <v>6742</v>
      </c>
      <c r="F23">
        <v>243</v>
      </c>
      <c r="G23">
        <v>522</v>
      </c>
      <c r="H23">
        <v>30</v>
      </c>
      <c r="I23">
        <v>48</v>
      </c>
      <c r="J23">
        <v>69</v>
      </c>
      <c r="K23">
        <v>126</v>
      </c>
      <c r="L23">
        <v>355</v>
      </c>
      <c r="M23">
        <v>235</v>
      </c>
      <c r="N23">
        <v>425</v>
      </c>
    </row>
    <row r="24" spans="1:14" x14ac:dyDescent="0.25">
      <c r="A24" t="s">
        <v>126</v>
      </c>
      <c r="B24">
        <v>375</v>
      </c>
      <c r="C24">
        <v>1406</v>
      </c>
      <c r="D24">
        <v>214</v>
      </c>
      <c r="E24">
        <v>994</v>
      </c>
      <c r="F24">
        <v>154</v>
      </c>
      <c r="G24">
        <v>404</v>
      </c>
      <c r="H24">
        <v>7</v>
      </c>
      <c r="I24">
        <v>8</v>
      </c>
      <c r="J24">
        <v>24</v>
      </c>
      <c r="K24">
        <v>56</v>
      </c>
      <c r="L24">
        <v>76</v>
      </c>
      <c r="M24">
        <v>65</v>
      </c>
      <c r="N24">
        <v>91</v>
      </c>
    </row>
    <row r="25" spans="1:14" x14ac:dyDescent="0.25">
      <c r="A25" t="s">
        <v>127</v>
      </c>
      <c r="B25">
        <v>987</v>
      </c>
      <c r="C25">
        <v>156691</v>
      </c>
      <c r="D25">
        <v>951</v>
      </c>
      <c r="E25">
        <v>156604</v>
      </c>
      <c r="F25">
        <v>32</v>
      </c>
      <c r="G25">
        <v>78</v>
      </c>
      <c r="H25">
        <v>4</v>
      </c>
      <c r="I25">
        <v>9</v>
      </c>
      <c r="J25">
        <v>41</v>
      </c>
      <c r="K25">
        <v>50</v>
      </c>
      <c r="L25">
        <v>209</v>
      </c>
      <c r="M25">
        <v>113</v>
      </c>
      <c r="N25">
        <v>152</v>
      </c>
    </row>
    <row r="26" spans="1:14" x14ac:dyDescent="0.25">
      <c r="A26" t="s">
        <v>128</v>
      </c>
      <c r="B26">
        <v>2223</v>
      </c>
      <c r="C26">
        <v>8301</v>
      </c>
      <c r="D26">
        <v>2190</v>
      </c>
      <c r="E26">
        <v>8203</v>
      </c>
      <c r="F26">
        <v>31</v>
      </c>
      <c r="G26">
        <v>95</v>
      </c>
      <c r="H26">
        <v>2</v>
      </c>
      <c r="I26">
        <v>3</v>
      </c>
      <c r="J26">
        <v>93</v>
      </c>
      <c r="K26">
        <v>62</v>
      </c>
      <c r="L26">
        <v>444</v>
      </c>
      <c r="M26">
        <v>279</v>
      </c>
      <c r="N26">
        <v>446</v>
      </c>
    </row>
    <row r="27" spans="1:14" x14ac:dyDescent="0.25">
      <c r="A27" t="s">
        <v>129</v>
      </c>
      <c r="B27">
        <v>1093</v>
      </c>
      <c r="C27">
        <v>4944</v>
      </c>
      <c r="D27">
        <v>1039</v>
      </c>
      <c r="E27">
        <v>4819</v>
      </c>
      <c r="F27">
        <v>54</v>
      </c>
      <c r="G27">
        <v>125</v>
      </c>
      <c r="H27">
        <v>0</v>
      </c>
      <c r="I27">
        <v>0</v>
      </c>
      <c r="J27">
        <v>77</v>
      </c>
      <c r="K27">
        <v>64</v>
      </c>
      <c r="L27">
        <v>235</v>
      </c>
      <c r="M27">
        <v>159</v>
      </c>
      <c r="N27">
        <v>162</v>
      </c>
    </row>
    <row r="28" spans="1:14" x14ac:dyDescent="0.25">
      <c r="A28" t="s">
        <v>87</v>
      </c>
      <c r="B28">
        <v>23993</v>
      </c>
      <c r="C28">
        <v>256689</v>
      </c>
      <c r="D28">
        <v>21118</v>
      </c>
      <c r="E28">
        <v>249373</v>
      </c>
      <c r="F28">
        <v>2790</v>
      </c>
      <c r="G28">
        <v>7181</v>
      </c>
      <c r="H28">
        <v>85</v>
      </c>
      <c r="I28">
        <v>135</v>
      </c>
      <c r="J28">
        <v>1124</v>
      </c>
      <c r="K28">
        <v>1568</v>
      </c>
      <c r="L28">
        <v>4879</v>
      </c>
      <c r="M28">
        <v>3136</v>
      </c>
      <c r="N28">
        <v>4143</v>
      </c>
    </row>
    <row r="29" spans="1:14" x14ac:dyDescent="0.25">
      <c r="A29" t="s">
        <v>130</v>
      </c>
      <c r="B29">
        <v>3234</v>
      </c>
      <c r="C29">
        <v>16805</v>
      </c>
      <c r="D29">
        <v>2994</v>
      </c>
      <c r="E29">
        <v>16104</v>
      </c>
      <c r="F29">
        <v>237</v>
      </c>
      <c r="G29">
        <v>696</v>
      </c>
      <c r="H29">
        <v>3</v>
      </c>
      <c r="I29">
        <v>5</v>
      </c>
      <c r="J29">
        <v>209</v>
      </c>
      <c r="K29">
        <v>218</v>
      </c>
      <c r="L29">
        <v>583</v>
      </c>
      <c r="M29">
        <v>414</v>
      </c>
      <c r="N29">
        <v>599</v>
      </c>
    </row>
    <row r="30" spans="1:14" x14ac:dyDescent="0.25">
      <c r="A30" t="s">
        <v>131</v>
      </c>
      <c r="B30">
        <v>20759</v>
      </c>
      <c r="C30">
        <v>239884</v>
      </c>
      <c r="D30">
        <v>18124</v>
      </c>
      <c r="E30">
        <v>233269</v>
      </c>
      <c r="F30">
        <v>2553</v>
      </c>
      <c r="G30">
        <v>6485</v>
      </c>
      <c r="H30">
        <v>82</v>
      </c>
      <c r="I30">
        <v>130</v>
      </c>
      <c r="J30">
        <v>915</v>
      </c>
      <c r="K30">
        <v>1350</v>
      </c>
      <c r="L30">
        <v>4296</v>
      </c>
      <c r="M30">
        <v>2722</v>
      </c>
      <c r="N30">
        <v>3544</v>
      </c>
    </row>
  </sheetData>
  <mergeCells count="7">
    <mergeCell ref="A1:A2"/>
    <mergeCell ref="L1:N1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A9D18E"/>
  </sheetPr>
  <dimension ref="A1:M30"/>
  <sheetViews>
    <sheetView workbookViewId="0">
      <selection sqref="A1:A2"/>
    </sheetView>
  </sheetViews>
  <sheetFormatPr defaultRowHeight="15" x14ac:dyDescent="0.25"/>
  <cols>
    <col min="1" max="1" width="28" customWidth="1"/>
    <col min="2" max="2" width="14" customWidth="1"/>
    <col min="3" max="3" width="14.140625" customWidth="1"/>
    <col min="4" max="4" width="12.7109375" customWidth="1"/>
    <col min="5" max="5" width="13.28515625" customWidth="1"/>
    <col min="6" max="6" width="12.42578125" customWidth="1"/>
    <col min="10" max="10" width="12.140625" customWidth="1"/>
    <col min="11" max="11" width="12.42578125" customWidth="1"/>
  </cols>
  <sheetData>
    <row r="1" spans="1:13" x14ac:dyDescent="0.25">
      <c r="A1" s="27" t="s">
        <v>104</v>
      </c>
      <c r="B1" s="27" t="s">
        <v>331</v>
      </c>
      <c r="C1" s="27"/>
      <c r="D1" t="s">
        <v>332</v>
      </c>
      <c r="E1" t="s">
        <v>333</v>
      </c>
      <c r="F1" s="27" t="s">
        <v>334</v>
      </c>
      <c r="G1" s="27"/>
      <c r="H1" s="27"/>
      <c r="I1" s="27"/>
      <c r="J1" s="27"/>
      <c r="K1" s="27"/>
      <c r="L1" s="27"/>
      <c r="M1" s="27"/>
    </row>
    <row r="2" spans="1:13" x14ac:dyDescent="0.25">
      <c r="A2" s="27"/>
      <c r="B2" t="s">
        <v>335</v>
      </c>
      <c r="C2" t="s">
        <v>336</v>
      </c>
      <c r="D2" t="s">
        <v>314</v>
      </c>
      <c r="E2" t="s">
        <v>337</v>
      </c>
      <c r="F2" t="s">
        <v>338</v>
      </c>
      <c r="G2" t="s">
        <v>339</v>
      </c>
      <c r="H2" t="s">
        <v>340</v>
      </c>
      <c r="I2" t="s">
        <v>341</v>
      </c>
      <c r="J2" t="s">
        <v>342</v>
      </c>
      <c r="K2" t="s">
        <v>343</v>
      </c>
      <c r="L2" t="s">
        <v>344</v>
      </c>
      <c r="M2" t="s">
        <v>345</v>
      </c>
    </row>
    <row r="3" spans="1:13" x14ac:dyDescent="0.25">
      <c r="A3" t="s">
        <v>105</v>
      </c>
      <c r="B3">
        <v>31744</v>
      </c>
      <c r="C3">
        <v>12348</v>
      </c>
      <c r="D3">
        <v>1.36</v>
      </c>
      <c r="E3">
        <v>137</v>
      </c>
      <c r="F3">
        <v>161</v>
      </c>
      <c r="G3">
        <v>172</v>
      </c>
      <c r="H3">
        <v>31</v>
      </c>
      <c r="I3">
        <v>35</v>
      </c>
      <c r="J3">
        <v>52</v>
      </c>
      <c r="K3">
        <v>92</v>
      </c>
      <c r="L3">
        <v>88</v>
      </c>
      <c r="M3">
        <v>97</v>
      </c>
    </row>
    <row r="4" spans="1:13" x14ac:dyDescent="0.25">
      <c r="A4" t="s">
        <v>106</v>
      </c>
      <c r="B4">
        <v>27697</v>
      </c>
      <c r="C4">
        <v>5172</v>
      </c>
      <c r="D4">
        <v>1.25</v>
      </c>
      <c r="E4">
        <v>176</v>
      </c>
      <c r="F4">
        <v>187</v>
      </c>
      <c r="G4">
        <v>165</v>
      </c>
      <c r="H4">
        <v>32</v>
      </c>
      <c r="I4">
        <v>43</v>
      </c>
      <c r="J4">
        <v>79</v>
      </c>
      <c r="K4">
        <v>102</v>
      </c>
      <c r="L4">
        <v>109</v>
      </c>
      <c r="M4">
        <v>120</v>
      </c>
    </row>
    <row r="5" spans="1:13" x14ac:dyDescent="0.25">
      <c r="A5" t="s">
        <v>107</v>
      </c>
      <c r="B5">
        <v>21328</v>
      </c>
      <c r="C5">
        <v>6855</v>
      </c>
      <c r="D5">
        <v>1.35</v>
      </c>
      <c r="E5">
        <v>104</v>
      </c>
      <c r="F5">
        <v>126</v>
      </c>
      <c r="G5">
        <v>33</v>
      </c>
      <c r="H5">
        <v>11</v>
      </c>
      <c r="I5">
        <v>30</v>
      </c>
      <c r="J5">
        <v>43</v>
      </c>
      <c r="K5">
        <v>40</v>
      </c>
      <c r="L5">
        <v>46</v>
      </c>
      <c r="M5">
        <v>59</v>
      </c>
    </row>
    <row r="6" spans="1:13" x14ac:dyDescent="0.25">
      <c r="A6" t="s">
        <v>108</v>
      </c>
      <c r="B6">
        <v>24079</v>
      </c>
      <c r="C6">
        <v>38107</v>
      </c>
      <c r="D6">
        <v>1.19</v>
      </c>
      <c r="E6">
        <v>48</v>
      </c>
      <c r="F6">
        <v>132</v>
      </c>
      <c r="G6">
        <v>91</v>
      </c>
      <c r="H6">
        <v>21</v>
      </c>
      <c r="I6">
        <v>45</v>
      </c>
      <c r="J6">
        <v>60</v>
      </c>
      <c r="K6">
        <v>126</v>
      </c>
      <c r="L6">
        <v>123</v>
      </c>
      <c r="M6">
        <v>122</v>
      </c>
    </row>
    <row r="7" spans="1:13" x14ac:dyDescent="0.25">
      <c r="A7" t="s">
        <v>109</v>
      </c>
      <c r="B7">
        <v>27711</v>
      </c>
      <c r="C7">
        <v>21384</v>
      </c>
      <c r="D7">
        <v>1.27</v>
      </c>
      <c r="E7">
        <v>119</v>
      </c>
      <c r="F7">
        <v>265</v>
      </c>
      <c r="G7">
        <v>211</v>
      </c>
      <c r="H7">
        <v>30</v>
      </c>
      <c r="I7">
        <v>35</v>
      </c>
      <c r="J7">
        <v>51</v>
      </c>
      <c r="K7">
        <v>217</v>
      </c>
      <c r="L7">
        <v>209</v>
      </c>
      <c r="M7">
        <v>202</v>
      </c>
    </row>
    <row r="8" spans="1:13" x14ac:dyDescent="0.25">
      <c r="A8" t="s">
        <v>110</v>
      </c>
      <c r="B8">
        <v>25886</v>
      </c>
      <c r="C8">
        <v>8868</v>
      </c>
      <c r="D8">
        <v>1.47</v>
      </c>
      <c r="E8">
        <v>75</v>
      </c>
      <c r="F8">
        <v>128</v>
      </c>
      <c r="G8">
        <v>106</v>
      </c>
      <c r="H8">
        <v>12</v>
      </c>
      <c r="I8">
        <v>20</v>
      </c>
      <c r="J8">
        <v>70</v>
      </c>
      <c r="K8">
        <v>123</v>
      </c>
      <c r="L8">
        <v>115</v>
      </c>
      <c r="M8">
        <v>114</v>
      </c>
    </row>
    <row r="9" spans="1:13" x14ac:dyDescent="0.25">
      <c r="A9" t="s">
        <v>111</v>
      </c>
      <c r="B9">
        <v>11695</v>
      </c>
      <c r="C9">
        <v>5088</v>
      </c>
      <c r="D9">
        <v>1.49</v>
      </c>
      <c r="E9">
        <v>54</v>
      </c>
      <c r="F9">
        <v>191</v>
      </c>
      <c r="G9">
        <v>69</v>
      </c>
      <c r="H9">
        <v>23</v>
      </c>
      <c r="I9">
        <v>61</v>
      </c>
      <c r="J9">
        <v>107</v>
      </c>
      <c r="K9">
        <v>187</v>
      </c>
      <c r="L9">
        <v>180</v>
      </c>
      <c r="M9">
        <v>179</v>
      </c>
    </row>
    <row r="10" spans="1:13" x14ac:dyDescent="0.25">
      <c r="A10" t="s">
        <v>112</v>
      </c>
      <c r="B10">
        <v>46911</v>
      </c>
      <c r="C10">
        <v>16861</v>
      </c>
      <c r="D10">
        <v>1.31</v>
      </c>
      <c r="E10">
        <v>109</v>
      </c>
      <c r="F10">
        <v>189</v>
      </c>
      <c r="G10">
        <v>104</v>
      </c>
      <c r="H10">
        <v>37</v>
      </c>
      <c r="I10">
        <v>75</v>
      </c>
      <c r="J10">
        <v>92</v>
      </c>
      <c r="K10">
        <v>208</v>
      </c>
      <c r="L10">
        <v>197</v>
      </c>
      <c r="M10">
        <v>217</v>
      </c>
    </row>
    <row r="11" spans="1:13" x14ac:dyDescent="0.25">
      <c r="A11" t="s">
        <v>113</v>
      </c>
      <c r="B11">
        <v>13939</v>
      </c>
      <c r="C11">
        <v>2142</v>
      </c>
      <c r="D11">
        <v>2.46</v>
      </c>
      <c r="E11">
        <v>3</v>
      </c>
      <c r="F11">
        <v>15</v>
      </c>
      <c r="G11">
        <v>5</v>
      </c>
      <c r="H11">
        <v>1</v>
      </c>
      <c r="I11">
        <v>1</v>
      </c>
      <c r="J11">
        <v>11</v>
      </c>
      <c r="K11">
        <v>20</v>
      </c>
      <c r="L11">
        <v>18</v>
      </c>
      <c r="M11">
        <v>19</v>
      </c>
    </row>
    <row r="12" spans="1:13" x14ac:dyDescent="0.25">
      <c r="A12" t="s">
        <v>114</v>
      </c>
      <c r="B12">
        <v>11025</v>
      </c>
      <c r="C12">
        <v>6548</v>
      </c>
      <c r="D12">
        <v>1.74</v>
      </c>
      <c r="E12">
        <v>21</v>
      </c>
      <c r="F12">
        <v>39</v>
      </c>
      <c r="G12">
        <v>35</v>
      </c>
      <c r="H12">
        <v>6</v>
      </c>
      <c r="I12">
        <v>3</v>
      </c>
      <c r="J12">
        <v>10</v>
      </c>
      <c r="K12">
        <v>13</v>
      </c>
      <c r="L12">
        <v>17</v>
      </c>
      <c r="M12">
        <v>17</v>
      </c>
    </row>
    <row r="13" spans="1:13" x14ac:dyDescent="0.25">
      <c r="A13" t="s">
        <v>115</v>
      </c>
      <c r="B13">
        <v>15405</v>
      </c>
      <c r="C13">
        <v>10489</v>
      </c>
      <c r="D13">
        <v>1.32</v>
      </c>
      <c r="E13">
        <v>48</v>
      </c>
      <c r="F13">
        <v>112</v>
      </c>
      <c r="G13">
        <v>70</v>
      </c>
      <c r="H13">
        <v>15</v>
      </c>
      <c r="I13">
        <v>33</v>
      </c>
      <c r="J13">
        <v>57</v>
      </c>
      <c r="K13">
        <v>116</v>
      </c>
      <c r="L13">
        <v>102</v>
      </c>
      <c r="M13">
        <v>105</v>
      </c>
    </row>
    <row r="14" spans="1:13" x14ac:dyDescent="0.25">
      <c r="A14" t="s">
        <v>116</v>
      </c>
      <c r="B14">
        <v>13786</v>
      </c>
      <c r="C14">
        <v>7931</v>
      </c>
      <c r="D14">
        <v>1.55</v>
      </c>
      <c r="E14">
        <v>7</v>
      </c>
      <c r="F14">
        <v>33</v>
      </c>
      <c r="G14">
        <v>23</v>
      </c>
      <c r="H14">
        <v>4</v>
      </c>
      <c r="I14">
        <v>4</v>
      </c>
      <c r="J14">
        <v>9</v>
      </c>
      <c r="K14">
        <v>12</v>
      </c>
      <c r="L14">
        <v>10</v>
      </c>
      <c r="M14">
        <v>9</v>
      </c>
    </row>
    <row r="15" spans="1:13" x14ac:dyDescent="0.25">
      <c r="A15" t="s">
        <v>117</v>
      </c>
      <c r="B15">
        <v>30257</v>
      </c>
      <c r="C15">
        <v>11113</v>
      </c>
      <c r="D15">
        <v>1.54</v>
      </c>
      <c r="E15">
        <v>27</v>
      </c>
      <c r="F15">
        <v>96</v>
      </c>
      <c r="G15">
        <v>97</v>
      </c>
      <c r="H15">
        <v>6</v>
      </c>
      <c r="I15">
        <v>12</v>
      </c>
      <c r="J15">
        <v>36</v>
      </c>
      <c r="K15">
        <v>57</v>
      </c>
      <c r="L15">
        <v>54</v>
      </c>
      <c r="M15">
        <v>58</v>
      </c>
    </row>
    <row r="16" spans="1:13" x14ac:dyDescent="0.25">
      <c r="A16" t="s">
        <v>118</v>
      </c>
      <c r="B16">
        <v>17639</v>
      </c>
      <c r="C16">
        <v>4114</v>
      </c>
      <c r="D16">
        <v>1.39</v>
      </c>
      <c r="E16">
        <v>11</v>
      </c>
      <c r="F16">
        <v>22</v>
      </c>
      <c r="G16">
        <v>16</v>
      </c>
      <c r="H16">
        <v>9</v>
      </c>
      <c r="I16">
        <v>2</v>
      </c>
      <c r="J16">
        <v>6</v>
      </c>
      <c r="K16">
        <v>16</v>
      </c>
      <c r="L16">
        <v>18</v>
      </c>
      <c r="M16">
        <v>16</v>
      </c>
    </row>
    <row r="17" spans="1:13" x14ac:dyDescent="0.25">
      <c r="A17" t="s">
        <v>119</v>
      </c>
      <c r="B17">
        <v>114662</v>
      </c>
      <c r="C17">
        <v>26894</v>
      </c>
      <c r="D17">
        <v>0.91</v>
      </c>
      <c r="E17">
        <v>95</v>
      </c>
      <c r="F17">
        <v>98</v>
      </c>
      <c r="G17">
        <v>55</v>
      </c>
      <c r="H17">
        <v>37</v>
      </c>
      <c r="I17">
        <v>30</v>
      </c>
      <c r="J17">
        <v>47</v>
      </c>
      <c r="K17">
        <v>122</v>
      </c>
      <c r="L17">
        <v>118</v>
      </c>
      <c r="M17">
        <v>116</v>
      </c>
    </row>
    <row r="18" spans="1:13" x14ac:dyDescent="0.25">
      <c r="A18" t="s">
        <v>120</v>
      </c>
      <c r="B18">
        <v>93461</v>
      </c>
      <c r="C18">
        <v>28787</v>
      </c>
      <c r="D18">
        <v>1.69</v>
      </c>
      <c r="E18">
        <v>12</v>
      </c>
      <c r="F18">
        <v>4</v>
      </c>
      <c r="G18">
        <v>3</v>
      </c>
      <c r="H18">
        <v>3</v>
      </c>
      <c r="I18">
        <v>0</v>
      </c>
      <c r="J18">
        <v>1</v>
      </c>
      <c r="K18">
        <v>1</v>
      </c>
      <c r="L18">
        <v>1</v>
      </c>
      <c r="M18">
        <v>2</v>
      </c>
    </row>
    <row r="19" spans="1:13" x14ac:dyDescent="0.25">
      <c r="A19" t="s">
        <v>121</v>
      </c>
      <c r="B19">
        <v>21246</v>
      </c>
      <c r="C19">
        <v>6340</v>
      </c>
      <c r="D19">
        <v>3.31</v>
      </c>
      <c r="E19">
        <v>28</v>
      </c>
      <c r="F19">
        <v>86</v>
      </c>
      <c r="G19">
        <v>77</v>
      </c>
      <c r="H19">
        <v>5</v>
      </c>
      <c r="I19">
        <v>15</v>
      </c>
      <c r="J19">
        <v>27</v>
      </c>
      <c r="K19">
        <v>34</v>
      </c>
      <c r="L19">
        <v>32</v>
      </c>
      <c r="M19">
        <v>38</v>
      </c>
    </row>
    <row r="20" spans="1:13" x14ac:dyDescent="0.25">
      <c r="A20" t="s">
        <v>122</v>
      </c>
      <c r="B20">
        <v>233281</v>
      </c>
      <c r="C20">
        <v>4959</v>
      </c>
      <c r="D20">
        <v>1.4</v>
      </c>
      <c r="E20">
        <v>138</v>
      </c>
      <c r="F20">
        <v>299</v>
      </c>
      <c r="G20">
        <v>207</v>
      </c>
      <c r="H20">
        <v>31</v>
      </c>
      <c r="I20">
        <v>51</v>
      </c>
      <c r="J20">
        <v>76</v>
      </c>
      <c r="K20">
        <v>113</v>
      </c>
      <c r="L20">
        <v>119</v>
      </c>
      <c r="M20">
        <v>145</v>
      </c>
    </row>
    <row r="21" spans="1:13" x14ac:dyDescent="0.25">
      <c r="A21" t="s">
        <v>123</v>
      </c>
      <c r="B21">
        <v>45458</v>
      </c>
      <c r="C21">
        <v>13558</v>
      </c>
      <c r="D21">
        <v>1.33</v>
      </c>
      <c r="E21">
        <v>64</v>
      </c>
      <c r="F21">
        <v>165</v>
      </c>
      <c r="G21">
        <v>92</v>
      </c>
      <c r="H21">
        <v>20</v>
      </c>
      <c r="I21">
        <v>24</v>
      </c>
      <c r="J21">
        <v>38</v>
      </c>
      <c r="K21">
        <v>83</v>
      </c>
      <c r="L21">
        <v>89</v>
      </c>
      <c r="M21">
        <v>95</v>
      </c>
    </row>
    <row r="22" spans="1:13" x14ac:dyDescent="0.25">
      <c r="A22" t="s">
        <v>124</v>
      </c>
      <c r="B22">
        <v>14990</v>
      </c>
      <c r="C22">
        <v>5072</v>
      </c>
      <c r="D22">
        <v>1.49</v>
      </c>
      <c r="E22">
        <v>16</v>
      </c>
      <c r="F22">
        <v>91</v>
      </c>
      <c r="G22">
        <v>68</v>
      </c>
      <c r="H22">
        <v>10</v>
      </c>
      <c r="I22">
        <v>7</v>
      </c>
      <c r="J22">
        <v>23</v>
      </c>
      <c r="K22">
        <v>48</v>
      </c>
      <c r="L22">
        <v>43</v>
      </c>
      <c r="M22">
        <v>43</v>
      </c>
    </row>
    <row r="23" spans="1:13" x14ac:dyDescent="0.25">
      <c r="A23" t="s">
        <v>125</v>
      </c>
      <c r="B23">
        <v>22527</v>
      </c>
      <c r="C23">
        <v>8243</v>
      </c>
      <c r="D23">
        <v>1.1399999999999999</v>
      </c>
      <c r="E23">
        <v>174</v>
      </c>
      <c r="F23">
        <v>148</v>
      </c>
      <c r="G23">
        <v>134</v>
      </c>
      <c r="H23">
        <v>33</v>
      </c>
      <c r="I23">
        <v>16</v>
      </c>
      <c r="J23">
        <v>49</v>
      </c>
      <c r="K23">
        <v>67</v>
      </c>
      <c r="L23">
        <v>69</v>
      </c>
      <c r="M23">
        <v>98</v>
      </c>
    </row>
    <row r="24" spans="1:13" x14ac:dyDescent="0.25">
      <c r="A24" t="s">
        <v>126</v>
      </c>
      <c r="B24">
        <v>19303</v>
      </c>
      <c r="C24">
        <v>7565</v>
      </c>
      <c r="D24">
        <v>1.7</v>
      </c>
      <c r="E24">
        <v>28</v>
      </c>
      <c r="F24">
        <v>62</v>
      </c>
      <c r="G24">
        <v>56</v>
      </c>
      <c r="H24">
        <v>7</v>
      </c>
      <c r="I24">
        <v>3</v>
      </c>
      <c r="J24">
        <v>19</v>
      </c>
      <c r="K24">
        <v>28</v>
      </c>
      <c r="L24">
        <v>23</v>
      </c>
      <c r="M24">
        <v>29</v>
      </c>
    </row>
    <row r="25" spans="1:13" x14ac:dyDescent="0.25">
      <c r="A25" t="s">
        <v>127</v>
      </c>
      <c r="B25">
        <v>23490</v>
      </c>
      <c r="C25">
        <v>48445</v>
      </c>
      <c r="D25">
        <v>1.37</v>
      </c>
      <c r="E25">
        <v>67</v>
      </c>
      <c r="F25">
        <v>139</v>
      </c>
      <c r="G25">
        <v>89</v>
      </c>
      <c r="H25">
        <v>14</v>
      </c>
      <c r="I25">
        <v>37</v>
      </c>
      <c r="J25">
        <v>42</v>
      </c>
      <c r="K25">
        <v>61</v>
      </c>
      <c r="L25">
        <v>59</v>
      </c>
      <c r="M25">
        <v>72</v>
      </c>
    </row>
    <row r="26" spans="1:13" x14ac:dyDescent="0.25">
      <c r="A26" t="s">
        <v>128</v>
      </c>
      <c r="B26">
        <v>58964</v>
      </c>
      <c r="C26">
        <v>47227</v>
      </c>
      <c r="D26">
        <v>1.68</v>
      </c>
      <c r="E26">
        <v>142</v>
      </c>
      <c r="F26">
        <v>305</v>
      </c>
      <c r="G26">
        <v>107</v>
      </c>
      <c r="H26">
        <v>25</v>
      </c>
      <c r="I26">
        <v>90</v>
      </c>
      <c r="J26">
        <v>101</v>
      </c>
      <c r="K26">
        <v>245</v>
      </c>
      <c r="L26">
        <v>248</v>
      </c>
      <c r="M26">
        <v>253</v>
      </c>
    </row>
    <row r="27" spans="1:13" x14ac:dyDescent="0.25">
      <c r="A27" t="s">
        <v>129</v>
      </c>
      <c r="B27">
        <v>72354</v>
      </c>
      <c r="C27">
        <v>6307</v>
      </c>
      <c r="D27">
        <v>1.68</v>
      </c>
      <c r="E27">
        <v>90</v>
      </c>
      <c r="F27">
        <v>106</v>
      </c>
      <c r="G27">
        <v>92</v>
      </c>
      <c r="H27">
        <v>10</v>
      </c>
      <c r="I27">
        <v>21</v>
      </c>
      <c r="J27">
        <v>30</v>
      </c>
      <c r="K27">
        <v>44</v>
      </c>
      <c r="L27">
        <v>38</v>
      </c>
      <c r="M27">
        <v>54</v>
      </c>
    </row>
    <row r="28" spans="1:13" x14ac:dyDescent="0.25">
      <c r="A28" t="s">
        <v>87</v>
      </c>
      <c r="B28">
        <v>47352</v>
      </c>
      <c r="C28">
        <v>14392</v>
      </c>
      <c r="D28">
        <v>1.39</v>
      </c>
      <c r="E28">
        <v>1793</v>
      </c>
      <c r="F28">
        <v>3199</v>
      </c>
      <c r="G28">
        <v>2177</v>
      </c>
      <c r="H28">
        <v>433</v>
      </c>
      <c r="I28">
        <v>693</v>
      </c>
      <c r="J28">
        <v>1136</v>
      </c>
      <c r="K28">
        <v>2175</v>
      </c>
      <c r="L28">
        <v>2125</v>
      </c>
      <c r="M28">
        <v>2279</v>
      </c>
    </row>
    <row r="29" spans="1:13" x14ac:dyDescent="0.25">
      <c r="A29" t="s">
        <v>130</v>
      </c>
      <c r="B29">
        <v>58036</v>
      </c>
      <c r="C29">
        <v>31147</v>
      </c>
      <c r="D29">
        <v>1.17</v>
      </c>
      <c r="E29">
        <v>282</v>
      </c>
      <c r="F29">
        <v>312</v>
      </c>
      <c r="G29">
        <v>216</v>
      </c>
      <c r="H29">
        <v>117</v>
      </c>
      <c r="I29">
        <v>90</v>
      </c>
      <c r="J29">
        <v>175</v>
      </c>
      <c r="K29">
        <v>312</v>
      </c>
      <c r="L29">
        <v>305</v>
      </c>
      <c r="M29">
        <v>313</v>
      </c>
    </row>
    <row r="30" spans="1:13" x14ac:dyDescent="0.25">
      <c r="A30" t="s">
        <v>131</v>
      </c>
      <c r="B30">
        <v>46152</v>
      </c>
      <c r="C30">
        <v>12535</v>
      </c>
      <c r="D30">
        <v>1.43</v>
      </c>
      <c r="E30">
        <v>1511</v>
      </c>
      <c r="F30">
        <v>2887</v>
      </c>
      <c r="G30">
        <v>1961</v>
      </c>
      <c r="H30">
        <v>316</v>
      </c>
      <c r="I30">
        <v>603</v>
      </c>
      <c r="J30">
        <v>961</v>
      </c>
      <c r="K30">
        <v>1863</v>
      </c>
      <c r="L30">
        <v>1820</v>
      </c>
      <c r="M30">
        <v>1966</v>
      </c>
    </row>
  </sheetData>
  <mergeCells count="3">
    <mergeCell ref="B1:C1"/>
    <mergeCell ref="F1:M1"/>
    <mergeCell ref="A1:A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J30"/>
  <sheetViews>
    <sheetView workbookViewId="0">
      <selection sqref="A1:A2"/>
    </sheetView>
  </sheetViews>
  <sheetFormatPr defaultRowHeight="15" x14ac:dyDescent="0.25"/>
  <cols>
    <col min="1" max="1" width="25.28515625" customWidth="1"/>
    <col min="2" max="2" width="16.42578125" customWidth="1"/>
    <col min="3" max="3" width="15.85546875" customWidth="1"/>
    <col min="5" max="5" width="19.42578125" customWidth="1"/>
    <col min="6" max="6" width="18.7109375" customWidth="1"/>
    <col min="7" max="7" width="15.85546875" customWidth="1"/>
    <col min="8" max="8" width="15.42578125" customWidth="1"/>
    <col min="9" max="9" width="15.85546875" customWidth="1"/>
    <col min="10" max="10" width="21.140625" customWidth="1"/>
  </cols>
  <sheetData>
    <row r="1" spans="1:10" x14ac:dyDescent="0.25">
      <c r="A1" s="27" t="s">
        <v>104</v>
      </c>
      <c r="B1" t="s">
        <v>346</v>
      </c>
      <c r="C1" t="s">
        <v>347</v>
      </c>
      <c r="D1" t="s">
        <v>348</v>
      </c>
      <c r="E1" t="s">
        <v>349</v>
      </c>
      <c r="F1" t="s">
        <v>349</v>
      </c>
      <c r="G1" s="27" t="s">
        <v>350</v>
      </c>
      <c r="H1" s="27"/>
      <c r="I1" s="27"/>
      <c r="J1" t="s">
        <v>351</v>
      </c>
    </row>
    <row r="2" spans="1:10" x14ac:dyDescent="0.25">
      <c r="A2" s="27"/>
      <c r="B2" t="s">
        <v>352</v>
      </c>
      <c r="C2" t="s">
        <v>352</v>
      </c>
      <c r="D2" t="s">
        <v>353</v>
      </c>
      <c r="E2" t="s">
        <v>354</v>
      </c>
      <c r="F2" t="s">
        <v>355</v>
      </c>
      <c r="G2" t="s">
        <v>161</v>
      </c>
      <c r="H2" t="s">
        <v>284</v>
      </c>
      <c r="I2" t="s">
        <v>285</v>
      </c>
      <c r="J2" t="s">
        <v>161</v>
      </c>
    </row>
    <row r="3" spans="1:10" x14ac:dyDescent="0.25">
      <c r="A3" t="s">
        <v>105</v>
      </c>
      <c r="B3">
        <v>105.3</v>
      </c>
      <c r="C3">
        <v>84.6</v>
      </c>
      <c r="D3">
        <v>19.7</v>
      </c>
      <c r="E3">
        <v>83.1</v>
      </c>
      <c r="F3">
        <v>65.3</v>
      </c>
      <c r="G3">
        <v>94.4</v>
      </c>
      <c r="H3">
        <v>43.2</v>
      </c>
      <c r="I3">
        <v>18</v>
      </c>
      <c r="J3">
        <v>82.6</v>
      </c>
    </row>
    <row r="4" spans="1:10" x14ac:dyDescent="0.25">
      <c r="A4" t="s">
        <v>106</v>
      </c>
      <c r="B4">
        <v>119.8</v>
      </c>
      <c r="C4">
        <v>95.8</v>
      </c>
      <c r="D4">
        <v>20</v>
      </c>
      <c r="E4">
        <v>77.8</v>
      </c>
      <c r="F4">
        <v>70.900000000000006</v>
      </c>
      <c r="G4">
        <v>108.8</v>
      </c>
      <c r="H4">
        <v>44.9</v>
      </c>
      <c r="I4">
        <v>18.5</v>
      </c>
      <c r="J4">
        <v>93.1</v>
      </c>
    </row>
    <row r="5" spans="1:10" x14ac:dyDescent="0.25">
      <c r="A5" t="s">
        <v>107</v>
      </c>
      <c r="B5">
        <v>123.4</v>
      </c>
      <c r="C5">
        <v>96.9</v>
      </c>
      <c r="D5">
        <v>21.5</v>
      </c>
      <c r="E5">
        <v>78.599999999999994</v>
      </c>
      <c r="F5">
        <v>73.400000000000006</v>
      </c>
      <c r="G5">
        <v>117.9</v>
      </c>
      <c r="H5">
        <v>55.1</v>
      </c>
      <c r="I5">
        <v>27</v>
      </c>
      <c r="J5">
        <v>99.4</v>
      </c>
    </row>
    <row r="6" spans="1:10" x14ac:dyDescent="0.25">
      <c r="A6" t="s">
        <v>108</v>
      </c>
      <c r="B6">
        <v>102.4</v>
      </c>
      <c r="C6">
        <v>90.4</v>
      </c>
      <c r="D6">
        <v>11.7</v>
      </c>
      <c r="E6">
        <v>81.400000000000006</v>
      </c>
      <c r="F6">
        <v>67.2</v>
      </c>
      <c r="G6">
        <v>99.9</v>
      </c>
      <c r="H6">
        <v>52</v>
      </c>
      <c r="I6">
        <v>24.8</v>
      </c>
      <c r="J6">
        <v>89.8</v>
      </c>
    </row>
    <row r="7" spans="1:10" x14ac:dyDescent="0.25">
      <c r="A7" t="s">
        <v>109</v>
      </c>
      <c r="B7">
        <v>104.3</v>
      </c>
      <c r="C7">
        <v>88.6</v>
      </c>
      <c r="D7">
        <v>15</v>
      </c>
      <c r="E7">
        <v>80</v>
      </c>
      <c r="F7">
        <v>62.3</v>
      </c>
      <c r="G7">
        <v>99.3</v>
      </c>
      <c r="H7">
        <v>50.6</v>
      </c>
      <c r="I7">
        <v>22</v>
      </c>
      <c r="J7">
        <v>88.3</v>
      </c>
    </row>
    <row r="8" spans="1:10" x14ac:dyDescent="0.25">
      <c r="A8" t="s">
        <v>110</v>
      </c>
      <c r="B8">
        <v>116.3</v>
      </c>
      <c r="C8">
        <v>96.8</v>
      </c>
      <c r="D8">
        <v>16.8</v>
      </c>
      <c r="E8">
        <v>81.2</v>
      </c>
      <c r="F8">
        <v>70.400000000000006</v>
      </c>
      <c r="G8">
        <v>104</v>
      </c>
      <c r="H8">
        <v>50.8</v>
      </c>
      <c r="I8">
        <v>23.4</v>
      </c>
      <c r="J8">
        <v>88.6</v>
      </c>
    </row>
    <row r="9" spans="1:10" x14ac:dyDescent="0.25">
      <c r="A9" t="s">
        <v>111</v>
      </c>
      <c r="B9">
        <v>104.2</v>
      </c>
      <c r="C9">
        <v>90.5</v>
      </c>
      <c r="D9">
        <v>13.1</v>
      </c>
      <c r="E9">
        <v>82.4</v>
      </c>
      <c r="F9">
        <v>65.3</v>
      </c>
      <c r="G9">
        <v>92.1</v>
      </c>
      <c r="H9">
        <v>51.3</v>
      </c>
      <c r="I9">
        <v>28.4</v>
      </c>
      <c r="J9">
        <v>82</v>
      </c>
    </row>
    <row r="10" spans="1:10" x14ac:dyDescent="0.25">
      <c r="A10" t="s">
        <v>112</v>
      </c>
      <c r="B10">
        <v>115.4</v>
      </c>
      <c r="C10">
        <v>97.8</v>
      </c>
      <c r="D10">
        <v>15.3</v>
      </c>
      <c r="E10">
        <v>81.7</v>
      </c>
      <c r="F10">
        <v>77</v>
      </c>
      <c r="G10">
        <v>114.7</v>
      </c>
      <c r="H10">
        <v>55.8</v>
      </c>
      <c r="I10">
        <v>26.5</v>
      </c>
      <c r="J10">
        <v>100</v>
      </c>
    </row>
    <row r="11" spans="1:10" x14ac:dyDescent="0.25">
      <c r="A11" t="s">
        <v>113</v>
      </c>
      <c r="B11">
        <v>91.3</v>
      </c>
      <c r="C11">
        <v>75.2</v>
      </c>
      <c r="D11">
        <v>17.600000000000001</v>
      </c>
      <c r="E11">
        <v>82.1</v>
      </c>
      <c r="F11">
        <v>74.099999999999994</v>
      </c>
      <c r="G11">
        <v>68.900000000000006</v>
      </c>
      <c r="H11">
        <v>31.7</v>
      </c>
      <c r="I11">
        <v>21.6</v>
      </c>
      <c r="J11">
        <v>61</v>
      </c>
    </row>
    <row r="12" spans="1:10" x14ac:dyDescent="0.25">
      <c r="A12" t="s">
        <v>114</v>
      </c>
      <c r="B12">
        <v>88.7</v>
      </c>
      <c r="C12">
        <v>61.2</v>
      </c>
      <c r="D12">
        <v>31</v>
      </c>
      <c r="E12">
        <v>83.5</v>
      </c>
      <c r="F12">
        <v>70.3</v>
      </c>
      <c r="G12">
        <v>77.3</v>
      </c>
      <c r="H12">
        <v>40.9</v>
      </c>
      <c r="I12">
        <v>21</v>
      </c>
      <c r="J12">
        <v>62.4</v>
      </c>
    </row>
    <row r="13" spans="1:10" x14ac:dyDescent="0.25">
      <c r="A13" t="s">
        <v>115</v>
      </c>
      <c r="B13">
        <v>132.6</v>
      </c>
      <c r="C13">
        <v>99.7</v>
      </c>
      <c r="D13">
        <v>24.8</v>
      </c>
      <c r="E13">
        <v>72.5</v>
      </c>
      <c r="F13">
        <v>65</v>
      </c>
      <c r="G13">
        <v>115.2</v>
      </c>
      <c r="H13">
        <v>40.799999999999997</v>
      </c>
      <c r="I13">
        <v>18.5</v>
      </c>
      <c r="J13">
        <v>97.6</v>
      </c>
    </row>
    <row r="14" spans="1:10" x14ac:dyDescent="0.25">
      <c r="A14" t="s">
        <v>116</v>
      </c>
      <c r="B14">
        <v>127.6</v>
      </c>
      <c r="C14">
        <v>88</v>
      </c>
      <c r="D14">
        <v>31</v>
      </c>
      <c r="E14">
        <v>79.5</v>
      </c>
      <c r="F14">
        <v>69</v>
      </c>
      <c r="G14">
        <v>105.7</v>
      </c>
      <c r="H14">
        <v>46</v>
      </c>
      <c r="I14">
        <v>20.8</v>
      </c>
      <c r="J14">
        <v>81.7</v>
      </c>
    </row>
    <row r="15" spans="1:10" x14ac:dyDescent="0.25">
      <c r="A15" t="s">
        <v>117</v>
      </c>
      <c r="B15">
        <v>112.1</v>
      </c>
      <c r="C15">
        <v>88</v>
      </c>
      <c r="D15">
        <v>21.5</v>
      </c>
      <c r="E15">
        <v>79.5</v>
      </c>
      <c r="F15">
        <v>67.7</v>
      </c>
      <c r="G15">
        <v>95.5</v>
      </c>
      <c r="H15">
        <v>43.4</v>
      </c>
      <c r="I15">
        <v>19.100000000000001</v>
      </c>
      <c r="J15">
        <v>80</v>
      </c>
    </row>
    <row r="16" spans="1:10" x14ac:dyDescent="0.25">
      <c r="A16" t="s">
        <v>118</v>
      </c>
      <c r="B16">
        <v>80.3</v>
      </c>
      <c r="C16">
        <v>61.5</v>
      </c>
      <c r="D16">
        <v>23.4</v>
      </c>
      <c r="E16">
        <v>96.2</v>
      </c>
      <c r="F16">
        <v>67.7</v>
      </c>
      <c r="G16">
        <v>74.7</v>
      </c>
      <c r="H16">
        <v>39</v>
      </c>
      <c r="I16">
        <v>14.2</v>
      </c>
      <c r="J16">
        <v>62.8</v>
      </c>
    </row>
    <row r="17" spans="1:10" x14ac:dyDescent="0.25">
      <c r="A17" t="s">
        <v>119</v>
      </c>
      <c r="B17">
        <v>83.1</v>
      </c>
      <c r="C17">
        <v>70.7</v>
      </c>
      <c r="D17">
        <v>15</v>
      </c>
      <c r="E17">
        <v>92.8</v>
      </c>
      <c r="F17">
        <v>86.6</v>
      </c>
      <c r="G17">
        <v>87.9</v>
      </c>
      <c r="H17">
        <v>56.3</v>
      </c>
      <c r="I17">
        <v>34</v>
      </c>
      <c r="J17">
        <v>79</v>
      </c>
    </row>
    <row r="18" spans="1:10" x14ac:dyDescent="0.25">
      <c r="A18" t="s">
        <v>120</v>
      </c>
      <c r="B18">
        <v>92.4</v>
      </c>
      <c r="C18">
        <v>65</v>
      </c>
      <c r="D18">
        <v>29.6</v>
      </c>
      <c r="E18">
        <v>82.7</v>
      </c>
      <c r="F18">
        <v>63.3</v>
      </c>
      <c r="G18">
        <v>81.5</v>
      </c>
      <c r="H18">
        <v>40.9</v>
      </c>
      <c r="I18">
        <v>17.3</v>
      </c>
      <c r="J18">
        <v>69.2</v>
      </c>
    </row>
    <row r="19" spans="1:10" x14ac:dyDescent="0.25">
      <c r="A19" t="s">
        <v>121</v>
      </c>
      <c r="B19">
        <v>141.5</v>
      </c>
      <c r="C19">
        <v>84.8</v>
      </c>
      <c r="D19">
        <v>40.1</v>
      </c>
      <c r="E19">
        <v>84.7</v>
      </c>
      <c r="F19">
        <v>75.7</v>
      </c>
      <c r="G19">
        <v>122.5</v>
      </c>
      <c r="H19">
        <v>56.2</v>
      </c>
      <c r="I19">
        <v>28.1</v>
      </c>
      <c r="J19">
        <v>89.2</v>
      </c>
    </row>
    <row r="20" spans="1:10" x14ac:dyDescent="0.25">
      <c r="A20" t="s">
        <v>122</v>
      </c>
      <c r="B20">
        <v>116.8</v>
      </c>
      <c r="C20">
        <v>99.7</v>
      </c>
      <c r="D20">
        <v>14.7</v>
      </c>
      <c r="E20">
        <v>79.400000000000006</v>
      </c>
      <c r="F20">
        <v>66.400000000000006</v>
      </c>
      <c r="G20">
        <v>117.2</v>
      </c>
      <c r="H20">
        <v>58</v>
      </c>
      <c r="I20">
        <v>27.2</v>
      </c>
      <c r="J20">
        <v>99.7</v>
      </c>
    </row>
    <row r="21" spans="1:10" x14ac:dyDescent="0.25">
      <c r="A21" t="s">
        <v>123</v>
      </c>
      <c r="B21">
        <v>124.4</v>
      </c>
      <c r="C21">
        <v>95.6</v>
      </c>
      <c r="D21">
        <v>23.2</v>
      </c>
      <c r="E21">
        <v>79.7</v>
      </c>
      <c r="F21">
        <v>71</v>
      </c>
      <c r="G21">
        <v>113.5</v>
      </c>
      <c r="H21">
        <v>50.5</v>
      </c>
      <c r="I21">
        <v>23.1</v>
      </c>
      <c r="J21">
        <v>96.3</v>
      </c>
    </row>
    <row r="22" spans="1:10" x14ac:dyDescent="0.25">
      <c r="A22" t="s">
        <v>124</v>
      </c>
      <c r="B22">
        <v>173.5</v>
      </c>
      <c r="C22">
        <v>98.2</v>
      </c>
      <c r="D22">
        <v>43.4</v>
      </c>
      <c r="E22">
        <v>79.2</v>
      </c>
      <c r="F22">
        <v>77.599999999999994</v>
      </c>
      <c r="G22">
        <v>138.80000000000001</v>
      </c>
      <c r="H22">
        <v>52.9</v>
      </c>
      <c r="I22">
        <v>27.1</v>
      </c>
      <c r="J22">
        <v>99.4</v>
      </c>
    </row>
    <row r="23" spans="1:10" x14ac:dyDescent="0.25">
      <c r="A23" t="s">
        <v>125</v>
      </c>
      <c r="B23">
        <v>111.8</v>
      </c>
      <c r="C23">
        <v>93.1</v>
      </c>
      <c r="D23">
        <v>16.8</v>
      </c>
      <c r="E23">
        <v>84.4</v>
      </c>
      <c r="F23">
        <v>73.7</v>
      </c>
      <c r="G23">
        <v>107.6</v>
      </c>
      <c r="H23">
        <v>55.1</v>
      </c>
      <c r="I23">
        <v>26.4</v>
      </c>
      <c r="J23">
        <v>91.2</v>
      </c>
    </row>
    <row r="24" spans="1:10" x14ac:dyDescent="0.25">
      <c r="A24" t="s">
        <v>126</v>
      </c>
      <c r="B24">
        <v>156.9</v>
      </c>
      <c r="C24">
        <v>97.4</v>
      </c>
      <c r="D24">
        <v>37.9</v>
      </c>
      <c r="E24">
        <v>82.3</v>
      </c>
      <c r="F24">
        <v>61.6</v>
      </c>
      <c r="G24">
        <v>131.30000000000001</v>
      </c>
      <c r="H24">
        <v>45.6</v>
      </c>
      <c r="I24">
        <v>20.7</v>
      </c>
      <c r="J24">
        <v>99.5</v>
      </c>
    </row>
    <row r="25" spans="1:10" x14ac:dyDescent="0.25">
      <c r="A25" t="s">
        <v>127</v>
      </c>
      <c r="B25">
        <v>130.19999999999999</v>
      </c>
      <c r="C25">
        <v>99.5</v>
      </c>
      <c r="D25">
        <v>23.5</v>
      </c>
      <c r="E25">
        <v>87.1</v>
      </c>
      <c r="F25">
        <v>68.7</v>
      </c>
      <c r="G25">
        <v>118.7</v>
      </c>
      <c r="H25">
        <v>63.9</v>
      </c>
      <c r="I25">
        <v>29.9</v>
      </c>
      <c r="J25">
        <v>99.6</v>
      </c>
    </row>
    <row r="26" spans="1:10" x14ac:dyDescent="0.25">
      <c r="A26" t="s">
        <v>128</v>
      </c>
      <c r="B26">
        <v>100.3</v>
      </c>
      <c r="C26">
        <v>92.3</v>
      </c>
      <c r="D26">
        <v>8</v>
      </c>
      <c r="E26">
        <v>80.099999999999994</v>
      </c>
      <c r="F26">
        <v>67.900000000000006</v>
      </c>
      <c r="G26">
        <v>99.6</v>
      </c>
      <c r="H26">
        <v>60.8</v>
      </c>
      <c r="I26">
        <v>34.9</v>
      </c>
      <c r="J26">
        <v>90</v>
      </c>
    </row>
    <row r="27" spans="1:10" x14ac:dyDescent="0.25">
      <c r="A27" t="s">
        <v>129</v>
      </c>
      <c r="B27">
        <v>133.1</v>
      </c>
      <c r="C27">
        <v>96.6</v>
      </c>
      <c r="D27">
        <v>27.5</v>
      </c>
      <c r="E27">
        <v>74.7</v>
      </c>
      <c r="F27">
        <v>63.4</v>
      </c>
      <c r="G27">
        <v>116.4</v>
      </c>
      <c r="H27">
        <v>47.8</v>
      </c>
      <c r="I27">
        <v>19.100000000000001</v>
      </c>
      <c r="J27">
        <v>98.1</v>
      </c>
    </row>
    <row r="28" spans="1:10" x14ac:dyDescent="0.25">
      <c r="A28" t="s">
        <v>87</v>
      </c>
      <c r="B28">
        <v>113</v>
      </c>
      <c r="C28">
        <v>90.9</v>
      </c>
      <c r="D28">
        <v>19.600000000000001</v>
      </c>
      <c r="E28">
        <v>81.5</v>
      </c>
      <c r="F28">
        <v>70.8</v>
      </c>
      <c r="G28">
        <v>105.8</v>
      </c>
      <c r="H28">
        <v>52</v>
      </c>
      <c r="I28">
        <v>25.2</v>
      </c>
      <c r="J28">
        <v>90.6</v>
      </c>
    </row>
    <row r="29" spans="1:10" x14ac:dyDescent="0.25">
      <c r="A29" t="s">
        <v>265</v>
      </c>
      <c r="B29">
        <v>90</v>
      </c>
      <c r="C29">
        <v>73.8</v>
      </c>
      <c r="D29">
        <v>18.100000000000001</v>
      </c>
      <c r="E29">
        <v>94.2</v>
      </c>
      <c r="F29">
        <v>93.6</v>
      </c>
      <c r="G29">
        <v>86.4</v>
      </c>
      <c r="H29">
        <v>53.1</v>
      </c>
      <c r="I29">
        <v>36.200000000000003</v>
      </c>
      <c r="J29">
        <v>76.2</v>
      </c>
    </row>
    <row r="30" spans="1:10" x14ac:dyDescent="0.25">
      <c r="A30" t="s">
        <v>266</v>
      </c>
      <c r="B30">
        <v>119.2</v>
      </c>
      <c r="C30">
        <v>95.4</v>
      </c>
      <c r="D30">
        <v>19.899999999999999</v>
      </c>
      <c r="E30">
        <v>78.900000000000006</v>
      </c>
      <c r="F30">
        <v>64.599999999999994</v>
      </c>
      <c r="G30">
        <v>110.8</v>
      </c>
      <c r="H30">
        <v>51.7</v>
      </c>
      <c r="I30">
        <v>22.2</v>
      </c>
      <c r="J30">
        <v>94.3</v>
      </c>
    </row>
  </sheetData>
  <mergeCells count="2">
    <mergeCell ref="G1:I1"/>
    <mergeCell ref="A1:A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030A0"/>
  </sheetPr>
  <dimension ref="A1:K30"/>
  <sheetViews>
    <sheetView workbookViewId="0">
      <selection sqref="A1:A2"/>
    </sheetView>
  </sheetViews>
  <sheetFormatPr defaultRowHeight="15" x14ac:dyDescent="0.25"/>
  <cols>
    <col min="1" max="1" width="26.140625" customWidth="1"/>
    <col min="2" max="2" width="15.140625" customWidth="1"/>
    <col min="3" max="3" width="14.85546875" customWidth="1"/>
    <col min="4" max="4" width="15.140625" customWidth="1"/>
    <col min="5" max="5" width="14.85546875" customWidth="1"/>
    <col min="7" max="7" width="15.140625" customWidth="1"/>
    <col min="8" max="8" width="16.140625" customWidth="1"/>
  </cols>
  <sheetData>
    <row r="1" spans="1:11" x14ac:dyDescent="0.25">
      <c r="A1" s="27" t="s">
        <v>104</v>
      </c>
      <c r="B1" s="27" t="s">
        <v>356</v>
      </c>
      <c r="C1" s="27"/>
      <c r="D1" s="27" t="s">
        <v>357</v>
      </c>
      <c r="E1" s="27"/>
      <c r="F1" s="27" t="s">
        <v>358</v>
      </c>
      <c r="G1" s="27"/>
      <c r="H1" s="27" t="s">
        <v>359</v>
      </c>
      <c r="I1" s="27"/>
      <c r="J1" s="27" t="s">
        <v>360</v>
      </c>
      <c r="K1" s="27"/>
    </row>
    <row r="2" spans="1:11" x14ac:dyDescent="0.25">
      <c r="A2" s="27"/>
      <c r="B2" t="s">
        <v>84</v>
      </c>
      <c r="C2" t="s">
        <v>85</v>
      </c>
      <c r="D2" t="s">
        <v>84</v>
      </c>
      <c r="E2" t="s">
        <v>85</v>
      </c>
      <c r="F2" t="s">
        <v>84</v>
      </c>
      <c r="G2" t="s">
        <v>85</v>
      </c>
      <c r="H2" t="s">
        <v>84</v>
      </c>
      <c r="I2" t="s">
        <v>85</v>
      </c>
      <c r="J2" t="s">
        <v>84</v>
      </c>
      <c r="K2" t="s">
        <v>85</v>
      </c>
    </row>
    <row r="3" spans="1:11" x14ac:dyDescent="0.25">
      <c r="A3" t="s">
        <v>105</v>
      </c>
      <c r="B3">
        <v>102.3</v>
      </c>
      <c r="C3">
        <v>99.1</v>
      </c>
      <c r="D3">
        <v>83.4</v>
      </c>
      <c r="E3">
        <v>82.1</v>
      </c>
      <c r="F3">
        <v>18.5</v>
      </c>
      <c r="G3">
        <v>17.2</v>
      </c>
      <c r="H3">
        <v>85.1</v>
      </c>
      <c r="I3">
        <v>87</v>
      </c>
      <c r="J3">
        <v>72</v>
      </c>
      <c r="K3">
        <v>77.7</v>
      </c>
    </row>
    <row r="4" spans="1:11" x14ac:dyDescent="0.25">
      <c r="A4" t="s">
        <v>106</v>
      </c>
      <c r="B4">
        <v>118.2</v>
      </c>
      <c r="C4">
        <v>116.6</v>
      </c>
      <c r="D4">
        <v>96.7</v>
      </c>
      <c r="E4">
        <v>97.8</v>
      </c>
      <c r="F4">
        <v>18.2</v>
      </c>
      <c r="G4">
        <v>16.100000000000001</v>
      </c>
      <c r="H4">
        <v>81.099999999999994</v>
      </c>
      <c r="I4">
        <v>84.4</v>
      </c>
      <c r="J4">
        <v>75.400000000000006</v>
      </c>
      <c r="K4">
        <v>79.400000000000006</v>
      </c>
    </row>
    <row r="5" spans="1:11" x14ac:dyDescent="0.25">
      <c r="A5" t="s">
        <v>107</v>
      </c>
      <c r="B5">
        <v>120.5</v>
      </c>
      <c r="C5">
        <v>117.5</v>
      </c>
      <c r="D5">
        <v>95.6</v>
      </c>
      <c r="E5">
        <v>94.2</v>
      </c>
      <c r="F5">
        <v>20.7</v>
      </c>
      <c r="G5">
        <v>19.8</v>
      </c>
      <c r="H5">
        <v>83.5</v>
      </c>
      <c r="I5">
        <v>88.2</v>
      </c>
      <c r="J5">
        <v>77</v>
      </c>
      <c r="K5">
        <v>80</v>
      </c>
    </row>
    <row r="6" spans="1:11" x14ac:dyDescent="0.25">
      <c r="A6" t="s">
        <v>108</v>
      </c>
      <c r="B6">
        <v>101.6</v>
      </c>
      <c r="C6">
        <v>100.9</v>
      </c>
      <c r="D6">
        <v>91.4</v>
      </c>
      <c r="E6">
        <v>92.4</v>
      </c>
      <c r="F6">
        <v>10.1</v>
      </c>
      <c r="G6">
        <v>8.4</v>
      </c>
      <c r="H6">
        <v>85.4</v>
      </c>
      <c r="I6">
        <v>89.2</v>
      </c>
      <c r="J6">
        <v>70.599999999999994</v>
      </c>
      <c r="K6">
        <v>73.400000000000006</v>
      </c>
    </row>
    <row r="7" spans="1:11" x14ac:dyDescent="0.25">
      <c r="A7" t="s">
        <v>109</v>
      </c>
      <c r="B7">
        <v>101.4</v>
      </c>
      <c r="C7">
        <v>98.3</v>
      </c>
      <c r="D7">
        <v>87.5</v>
      </c>
      <c r="E7">
        <v>86.4</v>
      </c>
      <c r="F7">
        <v>13.7</v>
      </c>
      <c r="G7">
        <v>12.2</v>
      </c>
      <c r="H7">
        <v>83.4</v>
      </c>
      <c r="I7">
        <v>86.7</v>
      </c>
      <c r="J7">
        <v>66</v>
      </c>
      <c r="K7">
        <v>69.599999999999994</v>
      </c>
    </row>
    <row r="8" spans="1:11" x14ac:dyDescent="0.25">
      <c r="A8" t="s">
        <v>110</v>
      </c>
      <c r="B8">
        <v>115.1</v>
      </c>
      <c r="C8">
        <v>113.9</v>
      </c>
      <c r="D8">
        <v>97.8</v>
      </c>
      <c r="E8">
        <v>99</v>
      </c>
      <c r="F8">
        <v>15</v>
      </c>
      <c r="G8">
        <v>13.1</v>
      </c>
      <c r="H8">
        <v>85.3</v>
      </c>
      <c r="I8">
        <v>89.1</v>
      </c>
      <c r="J8">
        <v>73.2</v>
      </c>
      <c r="K8">
        <v>75.5</v>
      </c>
    </row>
    <row r="9" spans="1:11" x14ac:dyDescent="0.25">
      <c r="A9" t="s">
        <v>111</v>
      </c>
      <c r="B9">
        <v>99.8</v>
      </c>
      <c r="C9">
        <v>95.1</v>
      </c>
      <c r="D9">
        <v>87.7</v>
      </c>
      <c r="E9">
        <v>84.8</v>
      </c>
      <c r="F9">
        <v>12.1</v>
      </c>
      <c r="G9">
        <v>10.8</v>
      </c>
      <c r="H9">
        <v>86</v>
      </c>
      <c r="I9">
        <v>89.6</v>
      </c>
      <c r="J9">
        <v>69</v>
      </c>
      <c r="K9">
        <v>72.400000000000006</v>
      </c>
    </row>
    <row r="10" spans="1:11" x14ac:dyDescent="0.25">
      <c r="A10" t="s">
        <v>112</v>
      </c>
      <c r="B10">
        <v>113</v>
      </c>
      <c r="C10">
        <v>110.4</v>
      </c>
      <c r="D10">
        <v>98.1</v>
      </c>
      <c r="E10">
        <v>98.5</v>
      </c>
      <c r="F10">
        <v>13.2</v>
      </c>
      <c r="G10">
        <v>10.8</v>
      </c>
      <c r="H10">
        <v>87</v>
      </c>
      <c r="I10">
        <v>92.4</v>
      </c>
      <c r="J10">
        <v>80.900000000000006</v>
      </c>
      <c r="K10">
        <v>84.3</v>
      </c>
    </row>
    <row r="11" spans="1:11" x14ac:dyDescent="0.25">
      <c r="A11" t="s">
        <v>113</v>
      </c>
      <c r="B11">
        <v>90.5</v>
      </c>
      <c r="C11">
        <v>89.5</v>
      </c>
      <c r="D11">
        <v>77.3</v>
      </c>
      <c r="E11">
        <v>79.7</v>
      </c>
      <c r="F11">
        <v>14.5</v>
      </c>
      <c r="G11">
        <v>11</v>
      </c>
      <c r="H11">
        <v>88.2</v>
      </c>
      <c r="I11">
        <v>94.6</v>
      </c>
      <c r="J11">
        <v>75.900000000000006</v>
      </c>
      <c r="K11">
        <v>77.8</v>
      </c>
    </row>
    <row r="12" spans="1:11" x14ac:dyDescent="0.25">
      <c r="A12" t="s">
        <v>114</v>
      </c>
      <c r="B12">
        <v>87.6</v>
      </c>
      <c r="C12">
        <v>86.3</v>
      </c>
      <c r="D12">
        <v>62.7</v>
      </c>
      <c r="E12">
        <v>64.400000000000006</v>
      </c>
      <c r="F12">
        <v>28.4</v>
      </c>
      <c r="G12">
        <v>25.4</v>
      </c>
      <c r="H12">
        <v>85.7</v>
      </c>
      <c r="I12">
        <v>87.9</v>
      </c>
      <c r="J12">
        <v>72.900000000000006</v>
      </c>
      <c r="K12">
        <v>75.400000000000006</v>
      </c>
    </row>
    <row r="13" spans="1:11" x14ac:dyDescent="0.25">
      <c r="A13" t="s">
        <v>115</v>
      </c>
      <c r="B13">
        <v>126.1</v>
      </c>
      <c r="C13">
        <v>119.3</v>
      </c>
      <c r="D13">
        <v>97.8</v>
      </c>
      <c r="E13">
        <v>96</v>
      </c>
      <c r="F13">
        <v>22.4</v>
      </c>
      <c r="G13">
        <v>19.600000000000001</v>
      </c>
      <c r="H13">
        <v>74.599999999999994</v>
      </c>
      <c r="I13">
        <v>76.7</v>
      </c>
      <c r="J13">
        <v>68.400000000000006</v>
      </c>
      <c r="K13">
        <v>71.599999999999994</v>
      </c>
    </row>
    <row r="14" spans="1:11" x14ac:dyDescent="0.25">
      <c r="A14" t="s">
        <v>116</v>
      </c>
      <c r="B14">
        <v>128.4</v>
      </c>
      <c r="C14">
        <v>129.30000000000001</v>
      </c>
      <c r="D14">
        <v>92.3</v>
      </c>
      <c r="E14">
        <v>96.9</v>
      </c>
      <c r="F14">
        <v>28.1</v>
      </c>
      <c r="G14">
        <v>25.1</v>
      </c>
      <c r="H14">
        <v>78.7</v>
      </c>
      <c r="I14">
        <v>77.900000000000006</v>
      </c>
      <c r="J14">
        <v>72</v>
      </c>
      <c r="K14">
        <v>74.599999999999994</v>
      </c>
    </row>
    <row r="15" spans="1:11" x14ac:dyDescent="0.25">
      <c r="A15" t="s">
        <v>117</v>
      </c>
      <c r="B15">
        <v>109.3</v>
      </c>
      <c r="C15">
        <v>106.3</v>
      </c>
      <c r="D15">
        <v>87.5</v>
      </c>
      <c r="E15">
        <v>86.9</v>
      </c>
      <c r="F15">
        <v>20</v>
      </c>
      <c r="G15">
        <v>18.2</v>
      </c>
      <c r="H15">
        <v>82.8</v>
      </c>
      <c r="I15">
        <v>85.8</v>
      </c>
      <c r="J15">
        <v>71.3</v>
      </c>
      <c r="K15">
        <v>74.8</v>
      </c>
    </row>
    <row r="16" spans="1:11" x14ac:dyDescent="0.25">
      <c r="A16" t="s">
        <v>118</v>
      </c>
      <c r="B16">
        <v>79.599999999999994</v>
      </c>
      <c r="C16">
        <v>78.8</v>
      </c>
      <c r="D16">
        <v>63.1</v>
      </c>
      <c r="E16">
        <v>64.900000000000006</v>
      </c>
      <c r="F16">
        <v>20.7</v>
      </c>
      <c r="G16">
        <v>17.7</v>
      </c>
      <c r="H16">
        <v>99.4</v>
      </c>
      <c r="I16">
        <v>102.4</v>
      </c>
      <c r="J16">
        <v>72.900000000000006</v>
      </c>
      <c r="K16">
        <v>77.599999999999994</v>
      </c>
    </row>
    <row r="17" spans="1:11" x14ac:dyDescent="0.25">
      <c r="A17" t="s">
        <v>119</v>
      </c>
      <c r="B17">
        <v>82.1</v>
      </c>
      <c r="C17">
        <v>81</v>
      </c>
      <c r="D17">
        <v>70.2</v>
      </c>
      <c r="E17">
        <v>69.7</v>
      </c>
      <c r="F17">
        <v>14.5</v>
      </c>
      <c r="G17">
        <v>14</v>
      </c>
      <c r="H17">
        <v>94.4</v>
      </c>
      <c r="I17">
        <v>95.9</v>
      </c>
      <c r="J17">
        <v>89.4</v>
      </c>
      <c r="K17">
        <v>92.1</v>
      </c>
    </row>
    <row r="18" spans="1:11" x14ac:dyDescent="0.25">
      <c r="A18" t="s">
        <v>120</v>
      </c>
      <c r="B18">
        <v>95.4</v>
      </c>
      <c r="C18">
        <v>98.7</v>
      </c>
      <c r="D18">
        <v>67.599999999999994</v>
      </c>
      <c r="E18">
        <v>70.3</v>
      </c>
      <c r="F18">
        <v>29.2</v>
      </c>
      <c r="G18">
        <v>28.7</v>
      </c>
      <c r="H18">
        <v>83.9</v>
      </c>
      <c r="I18">
        <v>85.1</v>
      </c>
      <c r="J18">
        <v>70.599999999999994</v>
      </c>
      <c r="K18">
        <v>78</v>
      </c>
    </row>
    <row r="19" spans="1:11" x14ac:dyDescent="0.25">
      <c r="A19" t="s">
        <v>121</v>
      </c>
      <c r="B19">
        <v>136.6</v>
      </c>
      <c r="C19">
        <v>131.5</v>
      </c>
      <c r="D19">
        <v>88</v>
      </c>
      <c r="E19">
        <v>91.3</v>
      </c>
      <c r="F19">
        <v>35.6</v>
      </c>
      <c r="G19">
        <v>30.6</v>
      </c>
      <c r="H19">
        <v>86.9</v>
      </c>
      <c r="I19">
        <v>88.9</v>
      </c>
      <c r="J19">
        <v>76.900000000000006</v>
      </c>
      <c r="K19">
        <v>77.8</v>
      </c>
    </row>
    <row r="20" spans="1:11" x14ac:dyDescent="0.25">
      <c r="A20" t="s">
        <v>122</v>
      </c>
      <c r="B20">
        <v>114.2</v>
      </c>
      <c r="C20">
        <v>111.4</v>
      </c>
      <c r="D20">
        <v>98.2</v>
      </c>
      <c r="E20">
        <v>96.7</v>
      </c>
      <c r="F20">
        <v>14</v>
      </c>
      <c r="G20">
        <v>13.2</v>
      </c>
      <c r="H20">
        <v>84.5</v>
      </c>
      <c r="I20">
        <v>90</v>
      </c>
      <c r="J20">
        <v>70.3</v>
      </c>
      <c r="K20">
        <v>73.8</v>
      </c>
    </row>
    <row r="21" spans="1:11" x14ac:dyDescent="0.25">
      <c r="A21" t="s">
        <v>123</v>
      </c>
      <c r="B21">
        <v>124.1</v>
      </c>
      <c r="C21">
        <v>123.7</v>
      </c>
      <c r="D21">
        <v>95.7</v>
      </c>
      <c r="E21">
        <v>95.9</v>
      </c>
      <c r="F21">
        <v>22.9</v>
      </c>
      <c r="G21">
        <v>22.5</v>
      </c>
      <c r="H21">
        <v>82.7</v>
      </c>
      <c r="I21">
        <v>85.7</v>
      </c>
      <c r="J21">
        <v>76.099999999999994</v>
      </c>
      <c r="K21">
        <v>80.5</v>
      </c>
    </row>
    <row r="22" spans="1:11" x14ac:dyDescent="0.25">
      <c r="A22" t="s">
        <v>124</v>
      </c>
      <c r="B22">
        <v>165.3</v>
      </c>
      <c r="C22">
        <v>156.80000000000001</v>
      </c>
      <c r="D22">
        <v>94.9</v>
      </c>
      <c r="E22">
        <v>91.4</v>
      </c>
      <c r="F22">
        <v>42.6</v>
      </c>
      <c r="G22">
        <v>41.7</v>
      </c>
      <c r="H22">
        <v>81.5</v>
      </c>
      <c r="I22">
        <v>83.8</v>
      </c>
      <c r="J22">
        <v>78.900000000000006</v>
      </c>
      <c r="K22">
        <v>80.3</v>
      </c>
    </row>
    <row r="23" spans="1:11" x14ac:dyDescent="0.25">
      <c r="A23" t="s">
        <v>125</v>
      </c>
      <c r="B23">
        <v>111.3</v>
      </c>
      <c r="C23">
        <v>110.6</v>
      </c>
      <c r="D23">
        <v>94.4</v>
      </c>
      <c r="E23">
        <v>95.8</v>
      </c>
      <c r="F23">
        <v>15.1</v>
      </c>
      <c r="G23">
        <v>13.4</v>
      </c>
      <c r="H23">
        <v>88.3</v>
      </c>
      <c r="I23">
        <v>91.9</v>
      </c>
      <c r="J23">
        <v>79.7</v>
      </c>
      <c r="K23">
        <v>84.4</v>
      </c>
    </row>
    <row r="24" spans="1:11" x14ac:dyDescent="0.25">
      <c r="A24" t="s">
        <v>126</v>
      </c>
      <c r="B24">
        <v>149.80000000000001</v>
      </c>
      <c r="C24">
        <v>142.5</v>
      </c>
      <c r="D24">
        <v>94.8</v>
      </c>
      <c r="E24">
        <v>92</v>
      </c>
      <c r="F24">
        <v>36.700000000000003</v>
      </c>
      <c r="G24">
        <v>35.4</v>
      </c>
      <c r="H24">
        <v>79.599999999999994</v>
      </c>
      <c r="I24">
        <v>77.099999999999994</v>
      </c>
      <c r="J24">
        <v>68.099999999999994</v>
      </c>
      <c r="K24">
        <v>74.599999999999994</v>
      </c>
    </row>
    <row r="25" spans="1:11" x14ac:dyDescent="0.25">
      <c r="A25" t="s">
        <v>127</v>
      </c>
      <c r="B25">
        <v>128.69999999999999</v>
      </c>
      <c r="C25">
        <v>127.2</v>
      </c>
      <c r="D25">
        <v>99.4</v>
      </c>
      <c r="E25">
        <v>99.3</v>
      </c>
      <c r="F25">
        <v>22.7</v>
      </c>
      <c r="G25">
        <v>21.9</v>
      </c>
      <c r="H25">
        <v>89.5</v>
      </c>
      <c r="I25">
        <v>91.9</v>
      </c>
      <c r="J25">
        <v>71.5</v>
      </c>
      <c r="K25">
        <v>74.099999999999994</v>
      </c>
    </row>
    <row r="26" spans="1:11" x14ac:dyDescent="0.25">
      <c r="A26" t="s">
        <v>128</v>
      </c>
      <c r="B26">
        <v>99.1</v>
      </c>
      <c r="C26">
        <v>97.8</v>
      </c>
      <c r="D26">
        <v>92</v>
      </c>
      <c r="E26">
        <v>91.6</v>
      </c>
      <c r="F26">
        <v>7.2</v>
      </c>
      <c r="G26">
        <v>6.3</v>
      </c>
      <c r="H26">
        <v>85.4</v>
      </c>
      <c r="I26">
        <v>90.9</v>
      </c>
      <c r="J26">
        <v>73.5</v>
      </c>
      <c r="K26">
        <v>79</v>
      </c>
    </row>
    <row r="27" spans="1:11" x14ac:dyDescent="0.25">
      <c r="A27" t="s">
        <v>129</v>
      </c>
      <c r="B27">
        <v>129.30000000000001</v>
      </c>
      <c r="C27">
        <v>125.2</v>
      </c>
      <c r="D27">
        <v>95.9</v>
      </c>
      <c r="E27">
        <v>95.1</v>
      </c>
      <c r="F27">
        <v>25.8</v>
      </c>
      <c r="G27">
        <v>24</v>
      </c>
      <c r="H27">
        <v>78.599999999999994</v>
      </c>
      <c r="I27">
        <v>82.3</v>
      </c>
      <c r="J27">
        <v>68.900000000000006</v>
      </c>
      <c r="K27">
        <v>73.8</v>
      </c>
    </row>
    <row r="28" spans="1:11" x14ac:dyDescent="0.25">
      <c r="A28" t="s">
        <v>87</v>
      </c>
      <c r="B28">
        <v>110.9</v>
      </c>
      <c r="C28">
        <v>108.6</v>
      </c>
      <c r="D28">
        <v>90.7</v>
      </c>
      <c r="E28">
        <v>90.5</v>
      </c>
      <c r="F28">
        <v>18.2</v>
      </c>
      <c r="G28">
        <v>16.7</v>
      </c>
      <c r="H28">
        <v>85</v>
      </c>
      <c r="I28">
        <v>88.6</v>
      </c>
      <c r="J28">
        <v>74.900000000000006</v>
      </c>
      <c r="K28">
        <v>78.599999999999994</v>
      </c>
    </row>
    <row r="29" spans="1:11" x14ac:dyDescent="0.25">
      <c r="A29" t="s">
        <v>265</v>
      </c>
      <c r="B29">
        <v>88.5</v>
      </c>
      <c r="C29">
        <v>86.8</v>
      </c>
      <c r="D29">
        <v>73.400000000000006</v>
      </c>
      <c r="E29">
        <v>73.099999999999994</v>
      </c>
      <c r="F29">
        <v>17</v>
      </c>
      <c r="G29">
        <v>15.7</v>
      </c>
      <c r="H29">
        <v>96.2</v>
      </c>
      <c r="I29">
        <v>98.2</v>
      </c>
      <c r="J29">
        <v>98.6</v>
      </c>
      <c r="K29">
        <v>103.3</v>
      </c>
    </row>
    <row r="30" spans="1:11" x14ac:dyDescent="0.25">
      <c r="A30" t="s">
        <v>266</v>
      </c>
      <c r="B30">
        <v>116.9</v>
      </c>
      <c r="C30">
        <v>114.4</v>
      </c>
      <c r="D30">
        <v>95.3</v>
      </c>
      <c r="E30">
        <v>95.1</v>
      </c>
      <c r="F30">
        <v>18.5</v>
      </c>
      <c r="G30">
        <v>16.899999999999999</v>
      </c>
      <c r="H30">
        <v>82.8</v>
      </c>
      <c r="I30">
        <v>86.6</v>
      </c>
      <c r="J30">
        <v>68.8</v>
      </c>
      <c r="K30">
        <v>72.400000000000006</v>
      </c>
    </row>
  </sheetData>
  <mergeCells count="6">
    <mergeCell ref="A1:A2"/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030A0"/>
  </sheetPr>
  <dimension ref="A1:N31"/>
  <sheetViews>
    <sheetView workbookViewId="0">
      <selection sqref="A1:N1"/>
    </sheetView>
  </sheetViews>
  <sheetFormatPr defaultRowHeight="15" x14ac:dyDescent="0.25"/>
  <cols>
    <col min="1" max="1" width="28.140625" customWidth="1"/>
    <col min="2" max="2" width="12.7109375" customWidth="1"/>
    <col min="13" max="13" width="12.42578125" customWidth="1"/>
    <col min="14" max="14" width="7.42578125" customWidth="1"/>
  </cols>
  <sheetData>
    <row r="1" spans="1:14" x14ac:dyDescent="0.25">
      <c r="A1" s="27" t="s">
        <v>361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x14ac:dyDescent="0.25">
      <c r="A2" s="27" t="s">
        <v>104</v>
      </c>
      <c r="B2" s="27" t="s">
        <v>362</v>
      </c>
      <c r="C2" s="27"/>
      <c r="D2" s="27"/>
      <c r="E2" s="27" t="s">
        <v>363</v>
      </c>
      <c r="F2" s="27"/>
      <c r="G2" s="27"/>
      <c r="H2" s="27" t="s">
        <v>364</v>
      </c>
      <c r="I2" s="27"/>
      <c r="J2" s="27"/>
      <c r="K2" s="27" t="s">
        <v>365</v>
      </c>
      <c r="L2" s="27"/>
      <c r="M2" s="27"/>
    </row>
    <row r="3" spans="1:14" x14ac:dyDescent="0.25">
      <c r="A3" s="27"/>
      <c r="B3" t="s">
        <v>161</v>
      </c>
      <c r="C3" t="s">
        <v>284</v>
      </c>
      <c r="D3" t="s">
        <v>285</v>
      </c>
      <c r="E3" t="s">
        <v>161</v>
      </c>
      <c r="F3" t="s">
        <v>284</v>
      </c>
      <c r="G3" t="s">
        <v>285</v>
      </c>
      <c r="H3" t="s">
        <v>161</v>
      </c>
      <c r="I3" t="s">
        <v>284</v>
      </c>
      <c r="J3" t="s">
        <v>285</v>
      </c>
      <c r="K3" t="s">
        <v>161</v>
      </c>
      <c r="L3" t="s">
        <v>284</v>
      </c>
      <c r="M3" t="s">
        <v>285</v>
      </c>
    </row>
    <row r="4" spans="1:14" x14ac:dyDescent="0.25">
      <c r="A4" t="s">
        <v>105</v>
      </c>
      <c r="B4">
        <v>3.6</v>
      </c>
      <c r="C4">
        <v>2.4</v>
      </c>
      <c r="D4">
        <v>1.2</v>
      </c>
      <c r="E4">
        <v>11.4</v>
      </c>
      <c r="F4">
        <v>17.899999999999999</v>
      </c>
      <c r="G4">
        <v>15.6</v>
      </c>
      <c r="H4">
        <v>2.5</v>
      </c>
      <c r="I4">
        <v>1.4</v>
      </c>
      <c r="J4">
        <v>0.8</v>
      </c>
      <c r="K4">
        <v>10.199999999999999</v>
      </c>
      <c r="L4">
        <v>15.4</v>
      </c>
      <c r="M4">
        <v>12.6</v>
      </c>
    </row>
    <row r="5" spans="1:14" x14ac:dyDescent="0.25">
      <c r="A5" t="s">
        <v>106</v>
      </c>
      <c r="B5">
        <v>6</v>
      </c>
      <c r="C5">
        <v>2.7</v>
      </c>
      <c r="D5">
        <v>1.5</v>
      </c>
      <c r="E5">
        <v>13</v>
      </c>
      <c r="F5">
        <v>21</v>
      </c>
      <c r="G5">
        <v>21.9</v>
      </c>
      <c r="H5">
        <v>4.5</v>
      </c>
      <c r="I5">
        <v>1.6</v>
      </c>
      <c r="J5">
        <v>1</v>
      </c>
      <c r="K5">
        <v>11.5</v>
      </c>
      <c r="L5">
        <v>18.899999999999999</v>
      </c>
      <c r="M5">
        <v>20.3</v>
      </c>
    </row>
    <row r="6" spans="1:14" x14ac:dyDescent="0.25">
      <c r="A6" t="s">
        <v>107</v>
      </c>
      <c r="B6">
        <v>8.3000000000000007</v>
      </c>
      <c r="C6">
        <v>3.4</v>
      </c>
      <c r="D6">
        <v>1.7</v>
      </c>
      <c r="E6">
        <v>15</v>
      </c>
      <c r="F6">
        <v>17.5</v>
      </c>
      <c r="G6">
        <v>15.6</v>
      </c>
      <c r="H6">
        <v>6.1</v>
      </c>
      <c r="I6">
        <v>2.2000000000000002</v>
      </c>
      <c r="J6">
        <v>1.2</v>
      </c>
      <c r="K6">
        <v>14.3</v>
      </c>
      <c r="L6">
        <v>15.4</v>
      </c>
      <c r="M6">
        <v>13.4</v>
      </c>
    </row>
    <row r="7" spans="1:14" x14ac:dyDescent="0.25">
      <c r="A7" t="s">
        <v>108</v>
      </c>
      <c r="B7">
        <v>5.9</v>
      </c>
      <c r="C7">
        <v>2.1</v>
      </c>
      <c r="D7">
        <v>1.1000000000000001</v>
      </c>
      <c r="E7">
        <v>9.1999999999999993</v>
      </c>
      <c r="F7">
        <v>18</v>
      </c>
      <c r="G7">
        <v>18.8</v>
      </c>
      <c r="H7">
        <v>4.2</v>
      </c>
      <c r="I7">
        <v>0.9</v>
      </c>
      <c r="J7">
        <v>0.8</v>
      </c>
      <c r="K7">
        <v>8.1999999999999993</v>
      </c>
      <c r="L7">
        <v>15.7</v>
      </c>
      <c r="M7">
        <v>16.100000000000001</v>
      </c>
    </row>
    <row r="8" spans="1:14" x14ac:dyDescent="0.25">
      <c r="A8" t="s">
        <v>109</v>
      </c>
      <c r="B8">
        <v>4.9000000000000004</v>
      </c>
      <c r="C8">
        <v>2.1</v>
      </c>
      <c r="D8">
        <v>0.5</v>
      </c>
      <c r="E8">
        <v>10.3</v>
      </c>
      <c r="F8">
        <v>16.899999999999999</v>
      </c>
      <c r="G8">
        <v>16.600000000000001</v>
      </c>
      <c r="H8">
        <v>3.8</v>
      </c>
      <c r="I8">
        <v>1.1000000000000001</v>
      </c>
      <c r="J8">
        <v>0.4</v>
      </c>
      <c r="K8">
        <v>9.5</v>
      </c>
      <c r="L8">
        <v>14.3</v>
      </c>
      <c r="M8">
        <v>14.3</v>
      </c>
    </row>
    <row r="9" spans="1:14" x14ac:dyDescent="0.25">
      <c r="A9" t="s">
        <v>110</v>
      </c>
      <c r="B9">
        <v>7.1</v>
      </c>
      <c r="C9">
        <v>3.4</v>
      </c>
      <c r="D9">
        <v>1</v>
      </c>
      <c r="E9">
        <v>13.7</v>
      </c>
      <c r="F9">
        <v>22.5</v>
      </c>
      <c r="G9">
        <v>22.6</v>
      </c>
      <c r="H9">
        <v>5.3</v>
      </c>
      <c r="I9">
        <v>2.2000000000000002</v>
      </c>
      <c r="J9">
        <v>0.6</v>
      </c>
      <c r="K9">
        <v>12.5</v>
      </c>
      <c r="L9">
        <v>19.8</v>
      </c>
      <c r="M9">
        <v>20.100000000000001</v>
      </c>
    </row>
    <row r="10" spans="1:14" x14ac:dyDescent="0.25">
      <c r="A10" t="s">
        <v>111</v>
      </c>
      <c r="B10">
        <v>5</v>
      </c>
      <c r="C10">
        <v>3</v>
      </c>
      <c r="D10">
        <v>1.6</v>
      </c>
      <c r="E10">
        <v>10</v>
      </c>
      <c r="F10">
        <v>18.600000000000001</v>
      </c>
      <c r="G10">
        <v>19.899999999999999</v>
      </c>
      <c r="H10">
        <v>3.5</v>
      </c>
      <c r="I10">
        <v>1.5</v>
      </c>
      <c r="J10">
        <v>1.2</v>
      </c>
      <c r="K10">
        <v>8.9</v>
      </c>
      <c r="L10">
        <v>15.6</v>
      </c>
      <c r="M10">
        <v>17.3</v>
      </c>
    </row>
    <row r="11" spans="1:14" x14ac:dyDescent="0.25">
      <c r="A11" t="s">
        <v>112</v>
      </c>
      <c r="B11">
        <v>7.8</v>
      </c>
      <c r="C11">
        <v>2.6</v>
      </c>
      <c r="D11">
        <v>1.6</v>
      </c>
      <c r="E11">
        <v>11.1</v>
      </c>
      <c r="F11">
        <v>16.399999999999999</v>
      </c>
      <c r="G11">
        <v>17.600000000000001</v>
      </c>
      <c r="H11">
        <v>5.7</v>
      </c>
      <c r="I11">
        <v>1.5</v>
      </c>
      <c r="J11">
        <v>1.1000000000000001</v>
      </c>
      <c r="K11">
        <v>9.1</v>
      </c>
      <c r="L11">
        <v>13.9</v>
      </c>
      <c r="M11">
        <v>14.1</v>
      </c>
    </row>
    <row r="12" spans="1:14" x14ac:dyDescent="0.25">
      <c r="A12" t="s">
        <v>113</v>
      </c>
      <c r="B12">
        <v>9.3000000000000007</v>
      </c>
      <c r="C12">
        <v>5</v>
      </c>
      <c r="D12">
        <v>1.5</v>
      </c>
      <c r="E12">
        <v>10.199999999999999</v>
      </c>
      <c r="F12">
        <v>16.100000000000001</v>
      </c>
      <c r="G12">
        <v>19.8</v>
      </c>
      <c r="H12">
        <v>5.9</v>
      </c>
      <c r="I12">
        <v>2.5</v>
      </c>
      <c r="J12">
        <v>0.9</v>
      </c>
      <c r="K12">
        <v>8.8000000000000007</v>
      </c>
      <c r="L12">
        <v>14.7</v>
      </c>
      <c r="M12">
        <v>16.399999999999999</v>
      </c>
    </row>
    <row r="13" spans="1:14" x14ac:dyDescent="0.25">
      <c r="A13" t="s">
        <v>114</v>
      </c>
      <c r="B13">
        <v>4.9000000000000004</v>
      </c>
      <c r="C13">
        <v>1.2</v>
      </c>
      <c r="D13">
        <v>0.9</v>
      </c>
      <c r="E13">
        <v>18.3</v>
      </c>
      <c r="F13">
        <v>28.4</v>
      </c>
      <c r="G13">
        <v>23.3</v>
      </c>
      <c r="H13">
        <v>3.7</v>
      </c>
      <c r="I13">
        <v>0.7</v>
      </c>
      <c r="J13">
        <v>0.8</v>
      </c>
      <c r="K13">
        <v>17.2</v>
      </c>
      <c r="L13">
        <v>24.1</v>
      </c>
      <c r="M13">
        <v>16.8</v>
      </c>
    </row>
    <row r="14" spans="1:14" x14ac:dyDescent="0.25">
      <c r="A14" t="s">
        <v>115</v>
      </c>
      <c r="B14">
        <v>7.8</v>
      </c>
      <c r="C14">
        <v>1.9</v>
      </c>
      <c r="D14">
        <v>1.4</v>
      </c>
      <c r="E14">
        <v>14.5</v>
      </c>
      <c r="F14">
        <v>21.2</v>
      </c>
      <c r="G14">
        <v>17.899999999999999</v>
      </c>
      <c r="H14">
        <v>6.2</v>
      </c>
      <c r="I14">
        <v>1.1000000000000001</v>
      </c>
      <c r="J14">
        <v>0.7</v>
      </c>
      <c r="K14">
        <v>13.6</v>
      </c>
      <c r="L14">
        <v>18.100000000000001</v>
      </c>
      <c r="M14">
        <v>14.7</v>
      </c>
    </row>
    <row r="15" spans="1:14" x14ac:dyDescent="0.25">
      <c r="A15" t="s">
        <v>116</v>
      </c>
      <c r="B15">
        <v>3.7</v>
      </c>
      <c r="C15">
        <v>4.9000000000000004</v>
      </c>
      <c r="D15">
        <v>0.1</v>
      </c>
      <c r="E15">
        <v>20.8</v>
      </c>
      <c r="F15">
        <v>35.799999999999997</v>
      </c>
      <c r="G15">
        <v>33.700000000000003</v>
      </c>
      <c r="H15">
        <v>3.1</v>
      </c>
      <c r="I15">
        <v>3</v>
      </c>
      <c r="J15">
        <v>0</v>
      </c>
      <c r="K15">
        <v>18.899999999999999</v>
      </c>
      <c r="L15">
        <v>32.6</v>
      </c>
      <c r="M15">
        <v>29</v>
      </c>
    </row>
    <row r="16" spans="1:14" x14ac:dyDescent="0.25">
      <c r="A16" t="s">
        <v>117</v>
      </c>
      <c r="B16">
        <v>8</v>
      </c>
      <c r="C16">
        <v>4.5</v>
      </c>
      <c r="D16">
        <v>1.9</v>
      </c>
      <c r="E16">
        <v>15</v>
      </c>
      <c r="F16">
        <v>24.8</v>
      </c>
      <c r="G16">
        <v>25.6</v>
      </c>
      <c r="H16">
        <v>6</v>
      </c>
      <c r="I16">
        <v>2.7</v>
      </c>
      <c r="J16">
        <v>1</v>
      </c>
      <c r="K16">
        <v>13.6</v>
      </c>
      <c r="L16">
        <v>20.5</v>
      </c>
      <c r="M16">
        <v>22.2</v>
      </c>
    </row>
    <row r="17" spans="1:13" x14ac:dyDescent="0.25">
      <c r="A17" t="s">
        <v>118</v>
      </c>
      <c r="B17">
        <v>5.4</v>
      </c>
      <c r="C17">
        <v>4.3</v>
      </c>
      <c r="D17">
        <v>1.9</v>
      </c>
      <c r="E17">
        <v>14.3</v>
      </c>
      <c r="F17">
        <v>20.3</v>
      </c>
      <c r="G17">
        <v>20.9</v>
      </c>
      <c r="H17">
        <v>3.8</v>
      </c>
      <c r="I17">
        <v>2.7</v>
      </c>
      <c r="J17">
        <v>1.7</v>
      </c>
      <c r="K17">
        <v>12.6</v>
      </c>
      <c r="L17">
        <v>16.100000000000001</v>
      </c>
      <c r="M17">
        <v>16.100000000000001</v>
      </c>
    </row>
    <row r="18" spans="1:13" x14ac:dyDescent="0.25">
      <c r="A18" t="s">
        <v>119</v>
      </c>
      <c r="B18">
        <v>3.5</v>
      </c>
      <c r="C18">
        <v>2.9</v>
      </c>
      <c r="D18">
        <v>2</v>
      </c>
      <c r="E18">
        <v>8.8000000000000007</v>
      </c>
      <c r="F18">
        <v>15.4</v>
      </c>
      <c r="G18">
        <v>16.7</v>
      </c>
      <c r="H18">
        <v>2.4</v>
      </c>
      <c r="I18">
        <v>2</v>
      </c>
      <c r="J18">
        <v>1.5</v>
      </c>
      <c r="K18">
        <v>7.4</v>
      </c>
      <c r="L18">
        <v>12.5</v>
      </c>
      <c r="M18">
        <v>13.8</v>
      </c>
    </row>
    <row r="19" spans="1:13" x14ac:dyDescent="0.25">
      <c r="A19" t="s">
        <v>120</v>
      </c>
      <c r="B19">
        <v>4.0999999999999996</v>
      </c>
      <c r="C19">
        <v>4.7</v>
      </c>
      <c r="D19">
        <v>5.4</v>
      </c>
      <c r="E19">
        <v>13.5</v>
      </c>
      <c r="F19">
        <v>18.899999999999999</v>
      </c>
      <c r="G19">
        <v>22.9</v>
      </c>
      <c r="H19">
        <v>2.9</v>
      </c>
      <c r="I19">
        <v>2.6</v>
      </c>
      <c r="J19">
        <v>5.2</v>
      </c>
      <c r="K19">
        <v>11.8</v>
      </c>
      <c r="L19">
        <v>15.3</v>
      </c>
      <c r="M19">
        <v>19.5</v>
      </c>
    </row>
    <row r="20" spans="1:13" x14ac:dyDescent="0.25">
      <c r="A20" t="s">
        <v>121</v>
      </c>
      <c r="B20">
        <v>8.9</v>
      </c>
      <c r="C20">
        <v>1.3</v>
      </c>
      <c r="D20">
        <v>0.3</v>
      </c>
      <c r="E20">
        <v>26.4</v>
      </c>
      <c r="F20">
        <v>27</v>
      </c>
      <c r="G20">
        <v>23.6</v>
      </c>
      <c r="H20">
        <v>6.8</v>
      </c>
      <c r="I20">
        <v>0.9</v>
      </c>
      <c r="J20">
        <v>0.3</v>
      </c>
      <c r="K20">
        <v>25.5</v>
      </c>
      <c r="L20">
        <v>24.5</v>
      </c>
      <c r="M20">
        <v>20</v>
      </c>
    </row>
    <row r="21" spans="1:13" x14ac:dyDescent="0.25">
      <c r="A21" t="s">
        <v>122</v>
      </c>
      <c r="B21">
        <v>6.7</v>
      </c>
      <c r="C21">
        <v>1</v>
      </c>
      <c r="D21">
        <v>1.2</v>
      </c>
      <c r="E21">
        <v>13</v>
      </c>
      <c r="F21">
        <v>17.100000000000001</v>
      </c>
      <c r="G21">
        <v>18.600000000000001</v>
      </c>
      <c r="H21">
        <v>4.9000000000000004</v>
      </c>
      <c r="I21">
        <v>0.5</v>
      </c>
      <c r="J21">
        <v>0.8</v>
      </c>
      <c r="K21">
        <v>10.9</v>
      </c>
      <c r="L21">
        <v>15</v>
      </c>
      <c r="M21">
        <v>16.399999999999999</v>
      </c>
    </row>
    <row r="22" spans="1:13" x14ac:dyDescent="0.25">
      <c r="A22" t="s">
        <v>123</v>
      </c>
      <c r="B22">
        <v>7.8</v>
      </c>
      <c r="C22">
        <v>1.3</v>
      </c>
      <c r="D22">
        <v>1.1000000000000001</v>
      </c>
      <c r="E22">
        <v>15.1</v>
      </c>
      <c r="F22">
        <v>22.5</v>
      </c>
      <c r="G22">
        <v>24.1</v>
      </c>
      <c r="H22">
        <v>6.2</v>
      </c>
      <c r="I22">
        <v>0.7</v>
      </c>
      <c r="J22">
        <v>0.7</v>
      </c>
      <c r="K22">
        <v>15</v>
      </c>
      <c r="L22">
        <v>19.600000000000001</v>
      </c>
      <c r="M22">
        <v>21.6</v>
      </c>
    </row>
    <row r="23" spans="1:13" x14ac:dyDescent="0.25">
      <c r="A23" t="s">
        <v>124</v>
      </c>
      <c r="B23">
        <v>4.0999999999999996</v>
      </c>
      <c r="C23">
        <v>1.2</v>
      </c>
      <c r="D23">
        <v>0.8</v>
      </c>
      <c r="E23">
        <v>27.8</v>
      </c>
      <c r="F23">
        <v>45.9</v>
      </c>
      <c r="G23">
        <v>37.299999999999997</v>
      </c>
      <c r="H23">
        <v>3.5</v>
      </c>
      <c r="I23">
        <v>0.6</v>
      </c>
      <c r="J23">
        <v>0.7</v>
      </c>
      <c r="K23">
        <v>27.1</v>
      </c>
      <c r="L23">
        <v>41.4</v>
      </c>
      <c r="M23">
        <v>30.5</v>
      </c>
    </row>
    <row r="24" spans="1:13" x14ac:dyDescent="0.25">
      <c r="A24" t="s">
        <v>125</v>
      </c>
      <c r="B24">
        <v>7.2</v>
      </c>
      <c r="C24">
        <v>3.7</v>
      </c>
      <c r="D24">
        <v>1.8</v>
      </c>
      <c r="E24">
        <v>13.8</v>
      </c>
      <c r="F24">
        <v>21.1</v>
      </c>
      <c r="G24">
        <v>28.6</v>
      </c>
      <c r="H24">
        <v>5.0999999999999996</v>
      </c>
      <c r="I24">
        <v>2.1</v>
      </c>
      <c r="J24">
        <v>1.1000000000000001</v>
      </c>
      <c r="K24">
        <v>12.3</v>
      </c>
      <c r="L24">
        <v>18.5</v>
      </c>
      <c r="M24">
        <v>25.7</v>
      </c>
    </row>
    <row r="25" spans="1:13" x14ac:dyDescent="0.25">
      <c r="A25" t="s">
        <v>126</v>
      </c>
      <c r="B25">
        <v>9.4</v>
      </c>
      <c r="C25">
        <v>2.4</v>
      </c>
      <c r="D25">
        <v>2.2000000000000002</v>
      </c>
      <c r="E25">
        <v>23.5</v>
      </c>
      <c r="F25">
        <v>33.200000000000003</v>
      </c>
      <c r="G25">
        <v>24.6</v>
      </c>
      <c r="H25">
        <v>8.1999999999999993</v>
      </c>
      <c r="I25">
        <v>1.9</v>
      </c>
      <c r="J25">
        <v>1</v>
      </c>
      <c r="K25">
        <v>22.7</v>
      </c>
      <c r="L25">
        <v>30.2</v>
      </c>
      <c r="M25">
        <v>20.9</v>
      </c>
    </row>
    <row r="26" spans="1:13" x14ac:dyDescent="0.25">
      <c r="A26" t="s">
        <v>127</v>
      </c>
      <c r="B26">
        <v>4.2</v>
      </c>
      <c r="C26">
        <v>2.1</v>
      </c>
      <c r="D26">
        <v>1.2</v>
      </c>
      <c r="E26">
        <v>14.9</v>
      </c>
      <c r="F26">
        <v>12.8</v>
      </c>
      <c r="G26">
        <v>17</v>
      </c>
      <c r="H26">
        <v>2.9</v>
      </c>
      <c r="I26">
        <v>0.9</v>
      </c>
      <c r="J26">
        <v>0.8</v>
      </c>
      <c r="K26">
        <v>13.6</v>
      </c>
      <c r="L26">
        <v>10.7</v>
      </c>
      <c r="M26">
        <v>14</v>
      </c>
    </row>
    <row r="27" spans="1:13" x14ac:dyDescent="0.25">
      <c r="A27" t="s">
        <v>128</v>
      </c>
      <c r="B27">
        <v>8.5</v>
      </c>
      <c r="C27">
        <v>3.7</v>
      </c>
      <c r="D27">
        <v>1.9</v>
      </c>
      <c r="E27">
        <v>8.5</v>
      </c>
      <c r="F27">
        <v>17.3</v>
      </c>
      <c r="G27">
        <v>17.2</v>
      </c>
      <c r="H27">
        <v>5.9</v>
      </c>
      <c r="I27">
        <v>2.2000000000000002</v>
      </c>
      <c r="J27">
        <v>1.2</v>
      </c>
      <c r="K27">
        <v>7.3</v>
      </c>
      <c r="L27">
        <v>14.5</v>
      </c>
      <c r="M27">
        <v>14.9</v>
      </c>
    </row>
    <row r="28" spans="1:13" x14ac:dyDescent="0.25">
      <c r="A28" t="s">
        <v>129</v>
      </c>
      <c r="B28">
        <v>6.1</v>
      </c>
      <c r="C28">
        <v>3.4</v>
      </c>
      <c r="D28">
        <v>1.4</v>
      </c>
      <c r="E28">
        <v>14.6</v>
      </c>
      <c r="F28">
        <v>21.3</v>
      </c>
      <c r="G28">
        <v>31.3</v>
      </c>
      <c r="H28">
        <v>4.7</v>
      </c>
      <c r="I28">
        <v>2</v>
      </c>
      <c r="J28">
        <v>1</v>
      </c>
      <c r="K28">
        <v>13.4</v>
      </c>
      <c r="L28">
        <v>18.899999999999999</v>
      </c>
      <c r="M28">
        <v>29.1</v>
      </c>
    </row>
    <row r="29" spans="1:13" x14ac:dyDescent="0.25">
      <c r="A29" t="s">
        <v>87</v>
      </c>
      <c r="B29">
        <v>6.4</v>
      </c>
      <c r="C29">
        <v>2.7</v>
      </c>
      <c r="D29">
        <v>1.5</v>
      </c>
      <c r="E29">
        <v>13.2</v>
      </c>
      <c r="F29">
        <v>19.3</v>
      </c>
      <c r="G29">
        <v>20.3</v>
      </c>
      <c r="H29">
        <v>4.7</v>
      </c>
      <c r="I29">
        <v>1.6</v>
      </c>
      <c r="J29">
        <v>1</v>
      </c>
      <c r="K29">
        <v>11.9</v>
      </c>
      <c r="L29">
        <v>16.7</v>
      </c>
      <c r="M29">
        <v>17.600000000000001</v>
      </c>
    </row>
    <row r="30" spans="1:13" x14ac:dyDescent="0.25">
      <c r="A30" t="s">
        <v>265</v>
      </c>
      <c r="B30">
        <v>4.8</v>
      </c>
      <c r="C30">
        <v>3.3</v>
      </c>
      <c r="D30">
        <v>1.7</v>
      </c>
      <c r="E30">
        <v>10.4</v>
      </c>
      <c r="F30">
        <v>17.899999999999999</v>
      </c>
      <c r="G30">
        <v>20</v>
      </c>
      <c r="H30">
        <v>3.4</v>
      </c>
      <c r="I30">
        <v>2.1</v>
      </c>
      <c r="J30">
        <v>1.1000000000000001</v>
      </c>
      <c r="K30">
        <v>8.9</v>
      </c>
      <c r="L30">
        <v>15</v>
      </c>
      <c r="M30">
        <v>17.100000000000001</v>
      </c>
    </row>
    <row r="31" spans="1:13" x14ac:dyDescent="0.25">
      <c r="A31" t="s">
        <v>266</v>
      </c>
      <c r="B31">
        <v>6.7</v>
      </c>
      <c r="C31">
        <v>2.6</v>
      </c>
      <c r="D31">
        <v>1.5</v>
      </c>
      <c r="E31">
        <v>13.7</v>
      </c>
      <c r="F31">
        <v>19.600000000000001</v>
      </c>
      <c r="G31">
        <v>20.399999999999999</v>
      </c>
      <c r="H31">
        <v>5</v>
      </c>
      <c r="I31">
        <v>1.5</v>
      </c>
      <c r="J31">
        <v>1</v>
      </c>
      <c r="K31">
        <v>12.5</v>
      </c>
      <c r="L31">
        <v>17.100000000000001</v>
      </c>
      <c r="M31">
        <v>17.8</v>
      </c>
    </row>
  </sheetData>
  <mergeCells count="6">
    <mergeCell ref="A1:N1"/>
    <mergeCell ref="E2:G2"/>
    <mergeCell ref="K2:M2"/>
    <mergeCell ref="A2:A3"/>
    <mergeCell ref="H2:J2"/>
    <mergeCell ref="B2:D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030A0"/>
  </sheetPr>
  <dimension ref="A1:M30"/>
  <sheetViews>
    <sheetView workbookViewId="0">
      <selection sqref="A1:A2"/>
    </sheetView>
  </sheetViews>
  <sheetFormatPr defaultRowHeight="15" x14ac:dyDescent="0.25"/>
  <cols>
    <col min="1" max="1" width="25.28515625" customWidth="1"/>
    <col min="2" max="2" width="12.140625" customWidth="1"/>
    <col min="4" max="4" width="12.42578125" customWidth="1"/>
    <col min="5" max="5" width="12.140625" customWidth="1"/>
    <col min="8" max="8" width="12.42578125" customWidth="1"/>
    <col min="9" max="9" width="12.140625" customWidth="1"/>
    <col min="12" max="12" width="12.42578125" customWidth="1"/>
    <col min="13" max="13" width="12.140625" customWidth="1"/>
  </cols>
  <sheetData>
    <row r="1" spans="1:13" x14ac:dyDescent="0.25">
      <c r="A1" s="27" t="s">
        <v>104</v>
      </c>
      <c r="B1" s="27" t="s">
        <v>366</v>
      </c>
      <c r="C1" s="27"/>
      <c r="D1" s="27"/>
      <c r="E1" s="27" t="s">
        <v>367</v>
      </c>
      <c r="F1" s="27"/>
      <c r="G1" s="27"/>
      <c r="H1" s="27" t="s">
        <v>368</v>
      </c>
      <c r="I1" s="27"/>
      <c r="J1" s="27"/>
      <c r="K1" s="27" t="s">
        <v>369</v>
      </c>
      <c r="L1" s="27"/>
      <c r="M1" s="27"/>
    </row>
    <row r="2" spans="1:13" x14ac:dyDescent="0.25">
      <c r="A2" s="27"/>
      <c r="B2" t="s">
        <v>161</v>
      </c>
      <c r="C2" t="s">
        <v>284</v>
      </c>
      <c r="D2" t="s">
        <v>285</v>
      </c>
      <c r="E2" t="s">
        <v>161</v>
      </c>
      <c r="F2" t="s">
        <v>284</v>
      </c>
      <c r="G2" t="s">
        <v>285</v>
      </c>
      <c r="H2" t="s">
        <v>161</v>
      </c>
      <c r="I2" t="s">
        <v>284</v>
      </c>
      <c r="J2" t="s">
        <v>285</v>
      </c>
      <c r="K2" t="s">
        <v>161</v>
      </c>
      <c r="L2" t="s">
        <v>284</v>
      </c>
      <c r="M2" t="s">
        <v>285</v>
      </c>
    </row>
    <row r="3" spans="1:13" x14ac:dyDescent="0.25">
      <c r="A3" t="s">
        <v>105</v>
      </c>
      <c r="B3">
        <v>93.8</v>
      </c>
      <c r="C3">
        <v>47.9</v>
      </c>
      <c r="D3">
        <v>21.5</v>
      </c>
      <c r="E3">
        <v>83.2</v>
      </c>
      <c r="F3">
        <v>39.299999999999997</v>
      </c>
      <c r="G3">
        <v>18.2</v>
      </c>
      <c r="H3">
        <v>93.3</v>
      </c>
      <c r="I3">
        <v>52.9</v>
      </c>
      <c r="J3">
        <v>25.3</v>
      </c>
      <c r="K3">
        <v>83.8</v>
      </c>
      <c r="L3">
        <v>44.7</v>
      </c>
      <c r="M3">
        <v>22.1</v>
      </c>
    </row>
    <row r="4" spans="1:13" x14ac:dyDescent="0.25">
      <c r="A4" t="s">
        <v>106</v>
      </c>
      <c r="B4">
        <v>107.8</v>
      </c>
      <c r="C4">
        <v>49.6</v>
      </c>
      <c r="D4">
        <v>21.9</v>
      </c>
      <c r="E4">
        <v>93.7</v>
      </c>
      <c r="F4">
        <v>39.200000000000003</v>
      </c>
      <c r="G4">
        <v>17.100000000000001</v>
      </c>
      <c r="H4">
        <v>106.6</v>
      </c>
      <c r="I4">
        <v>54.6</v>
      </c>
      <c r="J4">
        <v>25.5</v>
      </c>
      <c r="K4">
        <v>94.4</v>
      </c>
      <c r="L4">
        <v>44.3</v>
      </c>
      <c r="M4">
        <v>20.3</v>
      </c>
    </row>
    <row r="5" spans="1:13" x14ac:dyDescent="0.25">
      <c r="A5" t="s">
        <v>107</v>
      </c>
      <c r="B5">
        <v>115.3</v>
      </c>
      <c r="C5">
        <v>61.8</v>
      </c>
      <c r="D5">
        <v>33.200000000000003</v>
      </c>
      <c r="E5">
        <v>98</v>
      </c>
      <c r="F5">
        <v>51</v>
      </c>
      <c r="G5">
        <v>28</v>
      </c>
      <c r="H5">
        <v>112.6</v>
      </c>
      <c r="I5">
        <v>69</v>
      </c>
      <c r="J5">
        <v>40</v>
      </c>
      <c r="K5">
        <v>96.5</v>
      </c>
      <c r="L5">
        <v>58.3</v>
      </c>
      <c r="M5">
        <v>34.6</v>
      </c>
    </row>
    <row r="6" spans="1:13" x14ac:dyDescent="0.25">
      <c r="A6" t="s">
        <v>108</v>
      </c>
      <c r="B6">
        <v>99.6</v>
      </c>
      <c r="C6">
        <v>58.6</v>
      </c>
      <c r="D6">
        <v>29.9</v>
      </c>
      <c r="E6">
        <v>90.5</v>
      </c>
      <c r="F6">
        <v>48</v>
      </c>
      <c r="G6">
        <v>24.3</v>
      </c>
      <c r="H6">
        <v>99.3</v>
      </c>
      <c r="I6">
        <v>65.599999999999994</v>
      </c>
      <c r="J6">
        <v>35.6</v>
      </c>
      <c r="K6">
        <v>91.2</v>
      </c>
      <c r="L6">
        <v>55.3</v>
      </c>
      <c r="M6">
        <v>29.9</v>
      </c>
    </row>
    <row r="7" spans="1:13" x14ac:dyDescent="0.25">
      <c r="A7" t="s">
        <v>109</v>
      </c>
      <c r="B7">
        <v>97.9</v>
      </c>
      <c r="C7">
        <v>54.8</v>
      </c>
      <c r="D7">
        <v>25</v>
      </c>
      <c r="E7">
        <v>87.8</v>
      </c>
      <c r="F7">
        <v>45.5</v>
      </c>
      <c r="G7">
        <v>20.8</v>
      </c>
      <c r="H7">
        <v>96.4</v>
      </c>
      <c r="I7">
        <v>59.3</v>
      </c>
      <c r="J7">
        <v>28.3</v>
      </c>
      <c r="K7">
        <v>87.2</v>
      </c>
      <c r="L7">
        <v>50.8</v>
      </c>
      <c r="M7">
        <v>24.3</v>
      </c>
    </row>
    <row r="8" spans="1:13" x14ac:dyDescent="0.25">
      <c r="A8" t="s">
        <v>110</v>
      </c>
      <c r="B8">
        <v>104.6</v>
      </c>
      <c r="C8">
        <v>57.4</v>
      </c>
      <c r="D8">
        <v>28.5</v>
      </c>
      <c r="E8">
        <v>90.3</v>
      </c>
      <c r="F8">
        <v>44.5</v>
      </c>
      <c r="G8">
        <v>22.1</v>
      </c>
      <c r="H8">
        <v>105.3</v>
      </c>
      <c r="I8">
        <v>64.5</v>
      </c>
      <c r="J8">
        <v>34.299999999999997</v>
      </c>
      <c r="K8">
        <v>92.1</v>
      </c>
      <c r="L8">
        <v>51.8</v>
      </c>
      <c r="M8">
        <v>27.4</v>
      </c>
    </row>
    <row r="9" spans="1:13" x14ac:dyDescent="0.25">
      <c r="A9" t="s">
        <v>111</v>
      </c>
      <c r="B9">
        <v>90.7</v>
      </c>
      <c r="C9">
        <v>55.3</v>
      </c>
      <c r="D9">
        <v>31.7</v>
      </c>
      <c r="E9">
        <v>81.599999999999994</v>
      </c>
      <c r="F9">
        <v>45</v>
      </c>
      <c r="G9">
        <v>25.4</v>
      </c>
      <c r="H9">
        <v>89.1</v>
      </c>
      <c r="I9">
        <v>59.6</v>
      </c>
      <c r="J9">
        <v>35.299999999999997</v>
      </c>
      <c r="K9">
        <v>81.2</v>
      </c>
      <c r="L9">
        <v>50.3</v>
      </c>
      <c r="M9">
        <v>29.2</v>
      </c>
    </row>
    <row r="10" spans="1:13" x14ac:dyDescent="0.25">
      <c r="A10" t="s">
        <v>112</v>
      </c>
      <c r="B10">
        <v>112.4</v>
      </c>
      <c r="C10">
        <v>60.7</v>
      </c>
      <c r="D10">
        <v>31.4</v>
      </c>
      <c r="E10">
        <v>99.9</v>
      </c>
      <c r="F10">
        <v>50.8</v>
      </c>
      <c r="G10">
        <v>25.8</v>
      </c>
      <c r="H10">
        <v>109.9</v>
      </c>
      <c r="I10">
        <v>66.099999999999994</v>
      </c>
      <c r="J10">
        <v>36.700000000000003</v>
      </c>
      <c r="K10">
        <v>99.9</v>
      </c>
      <c r="L10">
        <v>56.9</v>
      </c>
      <c r="M10">
        <v>31.6</v>
      </c>
    </row>
    <row r="11" spans="1:13" x14ac:dyDescent="0.25">
      <c r="A11" t="s">
        <v>113</v>
      </c>
      <c r="B11">
        <v>70.7</v>
      </c>
      <c r="C11">
        <v>34.6</v>
      </c>
      <c r="D11">
        <v>23.8</v>
      </c>
      <c r="E11">
        <v>63.5</v>
      </c>
      <c r="F11">
        <v>29</v>
      </c>
      <c r="G11">
        <v>19</v>
      </c>
      <c r="H11">
        <v>72.7</v>
      </c>
      <c r="I11">
        <v>37.700000000000003</v>
      </c>
      <c r="J11">
        <v>26.1</v>
      </c>
      <c r="K11">
        <v>66.3</v>
      </c>
      <c r="L11">
        <v>32.200000000000003</v>
      </c>
      <c r="M11">
        <v>21.8</v>
      </c>
    </row>
    <row r="12" spans="1:13" x14ac:dyDescent="0.25">
      <c r="A12" t="s">
        <v>114</v>
      </c>
      <c r="B12">
        <v>77.099999999999994</v>
      </c>
      <c r="C12">
        <v>43</v>
      </c>
      <c r="D12">
        <v>21.5</v>
      </c>
      <c r="E12">
        <v>63</v>
      </c>
      <c r="F12">
        <v>30.8</v>
      </c>
      <c r="G12">
        <v>16.5</v>
      </c>
      <c r="H12">
        <v>76.8</v>
      </c>
      <c r="I12">
        <v>45.2</v>
      </c>
      <c r="J12">
        <v>22</v>
      </c>
      <c r="K12">
        <v>63.7</v>
      </c>
      <c r="L12">
        <v>34.299999999999997</v>
      </c>
      <c r="M12">
        <v>18.3</v>
      </c>
    </row>
    <row r="13" spans="1:13" x14ac:dyDescent="0.25">
      <c r="A13" t="s">
        <v>115</v>
      </c>
      <c r="B13">
        <v>112.8</v>
      </c>
      <c r="C13">
        <v>44.6</v>
      </c>
      <c r="D13">
        <v>21.5</v>
      </c>
      <c r="E13">
        <v>96.4</v>
      </c>
      <c r="F13">
        <v>35.200000000000003</v>
      </c>
      <c r="G13">
        <v>17.7</v>
      </c>
      <c r="H13">
        <v>110.3</v>
      </c>
      <c r="I13">
        <v>48.6</v>
      </c>
      <c r="J13">
        <v>24.8</v>
      </c>
      <c r="K13">
        <v>95.3</v>
      </c>
      <c r="L13">
        <v>39.700000000000003</v>
      </c>
      <c r="M13">
        <v>21.2</v>
      </c>
    </row>
    <row r="14" spans="1:13" x14ac:dyDescent="0.25">
      <c r="A14" t="s">
        <v>116</v>
      </c>
      <c r="B14">
        <v>107.5</v>
      </c>
      <c r="C14">
        <v>49.4</v>
      </c>
      <c r="D14">
        <v>23.5</v>
      </c>
      <c r="E14">
        <v>85.2</v>
      </c>
      <c r="F14">
        <v>31.7</v>
      </c>
      <c r="G14">
        <v>15.6</v>
      </c>
      <c r="H14">
        <v>109.4</v>
      </c>
      <c r="I14">
        <v>52.9</v>
      </c>
      <c r="J14">
        <v>26.4</v>
      </c>
      <c r="K14">
        <v>88.7</v>
      </c>
      <c r="L14">
        <v>35.700000000000003</v>
      </c>
      <c r="M14">
        <v>18.7</v>
      </c>
    </row>
    <row r="15" spans="1:13" x14ac:dyDescent="0.25">
      <c r="A15" t="s">
        <v>117</v>
      </c>
      <c r="B15">
        <v>94.5</v>
      </c>
      <c r="C15">
        <v>46.5</v>
      </c>
      <c r="D15">
        <v>21.1</v>
      </c>
      <c r="E15">
        <v>80.3</v>
      </c>
      <c r="F15">
        <v>35</v>
      </c>
      <c r="G15">
        <v>15.7</v>
      </c>
      <c r="H15">
        <v>93.3</v>
      </c>
      <c r="I15">
        <v>49.8</v>
      </c>
      <c r="J15">
        <v>23.2</v>
      </c>
      <c r="K15">
        <v>80.599999999999994</v>
      </c>
      <c r="L15">
        <v>39.6</v>
      </c>
      <c r="M15">
        <v>18.100000000000001</v>
      </c>
    </row>
    <row r="16" spans="1:13" x14ac:dyDescent="0.25">
      <c r="A16" t="s">
        <v>118</v>
      </c>
      <c r="B16">
        <v>74</v>
      </c>
      <c r="C16">
        <v>42.5</v>
      </c>
      <c r="D16">
        <v>16.2</v>
      </c>
      <c r="E16">
        <v>63.4</v>
      </c>
      <c r="F16">
        <v>33.9</v>
      </c>
      <c r="G16">
        <v>12.8</v>
      </c>
      <c r="H16">
        <v>73.2</v>
      </c>
      <c r="I16">
        <v>46.3</v>
      </c>
      <c r="J16">
        <v>18.399999999999999</v>
      </c>
      <c r="K16">
        <v>64</v>
      </c>
      <c r="L16">
        <v>38.799999999999997</v>
      </c>
      <c r="M16">
        <v>15.4</v>
      </c>
    </row>
    <row r="17" spans="1:13" x14ac:dyDescent="0.25">
      <c r="A17" t="s">
        <v>119</v>
      </c>
      <c r="B17">
        <v>88</v>
      </c>
      <c r="C17">
        <v>57.2</v>
      </c>
      <c r="D17">
        <v>32.799999999999997</v>
      </c>
      <c r="E17">
        <v>80.3</v>
      </c>
      <c r="F17">
        <v>48.4</v>
      </c>
      <c r="G17">
        <v>27.3</v>
      </c>
      <c r="H17">
        <v>88.2</v>
      </c>
      <c r="I17">
        <v>58.2</v>
      </c>
      <c r="J17">
        <v>31.7</v>
      </c>
      <c r="K17">
        <v>81.7</v>
      </c>
      <c r="L17">
        <v>50.9</v>
      </c>
      <c r="M17">
        <v>27.3</v>
      </c>
    </row>
    <row r="18" spans="1:13" x14ac:dyDescent="0.25">
      <c r="A18" t="s">
        <v>120</v>
      </c>
      <c r="B18">
        <v>82.6</v>
      </c>
      <c r="C18">
        <v>42.5</v>
      </c>
      <c r="D18">
        <v>19.100000000000001</v>
      </c>
      <c r="E18">
        <v>71.5</v>
      </c>
      <c r="F18">
        <v>34.5</v>
      </c>
      <c r="G18">
        <v>14.7</v>
      </c>
      <c r="H18">
        <v>83.8</v>
      </c>
      <c r="I18">
        <v>44.2</v>
      </c>
      <c r="J18">
        <v>21</v>
      </c>
      <c r="K18">
        <v>73.8</v>
      </c>
      <c r="L18">
        <v>37.4</v>
      </c>
      <c r="M18">
        <v>16.899999999999999</v>
      </c>
    </row>
    <row r="19" spans="1:13" x14ac:dyDescent="0.25">
      <c r="A19" t="s">
        <v>121</v>
      </c>
      <c r="B19">
        <v>121.5</v>
      </c>
      <c r="C19">
        <v>63.9</v>
      </c>
      <c r="D19">
        <v>31.5</v>
      </c>
      <c r="E19">
        <v>89.4</v>
      </c>
      <c r="F19">
        <v>46.7</v>
      </c>
      <c r="G19">
        <v>24.1</v>
      </c>
      <c r="H19">
        <v>120.4</v>
      </c>
      <c r="I19">
        <v>72</v>
      </c>
      <c r="J19">
        <v>35.200000000000003</v>
      </c>
      <c r="K19">
        <v>89.6</v>
      </c>
      <c r="L19">
        <v>54.3</v>
      </c>
      <c r="M19">
        <v>28.1</v>
      </c>
    </row>
    <row r="20" spans="1:13" x14ac:dyDescent="0.25">
      <c r="A20" t="s">
        <v>122</v>
      </c>
      <c r="B20">
        <v>113.4</v>
      </c>
      <c r="C20">
        <v>63.5</v>
      </c>
      <c r="D20">
        <v>32</v>
      </c>
      <c r="E20">
        <v>98.6</v>
      </c>
      <c r="F20">
        <v>52.6</v>
      </c>
      <c r="G20">
        <v>26</v>
      </c>
      <c r="H20">
        <v>109.3</v>
      </c>
      <c r="I20">
        <v>69.5</v>
      </c>
      <c r="J20">
        <v>37.6</v>
      </c>
      <c r="K20">
        <v>97.5</v>
      </c>
      <c r="L20">
        <v>59</v>
      </c>
      <c r="M20">
        <v>31.5</v>
      </c>
    </row>
    <row r="21" spans="1:13" x14ac:dyDescent="0.25">
      <c r="A21" t="s">
        <v>123</v>
      </c>
      <c r="B21">
        <v>114.9</v>
      </c>
      <c r="C21">
        <v>55.3</v>
      </c>
      <c r="D21">
        <v>26.6</v>
      </c>
      <c r="E21">
        <v>97.6</v>
      </c>
      <c r="F21">
        <v>42.9</v>
      </c>
      <c r="G21">
        <v>20.2</v>
      </c>
      <c r="H21">
        <v>116.5</v>
      </c>
      <c r="I21">
        <v>60.6</v>
      </c>
      <c r="J21">
        <v>30.3</v>
      </c>
      <c r="K21">
        <v>99</v>
      </c>
      <c r="L21">
        <v>48.7</v>
      </c>
      <c r="M21">
        <v>23.8</v>
      </c>
    </row>
    <row r="22" spans="1:13" x14ac:dyDescent="0.25">
      <c r="A22" t="s">
        <v>124</v>
      </c>
      <c r="B22">
        <v>136.69999999999999</v>
      </c>
      <c r="C22">
        <v>55.3</v>
      </c>
      <c r="D22">
        <v>26.6</v>
      </c>
      <c r="E22">
        <v>98.7</v>
      </c>
      <c r="F22">
        <v>29.9</v>
      </c>
      <c r="G22">
        <v>16.7</v>
      </c>
      <c r="H22">
        <v>134.4</v>
      </c>
      <c r="I22">
        <v>57.8</v>
      </c>
      <c r="J22">
        <v>26.2</v>
      </c>
      <c r="K22">
        <v>98</v>
      </c>
      <c r="L22">
        <v>33.9</v>
      </c>
      <c r="M22">
        <v>18.2</v>
      </c>
    </row>
    <row r="23" spans="1:13" x14ac:dyDescent="0.25">
      <c r="A23" t="s">
        <v>125</v>
      </c>
      <c r="B23">
        <v>108.2</v>
      </c>
      <c r="C23">
        <v>61.6</v>
      </c>
      <c r="D23">
        <v>32.799999999999997</v>
      </c>
      <c r="E23">
        <v>93.3</v>
      </c>
      <c r="F23">
        <v>48.6</v>
      </c>
      <c r="G23">
        <v>23.4</v>
      </c>
      <c r="H23">
        <v>108.9</v>
      </c>
      <c r="I23">
        <v>68.7</v>
      </c>
      <c r="J23">
        <v>39.5</v>
      </c>
      <c r="K23">
        <v>95.5</v>
      </c>
      <c r="L23">
        <v>56</v>
      </c>
      <c r="M23">
        <v>29.4</v>
      </c>
    </row>
    <row r="24" spans="1:13" x14ac:dyDescent="0.25">
      <c r="A24" t="s">
        <v>126</v>
      </c>
      <c r="B24">
        <v>130.30000000000001</v>
      </c>
      <c r="C24">
        <v>48.8</v>
      </c>
      <c r="D24">
        <v>21.9</v>
      </c>
      <c r="E24">
        <v>99.8</v>
      </c>
      <c r="F24">
        <v>32.6</v>
      </c>
      <c r="G24">
        <v>16.5</v>
      </c>
      <c r="H24">
        <v>129.4</v>
      </c>
      <c r="I24">
        <v>52.1</v>
      </c>
      <c r="J24">
        <v>23.2</v>
      </c>
      <c r="K24">
        <v>100</v>
      </c>
      <c r="L24">
        <v>36.4</v>
      </c>
      <c r="M24">
        <v>18.3</v>
      </c>
    </row>
    <row r="25" spans="1:13" x14ac:dyDescent="0.25">
      <c r="A25" t="s">
        <v>127</v>
      </c>
      <c r="B25">
        <v>117</v>
      </c>
      <c r="C25">
        <v>68.5</v>
      </c>
      <c r="D25">
        <v>34.299999999999997</v>
      </c>
      <c r="E25">
        <v>99.6</v>
      </c>
      <c r="F25">
        <v>59.7</v>
      </c>
      <c r="G25">
        <v>28.4</v>
      </c>
      <c r="H25">
        <v>115.2</v>
      </c>
      <c r="I25">
        <v>73.599999999999994</v>
      </c>
      <c r="J25">
        <v>39.4</v>
      </c>
      <c r="K25">
        <v>99.5</v>
      </c>
      <c r="L25">
        <v>65.8</v>
      </c>
      <c r="M25">
        <v>33.9</v>
      </c>
    </row>
    <row r="26" spans="1:13" x14ac:dyDescent="0.25">
      <c r="A26" t="s">
        <v>128</v>
      </c>
      <c r="B26">
        <v>98.2</v>
      </c>
      <c r="C26">
        <v>64.599999999999994</v>
      </c>
      <c r="D26">
        <v>40.1</v>
      </c>
      <c r="E26">
        <v>89.8</v>
      </c>
      <c r="F26">
        <v>53.5</v>
      </c>
      <c r="G26">
        <v>33.200000000000003</v>
      </c>
      <c r="H26">
        <v>96.7</v>
      </c>
      <c r="I26">
        <v>68.900000000000006</v>
      </c>
      <c r="J26">
        <v>46.1</v>
      </c>
      <c r="K26">
        <v>89.7</v>
      </c>
      <c r="L26">
        <v>58.9</v>
      </c>
      <c r="M26">
        <v>39.299999999999997</v>
      </c>
    </row>
    <row r="27" spans="1:13" x14ac:dyDescent="0.25">
      <c r="A27" t="s">
        <v>129</v>
      </c>
      <c r="B27">
        <v>115.6</v>
      </c>
      <c r="C27">
        <v>53.9</v>
      </c>
      <c r="D27">
        <v>23.7</v>
      </c>
      <c r="E27">
        <v>98.7</v>
      </c>
      <c r="F27">
        <v>42.4</v>
      </c>
      <c r="G27">
        <v>16.3</v>
      </c>
      <c r="H27">
        <v>114.6</v>
      </c>
      <c r="I27">
        <v>60.4</v>
      </c>
      <c r="J27">
        <v>28.9</v>
      </c>
      <c r="K27">
        <v>99.3</v>
      </c>
      <c r="L27">
        <v>49</v>
      </c>
      <c r="M27">
        <v>20.5</v>
      </c>
    </row>
    <row r="28" spans="1:13" x14ac:dyDescent="0.25">
      <c r="A28" t="s">
        <v>87</v>
      </c>
      <c r="B28">
        <v>104.8</v>
      </c>
      <c r="C28">
        <v>56.6</v>
      </c>
      <c r="D28">
        <v>28.9</v>
      </c>
      <c r="E28">
        <v>91</v>
      </c>
      <c r="F28">
        <v>45.7</v>
      </c>
      <c r="G28">
        <v>23</v>
      </c>
      <c r="H28">
        <v>103.8</v>
      </c>
      <c r="I28">
        <v>61.6</v>
      </c>
      <c r="J28">
        <v>32.9</v>
      </c>
      <c r="K28">
        <v>91.4</v>
      </c>
      <c r="L28">
        <v>51.3</v>
      </c>
      <c r="M28">
        <v>27.1</v>
      </c>
    </row>
    <row r="29" spans="1:13" x14ac:dyDescent="0.25">
      <c r="A29" t="s">
        <v>265</v>
      </c>
      <c r="B29">
        <v>86.2</v>
      </c>
      <c r="C29">
        <v>55.7</v>
      </c>
      <c r="D29">
        <v>38.6</v>
      </c>
      <c r="E29">
        <v>77.2</v>
      </c>
      <c r="F29">
        <v>45.8</v>
      </c>
      <c r="G29">
        <v>30.9</v>
      </c>
      <c r="H29">
        <v>86</v>
      </c>
      <c r="I29">
        <v>58.5</v>
      </c>
      <c r="J29">
        <v>41</v>
      </c>
      <c r="K29">
        <v>78.3</v>
      </c>
      <c r="L29">
        <v>49.8</v>
      </c>
      <c r="M29">
        <v>34</v>
      </c>
    </row>
    <row r="30" spans="1:13" x14ac:dyDescent="0.25">
      <c r="A30" t="s">
        <v>266</v>
      </c>
      <c r="B30">
        <v>109.5</v>
      </c>
      <c r="C30">
        <v>56.9</v>
      </c>
      <c r="D30">
        <v>26.2</v>
      </c>
      <c r="E30">
        <v>94.5</v>
      </c>
      <c r="F30">
        <v>45.7</v>
      </c>
      <c r="G30">
        <v>20.8</v>
      </c>
      <c r="H30">
        <v>108.2</v>
      </c>
      <c r="I30">
        <v>62.4</v>
      </c>
      <c r="J30">
        <v>30.5</v>
      </c>
      <c r="K30">
        <v>94.7</v>
      </c>
      <c r="L30">
        <v>51.7</v>
      </c>
      <c r="M30">
        <v>25.1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7030A0"/>
  </sheetPr>
  <dimension ref="A1:L32"/>
  <sheetViews>
    <sheetView workbookViewId="0">
      <selection sqref="A1:L1"/>
    </sheetView>
  </sheetViews>
  <sheetFormatPr defaultRowHeight="15" x14ac:dyDescent="0.25"/>
  <cols>
    <col min="1" max="1" width="28" customWidth="1"/>
    <col min="2" max="2" width="14.140625" customWidth="1"/>
    <col min="3" max="3" width="14" customWidth="1"/>
    <col min="4" max="4" width="14.140625" customWidth="1"/>
    <col min="5" max="5" width="14" customWidth="1"/>
    <col min="6" max="6" width="14.140625" customWidth="1"/>
    <col min="7" max="7" width="14" customWidth="1"/>
    <col min="8" max="8" width="14.140625" customWidth="1"/>
    <col min="9" max="9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27" t="s">
        <v>370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7" t="s">
        <v>104</v>
      </c>
      <c r="B2" t="s">
        <v>371</v>
      </c>
      <c r="C2" t="s">
        <v>280</v>
      </c>
      <c r="D2" t="s">
        <v>31</v>
      </c>
      <c r="E2" t="s">
        <v>327</v>
      </c>
      <c r="F2" t="s">
        <v>328</v>
      </c>
      <c r="G2" t="s">
        <v>134</v>
      </c>
      <c r="H2" t="s">
        <v>77</v>
      </c>
      <c r="I2" s="27" t="s">
        <v>372</v>
      </c>
      <c r="J2" s="27"/>
      <c r="K2" s="27"/>
      <c r="L2" s="27"/>
    </row>
    <row r="3" spans="1:12" x14ac:dyDescent="0.25">
      <c r="A3" s="27"/>
      <c r="B3" t="s">
        <v>373</v>
      </c>
      <c r="C3" t="s">
        <v>373</v>
      </c>
      <c r="D3" t="s">
        <v>373</v>
      </c>
      <c r="E3" t="s">
        <v>373</v>
      </c>
      <c r="F3" t="s">
        <v>373</v>
      </c>
      <c r="G3" t="s">
        <v>373</v>
      </c>
      <c r="H3" t="s">
        <v>373</v>
      </c>
      <c r="I3" s="27"/>
      <c r="J3" s="27"/>
      <c r="K3" s="27"/>
      <c r="L3" s="27"/>
    </row>
    <row r="4" spans="1:12" x14ac:dyDescent="0.25">
      <c r="A4" s="27"/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133</v>
      </c>
      <c r="I4" t="s">
        <v>374</v>
      </c>
      <c r="J4" t="s">
        <v>83</v>
      </c>
      <c r="K4" t="s">
        <v>375</v>
      </c>
      <c r="L4" t="s">
        <v>376</v>
      </c>
    </row>
    <row r="5" spans="1:12" x14ac:dyDescent="0.25">
      <c r="A5" t="s">
        <v>105</v>
      </c>
      <c r="B5">
        <v>238.1</v>
      </c>
      <c r="C5">
        <v>7.2</v>
      </c>
      <c r="D5">
        <v>8.5</v>
      </c>
      <c r="E5">
        <v>2.1</v>
      </c>
      <c r="F5">
        <v>8.4</v>
      </c>
      <c r="G5">
        <v>5.7</v>
      </c>
      <c r="H5">
        <v>7.9</v>
      </c>
      <c r="I5">
        <v>64.7</v>
      </c>
      <c r="J5">
        <v>2.5</v>
      </c>
      <c r="K5">
        <v>74.8</v>
      </c>
      <c r="L5">
        <v>26.2</v>
      </c>
    </row>
    <row r="6" spans="1:12" x14ac:dyDescent="0.25">
      <c r="A6" t="s">
        <v>106</v>
      </c>
      <c r="B6">
        <v>261.10000000000002</v>
      </c>
      <c r="C6">
        <v>5.6</v>
      </c>
      <c r="D6">
        <v>7.4</v>
      </c>
      <c r="E6">
        <v>2.1</v>
      </c>
      <c r="F6">
        <v>8.3000000000000007</v>
      </c>
      <c r="G6">
        <v>5.5</v>
      </c>
      <c r="H6">
        <v>8.5</v>
      </c>
      <c r="I6">
        <v>85.4</v>
      </c>
      <c r="J6">
        <v>5.2</v>
      </c>
      <c r="K6">
        <v>73.7</v>
      </c>
      <c r="L6">
        <v>17.3</v>
      </c>
    </row>
    <row r="7" spans="1:12" x14ac:dyDescent="0.25">
      <c r="A7" t="s">
        <v>107</v>
      </c>
      <c r="B7">
        <v>340.4</v>
      </c>
      <c r="C7">
        <v>6.2</v>
      </c>
      <c r="D7">
        <v>8.8000000000000007</v>
      </c>
      <c r="E7">
        <v>2.6</v>
      </c>
      <c r="F7">
        <v>10.7</v>
      </c>
      <c r="G7">
        <v>7.1</v>
      </c>
      <c r="H7">
        <v>9.4</v>
      </c>
      <c r="I7">
        <v>71.400000000000006</v>
      </c>
      <c r="J7">
        <v>20.3</v>
      </c>
      <c r="K7">
        <v>56.5</v>
      </c>
      <c r="L7">
        <v>25.2</v>
      </c>
    </row>
    <row r="8" spans="1:12" x14ac:dyDescent="0.25">
      <c r="A8" t="s">
        <v>108</v>
      </c>
      <c r="B8">
        <v>262.39999999999998</v>
      </c>
      <c r="C8">
        <v>6.5</v>
      </c>
      <c r="D8">
        <v>7.9</v>
      </c>
      <c r="E8">
        <v>2.1</v>
      </c>
      <c r="F8">
        <v>8.1999999999999993</v>
      </c>
      <c r="G8">
        <v>5.4</v>
      </c>
      <c r="H8">
        <v>7.9</v>
      </c>
      <c r="I8">
        <v>62.4</v>
      </c>
      <c r="J8">
        <v>9.3000000000000007</v>
      </c>
      <c r="K8">
        <v>67.7</v>
      </c>
      <c r="L8">
        <v>25.8</v>
      </c>
    </row>
    <row r="9" spans="1:12" x14ac:dyDescent="0.25">
      <c r="A9" t="s">
        <v>109</v>
      </c>
      <c r="B9">
        <v>345.2</v>
      </c>
      <c r="C9">
        <v>6.9</v>
      </c>
      <c r="D9">
        <v>8.5</v>
      </c>
      <c r="E9">
        <v>2.5</v>
      </c>
      <c r="F9">
        <v>10.199999999999999</v>
      </c>
      <c r="G9">
        <v>6.9</v>
      </c>
      <c r="H9">
        <v>9.1</v>
      </c>
      <c r="I9">
        <v>66.599999999999994</v>
      </c>
      <c r="J9">
        <v>9.1999999999999993</v>
      </c>
      <c r="K9">
        <v>65.900000000000006</v>
      </c>
      <c r="L9">
        <v>26.1</v>
      </c>
    </row>
    <row r="10" spans="1:12" x14ac:dyDescent="0.25">
      <c r="A10" t="s">
        <v>110</v>
      </c>
      <c r="B10">
        <v>203.8</v>
      </c>
      <c r="C10">
        <v>4.9000000000000004</v>
      </c>
      <c r="D10">
        <v>5.8</v>
      </c>
      <c r="E10">
        <v>1.9</v>
      </c>
      <c r="F10">
        <v>7.1</v>
      </c>
      <c r="G10">
        <v>5</v>
      </c>
      <c r="H10">
        <v>6.7</v>
      </c>
      <c r="I10">
        <v>59.4</v>
      </c>
      <c r="J10">
        <v>8.8000000000000007</v>
      </c>
      <c r="K10">
        <v>71.400000000000006</v>
      </c>
      <c r="L10">
        <v>25.3</v>
      </c>
    </row>
    <row r="11" spans="1:12" x14ac:dyDescent="0.25">
      <c r="A11" t="s">
        <v>111</v>
      </c>
      <c r="B11">
        <v>246.5</v>
      </c>
      <c r="C11">
        <v>7.4</v>
      </c>
      <c r="D11">
        <v>9.1</v>
      </c>
      <c r="E11">
        <v>2.2000000000000002</v>
      </c>
      <c r="F11">
        <v>9.4</v>
      </c>
      <c r="G11">
        <v>6.6</v>
      </c>
      <c r="H11">
        <v>7.8</v>
      </c>
      <c r="I11">
        <v>57.2</v>
      </c>
      <c r="J11">
        <v>49.5</v>
      </c>
      <c r="K11">
        <v>74.599999999999994</v>
      </c>
      <c r="L11">
        <v>22.8</v>
      </c>
    </row>
    <row r="12" spans="1:12" x14ac:dyDescent="0.25">
      <c r="A12" t="s">
        <v>112</v>
      </c>
      <c r="B12">
        <v>427.9</v>
      </c>
      <c r="C12">
        <v>6.5</v>
      </c>
      <c r="D12">
        <v>8.6999999999999993</v>
      </c>
      <c r="E12">
        <v>2.9</v>
      </c>
      <c r="F12">
        <v>12.1</v>
      </c>
      <c r="G12">
        <v>8.4</v>
      </c>
      <c r="H12">
        <v>11.5</v>
      </c>
      <c r="I12">
        <v>80.400000000000006</v>
      </c>
      <c r="J12">
        <v>30.6</v>
      </c>
      <c r="K12">
        <v>46.9</v>
      </c>
      <c r="L12">
        <v>24.4</v>
      </c>
    </row>
    <row r="13" spans="1:12" x14ac:dyDescent="0.25">
      <c r="A13" t="s">
        <v>113</v>
      </c>
      <c r="B13">
        <v>234.5</v>
      </c>
      <c r="C13">
        <v>9.1</v>
      </c>
      <c r="D13">
        <v>11.8</v>
      </c>
      <c r="E13">
        <v>2.7</v>
      </c>
      <c r="F13">
        <v>11</v>
      </c>
      <c r="G13">
        <v>6.8</v>
      </c>
      <c r="H13">
        <v>7.9</v>
      </c>
      <c r="I13">
        <v>40.9</v>
      </c>
      <c r="J13">
        <v>22.7</v>
      </c>
      <c r="K13">
        <v>90.9</v>
      </c>
      <c r="L13">
        <v>40.9</v>
      </c>
    </row>
    <row r="14" spans="1:12" x14ac:dyDescent="0.25">
      <c r="A14" t="s">
        <v>114</v>
      </c>
      <c r="B14">
        <v>135.5</v>
      </c>
      <c r="C14">
        <v>5.2</v>
      </c>
      <c r="D14">
        <v>6.1</v>
      </c>
      <c r="E14">
        <v>1.6</v>
      </c>
      <c r="F14">
        <v>5.8</v>
      </c>
      <c r="G14">
        <v>4.4000000000000004</v>
      </c>
      <c r="H14">
        <v>6.7</v>
      </c>
      <c r="I14">
        <v>56.2</v>
      </c>
      <c r="J14">
        <v>1.7</v>
      </c>
      <c r="K14">
        <v>78.5</v>
      </c>
      <c r="L14">
        <v>37.200000000000003</v>
      </c>
    </row>
    <row r="15" spans="1:12" x14ac:dyDescent="0.25">
      <c r="A15" t="s">
        <v>115</v>
      </c>
      <c r="B15">
        <v>221.2</v>
      </c>
      <c r="C15">
        <v>5.2</v>
      </c>
      <c r="D15">
        <v>6</v>
      </c>
      <c r="E15">
        <v>1.7</v>
      </c>
      <c r="F15">
        <v>6.4</v>
      </c>
      <c r="G15">
        <v>4.8</v>
      </c>
      <c r="H15">
        <v>7.7</v>
      </c>
      <c r="I15">
        <v>68.2</v>
      </c>
      <c r="J15">
        <v>9.4</v>
      </c>
      <c r="K15">
        <v>71</v>
      </c>
      <c r="L15">
        <v>28.7</v>
      </c>
    </row>
    <row r="16" spans="1:12" x14ac:dyDescent="0.25">
      <c r="A16" t="s">
        <v>116</v>
      </c>
      <c r="B16">
        <v>166.2</v>
      </c>
      <c r="C16">
        <v>6.5</v>
      </c>
      <c r="D16">
        <v>6.9</v>
      </c>
      <c r="E16">
        <v>2.1</v>
      </c>
      <c r="F16">
        <v>6.2</v>
      </c>
      <c r="G16">
        <v>4.9000000000000004</v>
      </c>
      <c r="H16">
        <v>7.5</v>
      </c>
      <c r="I16">
        <v>47.7</v>
      </c>
      <c r="J16">
        <v>1.1000000000000001</v>
      </c>
      <c r="K16">
        <v>85.2</v>
      </c>
      <c r="L16">
        <v>56.8</v>
      </c>
    </row>
    <row r="17" spans="1:12" x14ac:dyDescent="0.25">
      <c r="A17" t="s">
        <v>117</v>
      </c>
      <c r="B17">
        <v>170.6</v>
      </c>
      <c r="C17">
        <v>4.4000000000000004</v>
      </c>
      <c r="D17">
        <v>5.6</v>
      </c>
      <c r="E17">
        <v>1.6</v>
      </c>
      <c r="F17">
        <v>6.6</v>
      </c>
      <c r="G17">
        <v>4.8</v>
      </c>
      <c r="H17">
        <v>6.9</v>
      </c>
      <c r="I17">
        <v>39.9</v>
      </c>
      <c r="J17">
        <v>0.9</v>
      </c>
      <c r="K17">
        <v>81.2</v>
      </c>
      <c r="L17">
        <v>35.299999999999997</v>
      </c>
    </row>
    <row r="18" spans="1:12" x14ac:dyDescent="0.25">
      <c r="A18" t="s">
        <v>118</v>
      </c>
      <c r="B18">
        <v>218.5</v>
      </c>
      <c r="C18">
        <v>6.1</v>
      </c>
      <c r="D18">
        <v>6.9</v>
      </c>
      <c r="E18">
        <v>2</v>
      </c>
      <c r="F18">
        <v>8.8000000000000007</v>
      </c>
      <c r="G18">
        <v>5.5</v>
      </c>
      <c r="H18">
        <v>7.5</v>
      </c>
      <c r="I18">
        <v>52.1</v>
      </c>
      <c r="J18">
        <v>2.1</v>
      </c>
      <c r="K18">
        <v>81.3</v>
      </c>
      <c r="L18">
        <v>45.8</v>
      </c>
    </row>
    <row r="19" spans="1:12" x14ac:dyDescent="0.25">
      <c r="A19" t="s">
        <v>119</v>
      </c>
      <c r="B19">
        <v>846.9</v>
      </c>
      <c r="C19">
        <v>20.6</v>
      </c>
      <c r="D19">
        <v>23.9</v>
      </c>
      <c r="E19">
        <v>3.7</v>
      </c>
      <c r="F19">
        <v>20.5</v>
      </c>
      <c r="G19">
        <v>13.6</v>
      </c>
      <c r="H19">
        <v>20</v>
      </c>
      <c r="I19">
        <v>78.5</v>
      </c>
      <c r="J19">
        <v>28.2</v>
      </c>
      <c r="K19">
        <v>24.5</v>
      </c>
      <c r="L19">
        <v>58.9</v>
      </c>
    </row>
    <row r="20" spans="1:12" x14ac:dyDescent="0.25">
      <c r="A20" t="s">
        <v>120</v>
      </c>
      <c r="B20">
        <v>370.7</v>
      </c>
      <c r="C20">
        <v>10.9</v>
      </c>
      <c r="D20">
        <v>12.9</v>
      </c>
      <c r="E20">
        <v>0.7</v>
      </c>
      <c r="F20">
        <v>4.5999999999999996</v>
      </c>
      <c r="G20">
        <v>10.5</v>
      </c>
      <c r="H20">
        <v>11.2</v>
      </c>
      <c r="I20">
        <v>86.1</v>
      </c>
      <c r="J20">
        <v>8.3000000000000007</v>
      </c>
      <c r="K20">
        <v>88.9</v>
      </c>
      <c r="L20">
        <v>1.4</v>
      </c>
    </row>
    <row r="21" spans="1:12" x14ac:dyDescent="0.25">
      <c r="A21" t="s">
        <v>121</v>
      </c>
      <c r="B21">
        <v>164.6</v>
      </c>
      <c r="C21">
        <v>5.3</v>
      </c>
      <c r="D21">
        <v>6.3</v>
      </c>
      <c r="E21">
        <v>1.7</v>
      </c>
      <c r="F21">
        <v>6.6</v>
      </c>
      <c r="G21">
        <v>4.9000000000000004</v>
      </c>
      <c r="H21">
        <v>6.9</v>
      </c>
      <c r="I21">
        <v>18.399999999999999</v>
      </c>
      <c r="J21">
        <v>0.4</v>
      </c>
      <c r="K21">
        <v>81.099999999999994</v>
      </c>
      <c r="L21">
        <v>25.9</v>
      </c>
    </row>
    <row r="22" spans="1:12" x14ac:dyDescent="0.25">
      <c r="A22" t="s">
        <v>122</v>
      </c>
      <c r="B22">
        <v>271</v>
      </c>
      <c r="C22">
        <v>4.9000000000000004</v>
      </c>
      <c r="D22">
        <v>7.2</v>
      </c>
      <c r="E22">
        <v>2.4</v>
      </c>
      <c r="F22">
        <v>9.6</v>
      </c>
      <c r="G22">
        <v>6.5</v>
      </c>
      <c r="H22">
        <v>8.3000000000000007</v>
      </c>
      <c r="I22">
        <v>78.8</v>
      </c>
      <c r="J22">
        <v>24.5</v>
      </c>
      <c r="K22">
        <v>64</v>
      </c>
      <c r="L22">
        <v>25.2</v>
      </c>
    </row>
    <row r="23" spans="1:12" x14ac:dyDescent="0.25">
      <c r="A23" t="s">
        <v>123</v>
      </c>
      <c r="B23">
        <v>225</v>
      </c>
      <c r="C23">
        <v>5</v>
      </c>
      <c r="D23">
        <v>6.5</v>
      </c>
      <c r="E23">
        <v>2</v>
      </c>
      <c r="F23">
        <v>7.3</v>
      </c>
      <c r="G23">
        <v>5.2</v>
      </c>
      <c r="H23">
        <v>7.7</v>
      </c>
      <c r="I23">
        <v>66</v>
      </c>
      <c r="J23">
        <v>2</v>
      </c>
      <c r="K23">
        <v>83.3</v>
      </c>
      <c r="L23">
        <v>17.600000000000001</v>
      </c>
    </row>
    <row r="24" spans="1:12" x14ac:dyDescent="0.25">
      <c r="A24" t="s">
        <v>124</v>
      </c>
      <c r="B24">
        <v>182.9</v>
      </c>
      <c r="C24">
        <v>3.6</v>
      </c>
      <c r="D24">
        <v>4</v>
      </c>
      <c r="E24">
        <v>1.8</v>
      </c>
      <c r="F24">
        <v>5.4</v>
      </c>
      <c r="G24">
        <v>4</v>
      </c>
      <c r="H24">
        <v>6.4</v>
      </c>
      <c r="I24">
        <v>59.9</v>
      </c>
      <c r="J24">
        <v>0.9</v>
      </c>
      <c r="K24">
        <v>81.099999999999994</v>
      </c>
      <c r="L24">
        <v>41</v>
      </c>
    </row>
    <row r="25" spans="1:12" x14ac:dyDescent="0.25">
      <c r="A25" t="s">
        <v>125</v>
      </c>
      <c r="B25">
        <v>325.7</v>
      </c>
      <c r="C25">
        <v>5.6</v>
      </c>
      <c r="D25">
        <v>8.1999999999999993</v>
      </c>
      <c r="E25">
        <v>2.7</v>
      </c>
      <c r="F25">
        <v>9.4</v>
      </c>
      <c r="G25">
        <v>6.4</v>
      </c>
      <c r="H25">
        <v>9.1</v>
      </c>
      <c r="I25">
        <v>64.7</v>
      </c>
      <c r="J25">
        <v>3.9</v>
      </c>
      <c r="K25">
        <v>65.5</v>
      </c>
      <c r="L25">
        <v>30</v>
      </c>
    </row>
    <row r="26" spans="1:12" x14ac:dyDescent="0.25">
      <c r="A26" t="s">
        <v>126</v>
      </c>
      <c r="B26">
        <v>154</v>
      </c>
      <c r="C26">
        <v>4.7</v>
      </c>
      <c r="D26">
        <v>5.2</v>
      </c>
      <c r="E26">
        <v>1.6</v>
      </c>
      <c r="F26">
        <v>5.5</v>
      </c>
      <c r="G26">
        <v>4.5</v>
      </c>
      <c r="H26">
        <v>6.9</v>
      </c>
      <c r="I26">
        <v>61.3</v>
      </c>
      <c r="J26">
        <v>0.6</v>
      </c>
      <c r="K26">
        <v>87.9</v>
      </c>
      <c r="L26">
        <v>42.8</v>
      </c>
    </row>
    <row r="27" spans="1:12" x14ac:dyDescent="0.25">
      <c r="A27" t="s">
        <v>127</v>
      </c>
      <c r="B27">
        <v>277.2</v>
      </c>
      <c r="C27">
        <v>6.3</v>
      </c>
      <c r="D27">
        <v>8.4</v>
      </c>
      <c r="E27">
        <v>2.5</v>
      </c>
      <c r="F27">
        <v>592.1</v>
      </c>
      <c r="G27">
        <v>6.8</v>
      </c>
      <c r="H27">
        <v>9.5</v>
      </c>
      <c r="I27">
        <v>56.5</v>
      </c>
      <c r="J27">
        <v>22.1</v>
      </c>
      <c r="K27">
        <v>73.7</v>
      </c>
      <c r="L27">
        <v>22.1</v>
      </c>
    </row>
    <row r="28" spans="1:12" x14ac:dyDescent="0.25">
      <c r="A28" t="s">
        <v>128</v>
      </c>
      <c r="B28">
        <v>300.7</v>
      </c>
      <c r="C28">
        <v>7.4</v>
      </c>
      <c r="D28">
        <v>9.9</v>
      </c>
      <c r="E28">
        <v>3.8</v>
      </c>
      <c r="F28">
        <v>13.2</v>
      </c>
      <c r="G28">
        <v>7.9</v>
      </c>
      <c r="H28">
        <v>9.1</v>
      </c>
      <c r="I28">
        <v>47.4</v>
      </c>
      <c r="J28">
        <v>31.4</v>
      </c>
      <c r="K28">
        <v>68.599999999999994</v>
      </c>
      <c r="L28">
        <v>27</v>
      </c>
    </row>
    <row r="29" spans="1:12" x14ac:dyDescent="0.25">
      <c r="A29" t="s">
        <v>129</v>
      </c>
      <c r="B29">
        <v>281.2</v>
      </c>
      <c r="C29">
        <v>5.2</v>
      </c>
      <c r="D29">
        <v>6.7</v>
      </c>
      <c r="E29">
        <v>1.9</v>
      </c>
      <c r="F29">
        <v>8.1999999999999993</v>
      </c>
      <c r="G29">
        <v>5.8</v>
      </c>
      <c r="H29">
        <v>8.1</v>
      </c>
      <c r="I29">
        <v>72.5</v>
      </c>
      <c r="J29">
        <v>12.1</v>
      </c>
      <c r="K29">
        <v>61.4</v>
      </c>
      <c r="L29">
        <v>23.5</v>
      </c>
    </row>
    <row r="30" spans="1:12" x14ac:dyDescent="0.25">
      <c r="A30" t="s">
        <v>87</v>
      </c>
      <c r="B30">
        <v>277.89999999999998</v>
      </c>
      <c r="C30">
        <v>6.2</v>
      </c>
      <c r="D30">
        <v>7.9</v>
      </c>
      <c r="E30">
        <v>2.2999999999999998</v>
      </c>
      <c r="F30">
        <v>29.9</v>
      </c>
      <c r="G30">
        <v>6.2</v>
      </c>
      <c r="H30">
        <v>8.6</v>
      </c>
      <c r="I30">
        <v>65.099999999999994</v>
      </c>
      <c r="J30">
        <v>13.4</v>
      </c>
      <c r="K30">
        <v>69.2</v>
      </c>
      <c r="L30">
        <v>27</v>
      </c>
    </row>
    <row r="31" spans="1:12" x14ac:dyDescent="0.25">
      <c r="A31" t="s">
        <v>130</v>
      </c>
      <c r="B31">
        <v>508.1</v>
      </c>
      <c r="C31">
        <v>13.6</v>
      </c>
      <c r="D31">
        <v>16.399999999999999</v>
      </c>
      <c r="E31">
        <v>3</v>
      </c>
      <c r="F31">
        <v>13.8</v>
      </c>
      <c r="G31">
        <v>9.8000000000000007</v>
      </c>
      <c r="H31">
        <v>13.5</v>
      </c>
      <c r="I31">
        <v>62.1</v>
      </c>
      <c r="J31">
        <v>13.4</v>
      </c>
      <c r="K31">
        <v>49.8</v>
      </c>
      <c r="L31">
        <v>35.799999999999997</v>
      </c>
    </row>
    <row r="32" spans="1:12" x14ac:dyDescent="0.25">
      <c r="A32" t="s">
        <v>131</v>
      </c>
      <c r="B32">
        <v>255</v>
      </c>
      <c r="C32">
        <v>5.4</v>
      </c>
      <c r="D32">
        <v>7</v>
      </c>
      <c r="E32">
        <v>2.2000000000000002</v>
      </c>
      <c r="F32">
        <v>31.5</v>
      </c>
      <c r="G32">
        <v>5.9</v>
      </c>
      <c r="H32">
        <v>8.1</v>
      </c>
      <c r="I32">
        <v>65.400000000000006</v>
      </c>
      <c r="J32">
        <v>13.4</v>
      </c>
      <c r="K32">
        <v>71.099999999999994</v>
      </c>
      <c r="L32">
        <v>26.2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7030A0"/>
  </sheetPr>
  <dimension ref="A1:L18"/>
  <sheetViews>
    <sheetView workbookViewId="0">
      <selection activeCell="L4" sqref="L4"/>
    </sheetView>
  </sheetViews>
  <sheetFormatPr defaultRowHeight="15" x14ac:dyDescent="0.25"/>
  <cols>
    <col min="1" max="1" width="45.85546875" customWidth="1"/>
    <col min="2" max="2" width="12.140625" customWidth="1"/>
    <col min="3" max="3" width="12.42578125" customWidth="1"/>
    <col min="9" max="9" width="11.85546875" customWidth="1"/>
  </cols>
  <sheetData>
    <row r="1" spans="1:12" x14ac:dyDescent="0.25">
      <c r="A1" s="27" t="s">
        <v>377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7" t="s">
        <v>74</v>
      </c>
      <c r="B2" t="s">
        <v>371</v>
      </c>
      <c r="C2" t="s">
        <v>280</v>
      </c>
      <c r="D2" t="s">
        <v>31</v>
      </c>
      <c r="E2" t="s">
        <v>327</v>
      </c>
      <c r="F2" t="s">
        <v>328</v>
      </c>
      <c r="G2" t="s">
        <v>134</v>
      </c>
      <c r="H2" t="s">
        <v>77</v>
      </c>
      <c r="I2" s="27" t="s">
        <v>372</v>
      </c>
      <c r="J2" s="27"/>
      <c r="K2" s="27"/>
      <c r="L2" s="27"/>
    </row>
    <row r="3" spans="1:12" x14ac:dyDescent="0.25">
      <c r="A3" s="27"/>
      <c r="B3" t="s">
        <v>373</v>
      </c>
      <c r="C3" t="s">
        <v>373</v>
      </c>
      <c r="D3" t="s">
        <v>373</v>
      </c>
      <c r="E3" t="s">
        <v>373</v>
      </c>
      <c r="F3" t="s">
        <v>373</v>
      </c>
      <c r="G3" t="s">
        <v>373</v>
      </c>
      <c r="H3" t="s">
        <v>373</v>
      </c>
      <c r="I3" s="27"/>
      <c r="J3" s="27"/>
      <c r="K3" s="27"/>
      <c r="L3" s="27"/>
    </row>
    <row r="4" spans="1:12" x14ac:dyDescent="0.25">
      <c r="A4" s="27"/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133</v>
      </c>
      <c r="I4" t="s">
        <v>374</v>
      </c>
      <c r="J4" t="s">
        <v>83</v>
      </c>
      <c r="K4" t="s">
        <v>375</v>
      </c>
      <c r="L4" t="s">
        <v>376</v>
      </c>
    </row>
    <row r="5" spans="1:12" x14ac:dyDescent="0.25">
      <c r="A5" t="s">
        <v>87</v>
      </c>
      <c r="B5">
        <v>238.1</v>
      </c>
      <c r="C5">
        <v>6.9</v>
      </c>
      <c r="D5">
        <v>8.4</v>
      </c>
      <c r="E5">
        <v>1.8</v>
      </c>
      <c r="F5">
        <v>19</v>
      </c>
      <c r="G5">
        <v>5.3</v>
      </c>
      <c r="H5">
        <v>6.8</v>
      </c>
      <c r="I5">
        <v>38.1</v>
      </c>
      <c r="J5">
        <v>13.1</v>
      </c>
      <c r="K5">
        <v>70.099999999999994</v>
      </c>
      <c r="L5">
        <v>39</v>
      </c>
    </row>
    <row r="6" spans="1:12" x14ac:dyDescent="0.25">
      <c r="A6" t="s">
        <v>88</v>
      </c>
      <c r="B6">
        <v>428.5</v>
      </c>
      <c r="C6">
        <v>16.100000000000001</v>
      </c>
      <c r="D6">
        <v>18.600000000000001</v>
      </c>
      <c r="E6">
        <v>2.2999999999999998</v>
      </c>
      <c r="F6">
        <v>12.1</v>
      </c>
      <c r="G6">
        <v>8.3000000000000007</v>
      </c>
      <c r="H6">
        <v>10.8</v>
      </c>
      <c r="I6">
        <v>35.799999999999997</v>
      </c>
      <c r="J6">
        <v>11.9</v>
      </c>
      <c r="K6">
        <v>49</v>
      </c>
      <c r="L6">
        <v>42.6</v>
      </c>
    </row>
    <row r="7" spans="1:12" x14ac:dyDescent="0.25">
      <c r="A7" t="s">
        <v>89</v>
      </c>
      <c r="B7">
        <v>216.2</v>
      </c>
      <c r="C7">
        <v>5.9</v>
      </c>
      <c r="D7">
        <v>7.2</v>
      </c>
      <c r="E7">
        <v>1.7</v>
      </c>
      <c r="F7">
        <v>19.8</v>
      </c>
      <c r="G7">
        <v>4.9000000000000004</v>
      </c>
      <c r="H7">
        <v>6.3</v>
      </c>
      <c r="I7">
        <v>38.299999999999997</v>
      </c>
      <c r="J7">
        <v>13.2</v>
      </c>
      <c r="K7">
        <v>72.599999999999994</v>
      </c>
      <c r="L7">
        <v>38.6</v>
      </c>
    </row>
    <row r="8" spans="1:12" x14ac:dyDescent="0.25">
      <c r="A8" t="s">
        <v>90</v>
      </c>
      <c r="B8">
        <v>52.9</v>
      </c>
      <c r="C8">
        <v>1.2</v>
      </c>
      <c r="D8">
        <v>1.3</v>
      </c>
      <c r="E8">
        <v>0.4</v>
      </c>
      <c r="F8">
        <v>1.5</v>
      </c>
      <c r="G8">
        <v>1.5</v>
      </c>
      <c r="H8">
        <v>1.8</v>
      </c>
      <c r="I8">
        <v>0</v>
      </c>
      <c r="J8">
        <v>14.9</v>
      </c>
      <c r="K8">
        <v>72.900000000000006</v>
      </c>
      <c r="L8">
        <v>67.3</v>
      </c>
    </row>
    <row r="9" spans="1:12" x14ac:dyDescent="0.25">
      <c r="A9" t="s">
        <v>91</v>
      </c>
      <c r="B9">
        <v>277.89999999999998</v>
      </c>
      <c r="C9">
        <v>6.2</v>
      </c>
      <c r="D9">
        <v>7.9</v>
      </c>
      <c r="E9">
        <v>2.2999999999999998</v>
      </c>
      <c r="F9">
        <v>29.9</v>
      </c>
      <c r="G9">
        <v>6.2</v>
      </c>
      <c r="H9">
        <v>8.6</v>
      </c>
      <c r="I9">
        <v>65.099999999999994</v>
      </c>
      <c r="J9">
        <v>13.4</v>
      </c>
      <c r="K9">
        <v>69.2</v>
      </c>
      <c r="L9">
        <v>27</v>
      </c>
    </row>
    <row r="10" spans="1:12" x14ac:dyDescent="0.25">
      <c r="A10" t="s">
        <v>378</v>
      </c>
      <c r="B10">
        <v>260.60000000000002</v>
      </c>
      <c r="C10">
        <v>11.6</v>
      </c>
      <c r="D10">
        <v>13.8</v>
      </c>
      <c r="E10">
        <v>1.8</v>
      </c>
      <c r="F10">
        <v>10.8</v>
      </c>
      <c r="G10">
        <v>5.5</v>
      </c>
      <c r="H10">
        <v>6</v>
      </c>
      <c r="I10">
        <v>16.100000000000001</v>
      </c>
      <c r="J10">
        <v>9.3000000000000007</v>
      </c>
      <c r="K10">
        <v>73.099999999999994</v>
      </c>
      <c r="L10">
        <v>19.7</v>
      </c>
    </row>
    <row r="11" spans="1:12" x14ac:dyDescent="0.25">
      <c r="A11" t="s">
        <v>379</v>
      </c>
      <c r="B11">
        <v>1155.7</v>
      </c>
      <c r="C11">
        <v>52.4</v>
      </c>
      <c r="D11">
        <v>60.3</v>
      </c>
      <c r="E11">
        <v>5.9</v>
      </c>
      <c r="F11">
        <v>34.200000000000003</v>
      </c>
      <c r="G11">
        <v>22.6</v>
      </c>
      <c r="H11">
        <v>25.1</v>
      </c>
      <c r="I11">
        <v>34.700000000000003</v>
      </c>
      <c r="J11">
        <v>3.3</v>
      </c>
      <c r="K11">
        <v>53.9</v>
      </c>
      <c r="L11">
        <v>15.1</v>
      </c>
    </row>
    <row r="12" spans="1:12" x14ac:dyDescent="0.25">
      <c r="A12" t="s">
        <v>380</v>
      </c>
      <c r="B12">
        <v>352.3</v>
      </c>
      <c r="C12">
        <v>15.8</v>
      </c>
      <c r="D12">
        <v>18.600000000000001</v>
      </c>
      <c r="E12">
        <v>1.3</v>
      </c>
      <c r="F12">
        <v>7.6</v>
      </c>
      <c r="G12">
        <v>7</v>
      </c>
      <c r="H12">
        <v>7.8</v>
      </c>
      <c r="I12">
        <v>11.4</v>
      </c>
      <c r="J12">
        <v>6.6</v>
      </c>
      <c r="K12">
        <v>80.900000000000006</v>
      </c>
      <c r="L12">
        <v>43</v>
      </c>
    </row>
    <row r="13" spans="1:12" x14ac:dyDescent="0.25">
      <c r="A13" t="s">
        <v>381</v>
      </c>
      <c r="B13">
        <v>615.29999999999995</v>
      </c>
      <c r="C13">
        <v>27.9</v>
      </c>
      <c r="D13">
        <v>32.1</v>
      </c>
      <c r="E13">
        <v>5.9</v>
      </c>
      <c r="F13">
        <v>34.200000000000003</v>
      </c>
      <c r="G13">
        <v>12.4</v>
      </c>
      <c r="H13">
        <v>13.6</v>
      </c>
      <c r="I13">
        <v>34.700000000000003</v>
      </c>
      <c r="J13">
        <v>3.3</v>
      </c>
      <c r="K13">
        <v>53.9</v>
      </c>
      <c r="L13">
        <v>15.1</v>
      </c>
    </row>
    <row r="14" spans="1:12" x14ac:dyDescent="0.25">
      <c r="A14" t="s">
        <v>97</v>
      </c>
      <c r="B14">
        <v>501.5</v>
      </c>
      <c r="C14">
        <v>11</v>
      </c>
      <c r="D14">
        <v>14.1</v>
      </c>
      <c r="E14">
        <v>3.6</v>
      </c>
      <c r="F14">
        <v>15.4</v>
      </c>
      <c r="G14">
        <v>9.8000000000000007</v>
      </c>
      <c r="H14">
        <v>13.1</v>
      </c>
      <c r="I14">
        <v>74.3</v>
      </c>
      <c r="J14">
        <v>13</v>
      </c>
      <c r="K14">
        <v>57.4</v>
      </c>
      <c r="L14">
        <v>26.6</v>
      </c>
    </row>
    <row r="15" spans="1:12" x14ac:dyDescent="0.25">
      <c r="A15" t="s">
        <v>98</v>
      </c>
      <c r="B15">
        <v>230.5</v>
      </c>
      <c r="C15">
        <v>5.0999999999999996</v>
      </c>
      <c r="D15">
        <v>6.6</v>
      </c>
      <c r="E15">
        <v>2</v>
      </c>
      <c r="F15">
        <v>33</v>
      </c>
      <c r="G15">
        <v>5.5</v>
      </c>
      <c r="H15">
        <v>7.6</v>
      </c>
      <c r="I15">
        <v>63.2</v>
      </c>
      <c r="J15">
        <v>13.4</v>
      </c>
      <c r="K15">
        <v>71.7</v>
      </c>
      <c r="L15">
        <v>27.1</v>
      </c>
    </row>
    <row r="16" spans="1:12" x14ac:dyDescent="0.25">
      <c r="A16" t="s">
        <v>100</v>
      </c>
      <c r="B16">
        <v>188.7</v>
      </c>
      <c r="C16">
        <v>4.4000000000000004</v>
      </c>
      <c r="D16">
        <v>5.5</v>
      </c>
      <c r="E16">
        <v>1.8</v>
      </c>
      <c r="F16">
        <v>6.7</v>
      </c>
      <c r="G16">
        <v>4.8</v>
      </c>
      <c r="H16">
        <v>6.7</v>
      </c>
      <c r="I16">
        <v>51.5</v>
      </c>
      <c r="J16">
        <v>13.4</v>
      </c>
      <c r="K16">
        <v>76.599999999999994</v>
      </c>
      <c r="L16">
        <v>29.6</v>
      </c>
    </row>
    <row r="17" spans="1:12" x14ac:dyDescent="0.25">
      <c r="A17" t="s">
        <v>101</v>
      </c>
      <c r="B17">
        <v>291.39999999999998</v>
      </c>
      <c r="C17">
        <v>6.5</v>
      </c>
      <c r="D17">
        <v>8.6</v>
      </c>
      <c r="E17">
        <v>2.7</v>
      </c>
      <c r="F17">
        <v>10</v>
      </c>
      <c r="G17">
        <v>6.8</v>
      </c>
      <c r="H17">
        <v>8.6999999999999993</v>
      </c>
      <c r="I17">
        <v>64.5</v>
      </c>
      <c r="J17">
        <v>100</v>
      </c>
      <c r="K17">
        <v>65.3</v>
      </c>
      <c r="L17">
        <v>25.1</v>
      </c>
    </row>
    <row r="18" spans="1:12" x14ac:dyDescent="0.25">
      <c r="A18" t="s">
        <v>102</v>
      </c>
      <c r="B18">
        <v>182.2</v>
      </c>
      <c r="C18">
        <v>4</v>
      </c>
      <c r="D18">
        <v>5.0999999999999996</v>
      </c>
      <c r="E18">
        <v>1.7</v>
      </c>
      <c r="F18">
        <v>6.3</v>
      </c>
      <c r="G18">
        <v>3.9</v>
      </c>
      <c r="H18">
        <v>5.6</v>
      </c>
      <c r="I18">
        <v>42.8</v>
      </c>
      <c r="J18">
        <v>13.7</v>
      </c>
      <c r="K18">
        <v>100</v>
      </c>
      <c r="L18">
        <v>100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</sheetPr>
  <dimension ref="A1:L32"/>
  <sheetViews>
    <sheetView tabSelected="1" workbookViewId="0">
      <selection activeCell="K4" sqref="K4"/>
    </sheetView>
  </sheetViews>
  <sheetFormatPr defaultRowHeight="15" x14ac:dyDescent="0.25"/>
  <cols>
    <col min="1" max="1" width="26.42578125" customWidth="1"/>
    <col min="2" max="2" width="14.140625" customWidth="1"/>
    <col min="8" max="8" width="14.42578125" customWidth="1"/>
    <col min="9" max="9" width="14" customWidth="1"/>
    <col min="10" max="10" width="14.140625" customWidth="1"/>
    <col min="11" max="11" width="20.140625" customWidth="1"/>
    <col min="12" max="12" width="16.42578125" customWidth="1"/>
  </cols>
  <sheetData>
    <row r="1" spans="1:12" x14ac:dyDescent="0.25">
      <c r="A1" s="27" t="s">
        <v>382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7" t="s">
        <v>104</v>
      </c>
      <c r="B2" t="s">
        <v>371</v>
      </c>
      <c r="C2" t="s">
        <v>280</v>
      </c>
      <c r="D2" t="s">
        <v>31</v>
      </c>
      <c r="E2" t="s">
        <v>327</v>
      </c>
      <c r="F2" t="s">
        <v>328</v>
      </c>
      <c r="G2" t="s">
        <v>134</v>
      </c>
      <c r="H2" t="s">
        <v>77</v>
      </c>
      <c r="I2" s="27" t="s">
        <v>372</v>
      </c>
      <c r="J2" s="27"/>
      <c r="K2" s="27"/>
      <c r="L2" s="27"/>
    </row>
    <row r="3" spans="1:12" x14ac:dyDescent="0.25">
      <c r="A3" s="27"/>
      <c r="B3" t="s">
        <v>373</v>
      </c>
      <c r="C3" t="s">
        <v>373</v>
      </c>
      <c r="D3" t="s">
        <v>373</v>
      </c>
      <c r="E3" t="s">
        <v>373</v>
      </c>
      <c r="F3" t="s">
        <v>373</v>
      </c>
      <c r="G3" t="s">
        <v>373</v>
      </c>
      <c r="H3" t="s">
        <v>373</v>
      </c>
      <c r="I3" s="27"/>
      <c r="J3" s="27"/>
      <c r="K3" s="27"/>
      <c r="L3" s="27"/>
    </row>
    <row r="4" spans="1:12" x14ac:dyDescent="0.25">
      <c r="A4" s="27"/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133</v>
      </c>
      <c r="I4" t="s">
        <v>374</v>
      </c>
      <c r="J4" t="s">
        <v>83</v>
      </c>
      <c r="K4" t="s">
        <v>375</v>
      </c>
      <c r="L4" t="s">
        <v>383</v>
      </c>
    </row>
    <row r="5" spans="1:12" x14ac:dyDescent="0.25">
      <c r="A5" t="s">
        <v>105</v>
      </c>
      <c r="B5">
        <v>191</v>
      </c>
      <c r="C5">
        <v>5.9</v>
      </c>
      <c r="D5">
        <v>7</v>
      </c>
      <c r="E5">
        <v>1.4</v>
      </c>
      <c r="F5">
        <v>6.6</v>
      </c>
      <c r="G5">
        <v>4.5999999999999996</v>
      </c>
      <c r="H5">
        <v>5.7</v>
      </c>
      <c r="I5">
        <v>34.200000000000003</v>
      </c>
      <c r="J5">
        <v>2.2999999999999998</v>
      </c>
      <c r="K5">
        <v>79.599999999999994</v>
      </c>
      <c r="L5">
        <v>47.6</v>
      </c>
    </row>
    <row r="6" spans="1:12" x14ac:dyDescent="0.25">
      <c r="A6" t="s">
        <v>106</v>
      </c>
      <c r="B6">
        <v>222.6</v>
      </c>
      <c r="C6">
        <v>6</v>
      </c>
      <c r="D6">
        <v>7.4</v>
      </c>
      <c r="E6">
        <v>1.6</v>
      </c>
      <c r="F6">
        <v>6.9</v>
      </c>
      <c r="G6">
        <v>4.7</v>
      </c>
      <c r="H6">
        <v>6.7</v>
      </c>
      <c r="I6">
        <v>50.7</v>
      </c>
      <c r="J6">
        <v>5.5</v>
      </c>
      <c r="K6">
        <v>74.599999999999994</v>
      </c>
      <c r="L6">
        <v>31.2</v>
      </c>
    </row>
    <row r="7" spans="1:12" x14ac:dyDescent="0.25">
      <c r="A7" t="s">
        <v>107</v>
      </c>
      <c r="B7">
        <v>271.3</v>
      </c>
      <c r="C7">
        <v>7.1</v>
      </c>
      <c r="D7">
        <v>9.1999999999999993</v>
      </c>
      <c r="E7">
        <v>1.9</v>
      </c>
      <c r="F7">
        <v>8.1999999999999993</v>
      </c>
      <c r="G7">
        <v>5.8</v>
      </c>
      <c r="H7">
        <v>7.2</v>
      </c>
      <c r="I7">
        <v>39.6</v>
      </c>
      <c r="J7">
        <v>17.2</v>
      </c>
      <c r="K7">
        <v>58.3</v>
      </c>
      <c r="L7">
        <v>41.2</v>
      </c>
    </row>
    <row r="8" spans="1:12" x14ac:dyDescent="0.25">
      <c r="A8" t="s">
        <v>108</v>
      </c>
      <c r="B8">
        <v>250.4</v>
      </c>
      <c r="C8">
        <v>7.6</v>
      </c>
      <c r="D8">
        <v>9</v>
      </c>
      <c r="E8">
        <v>1.8</v>
      </c>
      <c r="F8">
        <v>8</v>
      </c>
      <c r="G8">
        <v>5.3</v>
      </c>
      <c r="H8">
        <v>6.8</v>
      </c>
      <c r="I8">
        <v>39.4</v>
      </c>
      <c r="J8">
        <v>9.6</v>
      </c>
      <c r="K8">
        <v>71</v>
      </c>
      <c r="L8">
        <v>35.6</v>
      </c>
    </row>
    <row r="9" spans="1:12" x14ac:dyDescent="0.25">
      <c r="A9" t="s">
        <v>109</v>
      </c>
      <c r="B9">
        <v>272.89999999999998</v>
      </c>
      <c r="C9">
        <v>7.1</v>
      </c>
      <c r="D9">
        <v>8.4</v>
      </c>
      <c r="E9">
        <v>1.9</v>
      </c>
      <c r="F9">
        <v>10.6</v>
      </c>
      <c r="G9">
        <v>5.3</v>
      </c>
      <c r="H9">
        <v>6.7</v>
      </c>
      <c r="I9">
        <v>39.4</v>
      </c>
      <c r="J9">
        <v>7.6</v>
      </c>
      <c r="K9">
        <v>66.099999999999994</v>
      </c>
      <c r="L9">
        <v>38.1</v>
      </c>
    </row>
    <row r="10" spans="1:12" x14ac:dyDescent="0.25">
      <c r="A10" t="s">
        <v>110</v>
      </c>
      <c r="B10">
        <v>198.1</v>
      </c>
      <c r="C10">
        <v>5.6</v>
      </c>
      <c r="D10">
        <v>6.6</v>
      </c>
      <c r="E10">
        <v>1.6</v>
      </c>
      <c r="F10">
        <v>6.3</v>
      </c>
      <c r="G10">
        <v>4.5999999999999996</v>
      </c>
      <c r="H10">
        <v>5.8</v>
      </c>
      <c r="I10">
        <v>37.5</v>
      </c>
      <c r="J10">
        <v>9.6</v>
      </c>
      <c r="K10">
        <v>73.5</v>
      </c>
      <c r="L10">
        <v>37.6</v>
      </c>
    </row>
    <row r="11" spans="1:12" x14ac:dyDescent="0.25">
      <c r="A11" t="s">
        <v>111</v>
      </c>
      <c r="B11">
        <v>208.2</v>
      </c>
      <c r="C11">
        <v>7.9</v>
      </c>
      <c r="D11">
        <v>9.4</v>
      </c>
      <c r="E11">
        <v>1.7</v>
      </c>
      <c r="F11">
        <v>7.5</v>
      </c>
      <c r="G11">
        <v>5.3</v>
      </c>
      <c r="H11">
        <v>6.3</v>
      </c>
      <c r="I11">
        <v>31.9</v>
      </c>
      <c r="J11">
        <v>48.6</v>
      </c>
      <c r="K11">
        <v>75.3</v>
      </c>
      <c r="L11">
        <v>33.200000000000003</v>
      </c>
    </row>
    <row r="12" spans="1:12" x14ac:dyDescent="0.25">
      <c r="A12" t="s">
        <v>112</v>
      </c>
      <c r="B12">
        <v>339</v>
      </c>
      <c r="C12">
        <v>9.6999999999999993</v>
      </c>
      <c r="D12">
        <v>11.6</v>
      </c>
      <c r="E12">
        <v>2.2000000000000002</v>
      </c>
      <c r="F12">
        <v>9.9</v>
      </c>
      <c r="G12">
        <v>7</v>
      </c>
      <c r="H12">
        <v>8.8000000000000007</v>
      </c>
      <c r="I12">
        <v>43.8</v>
      </c>
      <c r="J12">
        <v>27.1</v>
      </c>
      <c r="K12">
        <v>48.9</v>
      </c>
      <c r="L12">
        <v>35.9</v>
      </c>
    </row>
    <row r="13" spans="1:12" x14ac:dyDescent="0.25">
      <c r="A13" t="s">
        <v>113</v>
      </c>
      <c r="B13">
        <v>171.2</v>
      </c>
      <c r="C13">
        <v>9.1</v>
      </c>
      <c r="D13">
        <v>11</v>
      </c>
      <c r="E13">
        <v>1.6</v>
      </c>
      <c r="F13">
        <v>7.5</v>
      </c>
      <c r="G13">
        <v>5</v>
      </c>
      <c r="H13">
        <v>5.5</v>
      </c>
      <c r="I13">
        <v>18</v>
      </c>
      <c r="J13">
        <v>22</v>
      </c>
      <c r="K13">
        <v>86</v>
      </c>
      <c r="L13">
        <v>54</v>
      </c>
    </row>
    <row r="14" spans="1:12" x14ac:dyDescent="0.25">
      <c r="A14" t="s">
        <v>114</v>
      </c>
      <c r="B14">
        <v>121.3</v>
      </c>
      <c r="C14">
        <v>5</v>
      </c>
      <c r="D14">
        <v>5.7</v>
      </c>
      <c r="E14">
        <v>1.2</v>
      </c>
      <c r="F14">
        <v>5.5</v>
      </c>
      <c r="G14">
        <v>3.7</v>
      </c>
      <c r="H14">
        <v>5</v>
      </c>
      <c r="I14">
        <v>35.6</v>
      </c>
      <c r="J14">
        <v>1.8</v>
      </c>
      <c r="K14">
        <v>78.099999999999994</v>
      </c>
      <c r="L14">
        <v>50.2</v>
      </c>
    </row>
    <row r="15" spans="1:12" x14ac:dyDescent="0.25">
      <c r="A15" t="s">
        <v>115</v>
      </c>
      <c r="B15">
        <v>197.7</v>
      </c>
      <c r="C15">
        <v>5.8</v>
      </c>
      <c r="D15">
        <v>6.7</v>
      </c>
      <c r="E15">
        <v>1.5</v>
      </c>
      <c r="F15">
        <v>5.9</v>
      </c>
      <c r="G15">
        <v>4.4000000000000004</v>
      </c>
      <c r="H15">
        <v>6.3</v>
      </c>
      <c r="I15">
        <v>45.6</v>
      </c>
      <c r="J15">
        <v>12.2</v>
      </c>
      <c r="K15">
        <v>71</v>
      </c>
      <c r="L15">
        <v>34</v>
      </c>
    </row>
    <row r="16" spans="1:12" x14ac:dyDescent="0.25">
      <c r="A16" t="s">
        <v>116</v>
      </c>
      <c r="B16">
        <v>162.9</v>
      </c>
      <c r="C16">
        <v>6.6</v>
      </c>
      <c r="D16">
        <v>7</v>
      </c>
      <c r="E16">
        <v>1.7</v>
      </c>
      <c r="F16">
        <v>5.8</v>
      </c>
      <c r="G16">
        <v>4.5</v>
      </c>
      <c r="H16">
        <v>6.3</v>
      </c>
      <c r="I16">
        <v>36.200000000000003</v>
      </c>
      <c r="J16">
        <v>1.6</v>
      </c>
      <c r="K16">
        <v>81.900000000000006</v>
      </c>
      <c r="L16">
        <v>52</v>
      </c>
    </row>
    <row r="17" spans="1:12" x14ac:dyDescent="0.25">
      <c r="A17" t="s">
        <v>117</v>
      </c>
      <c r="B17">
        <v>154.9</v>
      </c>
      <c r="C17">
        <v>4.3</v>
      </c>
      <c r="D17">
        <v>5.2</v>
      </c>
      <c r="E17">
        <v>1.3</v>
      </c>
      <c r="F17">
        <v>6</v>
      </c>
      <c r="G17">
        <v>4.0999999999999996</v>
      </c>
      <c r="H17">
        <v>5.5</v>
      </c>
      <c r="I17">
        <v>26.7</v>
      </c>
      <c r="J17">
        <v>1.4</v>
      </c>
      <c r="K17">
        <v>82.5</v>
      </c>
      <c r="L17">
        <v>42.9</v>
      </c>
    </row>
    <row r="18" spans="1:12" x14ac:dyDescent="0.25">
      <c r="A18" t="s">
        <v>118</v>
      </c>
      <c r="B18">
        <v>204.9</v>
      </c>
      <c r="C18">
        <v>7.9</v>
      </c>
      <c r="D18">
        <v>8.9</v>
      </c>
      <c r="E18">
        <v>1.7</v>
      </c>
      <c r="F18">
        <v>9.5</v>
      </c>
      <c r="G18">
        <v>5.0999999999999996</v>
      </c>
      <c r="H18">
        <v>6.3</v>
      </c>
      <c r="I18">
        <v>33.299999999999997</v>
      </c>
      <c r="J18">
        <v>2.5</v>
      </c>
      <c r="K18">
        <v>76.5</v>
      </c>
      <c r="L18">
        <v>44.4</v>
      </c>
    </row>
    <row r="19" spans="1:12" x14ac:dyDescent="0.25">
      <c r="A19" t="s">
        <v>119</v>
      </c>
      <c r="B19">
        <v>641.1</v>
      </c>
      <c r="C19">
        <v>25.3</v>
      </c>
      <c r="D19">
        <v>28.3</v>
      </c>
      <c r="E19">
        <v>2.7</v>
      </c>
      <c r="F19">
        <v>14.9</v>
      </c>
      <c r="G19">
        <v>10.1</v>
      </c>
      <c r="H19">
        <v>14.7</v>
      </c>
      <c r="I19">
        <v>44.9</v>
      </c>
      <c r="J19">
        <v>22.2</v>
      </c>
      <c r="K19">
        <v>22.5</v>
      </c>
      <c r="L19">
        <v>60.7</v>
      </c>
    </row>
    <row r="20" spans="1:12" x14ac:dyDescent="0.25">
      <c r="A20" t="s">
        <v>120</v>
      </c>
      <c r="B20">
        <v>263.60000000000002</v>
      </c>
      <c r="C20">
        <v>10</v>
      </c>
      <c r="D20">
        <v>11.5</v>
      </c>
      <c r="E20">
        <v>0.7</v>
      </c>
      <c r="F20">
        <v>3.9</v>
      </c>
      <c r="G20">
        <v>7.3</v>
      </c>
      <c r="H20">
        <v>7.6</v>
      </c>
      <c r="I20">
        <v>45.2</v>
      </c>
      <c r="J20">
        <v>11.5</v>
      </c>
      <c r="K20">
        <v>84.1</v>
      </c>
      <c r="L20">
        <v>15.9</v>
      </c>
    </row>
    <row r="21" spans="1:12" x14ac:dyDescent="0.25">
      <c r="A21" t="s">
        <v>121</v>
      </c>
      <c r="B21">
        <v>141.19999999999999</v>
      </c>
      <c r="C21">
        <v>5</v>
      </c>
      <c r="D21">
        <v>5.8</v>
      </c>
      <c r="E21">
        <v>1.3</v>
      </c>
      <c r="F21">
        <v>5.5</v>
      </c>
      <c r="G21">
        <v>4</v>
      </c>
      <c r="H21">
        <v>5.2</v>
      </c>
      <c r="I21">
        <v>11.1</v>
      </c>
      <c r="J21">
        <v>0.2</v>
      </c>
      <c r="K21">
        <v>82.1</v>
      </c>
      <c r="L21">
        <v>40.299999999999997</v>
      </c>
    </row>
    <row r="22" spans="1:12" x14ac:dyDescent="0.25">
      <c r="A22" t="s">
        <v>122</v>
      </c>
      <c r="B22">
        <v>224</v>
      </c>
      <c r="C22">
        <v>5.3</v>
      </c>
      <c r="D22">
        <v>7.1</v>
      </c>
      <c r="E22">
        <v>1.8</v>
      </c>
      <c r="F22">
        <v>7.9</v>
      </c>
      <c r="G22">
        <v>5.2</v>
      </c>
      <c r="H22">
        <v>6.3</v>
      </c>
      <c r="I22">
        <v>42.8</v>
      </c>
      <c r="J22">
        <v>23.4</v>
      </c>
      <c r="K22">
        <v>65.3</v>
      </c>
      <c r="L22">
        <v>39.1</v>
      </c>
    </row>
    <row r="23" spans="1:12" x14ac:dyDescent="0.25">
      <c r="A23" t="s">
        <v>123</v>
      </c>
      <c r="B23">
        <v>197.1</v>
      </c>
      <c r="C23">
        <v>5.8</v>
      </c>
      <c r="D23">
        <v>7</v>
      </c>
      <c r="E23">
        <v>1.5</v>
      </c>
      <c r="F23">
        <v>8.1999999999999993</v>
      </c>
      <c r="G23">
        <v>4.5999999999999996</v>
      </c>
      <c r="H23">
        <v>6</v>
      </c>
      <c r="I23">
        <v>38.9</v>
      </c>
      <c r="J23">
        <v>2</v>
      </c>
      <c r="K23">
        <v>81.2</v>
      </c>
      <c r="L23">
        <v>36.799999999999997</v>
      </c>
    </row>
    <row r="24" spans="1:12" x14ac:dyDescent="0.25">
      <c r="A24" t="s">
        <v>124</v>
      </c>
      <c r="B24">
        <v>178.8</v>
      </c>
      <c r="C24">
        <v>4.2</v>
      </c>
      <c r="D24">
        <v>4.5999999999999996</v>
      </c>
      <c r="E24">
        <v>1.6</v>
      </c>
      <c r="F24">
        <v>5.2</v>
      </c>
      <c r="G24">
        <v>3.8</v>
      </c>
      <c r="H24">
        <v>6</v>
      </c>
      <c r="I24">
        <v>45.7</v>
      </c>
      <c r="J24">
        <v>1.3</v>
      </c>
      <c r="K24">
        <v>79.099999999999994</v>
      </c>
      <c r="L24">
        <v>45</v>
      </c>
    </row>
    <row r="25" spans="1:12" x14ac:dyDescent="0.25">
      <c r="A25" t="s">
        <v>125</v>
      </c>
      <c r="B25">
        <v>252.2</v>
      </c>
      <c r="C25">
        <v>5.4</v>
      </c>
      <c r="D25">
        <v>7</v>
      </c>
      <c r="E25">
        <v>1.8</v>
      </c>
      <c r="F25">
        <v>6.8</v>
      </c>
      <c r="G25">
        <v>5.0999999999999996</v>
      </c>
      <c r="H25">
        <v>6.6</v>
      </c>
      <c r="I25">
        <v>35.5</v>
      </c>
      <c r="J25">
        <v>4.5</v>
      </c>
      <c r="K25">
        <v>74.599999999999994</v>
      </c>
      <c r="L25">
        <v>42.9</v>
      </c>
    </row>
    <row r="26" spans="1:12" x14ac:dyDescent="0.25">
      <c r="A26" t="s">
        <v>126</v>
      </c>
      <c r="B26">
        <v>144.4</v>
      </c>
      <c r="C26">
        <v>5.4</v>
      </c>
      <c r="D26">
        <v>6</v>
      </c>
      <c r="E26">
        <v>1.5</v>
      </c>
      <c r="F26">
        <v>5.7</v>
      </c>
      <c r="G26">
        <v>4.0999999999999996</v>
      </c>
      <c r="H26">
        <v>5.9</v>
      </c>
      <c r="I26">
        <v>45.1</v>
      </c>
      <c r="J26">
        <v>1.2</v>
      </c>
      <c r="K26">
        <v>83.3</v>
      </c>
      <c r="L26">
        <v>38.6</v>
      </c>
    </row>
    <row r="27" spans="1:12" x14ac:dyDescent="0.25">
      <c r="A27" t="s">
        <v>127</v>
      </c>
      <c r="B27">
        <v>234.3</v>
      </c>
      <c r="C27">
        <v>7.3</v>
      </c>
      <c r="D27">
        <v>9.1</v>
      </c>
      <c r="E27">
        <v>1.9</v>
      </c>
      <c r="F27">
        <v>307.8</v>
      </c>
      <c r="G27">
        <v>5.6</v>
      </c>
      <c r="H27">
        <v>7.1</v>
      </c>
      <c r="I27">
        <v>31.4</v>
      </c>
      <c r="J27">
        <v>16.7</v>
      </c>
      <c r="K27">
        <v>75</v>
      </c>
      <c r="L27">
        <v>38.5</v>
      </c>
    </row>
    <row r="28" spans="1:12" x14ac:dyDescent="0.25">
      <c r="A28" t="s">
        <v>128</v>
      </c>
      <c r="B28">
        <v>253.8</v>
      </c>
      <c r="C28">
        <v>8.1999999999999993</v>
      </c>
      <c r="D28">
        <v>10.3</v>
      </c>
      <c r="E28">
        <v>2.8</v>
      </c>
      <c r="F28">
        <v>10.5</v>
      </c>
      <c r="G28">
        <v>6.6</v>
      </c>
      <c r="H28">
        <v>7.2</v>
      </c>
      <c r="I28">
        <v>23.6</v>
      </c>
      <c r="J28">
        <v>27.5</v>
      </c>
      <c r="K28">
        <v>70.099999999999994</v>
      </c>
      <c r="L28">
        <v>36.9</v>
      </c>
    </row>
    <row r="29" spans="1:12" x14ac:dyDescent="0.25">
      <c r="A29" t="s">
        <v>129</v>
      </c>
      <c r="B29">
        <v>241.6</v>
      </c>
      <c r="C29">
        <v>5.2</v>
      </c>
      <c r="D29">
        <v>6.4</v>
      </c>
      <c r="E29">
        <v>1.5</v>
      </c>
      <c r="F29">
        <v>7</v>
      </c>
      <c r="G29">
        <v>5</v>
      </c>
      <c r="H29">
        <v>6.6</v>
      </c>
      <c r="I29">
        <v>44.2</v>
      </c>
      <c r="J29">
        <v>11.3</v>
      </c>
      <c r="K29">
        <v>64.599999999999994</v>
      </c>
      <c r="L29">
        <v>35.200000000000003</v>
      </c>
    </row>
    <row r="30" spans="1:12" x14ac:dyDescent="0.25">
      <c r="A30" t="s">
        <v>87</v>
      </c>
      <c r="B30">
        <v>238.1</v>
      </c>
      <c r="C30">
        <v>6.9</v>
      </c>
      <c r="D30">
        <v>8.4</v>
      </c>
      <c r="E30">
        <v>1.8</v>
      </c>
      <c r="F30">
        <v>19</v>
      </c>
      <c r="G30">
        <v>5.3</v>
      </c>
      <c r="H30">
        <v>6.8</v>
      </c>
      <c r="I30">
        <v>38.1</v>
      </c>
      <c r="J30">
        <v>13.1</v>
      </c>
      <c r="K30">
        <v>70.099999999999994</v>
      </c>
      <c r="L30">
        <v>39</v>
      </c>
    </row>
    <row r="31" spans="1:12" x14ac:dyDescent="0.25">
      <c r="A31" t="s">
        <v>130</v>
      </c>
      <c r="B31">
        <v>428.5</v>
      </c>
      <c r="C31">
        <v>16.100000000000001</v>
      </c>
      <c r="D31">
        <v>18.600000000000001</v>
      </c>
      <c r="E31">
        <v>2.2999999999999998</v>
      </c>
      <c r="F31">
        <v>12.1</v>
      </c>
      <c r="G31">
        <v>8.3000000000000007</v>
      </c>
      <c r="H31">
        <v>10.8</v>
      </c>
      <c r="I31">
        <v>35.799999999999997</v>
      </c>
      <c r="J31">
        <v>11.9</v>
      </c>
      <c r="K31">
        <v>49</v>
      </c>
      <c r="L31">
        <v>42.6</v>
      </c>
    </row>
    <row r="32" spans="1:12" x14ac:dyDescent="0.25">
      <c r="A32" t="s">
        <v>131</v>
      </c>
      <c r="B32">
        <v>216.2</v>
      </c>
      <c r="C32">
        <v>5.9</v>
      </c>
      <c r="D32">
        <v>7.2</v>
      </c>
      <c r="E32">
        <v>1.7</v>
      </c>
      <c r="F32">
        <v>19.8</v>
      </c>
      <c r="G32">
        <v>4.9000000000000004</v>
      </c>
      <c r="H32">
        <v>6.3</v>
      </c>
      <c r="I32">
        <v>38.299999999999997</v>
      </c>
      <c r="J32">
        <v>13.2</v>
      </c>
      <c r="K32">
        <v>72.599999999999994</v>
      </c>
      <c r="L32">
        <v>38.6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030A0"/>
  </sheetPr>
  <dimension ref="A1:L32"/>
  <sheetViews>
    <sheetView workbookViewId="0"/>
  </sheetViews>
  <sheetFormatPr defaultRowHeight="15" x14ac:dyDescent="0.25"/>
  <cols>
    <col min="1" max="1" width="28" customWidth="1"/>
    <col min="2" max="2" width="13.42578125" customWidth="1"/>
    <col min="3" max="3" width="14" customWidth="1"/>
    <col min="4" max="4" width="13.42578125" customWidth="1"/>
    <col min="5" max="5" width="14" customWidth="1"/>
    <col min="6" max="6" width="13.42578125" customWidth="1"/>
    <col min="8" max="8" width="14" customWidth="1"/>
    <col min="10" max="10" width="14.140625" customWidth="1"/>
    <col min="11" max="11" width="14" customWidth="1"/>
    <col min="12" max="12" width="14.140625" customWidth="1"/>
  </cols>
  <sheetData>
    <row r="1" spans="1:12" x14ac:dyDescent="0.25">
      <c r="A1" s="27" t="s">
        <v>384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x14ac:dyDescent="0.25">
      <c r="A2" s="27" t="s">
        <v>104</v>
      </c>
      <c r="B2" t="s">
        <v>371</v>
      </c>
      <c r="C2" t="s">
        <v>280</v>
      </c>
      <c r="D2" t="s">
        <v>31</v>
      </c>
      <c r="E2" t="s">
        <v>327</v>
      </c>
      <c r="F2" t="s">
        <v>328</v>
      </c>
      <c r="G2" t="s">
        <v>134</v>
      </c>
      <c r="H2" t="s">
        <v>77</v>
      </c>
      <c r="I2" s="27" t="s">
        <v>372</v>
      </c>
      <c r="J2" s="27"/>
      <c r="K2" s="27"/>
      <c r="L2" s="27"/>
    </row>
    <row r="3" spans="1:12" x14ac:dyDescent="0.25">
      <c r="A3" s="27"/>
      <c r="B3" t="s">
        <v>373</v>
      </c>
      <c r="C3" t="s">
        <v>373</v>
      </c>
      <c r="D3" t="s">
        <v>373</v>
      </c>
      <c r="E3" t="s">
        <v>373</v>
      </c>
      <c r="F3" t="s">
        <v>373</v>
      </c>
      <c r="G3" t="s">
        <v>373</v>
      </c>
      <c r="H3" t="s">
        <v>373</v>
      </c>
      <c r="I3" s="27"/>
      <c r="J3" s="27"/>
      <c r="K3" s="27"/>
      <c r="L3" s="27"/>
    </row>
    <row r="4" spans="1:12" x14ac:dyDescent="0.25">
      <c r="A4" s="27"/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133</v>
      </c>
      <c r="I4" t="s">
        <v>374</v>
      </c>
      <c r="J4" t="s">
        <v>83</v>
      </c>
      <c r="K4" t="s">
        <v>375</v>
      </c>
      <c r="L4" t="s">
        <v>376</v>
      </c>
    </row>
    <row r="5" spans="1:12" x14ac:dyDescent="0.25">
      <c r="A5" t="s">
        <v>105</v>
      </c>
      <c r="B5">
        <v>493.3</v>
      </c>
      <c r="C5">
        <v>21.7</v>
      </c>
      <c r="D5">
        <v>25.5</v>
      </c>
      <c r="E5">
        <v>3.1</v>
      </c>
      <c r="F5">
        <v>20.399999999999999</v>
      </c>
      <c r="G5">
        <v>10.5</v>
      </c>
      <c r="H5">
        <v>10.6</v>
      </c>
      <c r="I5">
        <v>19</v>
      </c>
      <c r="J5">
        <v>1.2</v>
      </c>
      <c r="K5">
        <v>76.2</v>
      </c>
      <c r="L5">
        <v>16.7</v>
      </c>
    </row>
    <row r="6" spans="1:12" x14ac:dyDescent="0.25">
      <c r="A6" t="s">
        <v>106</v>
      </c>
      <c r="B6">
        <v>534.4</v>
      </c>
      <c r="C6">
        <v>20.8</v>
      </c>
      <c r="D6">
        <v>24.8</v>
      </c>
      <c r="E6">
        <v>2.8</v>
      </c>
      <c r="F6">
        <v>15.2</v>
      </c>
      <c r="G6">
        <v>10.1</v>
      </c>
      <c r="H6">
        <v>11</v>
      </c>
      <c r="I6">
        <v>21.6</v>
      </c>
      <c r="J6">
        <v>1.6</v>
      </c>
      <c r="K6">
        <v>76</v>
      </c>
      <c r="L6">
        <v>13.6</v>
      </c>
    </row>
    <row r="7" spans="1:12" x14ac:dyDescent="0.25">
      <c r="A7" t="s">
        <v>107</v>
      </c>
      <c r="B7">
        <v>529.79999999999995</v>
      </c>
      <c r="C7">
        <v>23.4</v>
      </c>
      <c r="D7">
        <v>28.9</v>
      </c>
      <c r="E7">
        <v>3.3</v>
      </c>
      <c r="F7">
        <v>15.8</v>
      </c>
      <c r="G7">
        <v>10.9</v>
      </c>
      <c r="H7">
        <v>12.1</v>
      </c>
      <c r="I7">
        <v>25</v>
      </c>
      <c r="J7">
        <v>9.6999999999999993</v>
      </c>
      <c r="K7">
        <v>57.3</v>
      </c>
      <c r="L7">
        <v>25.8</v>
      </c>
    </row>
    <row r="8" spans="1:12" x14ac:dyDescent="0.25">
      <c r="A8" t="s">
        <v>108</v>
      </c>
      <c r="B8">
        <v>480.9</v>
      </c>
      <c r="C8">
        <v>20.8</v>
      </c>
      <c r="D8">
        <v>24.2</v>
      </c>
      <c r="E8">
        <v>2.9</v>
      </c>
      <c r="F8">
        <v>16</v>
      </c>
      <c r="G8">
        <v>9.6</v>
      </c>
      <c r="H8">
        <v>10</v>
      </c>
      <c r="I8">
        <v>14.3</v>
      </c>
      <c r="J8">
        <v>10.4</v>
      </c>
      <c r="K8">
        <v>71.400000000000006</v>
      </c>
      <c r="L8">
        <v>20.8</v>
      </c>
    </row>
    <row r="9" spans="1:12" x14ac:dyDescent="0.25">
      <c r="A9" t="s">
        <v>109</v>
      </c>
      <c r="B9">
        <v>519.4</v>
      </c>
      <c r="C9">
        <v>20.6</v>
      </c>
      <c r="D9">
        <v>23.6</v>
      </c>
      <c r="E9">
        <v>2.7</v>
      </c>
      <c r="F9">
        <v>29</v>
      </c>
      <c r="G9">
        <v>8.6</v>
      </c>
      <c r="H9">
        <v>10.1</v>
      </c>
      <c r="I9">
        <v>36.5</v>
      </c>
      <c r="J9">
        <v>2.1</v>
      </c>
      <c r="K9">
        <v>56.3</v>
      </c>
      <c r="L9">
        <v>19.8</v>
      </c>
    </row>
    <row r="10" spans="1:12" x14ac:dyDescent="0.25">
      <c r="A10" t="s">
        <v>110</v>
      </c>
      <c r="B10">
        <v>499</v>
      </c>
      <c r="C10">
        <v>18.8</v>
      </c>
      <c r="D10">
        <v>22.3</v>
      </c>
      <c r="E10">
        <v>3</v>
      </c>
      <c r="F10">
        <v>15</v>
      </c>
      <c r="G10">
        <v>10.3</v>
      </c>
      <c r="H10">
        <v>10.6</v>
      </c>
      <c r="I10">
        <v>5.4</v>
      </c>
      <c r="J10">
        <v>0</v>
      </c>
      <c r="K10">
        <v>73.900000000000006</v>
      </c>
      <c r="L10">
        <v>28.3</v>
      </c>
    </row>
    <row r="11" spans="1:12" x14ac:dyDescent="0.25">
      <c r="A11" t="s">
        <v>111</v>
      </c>
      <c r="B11">
        <v>428.1</v>
      </c>
      <c r="C11">
        <v>22.5</v>
      </c>
      <c r="D11">
        <v>26.6</v>
      </c>
      <c r="E11">
        <v>2.8</v>
      </c>
      <c r="F11">
        <v>13.6</v>
      </c>
      <c r="G11">
        <v>9.1999999999999993</v>
      </c>
      <c r="H11">
        <v>11.6</v>
      </c>
      <c r="I11">
        <v>17</v>
      </c>
      <c r="J11">
        <v>35</v>
      </c>
      <c r="K11">
        <v>70</v>
      </c>
      <c r="L11">
        <v>13</v>
      </c>
    </row>
    <row r="12" spans="1:12" x14ac:dyDescent="0.25">
      <c r="A12" t="s">
        <v>112</v>
      </c>
      <c r="B12">
        <v>561.29999999999995</v>
      </c>
      <c r="C12">
        <v>31.3</v>
      </c>
      <c r="D12">
        <v>35.6</v>
      </c>
      <c r="E12">
        <v>3.4</v>
      </c>
      <c r="F12">
        <v>17.600000000000001</v>
      </c>
      <c r="G12">
        <v>11.8</v>
      </c>
      <c r="H12">
        <v>12.8</v>
      </c>
      <c r="I12">
        <v>20</v>
      </c>
      <c r="J12">
        <v>12.9</v>
      </c>
      <c r="K12">
        <v>48.6</v>
      </c>
      <c r="L12">
        <v>20</v>
      </c>
    </row>
    <row r="13" spans="1:12" x14ac:dyDescent="0.25">
      <c r="A13" t="s">
        <v>113</v>
      </c>
      <c r="B13">
        <v>418.8</v>
      </c>
      <c r="C13">
        <v>37.5</v>
      </c>
      <c r="D13">
        <v>43</v>
      </c>
      <c r="E13">
        <v>3</v>
      </c>
      <c r="F13">
        <v>16.2</v>
      </c>
      <c r="G13">
        <v>11.8</v>
      </c>
      <c r="H13">
        <v>11.8</v>
      </c>
      <c r="I13">
        <v>0</v>
      </c>
      <c r="J13">
        <v>0</v>
      </c>
      <c r="K13">
        <v>66.7</v>
      </c>
      <c r="L13">
        <v>16.7</v>
      </c>
    </row>
    <row r="14" spans="1:12" x14ac:dyDescent="0.25">
      <c r="A14" t="s">
        <v>114</v>
      </c>
      <c r="B14">
        <v>251.3</v>
      </c>
      <c r="C14">
        <v>14</v>
      </c>
      <c r="D14">
        <v>15.7</v>
      </c>
      <c r="E14">
        <v>2.1</v>
      </c>
      <c r="F14">
        <v>14.3</v>
      </c>
      <c r="G14">
        <v>6.2</v>
      </c>
      <c r="H14">
        <v>6.6</v>
      </c>
      <c r="I14">
        <v>32.299999999999997</v>
      </c>
      <c r="J14">
        <v>0</v>
      </c>
      <c r="K14">
        <v>71</v>
      </c>
      <c r="L14">
        <v>25.8</v>
      </c>
    </row>
    <row r="15" spans="1:12" x14ac:dyDescent="0.25">
      <c r="A15" t="s">
        <v>115</v>
      </c>
      <c r="B15">
        <v>351.2</v>
      </c>
      <c r="C15">
        <v>17.3</v>
      </c>
      <c r="D15">
        <v>19.399999999999999</v>
      </c>
      <c r="E15">
        <v>2.2999999999999998</v>
      </c>
      <c r="F15">
        <v>11.7</v>
      </c>
      <c r="G15">
        <v>7.6</v>
      </c>
      <c r="H15">
        <v>7.8</v>
      </c>
      <c r="I15">
        <v>10.9</v>
      </c>
      <c r="J15">
        <v>12.7</v>
      </c>
      <c r="K15">
        <v>69.099999999999994</v>
      </c>
      <c r="L15">
        <v>14.5</v>
      </c>
    </row>
    <row r="16" spans="1:12" x14ac:dyDescent="0.25">
      <c r="A16" t="s">
        <v>116</v>
      </c>
      <c r="B16">
        <v>350.3</v>
      </c>
      <c r="C16">
        <v>16.7</v>
      </c>
      <c r="D16">
        <v>17.8</v>
      </c>
      <c r="E16">
        <v>2.1</v>
      </c>
      <c r="F16">
        <v>11.4</v>
      </c>
      <c r="G16">
        <v>7.2</v>
      </c>
      <c r="H16">
        <v>7.7</v>
      </c>
      <c r="I16">
        <v>28.6</v>
      </c>
      <c r="J16">
        <v>0</v>
      </c>
      <c r="K16">
        <v>78.599999999999994</v>
      </c>
      <c r="L16">
        <v>14.3</v>
      </c>
    </row>
    <row r="17" spans="1:12" x14ac:dyDescent="0.25">
      <c r="A17" t="s">
        <v>117</v>
      </c>
      <c r="B17">
        <v>383.7</v>
      </c>
      <c r="C17">
        <v>13.2</v>
      </c>
      <c r="D17">
        <v>14.8</v>
      </c>
      <c r="E17">
        <v>2.2999999999999998</v>
      </c>
      <c r="F17">
        <v>16</v>
      </c>
      <c r="G17">
        <v>8</v>
      </c>
      <c r="H17">
        <v>8.5</v>
      </c>
      <c r="I17">
        <v>23.7</v>
      </c>
      <c r="J17">
        <v>0</v>
      </c>
      <c r="K17">
        <v>81.599999999999994</v>
      </c>
      <c r="L17">
        <v>18.399999999999999</v>
      </c>
    </row>
    <row r="18" spans="1:12" x14ac:dyDescent="0.25">
      <c r="A18" t="s">
        <v>118</v>
      </c>
      <c r="B18">
        <v>548.4</v>
      </c>
      <c r="C18">
        <v>34.299999999999997</v>
      </c>
      <c r="D18">
        <v>38.9</v>
      </c>
      <c r="E18">
        <v>3.7</v>
      </c>
      <c r="F18">
        <v>35</v>
      </c>
      <c r="G18">
        <v>12.7</v>
      </c>
      <c r="H18">
        <v>12.7</v>
      </c>
      <c r="I18">
        <v>22.2</v>
      </c>
      <c r="J18">
        <v>0</v>
      </c>
      <c r="K18">
        <v>55.6</v>
      </c>
      <c r="L18">
        <v>0</v>
      </c>
    </row>
    <row r="19" spans="1:12" x14ac:dyDescent="0.25">
      <c r="A19" t="s">
        <v>119</v>
      </c>
      <c r="B19">
        <v>1373.6</v>
      </c>
      <c r="C19">
        <v>87.6</v>
      </c>
      <c r="D19">
        <v>95.9</v>
      </c>
      <c r="E19">
        <v>4.0999999999999996</v>
      </c>
      <c r="F19">
        <v>28.3</v>
      </c>
      <c r="G19">
        <v>20</v>
      </c>
      <c r="H19">
        <v>29.8</v>
      </c>
      <c r="I19">
        <v>60.6</v>
      </c>
      <c r="J19">
        <v>7.6</v>
      </c>
      <c r="K19">
        <v>30.3</v>
      </c>
      <c r="L19">
        <v>18.2</v>
      </c>
    </row>
    <row r="20" spans="1:12" x14ac:dyDescent="0.25">
      <c r="A20" t="s">
        <v>120</v>
      </c>
      <c r="B20">
        <v>456.7</v>
      </c>
      <c r="C20">
        <v>25.5</v>
      </c>
      <c r="D20">
        <v>28.7</v>
      </c>
      <c r="E20">
        <v>0.8</v>
      </c>
      <c r="F20">
        <v>5.0999999999999996</v>
      </c>
      <c r="G20">
        <v>11.1</v>
      </c>
      <c r="H20">
        <v>11.1</v>
      </c>
      <c r="I20">
        <v>33.299999999999997</v>
      </c>
      <c r="J20">
        <v>7.4</v>
      </c>
      <c r="K20">
        <v>85.2</v>
      </c>
      <c r="L20">
        <v>0</v>
      </c>
    </row>
    <row r="21" spans="1:12" x14ac:dyDescent="0.25">
      <c r="A21" t="s">
        <v>121</v>
      </c>
      <c r="B21">
        <v>239.5</v>
      </c>
      <c r="C21">
        <v>11.7</v>
      </c>
      <c r="D21">
        <v>12.9</v>
      </c>
      <c r="E21">
        <v>1.7</v>
      </c>
      <c r="F21">
        <v>10.4</v>
      </c>
      <c r="G21">
        <v>5.9</v>
      </c>
      <c r="H21">
        <v>5.9</v>
      </c>
      <c r="I21">
        <v>4.7</v>
      </c>
      <c r="J21">
        <v>0</v>
      </c>
      <c r="K21">
        <v>81.3</v>
      </c>
      <c r="L21">
        <v>29.7</v>
      </c>
    </row>
    <row r="22" spans="1:12" x14ac:dyDescent="0.25">
      <c r="A22" t="s">
        <v>122</v>
      </c>
      <c r="B22">
        <v>574.79999999999995</v>
      </c>
      <c r="C22">
        <v>20.2</v>
      </c>
      <c r="D22">
        <v>25</v>
      </c>
      <c r="E22">
        <v>3.3</v>
      </c>
      <c r="F22">
        <v>17.7</v>
      </c>
      <c r="G22">
        <v>11.7</v>
      </c>
      <c r="H22">
        <v>12.6</v>
      </c>
      <c r="I22">
        <v>16.899999999999999</v>
      </c>
      <c r="J22">
        <v>10.5</v>
      </c>
      <c r="K22">
        <v>65.3</v>
      </c>
      <c r="L22">
        <v>17.7</v>
      </c>
    </row>
    <row r="23" spans="1:12" x14ac:dyDescent="0.25">
      <c r="A23" t="s">
        <v>123</v>
      </c>
      <c r="B23">
        <v>481</v>
      </c>
      <c r="C23">
        <v>23.7</v>
      </c>
      <c r="D23">
        <v>27.5</v>
      </c>
      <c r="E23">
        <v>3.2</v>
      </c>
      <c r="F23">
        <v>33.799999999999997</v>
      </c>
      <c r="G23">
        <v>10.6</v>
      </c>
      <c r="H23">
        <v>10.9</v>
      </c>
      <c r="I23">
        <v>15</v>
      </c>
      <c r="J23">
        <v>1.7</v>
      </c>
      <c r="K23">
        <v>73.3</v>
      </c>
      <c r="L23">
        <v>11.7</v>
      </c>
    </row>
    <row r="24" spans="1:12" x14ac:dyDescent="0.25">
      <c r="A24" t="s">
        <v>124</v>
      </c>
      <c r="B24">
        <v>448.5</v>
      </c>
      <c r="C24">
        <v>17.100000000000001</v>
      </c>
      <c r="D24">
        <v>18.399999999999999</v>
      </c>
      <c r="E24">
        <v>2.5</v>
      </c>
      <c r="F24">
        <v>13.4</v>
      </c>
      <c r="G24">
        <v>8.4</v>
      </c>
      <c r="H24">
        <v>9</v>
      </c>
      <c r="I24">
        <v>33.299999999999997</v>
      </c>
      <c r="J24">
        <v>3.7</v>
      </c>
      <c r="K24">
        <v>77.8</v>
      </c>
      <c r="L24">
        <v>25.9</v>
      </c>
    </row>
    <row r="25" spans="1:12" x14ac:dyDescent="0.25">
      <c r="A25" t="s">
        <v>125</v>
      </c>
      <c r="B25">
        <v>636.29999999999995</v>
      </c>
      <c r="C25">
        <v>20</v>
      </c>
      <c r="D25">
        <v>23.9</v>
      </c>
      <c r="E25">
        <v>2.9</v>
      </c>
      <c r="F25">
        <v>17.2</v>
      </c>
      <c r="G25">
        <v>11.4</v>
      </c>
      <c r="H25">
        <v>12.7</v>
      </c>
      <c r="I25">
        <v>43.9</v>
      </c>
      <c r="J25">
        <v>2.4</v>
      </c>
      <c r="K25">
        <v>73.2</v>
      </c>
      <c r="L25">
        <v>22</v>
      </c>
    </row>
    <row r="26" spans="1:12" x14ac:dyDescent="0.25">
      <c r="A26" t="s">
        <v>126</v>
      </c>
      <c r="B26">
        <v>203.9</v>
      </c>
      <c r="C26">
        <v>12.4</v>
      </c>
      <c r="D26">
        <v>13.8</v>
      </c>
      <c r="E26">
        <v>1.8</v>
      </c>
      <c r="F26">
        <v>9.6999999999999993</v>
      </c>
      <c r="G26">
        <v>5</v>
      </c>
      <c r="H26">
        <v>5.2</v>
      </c>
      <c r="I26">
        <v>13.5</v>
      </c>
      <c r="J26">
        <v>0</v>
      </c>
      <c r="K26">
        <v>70.3</v>
      </c>
      <c r="L26">
        <v>13.5</v>
      </c>
    </row>
    <row r="27" spans="1:12" x14ac:dyDescent="0.25">
      <c r="A27" t="s">
        <v>127</v>
      </c>
      <c r="B27">
        <v>516.20000000000005</v>
      </c>
      <c r="C27">
        <v>24.8</v>
      </c>
      <c r="D27">
        <v>29.8</v>
      </c>
      <c r="E27">
        <v>3.7</v>
      </c>
      <c r="F27">
        <v>18</v>
      </c>
      <c r="G27">
        <v>11.2</v>
      </c>
      <c r="H27">
        <v>11.8</v>
      </c>
      <c r="I27">
        <v>16.2</v>
      </c>
      <c r="J27">
        <v>2.7</v>
      </c>
      <c r="K27">
        <v>73</v>
      </c>
      <c r="L27">
        <v>16.2</v>
      </c>
    </row>
    <row r="28" spans="1:12" x14ac:dyDescent="0.25">
      <c r="A28" t="s">
        <v>128</v>
      </c>
      <c r="B28">
        <v>616.1</v>
      </c>
      <c r="C28">
        <v>26.8</v>
      </c>
      <c r="D28">
        <v>33.200000000000003</v>
      </c>
      <c r="E28">
        <v>4.7</v>
      </c>
      <c r="F28">
        <v>21.2</v>
      </c>
      <c r="G28">
        <v>14.5</v>
      </c>
      <c r="H28">
        <v>14.8</v>
      </c>
      <c r="I28">
        <v>5</v>
      </c>
      <c r="J28">
        <v>13.4</v>
      </c>
      <c r="K28">
        <v>71.400000000000006</v>
      </c>
      <c r="L28">
        <v>16.8</v>
      </c>
    </row>
    <row r="29" spans="1:12" x14ac:dyDescent="0.25">
      <c r="A29" t="s">
        <v>129</v>
      </c>
      <c r="B29">
        <v>552.1</v>
      </c>
      <c r="C29">
        <v>17.899999999999999</v>
      </c>
      <c r="D29">
        <v>21.1</v>
      </c>
      <c r="E29">
        <v>3</v>
      </c>
      <c r="F29">
        <v>17.7</v>
      </c>
      <c r="G29">
        <v>11.1</v>
      </c>
      <c r="H29">
        <v>11.8</v>
      </c>
      <c r="I29">
        <v>26.6</v>
      </c>
      <c r="J29">
        <v>7.6</v>
      </c>
      <c r="K29">
        <v>67.099999999999994</v>
      </c>
      <c r="L29">
        <v>7.6</v>
      </c>
    </row>
    <row r="30" spans="1:12" x14ac:dyDescent="0.25">
      <c r="A30" t="s">
        <v>87</v>
      </c>
      <c r="B30">
        <v>532.5</v>
      </c>
      <c r="C30">
        <v>24</v>
      </c>
      <c r="D30">
        <v>28</v>
      </c>
      <c r="E30">
        <v>3.1</v>
      </c>
      <c r="F30">
        <v>17.899999999999999</v>
      </c>
      <c r="G30">
        <v>10.7</v>
      </c>
      <c r="H30">
        <v>11.8</v>
      </c>
      <c r="I30">
        <v>21.8</v>
      </c>
      <c r="J30">
        <v>7.5</v>
      </c>
      <c r="K30">
        <v>67.3</v>
      </c>
      <c r="L30">
        <v>18.3</v>
      </c>
    </row>
    <row r="31" spans="1:12" x14ac:dyDescent="0.25">
      <c r="A31" t="s">
        <v>130</v>
      </c>
      <c r="B31">
        <v>970.3</v>
      </c>
      <c r="C31">
        <v>54.3</v>
      </c>
      <c r="D31">
        <v>61.2</v>
      </c>
      <c r="E31">
        <v>4.2</v>
      </c>
      <c r="F31">
        <v>29.2</v>
      </c>
      <c r="G31">
        <v>18</v>
      </c>
      <c r="H31">
        <v>21.3</v>
      </c>
      <c r="I31">
        <v>39</v>
      </c>
      <c r="J31">
        <v>3.9</v>
      </c>
      <c r="K31">
        <v>45.2</v>
      </c>
      <c r="L31">
        <v>16.2</v>
      </c>
    </row>
    <row r="32" spans="1:12" x14ac:dyDescent="0.25">
      <c r="A32" t="s">
        <v>131</v>
      </c>
      <c r="B32">
        <v>468.6</v>
      </c>
      <c r="C32">
        <v>19.5</v>
      </c>
      <c r="D32">
        <v>23.1</v>
      </c>
      <c r="E32">
        <v>2.9</v>
      </c>
      <c r="F32">
        <v>16.2</v>
      </c>
      <c r="G32">
        <v>9.6</v>
      </c>
      <c r="H32">
        <v>10.4</v>
      </c>
      <c r="I32">
        <v>19.3</v>
      </c>
      <c r="J32">
        <v>8</v>
      </c>
      <c r="K32">
        <v>70.5</v>
      </c>
      <c r="L32">
        <v>18.600000000000001</v>
      </c>
    </row>
  </sheetData>
  <mergeCells count="3">
    <mergeCell ref="A2:A4"/>
    <mergeCell ref="I2:L3"/>
    <mergeCell ref="A1:L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K32"/>
  <sheetViews>
    <sheetView workbookViewId="0"/>
  </sheetViews>
  <sheetFormatPr defaultRowHeight="15" x14ac:dyDescent="0.25"/>
  <cols>
    <col min="1" max="1" width="28.7109375" customWidth="1"/>
    <col min="2" max="2" width="15.140625" customWidth="1"/>
    <col min="3" max="3" width="15.28515625" customWidth="1"/>
    <col min="4" max="4" width="15.140625" customWidth="1"/>
    <col min="5" max="5" width="15.28515625" customWidth="1"/>
    <col min="6" max="6" width="15.140625" customWidth="1"/>
    <col min="7" max="7" width="15.28515625" customWidth="1"/>
    <col min="8" max="8" width="15.140625" customWidth="1"/>
    <col min="9" max="9" width="15.28515625" customWidth="1"/>
    <col min="10" max="10" width="15.140625" customWidth="1"/>
    <col min="11" max="11" width="15.28515625" customWidth="1"/>
  </cols>
  <sheetData>
    <row r="1" spans="1:11" x14ac:dyDescent="0.25">
      <c r="A1" s="27" t="s">
        <v>385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7" t="s">
        <v>104</v>
      </c>
      <c r="B2" t="s">
        <v>386</v>
      </c>
      <c r="C2" t="s">
        <v>386</v>
      </c>
      <c r="D2" t="s">
        <v>386</v>
      </c>
      <c r="E2" t="s">
        <v>386</v>
      </c>
      <c r="F2" t="s">
        <v>77</v>
      </c>
      <c r="G2" t="s">
        <v>387</v>
      </c>
      <c r="H2" s="27" t="s">
        <v>388</v>
      </c>
      <c r="I2" s="27"/>
      <c r="J2" s="27" t="s">
        <v>389</v>
      </c>
      <c r="K2" s="27"/>
    </row>
    <row r="3" spans="1:11" x14ac:dyDescent="0.25">
      <c r="A3" s="27"/>
      <c r="B3" t="s">
        <v>390</v>
      </c>
      <c r="C3" t="s">
        <v>31</v>
      </c>
      <c r="D3" t="s">
        <v>391</v>
      </c>
      <c r="E3" t="s">
        <v>387</v>
      </c>
      <c r="F3" t="s">
        <v>373</v>
      </c>
      <c r="G3" t="s">
        <v>392</v>
      </c>
      <c r="H3" t="s">
        <v>393</v>
      </c>
      <c r="I3" t="s">
        <v>86</v>
      </c>
      <c r="J3" t="s">
        <v>308</v>
      </c>
      <c r="K3" t="s">
        <v>393</v>
      </c>
    </row>
    <row r="4" spans="1:11" x14ac:dyDescent="0.25">
      <c r="A4" s="27"/>
      <c r="B4" t="s">
        <v>394</v>
      </c>
      <c r="C4" t="s">
        <v>394</v>
      </c>
      <c r="D4" t="s">
        <v>394</v>
      </c>
      <c r="E4" t="s">
        <v>394</v>
      </c>
      <c r="F4" t="s">
        <v>387</v>
      </c>
      <c r="G4" t="s">
        <v>395</v>
      </c>
      <c r="H4" t="s">
        <v>31</v>
      </c>
      <c r="I4" t="s">
        <v>31</v>
      </c>
      <c r="J4" t="s">
        <v>31</v>
      </c>
      <c r="K4" t="s">
        <v>31</v>
      </c>
    </row>
    <row r="5" spans="1:11" x14ac:dyDescent="0.25">
      <c r="A5" t="s">
        <v>105</v>
      </c>
      <c r="B5">
        <v>33.200000000000003</v>
      </c>
      <c r="C5">
        <v>27.9</v>
      </c>
      <c r="D5">
        <v>30.1</v>
      </c>
      <c r="E5">
        <v>41.6</v>
      </c>
      <c r="F5">
        <v>1.4</v>
      </c>
      <c r="G5">
        <v>1.4</v>
      </c>
      <c r="H5">
        <v>16</v>
      </c>
      <c r="I5">
        <v>51.3</v>
      </c>
      <c r="J5">
        <v>57.4</v>
      </c>
      <c r="K5">
        <v>19.3</v>
      </c>
    </row>
    <row r="6" spans="1:11" x14ac:dyDescent="0.25">
      <c r="A6" t="s">
        <v>106</v>
      </c>
      <c r="B6">
        <v>46.8</v>
      </c>
      <c r="C6">
        <v>35.4</v>
      </c>
      <c r="D6">
        <v>30.6</v>
      </c>
      <c r="E6">
        <v>47.2</v>
      </c>
      <c r="F6">
        <v>1.5</v>
      </c>
      <c r="G6">
        <v>1.2</v>
      </c>
      <c r="H6">
        <v>24.4</v>
      </c>
      <c r="I6">
        <v>57.8</v>
      </c>
      <c r="J6">
        <v>64</v>
      </c>
      <c r="K6">
        <v>38.4</v>
      </c>
    </row>
    <row r="7" spans="1:11" x14ac:dyDescent="0.25">
      <c r="A7" t="s">
        <v>107</v>
      </c>
      <c r="B7">
        <v>54.9</v>
      </c>
      <c r="C7">
        <v>38.799999999999997</v>
      </c>
      <c r="D7">
        <v>36.1</v>
      </c>
      <c r="E7">
        <v>47.9</v>
      </c>
      <c r="F7">
        <v>1.3</v>
      </c>
      <c r="G7">
        <v>1.2</v>
      </c>
      <c r="H7">
        <v>29.3</v>
      </c>
      <c r="I7">
        <v>57.1</v>
      </c>
      <c r="J7">
        <v>64.5</v>
      </c>
      <c r="K7">
        <v>39.1</v>
      </c>
    </row>
    <row r="8" spans="1:11" x14ac:dyDescent="0.25">
      <c r="A8" t="s">
        <v>108</v>
      </c>
      <c r="B8">
        <v>40.6</v>
      </c>
      <c r="C8">
        <v>33.200000000000003</v>
      </c>
      <c r="D8">
        <v>33.1</v>
      </c>
      <c r="E8">
        <v>48.5</v>
      </c>
      <c r="F8">
        <v>1.5</v>
      </c>
      <c r="G8">
        <v>1.2</v>
      </c>
      <c r="H8">
        <v>18.2</v>
      </c>
      <c r="I8">
        <v>45.4</v>
      </c>
      <c r="J8">
        <v>50.4</v>
      </c>
      <c r="K8">
        <v>22.9</v>
      </c>
    </row>
    <row r="9" spans="1:11" x14ac:dyDescent="0.25">
      <c r="A9" t="s">
        <v>109</v>
      </c>
      <c r="B9">
        <v>50.1</v>
      </c>
      <c r="C9">
        <v>40.799999999999997</v>
      </c>
      <c r="D9">
        <v>37.9</v>
      </c>
      <c r="E9">
        <v>50</v>
      </c>
      <c r="F9">
        <v>1.3</v>
      </c>
      <c r="G9">
        <v>1.2</v>
      </c>
      <c r="H9">
        <v>18.5</v>
      </c>
      <c r="I9">
        <v>41.7</v>
      </c>
      <c r="J9">
        <v>47.1</v>
      </c>
      <c r="K9">
        <v>18.2</v>
      </c>
    </row>
    <row r="10" spans="1:11" x14ac:dyDescent="0.25">
      <c r="A10" t="s">
        <v>110</v>
      </c>
      <c r="B10">
        <v>41.8</v>
      </c>
      <c r="C10">
        <v>35.200000000000003</v>
      </c>
      <c r="D10">
        <v>30.3</v>
      </c>
      <c r="E10">
        <v>40.9</v>
      </c>
      <c r="F10">
        <v>1.4</v>
      </c>
      <c r="G10">
        <v>1.5</v>
      </c>
      <c r="H10">
        <v>15.9</v>
      </c>
      <c r="I10">
        <v>53</v>
      </c>
      <c r="J10">
        <v>57.6</v>
      </c>
      <c r="K10">
        <v>28.4</v>
      </c>
    </row>
    <row r="11" spans="1:11" x14ac:dyDescent="0.25">
      <c r="A11" t="s">
        <v>111</v>
      </c>
      <c r="B11">
        <v>33.4</v>
      </c>
      <c r="C11">
        <v>27.1</v>
      </c>
      <c r="D11">
        <v>31.5</v>
      </c>
      <c r="E11">
        <v>37.200000000000003</v>
      </c>
      <c r="F11">
        <v>1.2</v>
      </c>
      <c r="G11">
        <v>1.5</v>
      </c>
      <c r="H11">
        <v>18.8</v>
      </c>
      <c r="I11">
        <v>46.1</v>
      </c>
      <c r="J11">
        <v>52.2</v>
      </c>
      <c r="K11">
        <v>20.100000000000001</v>
      </c>
    </row>
    <row r="12" spans="1:11" x14ac:dyDescent="0.25">
      <c r="A12" t="s">
        <v>112</v>
      </c>
      <c r="B12">
        <v>66.3</v>
      </c>
      <c r="C12">
        <v>49.3</v>
      </c>
      <c r="D12">
        <v>37.1</v>
      </c>
      <c r="E12">
        <v>50.8</v>
      </c>
      <c r="F12">
        <v>1.4</v>
      </c>
      <c r="G12">
        <v>1.2</v>
      </c>
      <c r="H12">
        <v>25.7</v>
      </c>
      <c r="I12">
        <v>54.8</v>
      </c>
      <c r="J12">
        <v>64</v>
      </c>
      <c r="K12">
        <v>28.5</v>
      </c>
    </row>
    <row r="13" spans="1:11" x14ac:dyDescent="0.25">
      <c r="A13" t="s">
        <v>113</v>
      </c>
      <c r="B13">
        <v>25.8</v>
      </c>
      <c r="C13">
        <v>19.8</v>
      </c>
      <c r="D13">
        <v>29.8</v>
      </c>
      <c r="E13">
        <v>34.6</v>
      </c>
      <c r="F13">
        <v>1.2</v>
      </c>
      <c r="G13">
        <v>1.7</v>
      </c>
      <c r="H13">
        <v>23.1</v>
      </c>
      <c r="I13">
        <v>47.3</v>
      </c>
      <c r="J13">
        <v>55.5</v>
      </c>
      <c r="K13">
        <v>20</v>
      </c>
    </row>
    <row r="14" spans="1:11" x14ac:dyDescent="0.25">
      <c r="A14" t="s">
        <v>114</v>
      </c>
      <c r="B14">
        <v>26.1</v>
      </c>
      <c r="C14">
        <v>22.2</v>
      </c>
      <c r="D14">
        <v>20.3</v>
      </c>
      <c r="E14">
        <v>30.8</v>
      </c>
      <c r="F14">
        <v>1.5</v>
      </c>
      <c r="G14">
        <v>1.8</v>
      </c>
      <c r="H14">
        <v>14.7</v>
      </c>
      <c r="I14">
        <v>47.1</v>
      </c>
      <c r="J14">
        <v>50.7</v>
      </c>
      <c r="K14">
        <v>25.9</v>
      </c>
    </row>
    <row r="15" spans="1:11" x14ac:dyDescent="0.25">
      <c r="A15" t="s">
        <v>115</v>
      </c>
      <c r="B15">
        <v>42.6</v>
      </c>
      <c r="C15">
        <v>36.6</v>
      </c>
      <c r="D15">
        <v>28.8</v>
      </c>
      <c r="E15">
        <v>45.8</v>
      </c>
      <c r="F15">
        <v>1.6</v>
      </c>
      <c r="G15">
        <v>1.3</v>
      </c>
      <c r="H15">
        <v>14.2</v>
      </c>
      <c r="I15">
        <v>63</v>
      </c>
      <c r="J15">
        <v>67.400000000000006</v>
      </c>
      <c r="K15">
        <v>36.299999999999997</v>
      </c>
    </row>
    <row r="16" spans="1:11" x14ac:dyDescent="0.25">
      <c r="A16" t="s">
        <v>116</v>
      </c>
      <c r="B16">
        <v>25.7</v>
      </c>
      <c r="C16">
        <v>24.1</v>
      </c>
      <c r="D16">
        <v>22.2</v>
      </c>
      <c r="E16">
        <v>33.6</v>
      </c>
      <c r="F16">
        <v>1.5</v>
      </c>
      <c r="G16">
        <v>1.7</v>
      </c>
      <c r="H16">
        <v>6.3</v>
      </c>
      <c r="I16">
        <v>48.7</v>
      </c>
      <c r="J16">
        <v>50.4</v>
      </c>
      <c r="K16">
        <v>23.7</v>
      </c>
    </row>
    <row r="17" spans="1:11" x14ac:dyDescent="0.25">
      <c r="A17" t="s">
        <v>117</v>
      </c>
      <c r="B17">
        <v>38.5</v>
      </c>
      <c r="C17">
        <v>30.4</v>
      </c>
      <c r="D17">
        <v>24.7</v>
      </c>
      <c r="E17">
        <v>35.6</v>
      </c>
      <c r="F17">
        <v>1.4</v>
      </c>
      <c r="G17">
        <v>1.6</v>
      </c>
      <c r="H17">
        <v>21</v>
      </c>
      <c r="I17">
        <v>42.2</v>
      </c>
      <c r="J17">
        <v>46.8</v>
      </c>
      <c r="K17">
        <v>24.5</v>
      </c>
    </row>
    <row r="18" spans="1:11" x14ac:dyDescent="0.25">
      <c r="A18" t="s">
        <v>118</v>
      </c>
      <c r="B18">
        <v>35.799999999999997</v>
      </c>
      <c r="C18">
        <v>31.6</v>
      </c>
      <c r="D18">
        <v>29.2</v>
      </c>
      <c r="E18">
        <v>39.700000000000003</v>
      </c>
      <c r="F18">
        <v>1.4</v>
      </c>
      <c r="G18">
        <v>1.4</v>
      </c>
      <c r="H18">
        <v>11.7</v>
      </c>
      <c r="I18">
        <v>55.7</v>
      </c>
      <c r="J18">
        <v>58.7</v>
      </c>
      <c r="K18">
        <v>33.299999999999997</v>
      </c>
    </row>
    <row r="19" spans="1:11" x14ac:dyDescent="0.25">
      <c r="A19" t="s">
        <v>119</v>
      </c>
      <c r="B19">
        <v>41.2</v>
      </c>
      <c r="C19">
        <v>35.5</v>
      </c>
      <c r="D19">
        <v>42.4</v>
      </c>
      <c r="E19">
        <v>62.1</v>
      </c>
      <c r="F19">
        <v>1.5</v>
      </c>
      <c r="G19">
        <v>0.9</v>
      </c>
      <c r="H19">
        <v>13.9</v>
      </c>
      <c r="I19">
        <v>71.3</v>
      </c>
      <c r="J19">
        <v>76</v>
      </c>
      <c r="K19">
        <v>42.4</v>
      </c>
    </row>
    <row r="20" spans="1:11" x14ac:dyDescent="0.25">
      <c r="A20" t="s">
        <v>120</v>
      </c>
      <c r="B20">
        <v>34</v>
      </c>
      <c r="C20">
        <v>28.7</v>
      </c>
      <c r="D20">
        <v>33.200000000000003</v>
      </c>
      <c r="E20">
        <v>35.4</v>
      </c>
      <c r="F20">
        <v>1.1000000000000001</v>
      </c>
      <c r="G20">
        <v>1.6</v>
      </c>
      <c r="H20">
        <v>15.5</v>
      </c>
      <c r="I20">
        <v>53.2</v>
      </c>
      <c r="J20">
        <v>56.5</v>
      </c>
      <c r="K20">
        <v>35.4</v>
      </c>
    </row>
    <row r="21" spans="1:11" x14ac:dyDescent="0.25">
      <c r="A21" t="s">
        <v>121</v>
      </c>
      <c r="B21">
        <v>31</v>
      </c>
      <c r="C21">
        <v>26</v>
      </c>
      <c r="D21">
        <v>24</v>
      </c>
      <c r="E21">
        <v>33.4</v>
      </c>
      <c r="F21">
        <v>1.4</v>
      </c>
      <c r="G21">
        <v>4.2</v>
      </c>
      <c r="H21">
        <v>16.3</v>
      </c>
      <c r="I21">
        <v>50.6</v>
      </c>
      <c r="J21">
        <v>55.7</v>
      </c>
      <c r="K21">
        <v>24.6</v>
      </c>
    </row>
    <row r="22" spans="1:11" x14ac:dyDescent="0.25">
      <c r="A22" t="s">
        <v>122</v>
      </c>
      <c r="B22">
        <v>55.1</v>
      </c>
      <c r="C22">
        <v>37.5</v>
      </c>
      <c r="D22">
        <v>32.700000000000003</v>
      </c>
      <c r="E22">
        <v>41.9</v>
      </c>
      <c r="F22">
        <v>1.3</v>
      </c>
      <c r="G22">
        <v>1.4</v>
      </c>
      <c r="H22">
        <v>31.9</v>
      </c>
      <c r="I22">
        <v>42.2</v>
      </c>
      <c r="J22">
        <v>49.8</v>
      </c>
      <c r="K22">
        <v>25.9</v>
      </c>
    </row>
    <row r="23" spans="1:11" x14ac:dyDescent="0.25">
      <c r="A23" t="s">
        <v>123</v>
      </c>
      <c r="B23">
        <v>44.6</v>
      </c>
      <c r="C23">
        <v>34.799999999999997</v>
      </c>
      <c r="D23">
        <v>29.4</v>
      </c>
      <c r="E23">
        <v>43.6</v>
      </c>
      <c r="F23">
        <v>1.5</v>
      </c>
      <c r="G23">
        <v>1.3</v>
      </c>
      <c r="H23">
        <v>21.9</v>
      </c>
      <c r="I23">
        <v>48.7</v>
      </c>
      <c r="J23">
        <v>54.1</v>
      </c>
      <c r="K23">
        <v>29.3</v>
      </c>
    </row>
    <row r="24" spans="1:11" x14ac:dyDescent="0.25">
      <c r="A24" t="s">
        <v>124</v>
      </c>
      <c r="B24">
        <v>51.3</v>
      </c>
      <c r="C24">
        <v>46.3</v>
      </c>
      <c r="D24">
        <v>28.7</v>
      </c>
      <c r="E24">
        <v>46.3</v>
      </c>
      <c r="F24">
        <v>1.6</v>
      </c>
      <c r="G24">
        <v>1.4</v>
      </c>
      <c r="H24">
        <v>9.9</v>
      </c>
      <c r="I24">
        <v>44.5</v>
      </c>
      <c r="J24">
        <v>47</v>
      </c>
      <c r="K24">
        <v>21.8</v>
      </c>
    </row>
    <row r="25" spans="1:11" x14ac:dyDescent="0.25">
      <c r="A25" t="s">
        <v>125</v>
      </c>
      <c r="B25">
        <v>58</v>
      </c>
      <c r="C25">
        <v>39.799999999999997</v>
      </c>
      <c r="D25">
        <v>36</v>
      </c>
      <c r="E25">
        <v>50.8</v>
      </c>
      <c r="F25">
        <v>1.4</v>
      </c>
      <c r="G25">
        <v>1.1000000000000001</v>
      </c>
      <c r="H25">
        <v>31.4</v>
      </c>
      <c r="I25">
        <v>61.4</v>
      </c>
      <c r="J25">
        <v>68.900000000000006</v>
      </c>
      <c r="K25">
        <v>44.9</v>
      </c>
    </row>
    <row r="26" spans="1:11" x14ac:dyDescent="0.25">
      <c r="A26" t="s">
        <v>126</v>
      </c>
      <c r="B26">
        <v>32.700000000000003</v>
      </c>
      <c r="C26">
        <v>29.3</v>
      </c>
      <c r="D26">
        <v>22.2</v>
      </c>
      <c r="E26">
        <v>33.9</v>
      </c>
      <c r="F26">
        <v>1.5</v>
      </c>
      <c r="G26">
        <v>1.7</v>
      </c>
      <c r="H26">
        <v>10.199999999999999</v>
      </c>
      <c r="I26">
        <v>58.5</v>
      </c>
      <c r="J26">
        <v>61.3</v>
      </c>
      <c r="K26">
        <v>33.299999999999997</v>
      </c>
    </row>
    <row r="27" spans="1:11" x14ac:dyDescent="0.25">
      <c r="A27" t="s">
        <v>127</v>
      </c>
      <c r="B27">
        <v>43.8</v>
      </c>
      <c r="C27">
        <v>33</v>
      </c>
      <c r="D27">
        <v>29.3</v>
      </c>
      <c r="E27">
        <v>40.5</v>
      </c>
      <c r="F27">
        <v>1.4</v>
      </c>
      <c r="G27">
        <v>1.4</v>
      </c>
      <c r="H27">
        <v>24.7</v>
      </c>
      <c r="I27">
        <v>36.6</v>
      </c>
      <c r="J27">
        <v>41.8</v>
      </c>
      <c r="K27">
        <v>20.6</v>
      </c>
    </row>
    <row r="28" spans="1:11" x14ac:dyDescent="0.25">
      <c r="A28" t="s">
        <v>128</v>
      </c>
      <c r="B28">
        <v>40.4</v>
      </c>
      <c r="C28">
        <v>30.2</v>
      </c>
      <c r="D28">
        <v>32.9</v>
      </c>
      <c r="E28">
        <v>38</v>
      </c>
      <c r="F28">
        <v>1.2</v>
      </c>
      <c r="G28">
        <v>1.7</v>
      </c>
      <c r="H28">
        <v>25.1</v>
      </c>
      <c r="I28">
        <v>38.700000000000003</v>
      </c>
      <c r="J28">
        <v>44.3</v>
      </c>
      <c r="K28">
        <v>22</v>
      </c>
    </row>
    <row r="29" spans="1:11" x14ac:dyDescent="0.25">
      <c r="A29" t="s">
        <v>129</v>
      </c>
      <c r="B29">
        <v>54.3</v>
      </c>
      <c r="C29">
        <v>42.2</v>
      </c>
      <c r="D29">
        <v>34.6</v>
      </c>
      <c r="E29">
        <v>48.4</v>
      </c>
      <c r="F29">
        <v>1.4</v>
      </c>
      <c r="G29">
        <v>1.2</v>
      </c>
      <c r="H29">
        <v>22.3</v>
      </c>
      <c r="I29">
        <v>54.1</v>
      </c>
      <c r="J29">
        <v>61</v>
      </c>
      <c r="K29">
        <v>30.3</v>
      </c>
    </row>
    <row r="30" spans="1:11" x14ac:dyDescent="0.25">
      <c r="A30" t="s">
        <v>87</v>
      </c>
      <c r="B30">
        <v>45.1</v>
      </c>
      <c r="C30">
        <v>35.299999999999997</v>
      </c>
      <c r="D30">
        <v>32.4</v>
      </c>
      <c r="E30">
        <v>44.7</v>
      </c>
      <c r="F30">
        <v>1.4</v>
      </c>
      <c r="G30">
        <v>1.3</v>
      </c>
      <c r="H30">
        <v>21.7</v>
      </c>
      <c r="I30">
        <v>51.8</v>
      </c>
      <c r="J30">
        <v>57.7</v>
      </c>
      <c r="K30">
        <v>30.3</v>
      </c>
    </row>
    <row r="31" spans="1:11" x14ac:dyDescent="0.25">
      <c r="A31" t="s">
        <v>130</v>
      </c>
      <c r="B31">
        <v>37.299999999999997</v>
      </c>
      <c r="C31">
        <v>31.1</v>
      </c>
      <c r="D31">
        <v>37.700000000000003</v>
      </c>
      <c r="E31">
        <v>51.7</v>
      </c>
      <c r="F31">
        <v>1.4</v>
      </c>
      <c r="G31">
        <v>1.1000000000000001</v>
      </c>
      <c r="H31">
        <v>16.7</v>
      </c>
      <c r="I31">
        <v>65.900000000000006</v>
      </c>
      <c r="J31">
        <v>70.8</v>
      </c>
      <c r="K31">
        <v>41.9</v>
      </c>
    </row>
    <row r="32" spans="1:11" x14ac:dyDescent="0.25">
      <c r="A32" t="s">
        <v>131</v>
      </c>
      <c r="B32">
        <v>47</v>
      </c>
      <c r="C32">
        <v>36.299999999999997</v>
      </c>
      <c r="D32">
        <v>31.6</v>
      </c>
      <c r="E32">
        <v>43.6</v>
      </c>
      <c r="F32">
        <v>1.4</v>
      </c>
      <c r="G32">
        <v>1.4</v>
      </c>
      <c r="H32">
        <v>22.8</v>
      </c>
      <c r="I32">
        <v>48.5</v>
      </c>
      <c r="J32">
        <v>54.5</v>
      </c>
      <c r="K32">
        <v>28.3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7030A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27" t="s">
        <v>104</v>
      </c>
      <c r="B1" s="27" t="s">
        <v>222</v>
      </c>
      <c r="C1" s="27"/>
      <c r="D1" s="27" t="s">
        <v>396</v>
      </c>
      <c r="E1" s="27"/>
      <c r="F1" s="27" t="s">
        <v>397</v>
      </c>
      <c r="G1" s="27"/>
      <c r="H1" s="27" t="s">
        <v>398</v>
      </c>
      <c r="I1" s="27"/>
      <c r="J1" s="27" t="s">
        <v>399</v>
      </c>
      <c r="K1" s="27"/>
      <c r="L1" s="27"/>
      <c r="M1" s="27"/>
    </row>
    <row r="2" spans="1:13" x14ac:dyDescent="0.25">
      <c r="A2" s="27"/>
      <c r="B2" t="s">
        <v>84</v>
      </c>
      <c r="C2" t="s">
        <v>85</v>
      </c>
      <c r="D2" t="s">
        <v>84</v>
      </c>
      <c r="E2" t="s">
        <v>85</v>
      </c>
      <c r="F2" t="s">
        <v>84</v>
      </c>
      <c r="G2" t="s">
        <v>85</v>
      </c>
      <c r="H2" t="s">
        <v>84</v>
      </c>
      <c r="I2" t="s">
        <v>85</v>
      </c>
      <c r="J2" t="s">
        <v>222</v>
      </c>
      <c r="K2" t="s">
        <v>400</v>
      </c>
      <c r="L2" t="s">
        <v>401</v>
      </c>
      <c r="M2" t="s">
        <v>402</v>
      </c>
    </row>
    <row r="3" spans="1:13" x14ac:dyDescent="0.25">
      <c r="A3" t="s">
        <v>105</v>
      </c>
      <c r="B3">
        <v>16461</v>
      </c>
      <c r="C3">
        <v>8039</v>
      </c>
      <c r="D3">
        <v>103525</v>
      </c>
      <c r="E3">
        <v>50225</v>
      </c>
      <c r="F3">
        <v>58512</v>
      </c>
      <c r="G3">
        <v>28221</v>
      </c>
      <c r="H3">
        <v>62353</v>
      </c>
      <c r="I3">
        <v>30131</v>
      </c>
      <c r="J3">
        <v>104.8</v>
      </c>
      <c r="K3">
        <v>106.1</v>
      </c>
      <c r="L3">
        <v>107.3</v>
      </c>
      <c r="M3">
        <v>106.9</v>
      </c>
    </row>
    <row r="4" spans="1:13" x14ac:dyDescent="0.25">
      <c r="A4" t="s">
        <v>106</v>
      </c>
      <c r="B4">
        <v>24736</v>
      </c>
      <c r="C4">
        <v>11911</v>
      </c>
      <c r="D4">
        <v>157226</v>
      </c>
      <c r="E4">
        <v>75840</v>
      </c>
      <c r="F4">
        <v>91224</v>
      </c>
      <c r="G4">
        <v>44088</v>
      </c>
      <c r="H4">
        <v>98706</v>
      </c>
      <c r="I4">
        <v>47411</v>
      </c>
      <c r="J4">
        <v>107.7</v>
      </c>
      <c r="K4">
        <v>107.3</v>
      </c>
      <c r="L4">
        <v>106.9</v>
      </c>
      <c r="M4">
        <v>108.2</v>
      </c>
    </row>
    <row r="5" spans="1:13" x14ac:dyDescent="0.25">
      <c r="A5" t="s">
        <v>107</v>
      </c>
      <c r="B5">
        <v>18874</v>
      </c>
      <c r="C5">
        <v>9185</v>
      </c>
      <c r="D5">
        <v>120717</v>
      </c>
      <c r="E5">
        <v>58767</v>
      </c>
      <c r="F5">
        <v>68241</v>
      </c>
      <c r="G5">
        <v>33016</v>
      </c>
      <c r="H5">
        <v>70837</v>
      </c>
      <c r="I5">
        <v>33662</v>
      </c>
      <c r="J5">
        <v>105.5</v>
      </c>
      <c r="K5">
        <v>105.4</v>
      </c>
      <c r="L5">
        <v>106.7</v>
      </c>
      <c r="M5">
        <v>110.4</v>
      </c>
    </row>
    <row r="6" spans="1:13" x14ac:dyDescent="0.25">
      <c r="A6" t="s">
        <v>108</v>
      </c>
      <c r="B6">
        <v>11640</v>
      </c>
      <c r="C6">
        <v>5678</v>
      </c>
      <c r="D6">
        <v>73482</v>
      </c>
      <c r="E6">
        <v>35807</v>
      </c>
      <c r="F6">
        <v>41471</v>
      </c>
      <c r="G6">
        <v>20055</v>
      </c>
      <c r="H6">
        <v>42553</v>
      </c>
      <c r="I6">
        <v>20258</v>
      </c>
      <c r="J6">
        <v>105</v>
      </c>
      <c r="K6">
        <v>105.2</v>
      </c>
      <c r="L6">
        <v>106.8</v>
      </c>
      <c r="M6">
        <v>110.1</v>
      </c>
    </row>
    <row r="7" spans="1:13" x14ac:dyDescent="0.25">
      <c r="A7" t="s">
        <v>109</v>
      </c>
      <c r="B7">
        <v>17200</v>
      </c>
      <c r="C7">
        <v>8442</v>
      </c>
      <c r="D7">
        <v>110761</v>
      </c>
      <c r="E7">
        <v>54321</v>
      </c>
      <c r="F7">
        <v>62401</v>
      </c>
      <c r="G7">
        <v>30209</v>
      </c>
      <c r="H7">
        <v>62830</v>
      </c>
      <c r="I7">
        <v>29519</v>
      </c>
      <c r="J7">
        <v>103.7</v>
      </c>
      <c r="K7">
        <v>103.9</v>
      </c>
      <c r="L7">
        <v>106.6</v>
      </c>
      <c r="M7">
        <v>112.8</v>
      </c>
    </row>
    <row r="8" spans="1:13" x14ac:dyDescent="0.25">
      <c r="A8" t="s">
        <v>110</v>
      </c>
      <c r="B8">
        <v>14900</v>
      </c>
      <c r="C8">
        <v>7198</v>
      </c>
      <c r="D8">
        <v>95443</v>
      </c>
      <c r="E8">
        <v>46290</v>
      </c>
      <c r="F8">
        <v>53145</v>
      </c>
      <c r="G8">
        <v>25681</v>
      </c>
      <c r="H8">
        <v>53982</v>
      </c>
      <c r="I8">
        <v>25433</v>
      </c>
      <c r="J8">
        <v>107</v>
      </c>
      <c r="K8">
        <v>106.2</v>
      </c>
      <c r="L8">
        <v>106.9</v>
      </c>
      <c r="M8">
        <v>112.3</v>
      </c>
    </row>
    <row r="9" spans="1:13" x14ac:dyDescent="0.25">
      <c r="A9" t="s">
        <v>111</v>
      </c>
      <c r="B9">
        <v>12846</v>
      </c>
      <c r="C9">
        <v>6212</v>
      </c>
      <c r="D9">
        <v>84540</v>
      </c>
      <c r="E9">
        <v>40872</v>
      </c>
      <c r="F9">
        <v>48903</v>
      </c>
      <c r="G9">
        <v>23561</v>
      </c>
      <c r="H9">
        <v>49701</v>
      </c>
      <c r="I9">
        <v>23608</v>
      </c>
      <c r="J9">
        <v>106.8</v>
      </c>
      <c r="K9">
        <v>106.8</v>
      </c>
      <c r="L9">
        <v>107.6</v>
      </c>
      <c r="M9">
        <v>110.5</v>
      </c>
    </row>
    <row r="10" spans="1:13" x14ac:dyDescent="0.25">
      <c r="A10" t="s">
        <v>112</v>
      </c>
      <c r="B10">
        <v>22822</v>
      </c>
      <c r="C10">
        <v>11044</v>
      </c>
      <c r="D10">
        <v>142022</v>
      </c>
      <c r="E10">
        <v>68565</v>
      </c>
      <c r="F10">
        <v>82231</v>
      </c>
      <c r="G10">
        <v>39530</v>
      </c>
      <c r="H10">
        <v>91323</v>
      </c>
      <c r="I10">
        <v>43571</v>
      </c>
      <c r="J10">
        <v>106.6</v>
      </c>
      <c r="K10">
        <v>107.1</v>
      </c>
      <c r="L10">
        <v>108</v>
      </c>
      <c r="M10">
        <v>109.6</v>
      </c>
    </row>
    <row r="11" spans="1:13" x14ac:dyDescent="0.25">
      <c r="A11" t="s">
        <v>113</v>
      </c>
      <c r="B11">
        <v>1103</v>
      </c>
      <c r="C11">
        <v>526</v>
      </c>
      <c r="D11">
        <v>7294</v>
      </c>
      <c r="E11">
        <v>3467</v>
      </c>
      <c r="F11">
        <v>4245</v>
      </c>
      <c r="G11">
        <v>2016</v>
      </c>
      <c r="H11">
        <v>4399</v>
      </c>
      <c r="I11">
        <v>2080</v>
      </c>
      <c r="J11">
        <v>109.7</v>
      </c>
      <c r="K11">
        <v>110.4</v>
      </c>
      <c r="L11">
        <v>110.6</v>
      </c>
      <c r="M11">
        <v>111.5</v>
      </c>
    </row>
    <row r="12" spans="1:13" x14ac:dyDescent="0.25">
      <c r="A12" t="s">
        <v>114</v>
      </c>
      <c r="B12">
        <v>3382</v>
      </c>
      <c r="C12">
        <v>1623</v>
      </c>
      <c r="D12">
        <v>21264</v>
      </c>
      <c r="E12">
        <v>10262</v>
      </c>
      <c r="F12">
        <v>11931</v>
      </c>
      <c r="G12">
        <v>5816</v>
      </c>
      <c r="H12">
        <v>12401</v>
      </c>
      <c r="I12">
        <v>6020</v>
      </c>
      <c r="J12">
        <v>108.4</v>
      </c>
      <c r="K12">
        <v>107.2</v>
      </c>
      <c r="L12">
        <v>105.1</v>
      </c>
      <c r="M12">
        <v>106</v>
      </c>
    </row>
    <row r="13" spans="1:13" x14ac:dyDescent="0.25">
      <c r="A13" t="s">
        <v>115</v>
      </c>
      <c r="B13">
        <v>9114</v>
      </c>
      <c r="C13">
        <v>4470</v>
      </c>
      <c r="D13">
        <v>56104</v>
      </c>
      <c r="E13">
        <v>27611</v>
      </c>
      <c r="F13">
        <v>29369</v>
      </c>
      <c r="G13">
        <v>14415</v>
      </c>
      <c r="H13">
        <v>28820</v>
      </c>
      <c r="I13">
        <v>13815</v>
      </c>
      <c r="J13">
        <v>103.9</v>
      </c>
      <c r="K13">
        <v>103.2</v>
      </c>
      <c r="L13">
        <v>103.7</v>
      </c>
      <c r="M13">
        <v>108.6</v>
      </c>
    </row>
    <row r="14" spans="1:13" x14ac:dyDescent="0.25">
      <c r="A14" t="s">
        <v>116</v>
      </c>
      <c r="B14">
        <v>2239</v>
      </c>
      <c r="C14">
        <v>1092</v>
      </c>
      <c r="D14">
        <v>13601</v>
      </c>
      <c r="E14">
        <v>6657</v>
      </c>
      <c r="F14">
        <v>6790</v>
      </c>
      <c r="G14">
        <v>3345</v>
      </c>
      <c r="H14">
        <v>6579</v>
      </c>
      <c r="I14">
        <v>3222</v>
      </c>
      <c r="J14">
        <v>105</v>
      </c>
      <c r="K14">
        <v>104.3</v>
      </c>
      <c r="L14">
        <v>103</v>
      </c>
      <c r="M14">
        <v>104.2</v>
      </c>
    </row>
    <row r="15" spans="1:13" x14ac:dyDescent="0.25">
      <c r="A15" t="s">
        <v>117</v>
      </c>
      <c r="B15">
        <v>6199</v>
      </c>
      <c r="C15">
        <v>3002</v>
      </c>
      <c r="D15">
        <v>39369</v>
      </c>
      <c r="E15">
        <v>18987</v>
      </c>
      <c r="F15">
        <v>21429</v>
      </c>
      <c r="G15">
        <v>10319</v>
      </c>
      <c r="H15">
        <v>21883</v>
      </c>
      <c r="I15">
        <v>10563</v>
      </c>
      <c r="J15">
        <v>106.5</v>
      </c>
      <c r="K15">
        <v>107.3</v>
      </c>
      <c r="L15">
        <v>107.7</v>
      </c>
      <c r="M15">
        <v>107.2</v>
      </c>
    </row>
    <row r="16" spans="1:13" x14ac:dyDescent="0.25">
      <c r="A16" t="s">
        <v>118</v>
      </c>
      <c r="B16">
        <v>2341</v>
      </c>
      <c r="C16">
        <v>1130</v>
      </c>
      <c r="D16">
        <v>14177</v>
      </c>
      <c r="E16">
        <v>6819</v>
      </c>
      <c r="F16">
        <v>8060</v>
      </c>
      <c r="G16">
        <v>3894</v>
      </c>
      <c r="H16">
        <v>9295</v>
      </c>
      <c r="I16">
        <v>4523</v>
      </c>
      <c r="J16">
        <v>107.2</v>
      </c>
      <c r="K16">
        <v>107.9</v>
      </c>
      <c r="L16">
        <v>107</v>
      </c>
      <c r="M16">
        <v>105.5</v>
      </c>
    </row>
    <row r="17" spans="1:13" x14ac:dyDescent="0.25">
      <c r="A17" t="s">
        <v>119</v>
      </c>
      <c r="B17">
        <v>27732</v>
      </c>
      <c r="C17">
        <v>13343</v>
      </c>
      <c r="D17">
        <v>156796</v>
      </c>
      <c r="E17">
        <v>74611</v>
      </c>
      <c r="F17">
        <v>92010</v>
      </c>
      <c r="G17">
        <v>45368</v>
      </c>
      <c r="H17">
        <v>116095</v>
      </c>
      <c r="I17">
        <v>61547</v>
      </c>
      <c r="J17">
        <v>107.8</v>
      </c>
      <c r="K17">
        <v>110.2</v>
      </c>
      <c r="L17">
        <v>102.8</v>
      </c>
      <c r="M17">
        <v>88.6</v>
      </c>
    </row>
    <row r="18" spans="1:13" x14ac:dyDescent="0.25">
      <c r="A18" t="s">
        <v>120</v>
      </c>
      <c r="B18">
        <v>5118</v>
      </c>
      <c r="C18">
        <v>2470</v>
      </c>
      <c r="D18">
        <v>32310</v>
      </c>
      <c r="E18">
        <v>15583</v>
      </c>
      <c r="F18">
        <v>19282</v>
      </c>
      <c r="G18">
        <v>9342</v>
      </c>
      <c r="H18">
        <v>21691</v>
      </c>
      <c r="I18">
        <v>10531</v>
      </c>
      <c r="J18">
        <v>107.2</v>
      </c>
      <c r="K18">
        <v>107.3</v>
      </c>
      <c r="L18">
        <v>106.4</v>
      </c>
      <c r="M18">
        <v>106</v>
      </c>
    </row>
    <row r="19" spans="1:13" x14ac:dyDescent="0.25">
      <c r="A19" t="s">
        <v>121</v>
      </c>
      <c r="B19">
        <v>4955</v>
      </c>
      <c r="C19">
        <v>2444</v>
      </c>
      <c r="D19">
        <v>30901</v>
      </c>
      <c r="E19">
        <v>15176</v>
      </c>
      <c r="F19">
        <v>16127</v>
      </c>
      <c r="G19">
        <v>7875</v>
      </c>
      <c r="H19">
        <v>15902</v>
      </c>
      <c r="I19">
        <v>7722</v>
      </c>
      <c r="J19">
        <v>102.7</v>
      </c>
      <c r="K19">
        <v>103.6</v>
      </c>
      <c r="L19">
        <v>104.8</v>
      </c>
      <c r="M19">
        <v>105.9</v>
      </c>
    </row>
    <row r="20" spans="1:13" x14ac:dyDescent="0.25">
      <c r="A20" t="s">
        <v>122</v>
      </c>
      <c r="B20">
        <v>19931</v>
      </c>
      <c r="C20">
        <v>9690</v>
      </c>
      <c r="D20">
        <v>130757</v>
      </c>
      <c r="E20">
        <v>63531</v>
      </c>
      <c r="F20">
        <v>74528</v>
      </c>
      <c r="G20">
        <v>35663</v>
      </c>
      <c r="H20">
        <v>74933</v>
      </c>
      <c r="I20">
        <v>34575</v>
      </c>
      <c r="J20">
        <v>105.7</v>
      </c>
      <c r="K20">
        <v>105.8</v>
      </c>
      <c r="L20">
        <v>109</v>
      </c>
      <c r="M20">
        <v>116.7</v>
      </c>
    </row>
    <row r="21" spans="1:13" x14ac:dyDescent="0.25">
      <c r="A21" t="s">
        <v>123</v>
      </c>
      <c r="B21">
        <v>9428</v>
      </c>
      <c r="C21">
        <v>4528</v>
      </c>
      <c r="D21">
        <v>59895</v>
      </c>
      <c r="E21">
        <v>28772</v>
      </c>
      <c r="F21">
        <v>34424</v>
      </c>
      <c r="G21">
        <v>16581</v>
      </c>
      <c r="H21">
        <v>36941</v>
      </c>
      <c r="I21">
        <v>17755</v>
      </c>
      <c r="J21">
        <v>108.2</v>
      </c>
      <c r="K21">
        <v>108.2</v>
      </c>
      <c r="L21">
        <v>107.6</v>
      </c>
      <c r="M21">
        <v>108.1</v>
      </c>
    </row>
    <row r="22" spans="1:13" x14ac:dyDescent="0.25">
      <c r="A22" t="s">
        <v>124</v>
      </c>
      <c r="B22">
        <v>4787</v>
      </c>
      <c r="C22">
        <v>2361</v>
      </c>
      <c r="D22">
        <v>29715</v>
      </c>
      <c r="E22">
        <v>14541</v>
      </c>
      <c r="F22">
        <v>15029</v>
      </c>
      <c r="G22">
        <v>7274</v>
      </c>
      <c r="H22">
        <v>14259</v>
      </c>
      <c r="I22">
        <v>6865</v>
      </c>
      <c r="J22">
        <v>102.8</v>
      </c>
      <c r="K22">
        <v>104.4</v>
      </c>
      <c r="L22">
        <v>106.6</v>
      </c>
      <c r="M22">
        <v>107.7</v>
      </c>
    </row>
    <row r="23" spans="1:13" x14ac:dyDescent="0.25">
      <c r="A23" t="s">
        <v>125</v>
      </c>
      <c r="B23">
        <v>24984</v>
      </c>
      <c r="C23">
        <v>11996</v>
      </c>
      <c r="D23">
        <v>152609</v>
      </c>
      <c r="E23">
        <v>73242</v>
      </c>
      <c r="F23">
        <v>82046</v>
      </c>
      <c r="G23">
        <v>39526</v>
      </c>
      <c r="H23">
        <v>84528</v>
      </c>
      <c r="I23">
        <v>40809</v>
      </c>
      <c r="J23">
        <v>108.3</v>
      </c>
      <c r="K23">
        <v>108.4</v>
      </c>
      <c r="L23">
        <v>107.6</v>
      </c>
      <c r="M23">
        <v>107.1</v>
      </c>
    </row>
    <row r="24" spans="1:13" x14ac:dyDescent="0.25">
      <c r="A24" t="s">
        <v>126</v>
      </c>
      <c r="B24">
        <v>3342</v>
      </c>
      <c r="C24">
        <v>1644</v>
      </c>
      <c r="D24">
        <v>20440</v>
      </c>
      <c r="E24">
        <v>10051</v>
      </c>
      <c r="F24">
        <v>10586</v>
      </c>
      <c r="G24">
        <v>5221</v>
      </c>
      <c r="H24">
        <v>10842</v>
      </c>
      <c r="I24">
        <v>5363</v>
      </c>
      <c r="J24">
        <v>103.3</v>
      </c>
      <c r="K24">
        <v>103.4</v>
      </c>
      <c r="L24">
        <v>102.8</v>
      </c>
      <c r="M24">
        <v>102.2</v>
      </c>
    </row>
    <row r="25" spans="1:13" x14ac:dyDescent="0.25">
      <c r="A25" t="s">
        <v>127</v>
      </c>
      <c r="B25">
        <v>9479</v>
      </c>
      <c r="C25">
        <v>4676</v>
      </c>
      <c r="D25">
        <v>62102</v>
      </c>
      <c r="E25">
        <v>30503</v>
      </c>
      <c r="F25">
        <v>36467</v>
      </c>
      <c r="G25">
        <v>17462</v>
      </c>
      <c r="H25">
        <v>38556</v>
      </c>
      <c r="I25">
        <v>17667</v>
      </c>
      <c r="J25">
        <v>102.7</v>
      </c>
      <c r="K25">
        <v>103.6</v>
      </c>
      <c r="L25">
        <v>108.8</v>
      </c>
      <c r="M25">
        <v>118.2</v>
      </c>
    </row>
    <row r="26" spans="1:13" x14ac:dyDescent="0.25">
      <c r="A26" t="s">
        <v>128</v>
      </c>
      <c r="B26">
        <v>17564</v>
      </c>
      <c r="C26">
        <v>8510</v>
      </c>
      <c r="D26">
        <v>116938</v>
      </c>
      <c r="E26">
        <v>56677</v>
      </c>
      <c r="F26">
        <v>69039</v>
      </c>
      <c r="G26">
        <v>33052</v>
      </c>
      <c r="H26">
        <v>71503</v>
      </c>
      <c r="I26">
        <v>33159</v>
      </c>
      <c r="J26">
        <v>106.4</v>
      </c>
      <c r="K26">
        <v>106.3</v>
      </c>
      <c r="L26">
        <v>108.9</v>
      </c>
      <c r="M26">
        <v>115.6</v>
      </c>
    </row>
    <row r="27" spans="1:13" x14ac:dyDescent="0.25">
      <c r="A27" t="s">
        <v>129</v>
      </c>
      <c r="B27">
        <v>15368</v>
      </c>
      <c r="C27">
        <v>7446</v>
      </c>
      <c r="D27">
        <v>98296</v>
      </c>
      <c r="E27">
        <v>47630</v>
      </c>
      <c r="F27">
        <v>55567</v>
      </c>
      <c r="G27">
        <v>26757</v>
      </c>
      <c r="H27">
        <v>57681</v>
      </c>
      <c r="I27">
        <v>27278</v>
      </c>
      <c r="J27">
        <v>106.4</v>
      </c>
      <c r="K27">
        <v>106.4</v>
      </c>
      <c r="L27">
        <v>107.7</v>
      </c>
      <c r="M27">
        <v>111.5</v>
      </c>
    </row>
    <row r="28" spans="1:13" x14ac:dyDescent="0.25">
      <c r="A28" t="s">
        <v>87</v>
      </c>
      <c r="B28">
        <v>306545</v>
      </c>
      <c r="C28">
        <v>148660</v>
      </c>
      <c r="D28">
        <v>1930284</v>
      </c>
      <c r="E28">
        <v>934807</v>
      </c>
      <c r="F28">
        <v>1093057</v>
      </c>
      <c r="G28">
        <v>528287</v>
      </c>
      <c r="H28">
        <v>1158593</v>
      </c>
      <c r="I28">
        <v>557087</v>
      </c>
      <c r="J28">
        <v>106.2</v>
      </c>
      <c r="K28">
        <v>106.5</v>
      </c>
      <c r="L28">
        <v>106.9</v>
      </c>
      <c r="M28">
        <v>108</v>
      </c>
    </row>
    <row r="29" spans="1:13" x14ac:dyDescent="0.25">
      <c r="A29" t="s">
        <v>265</v>
      </c>
      <c r="B29">
        <v>64543</v>
      </c>
      <c r="C29">
        <v>31102</v>
      </c>
      <c r="D29">
        <v>388562</v>
      </c>
      <c r="E29">
        <v>186285</v>
      </c>
      <c r="F29">
        <v>221931</v>
      </c>
      <c r="G29">
        <v>107826</v>
      </c>
      <c r="H29">
        <v>252564</v>
      </c>
      <c r="I29">
        <v>126680</v>
      </c>
      <c r="J29">
        <v>107.5</v>
      </c>
      <c r="K29">
        <v>108.6</v>
      </c>
      <c r="L29">
        <v>105.8</v>
      </c>
      <c r="M29">
        <v>99.4</v>
      </c>
    </row>
    <row r="30" spans="1:13" x14ac:dyDescent="0.25">
      <c r="A30" t="s">
        <v>266</v>
      </c>
      <c r="B30">
        <v>242002</v>
      </c>
      <c r="C30">
        <v>117558</v>
      </c>
      <c r="D30">
        <v>1541722</v>
      </c>
      <c r="E30">
        <v>748522</v>
      </c>
      <c r="F30">
        <v>871126</v>
      </c>
      <c r="G30">
        <v>420461</v>
      </c>
      <c r="H30">
        <v>906029</v>
      </c>
      <c r="I30">
        <v>430407</v>
      </c>
      <c r="J30">
        <v>105.9</v>
      </c>
      <c r="K30">
        <v>106</v>
      </c>
      <c r="L30">
        <v>107.2</v>
      </c>
      <c r="M30">
        <v>110.5</v>
      </c>
    </row>
  </sheetData>
  <mergeCells count="6">
    <mergeCell ref="A1:A2"/>
    <mergeCell ref="D1:E1"/>
    <mergeCell ref="H1:I1"/>
    <mergeCell ref="B1:C1"/>
    <mergeCell ref="F1:G1"/>
    <mergeCell ref="J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7030A0"/>
  </sheetPr>
  <dimension ref="A1:K32"/>
  <sheetViews>
    <sheetView workbookViewId="0"/>
  </sheetViews>
  <sheetFormatPr defaultRowHeight="15" x14ac:dyDescent="0.25"/>
  <cols>
    <col min="1" max="1" width="25.28515625" customWidth="1"/>
    <col min="2" max="2" width="15.42578125" customWidth="1"/>
    <col min="6" max="6" width="15.85546875" customWidth="1"/>
    <col min="7" max="7" width="15.42578125" customWidth="1"/>
  </cols>
  <sheetData>
    <row r="1" spans="1:11" x14ac:dyDescent="0.25">
      <c r="A1" s="27" t="s">
        <v>403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7" t="s">
        <v>104</v>
      </c>
      <c r="B2" t="s">
        <v>386</v>
      </c>
      <c r="C2" t="s">
        <v>386</v>
      </c>
      <c r="D2" t="s">
        <v>386</v>
      </c>
      <c r="E2" t="s">
        <v>386</v>
      </c>
      <c r="F2" t="s">
        <v>77</v>
      </c>
      <c r="G2" t="s">
        <v>387</v>
      </c>
      <c r="H2" s="27" t="s">
        <v>388</v>
      </c>
      <c r="I2" s="27"/>
      <c r="J2" s="27" t="s">
        <v>389</v>
      </c>
      <c r="K2" s="27"/>
    </row>
    <row r="3" spans="1:11" x14ac:dyDescent="0.25">
      <c r="A3" s="27"/>
      <c r="B3" t="s">
        <v>390</v>
      </c>
      <c r="C3" t="s">
        <v>31</v>
      </c>
      <c r="D3" t="s">
        <v>391</v>
      </c>
      <c r="E3" t="s">
        <v>387</v>
      </c>
      <c r="F3" t="s">
        <v>373</v>
      </c>
      <c r="G3" t="s">
        <v>392</v>
      </c>
      <c r="H3" t="s">
        <v>393</v>
      </c>
      <c r="I3" t="s">
        <v>86</v>
      </c>
      <c r="J3" t="s">
        <v>308</v>
      </c>
      <c r="K3" t="s">
        <v>393</v>
      </c>
    </row>
    <row r="4" spans="1:11" x14ac:dyDescent="0.25">
      <c r="A4" s="27"/>
      <c r="B4" t="s">
        <v>394</v>
      </c>
      <c r="C4" t="s">
        <v>394</v>
      </c>
      <c r="D4" t="s">
        <v>394</v>
      </c>
      <c r="E4" t="s">
        <v>394</v>
      </c>
      <c r="F4" t="s">
        <v>387</v>
      </c>
      <c r="G4" t="s">
        <v>395</v>
      </c>
      <c r="H4" t="s">
        <v>31</v>
      </c>
      <c r="I4" t="s">
        <v>31</v>
      </c>
      <c r="J4" t="s">
        <v>31</v>
      </c>
      <c r="K4" t="s">
        <v>31</v>
      </c>
    </row>
    <row r="5" spans="1:11" x14ac:dyDescent="0.25">
      <c r="A5" t="s">
        <v>105</v>
      </c>
      <c r="B5">
        <v>22.7</v>
      </c>
      <c r="C5">
        <v>19.399999999999999</v>
      </c>
      <c r="D5">
        <v>46.6</v>
      </c>
      <c r="E5">
        <v>46.9</v>
      </c>
      <c r="F5">
        <v>1</v>
      </c>
      <c r="G5">
        <v>1.2</v>
      </c>
      <c r="H5">
        <v>14.7</v>
      </c>
      <c r="I5">
        <v>39.200000000000003</v>
      </c>
      <c r="J5">
        <v>41.2</v>
      </c>
      <c r="K5">
        <v>27.7</v>
      </c>
    </row>
    <row r="6" spans="1:11" x14ac:dyDescent="0.25">
      <c r="A6" t="s">
        <v>106</v>
      </c>
      <c r="B6">
        <v>25.6</v>
      </c>
      <c r="C6">
        <v>21.5</v>
      </c>
      <c r="D6">
        <v>48.8</v>
      </c>
      <c r="E6">
        <v>52.7</v>
      </c>
      <c r="F6">
        <v>1.1000000000000001</v>
      </c>
      <c r="G6">
        <v>1.1000000000000001</v>
      </c>
      <c r="H6">
        <v>16.100000000000001</v>
      </c>
      <c r="I6">
        <v>44.9</v>
      </c>
      <c r="J6">
        <v>47.2</v>
      </c>
      <c r="K6">
        <v>33.1</v>
      </c>
    </row>
    <row r="7" spans="1:11" x14ac:dyDescent="0.25">
      <c r="A7" t="s">
        <v>107</v>
      </c>
      <c r="B7">
        <v>22.6</v>
      </c>
      <c r="C7">
        <v>18.399999999999999</v>
      </c>
      <c r="D7">
        <v>43.9</v>
      </c>
      <c r="E7">
        <v>48.5</v>
      </c>
      <c r="F7">
        <v>1.1000000000000001</v>
      </c>
      <c r="G7">
        <v>1.2</v>
      </c>
      <c r="H7">
        <v>18.8</v>
      </c>
      <c r="I7">
        <v>46.2</v>
      </c>
      <c r="J7">
        <v>48.1</v>
      </c>
      <c r="K7">
        <v>37.9</v>
      </c>
    </row>
    <row r="8" spans="1:11" x14ac:dyDescent="0.25">
      <c r="A8" t="s">
        <v>108</v>
      </c>
      <c r="B8">
        <v>23.1</v>
      </c>
      <c r="C8">
        <v>19.899999999999999</v>
      </c>
      <c r="D8">
        <v>47.9</v>
      </c>
      <c r="E8">
        <v>49.9</v>
      </c>
      <c r="F8">
        <v>1</v>
      </c>
      <c r="G8">
        <v>1.1000000000000001</v>
      </c>
      <c r="H8">
        <v>13.9</v>
      </c>
      <c r="I8">
        <v>39</v>
      </c>
      <c r="J8">
        <v>41</v>
      </c>
      <c r="K8">
        <v>26.3</v>
      </c>
    </row>
    <row r="9" spans="1:11" x14ac:dyDescent="0.25">
      <c r="A9" t="s">
        <v>109</v>
      </c>
      <c r="B9">
        <v>25.2</v>
      </c>
      <c r="C9">
        <v>22</v>
      </c>
      <c r="D9">
        <v>51.3</v>
      </c>
      <c r="E9">
        <v>60.2</v>
      </c>
      <c r="F9">
        <v>1.2</v>
      </c>
      <c r="G9">
        <v>1</v>
      </c>
      <c r="H9">
        <v>12.7</v>
      </c>
      <c r="I9">
        <v>32.700000000000003</v>
      </c>
      <c r="J9">
        <v>35.200000000000003</v>
      </c>
      <c r="K9">
        <v>15.3</v>
      </c>
    </row>
    <row r="10" spans="1:11" x14ac:dyDescent="0.25">
      <c r="A10" t="s">
        <v>110</v>
      </c>
      <c r="B10">
        <v>26.6</v>
      </c>
      <c r="C10">
        <v>22.4</v>
      </c>
      <c r="D10">
        <v>47.1</v>
      </c>
      <c r="E10">
        <v>48.6</v>
      </c>
      <c r="F10">
        <v>1</v>
      </c>
      <c r="G10">
        <v>1.3</v>
      </c>
      <c r="H10">
        <v>15.6</v>
      </c>
      <c r="I10">
        <v>41.7</v>
      </c>
      <c r="J10">
        <v>45.9</v>
      </c>
      <c r="K10">
        <v>18.8</v>
      </c>
    </row>
    <row r="11" spans="1:11" x14ac:dyDescent="0.25">
      <c r="A11" t="s">
        <v>111</v>
      </c>
      <c r="B11">
        <v>19</v>
      </c>
      <c r="C11">
        <v>16.100000000000001</v>
      </c>
      <c r="D11">
        <v>36.9</v>
      </c>
      <c r="E11">
        <v>46.4</v>
      </c>
      <c r="F11">
        <v>1.3</v>
      </c>
      <c r="G11">
        <v>1.2</v>
      </c>
      <c r="H11">
        <v>15.4</v>
      </c>
      <c r="I11">
        <v>38.4</v>
      </c>
      <c r="J11">
        <v>41.4</v>
      </c>
      <c r="K11">
        <v>22.2</v>
      </c>
    </row>
    <row r="12" spans="1:11" x14ac:dyDescent="0.25">
      <c r="A12" t="s">
        <v>112</v>
      </c>
      <c r="B12">
        <v>17.899999999999999</v>
      </c>
      <c r="C12">
        <v>15.8</v>
      </c>
      <c r="D12">
        <v>43.8</v>
      </c>
      <c r="E12">
        <v>47.5</v>
      </c>
      <c r="F12">
        <v>1.1000000000000001</v>
      </c>
      <c r="G12">
        <v>1.3</v>
      </c>
      <c r="H12">
        <v>12.1</v>
      </c>
      <c r="I12">
        <v>43.4</v>
      </c>
      <c r="J12">
        <v>46.3</v>
      </c>
      <c r="K12">
        <v>21.9</v>
      </c>
    </row>
    <row r="13" spans="1:11" x14ac:dyDescent="0.25">
      <c r="A13" t="s">
        <v>113</v>
      </c>
      <c r="B13">
        <v>11.2</v>
      </c>
      <c r="C13">
        <v>9.6999999999999993</v>
      </c>
      <c r="D13">
        <v>35.4</v>
      </c>
      <c r="E13">
        <v>35.4</v>
      </c>
      <c r="F13">
        <v>1</v>
      </c>
      <c r="G13">
        <v>1.7</v>
      </c>
      <c r="H13">
        <v>12.8</v>
      </c>
      <c r="I13">
        <v>40.700000000000003</v>
      </c>
      <c r="J13">
        <v>43.1</v>
      </c>
      <c r="K13">
        <v>24.2</v>
      </c>
    </row>
    <row r="14" spans="1:11" x14ac:dyDescent="0.25">
      <c r="A14" t="s">
        <v>114</v>
      </c>
      <c r="B14">
        <v>17.899999999999999</v>
      </c>
      <c r="C14">
        <v>16</v>
      </c>
      <c r="D14">
        <v>38</v>
      </c>
      <c r="E14">
        <v>40.6</v>
      </c>
      <c r="F14">
        <v>1.1000000000000001</v>
      </c>
      <c r="G14">
        <v>1.4</v>
      </c>
      <c r="H14">
        <v>10.9</v>
      </c>
      <c r="I14">
        <v>33.4</v>
      </c>
      <c r="J14">
        <v>34.700000000000003</v>
      </c>
      <c r="K14">
        <v>22.6</v>
      </c>
    </row>
    <row r="15" spans="1:11" x14ac:dyDescent="0.25">
      <c r="A15" t="s">
        <v>115</v>
      </c>
      <c r="B15">
        <v>20.3</v>
      </c>
      <c r="C15">
        <v>18.100000000000001</v>
      </c>
      <c r="D15">
        <v>45</v>
      </c>
      <c r="E15">
        <v>46.1</v>
      </c>
      <c r="F15">
        <v>1</v>
      </c>
      <c r="G15">
        <v>1.3</v>
      </c>
      <c r="H15">
        <v>10.9</v>
      </c>
      <c r="I15">
        <v>48.3</v>
      </c>
      <c r="J15">
        <v>50.8</v>
      </c>
      <c r="K15">
        <v>27.6</v>
      </c>
    </row>
    <row r="16" spans="1:11" x14ac:dyDescent="0.25">
      <c r="A16" t="s">
        <v>116</v>
      </c>
      <c r="B16">
        <v>21</v>
      </c>
      <c r="C16">
        <v>19.7</v>
      </c>
      <c r="D16">
        <v>45.4</v>
      </c>
      <c r="E16">
        <v>48.6</v>
      </c>
      <c r="F16">
        <v>1.1000000000000001</v>
      </c>
      <c r="G16">
        <v>1.2</v>
      </c>
      <c r="H16">
        <v>6</v>
      </c>
      <c r="I16">
        <v>35.700000000000003</v>
      </c>
      <c r="J16">
        <v>37.200000000000003</v>
      </c>
      <c r="K16">
        <v>13.3</v>
      </c>
    </row>
    <row r="17" spans="1:11" x14ac:dyDescent="0.25">
      <c r="A17" t="s">
        <v>117</v>
      </c>
      <c r="B17">
        <v>29.2</v>
      </c>
      <c r="C17">
        <v>26</v>
      </c>
      <c r="D17">
        <v>45.3</v>
      </c>
      <c r="E17">
        <v>48.1</v>
      </c>
      <c r="F17">
        <v>1.1000000000000001</v>
      </c>
      <c r="G17">
        <v>1.2</v>
      </c>
      <c r="H17">
        <v>10.9</v>
      </c>
      <c r="I17">
        <v>33.5</v>
      </c>
      <c r="J17">
        <v>35.6</v>
      </c>
      <c r="K17">
        <v>16.399999999999999</v>
      </c>
    </row>
    <row r="18" spans="1:11" x14ac:dyDescent="0.25">
      <c r="A18" t="s">
        <v>118</v>
      </c>
      <c r="B18">
        <v>16</v>
      </c>
      <c r="C18">
        <v>14.1</v>
      </c>
      <c r="D18">
        <v>43.3</v>
      </c>
      <c r="E18">
        <v>43.3</v>
      </c>
      <c r="F18">
        <v>1</v>
      </c>
      <c r="G18">
        <v>1.3</v>
      </c>
      <c r="H18">
        <v>11.7</v>
      </c>
      <c r="I18">
        <v>40.9</v>
      </c>
      <c r="J18">
        <v>43.7</v>
      </c>
      <c r="K18">
        <v>19.5</v>
      </c>
    </row>
    <row r="19" spans="1:11" x14ac:dyDescent="0.25">
      <c r="A19" t="s">
        <v>119</v>
      </c>
      <c r="B19">
        <v>15.7</v>
      </c>
      <c r="C19">
        <v>14.3</v>
      </c>
      <c r="D19">
        <v>46.1</v>
      </c>
      <c r="E19">
        <v>68.599999999999994</v>
      </c>
      <c r="F19">
        <v>1.5</v>
      </c>
      <c r="G19">
        <v>0.8</v>
      </c>
      <c r="H19">
        <v>8.6999999999999993</v>
      </c>
      <c r="I19">
        <v>44.5</v>
      </c>
      <c r="J19">
        <v>45.8</v>
      </c>
      <c r="K19">
        <v>31.3</v>
      </c>
    </row>
    <row r="20" spans="1:11" x14ac:dyDescent="0.25">
      <c r="A20" t="s">
        <v>120</v>
      </c>
      <c r="B20">
        <v>17.899999999999999</v>
      </c>
      <c r="C20">
        <v>15.9</v>
      </c>
      <c r="D20">
        <v>41.1</v>
      </c>
      <c r="E20">
        <v>41.1</v>
      </c>
      <c r="F20">
        <v>1</v>
      </c>
      <c r="G20">
        <v>1.4</v>
      </c>
      <c r="H20">
        <v>11.2</v>
      </c>
      <c r="I20">
        <v>34.700000000000003</v>
      </c>
      <c r="J20">
        <v>35.700000000000003</v>
      </c>
      <c r="K20">
        <v>26.4</v>
      </c>
    </row>
    <row r="21" spans="1:11" x14ac:dyDescent="0.25">
      <c r="A21" t="s">
        <v>121</v>
      </c>
      <c r="B21">
        <v>20.5</v>
      </c>
      <c r="C21">
        <v>18.5</v>
      </c>
      <c r="D21">
        <v>40.5</v>
      </c>
      <c r="E21">
        <v>40.5</v>
      </c>
      <c r="F21">
        <v>1</v>
      </c>
      <c r="G21">
        <v>1.5</v>
      </c>
      <c r="H21">
        <v>9.8000000000000007</v>
      </c>
      <c r="I21">
        <v>40</v>
      </c>
      <c r="J21">
        <v>40.799999999999997</v>
      </c>
      <c r="K21">
        <v>32.1</v>
      </c>
    </row>
    <row r="22" spans="1:11" x14ac:dyDescent="0.25">
      <c r="A22" t="s">
        <v>122</v>
      </c>
      <c r="B22">
        <v>28.5</v>
      </c>
      <c r="C22">
        <v>23</v>
      </c>
      <c r="D22">
        <v>45.8</v>
      </c>
      <c r="E22">
        <v>49.2</v>
      </c>
      <c r="F22">
        <v>1.1000000000000001</v>
      </c>
      <c r="G22">
        <v>1.1000000000000001</v>
      </c>
      <c r="H22">
        <v>19.100000000000001</v>
      </c>
      <c r="I22">
        <v>34</v>
      </c>
      <c r="J22">
        <v>37.5</v>
      </c>
      <c r="K22">
        <v>19</v>
      </c>
    </row>
    <row r="23" spans="1:11" x14ac:dyDescent="0.25">
      <c r="A23" t="s">
        <v>123</v>
      </c>
      <c r="B23">
        <v>20.3</v>
      </c>
      <c r="C23">
        <v>17.5</v>
      </c>
      <c r="D23">
        <v>44.2</v>
      </c>
      <c r="E23">
        <v>45.5</v>
      </c>
      <c r="F23">
        <v>1</v>
      </c>
      <c r="G23">
        <v>1.3</v>
      </c>
      <c r="H23">
        <v>13.8</v>
      </c>
      <c r="I23">
        <v>35.4</v>
      </c>
      <c r="J23">
        <v>37.799999999999997</v>
      </c>
      <c r="K23">
        <v>20.3</v>
      </c>
    </row>
    <row r="24" spans="1:11" x14ac:dyDescent="0.25">
      <c r="A24" t="s">
        <v>124</v>
      </c>
      <c r="B24">
        <v>26.3</v>
      </c>
      <c r="C24">
        <v>24.4</v>
      </c>
      <c r="D24">
        <v>50</v>
      </c>
      <c r="E24">
        <v>53.3</v>
      </c>
      <c r="F24">
        <v>1.1000000000000001</v>
      </c>
      <c r="G24">
        <v>1.7</v>
      </c>
      <c r="H24">
        <v>7.2</v>
      </c>
      <c r="I24">
        <v>41.4</v>
      </c>
      <c r="J24">
        <v>42.1</v>
      </c>
      <c r="K24">
        <v>33.299999999999997</v>
      </c>
    </row>
    <row r="25" spans="1:11" x14ac:dyDescent="0.25">
      <c r="A25" t="s">
        <v>125</v>
      </c>
      <c r="B25">
        <v>31.8</v>
      </c>
      <c r="C25">
        <v>26.6</v>
      </c>
      <c r="D25">
        <v>50.1</v>
      </c>
      <c r="E25">
        <v>56</v>
      </c>
      <c r="F25">
        <v>1.1000000000000001</v>
      </c>
      <c r="G25">
        <v>1</v>
      </c>
      <c r="H25">
        <v>16.3</v>
      </c>
      <c r="I25">
        <v>45.8</v>
      </c>
      <c r="J25">
        <v>47.3</v>
      </c>
      <c r="K25">
        <v>37.9</v>
      </c>
    </row>
    <row r="26" spans="1:11" x14ac:dyDescent="0.25">
      <c r="A26" t="s">
        <v>126</v>
      </c>
      <c r="B26">
        <v>16.5</v>
      </c>
      <c r="C26">
        <v>14.8</v>
      </c>
      <c r="D26">
        <v>39.5</v>
      </c>
      <c r="E26">
        <v>40.6</v>
      </c>
      <c r="F26">
        <v>1</v>
      </c>
      <c r="G26">
        <v>1.4</v>
      </c>
      <c r="H26">
        <v>10.199999999999999</v>
      </c>
      <c r="I26">
        <v>40.4</v>
      </c>
      <c r="J26">
        <v>41.9</v>
      </c>
      <c r="K26">
        <v>26.9</v>
      </c>
    </row>
    <row r="27" spans="1:11" x14ac:dyDescent="0.25">
      <c r="A27" t="s">
        <v>127</v>
      </c>
      <c r="B27">
        <v>20.8</v>
      </c>
      <c r="C27">
        <v>17.3</v>
      </c>
      <c r="D27">
        <v>43.7</v>
      </c>
      <c r="E27">
        <v>46.2</v>
      </c>
      <c r="F27">
        <v>1.1000000000000001</v>
      </c>
      <c r="G27">
        <v>1.2</v>
      </c>
      <c r="H27">
        <v>16.8</v>
      </c>
      <c r="I27">
        <v>28.4</v>
      </c>
      <c r="J27">
        <v>29.5</v>
      </c>
      <c r="K27">
        <v>22.9</v>
      </c>
    </row>
    <row r="28" spans="1:11" x14ac:dyDescent="0.25">
      <c r="A28" t="s">
        <v>128</v>
      </c>
      <c r="B28">
        <v>23</v>
      </c>
      <c r="C28">
        <v>18.5</v>
      </c>
      <c r="D28">
        <v>41.6</v>
      </c>
      <c r="E28">
        <v>42.4</v>
      </c>
      <c r="F28">
        <v>1</v>
      </c>
      <c r="G28">
        <v>1.5</v>
      </c>
      <c r="H28">
        <v>19.2</v>
      </c>
      <c r="I28">
        <v>30</v>
      </c>
      <c r="J28">
        <v>31.3</v>
      </c>
      <c r="K28">
        <v>24.5</v>
      </c>
    </row>
    <row r="29" spans="1:11" x14ac:dyDescent="0.25">
      <c r="A29" t="s">
        <v>129</v>
      </c>
      <c r="B29">
        <v>30.8</v>
      </c>
      <c r="C29">
        <v>26.2</v>
      </c>
      <c r="D29">
        <v>46.8</v>
      </c>
      <c r="E29">
        <v>49.8</v>
      </c>
      <c r="F29">
        <v>1.1000000000000001</v>
      </c>
      <c r="G29">
        <v>1.2</v>
      </c>
      <c r="H29">
        <v>14.8</v>
      </c>
      <c r="I29">
        <v>39.4</v>
      </c>
      <c r="J29">
        <v>41.8</v>
      </c>
      <c r="K29">
        <v>25.6</v>
      </c>
    </row>
    <row r="30" spans="1:11" x14ac:dyDescent="0.25">
      <c r="A30" t="s">
        <v>87</v>
      </c>
      <c r="B30">
        <v>22.2</v>
      </c>
      <c r="C30">
        <v>19</v>
      </c>
      <c r="D30">
        <v>45.2</v>
      </c>
      <c r="E30">
        <v>49.9</v>
      </c>
      <c r="F30">
        <v>1.1000000000000001</v>
      </c>
      <c r="G30">
        <v>1.2</v>
      </c>
      <c r="H30">
        <v>14.3</v>
      </c>
      <c r="I30">
        <v>39.700000000000003</v>
      </c>
      <c r="J30">
        <v>41.9</v>
      </c>
      <c r="K30">
        <v>26.5</v>
      </c>
    </row>
    <row r="31" spans="1:11" x14ac:dyDescent="0.25">
      <c r="A31" t="s">
        <v>130</v>
      </c>
      <c r="B31">
        <v>17.899999999999999</v>
      </c>
      <c r="C31">
        <v>15.9</v>
      </c>
      <c r="D31">
        <v>45.5</v>
      </c>
      <c r="E31">
        <v>54.1</v>
      </c>
      <c r="F31">
        <v>1.2</v>
      </c>
      <c r="G31">
        <v>1.1000000000000001</v>
      </c>
      <c r="H31">
        <v>11.3</v>
      </c>
      <c r="I31">
        <v>44.6</v>
      </c>
      <c r="J31">
        <v>45.7</v>
      </c>
      <c r="K31">
        <v>35.9</v>
      </c>
    </row>
    <row r="32" spans="1:11" x14ac:dyDescent="0.25">
      <c r="A32" t="s">
        <v>131</v>
      </c>
      <c r="B32">
        <v>24</v>
      </c>
      <c r="C32">
        <v>20.3</v>
      </c>
      <c r="D32">
        <v>45.1</v>
      </c>
      <c r="E32">
        <v>48.7</v>
      </c>
      <c r="F32">
        <v>1.1000000000000001</v>
      </c>
      <c r="G32">
        <v>1.2</v>
      </c>
      <c r="H32">
        <v>15.5</v>
      </c>
      <c r="I32">
        <v>37.799999999999997</v>
      </c>
      <c r="J32">
        <v>40.4</v>
      </c>
      <c r="K32">
        <v>23.8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7030A0"/>
  </sheetPr>
  <dimension ref="A1:K18"/>
  <sheetViews>
    <sheetView workbookViewId="0"/>
  </sheetViews>
  <sheetFormatPr defaultRowHeight="15" x14ac:dyDescent="0.25"/>
  <cols>
    <col min="1" max="1" width="33.42578125" customWidth="1"/>
    <col min="2" max="2" width="14.85546875" customWidth="1"/>
    <col min="3" max="3" width="14.7109375" customWidth="1"/>
    <col min="6" max="6" width="14.85546875" customWidth="1"/>
    <col min="7" max="7" width="14.7109375" customWidth="1"/>
    <col min="10" max="10" width="14.85546875" customWidth="1"/>
    <col min="11" max="11" width="14.7109375" customWidth="1"/>
  </cols>
  <sheetData>
    <row r="1" spans="1:11" x14ac:dyDescent="0.25">
      <c r="A1" s="27" t="s">
        <v>404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x14ac:dyDescent="0.25">
      <c r="A2" s="27" t="s">
        <v>74</v>
      </c>
      <c r="B2" t="s">
        <v>386</v>
      </c>
      <c r="C2" t="s">
        <v>386</v>
      </c>
      <c r="D2" t="s">
        <v>386</v>
      </c>
      <c r="E2" t="s">
        <v>386</v>
      </c>
      <c r="F2" t="s">
        <v>77</v>
      </c>
      <c r="G2" t="s">
        <v>387</v>
      </c>
      <c r="H2" s="27" t="s">
        <v>388</v>
      </c>
      <c r="I2" s="27"/>
      <c r="J2" s="27" t="s">
        <v>389</v>
      </c>
      <c r="K2" s="27"/>
    </row>
    <row r="3" spans="1:11" x14ac:dyDescent="0.25">
      <c r="A3" s="27"/>
      <c r="B3" t="s">
        <v>390</v>
      </c>
      <c r="C3" t="s">
        <v>31</v>
      </c>
      <c r="D3" t="s">
        <v>391</v>
      </c>
      <c r="E3" t="s">
        <v>387</v>
      </c>
      <c r="F3" t="s">
        <v>373</v>
      </c>
      <c r="G3" t="s">
        <v>392</v>
      </c>
      <c r="H3" t="s">
        <v>393</v>
      </c>
      <c r="I3" t="s">
        <v>86</v>
      </c>
      <c r="J3" t="s">
        <v>308</v>
      </c>
      <c r="K3" t="s">
        <v>393</v>
      </c>
    </row>
    <row r="4" spans="1:11" x14ac:dyDescent="0.25">
      <c r="A4" s="27"/>
      <c r="B4" t="s">
        <v>394</v>
      </c>
      <c r="C4" t="s">
        <v>394</v>
      </c>
      <c r="D4" t="s">
        <v>394</v>
      </c>
      <c r="E4" t="s">
        <v>394</v>
      </c>
      <c r="F4" t="s">
        <v>387</v>
      </c>
      <c r="G4" t="s">
        <v>395</v>
      </c>
      <c r="H4" t="s">
        <v>31</v>
      </c>
      <c r="I4" t="s">
        <v>31</v>
      </c>
      <c r="J4" t="s">
        <v>31</v>
      </c>
      <c r="K4" t="s">
        <v>31</v>
      </c>
    </row>
    <row r="5" spans="1:11" x14ac:dyDescent="0.25">
      <c r="A5" t="s">
        <v>87</v>
      </c>
      <c r="B5">
        <v>34.4</v>
      </c>
      <c r="C5">
        <v>28.4</v>
      </c>
      <c r="D5">
        <v>35.200000000000003</v>
      </c>
      <c r="E5">
        <v>45.1</v>
      </c>
      <c r="F5">
        <v>1.3</v>
      </c>
      <c r="G5">
        <v>1.4</v>
      </c>
      <c r="H5">
        <v>17.600000000000001</v>
      </c>
      <c r="I5">
        <v>48.6</v>
      </c>
      <c r="J5">
        <v>52.6</v>
      </c>
      <c r="K5">
        <v>29.7</v>
      </c>
    </row>
    <row r="6" spans="1:11" x14ac:dyDescent="0.25">
      <c r="A6" t="s">
        <v>88</v>
      </c>
      <c r="B6">
        <v>26.7</v>
      </c>
      <c r="C6">
        <v>23.1</v>
      </c>
      <c r="D6">
        <v>39.700000000000003</v>
      </c>
      <c r="E6">
        <v>51.6</v>
      </c>
      <c r="F6">
        <v>1.3</v>
      </c>
      <c r="G6">
        <v>1.2</v>
      </c>
      <c r="H6">
        <v>13.5</v>
      </c>
      <c r="I6">
        <v>55.8</v>
      </c>
      <c r="J6">
        <v>58.1</v>
      </c>
      <c r="K6">
        <v>40.9</v>
      </c>
    </row>
    <row r="7" spans="1:11" x14ac:dyDescent="0.25">
      <c r="A7" t="s">
        <v>89</v>
      </c>
      <c r="B7">
        <v>36.9</v>
      </c>
      <c r="C7">
        <v>30</v>
      </c>
      <c r="D7">
        <v>34.299999999999997</v>
      </c>
      <c r="E7">
        <v>43.8</v>
      </c>
      <c r="F7">
        <v>1.3</v>
      </c>
      <c r="G7">
        <v>1.4</v>
      </c>
      <c r="H7">
        <v>18.8</v>
      </c>
      <c r="I7">
        <v>46.5</v>
      </c>
      <c r="J7">
        <v>50.9</v>
      </c>
      <c r="K7">
        <v>27.3</v>
      </c>
    </row>
    <row r="8" spans="1:11" x14ac:dyDescent="0.25">
      <c r="A8" t="s">
        <v>90</v>
      </c>
      <c r="B8">
        <v>43.1</v>
      </c>
      <c r="C8">
        <v>41.1</v>
      </c>
      <c r="D8">
        <v>30</v>
      </c>
      <c r="E8">
        <v>34.299999999999997</v>
      </c>
      <c r="F8">
        <v>1.1000000000000001</v>
      </c>
      <c r="G8">
        <v>2.8</v>
      </c>
      <c r="H8">
        <v>4.5999999999999996</v>
      </c>
      <c r="I8">
        <v>94.9</v>
      </c>
      <c r="J8">
        <v>95</v>
      </c>
      <c r="K8">
        <v>91.3</v>
      </c>
    </row>
    <row r="9" spans="1:11" x14ac:dyDescent="0.25">
      <c r="A9" t="s">
        <v>91</v>
      </c>
      <c r="B9">
        <v>45.1</v>
      </c>
      <c r="C9">
        <v>35.299999999999997</v>
      </c>
      <c r="D9">
        <v>32.4</v>
      </c>
      <c r="E9">
        <v>44.7</v>
      </c>
      <c r="F9">
        <v>1.4</v>
      </c>
      <c r="G9">
        <v>1.3</v>
      </c>
      <c r="H9">
        <v>21.7</v>
      </c>
      <c r="I9">
        <v>51.8</v>
      </c>
      <c r="J9">
        <v>57.7</v>
      </c>
      <c r="K9">
        <v>30.3</v>
      </c>
    </row>
    <row r="10" spans="1:11" x14ac:dyDescent="0.25">
      <c r="A10" t="s">
        <v>378</v>
      </c>
      <c r="B10">
        <v>22.6</v>
      </c>
      <c r="C10">
        <v>18.8</v>
      </c>
      <c r="D10">
        <v>43.6</v>
      </c>
      <c r="E10">
        <v>47.5</v>
      </c>
      <c r="F10">
        <v>1.1000000000000001</v>
      </c>
      <c r="G10">
        <v>1.2</v>
      </c>
      <c r="H10">
        <v>16.5</v>
      </c>
      <c r="I10">
        <v>41.4</v>
      </c>
      <c r="J10">
        <v>45.1</v>
      </c>
      <c r="K10">
        <v>23</v>
      </c>
    </row>
    <row r="11" spans="1:11" x14ac:dyDescent="0.25">
      <c r="A11" t="s">
        <v>379</v>
      </c>
      <c r="B11">
        <v>22.1</v>
      </c>
      <c r="C11">
        <v>19.2</v>
      </c>
      <c r="D11">
        <v>46.1</v>
      </c>
      <c r="E11">
        <v>51.2</v>
      </c>
      <c r="F11">
        <v>1.1000000000000001</v>
      </c>
      <c r="G11">
        <v>1.2</v>
      </c>
      <c r="H11">
        <v>13.1</v>
      </c>
      <c r="I11">
        <v>38.799999999999997</v>
      </c>
      <c r="J11">
        <v>40.299999999999997</v>
      </c>
      <c r="K11">
        <v>28.8</v>
      </c>
    </row>
    <row r="12" spans="1:11" x14ac:dyDescent="0.25">
      <c r="A12" t="s">
        <v>380</v>
      </c>
      <c r="B12">
        <v>22.3</v>
      </c>
      <c r="C12">
        <v>19</v>
      </c>
      <c r="D12">
        <v>45.2</v>
      </c>
      <c r="E12">
        <v>50</v>
      </c>
      <c r="F12">
        <v>1.1000000000000001</v>
      </c>
      <c r="G12">
        <v>1.2</v>
      </c>
      <c r="H12">
        <v>15</v>
      </c>
      <c r="I12">
        <v>42</v>
      </c>
      <c r="J12">
        <v>44.9</v>
      </c>
      <c r="K12">
        <v>25.5</v>
      </c>
    </row>
    <row r="13" spans="1:11" x14ac:dyDescent="0.25">
      <c r="A13" t="s">
        <v>381</v>
      </c>
      <c r="B13">
        <v>22.1</v>
      </c>
      <c r="C13">
        <v>19.2</v>
      </c>
      <c r="D13">
        <v>45.2</v>
      </c>
      <c r="E13">
        <v>49.6</v>
      </c>
      <c r="F13">
        <v>1.1000000000000001</v>
      </c>
      <c r="G13">
        <v>1.2</v>
      </c>
      <c r="H13">
        <v>13.1</v>
      </c>
      <c r="I13">
        <v>35.4</v>
      </c>
      <c r="J13">
        <v>36.4</v>
      </c>
      <c r="K13">
        <v>28.6</v>
      </c>
    </row>
    <row r="14" spans="1:11" x14ac:dyDescent="0.25">
      <c r="A14" t="s">
        <v>97</v>
      </c>
      <c r="B14">
        <v>45.6</v>
      </c>
      <c r="C14">
        <v>35.5</v>
      </c>
      <c r="D14">
        <v>38.299999999999997</v>
      </c>
      <c r="E14">
        <v>51.4</v>
      </c>
      <c r="F14">
        <v>1.3</v>
      </c>
      <c r="G14">
        <v>1.1000000000000001</v>
      </c>
      <c r="H14">
        <v>22.2</v>
      </c>
      <c r="I14">
        <v>57.5</v>
      </c>
      <c r="J14">
        <v>64.5</v>
      </c>
      <c r="K14">
        <v>32.700000000000003</v>
      </c>
    </row>
    <row r="15" spans="1:11" x14ac:dyDescent="0.25">
      <c r="A15" t="s">
        <v>98</v>
      </c>
      <c r="B15">
        <v>44.8</v>
      </c>
      <c r="C15">
        <v>35.200000000000003</v>
      </c>
      <c r="D15">
        <v>30.3</v>
      </c>
      <c r="E15">
        <v>42.2</v>
      </c>
      <c r="F15">
        <v>1.4</v>
      </c>
      <c r="G15">
        <v>1.4</v>
      </c>
      <c r="H15">
        <v>21.4</v>
      </c>
      <c r="I15">
        <v>49.2</v>
      </c>
      <c r="J15">
        <v>54.6</v>
      </c>
      <c r="K15">
        <v>29.1</v>
      </c>
    </row>
    <row r="16" spans="1:11" x14ac:dyDescent="0.25">
      <c r="A16" t="s">
        <v>100</v>
      </c>
      <c r="B16">
        <v>42.4</v>
      </c>
      <c r="C16">
        <v>34.4</v>
      </c>
      <c r="D16">
        <v>28.1</v>
      </c>
      <c r="E16">
        <v>39</v>
      </c>
      <c r="F16">
        <v>1.4</v>
      </c>
      <c r="G16">
        <v>2.2000000000000002</v>
      </c>
      <c r="H16">
        <v>18.899999999999999</v>
      </c>
      <c r="I16">
        <v>49.1</v>
      </c>
      <c r="J16">
        <v>52.7</v>
      </c>
      <c r="K16">
        <v>34</v>
      </c>
    </row>
    <row r="17" spans="1:11" x14ac:dyDescent="0.25">
      <c r="A17" t="s">
        <v>101</v>
      </c>
      <c r="B17">
        <v>44.5</v>
      </c>
      <c r="C17">
        <v>34</v>
      </c>
      <c r="D17">
        <v>33.6</v>
      </c>
      <c r="E17">
        <v>42.7</v>
      </c>
      <c r="F17">
        <v>1.3</v>
      </c>
      <c r="G17">
        <v>1.4</v>
      </c>
      <c r="H17">
        <v>23.6</v>
      </c>
      <c r="I17">
        <v>49.4</v>
      </c>
      <c r="J17">
        <v>55.6</v>
      </c>
      <c r="K17">
        <v>29.5</v>
      </c>
    </row>
    <row r="18" spans="1:11" x14ac:dyDescent="0.25">
      <c r="A18" t="s">
        <v>102</v>
      </c>
      <c r="B18">
        <v>45.3</v>
      </c>
      <c r="C18">
        <v>35.5</v>
      </c>
      <c r="D18">
        <v>32.6</v>
      </c>
      <c r="E18">
        <v>47.3</v>
      </c>
      <c r="F18">
        <v>1.4</v>
      </c>
      <c r="G18">
        <v>1.4</v>
      </c>
      <c r="H18">
        <v>21.6</v>
      </c>
      <c r="I18">
        <v>51.1</v>
      </c>
      <c r="J18">
        <v>56.3</v>
      </c>
      <c r="K18">
        <v>32.1</v>
      </c>
    </row>
  </sheetData>
  <mergeCells count="4">
    <mergeCell ref="A2:A4"/>
    <mergeCell ref="A1:K1"/>
    <mergeCell ref="J2:K2"/>
    <mergeCell ref="H2:I2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7030A0"/>
  </sheetPr>
  <dimension ref="A1:M32"/>
  <sheetViews>
    <sheetView workbookViewId="0"/>
  </sheetViews>
  <sheetFormatPr defaultRowHeight="15" x14ac:dyDescent="0.25"/>
  <cols>
    <col min="1" max="1" width="26.140625" customWidth="1"/>
    <col min="2" max="2" width="12.85546875" customWidth="1"/>
  </cols>
  <sheetData>
    <row r="1" spans="1:13" x14ac:dyDescent="0.25">
      <c r="A1" s="27" t="s">
        <v>405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7" t="s">
        <v>104</v>
      </c>
      <c r="B2" t="s">
        <v>386</v>
      </c>
      <c r="C2" t="s">
        <v>386</v>
      </c>
      <c r="D2" t="s">
        <v>386</v>
      </c>
      <c r="E2" t="s">
        <v>386</v>
      </c>
      <c r="F2" t="s">
        <v>77</v>
      </c>
      <c r="G2" t="s">
        <v>387</v>
      </c>
      <c r="H2" s="27" t="s">
        <v>406</v>
      </c>
      <c r="I2" s="27"/>
      <c r="J2" s="27"/>
      <c r="K2" s="27"/>
      <c r="L2" s="27" t="s">
        <v>388</v>
      </c>
      <c r="M2" s="27"/>
    </row>
    <row r="3" spans="1:13" x14ac:dyDescent="0.25">
      <c r="A3" s="27"/>
      <c r="B3" t="s">
        <v>390</v>
      </c>
      <c r="C3" t="s">
        <v>31</v>
      </c>
      <c r="D3" t="s">
        <v>391</v>
      </c>
      <c r="E3" t="s">
        <v>387</v>
      </c>
      <c r="F3" t="s">
        <v>373</v>
      </c>
      <c r="G3" t="s">
        <v>392</v>
      </c>
      <c r="H3" s="27" t="s">
        <v>141</v>
      </c>
      <c r="I3" s="27" t="s">
        <v>161</v>
      </c>
      <c r="J3" t="s">
        <v>407</v>
      </c>
      <c r="K3" t="s">
        <v>408</v>
      </c>
      <c r="L3" t="s">
        <v>409</v>
      </c>
      <c r="M3" t="s">
        <v>86</v>
      </c>
    </row>
    <row r="4" spans="1:13" x14ac:dyDescent="0.25">
      <c r="A4" s="27"/>
      <c r="B4" t="s">
        <v>394</v>
      </c>
      <c r="C4" t="s">
        <v>394</v>
      </c>
      <c r="D4" t="s">
        <v>394</v>
      </c>
      <c r="E4" t="s">
        <v>394</v>
      </c>
      <c r="F4" t="s">
        <v>387</v>
      </c>
      <c r="G4" t="s">
        <v>395</v>
      </c>
      <c r="H4" s="27"/>
      <c r="I4" s="27"/>
      <c r="J4" t="s">
        <v>410</v>
      </c>
      <c r="K4" t="s">
        <v>410</v>
      </c>
      <c r="L4" t="s">
        <v>31</v>
      </c>
      <c r="M4" t="s">
        <v>31</v>
      </c>
    </row>
    <row r="5" spans="1:13" x14ac:dyDescent="0.25">
      <c r="A5" t="s">
        <v>105</v>
      </c>
      <c r="B5">
        <v>32.299999999999997</v>
      </c>
      <c r="C5">
        <v>27.3</v>
      </c>
      <c r="D5">
        <v>33.5</v>
      </c>
      <c r="E5">
        <v>41.5</v>
      </c>
      <c r="F5">
        <v>1.2</v>
      </c>
      <c r="G5">
        <v>1.4</v>
      </c>
      <c r="H5">
        <v>11.3</v>
      </c>
      <c r="I5">
        <v>62.2</v>
      </c>
      <c r="J5">
        <v>17.899999999999999</v>
      </c>
      <c r="K5">
        <v>8.6</v>
      </c>
      <c r="L5">
        <v>15.6</v>
      </c>
      <c r="M5">
        <v>47.7</v>
      </c>
    </row>
    <row r="6" spans="1:13" x14ac:dyDescent="0.25">
      <c r="A6" t="s">
        <v>106</v>
      </c>
      <c r="B6">
        <v>37.299999999999997</v>
      </c>
      <c r="C6">
        <v>29.9</v>
      </c>
      <c r="D6">
        <v>33.200000000000003</v>
      </c>
      <c r="E6">
        <v>46.9</v>
      </c>
      <c r="F6">
        <v>1.4</v>
      </c>
      <c r="G6">
        <v>1.2</v>
      </c>
      <c r="H6">
        <v>7.5</v>
      </c>
      <c r="I6">
        <v>66.3</v>
      </c>
      <c r="J6">
        <v>17.7</v>
      </c>
      <c r="K6">
        <v>8.4</v>
      </c>
      <c r="L6">
        <v>19.7</v>
      </c>
      <c r="M6">
        <v>55.8</v>
      </c>
    </row>
    <row r="7" spans="1:13" x14ac:dyDescent="0.25">
      <c r="A7" t="s">
        <v>107</v>
      </c>
      <c r="B7">
        <v>38.299999999999997</v>
      </c>
      <c r="C7">
        <v>29.4</v>
      </c>
      <c r="D7">
        <v>37.5</v>
      </c>
      <c r="E7">
        <v>47.1</v>
      </c>
      <c r="F7">
        <v>1.3</v>
      </c>
      <c r="G7">
        <v>1.3</v>
      </c>
      <c r="H7">
        <v>7.4</v>
      </c>
      <c r="I7">
        <v>62.9</v>
      </c>
      <c r="J7">
        <v>19.100000000000001</v>
      </c>
      <c r="K7">
        <v>10.6</v>
      </c>
      <c r="L7">
        <v>23.2</v>
      </c>
      <c r="M7">
        <v>53.7</v>
      </c>
    </row>
    <row r="8" spans="1:13" x14ac:dyDescent="0.25">
      <c r="A8" t="s">
        <v>108</v>
      </c>
      <c r="B8">
        <v>32.9</v>
      </c>
      <c r="C8">
        <v>27.7</v>
      </c>
      <c r="D8">
        <v>36.6</v>
      </c>
      <c r="E8">
        <v>47.7</v>
      </c>
      <c r="F8">
        <v>1.3</v>
      </c>
      <c r="G8">
        <v>1.2</v>
      </c>
      <c r="H8">
        <v>6.1</v>
      </c>
      <c r="I8">
        <v>62.4</v>
      </c>
      <c r="J8">
        <v>20.7</v>
      </c>
      <c r="K8">
        <v>10.9</v>
      </c>
      <c r="L8">
        <v>15.9</v>
      </c>
      <c r="M8">
        <v>44.8</v>
      </c>
    </row>
    <row r="9" spans="1:13" x14ac:dyDescent="0.25">
      <c r="A9" t="s">
        <v>109</v>
      </c>
      <c r="B9">
        <v>38.5</v>
      </c>
      <c r="C9">
        <v>32.6</v>
      </c>
      <c r="D9">
        <v>40.799999999999997</v>
      </c>
      <c r="E9">
        <v>51.3</v>
      </c>
      <c r="F9">
        <v>1.3</v>
      </c>
      <c r="G9">
        <v>1.3</v>
      </c>
      <c r="H9">
        <v>6.3</v>
      </c>
      <c r="I9">
        <v>64.2</v>
      </c>
      <c r="J9">
        <v>20.2</v>
      </c>
      <c r="K9">
        <v>9.3000000000000007</v>
      </c>
      <c r="L9">
        <v>15.3</v>
      </c>
      <c r="M9">
        <v>40.200000000000003</v>
      </c>
    </row>
    <row r="10" spans="1:13" x14ac:dyDescent="0.25">
      <c r="A10" t="s">
        <v>110</v>
      </c>
      <c r="B10">
        <v>35.5</v>
      </c>
      <c r="C10">
        <v>30.2</v>
      </c>
      <c r="D10">
        <v>34.200000000000003</v>
      </c>
      <c r="E10">
        <v>42.7</v>
      </c>
      <c r="F10">
        <v>1.3</v>
      </c>
      <c r="G10">
        <v>1.5</v>
      </c>
      <c r="H10">
        <v>6.8</v>
      </c>
      <c r="I10">
        <v>63.9</v>
      </c>
      <c r="J10">
        <v>19.5</v>
      </c>
      <c r="K10">
        <v>9.9</v>
      </c>
      <c r="L10">
        <v>15</v>
      </c>
      <c r="M10">
        <v>51</v>
      </c>
    </row>
    <row r="11" spans="1:13" x14ac:dyDescent="0.25">
      <c r="A11" t="s">
        <v>111</v>
      </c>
      <c r="B11">
        <v>26.5</v>
      </c>
      <c r="C11">
        <v>22.1</v>
      </c>
      <c r="D11">
        <v>32.9</v>
      </c>
      <c r="E11">
        <v>39.200000000000003</v>
      </c>
      <c r="F11">
        <v>1.2</v>
      </c>
      <c r="G11">
        <v>1.5</v>
      </c>
      <c r="H11">
        <v>6.1</v>
      </c>
      <c r="I11">
        <v>60.3</v>
      </c>
      <c r="J11">
        <v>21.3</v>
      </c>
      <c r="K11">
        <v>12.4</v>
      </c>
      <c r="L11">
        <v>16.399999999999999</v>
      </c>
      <c r="M11">
        <v>44.8</v>
      </c>
    </row>
    <row r="12" spans="1:13" x14ac:dyDescent="0.25">
      <c r="A12" t="s">
        <v>112</v>
      </c>
      <c r="B12">
        <v>34.9</v>
      </c>
      <c r="C12">
        <v>29.1</v>
      </c>
      <c r="D12">
        <v>38.6</v>
      </c>
      <c r="E12">
        <v>48.2</v>
      </c>
      <c r="F12">
        <v>1.2</v>
      </c>
      <c r="G12">
        <v>1.3</v>
      </c>
      <c r="H12">
        <v>6.6</v>
      </c>
      <c r="I12">
        <v>62.6</v>
      </c>
      <c r="J12">
        <v>19.600000000000001</v>
      </c>
      <c r="K12">
        <v>11.2</v>
      </c>
      <c r="L12">
        <v>16.7</v>
      </c>
      <c r="M12">
        <v>50.7</v>
      </c>
    </row>
    <row r="13" spans="1:13" x14ac:dyDescent="0.25">
      <c r="A13" t="s">
        <v>113</v>
      </c>
      <c r="B13">
        <v>18.8</v>
      </c>
      <c r="C13">
        <v>15.6</v>
      </c>
      <c r="D13">
        <v>31</v>
      </c>
      <c r="E13">
        <v>34</v>
      </c>
      <c r="F13">
        <v>1.1000000000000001</v>
      </c>
      <c r="G13">
        <v>2.5</v>
      </c>
      <c r="H13">
        <v>10.4</v>
      </c>
      <c r="I13">
        <v>60.3</v>
      </c>
      <c r="J13">
        <v>17.2</v>
      </c>
      <c r="K13">
        <v>12.2</v>
      </c>
      <c r="L13">
        <v>16.899999999999999</v>
      </c>
      <c r="M13">
        <v>47.2</v>
      </c>
    </row>
    <row r="14" spans="1:13" x14ac:dyDescent="0.25">
      <c r="A14" t="s">
        <v>114</v>
      </c>
      <c r="B14">
        <v>24.2</v>
      </c>
      <c r="C14">
        <v>21.1</v>
      </c>
      <c r="D14">
        <v>24.1</v>
      </c>
      <c r="E14">
        <v>32.9</v>
      </c>
      <c r="F14">
        <v>1.4</v>
      </c>
      <c r="G14">
        <v>1.7</v>
      </c>
      <c r="H14">
        <v>9</v>
      </c>
      <c r="I14">
        <v>61.7</v>
      </c>
      <c r="J14">
        <v>19.3</v>
      </c>
      <c r="K14">
        <v>10</v>
      </c>
      <c r="L14">
        <v>12.9</v>
      </c>
      <c r="M14">
        <v>43.2</v>
      </c>
    </row>
    <row r="15" spans="1:13" x14ac:dyDescent="0.25">
      <c r="A15" t="s">
        <v>115</v>
      </c>
      <c r="B15">
        <v>33.799999999999997</v>
      </c>
      <c r="C15">
        <v>29.6</v>
      </c>
      <c r="D15">
        <v>31.4</v>
      </c>
      <c r="E15">
        <v>44.9</v>
      </c>
      <c r="F15">
        <v>1.4</v>
      </c>
      <c r="G15">
        <v>1.3</v>
      </c>
      <c r="H15">
        <v>5.3</v>
      </c>
      <c r="I15">
        <v>72.5</v>
      </c>
      <c r="J15">
        <v>15</v>
      </c>
      <c r="K15">
        <v>7.1</v>
      </c>
      <c r="L15">
        <v>12.6</v>
      </c>
      <c r="M15">
        <v>59.5</v>
      </c>
    </row>
    <row r="16" spans="1:13" x14ac:dyDescent="0.25">
      <c r="A16" t="s">
        <v>116</v>
      </c>
      <c r="B16">
        <v>24.7</v>
      </c>
      <c r="C16">
        <v>23.2</v>
      </c>
      <c r="D16">
        <v>25.8</v>
      </c>
      <c r="E16">
        <v>36.200000000000003</v>
      </c>
      <c r="F16">
        <v>1.4</v>
      </c>
      <c r="G16">
        <v>1.5</v>
      </c>
      <c r="H16">
        <v>5.6</v>
      </c>
      <c r="I16">
        <v>70.7</v>
      </c>
      <c r="J16">
        <v>16.2</v>
      </c>
      <c r="K16">
        <v>7.5</v>
      </c>
      <c r="L16">
        <v>5.9</v>
      </c>
      <c r="M16">
        <v>47</v>
      </c>
    </row>
    <row r="17" spans="1:13" x14ac:dyDescent="0.25">
      <c r="A17" t="s">
        <v>117</v>
      </c>
      <c r="B17">
        <v>35.6</v>
      </c>
      <c r="C17">
        <v>29.6</v>
      </c>
      <c r="D17">
        <v>28.4</v>
      </c>
      <c r="E17">
        <v>37.799999999999997</v>
      </c>
      <c r="F17">
        <v>1.3</v>
      </c>
      <c r="G17">
        <v>1.5</v>
      </c>
      <c r="H17">
        <v>6.9</v>
      </c>
      <c r="I17">
        <v>66.900000000000006</v>
      </c>
      <c r="J17">
        <v>17.899999999999999</v>
      </c>
      <c r="K17">
        <v>8.3000000000000007</v>
      </c>
      <c r="L17">
        <v>16.899999999999999</v>
      </c>
      <c r="M17">
        <v>42.3</v>
      </c>
    </row>
    <row r="18" spans="1:13" x14ac:dyDescent="0.25">
      <c r="A18" t="s">
        <v>118</v>
      </c>
      <c r="B18">
        <v>26.1</v>
      </c>
      <c r="C18">
        <v>23.1</v>
      </c>
      <c r="D18">
        <v>32.4</v>
      </c>
      <c r="E18">
        <v>40</v>
      </c>
      <c r="F18">
        <v>1.2</v>
      </c>
      <c r="G18">
        <v>1.4</v>
      </c>
      <c r="H18">
        <v>7.1</v>
      </c>
      <c r="I18">
        <v>63.2</v>
      </c>
      <c r="J18">
        <v>20.7</v>
      </c>
      <c r="K18">
        <v>9.1</v>
      </c>
      <c r="L18">
        <v>11.3</v>
      </c>
      <c r="M18">
        <v>50.6</v>
      </c>
    </row>
    <row r="19" spans="1:13" x14ac:dyDescent="0.25">
      <c r="A19" t="s">
        <v>119</v>
      </c>
      <c r="B19">
        <v>25.4</v>
      </c>
      <c r="C19">
        <v>22.7</v>
      </c>
      <c r="D19">
        <v>43.6</v>
      </c>
      <c r="E19">
        <v>63.2</v>
      </c>
      <c r="F19">
        <v>1.5</v>
      </c>
      <c r="G19">
        <v>0.9</v>
      </c>
      <c r="H19">
        <v>4.5999999999999996</v>
      </c>
      <c r="I19">
        <v>57.6</v>
      </c>
      <c r="J19">
        <v>22</v>
      </c>
      <c r="K19">
        <v>15.9</v>
      </c>
      <c r="L19">
        <v>10.7</v>
      </c>
      <c r="M19">
        <v>56.2</v>
      </c>
    </row>
    <row r="20" spans="1:13" x14ac:dyDescent="0.25">
      <c r="A20" t="s">
        <v>120</v>
      </c>
      <c r="B20">
        <v>26.4</v>
      </c>
      <c r="C20">
        <v>23</v>
      </c>
      <c r="D20">
        <v>34.5</v>
      </c>
      <c r="E20">
        <v>36.1</v>
      </c>
      <c r="F20">
        <v>1</v>
      </c>
      <c r="G20">
        <v>1.7</v>
      </c>
      <c r="H20">
        <v>5.7</v>
      </c>
      <c r="I20">
        <v>64.5</v>
      </c>
      <c r="J20">
        <v>19.8</v>
      </c>
      <c r="K20">
        <v>10</v>
      </c>
      <c r="L20">
        <v>12.9</v>
      </c>
      <c r="M20">
        <v>47.5</v>
      </c>
    </row>
    <row r="21" spans="1:13" x14ac:dyDescent="0.25">
      <c r="A21" t="s">
        <v>121</v>
      </c>
      <c r="B21">
        <v>28.2</v>
      </c>
      <c r="C21">
        <v>24.3</v>
      </c>
      <c r="D21">
        <v>27</v>
      </c>
      <c r="E21">
        <v>35</v>
      </c>
      <c r="F21">
        <v>1.3</v>
      </c>
      <c r="G21">
        <v>3.3</v>
      </c>
      <c r="H21">
        <v>8</v>
      </c>
      <c r="I21">
        <v>65.3</v>
      </c>
      <c r="J21">
        <v>17.899999999999999</v>
      </c>
      <c r="K21">
        <v>8.6999999999999993</v>
      </c>
      <c r="L21">
        <v>13.6</v>
      </c>
      <c r="M21">
        <v>48.6</v>
      </c>
    </row>
    <row r="22" spans="1:13" x14ac:dyDescent="0.25">
      <c r="A22" t="s">
        <v>122</v>
      </c>
      <c r="B22">
        <v>41.9</v>
      </c>
      <c r="C22">
        <v>31.5</v>
      </c>
      <c r="D22">
        <v>35.5</v>
      </c>
      <c r="E22">
        <v>42.8</v>
      </c>
      <c r="F22">
        <v>1.2</v>
      </c>
      <c r="G22">
        <v>1.4</v>
      </c>
      <c r="H22">
        <v>7.3</v>
      </c>
      <c r="I22">
        <v>62.6</v>
      </c>
      <c r="J22">
        <v>20</v>
      </c>
      <c r="K22">
        <v>10.1</v>
      </c>
      <c r="L22">
        <v>24.8</v>
      </c>
      <c r="M22">
        <v>41.9</v>
      </c>
    </row>
    <row r="23" spans="1:13" x14ac:dyDescent="0.25">
      <c r="A23" t="s">
        <v>123</v>
      </c>
      <c r="B23">
        <v>34.1</v>
      </c>
      <c r="C23">
        <v>28</v>
      </c>
      <c r="D23">
        <v>32.6</v>
      </c>
      <c r="E23">
        <v>43.3</v>
      </c>
      <c r="F23">
        <v>1.3</v>
      </c>
      <c r="G23">
        <v>1.3</v>
      </c>
      <c r="H23">
        <v>8.6999999999999993</v>
      </c>
      <c r="I23">
        <v>64.3</v>
      </c>
      <c r="J23">
        <v>17.8</v>
      </c>
      <c r="K23">
        <v>9.1999999999999993</v>
      </c>
      <c r="L23">
        <v>17.8</v>
      </c>
      <c r="M23">
        <v>45.3</v>
      </c>
    </row>
    <row r="24" spans="1:13" x14ac:dyDescent="0.25">
      <c r="A24" t="s">
        <v>124</v>
      </c>
      <c r="B24">
        <v>42.3</v>
      </c>
      <c r="C24">
        <v>38.6</v>
      </c>
      <c r="D24">
        <v>30</v>
      </c>
      <c r="E24">
        <v>47.6</v>
      </c>
      <c r="F24">
        <v>1.6</v>
      </c>
      <c r="G24">
        <v>1.5</v>
      </c>
      <c r="H24">
        <v>5.2</v>
      </c>
      <c r="I24">
        <v>73</v>
      </c>
      <c r="J24">
        <v>14.9</v>
      </c>
      <c r="K24">
        <v>6.8</v>
      </c>
      <c r="L24">
        <v>8.6999999999999993</v>
      </c>
      <c r="M24">
        <v>45.6</v>
      </c>
    </row>
    <row r="25" spans="1:13" x14ac:dyDescent="0.25">
      <c r="A25" t="s">
        <v>125</v>
      </c>
      <c r="B25">
        <v>47.1</v>
      </c>
      <c r="C25">
        <v>35.799999999999997</v>
      </c>
      <c r="D25">
        <v>38.4</v>
      </c>
      <c r="E25">
        <v>49.9</v>
      </c>
      <c r="F25">
        <v>1.3</v>
      </c>
      <c r="G25">
        <v>1.1000000000000001</v>
      </c>
      <c r="H25">
        <v>10.4</v>
      </c>
      <c r="I25">
        <v>60.8</v>
      </c>
      <c r="J25">
        <v>18.600000000000001</v>
      </c>
      <c r="K25">
        <v>10.199999999999999</v>
      </c>
      <c r="L25">
        <v>23.9</v>
      </c>
      <c r="M25">
        <v>57.7</v>
      </c>
    </row>
    <row r="26" spans="1:13" x14ac:dyDescent="0.25">
      <c r="A26" t="s">
        <v>126</v>
      </c>
      <c r="B26">
        <v>26.9</v>
      </c>
      <c r="C26">
        <v>24.2</v>
      </c>
      <c r="D26">
        <v>24.4</v>
      </c>
      <c r="E26">
        <v>34.799999999999997</v>
      </c>
      <c r="F26">
        <v>1.4</v>
      </c>
      <c r="G26">
        <v>1.7</v>
      </c>
      <c r="H26">
        <v>3.8</v>
      </c>
      <c r="I26">
        <v>75</v>
      </c>
      <c r="J26">
        <v>14.5</v>
      </c>
      <c r="K26">
        <v>6.7</v>
      </c>
      <c r="L26">
        <v>10</v>
      </c>
      <c r="M26">
        <v>53.6</v>
      </c>
    </row>
    <row r="27" spans="1:13" x14ac:dyDescent="0.25">
      <c r="A27" t="s">
        <v>127</v>
      </c>
      <c r="B27">
        <v>32.299999999999997</v>
      </c>
      <c r="C27">
        <v>25.8</v>
      </c>
      <c r="D27">
        <v>33</v>
      </c>
      <c r="E27">
        <v>41.6</v>
      </c>
      <c r="F27">
        <v>1.3</v>
      </c>
      <c r="G27">
        <v>1.4</v>
      </c>
      <c r="H27">
        <v>7.1</v>
      </c>
      <c r="I27">
        <v>60.9</v>
      </c>
      <c r="J27">
        <v>21</v>
      </c>
      <c r="K27">
        <v>11.1</v>
      </c>
      <c r="L27">
        <v>20.2</v>
      </c>
      <c r="M27">
        <v>35.299999999999997</v>
      </c>
    </row>
    <row r="28" spans="1:13" x14ac:dyDescent="0.25">
      <c r="A28" t="s">
        <v>128</v>
      </c>
      <c r="B28">
        <v>31.1</v>
      </c>
      <c r="C28">
        <v>24.5</v>
      </c>
      <c r="D28">
        <v>35.299999999999997</v>
      </c>
      <c r="E28">
        <v>38.700000000000003</v>
      </c>
      <c r="F28">
        <v>1.1000000000000001</v>
      </c>
      <c r="G28">
        <v>1.7</v>
      </c>
      <c r="H28">
        <v>6.5</v>
      </c>
      <c r="I28">
        <v>57.1</v>
      </c>
      <c r="J28">
        <v>22.2</v>
      </c>
      <c r="K28">
        <v>14.3</v>
      </c>
      <c r="L28">
        <v>21</v>
      </c>
      <c r="M28">
        <v>37.299999999999997</v>
      </c>
    </row>
    <row r="29" spans="1:13" x14ac:dyDescent="0.25">
      <c r="A29" t="s">
        <v>129</v>
      </c>
      <c r="B29">
        <v>46.1</v>
      </c>
      <c r="C29">
        <v>37.5</v>
      </c>
      <c r="D29">
        <v>36.6</v>
      </c>
      <c r="E29">
        <v>47.9</v>
      </c>
      <c r="F29">
        <v>1.3</v>
      </c>
      <c r="G29">
        <v>1.7</v>
      </c>
      <c r="H29">
        <v>8.4</v>
      </c>
      <c r="I29">
        <v>66.2</v>
      </c>
      <c r="J29">
        <v>17.399999999999999</v>
      </c>
      <c r="K29">
        <v>8</v>
      </c>
      <c r="L29">
        <v>18.5</v>
      </c>
      <c r="M29">
        <v>50.6</v>
      </c>
    </row>
    <row r="30" spans="1:13" x14ac:dyDescent="0.25">
      <c r="A30" t="s">
        <v>87</v>
      </c>
      <c r="B30">
        <v>34.4</v>
      </c>
      <c r="C30">
        <v>28.4</v>
      </c>
      <c r="D30">
        <v>35.200000000000003</v>
      </c>
      <c r="E30">
        <v>45.1</v>
      </c>
      <c r="F30">
        <v>1.3</v>
      </c>
      <c r="G30">
        <v>1.4</v>
      </c>
      <c r="H30">
        <v>7.3</v>
      </c>
      <c r="I30">
        <v>63</v>
      </c>
      <c r="J30">
        <v>19.3</v>
      </c>
      <c r="K30">
        <v>10.4</v>
      </c>
      <c r="L30">
        <v>17.600000000000001</v>
      </c>
      <c r="M30">
        <v>48.6</v>
      </c>
    </row>
    <row r="31" spans="1:13" x14ac:dyDescent="0.25">
      <c r="A31" t="s">
        <v>130</v>
      </c>
      <c r="B31">
        <v>26.7</v>
      </c>
      <c r="C31">
        <v>23.1</v>
      </c>
      <c r="D31">
        <v>39.700000000000003</v>
      </c>
      <c r="E31">
        <v>51.6</v>
      </c>
      <c r="F31">
        <v>1.3</v>
      </c>
      <c r="G31">
        <v>1.2</v>
      </c>
      <c r="H31">
        <v>6.6</v>
      </c>
      <c r="I31">
        <v>56.2</v>
      </c>
      <c r="J31">
        <v>20.8</v>
      </c>
      <c r="K31">
        <v>16.399999999999999</v>
      </c>
      <c r="L31">
        <v>13.5</v>
      </c>
      <c r="M31">
        <v>55.8</v>
      </c>
    </row>
    <row r="32" spans="1:13" x14ac:dyDescent="0.25">
      <c r="A32" t="s">
        <v>131</v>
      </c>
      <c r="B32">
        <v>36.9</v>
      </c>
      <c r="C32">
        <v>30</v>
      </c>
      <c r="D32">
        <v>34.299999999999997</v>
      </c>
      <c r="E32">
        <v>43.8</v>
      </c>
      <c r="F32">
        <v>1.3</v>
      </c>
      <c r="G32">
        <v>1.4</v>
      </c>
      <c r="H32">
        <v>7.4</v>
      </c>
      <c r="I32">
        <v>64.599999999999994</v>
      </c>
      <c r="J32">
        <v>18.899999999999999</v>
      </c>
      <c r="K32">
        <v>9.1</v>
      </c>
      <c r="L32">
        <v>18.8</v>
      </c>
      <c r="M32">
        <v>46.5</v>
      </c>
    </row>
  </sheetData>
  <mergeCells count="6">
    <mergeCell ref="L2:M2"/>
    <mergeCell ref="A1:M1"/>
    <mergeCell ref="A2:A4"/>
    <mergeCell ref="H3:H4"/>
    <mergeCell ref="H2:K2"/>
    <mergeCell ref="I3:I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M30"/>
  <sheetViews>
    <sheetView workbookViewId="0"/>
  </sheetViews>
  <sheetFormatPr defaultRowHeight="15" x14ac:dyDescent="0.25"/>
  <cols>
    <col min="1" max="1" width="27.28515625" customWidth="1"/>
    <col min="2" max="2" width="12.7109375" customWidth="1"/>
    <col min="5" max="5" width="12.85546875" customWidth="1"/>
    <col min="6" max="6" width="12.7109375" customWidth="1"/>
    <col min="7" max="7" width="12.85546875" customWidth="1"/>
    <col min="8" max="8" width="12.7109375" customWidth="1"/>
    <col min="9" max="9" width="12.85546875" customWidth="1"/>
    <col min="11" max="11" width="12.7109375" customWidth="1"/>
    <col min="12" max="12" width="12.85546875" customWidth="1"/>
    <col min="13" max="13" width="12.7109375" customWidth="1"/>
  </cols>
  <sheetData>
    <row r="1" spans="1:13" x14ac:dyDescent="0.25">
      <c r="A1" s="27" t="s">
        <v>104</v>
      </c>
      <c r="B1" s="27" t="s">
        <v>411</v>
      </c>
      <c r="C1" s="27"/>
      <c r="D1" s="27"/>
      <c r="E1" s="27" t="s">
        <v>412</v>
      </c>
      <c r="F1" s="27"/>
      <c r="G1" s="27"/>
      <c r="H1" s="27" t="s">
        <v>413</v>
      </c>
      <c r="I1" s="27"/>
      <c r="J1" s="27"/>
      <c r="K1" s="27" t="s">
        <v>414</v>
      </c>
      <c r="L1" s="27"/>
      <c r="M1" s="27"/>
    </row>
    <row r="2" spans="1:13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154</v>
      </c>
      <c r="L2" t="s">
        <v>157</v>
      </c>
      <c r="M2" t="s">
        <v>160</v>
      </c>
    </row>
    <row r="3" spans="1:13" x14ac:dyDescent="0.25">
      <c r="A3" t="s">
        <v>105</v>
      </c>
      <c r="B3">
        <v>94.2</v>
      </c>
      <c r="C3">
        <v>2.5</v>
      </c>
      <c r="D3">
        <v>3.4</v>
      </c>
      <c r="E3">
        <v>83.7</v>
      </c>
      <c r="F3">
        <v>1.4</v>
      </c>
      <c r="G3">
        <v>14.8</v>
      </c>
      <c r="H3">
        <v>79.900000000000006</v>
      </c>
      <c r="I3">
        <v>0.9</v>
      </c>
      <c r="J3">
        <v>19.2</v>
      </c>
      <c r="K3">
        <v>6339</v>
      </c>
      <c r="L3">
        <v>3198</v>
      </c>
      <c r="M3">
        <v>939</v>
      </c>
    </row>
    <row r="4" spans="1:13" x14ac:dyDescent="0.25">
      <c r="A4" t="s">
        <v>106</v>
      </c>
      <c r="B4">
        <v>87.9</v>
      </c>
      <c r="C4">
        <v>4.5</v>
      </c>
      <c r="D4">
        <v>7.7</v>
      </c>
      <c r="E4">
        <v>80.400000000000006</v>
      </c>
      <c r="F4">
        <v>1.6</v>
      </c>
      <c r="G4">
        <v>18</v>
      </c>
      <c r="H4">
        <v>80.599999999999994</v>
      </c>
      <c r="I4">
        <v>1.1000000000000001</v>
      </c>
      <c r="J4">
        <v>18.2</v>
      </c>
      <c r="K4">
        <v>8886</v>
      </c>
      <c r="L4">
        <v>4680</v>
      </c>
      <c r="M4">
        <v>1912</v>
      </c>
    </row>
    <row r="5" spans="1:13" x14ac:dyDescent="0.25">
      <c r="A5" t="s">
        <v>107</v>
      </c>
      <c r="B5">
        <v>86.5</v>
      </c>
      <c r="C5">
        <v>6</v>
      </c>
      <c r="D5">
        <v>7.5</v>
      </c>
      <c r="E5">
        <v>77.099999999999994</v>
      </c>
      <c r="F5">
        <v>2.2000000000000002</v>
      </c>
      <c r="G5">
        <v>20.7</v>
      </c>
      <c r="H5">
        <v>83.3</v>
      </c>
      <c r="I5">
        <v>1.2</v>
      </c>
      <c r="J5">
        <v>15.5</v>
      </c>
      <c r="K5">
        <v>6954</v>
      </c>
      <c r="L5">
        <v>3925</v>
      </c>
      <c r="M5">
        <v>2429</v>
      </c>
    </row>
    <row r="6" spans="1:13" x14ac:dyDescent="0.25">
      <c r="A6" t="s">
        <v>108</v>
      </c>
      <c r="B6">
        <v>92.3</v>
      </c>
      <c r="C6">
        <v>4.0999999999999996</v>
      </c>
      <c r="D6">
        <v>3.6</v>
      </c>
      <c r="E6">
        <v>84.9</v>
      </c>
      <c r="F6">
        <v>0.9</v>
      </c>
      <c r="G6">
        <v>14.2</v>
      </c>
      <c r="H6">
        <v>80.7</v>
      </c>
      <c r="I6">
        <v>0.8</v>
      </c>
      <c r="J6">
        <v>18.5</v>
      </c>
      <c r="K6">
        <v>4996</v>
      </c>
      <c r="L6">
        <v>3089</v>
      </c>
      <c r="M6">
        <v>1320</v>
      </c>
    </row>
    <row r="7" spans="1:13" x14ac:dyDescent="0.25">
      <c r="A7" t="s">
        <v>109</v>
      </c>
      <c r="B7">
        <v>90</v>
      </c>
      <c r="C7">
        <v>3.8</v>
      </c>
      <c r="D7">
        <v>6.3</v>
      </c>
      <c r="E7">
        <v>74.599999999999994</v>
      </c>
      <c r="F7">
        <v>1.1000000000000001</v>
      </c>
      <c r="G7">
        <v>24.2</v>
      </c>
      <c r="H7">
        <v>83.6</v>
      </c>
      <c r="I7">
        <v>0.4</v>
      </c>
      <c r="J7">
        <v>16</v>
      </c>
      <c r="K7">
        <v>6239</v>
      </c>
      <c r="L7">
        <v>2835</v>
      </c>
      <c r="M7">
        <v>1569</v>
      </c>
    </row>
    <row r="8" spans="1:13" x14ac:dyDescent="0.25">
      <c r="A8" t="s">
        <v>110</v>
      </c>
      <c r="B8">
        <v>87.8</v>
      </c>
      <c r="C8">
        <v>5.3</v>
      </c>
      <c r="D8">
        <v>6.9</v>
      </c>
      <c r="E8">
        <v>78.099999999999994</v>
      </c>
      <c r="F8">
        <v>2.2000000000000002</v>
      </c>
      <c r="G8">
        <v>19.7</v>
      </c>
      <c r="H8">
        <v>80.7</v>
      </c>
      <c r="I8">
        <v>0.6</v>
      </c>
      <c r="J8">
        <v>18.7</v>
      </c>
      <c r="K8">
        <v>4944</v>
      </c>
      <c r="L8">
        <v>3064</v>
      </c>
      <c r="M8">
        <v>1491</v>
      </c>
    </row>
    <row r="9" spans="1:13" x14ac:dyDescent="0.25">
      <c r="A9" t="s">
        <v>111</v>
      </c>
      <c r="B9">
        <v>90.7</v>
      </c>
      <c r="C9">
        <v>3.4</v>
      </c>
      <c r="D9">
        <v>5.8</v>
      </c>
      <c r="E9">
        <v>80.400000000000006</v>
      </c>
      <c r="F9">
        <v>1.4</v>
      </c>
      <c r="G9">
        <v>18.100000000000001</v>
      </c>
      <c r="H9">
        <v>85.6</v>
      </c>
      <c r="I9">
        <v>1.2</v>
      </c>
      <c r="J9">
        <v>13.2</v>
      </c>
      <c r="K9">
        <v>4691</v>
      </c>
      <c r="L9">
        <v>3211</v>
      </c>
      <c r="M9">
        <v>1901</v>
      </c>
    </row>
    <row r="10" spans="1:13" x14ac:dyDescent="0.25">
      <c r="A10" t="s">
        <v>112</v>
      </c>
      <c r="B10">
        <v>92.2</v>
      </c>
      <c r="C10">
        <v>5.8</v>
      </c>
      <c r="D10">
        <v>2</v>
      </c>
      <c r="E10">
        <v>86.6</v>
      </c>
      <c r="F10">
        <v>1.5</v>
      </c>
      <c r="G10">
        <v>11.9</v>
      </c>
      <c r="H10">
        <v>85.1</v>
      </c>
      <c r="I10">
        <v>1.2</v>
      </c>
      <c r="J10">
        <v>13.7</v>
      </c>
      <c r="K10">
        <v>10594</v>
      </c>
      <c r="L10">
        <v>6394</v>
      </c>
      <c r="M10">
        <v>3255</v>
      </c>
    </row>
    <row r="11" spans="1:13" x14ac:dyDescent="0.25">
      <c r="A11" t="s">
        <v>113</v>
      </c>
      <c r="B11">
        <v>93</v>
      </c>
      <c r="C11">
        <v>6.4</v>
      </c>
      <c r="D11">
        <v>0.6</v>
      </c>
      <c r="E11">
        <v>78.2</v>
      </c>
      <c r="F11">
        <v>2.4</v>
      </c>
      <c r="G11">
        <v>19.399999999999999</v>
      </c>
      <c r="H11">
        <v>91.3</v>
      </c>
      <c r="I11">
        <v>0.9</v>
      </c>
      <c r="J11">
        <v>7.9</v>
      </c>
      <c r="K11">
        <v>265</v>
      </c>
      <c r="L11">
        <v>174</v>
      </c>
      <c r="M11">
        <v>164</v>
      </c>
    </row>
    <row r="12" spans="1:13" x14ac:dyDescent="0.25">
      <c r="A12" t="s">
        <v>114</v>
      </c>
      <c r="B12">
        <v>89.7</v>
      </c>
      <c r="C12">
        <v>3.7</v>
      </c>
      <c r="D12">
        <v>6.7</v>
      </c>
      <c r="E12">
        <v>84</v>
      </c>
      <c r="F12">
        <v>0.7</v>
      </c>
      <c r="G12">
        <v>15.2</v>
      </c>
      <c r="H12">
        <v>77</v>
      </c>
      <c r="I12">
        <v>0.9</v>
      </c>
      <c r="J12">
        <v>22.1</v>
      </c>
      <c r="K12">
        <v>988</v>
      </c>
      <c r="L12">
        <v>529</v>
      </c>
      <c r="M12">
        <v>113</v>
      </c>
    </row>
    <row r="13" spans="1:13" x14ac:dyDescent="0.25">
      <c r="A13" t="s">
        <v>115</v>
      </c>
      <c r="B13">
        <v>84.3</v>
      </c>
      <c r="C13">
        <v>6</v>
      </c>
      <c r="D13">
        <v>9.6999999999999993</v>
      </c>
      <c r="E13">
        <v>77.900000000000006</v>
      </c>
      <c r="F13">
        <v>1.1000000000000001</v>
      </c>
      <c r="G13">
        <v>21</v>
      </c>
      <c r="H13">
        <v>86</v>
      </c>
      <c r="I13">
        <v>0.7</v>
      </c>
      <c r="J13">
        <v>13.3</v>
      </c>
      <c r="K13">
        <v>3151</v>
      </c>
      <c r="L13">
        <v>1344</v>
      </c>
      <c r="M13">
        <v>674</v>
      </c>
    </row>
    <row r="14" spans="1:13" x14ac:dyDescent="0.25">
      <c r="A14" t="s">
        <v>116</v>
      </c>
      <c r="B14">
        <v>89.3</v>
      </c>
      <c r="C14">
        <v>3.1</v>
      </c>
      <c r="D14">
        <v>7.6</v>
      </c>
      <c r="E14">
        <v>82.5</v>
      </c>
      <c r="F14">
        <v>3.1</v>
      </c>
      <c r="G14">
        <v>14.4</v>
      </c>
      <c r="H14">
        <v>92.4</v>
      </c>
      <c r="I14">
        <v>0</v>
      </c>
      <c r="J14">
        <v>7.6</v>
      </c>
      <c r="K14">
        <v>785</v>
      </c>
      <c r="L14">
        <v>367</v>
      </c>
      <c r="M14">
        <v>173</v>
      </c>
    </row>
    <row r="15" spans="1:13" x14ac:dyDescent="0.25">
      <c r="A15" t="s">
        <v>117</v>
      </c>
      <c r="B15">
        <v>84.1</v>
      </c>
      <c r="C15">
        <v>5.9</v>
      </c>
      <c r="D15">
        <v>9.9</v>
      </c>
      <c r="E15">
        <v>77.900000000000006</v>
      </c>
      <c r="F15">
        <v>2.9</v>
      </c>
      <c r="G15">
        <v>19.2</v>
      </c>
      <c r="H15">
        <v>86.7</v>
      </c>
      <c r="I15">
        <v>1.1000000000000001</v>
      </c>
      <c r="J15">
        <v>12.1</v>
      </c>
      <c r="K15">
        <v>1628</v>
      </c>
      <c r="L15">
        <v>872</v>
      </c>
      <c r="M15">
        <v>410</v>
      </c>
    </row>
    <row r="16" spans="1:13" x14ac:dyDescent="0.25">
      <c r="A16" t="s">
        <v>118</v>
      </c>
      <c r="B16">
        <v>92.3</v>
      </c>
      <c r="C16">
        <v>3.9</v>
      </c>
      <c r="D16">
        <v>3.9</v>
      </c>
      <c r="E16">
        <v>81.400000000000006</v>
      </c>
      <c r="F16">
        <v>3</v>
      </c>
      <c r="G16">
        <v>15.6</v>
      </c>
      <c r="H16">
        <v>77.099999999999994</v>
      </c>
      <c r="I16">
        <v>1.8</v>
      </c>
      <c r="J16">
        <v>21.2</v>
      </c>
      <c r="K16">
        <v>668</v>
      </c>
      <c r="L16">
        <v>326</v>
      </c>
      <c r="M16">
        <v>121</v>
      </c>
    </row>
    <row r="17" spans="1:13" x14ac:dyDescent="0.25">
      <c r="A17" t="s">
        <v>119</v>
      </c>
      <c r="B17">
        <v>94.9</v>
      </c>
      <c r="C17">
        <v>2.5</v>
      </c>
      <c r="D17">
        <v>2.6</v>
      </c>
      <c r="E17">
        <v>84.5</v>
      </c>
      <c r="F17">
        <v>2.2000000000000002</v>
      </c>
      <c r="G17">
        <v>13.3</v>
      </c>
      <c r="H17">
        <v>85.6</v>
      </c>
      <c r="I17">
        <v>1.6</v>
      </c>
      <c r="J17">
        <v>12.8</v>
      </c>
      <c r="K17">
        <v>8607</v>
      </c>
      <c r="L17">
        <v>4786</v>
      </c>
      <c r="M17">
        <v>3096</v>
      </c>
    </row>
    <row r="18" spans="1:13" x14ac:dyDescent="0.25">
      <c r="A18" t="s">
        <v>120</v>
      </c>
      <c r="B18">
        <v>82.7</v>
      </c>
      <c r="C18">
        <v>3</v>
      </c>
      <c r="D18">
        <v>14.3</v>
      </c>
      <c r="E18">
        <v>61.6</v>
      </c>
      <c r="F18">
        <v>2.6</v>
      </c>
      <c r="G18">
        <v>35.799999999999997</v>
      </c>
      <c r="H18">
        <v>79.8</v>
      </c>
      <c r="I18">
        <v>5.5</v>
      </c>
      <c r="J18">
        <v>14.7</v>
      </c>
      <c r="K18">
        <v>453</v>
      </c>
      <c r="L18">
        <v>143</v>
      </c>
      <c r="M18">
        <v>423</v>
      </c>
    </row>
    <row r="19" spans="1:13" x14ac:dyDescent="0.25">
      <c r="A19" t="s">
        <v>121</v>
      </c>
      <c r="B19">
        <v>87.7</v>
      </c>
      <c r="C19">
        <v>6.8</v>
      </c>
      <c r="D19">
        <v>5.5</v>
      </c>
      <c r="E19">
        <v>80.900000000000006</v>
      </c>
      <c r="F19">
        <v>1</v>
      </c>
      <c r="G19">
        <v>18.2</v>
      </c>
      <c r="H19">
        <v>89.8</v>
      </c>
      <c r="I19">
        <v>0.3</v>
      </c>
      <c r="J19">
        <v>9.9</v>
      </c>
      <c r="K19">
        <v>2125</v>
      </c>
      <c r="L19">
        <v>1023</v>
      </c>
      <c r="M19">
        <v>505</v>
      </c>
    </row>
    <row r="20" spans="1:13" x14ac:dyDescent="0.25">
      <c r="A20" t="s">
        <v>122</v>
      </c>
      <c r="B20">
        <v>90.1</v>
      </c>
      <c r="C20">
        <v>4.9000000000000004</v>
      </c>
      <c r="D20">
        <v>5</v>
      </c>
      <c r="E20">
        <v>77.599999999999994</v>
      </c>
      <c r="F20">
        <v>0.5</v>
      </c>
      <c r="G20">
        <v>21.8</v>
      </c>
      <c r="H20">
        <v>84.2</v>
      </c>
      <c r="I20">
        <v>0.9</v>
      </c>
      <c r="J20">
        <v>14.9</v>
      </c>
      <c r="K20">
        <v>7857</v>
      </c>
      <c r="L20">
        <v>4105</v>
      </c>
      <c r="M20">
        <v>2621</v>
      </c>
    </row>
    <row r="21" spans="1:13" x14ac:dyDescent="0.25">
      <c r="A21" t="s">
        <v>123</v>
      </c>
      <c r="B21">
        <v>88.8</v>
      </c>
      <c r="C21">
        <v>6.2</v>
      </c>
      <c r="D21">
        <v>5</v>
      </c>
      <c r="E21">
        <v>84.1</v>
      </c>
      <c r="F21">
        <v>0.7</v>
      </c>
      <c r="G21">
        <v>15.2</v>
      </c>
      <c r="H21">
        <v>89.6</v>
      </c>
      <c r="I21">
        <v>0.8</v>
      </c>
      <c r="J21">
        <v>9.6</v>
      </c>
      <c r="K21">
        <v>4068</v>
      </c>
      <c r="L21">
        <v>2242</v>
      </c>
      <c r="M21">
        <v>978</v>
      </c>
    </row>
    <row r="22" spans="1:13" x14ac:dyDescent="0.25">
      <c r="A22" t="s">
        <v>124</v>
      </c>
      <c r="B22">
        <v>82.7</v>
      </c>
      <c r="C22">
        <v>3.4</v>
      </c>
      <c r="D22">
        <v>13.8</v>
      </c>
      <c r="E22">
        <v>82.7</v>
      </c>
      <c r="F22">
        <v>0.7</v>
      </c>
      <c r="G22">
        <v>16.600000000000001</v>
      </c>
      <c r="H22">
        <v>89.9</v>
      </c>
      <c r="I22">
        <v>0.8</v>
      </c>
      <c r="J22">
        <v>9.3000000000000007</v>
      </c>
      <c r="K22">
        <v>1205</v>
      </c>
      <c r="L22">
        <v>683</v>
      </c>
      <c r="M22">
        <v>304</v>
      </c>
    </row>
    <row r="23" spans="1:13" x14ac:dyDescent="0.25">
      <c r="A23" t="s">
        <v>125</v>
      </c>
      <c r="B23">
        <v>90.7</v>
      </c>
      <c r="C23">
        <v>5.0999999999999996</v>
      </c>
      <c r="D23">
        <v>4.2</v>
      </c>
      <c r="E23">
        <v>84.4</v>
      </c>
      <c r="F23">
        <v>2.1</v>
      </c>
      <c r="G23">
        <v>13.5</v>
      </c>
      <c r="H23">
        <v>86.6</v>
      </c>
      <c r="I23">
        <v>1.2</v>
      </c>
      <c r="J23">
        <v>12.2</v>
      </c>
      <c r="K23">
        <v>9631</v>
      </c>
      <c r="L23">
        <v>6202</v>
      </c>
      <c r="M23">
        <v>3050</v>
      </c>
    </row>
    <row r="24" spans="1:13" x14ac:dyDescent="0.25">
      <c r="A24" t="s">
        <v>126</v>
      </c>
      <c r="B24">
        <v>79.7</v>
      </c>
      <c r="C24">
        <v>8.1</v>
      </c>
      <c r="D24">
        <v>12.2</v>
      </c>
      <c r="E24">
        <v>80.599999999999994</v>
      </c>
      <c r="F24">
        <v>2</v>
      </c>
      <c r="G24">
        <v>17.5</v>
      </c>
      <c r="H24">
        <v>88.7</v>
      </c>
      <c r="I24">
        <v>1.2</v>
      </c>
      <c r="J24">
        <v>10.199999999999999</v>
      </c>
      <c r="K24">
        <v>866</v>
      </c>
      <c r="L24">
        <v>511</v>
      </c>
      <c r="M24">
        <v>239</v>
      </c>
    </row>
    <row r="25" spans="1:13" x14ac:dyDescent="0.25">
      <c r="A25" t="s">
        <v>127</v>
      </c>
      <c r="B25">
        <v>95.5</v>
      </c>
      <c r="C25">
        <v>2.9</v>
      </c>
      <c r="D25">
        <v>1.6</v>
      </c>
      <c r="E25">
        <v>83.4</v>
      </c>
      <c r="F25">
        <v>0.9</v>
      </c>
      <c r="G25">
        <v>15.6</v>
      </c>
      <c r="H25">
        <v>82.7</v>
      </c>
      <c r="I25">
        <v>0.9</v>
      </c>
      <c r="J25">
        <v>16.5</v>
      </c>
      <c r="K25">
        <v>5088</v>
      </c>
      <c r="L25">
        <v>3049</v>
      </c>
      <c r="M25">
        <v>1304</v>
      </c>
    </row>
    <row r="26" spans="1:13" x14ac:dyDescent="0.25">
      <c r="A26" t="s">
        <v>128</v>
      </c>
      <c r="B26">
        <v>90.9</v>
      </c>
      <c r="C26">
        <v>5.8</v>
      </c>
      <c r="D26">
        <v>3.3</v>
      </c>
      <c r="E26">
        <v>84.5</v>
      </c>
      <c r="F26">
        <v>2.1</v>
      </c>
      <c r="G26">
        <v>13.4</v>
      </c>
      <c r="H26">
        <v>82.3</v>
      </c>
      <c r="I26">
        <v>1.2</v>
      </c>
      <c r="J26">
        <v>16.5</v>
      </c>
      <c r="K26">
        <v>7951</v>
      </c>
      <c r="L26">
        <v>5880</v>
      </c>
      <c r="M26">
        <v>2919</v>
      </c>
    </row>
    <row r="27" spans="1:13" x14ac:dyDescent="0.25">
      <c r="A27" t="s">
        <v>129</v>
      </c>
      <c r="B27">
        <v>83.4</v>
      </c>
      <c r="C27">
        <v>4.5999999999999996</v>
      </c>
      <c r="D27">
        <v>12</v>
      </c>
      <c r="E27">
        <v>74</v>
      </c>
      <c r="F27">
        <v>2</v>
      </c>
      <c r="G27">
        <v>23.9</v>
      </c>
      <c r="H27">
        <v>86.5</v>
      </c>
      <c r="I27">
        <v>1.2</v>
      </c>
      <c r="J27">
        <v>12.4</v>
      </c>
      <c r="K27">
        <v>3969</v>
      </c>
      <c r="L27">
        <v>2331</v>
      </c>
      <c r="M27">
        <v>1406</v>
      </c>
    </row>
    <row r="28" spans="1:13" x14ac:dyDescent="0.25">
      <c r="A28" t="s">
        <v>87</v>
      </c>
      <c r="B28">
        <v>89.5</v>
      </c>
      <c r="C28">
        <v>4.7</v>
      </c>
      <c r="D28">
        <v>5.9</v>
      </c>
      <c r="E28">
        <v>81</v>
      </c>
      <c r="F28">
        <v>1.6</v>
      </c>
      <c r="G28">
        <v>17.399999999999999</v>
      </c>
      <c r="H28">
        <v>84.1</v>
      </c>
      <c r="I28">
        <v>1.1000000000000001</v>
      </c>
      <c r="J28">
        <v>14.8</v>
      </c>
      <c r="K28">
        <v>112948</v>
      </c>
      <c r="L28">
        <v>64963</v>
      </c>
      <c r="M28">
        <v>33316</v>
      </c>
    </row>
    <row r="29" spans="1:13" x14ac:dyDescent="0.25">
      <c r="A29" t="s">
        <v>265</v>
      </c>
      <c r="B29">
        <v>91.9</v>
      </c>
      <c r="C29">
        <v>3.4</v>
      </c>
      <c r="D29">
        <v>4.7</v>
      </c>
      <c r="E29">
        <v>85.2</v>
      </c>
      <c r="F29">
        <v>2.2000000000000002</v>
      </c>
      <c r="G29">
        <v>12.6</v>
      </c>
      <c r="H29">
        <v>86</v>
      </c>
      <c r="I29">
        <v>1.2</v>
      </c>
      <c r="J29">
        <v>12.8</v>
      </c>
      <c r="K29">
        <v>19865</v>
      </c>
      <c r="L29">
        <v>13622</v>
      </c>
      <c r="M29">
        <v>9571</v>
      </c>
    </row>
    <row r="30" spans="1:13" x14ac:dyDescent="0.25">
      <c r="A30" t="s">
        <v>266</v>
      </c>
      <c r="B30">
        <v>89</v>
      </c>
      <c r="C30">
        <v>4.9000000000000004</v>
      </c>
      <c r="D30">
        <v>6.1</v>
      </c>
      <c r="E30">
        <v>80</v>
      </c>
      <c r="F30">
        <v>1.5</v>
      </c>
      <c r="G30">
        <v>18.5</v>
      </c>
      <c r="H30">
        <v>83.3</v>
      </c>
      <c r="I30">
        <v>1.1000000000000001</v>
      </c>
      <c r="J30">
        <v>15.7</v>
      </c>
      <c r="K30">
        <v>93083</v>
      </c>
      <c r="L30">
        <v>51341</v>
      </c>
      <c r="M30">
        <v>23745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</sheetPr>
  <dimension ref="A1:M30"/>
  <sheetViews>
    <sheetView workbookViewId="0"/>
  </sheetViews>
  <sheetFormatPr defaultRowHeight="15" x14ac:dyDescent="0.25"/>
  <cols>
    <col min="1" max="1" width="26.42578125" customWidth="1"/>
    <col min="2" max="2" width="12.85546875" customWidth="1"/>
    <col min="13" max="13" width="12.140625" customWidth="1"/>
  </cols>
  <sheetData>
    <row r="1" spans="1:13" x14ac:dyDescent="0.25">
      <c r="A1" s="27" t="s">
        <v>104</v>
      </c>
      <c r="B1" s="27" t="s">
        <v>411</v>
      </c>
      <c r="C1" s="27"/>
      <c r="D1" s="27"/>
      <c r="E1" s="27" t="s">
        <v>412</v>
      </c>
      <c r="F1" s="27"/>
      <c r="G1" s="27"/>
      <c r="H1" s="27" t="s">
        <v>413</v>
      </c>
      <c r="I1" s="27"/>
      <c r="J1" s="27"/>
      <c r="K1" s="27" t="s">
        <v>414</v>
      </c>
      <c r="L1" s="27"/>
      <c r="M1" s="27"/>
    </row>
    <row r="2" spans="1:13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154</v>
      </c>
      <c r="L2" t="s">
        <v>157</v>
      </c>
      <c r="M2" t="s">
        <v>160</v>
      </c>
    </row>
    <row r="3" spans="1:13" x14ac:dyDescent="0.25">
      <c r="A3" t="s">
        <v>105</v>
      </c>
      <c r="B3">
        <v>92.1</v>
      </c>
      <c r="C3">
        <v>3.6</v>
      </c>
      <c r="D3">
        <v>4.4000000000000004</v>
      </c>
      <c r="E3">
        <v>80.099999999999994</v>
      </c>
      <c r="F3">
        <v>2.5</v>
      </c>
      <c r="G3">
        <v>17.399999999999999</v>
      </c>
      <c r="H3">
        <v>77.900000000000006</v>
      </c>
      <c r="I3">
        <v>1.3</v>
      </c>
      <c r="J3">
        <v>20.8</v>
      </c>
      <c r="K3">
        <v>12227</v>
      </c>
      <c r="L3">
        <v>5584</v>
      </c>
      <c r="M3">
        <v>1608</v>
      </c>
    </row>
    <row r="4" spans="1:13" x14ac:dyDescent="0.25">
      <c r="A4" t="s">
        <v>106</v>
      </c>
      <c r="B4">
        <v>85.5</v>
      </c>
      <c r="C4">
        <v>5.9</v>
      </c>
      <c r="D4">
        <v>8.6</v>
      </c>
      <c r="E4">
        <v>77.5</v>
      </c>
      <c r="F4">
        <v>2.8</v>
      </c>
      <c r="G4">
        <v>19.7</v>
      </c>
      <c r="H4">
        <v>79.900000000000006</v>
      </c>
      <c r="I4">
        <v>1.6</v>
      </c>
      <c r="J4">
        <v>18.5</v>
      </c>
      <c r="K4">
        <v>16856</v>
      </c>
      <c r="L4">
        <v>8389</v>
      </c>
      <c r="M4">
        <v>3219</v>
      </c>
    </row>
    <row r="5" spans="1:13" x14ac:dyDescent="0.25">
      <c r="A5" t="s">
        <v>107</v>
      </c>
      <c r="B5">
        <v>83.6</v>
      </c>
      <c r="C5">
        <v>8.1</v>
      </c>
      <c r="D5">
        <v>8.3000000000000007</v>
      </c>
      <c r="E5">
        <v>74.2</v>
      </c>
      <c r="F5">
        <v>3.4</v>
      </c>
      <c r="G5">
        <v>22.4</v>
      </c>
      <c r="H5">
        <v>81</v>
      </c>
      <c r="I5">
        <v>1.8</v>
      </c>
      <c r="J5">
        <v>17.2</v>
      </c>
      <c r="K5">
        <v>13226</v>
      </c>
      <c r="L5">
        <v>7000</v>
      </c>
      <c r="M5">
        <v>4204</v>
      </c>
    </row>
    <row r="6" spans="1:13" x14ac:dyDescent="0.25">
      <c r="A6" t="s">
        <v>108</v>
      </c>
      <c r="B6">
        <v>89.3</v>
      </c>
      <c r="C6">
        <v>5.8</v>
      </c>
      <c r="D6">
        <v>4.9000000000000004</v>
      </c>
      <c r="E6">
        <v>80.7</v>
      </c>
      <c r="F6">
        <v>2.1</v>
      </c>
      <c r="G6">
        <v>17.2</v>
      </c>
      <c r="H6">
        <v>79.3</v>
      </c>
      <c r="I6">
        <v>1.1000000000000001</v>
      </c>
      <c r="J6">
        <v>19.7</v>
      </c>
      <c r="K6">
        <v>9307</v>
      </c>
      <c r="L6">
        <v>5308</v>
      </c>
      <c r="M6">
        <v>2234</v>
      </c>
    </row>
    <row r="7" spans="1:13" x14ac:dyDescent="0.25">
      <c r="A7" t="s">
        <v>109</v>
      </c>
      <c r="B7">
        <v>88</v>
      </c>
      <c r="C7">
        <v>4.8</v>
      </c>
      <c r="D7">
        <v>7.2</v>
      </c>
      <c r="E7">
        <v>72</v>
      </c>
      <c r="F7">
        <v>2.1</v>
      </c>
      <c r="G7">
        <v>25.9</v>
      </c>
      <c r="H7">
        <v>79.8</v>
      </c>
      <c r="I7">
        <v>0.5</v>
      </c>
      <c r="J7">
        <v>19.600000000000001</v>
      </c>
      <c r="K7">
        <v>12059</v>
      </c>
      <c r="L7">
        <v>5267</v>
      </c>
      <c r="M7">
        <v>2853</v>
      </c>
    </row>
    <row r="8" spans="1:13" x14ac:dyDescent="0.25">
      <c r="A8" t="s">
        <v>110</v>
      </c>
      <c r="B8">
        <v>84.6</v>
      </c>
      <c r="C8">
        <v>7.1</v>
      </c>
      <c r="D8">
        <v>8.3000000000000007</v>
      </c>
      <c r="E8">
        <v>75.900000000000006</v>
      </c>
      <c r="F8">
        <v>3.4</v>
      </c>
      <c r="G8">
        <v>20.7</v>
      </c>
      <c r="H8">
        <v>79.400000000000006</v>
      </c>
      <c r="I8">
        <v>1</v>
      </c>
      <c r="J8">
        <v>19.600000000000001</v>
      </c>
      <c r="K8">
        <v>9325</v>
      </c>
      <c r="L8">
        <v>5367</v>
      </c>
      <c r="M8">
        <v>2630</v>
      </c>
    </row>
    <row r="9" spans="1:13" x14ac:dyDescent="0.25">
      <c r="A9" t="s">
        <v>111</v>
      </c>
      <c r="B9">
        <v>87.7</v>
      </c>
      <c r="C9">
        <v>4.9000000000000004</v>
      </c>
      <c r="D9">
        <v>7.4</v>
      </c>
      <c r="E9">
        <v>76.8</v>
      </c>
      <c r="F9">
        <v>2.8</v>
      </c>
      <c r="G9">
        <v>20.399999999999999</v>
      </c>
      <c r="H9">
        <v>83.3</v>
      </c>
      <c r="I9">
        <v>1.5</v>
      </c>
      <c r="J9">
        <v>15.1</v>
      </c>
      <c r="K9">
        <v>8870</v>
      </c>
      <c r="L9">
        <v>5868</v>
      </c>
      <c r="M9">
        <v>3523</v>
      </c>
    </row>
    <row r="10" spans="1:13" x14ac:dyDescent="0.25">
      <c r="A10" t="s">
        <v>112</v>
      </c>
      <c r="B10">
        <v>89.2</v>
      </c>
      <c r="C10">
        <v>7.8</v>
      </c>
      <c r="D10">
        <v>3</v>
      </c>
      <c r="E10">
        <v>83.3</v>
      </c>
      <c r="F10">
        <v>2.7</v>
      </c>
      <c r="G10">
        <v>14</v>
      </c>
      <c r="H10">
        <v>83</v>
      </c>
      <c r="I10">
        <v>1.7</v>
      </c>
      <c r="J10">
        <v>15.3</v>
      </c>
      <c r="K10">
        <v>20970</v>
      </c>
      <c r="L10">
        <v>11430</v>
      </c>
      <c r="M10">
        <v>5566</v>
      </c>
    </row>
    <row r="11" spans="1:13" x14ac:dyDescent="0.25">
      <c r="A11" t="s">
        <v>113</v>
      </c>
      <c r="B11">
        <v>88.8</v>
      </c>
      <c r="C11">
        <v>10.1</v>
      </c>
      <c r="D11">
        <v>1.1000000000000001</v>
      </c>
      <c r="E11">
        <v>74.599999999999994</v>
      </c>
      <c r="F11">
        <v>4.5999999999999996</v>
      </c>
      <c r="G11">
        <v>20.8</v>
      </c>
      <c r="H11">
        <v>88</v>
      </c>
      <c r="I11">
        <v>1.5</v>
      </c>
      <c r="J11">
        <v>10.5</v>
      </c>
      <c r="K11">
        <v>510</v>
      </c>
      <c r="L11">
        <v>369</v>
      </c>
      <c r="M11">
        <v>278</v>
      </c>
    </row>
    <row r="12" spans="1:13" x14ac:dyDescent="0.25">
      <c r="A12" t="s">
        <v>114</v>
      </c>
      <c r="B12">
        <v>87.2</v>
      </c>
      <c r="C12">
        <v>4.8</v>
      </c>
      <c r="D12">
        <v>7.9</v>
      </c>
      <c r="E12">
        <v>82.7</v>
      </c>
      <c r="F12">
        <v>1.3</v>
      </c>
      <c r="G12">
        <v>16</v>
      </c>
      <c r="H12">
        <v>73.7</v>
      </c>
      <c r="I12">
        <v>0.9</v>
      </c>
      <c r="J12">
        <v>25.3</v>
      </c>
      <c r="K12">
        <v>1933</v>
      </c>
      <c r="L12">
        <v>1019</v>
      </c>
      <c r="M12">
        <v>224</v>
      </c>
    </row>
    <row r="13" spans="1:13" x14ac:dyDescent="0.25">
      <c r="A13" t="s">
        <v>115</v>
      </c>
      <c r="B13">
        <v>81.599999999999994</v>
      </c>
      <c r="C13">
        <v>7.6</v>
      </c>
      <c r="D13">
        <v>10.7</v>
      </c>
      <c r="E13">
        <v>75.400000000000006</v>
      </c>
      <c r="F13">
        <v>2</v>
      </c>
      <c r="G13">
        <v>22.7</v>
      </c>
      <c r="H13">
        <v>83.9</v>
      </c>
      <c r="I13">
        <v>1.5</v>
      </c>
      <c r="J13">
        <v>14.6</v>
      </c>
      <c r="K13">
        <v>6019</v>
      </c>
      <c r="L13">
        <v>2401</v>
      </c>
      <c r="M13">
        <v>1266</v>
      </c>
    </row>
    <row r="14" spans="1:13" x14ac:dyDescent="0.25">
      <c r="A14" t="s">
        <v>116</v>
      </c>
      <c r="B14">
        <v>86.9</v>
      </c>
      <c r="C14">
        <v>3.7</v>
      </c>
      <c r="D14">
        <v>9.4</v>
      </c>
      <c r="E14">
        <v>79.099999999999994</v>
      </c>
      <c r="F14">
        <v>5.0999999999999996</v>
      </c>
      <c r="G14">
        <v>15.7</v>
      </c>
      <c r="H14">
        <v>90.6</v>
      </c>
      <c r="I14">
        <v>0.1</v>
      </c>
      <c r="J14">
        <v>9.3000000000000007</v>
      </c>
      <c r="K14">
        <v>1441</v>
      </c>
      <c r="L14">
        <v>642</v>
      </c>
      <c r="M14">
        <v>312</v>
      </c>
    </row>
    <row r="15" spans="1:13" x14ac:dyDescent="0.25">
      <c r="A15" t="s">
        <v>117</v>
      </c>
      <c r="B15">
        <v>81.7</v>
      </c>
      <c r="C15">
        <v>7.9</v>
      </c>
      <c r="D15">
        <v>10.4</v>
      </c>
      <c r="E15">
        <v>75.400000000000006</v>
      </c>
      <c r="F15">
        <v>4.7</v>
      </c>
      <c r="G15">
        <v>19.899999999999999</v>
      </c>
      <c r="H15">
        <v>84</v>
      </c>
      <c r="I15">
        <v>2.1</v>
      </c>
      <c r="J15">
        <v>13.8</v>
      </c>
      <c r="K15">
        <v>3077</v>
      </c>
      <c r="L15">
        <v>1667</v>
      </c>
      <c r="M15">
        <v>822</v>
      </c>
    </row>
    <row r="16" spans="1:13" x14ac:dyDescent="0.25">
      <c r="A16" t="s">
        <v>118</v>
      </c>
      <c r="B16">
        <v>90.2</v>
      </c>
      <c r="C16">
        <v>5.5</v>
      </c>
      <c r="D16">
        <v>4.3</v>
      </c>
      <c r="E16">
        <v>78.2</v>
      </c>
      <c r="F16">
        <v>4.5999999999999996</v>
      </c>
      <c r="G16">
        <v>17.2</v>
      </c>
      <c r="H16">
        <v>76.400000000000006</v>
      </c>
      <c r="I16">
        <v>1.9</v>
      </c>
      <c r="J16">
        <v>21.7</v>
      </c>
      <c r="K16">
        <v>1252</v>
      </c>
      <c r="L16">
        <v>586</v>
      </c>
      <c r="M16">
        <v>230</v>
      </c>
    </row>
    <row r="17" spans="1:13" x14ac:dyDescent="0.25">
      <c r="A17" t="s">
        <v>119</v>
      </c>
      <c r="B17">
        <v>92.6</v>
      </c>
      <c r="C17">
        <v>3.5</v>
      </c>
      <c r="D17">
        <v>3.9</v>
      </c>
      <c r="E17">
        <v>83.9</v>
      </c>
      <c r="F17">
        <v>3.1</v>
      </c>
      <c r="G17">
        <v>12.9</v>
      </c>
      <c r="H17">
        <v>83.5</v>
      </c>
      <c r="I17">
        <v>2.2000000000000002</v>
      </c>
      <c r="J17">
        <v>14.3</v>
      </c>
      <c r="K17">
        <v>16643</v>
      </c>
      <c r="L17">
        <v>9597</v>
      </c>
      <c r="M17">
        <v>5888</v>
      </c>
    </row>
    <row r="18" spans="1:13" x14ac:dyDescent="0.25">
      <c r="A18" t="s">
        <v>120</v>
      </c>
      <c r="B18">
        <v>81.400000000000006</v>
      </c>
      <c r="C18">
        <v>4.2</v>
      </c>
      <c r="D18">
        <v>14.4</v>
      </c>
      <c r="E18">
        <v>59</v>
      </c>
      <c r="F18">
        <v>4.8</v>
      </c>
      <c r="G18">
        <v>36.200000000000003</v>
      </c>
      <c r="H18">
        <v>79.2</v>
      </c>
      <c r="I18">
        <v>5.6</v>
      </c>
      <c r="J18">
        <v>15.2</v>
      </c>
      <c r="K18">
        <v>873</v>
      </c>
      <c r="L18">
        <v>285</v>
      </c>
      <c r="M18">
        <v>845</v>
      </c>
    </row>
    <row r="19" spans="1:13" x14ac:dyDescent="0.25">
      <c r="A19" t="s">
        <v>121</v>
      </c>
      <c r="B19">
        <v>84</v>
      </c>
      <c r="C19">
        <v>9</v>
      </c>
      <c r="D19">
        <v>7.1</v>
      </c>
      <c r="E19">
        <v>80</v>
      </c>
      <c r="F19">
        <v>1.4</v>
      </c>
      <c r="G19">
        <v>18.7</v>
      </c>
      <c r="H19">
        <v>87.7</v>
      </c>
      <c r="I19">
        <v>0.4</v>
      </c>
      <c r="J19">
        <v>11.9</v>
      </c>
      <c r="K19">
        <v>3926</v>
      </c>
      <c r="L19">
        <v>1837</v>
      </c>
      <c r="M19">
        <v>932</v>
      </c>
    </row>
    <row r="20" spans="1:13" x14ac:dyDescent="0.25">
      <c r="A20" t="s">
        <v>122</v>
      </c>
      <c r="B20">
        <v>88.1</v>
      </c>
      <c r="C20">
        <v>6.6</v>
      </c>
      <c r="D20">
        <v>5.3</v>
      </c>
      <c r="E20">
        <v>75.900000000000006</v>
      </c>
      <c r="F20">
        <v>1</v>
      </c>
      <c r="G20">
        <v>23.1</v>
      </c>
      <c r="H20">
        <v>81</v>
      </c>
      <c r="I20">
        <v>1.2</v>
      </c>
      <c r="J20">
        <v>17.7</v>
      </c>
      <c r="K20">
        <v>15683</v>
      </c>
      <c r="L20">
        <v>7429</v>
      </c>
      <c r="M20">
        <v>4407</v>
      </c>
    </row>
    <row r="21" spans="1:13" x14ac:dyDescent="0.25">
      <c r="A21" t="s">
        <v>123</v>
      </c>
      <c r="B21">
        <v>86</v>
      </c>
      <c r="C21">
        <v>7.7</v>
      </c>
      <c r="D21">
        <v>6.3</v>
      </c>
      <c r="E21">
        <v>82.2</v>
      </c>
      <c r="F21">
        <v>1.3</v>
      </c>
      <c r="G21">
        <v>16.5</v>
      </c>
      <c r="H21">
        <v>86</v>
      </c>
      <c r="I21">
        <v>1.3</v>
      </c>
      <c r="J21">
        <v>12.7</v>
      </c>
      <c r="K21">
        <v>7887</v>
      </c>
      <c r="L21">
        <v>4031</v>
      </c>
      <c r="M21">
        <v>1592</v>
      </c>
    </row>
    <row r="22" spans="1:13" x14ac:dyDescent="0.25">
      <c r="A22" t="s">
        <v>124</v>
      </c>
      <c r="B22">
        <v>81.400000000000006</v>
      </c>
      <c r="C22">
        <v>4.0999999999999996</v>
      </c>
      <c r="D22">
        <v>14.5</v>
      </c>
      <c r="E22">
        <v>80.900000000000006</v>
      </c>
      <c r="F22">
        <v>1.3</v>
      </c>
      <c r="G22">
        <v>17.899999999999999</v>
      </c>
      <c r="H22">
        <v>89.3</v>
      </c>
      <c r="I22">
        <v>0.9</v>
      </c>
      <c r="J22">
        <v>9.6999999999999993</v>
      </c>
      <c r="K22">
        <v>2356</v>
      </c>
      <c r="L22">
        <v>1378</v>
      </c>
      <c r="M22">
        <v>611</v>
      </c>
    </row>
    <row r="23" spans="1:13" x14ac:dyDescent="0.25">
      <c r="A23" t="s">
        <v>125</v>
      </c>
      <c r="B23">
        <v>87.3</v>
      </c>
      <c r="C23">
        <v>7.2</v>
      </c>
      <c r="D23">
        <v>5.5</v>
      </c>
      <c r="E23">
        <v>80.599999999999994</v>
      </c>
      <c r="F23">
        <v>3.9</v>
      </c>
      <c r="G23">
        <v>15.6</v>
      </c>
      <c r="H23">
        <v>82.7</v>
      </c>
      <c r="I23">
        <v>1.9</v>
      </c>
      <c r="J23">
        <v>15.4</v>
      </c>
      <c r="K23">
        <v>18318</v>
      </c>
      <c r="L23">
        <v>10470</v>
      </c>
      <c r="M23">
        <v>5268</v>
      </c>
    </row>
    <row r="24" spans="1:13" x14ac:dyDescent="0.25">
      <c r="A24" t="s">
        <v>126</v>
      </c>
      <c r="B24">
        <v>77.7</v>
      </c>
      <c r="C24">
        <v>9.4</v>
      </c>
      <c r="D24">
        <v>13</v>
      </c>
      <c r="E24">
        <v>78.3</v>
      </c>
      <c r="F24">
        <v>2.6</v>
      </c>
      <c r="G24">
        <v>19.100000000000001</v>
      </c>
      <c r="H24">
        <v>86.4</v>
      </c>
      <c r="I24">
        <v>2.4</v>
      </c>
      <c r="J24">
        <v>11.2</v>
      </c>
      <c r="K24">
        <v>1679</v>
      </c>
      <c r="L24">
        <v>969</v>
      </c>
      <c r="M24">
        <v>469</v>
      </c>
    </row>
    <row r="25" spans="1:13" x14ac:dyDescent="0.25">
      <c r="A25" t="s">
        <v>127</v>
      </c>
      <c r="B25">
        <v>93.6</v>
      </c>
      <c r="C25">
        <v>4.2</v>
      </c>
      <c r="D25">
        <v>2.2000000000000002</v>
      </c>
      <c r="E25">
        <v>80.8</v>
      </c>
      <c r="F25">
        <v>2.1</v>
      </c>
      <c r="G25">
        <v>17.100000000000001</v>
      </c>
      <c r="H25">
        <v>80.599999999999994</v>
      </c>
      <c r="I25">
        <v>1.2</v>
      </c>
      <c r="J25">
        <v>18.2</v>
      </c>
      <c r="K25">
        <v>10104</v>
      </c>
      <c r="L25">
        <v>5665</v>
      </c>
      <c r="M25">
        <v>2572</v>
      </c>
    </row>
    <row r="26" spans="1:13" x14ac:dyDescent="0.25">
      <c r="A26" t="s">
        <v>128</v>
      </c>
      <c r="B26">
        <v>87.2</v>
      </c>
      <c r="C26">
        <v>8.3000000000000007</v>
      </c>
      <c r="D26">
        <v>4.5</v>
      </c>
      <c r="E26">
        <v>86.4</v>
      </c>
      <c r="F26">
        <v>3.5</v>
      </c>
      <c r="G26">
        <v>10.1</v>
      </c>
      <c r="H26">
        <v>78.5</v>
      </c>
      <c r="I26">
        <v>1.9</v>
      </c>
      <c r="J26">
        <v>19.600000000000001</v>
      </c>
      <c r="K26">
        <v>15511</v>
      </c>
      <c r="L26">
        <v>13361</v>
      </c>
      <c r="M26">
        <v>5286</v>
      </c>
    </row>
    <row r="27" spans="1:13" x14ac:dyDescent="0.25">
      <c r="A27" t="s">
        <v>129</v>
      </c>
      <c r="B27">
        <v>81.599999999999994</v>
      </c>
      <c r="C27">
        <v>5.9</v>
      </c>
      <c r="D27">
        <v>12.5</v>
      </c>
      <c r="E27">
        <v>69.900000000000006</v>
      </c>
      <c r="F27">
        <v>3.4</v>
      </c>
      <c r="G27">
        <v>26.7</v>
      </c>
      <c r="H27">
        <v>81.5</v>
      </c>
      <c r="I27">
        <v>1.5</v>
      </c>
      <c r="J27">
        <v>17</v>
      </c>
      <c r="K27">
        <v>7595</v>
      </c>
      <c r="L27">
        <v>3996</v>
      </c>
      <c r="M27">
        <v>2451</v>
      </c>
    </row>
    <row r="28" spans="1:13" x14ac:dyDescent="0.25">
      <c r="A28" t="s">
        <v>87</v>
      </c>
      <c r="B28">
        <v>86.9</v>
      </c>
      <c r="C28">
        <v>6.3</v>
      </c>
      <c r="D28">
        <v>6.8</v>
      </c>
      <c r="E28">
        <v>78.599999999999994</v>
      </c>
      <c r="F28">
        <v>2.8</v>
      </c>
      <c r="G28">
        <v>18.600000000000001</v>
      </c>
      <c r="H28">
        <v>81.5</v>
      </c>
      <c r="I28">
        <v>1.6</v>
      </c>
      <c r="J28">
        <v>16.899999999999999</v>
      </c>
      <c r="K28">
        <v>217647</v>
      </c>
      <c r="L28">
        <v>119915</v>
      </c>
      <c r="M28">
        <v>59290</v>
      </c>
    </row>
    <row r="29" spans="1:13" x14ac:dyDescent="0.25">
      <c r="A29" t="s">
        <v>265</v>
      </c>
      <c r="B29">
        <v>89.5</v>
      </c>
      <c r="C29">
        <v>4.8</v>
      </c>
      <c r="D29">
        <v>5.7</v>
      </c>
      <c r="E29">
        <v>83.1</v>
      </c>
      <c r="F29">
        <v>3.4</v>
      </c>
      <c r="G29">
        <v>13.5</v>
      </c>
      <c r="H29">
        <v>83.4</v>
      </c>
      <c r="I29">
        <v>1.7</v>
      </c>
      <c r="J29">
        <v>14.8</v>
      </c>
      <c r="K29">
        <v>38374</v>
      </c>
      <c r="L29">
        <v>25844</v>
      </c>
      <c r="M29">
        <v>17560</v>
      </c>
    </row>
    <row r="30" spans="1:13" x14ac:dyDescent="0.25">
      <c r="A30" t="s">
        <v>266</v>
      </c>
      <c r="B30">
        <v>86.4</v>
      </c>
      <c r="C30">
        <v>6.6</v>
      </c>
      <c r="D30">
        <v>7</v>
      </c>
      <c r="E30">
        <v>77.5</v>
      </c>
      <c r="F30">
        <v>2.6</v>
      </c>
      <c r="G30">
        <v>19.899999999999999</v>
      </c>
      <c r="H30">
        <v>80.7</v>
      </c>
      <c r="I30">
        <v>1.5</v>
      </c>
      <c r="J30">
        <v>17.8</v>
      </c>
      <c r="K30">
        <v>179273</v>
      </c>
      <c r="L30">
        <v>94071</v>
      </c>
      <c r="M30">
        <v>41730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M30"/>
  <sheetViews>
    <sheetView workbookViewId="0"/>
  </sheetViews>
  <sheetFormatPr defaultRowHeight="15" x14ac:dyDescent="0.25"/>
  <cols>
    <col min="1" max="1" width="26.140625" customWidth="1"/>
    <col min="2" max="2" width="13.140625" customWidth="1"/>
    <col min="3" max="3" width="12.85546875" customWidth="1"/>
    <col min="4" max="4" width="13.140625" customWidth="1"/>
    <col min="5" max="5" width="12.85546875" customWidth="1"/>
    <col min="6" max="6" width="13.140625" customWidth="1"/>
    <col min="8" max="8" width="12.85546875" customWidth="1"/>
    <col min="11" max="11" width="12.42578125" customWidth="1"/>
    <col min="12" max="12" width="12.7109375" customWidth="1"/>
    <col min="13" max="13" width="12.42578125" customWidth="1"/>
  </cols>
  <sheetData>
    <row r="1" spans="1:13" x14ac:dyDescent="0.25">
      <c r="A1" s="27" t="s">
        <v>104</v>
      </c>
      <c r="B1" s="27" t="s">
        <v>411</v>
      </c>
      <c r="C1" s="27"/>
      <c r="D1" s="27"/>
      <c r="E1" s="27" t="s">
        <v>412</v>
      </c>
      <c r="F1" s="27"/>
      <c r="G1" s="27"/>
      <c r="H1" s="27" t="s">
        <v>413</v>
      </c>
      <c r="I1" s="27"/>
      <c r="J1" s="27"/>
      <c r="K1" s="27" t="s">
        <v>414</v>
      </c>
      <c r="L1" s="27"/>
      <c r="M1" s="27"/>
    </row>
    <row r="2" spans="1:13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154</v>
      </c>
      <c r="L2" t="s">
        <v>157</v>
      </c>
      <c r="M2" t="s">
        <v>160</v>
      </c>
    </row>
    <row r="3" spans="1:13" x14ac:dyDescent="0.25">
      <c r="A3" t="s">
        <v>105</v>
      </c>
      <c r="B3">
        <v>90.1</v>
      </c>
      <c r="C3">
        <v>4.5999999999999996</v>
      </c>
      <c r="D3">
        <v>5.3</v>
      </c>
      <c r="E3">
        <v>76.099999999999994</v>
      </c>
      <c r="F3">
        <v>3.7</v>
      </c>
      <c r="G3">
        <v>20.3</v>
      </c>
      <c r="H3">
        <v>75.5</v>
      </c>
      <c r="I3">
        <v>1.7</v>
      </c>
      <c r="J3">
        <v>22.8</v>
      </c>
      <c r="K3">
        <v>5888</v>
      </c>
      <c r="L3">
        <v>2386</v>
      </c>
      <c r="M3">
        <v>669</v>
      </c>
    </row>
    <row r="4" spans="1:13" x14ac:dyDescent="0.25">
      <c r="A4" t="s">
        <v>106</v>
      </c>
      <c r="B4">
        <v>83.3</v>
      </c>
      <c r="C4">
        <v>7.2</v>
      </c>
      <c r="D4">
        <v>9.5</v>
      </c>
      <c r="E4">
        <v>74.2</v>
      </c>
      <c r="F4">
        <v>4.2</v>
      </c>
      <c r="G4">
        <v>21.6</v>
      </c>
      <c r="H4">
        <v>78.900000000000006</v>
      </c>
      <c r="I4">
        <v>2.2000000000000002</v>
      </c>
      <c r="J4">
        <v>18.899999999999999</v>
      </c>
      <c r="K4">
        <v>7970</v>
      </c>
      <c r="L4">
        <v>3709</v>
      </c>
      <c r="M4">
        <v>1307</v>
      </c>
    </row>
    <row r="5" spans="1:13" x14ac:dyDescent="0.25">
      <c r="A5" t="s">
        <v>107</v>
      </c>
      <c r="B5">
        <v>80.900000000000006</v>
      </c>
      <c r="C5">
        <v>10.1</v>
      </c>
      <c r="D5">
        <v>9</v>
      </c>
      <c r="E5">
        <v>71</v>
      </c>
      <c r="F5">
        <v>4.8</v>
      </c>
      <c r="G5">
        <v>24.2</v>
      </c>
      <c r="H5">
        <v>78.099999999999994</v>
      </c>
      <c r="I5">
        <v>2.4</v>
      </c>
      <c r="J5">
        <v>19.5</v>
      </c>
      <c r="K5">
        <v>6272</v>
      </c>
      <c r="L5">
        <v>3075</v>
      </c>
      <c r="M5">
        <v>1775</v>
      </c>
    </row>
    <row r="6" spans="1:13" x14ac:dyDescent="0.25">
      <c r="A6" t="s">
        <v>108</v>
      </c>
      <c r="B6">
        <v>86.5</v>
      </c>
      <c r="C6">
        <v>7.4</v>
      </c>
      <c r="D6">
        <v>6.1</v>
      </c>
      <c r="E6">
        <v>75.900000000000006</v>
      </c>
      <c r="F6">
        <v>3.4</v>
      </c>
      <c r="G6">
        <v>20.7</v>
      </c>
      <c r="H6">
        <v>77.400000000000006</v>
      </c>
      <c r="I6">
        <v>1.4</v>
      </c>
      <c r="J6">
        <v>21.2</v>
      </c>
      <c r="K6">
        <v>4311</v>
      </c>
      <c r="L6">
        <v>2219</v>
      </c>
      <c r="M6">
        <v>914</v>
      </c>
    </row>
    <row r="7" spans="1:13" x14ac:dyDescent="0.25">
      <c r="A7" t="s">
        <v>109</v>
      </c>
      <c r="B7">
        <v>86.2</v>
      </c>
      <c r="C7">
        <v>5.8</v>
      </c>
      <c r="D7">
        <v>8</v>
      </c>
      <c r="E7">
        <v>69.2</v>
      </c>
      <c r="F7">
        <v>3.1</v>
      </c>
      <c r="G7">
        <v>27.7</v>
      </c>
      <c r="H7">
        <v>75.900000000000006</v>
      </c>
      <c r="I7">
        <v>0.7</v>
      </c>
      <c r="J7">
        <v>23.4</v>
      </c>
      <c r="K7">
        <v>5820</v>
      </c>
      <c r="L7">
        <v>2432</v>
      </c>
      <c r="M7">
        <v>1284</v>
      </c>
    </row>
    <row r="8" spans="1:13" x14ac:dyDescent="0.25">
      <c r="A8" t="s">
        <v>110</v>
      </c>
      <c r="B8">
        <v>81.5</v>
      </c>
      <c r="C8">
        <v>8.8000000000000007</v>
      </c>
      <c r="D8">
        <v>9.6999999999999993</v>
      </c>
      <c r="E8">
        <v>73.2</v>
      </c>
      <c r="F8">
        <v>4.9000000000000004</v>
      </c>
      <c r="G8">
        <v>21.8</v>
      </c>
      <c r="H8">
        <v>77.7</v>
      </c>
      <c r="I8">
        <v>1.5</v>
      </c>
      <c r="J8">
        <v>20.8</v>
      </c>
      <c r="K8">
        <v>4381</v>
      </c>
      <c r="L8">
        <v>2303</v>
      </c>
      <c r="M8">
        <v>1139</v>
      </c>
    </row>
    <row r="9" spans="1:13" x14ac:dyDescent="0.25">
      <c r="A9" t="s">
        <v>111</v>
      </c>
      <c r="B9">
        <v>85</v>
      </c>
      <c r="C9">
        <v>6.2</v>
      </c>
      <c r="D9">
        <v>8.9</v>
      </c>
      <c r="E9">
        <v>72.900000000000006</v>
      </c>
      <c r="F9">
        <v>4.3</v>
      </c>
      <c r="G9">
        <v>22.8</v>
      </c>
      <c r="H9">
        <v>80.8</v>
      </c>
      <c r="I9">
        <v>1.9</v>
      </c>
      <c r="J9">
        <v>17.2</v>
      </c>
      <c r="K9">
        <v>4179</v>
      </c>
      <c r="L9">
        <v>2657</v>
      </c>
      <c r="M9">
        <v>1622</v>
      </c>
    </row>
    <row r="10" spans="1:13" x14ac:dyDescent="0.25">
      <c r="A10" t="s">
        <v>112</v>
      </c>
      <c r="B10">
        <v>86.4</v>
      </c>
      <c r="C10">
        <v>9.6</v>
      </c>
      <c r="D10">
        <v>3.9</v>
      </c>
      <c r="E10">
        <v>79.7</v>
      </c>
      <c r="F10">
        <v>4</v>
      </c>
      <c r="G10">
        <v>16.399999999999999</v>
      </c>
      <c r="H10">
        <v>80.400000000000006</v>
      </c>
      <c r="I10">
        <v>2.2000000000000002</v>
      </c>
      <c r="J10">
        <v>17.3</v>
      </c>
      <c r="K10">
        <v>10376</v>
      </c>
      <c r="L10">
        <v>5036</v>
      </c>
      <c r="M10">
        <v>2311</v>
      </c>
    </row>
    <row r="11" spans="1:13" x14ac:dyDescent="0.25">
      <c r="A11" t="s">
        <v>113</v>
      </c>
      <c r="B11">
        <v>84.7</v>
      </c>
      <c r="C11">
        <v>13.8</v>
      </c>
      <c r="D11">
        <v>1.5</v>
      </c>
      <c r="E11">
        <v>71.2</v>
      </c>
      <c r="F11">
        <v>6.7</v>
      </c>
      <c r="G11">
        <v>22.1</v>
      </c>
      <c r="H11">
        <v>84.3</v>
      </c>
      <c r="I11">
        <v>2.2000000000000002</v>
      </c>
      <c r="J11">
        <v>13.5</v>
      </c>
      <c r="K11">
        <v>245</v>
      </c>
      <c r="L11">
        <v>195</v>
      </c>
      <c r="M11">
        <v>114</v>
      </c>
    </row>
    <row r="12" spans="1:13" x14ac:dyDescent="0.25">
      <c r="A12" t="s">
        <v>114</v>
      </c>
      <c r="B12">
        <v>85</v>
      </c>
      <c r="C12">
        <v>5.9</v>
      </c>
      <c r="D12">
        <v>9.1</v>
      </c>
      <c r="E12">
        <v>81.400000000000006</v>
      </c>
      <c r="F12">
        <v>1.9</v>
      </c>
      <c r="G12">
        <v>16.7</v>
      </c>
      <c r="H12">
        <v>70.900000000000006</v>
      </c>
      <c r="I12">
        <v>0.9</v>
      </c>
      <c r="J12">
        <v>28.2</v>
      </c>
      <c r="K12">
        <v>945</v>
      </c>
      <c r="L12">
        <v>490</v>
      </c>
      <c r="M12">
        <v>111</v>
      </c>
    </row>
    <row r="13" spans="1:13" x14ac:dyDescent="0.25">
      <c r="A13" t="s">
        <v>115</v>
      </c>
      <c r="B13">
        <v>79.099999999999994</v>
      </c>
      <c r="C13">
        <v>9.1999999999999993</v>
      </c>
      <c r="D13">
        <v>11.7</v>
      </c>
      <c r="E13">
        <v>72.5</v>
      </c>
      <c r="F13">
        <v>2.9</v>
      </c>
      <c r="G13">
        <v>24.6</v>
      </c>
      <c r="H13">
        <v>81.400000000000006</v>
      </c>
      <c r="I13">
        <v>2.4</v>
      </c>
      <c r="J13">
        <v>16.2</v>
      </c>
      <c r="K13">
        <v>2868</v>
      </c>
      <c r="L13">
        <v>1057</v>
      </c>
      <c r="M13">
        <v>592</v>
      </c>
    </row>
    <row r="14" spans="1:13" x14ac:dyDescent="0.25">
      <c r="A14" t="s">
        <v>116</v>
      </c>
      <c r="B14">
        <v>84.5</v>
      </c>
      <c r="C14">
        <v>4.2</v>
      </c>
      <c r="D14">
        <v>11.3</v>
      </c>
      <c r="E14">
        <v>75.400000000000006</v>
      </c>
      <c r="F14">
        <v>7.4</v>
      </c>
      <c r="G14">
        <v>17.2</v>
      </c>
      <c r="H14">
        <v>88.6</v>
      </c>
      <c r="I14">
        <v>0.2</v>
      </c>
      <c r="J14">
        <v>11.3</v>
      </c>
      <c r="K14">
        <v>656</v>
      </c>
      <c r="L14">
        <v>275</v>
      </c>
      <c r="M14">
        <v>139</v>
      </c>
    </row>
    <row r="15" spans="1:13" x14ac:dyDescent="0.25">
      <c r="A15" t="s">
        <v>117</v>
      </c>
      <c r="B15">
        <v>79.400000000000006</v>
      </c>
      <c r="C15">
        <v>9.6999999999999993</v>
      </c>
      <c r="D15">
        <v>10.8</v>
      </c>
      <c r="E15">
        <v>72.900000000000006</v>
      </c>
      <c r="F15">
        <v>6.6</v>
      </c>
      <c r="G15">
        <v>20.5</v>
      </c>
      <c r="H15">
        <v>81.2</v>
      </c>
      <c r="I15">
        <v>3.2</v>
      </c>
      <c r="J15">
        <v>15.7</v>
      </c>
      <c r="K15">
        <v>1449</v>
      </c>
      <c r="L15">
        <v>795</v>
      </c>
      <c r="M15">
        <v>412</v>
      </c>
    </row>
    <row r="16" spans="1:13" x14ac:dyDescent="0.25">
      <c r="A16" t="s">
        <v>118</v>
      </c>
      <c r="B16">
        <v>88.3</v>
      </c>
      <c r="C16">
        <v>7.1</v>
      </c>
      <c r="D16">
        <v>4.5999999999999996</v>
      </c>
      <c r="E16">
        <v>74.7</v>
      </c>
      <c r="F16">
        <v>6.4</v>
      </c>
      <c r="G16">
        <v>18.899999999999999</v>
      </c>
      <c r="H16">
        <v>75.599999999999994</v>
      </c>
      <c r="I16">
        <v>2.1</v>
      </c>
      <c r="J16">
        <v>22.3</v>
      </c>
      <c r="K16">
        <v>584</v>
      </c>
      <c r="L16">
        <v>260</v>
      </c>
      <c r="M16">
        <v>109</v>
      </c>
    </row>
    <row r="17" spans="1:13" x14ac:dyDescent="0.25">
      <c r="A17" t="s">
        <v>119</v>
      </c>
      <c r="B17">
        <v>90.5</v>
      </c>
      <c r="C17">
        <v>4.4000000000000004</v>
      </c>
      <c r="D17">
        <v>5</v>
      </c>
      <c r="E17">
        <v>83.3</v>
      </c>
      <c r="F17">
        <v>4</v>
      </c>
      <c r="G17">
        <v>12.6</v>
      </c>
      <c r="H17">
        <v>81.3</v>
      </c>
      <c r="I17">
        <v>2.8</v>
      </c>
      <c r="J17">
        <v>16</v>
      </c>
      <c r="K17">
        <v>8036</v>
      </c>
      <c r="L17">
        <v>4811</v>
      </c>
      <c r="M17">
        <v>2792</v>
      </c>
    </row>
    <row r="18" spans="1:13" x14ac:dyDescent="0.25">
      <c r="A18" t="s">
        <v>120</v>
      </c>
      <c r="B18">
        <v>80.2</v>
      </c>
      <c r="C18">
        <v>5.3</v>
      </c>
      <c r="D18">
        <v>14.5</v>
      </c>
      <c r="E18">
        <v>56.5</v>
      </c>
      <c r="F18">
        <v>6.9</v>
      </c>
      <c r="G18">
        <v>36.6</v>
      </c>
      <c r="H18">
        <v>78.599999999999994</v>
      </c>
      <c r="I18">
        <v>5.7</v>
      </c>
      <c r="J18">
        <v>15.7</v>
      </c>
      <c r="K18">
        <v>420</v>
      </c>
      <c r="L18">
        <v>142</v>
      </c>
      <c r="M18">
        <v>422</v>
      </c>
    </row>
    <row r="19" spans="1:13" x14ac:dyDescent="0.25">
      <c r="A19" t="s">
        <v>121</v>
      </c>
      <c r="B19">
        <v>80.400000000000006</v>
      </c>
      <c r="C19">
        <v>11</v>
      </c>
      <c r="D19">
        <v>8.6</v>
      </c>
      <c r="E19">
        <v>78.8</v>
      </c>
      <c r="F19">
        <v>1.8</v>
      </c>
      <c r="G19">
        <v>19.3</v>
      </c>
      <c r="H19">
        <v>85.4</v>
      </c>
      <c r="I19">
        <v>0.4</v>
      </c>
      <c r="J19">
        <v>14.1</v>
      </c>
      <c r="K19">
        <v>1801</v>
      </c>
      <c r="L19">
        <v>814</v>
      </c>
      <c r="M19">
        <v>427</v>
      </c>
    </row>
    <row r="20" spans="1:13" x14ac:dyDescent="0.25">
      <c r="A20" t="s">
        <v>122</v>
      </c>
      <c r="B20">
        <v>86.3</v>
      </c>
      <c r="C20">
        <v>8.1999999999999993</v>
      </c>
      <c r="D20">
        <v>5.5</v>
      </c>
      <c r="E20">
        <v>74</v>
      </c>
      <c r="F20">
        <v>1.4</v>
      </c>
      <c r="G20">
        <v>24.6</v>
      </c>
      <c r="H20">
        <v>77.400000000000006</v>
      </c>
      <c r="I20">
        <v>1.7</v>
      </c>
      <c r="J20">
        <v>20.9</v>
      </c>
      <c r="K20">
        <v>7826</v>
      </c>
      <c r="L20">
        <v>3324</v>
      </c>
      <c r="M20">
        <v>1786</v>
      </c>
    </row>
    <row r="21" spans="1:13" x14ac:dyDescent="0.25">
      <c r="A21" t="s">
        <v>123</v>
      </c>
      <c r="B21">
        <v>83.3</v>
      </c>
      <c r="C21">
        <v>9.1999999999999993</v>
      </c>
      <c r="D21">
        <v>7.5</v>
      </c>
      <c r="E21">
        <v>80</v>
      </c>
      <c r="F21">
        <v>2</v>
      </c>
      <c r="G21">
        <v>18</v>
      </c>
      <c r="H21">
        <v>81.8</v>
      </c>
      <c r="I21">
        <v>1.8</v>
      </c>
      <c r="J21">
        <v>16.3</v>
      </c>
      <c r="K21">
        <v>3819</v>
      </c>
      <c r="L21">
        <v>1789</v>
      </c>
      <c r="M21">
        <v>614</v>
      </c>
    </row>
    <row r="22" spans="1:13" x14ac:dyDescent="0.25">
      <c r="A22" t="s">
        <v>124</v>
      </c>
      <c r="B22">
        <v>80.099999999999994</v>
      </c>
      <c r="C22">
        <v>4.7</v>
      </c>
      <c r="D22">
        <v>15.2</v>
      </c>
      <c r="E22">
        <v>79.099999999999994</v>
      </c>
      <c r="F22">
        <v>1.8</v>
      </c>
      <c r="G22">
        <v>19.100000000000001</v>
      </c>
      <c r="H22">
        <v>88.8</v>
      </c>
      <c r="I22">
        <v>1</v>
      </c>
      <c r="J22">
        <v>10.199999999999999</v>
      </c>
      <c r="K22">
        <v>1151</v>
      </c>
      <c r="L22">
        <v>695</v>
      </c>
      <c r="M22">
        <v>307</v>
      </c>
    </row>
    <row r="23" spans="1:13" x14ac:dyDescent="0.25">
      <c r="A23" t="s">
        <v>125</v>
      </c>
      <c r="B23">
        <v>84.1</v>
      </c>
      <c r="C23">
        <v>9.1999999999999993</v>
      </c>
      <c r="D23">
        <v>6.7</v>
      </c>
      <c r="E23">
        <v>76.099999999999994</v>
      </c>
      <c r="F23">
        <v>5.9</v>
      </c>
      <c r="G23">
        <v>18</v>
      </c>
      <c r="H23">
        <v>77.8</v>
      </c>
      <c r="I23">
        <v>2.8</v>
      </c>
      <c r="J23">
        <v>19.399999999999999</v>
      </c>
      <c r="K23">
        <v>8687</v>
      </c>
      <c r="L23">
        <v>4268</v>
      </c>
      <c r="M23">
        <v>2218</v>
      </c>
    </row>
    <row r="24" spans="1:13" x14ac:dyDescent="0.25">
      <c r="A24" t="s">
        <v>126</v>
      </c>
      <c r="B24">
        <v>75.7</v>
      </c>
      <c r="C24">
        <v>10.6</v>
      </c>
      <c r="D24">
        <v>13.7</v>
      </c>
      <c r="E24">
        <v>75.8</v>
      </c>
      <c r="F24">
        <v>3.2</v>
      </c>
      <c r="G24">
        <v>21</v>
      </c>
      <c r="H24">
        <v>84.1</v>
      </c>
      <c r="I24">
        <v>3.6</v>
      </c>
      <c r="J24">
        <v>12.3</v>
      </c>
      <c r="K24">
        <v>813</v>
      </c>
      <c r="L24">
        <v>458</v>
      </c>
      <c r="M24">
        <v>230</v>
      </c>
    </row>
    <row r="25" spans="1:13" x14ac:dyDescent="0.25">
      <c r="A25" t="s">
        <v>127</v>
      </c>
      <c r="B25">
        <v>91.9</v>
      </c>
      <c r="C25">
        <v>5.4</v>
      </c>
      <c r="D25">
        <v>2.7</v>
      </c>
      <c r="E25">
        <v>77.900000000000006</v>
      </c>
      <c r="F25">
        <v>3.3</v>
      </c>
      <c r="G25">
        <v>18.7</v>
      </c>
      <c r="H25">
        <v>78.5</v>
      </c>
      <c r="I25">
        <v>1.6</v>
      </c>
      <c r="J25">
        <v>19.899999999999999</v>
      </c>
      <c r="K25">
        <v>5016</v>
      </c>
      <c r="L25">
        <v>2616</v>
      </c>
      <c r="M25">
        <v>1268</v>
      </c>
    </row>
    <row r="26" spans="1:13" x14ac:dyDescent="0.25">
      <c r="A26" t="s">
        <v>128</v>
      </c>
      <c r="B26">
        <v>83.7</v>
      </c>
      <c r="C26">
        <v>10.6</v>
      </c>
      <c r="D26">
        <v>5.7</v>
      </c>
      <c r="E26">
        <v>88.3</v>
      </c>
      <c r="F26">
        <v>5</v>
      </c>
      <c r="G26">
        <v>6.7</v>
      </c>
      <c r="H26">
        <v>74.599999999999994</v>
      </c>
      <c r="I26">
        <v>2.6</v>
      </c>
      <c r="J26">
        <v>22.8</v>
      </c>
      <c r="K26">
        <v>7560</v>
      </c>
      <c r="L26">
        <v>7481</v>
      </c>
      <c r="M26">
        <v>2367</v>
      </c>
    </row>
    <row r="27" spans="1:13" x14ac:dyDescent="0.25">
      <c r="A27" t="s">
        <v>129</v>
      </c>
      <c r="B27">
        <v>79.8</v>
      </c>
      <c r="C27">
        <v>7.2</v>
      </c>
      <c r="D27">
        <v>13</v>
      </c>
      <c r="E27">
        <v>65.3</v>
      </c>
      <c r="F27">
        <v>4.9000000000000004</v>
      </c>
      <c r="G27">
        <v>29.8</v>
      </c>
      <c r="H27">
        <v>75.5</v>
      </c>
      <c r="I27">
        <v>1.9</v>
      </c>
      <c r="J27">
        <v>22.5</v>
      </c>
      <c r="K27">
        <v>3626</v>
      </c>
      <c r="L27">
        <v>1665</v>
      </c>
      <c r="M27">
        <v>1045</v>
      </c>
    </row>
    <row r="28" spans="1:13" x14ac:dyDescent="0.25">
      <c r="A28" t="s">
        <v>87</v>
      </c>
      <c r="B28">
        <v>84.5</v>
      </c>
      <c r="C28">
        <v>7.8</v>
      </c>
      <c r="D28">
        <v>7.7</v>
      </c>
      <c r="E28">
        <v>76</v>
      </c>
      <c r="F28">
        <v>4</v>
      </c>
      <c r="G28">
        <v>20</v>
      </c>
      <c r="H28">
        <v>78.599999999999994</v>
      </c>
      <c r="I28">
        <v>2.1</v>
      </c>
      <c r="J28">
        <v>19.3</v>
      </c>
      <c r="K28">
        <v>104699</v>
      </c>
      <c r="L28">
        <v>54952</v>
      </c>
      <c r="M28">
        <v>25974</v>
      </c>
    </row>
    <row r="29" spans="1:13" x14ac:dyDescent="0.25">
      <c r="A29" t="s">
        <v>265</v>
      </c>
      <c r="B29">
        <v>87.2</v>
      </c>
      <c r="C29">
        <v>6.1</v>
      </c>
      <c r="D29">
        <v>6.7</v>
      </c>
      <c r="E29">
        <v>81</v>
      </c>
      <c r="F29">
        <v>4.5999999999999996</v>
      </c>
      <c r="G29">
        <v>14.4</v>
      </c>
      <c r="H29">
        <v>80.599999999999994</v>
      </c>
      <c r="I29">
        <v>2.2999999999999998</v>
      </c>
      <c r="J29">
        <v>17.100000000000001</v>
      </c>
      <c r="K29">
        <v>18509</v>
      </c>
      <c r="L29">
        <v>12222</v>
      </c>
      <c r="M29">
        <v>7989</v>
      </c>
    </row>
    <row r="30" spans="1:13" x14ac:dyDescent="0.25">
      <c r="A30" t="s">
        <v>266</v>
      </c>
      <c r="B30">
        <v>83.9</v>
      </c>
      <c r="C30">
        <v>8.1999999999999993</v>
      </c>
      <c r="D30">
        <v>7.9</v>
      </c>
      <c r="E30">
        <v>74.8</v>
      </c>
      <c r="F30">
        <v>3.9</v>
      </c>
      <c r="G30">
        <v>21.4</v>
      </c>
      <c r="H30">
        <v>77.7</v>
      </c>
      <c r="I30">
        <v>2.1</v>
      </c>
      <c r="J30">
        <v>20.2</v>
      </c>
      <c r="K30">
        <v>86190</v>
      </c>
      <c r="L30">
        <v>42730</v>
      </c>
      <c r="M30">
        <v>17985</v>
      </c>
    </row>
  </sheetData>
  <mergeCells count="5">
    <mergeCell ref="H1:J1"/>
    <mergeCell ref="B1:D1"/>
    <mergeCell ref="A1:A2"/>
    <mergeCell ref="E1:G1"/>
    <mergeCell ref="K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7" t="s">
        <v>104</v>
      </c>
      <c r="B1" s="27" t="s">
        <v>149</v>
      </c>
      <c r="C1" s="27"/>
      <c r="D1" s="27"/>
      <c r="E1" s="27" t="s">
        <v>150</v>
      </c>
      <c r="F1" s="27"/>
      <c r="G1" s="27"/>
      <c r="H1" s="27" t="s">
        <v>151</v>
      </c>
      <c r="I1" s="27"/>
      <c r="J1" s="27"/>
      <c r="K1" s="27" t="s">
        <v>152</v>
      </c>
      <c r="L1" s="27"/>
      <c r="M1" s="27"/>
      <c r="N1" s="27" t="s">
        <v>153</v>
      </c>
      <c r="O1" s="27"/>
      <c r="P1" s="27"/>
      <c r="Q1" s="27" t="s">
        <v>154</v>
      </c>
      <c r="R1" s="27"/>
      <c r="S1" s="27"/>
      <c r="T1" s="27" t="s">
        <v>155</v>
      </c>
      <c r="U1" s="27"/>
      <c r="V1" s="27"/>
      <c r="W1" s="27" t="s">
        <v>156</v>
      </c>
      <c r="X1" s="27"/>
      <c r="Y1" s="27"/>
      <c r="Z1" s="27" t="s">
        <v>157</v>
      </c>
      <c r="AA1" s="27"/>
      <c r="AB1" s="27"/>
      <c r="AC1" s="27" t="s">
        <v>158</v>
      </c>
      <c r="AD1" s="27"/>
      <c r="AE1" s="27"/>
      <c r="AF1" s="27" t="s">
        <v>159</v>
      </c>
      <c r="AG1" s="27"/>
      <c r="AH1" s="27"/>
      <c r="AI1" s="27" t="s">
        <v>160</v>
      </c>
      <c r="AJ1" s="27"/>
      <c r="AK1" s="27"/>
    </row>
    <row r="2" spans="1:37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415</v>
      </c>
      <c r="L2" t="s">
        <v>416</v>
      </c>
      <c r="M2" t="s">
        <v>417</v>
      </c>
      <c r="N2" t="s">
        <v>415</v>
      </c>
      <c r="O2" t="s">
        <v>416</v>
      </c>
      <c r="P2" t="s">
        <v>417</v>
      </c>
      <c r="Q2" t="s">
        <v>415</v>
      </c>
      <c r="R2" t="s">
        <v>416</v>
      </c>
      <c r="S2" t="s">
        <v>417</v>
      </c>
      <c r="T2" t="s">
        <v>415</v>
      </c>
      <c r="U2" t="s">
        <v>416</v>
      </c>
      <c r="V2" t="s">
        <v>417</v>
      </c>
      <c r="W2" t="s">
        <v>415</v>
      </c>
      <c r="X2" t="s">
        <v>416</v>
      </c>
      <c r="Y2" t="s">
        <v>417</v>
      </c>
      <c r="Z2" t="s">
        <v>415</v>
      </c>
      <c r="AA2" t="s">
        <v>416</v>
      </c>
      <c r="AB2" t="s">
        <v>417</v>
      </c>
      <c r="AC2" t="s">
        <v>415</v>
      </c>
      <c r="AD2" t="s">
        <v>416</v>
      </c>
      <c r="AE2" t="s">
        <v>417</v>
      </c>
      <c r="AF2" t="s">
        <v>415</v>
      </c>
      <c r="AG2" t="s">
        <v>416</v>
      </c>
      <c r="AH2" t="s">
        <v>417</v>
      </c>
      <c r="AI2" t="s">
        <v>415</v>
      </c>
      <c r="AJ2" t="s">
        <v>416</v>
      </c>
      <c r="AK2" t="s">
        <v>417</v>
      </c>
    </row>
    <row r="3" spans="1:37" x14ac:dyDescent="0.25">
      <c r="A3" t="s">
        <v>105</v>
      </c>
      <c r="B3">
        <v>92.3</v>
      </c>
      <c r="C3">
        <v>4.5999999999999996</v>
      </c>
      <c r="D3">
        <v>3.1</v>
      </c>
      <c r="E3">
        <v>94.3</v>
      </c>
      <c r="F3">
        <v>3.7</v>
      </c>
      <c r="G3">
        <v>2.1</v>
      </c>
      <c r="H3">
        <v>95.3</v>
      </c>
      <c r="I3">
        <v>2.4</v>
      </c>
      <c r="J3">
        <v>2.2999999999999998</v>
      </c>
      <c r="K3">
        <v>93.7</v>
      </c>
      <c r="L3">
        <v>1.5</v>
      </c>
      <c r="M3">
        <v>4.8</v>
      </c>
      <c r="N3">
        <v>97.7</v>
      </c>
      <c r="O3">
        <v>1</v>
      </c>
      <c r="P3">
        <v>1.2</v>
      </c>
      <c r="Q3">
        <v>92</v>
      </c>
      <c r="R3">
        <v>1</v>
      </c>
      <c r="S3">
        <v>7</v>
      </c>
      <c r="T3">
        <v>83.7</v>
      </c>
      <c r="U3">
        <v>1.3</v>
      </c>
      <c r="V3">
        <v>15.1</v>
      </c>
      <c r="W3">
        <v>86.6</v>
      </c>
      <c r="X3">
        <v>1</v>
      </c>
      <c r="Y3">
        <v>12.4</v>
      </c>
      <c r="Z3">
        <v>80.599999999999994</v>
      </c>
      <c r="AA3">
        <v>2.2000000000000002</v>
      </c>
      <c r="AB3">
        <v>17.2</v>
      </c>
      <c r="AC3">
        <v>87.4</v>
      </c>
      <c r="AD3">
        <v>0.4</v>
      </c>
      <c r="AE3">
        <v>12.2</v>
      </c>
      <c r="AF3">
        <v>92.3</v>
      </c>
      <c r="AG3">
        <v>0.2</v>
      </c>
      <c r="AH3">
        <v>7.4</v>
      </c>
      <c r="AI3">
        <v>52.7</v>
      </c>
      <c r="AJ3">
        <v>2.5</v>
      </c>
      <c r="AK3">
        <v>44.8</v>
      </c>
    </row>
    <row r="4" spans="1:37" x14ac:dyDescent="0.25">
      <c r="A4" t="s">
        <v>106</v>
      </c>
      <c r="B4">
        <v>84.9</v>
      </c>
      <c r="C4">
        <v>9</v>
      </c>
      <c r="D4">
        <v>6.1</v>
      </c>
      <c r="E4">
        <v>89</v>
      </c>
      <c r="F4">
        <v>5.8</v>
      </c>
      <c r="G4">
        <v>5.2</v>
      </c>
      <c r="H4">
        <v>90.7</v>
      </c>
      <c r="I4">
        <v>4.2</v>
      </c>
      <c r="J4">
        <v>5.0999999999999996</v>
      </c>
      <c r="K4">
        <v>93.2</v>
      </c>
      <c r="L4">
        <v>2.7</v>
      </c>
      <c r="M4">
        <v>4.0999999999999996</v>
      </c>
      <c r="N4">
        <v>92.2</v>
      </c>
      <c r="O4">
        <v>1.9</v>
      </c>
      <c r="P4">
        <v>5.9</v>
      </c>
      <c r="Q4">
        <v>76.5</v>
      </c>
      <c r="R4">
        <v>1.5</v>
      </c>
      <c r="S4">
        <v>22</v>
      </c>
      <c r="T4">
        <v>81.3</v>
      </c>
      <c r="U4">
        <v>1.7</v>
      </c>
      <c r="V4">
        <v>16.899999999999999</v>
      </c>
      <c r="W4">
        <v>83.5</v>
      </c>
      <c r="X4">
        <v>1.2</v>
      </c>
      <c r="Y4">
        <v>15.4</v>
      </c>
      <c r="Z4">
        <v>75.3</v>
      </c>
      <c r="AA4">
        <v>2</v>
      </c>
      <c r="AB4">
        <v>22.8</v>
      </c>
      <c r="AC4">
        <v>84.7</v>
      </c>
      <c r="AD4">
        <v>0.6</v>
      </c>
      <c r="AE4">
        <v>14.7</v>
      </c>
      <c r="AF4">
        <v>91.5</v>
      </c>
      <c r="AG4">
        <v>0.5</v>
      </c>
      <c r="AH4">
        <v>8.1</v>
      </c>
      <c r="AI4">
        <v>62.1</v>
      </c>
      <c r="AJ4">
        <v>2.8</v>
      </c>
      <c r="AK4">
        <v>35.1</v>
      </c>
    </row>
    <row r="5" spans="1:37" x14ac:dyDescent="0.25">
      <c r="A5" t="s">
        <v>107</v>
      </c>
      <c r="B5">
        <v>85.4</v>
      </c>
      <c r="C5">
        <v>10.7</v>
      </c>
      <c r="D5">
        <v>3.9</v>
      </c>
      <c r="E5">
        <v>88</v>
      </c>
      <c r="F5">
        <v>7.7</v>
      </c>
      <c r="G5">
        <v>4.3</v>
      </c>
      <c r="H5">
        <v>91.4</v>
      </c>
      <c r="I5">
        <v>6.1</v>
      </c>
      <c r="J5">
        <v>2.5</v>
      </c>
      <c r="K5">
        <v>91.7</v>
      </c>
      <c r="L5">
        <v>4.5</v>
      </c>
      <c r="M5">
        <v>3.8</v>
      </c>
      <c r="N5">
        <v>91.1</v>
      </c>
      <c r="O5">
        <v>3.5</v>
      </c>
      <c r="P5">
        <v>5.3</v>
      </c>
      <c r="Q5">
        <v>69.900000000000006</v>
      </c>
      <c r="R5">
        <v>2.2999999999999998</v>
      </c>
      <c r="S5">
        <v>27.8</v>
      </c>
      <c r="T5">
        <v>84.2</v>
      </c>
      <c r="U5">
        <v>2.7</v>
      </c>
      <c r="V5">
        <v>13.1</v>
      </c>
      <c r="W5">
        <v>83.3</v>
      </c>
      <c r="X5">
        <v>1.6</v>
      </c>
      <c r="Y5">
        <v>15.1</v>
      </c>
      <c r="Z5">
        <v>60.4</v>
      </c>
      <c r="AA5">
        <v>2.4</v>
      </c>
      <c r="AB5">
        <v>37.200000000000003</v>
      </c>
      <c r="AC5">
        <v>84.8</v>
      </c>
      <c r="AD5">
        <v>1.1000000000000001</v>
      </c>
      <c r="AE5">
        <v>14.2</v>
      </c>
      <c r="AF5">
        <v>92.5</v>
      </c>
      <c r="AG5">
        <v>0.5</v>
      </c>
      <c r="AH5">
        <v>7</v>
      </c>
      <c r="AI5">
        <v>70.2</v>
      </c>
      <c r="AJ5">
        <v>2.4</v>
      </c>
      <c r="AK5">
        <v>27.4</v>
      </c>
    </row>
    <row r="6" spans="1:37" x14ac:dyDescent="0.25">
      <c r="A6" t="s">
        <v>108</v>
      </c>
      <c r="B6">
        <v>90.3</v>
      </c>
      <c r="C6">
        <v>8.8000000000000007</v>
      </c>
      <c r="D6">
        <v>0.9</v>
      </c>
      <c r="E6">
        <v>93</v>
      </c>
      <c r="F6">
        <v>5.8</v>
      </c>
      <c r="G6">
        <v>1.2</v>
      </c>
      <c r="H6">
        <v>94.3</v>
      </c>
      <c r="I6">
        <v>3.8</v>
      </c>
      <c r="J6">
        <v>1.9</v>
      </c>
      <c r="K6">
        <v>92.9</v>
      </c>
      <c r="L6">
        <v>3</v>
      </c>
      <c r="M6">
        <v>4</v>
      </c>
      <c r="N6">
        <v>94.5</v>
      </c>
      <c r="O6">
        <v>2</v>
      </c>
      <c r="P6">
        <v>3.5</v>
      </c>
      <c r="Q6">
        <v>88.5</v>
      </c>
      <c r="R6">
        <v>1.1000000000000001</v>
      </c>
      <c r="S6">
        <v>10.4</v>
      </c>
      <c r="T6">
        <v>87.8</v>
      </c>
      <c r="U6">
        <v>1.3</v>
      </c>
      <c r="V6">
        <v>10.9</v>
      </c>
      <c r="W6">
        <v>85.7</v>
      </c>
      <c r="X6">
        <v>0.7</v>
      </c>
      <c r="Y6">
        <v>13.6</v>
      </c>
      <c r="Z6">
        <v>80.2</v>
      </c>
      <c r="AA6">
        <v>0.7</v>
      </c>
      <c r="AB6">
        <v>19.100000000000001</v>
      </c>
      <c r="AC6">
        <v>83.2</v>
      </c>
      <c r="AD6">
        <v>0.1</v>
      </c>
      <c r="AE6">
        <v>16.7</v>
      </c>
      <c r="AF6">
        <v>87.7</v>
      </c>
      <c r="AG6">
        <v>0.3</v>
      </c>
      <c r="AH6">
        <v>12</v>
      </c>
      <c r="AI6">
        <v>68.900000000000006</v>
      </c>
      <c r="AJ6">
        <v>2.2999999999999998</v>
      </c>
      <c r="AK6">
        <v>28.8</v>
      </c>
    </row>
    <row r="7" spans="1:37" x14ac:dyDescent="0.25">
      <c r="A7" t="s">
        <v>109</v>
      </c>
      <c r="B7">
        <v>90.1</v>
      </c>
      <c r="C7">
        <v>7.3</v>
      </c>
      <c r="D7">
        <v>2.6</v>
      </c>
      <c r="E7">
        <v>94</v>
      </c>
      <c r="F7">
        <v>5</v>
      </c>
      <c r="G7">
        <v>1</v>
      </c>
      <c r="H7">
        <v>93</v>
      </c>
      <c r="I7">
        <v>3.8</v>
      </c>
      <c r="J7">
        <v>3.2</v>
      </c>
      <c r="K7">
        <v>93.7</v>
      </c>
      <c r="L7">
        <v>2.7</v>
      </c>
      <c r="M7">
        <v>3.6</v>
      </c>
      <c r="N7">
        <v>95.9</v>
      </c>
      <c r="O7">
        <v>1.7</v>
      </c>
      <c r="P7">
        <v>2.4</v>
      </c>
      <c r="Q7">
        <v>72.400000000000006</v>
      </c>
      <c r="R7">
        <v>2</v>
      </c>
      <c r="S7">
        <v>25.6</v>
      </c>
      <c r="T7">
        <v>82.8</v>
      </c>
      <c r="U7">
        <v>1.1000000000000001</v>
      </c>
      <c r="V7">
        <v>16.100000000000001</v>
      </c>
      <c r="W7">
        <v>77.599999999999994</v>
      </c>
      <c r="X7">
        <v>0.8</v>
      </c>
      <c r="Y7">
        <v>21.6</v>
      </c>
      <c r="Z7">
        <v>59.4</v>
      </c>
      <c r="AA7">
        <v>1.6</v>
      </c>
      <c r="AB7">
        <v>39.1</v>
      </c>
      <c r="AC7">
        <v>84</v>
      </c>
      <c r="AD7">
        <v>0.1</v>
      </c>
      <c r="AE7">
        <v>16</v>
      </c>
      <c r="AF7">
        <v>90.1</v>
      </c>
      <c r="AG7">
        <v>0</v>
      </c>
      <c r="AH7">
        <v>9.8000000000000007</v>
      </c>
      <c r="AI7">
        <v>75</v>
      </c>
      <c r="AJ7">
        <v>1.3</v>
      </c>
      <c r="AK7">
        <v>23.7</v>
      </c>
    </row>
    <row r="8" spans="1:37" x14ac:dyDescent="0.25">
      <c r="A8" t="s">
        <v>110</v>
      </c>
      <c r="B8">
        <v>86.6</v>
      </c>
      <c r="C8">
        <v>10.7</v>
      </c>
      <c r="D8">
        <v>2.7</v>
      </c>
      <c r="E8">
        <v>91.1</v>
      </c>
      <c r="F8">
        <v>7.3</v>
      </c>
      <c r="G8">
        <v>1.6</v>
      </c>
      <c r="H8">
        <v>92.8</v>
      </c>
      <c r="I8">
        <v>5</v>
      </c>
      <c r="J8">
        <v>2.2000000000000002</v>
      </c>
      <c r="K8">
        <v>92.1</v>
      </c>
      <c r="L8">
        <v>3.4</v>
      </c>
      <c r="M8">
        <v>4.5999999999999996</v>
      </c>
      <c r="N8">
        <v>93.4</v>
      </c>
      <c r="O8">
        <v>1.9</v>
      </c>
      <c r="P8">
        <v>4.7</v>
      </c>
      <c r="Q8">
        <v>69.2</v>
      </c>
      <c r="R8">
        <v>1.7</v>
      </c>
      <c r="S8">
        <v>29.1</v>
      </c>
      <c r="T8">
        <v>81.2</v>
      </c>
      <c r="U8">
        <v>2.8</v>
      </c>
      <c r="V8">
        <v>16</v>
      </c>
      <c r="W8">
        <v>83.6</v>
      </c>
      <c r="X8">
        <v>1.3</v>
      </c>
      <c r="Y8">
        <v>15.1</v>
      </c>
      <c r="Z8">
        <v>67.3</v>
      </c>
      <c r="AA8">
        <v>2.2999999999999998</v>
      </c>
      <c r="AB8">
        <v>30.4</v>
      </c>
      <c r="AC8">
        <v>80.3</v>
      </c>
      <c r="AD8">
        <v>0.4</v>
      </c>
      <c r="AE8">
        <v>19.3</v>
      </c>
      <c r="AF8">
        <v>91</v>
      </c>
      <c r="AG8">
        <v>0.4</v>
      </c>
      <c r="AH8">
        <v>8.6</v>
      </c>
      <c r="AI8">
        <v>68.099999999999994</v>
      </c>
      <c r="AJ8">
        <v>1.1000000000000001</v>
      </c>
      <c r="AK8">
        <v>30.8</v>
      </c>
    </row>
    <row r="9" spans="1:37" x14ac:dyDescent="0.25">
      <c r="A9" t="s">
        <v>111</v>
      </c>
      <c r="B9">
        <v>91.5</v>
      </c>
      <c r="C9">
        <v>7.4</v>
      </c>
      <c r="D9">
        <v>1.1000000000000001</v>
      </c>
      <c r="E9">
        <v>93</v>
      </c>
      <c r="F9">
        <v>4.4000000000000004</v>
      </c>
      <c r="G9">
        <v>2.5</v>
      </c>
      <c r="H9">
        <v>93.5</v>
      </c>
      <c r="I9">
        <v>3.2</v>
      </c>
      <c r="J9">
        <v>3.3</v>
      </c>
      <c r="K9">
        <v>94.9</v>
      </c>
      <c r="L9">
        <v>2</v>
      </c>
      <c r="M9">
        <v>3.1</v>
      </c>
      <c r="N9">
        <v>94</v>
      </c>
      <c r="O9">
        <v>2.1</v>
      </c>
      <c r="P9">
        <v>3.9</v>
      </c>
      <c r="Q9">
        <v>77.2</v>
      </c>
      <c r="R9">
        <v>1.2</v>
      </c>
      <c r="S9">
        <v>21.6</v>
      </c>
      <c r="T9">
        <v>83.4</v>
      </c>
      <c r="U9">
        <v>1.7</v>
      </c>
      <c r="V9">
        <v>14.9</v>
      </c>
      <c r="W9">
        <v>82</v>
      </c>
      <c r="X9">
        <v>0.7</v>
      </c>
      <c r="Y9">
        <v>17.3</v>
      </c>
      <c r="Z9">
        <v>75</v>
      </c>
      <c r="AA9">
        <v>1.9</v>
      </c>
      <c r="AB9">
        <v>23.1</v>
      </c>
      <c r="AC9">
        <v>84.2</v>
      </c>
      <c r="AD9">
        <v>1.2</v>
      </c>
      <c r="AE9">
        <v>14.6</v>
      </c>
      <c r="AF9">
        <v>90.3</v>
      </c>
      <c r="AG9">
        <v>0.8</v>
      </c>
      <c r="AH9">
        <v>8.9</v>
      </c>
      <c r="AI9">
        <v>82.3</v>
      </c>
      <c r="AJ9">
        <v>1.6</v>
      </c>
      <c r="AK9">
        <v>16.100000000000001</v>
      </c>
    </row>
    <row r="10" spans="1:37" x14ac:dyDescent="0.25">
      <c r="A10" t="s">
        <v>112</v>
      </c>
      <c r="B10">
        <v>88.6</v>
      </c>
      <c r="C10">
        <v>10.4</v>
      </c>
      <c r="D10">
        <v>1</v>
      </c>
      <c r="E10">
        <v>90.7</v>
      </c>
      <c r="F10">
        <v>7.2</v>
      </c>
      <c r="G10">
        <v>2.1</v>
      </c>
      <c r="H10">
        <v>93</v>
      </c>
      <c r="I10">
        <v>5.9</v>
      </c>
      <c r="J10">
        <v>1.1000000000000001</v>
      </c>
      <c r="K10">
        <v>92.7</v>
      </c>
      <c r="L10">
        <v>4.3</v>
      </c>
      <c r="M10">
        <v>2.9</v>
      </c>
      <c r="N10">
        <v>93.9</v>
      </c>
      <c r="O10">
        <v>3.5</v>
      </c>
      <c r="P10">
        <v>2.5</v>
      </c>
      <c r="Q10">
        <v>95.2</v>
      </c>
      <c r="R10">
        <v>2.2000000000000002</v>
      </c>
      <c r="S10">
        <v>2.6</v>
      </c>
      <c r="T10">
        <v>85.9</v>
      </c>
      <c r="U10">
        <v>1.8</v>
      </c>
      <c r="V10">
        <v>12.3</v>
      </c>
      <c r="W10">
        <v>86.7</v>
      </c>
      <c r="X10">
        <v>1.1000000000000001</v>
      </c>
      <c r="Y10">
        <v>12.2</v>
      </c>
      <c r="Z10">
        <v>87.5</v>
      </c>
      <c r="AA10">
        <v>1.6</v>
      </c>
      <c r="AB10">
        <v>10.9</v>
      </c>
      <c r="AC10">
        <v>85.8</v>
      </c>
      <c r="AD10">
        <v>0.8</v>
      </c>
      <c r="AE10">
        <v>13.4</v>
      </c>
      <c r="AF10">
        <v>88.4</v>
      </c>
      <c r="AG10">
        <v>0.4</v>
      </c>
      <c r="AH10">
        <v>11.2</v>
      </c>
      <c r="AI10">
        <v>80.099999999999994</v>
      </c>
      <c r="AJ10">
        <v>2.9</v>
      </c>
      <c r="AK10">
        <v>17</v>
      </c>
    </row>
    <row r="11" spans="1:37" x14ac:dyDescent="0.25">
      <c r="A11" t="s">
        <v>113</v>
      </c>
      <c r="B11">
        <v>91.6</v>
      </c>
      <c r="C11">
        <v>12.1</v>
      </c>
      <c r="D11" t="s">
        <v>418</v>
      </c>
      <c r="E11">
        <v>98.8</v>
      </c>
      <c r="F11">
        <v>7.5</v>
      </c>
      <c r="G11" t="s">
        <v>418</v>
      </c>
      <c r="H11">
        <v>92.6</v>
      </c>
      <c r="I11">
        <v>7.6</v>
      </c>
      <c r="J11" t="s">
        <v>418</v>
      </c>
      <c r="K11">
        <v>94.4</v>
      </c>
      <c r="L11">
        <v>5.8</v>
      </c>
      <c r="M11" t="s">
        <v>418</v>
      </c>
      <c r="N11">
        <v>94.5</v>
      </c>
      <c r="O11">
        <v>1.4</v>
      </c>
      <c r="P11">
        <v>4.0999999999999996</v>
      </c>
      <c r="Q11">
        <v>84.7</v>
      </c>
      <c r="R11">
        <v>1.3</v>
      </c>
      <c r="S11">
        <v>14.1</v>
      </c>
      <c r="T11">
        <v>74.900000000000006</v>
      </c>
      <c r="U11">
        <v>1.9</v>
      </c>
      <c r="V11">
        <v>23.2</v>
      </c>
      <c r="W11">
        <v>84.5</v>
      </c>
      <c r="X11">
        <v>1.2</v>
      </c>
      <c r="Y11">
        <v>14.3</v>
      </c>
      <c r="Z11">
        <v>75.7</v>
      </c>
      <c r="AA11">
        <v>4.3</v>
      </c>
      <c r="AB11">
        <v>20</v>
      </c>
      <c r="AC11">
        <v>90.3</v>
      </c>
      <c r="AD11">
        <v>1.5</v>
      </c>
      <c r="AE11">
        <v>8.1999999999999993</v>
      </c>
      <c r="AF11">
        <v>92.4</v>
      </c>
      <c r="AG11">
        <v>0</v>
      </c>
      <c r="AH11">
        <v>7.6</v>
      </c>
      <c r="AI11">
        <v>91.1</v>
      </c>
      <c r="AJ11">
        <v>1.1000000000000001</v>
      </c>
      <c r="AK11">
        <v>7.8</v>
      </c>
    </row>
    <row r="12" spans="1:37" x14ac:dyDescent="0.25">
      <c r="A12" t="s">
        <v>114</v>
      </c>
      <c r="B12">
        <v>84.4</v>
      </c>
      <c r="C12">
        <v>8</v>
      </c>
      <c r="D12">
        <v>7.6</v>
      </c>
      <c r="E12">
        <v>87.6</v>
      </c>
      <c r="F12">
        <v>5.2</v>
      </c>
      <c r="G12">
        <v>7.2</v>
      </c>
      <c r="H12">
        <v>90.7</v>
      </c>
      <c r="I12">
        <v>3.6</v>
      </c>
      <c r="J12">
        <v>5.7</v>
      </c>
      <c r="K12">
        <v>92.5</v>
      </c>
      <c r="L12">
        <v>2.2000000000000002</v>
      </c>
      <c r="M12">
        <v>5.3</v>
      </c>
      <c r="N12" t="s">
        <v>418</v>
      </c>
      <c r="O12">
        <v>0.7</v>
      </c>
      <c r="P12" t="s">
        <v>418</v>
      </c>
      <c r="Q12">
        <v>82.4</v>
      </c>
      <c r="R12">
        <v>1</v>
      </c>
      <c r="S12">
        <v>16.600000000000001</v>
      </c>
      <c r="T12">
        <v>84.5</v>
      </c>
      <c r="U12">
        <v>0.5</v>
      </c>
      <c r="V12">
        <v>14.9</v>
      </c>
      <c r="W12">
        <v>90</v>
      </c>
      <c r="X12">
        <v>0.3</v>
      </c>
      <c r="Y12">
        <v>9.8000000000000007</v>
      </c>
      <c r="Z12">
        <v>76.400000000000006</v>
      </c>
      <c r="AA12">
        <v>1.6</v>
      </c>
      <c r="AB12">
        <v>22</v>
      </c>
      <c r="AC12">
        <v>97.9</v>
      </c>
      <c r="AD12">
        <v>0.2</v>
      </c>
      <c r="AE12">
        <v>1.9</v>
      </c>
      <c r="AF12">
        <v>91.5</v>
      </c>
      <c r="AG12">
        <v>0</v>
      </c>
      <c r="AH12">
        <v>8.5</v>
      </c>
      <c r="AI12">
        <v>32.9</v>
      </c>
      <c r="AJ12">
        <v>2.9</v>
      </c>
      <c r="AK12">
        <v>64.099999999999994</v>
      </c>
    </row>
    <row r="13" spans="1:37" x14ac:dyDescent="0.25">
      <c r="A13" t="s">
        <v>115</v>
      </c>
      <c r="B13">
        <v>79.099999999999994</v>
      </c>
      <c r="C13">
        <v>10.9</v>
      </c>
      <c r="D13">
        <v>10</v>
      </c>
      <c r="E13">
        <v>84.2</v>
      </c>
      <c r="F13">
        <v>7.6</v>
      </c>
      <c r="G13">
        <v>8.3000000000000007</v>
      </c>
      <c r="H13">
        <v>84.8</v>
      </c>
      <c r="I13">
        <v>5.9</v>
      </c>
      <c r="J13">
        <v>9.3000000000000007</v>
      </c>
      <c r="K13">
        <v>87.7</v>
      </c>
      <c r="L13">
        <v>3.7</v>
      </c>
      <c r="M13">
        <v>8.6</v>
      </c>
      <c r="N13">
        <v>88.6</v>
      </c>
      <c r="O13">
        <v>2.4</v>
      </c>
      <c r="P13">
        <v>9.1</v>
      </c>
      <c r="Q13">
        <v>83.4</v>
      </c>
      <c r="R13">
        <v>2.2000000000000002</v>
      </c>
      <c r="S13">
        <v>14.4</v>
      </c>
      <c r="T13">
        <v>79</v>
      </c>
      <c r="U13">
        <v>1.1000000000000001</v>
      </c>
      <c r="V13">
        <v>20</v>
      </c>
      <c r="W13">
        <v>78.400000000000006</v>
      </c>
      <c r="X13">
        <v>0.7</v>
      </c>
      <c r="Y13">
        <v>20.9</v>
      </c>
      <c r="Z13">
        <v>75.5</v>
      </c>
      <c r="AA13">
        <v>1.8</v>
      </c>
      <c r="AB13">
        <v>22.7</v>
      </c>
      <c r="AC13">
        <v>85.9</v>
      </c>
      <c r="AD13">
        <v>0.4</v>
      </c>
      <c r="AE13">
        <v>13.7</v>
      </c>
      <c r="AF13">
        <v>90.9</v>
      </c>
      <c r="AG13">
        <v>0.5</v>
      </c>
      <c r="AH13">
        <v>8.6</v>
      </c>
      <c r="AI13">
        <v>79.8</v>
      </c>
      <c r="AJ13">
        <v>1.4</v>
      </c>
      <c r="AK13">
        <v>18.8</v>
      </c>
    </row>
    <row r="14" spans="1:37" x14ac:dyDescent="0.25">
      <c r="A14" t="s">
        <v>116</v>
      </c>
      <c r="B14">
        <v>88.4</v>
      </c>
      <c r="C14">
        <v>5.7</v>
      </c>
      <c r="D14">
        <v>5.9</v>
      </c>
      <c r="E14">
        <v>90.4</v>
      </c>
      <c r="F14">
        <v>4</v>
      </c>
      <c r="G14">
        <v>5.5</v>
      </c>
      <c r="H14">
        <v>88.6</v>
      </c>
      <c r="I14">
        <v>2.7</v>
      </c>
      <c r="J14">
        <v>8.6999999999999993</v>
      </c>
      <c r="K14">
        <v>91.3</v>
      </c>
      <c r="L14">
        <v>2.5</v>
      </c>
      <c r="M14">
        <v>6.3</v>
      </c>
      <c r="N14">
        <v>87</v>
      </c>
      <c r="O14">
        <v>0.9</v>
      </c>
      <c r="P14">
        <v>12.1</v>
      </c>
      <c r="Q14">
        <v>90.3</v>
      </c>
      <c r="R14">
        <v>1.5</v>
      </c>
      <c r="S14">
        <v>8.1999999999999993</v>
      </c>
      <c r="T14">
        <v>82.4</v>
      </c>
      <c r="U14">
        <v>2</v>
      </c>
      <c r="V14">
        <v>15.5</v>
      </c>
      <c r="W14">
        <v>83</v>
      </c>
      <c r="X14">
        <v>2.2999999999999998</v>
      </c>
      <c r="Y14">
        <v>14.8</v>
      </c>
      <c r="Z14">
        <v>81.900000000000006</v>
      </c>
      <c r="AA14">
        <v>5.8</v>
      </c>
      <c r="AB14">
        <v>12.3</v>
      </c>
      <c r="AC14">
        <v>88.7</v>
      </c>
      <c r="AD14">
        <v>0</v>
      </c>
      <c r="AE14">
        <v>11.3</v>
      </c>
      <c r="AF14">
        <v>95.1</v>
      </c>
      <c r="AG14">
        <v>0</v>
      </c>
      <c r="AH14">
        <v>4.9000000000000004</v>
      </c>
      <c r="AI14">
        <v>94.5</v>
      </c>
      <c r="AJ14">
        <v>0</v>
      </c>
      <c r="AK14">
        <v>5.5</v>
      </c>
    </row>
    <row r="15" spans="1:37" x14ac:dyDescent="0.25">
      <c r="A15" t="s">
        <v>117</v>
      </c>
      <c r="B15">
        <v>80.2</v>
      </c>
      <c r="C15">
        <v>11.7</v>
      </c>
      <c r="D15">
        <v>8.1</v>
      </c>
      <c r="E15">
        <v>89.1</v>
      </c>
      <c r="F15">
        <v>7.1</v>
      </c>
      <c r="G15">
        <v>3.9</v>
      </c>
      <c r="H15">
        <v>87.8</v>
      </c>
      <c r="I15">
        <v>5.9</v>
      </c>
      <c r="J15">
        <v>6.3</v>
      </c>
      <c r="K15">
        <v>90.6</v>
      </c>
      <c r="L15">
        <v>3.6</v>
      </c>
      <c r="M15">
        <v>5.8</v>
      </c>
      <c r="N15">
        <v>90.3</v>
      </c>
      <c r="O15">
        <v>2.8</v>
      </c>
      <c r="P15">
        <v>6.9</v>
      </c>
      <c r="Q15">
        <v>64.7</v>
      </c>
      <c r="R15">
        <v>2.5</v>
      </c>
      <c r="S15">
        <v>32.799999999999997</v>
      </c>
      <c r="T15">
        <v>81.5</v>
      </c>
      <c r="U15">
        <v>2.8</v>
      </c>
      <c r="V15">
        <v>15.8</v>
      </c>
      <c r="W15">
        <v>82.4</v>
      </c>
      <c r="X15">
        <v>1.3</v>
      </c>
      <c r="Y15">
        <v>16.3</v>
      </c>
      <c r="Z15">
        <v>67.2</v>
      </c>
      <c r="AA15">
        <v>4.9000000000000004</v>
      </c>
      <c r="AB15">
        <v>27.9</v>
      </c>
      <c r="AC15">
        <v>85.4</v>
      </c>
      <c r="AD15">
        <v>1.3</v>
      </c>
      <c r="AE15">
        <v>13.3</v>
      </c>
      <c r="AF15">
        <v>89.8</v>
      </c>
      <c r="AG15">
        <v>0.4</v>
      </c>
      <c r="AH15">
        <v>9.8000000000000007</v>
      </c>
      <c r="AI15">
        <v>84.7</v>
      </c>
      <c r="AJ15">
        <v>1.9</v>
      </c>
      <c r="AK15">
        <v>13.4</v>
      </c>
    </row>
    <row r="16" spans="1:37" x14ac:dyDescent="0.25">
      <c r="A16" t="s">
        <v>118</v>
      </c>
      <c r="B16">
        <v>88.1</v>
      </c>
      <c r="C16">
        <v>7</v>
      </c>
      <c r="D16">
        <v>4.9000000000000004</v>
      </c>
      <c r="E16">
        <v>93.9</v>
      </c>
      <c r="F16">
        <v>5.8</v>
      </c>
      <c r="G16">
        <v>0.2</v>
      </c>
      <c r="H16">
        <v>90.7</v>
      </c>
      <c r="I16">
        <v>6</v>
      </c>
      <c r="J16">
        <v>3.3</v>
      </c>
      <c r="K16">
        <v>94.9</v>
      </c>
      <c r="L16">
        <v>1.5</v>
      </c>
      <c r="M16">
        <v>3.6</v>
      </c>
      <c r="N16">
        <v>93.6</v>
      </c>
      <c r="O16">
        <v>1.3</v>
      </c>
      <c r="P16">
        <v>5.0999999999999996</v>
      </c>
      <c r="Q16">
        <v>93.4</v>
      </c>
      <c r="R16">
        <v>0.1</v>
      </c>
      <c r="S16">
        <v>6.4</v>
      </c>
      <c r="T16">
        <v>80</v>
      </c>
      <c r="U16">
        <v>1.9</v>
      </c>
      <c r="V16">
        <v>18.100000000000001</v>
      </c>
      <c r="W16">
        <v>85.7</v>
      </c>
      <c r="X16">
        <v>0.8</v>
      </c>
      <c r="Y16">
        <v>13.5</v>
      </c>
      <c r="Z16">
        <v>78.599999999999994</v>
      </c>
      <c r="AA16">
        <v>7.5</v>
      </c>
      <c r="AB16">
        <v>14</v>
      </c>
      <c r="AC16">
        <v>80.900000000000006</v>
      </c>
      <c r="AD16">
        <v>0.9</v>
      </c>
      <c r="AE16">
        <v>18.2</v>
      </c>
      <c r="AF16">
        <v>89.5</v>
      </c>
      <c r="AG16">
        <v>0</v>
      </c>
      <c r="AH16">
        <v>10.5</v>
      </c>
      <c r="AI16">
        <v>56.8</v>
      </c>
      <c r="AJ16">
        <v>5.2</v>
      </c>
      <c r="AK16">
        <v>38</v>
      </c>
    </row>
    <row r="17" spans="1:37" x14ac:dyDescent="0.25">
      <c r="A17" t="s">
        <v>119</v>
      </c>
      <c r="B17">
        <v>94.9</v>
      </c>
      <c r="C17">
        <v>4.7</v>
      </c>
      <c r="D17">
        <v>0.3</v>
      </c>
      <c r="E17">
        <v>97.9</v>
      </c>
      <c r="F17">
        <v>3.2</v>
      </c>
      <c r="G17" t="s">
        <v>418</v>
      </c>
      <c r="H17">
        <v>98.1</v>
      </c>
      <c r="I17">
        <v>2.6</v>
      </c>
      <c r="J17" t="s">
        <v>418</v>
      </c>
      <c r="K17">
        <v>97.6</v>
      </c>
      <c r="L17">
        <v>1.9</v>
      </c>
      <c r="M17">
        <v>0.5</v>
      </c>
      <c r="N17">
        <v>97.8</v>
      </c>
      <c r="O17">
        <v>1.3</v>
      </c>
      <c r="P17">
        <v>1</v>
      </c>
      <c r="Q17">
        <v>82.8</v>
      </c>
      <c r="R17">
        <v>0.9</v>
      </c>
      <c r="S17">
        <v>16.3</v>
      </c>
      <c r="T17">
        <v>90.3</v>
      </c>
      <c r="U17">
        <v>2.6</v>
      </c>
      <c r="V17">
        <v>7.1</v>
      </c>
      <c r="W17">
        <v>96.9</v>
      </c>
      <c r="X17">
        <v>1.5</v>
      </c>
      <c r="Y17">
        <v>1.6</v>
      </c>
      <c r="Z17">
        <v>64.2</v>
      </c>
      <c r="AA17">
        <v>2.4</v>
      </c>
      <c r="AB17">
        <v>33.4</v>
      </c>
      <c r="AC17" t="s">
        <v>418</v>
      </c>
      <c r="AD17">
        <v>0.6</v>
      </c>
      <c r="AE17" t="s">
        <v>418</v>
      </c>
      <c r="AF17" t="s">
        <v>418</v>
      </c>
      <c r="AG17">
        <v>0.5</v>
      </c>
      <c r="AH17" t="s">
        <v>418</v>
      </c>
      <c r="AI17">
        <v>52.3</v>
      </c>
      <c r="AJ17">
        <v>3.7</v>
      </c>
      <c r="AK17">
        <v>44</v>
      </c>
    </row>
    <row r="18" spans="1:37" x14ac:dyDescent="0.25">
      <c r="A18" t="s">
        <v>120</v>
      </c>
      <c r="B18">
        <v>88.4</v>
      </c>
      <c r="C18">
        <v>5.6</v>
      </c>
      <c r="D18">
        <v>5.9</v>
      </c>
      <c r="E18">
        <v>94.4</v>
      </c>
      <c r="F18">
        <v>3.9</v>
      </c>
      <c r="G18">
        <v>1.7</v>
      </c>
      <c r="H18">
        <v>93.7</v>
      </c>
      <c r="I18">
        <v>3.4</v>
      </c>
      <c r="J18">
        <v>2.9</v>
      </c>
      <c r="K18">
        <v>92</v>
      </c>
      <c r="L18">
        <v>2</v>
      </c>
      <c r="M18">
        <v>6</v>
      </c>
      <c r="N18">
        <v>97.8</v>
      </c>
      <c r="O18">
        <v>1.3</v>
      </c>
      <c r="P18">
        <v>0.9</v>
      </c>
      <c r="Q18">
        <v>23.5</v>
      </c>
      <c r="R18">
        <v>1</v>
      </c>
      <c r="S18">
        <v>75.5</v>
      </c>
      <c r="T18">
        <v>76.5</v>
      </c>
      <c r="U18">
        <v>2.2999999999999998</v>
      </c>
      <c r="V18">
        <v>21.2</v>
      </c>
      <c r="W18">
        <v>83.6</v>
      </c>
      <c r="X18">
        <v>2.1</v>
      </c>
      <c r="Y18">
        <v>14.2</v>
      </c>
      <c r="Z18">
        <v>13</v>
      </c>
      <c r="AA18">
        <v>3.6</v>
      </c>
      <c r="AB18">
        <v>83.4</v>
      </c>
      <c r="AC18">
        <v>87.3</v>
      </c>
      <c r="AD18">
        <v>0.9</v>
      </c>
      <c r="AE18">
        <v>11.8</v>
      </c>
      <c r="AF18">
        <v>76.900000000000006</v>
      </c>
      <c r="AG18">
        <v>0.1</v>
      </c>
      <c r="AH18">
        <v>23</v>
      </c>
      <c r="AI18">
        <v>73.7</v>
      </c>
      <c r="AJ18">
        <v>18.5</v>
      </c>
      <c r="AK18">
        <v>7.8</v>
      </c>
    </row>
    <row r="19" spans="1:37" x14ac:dyDescent="0.25">
      <c r="A19" t="s">
        <v>121</v>
      </c>
      <c r="B19">
        <v>84.5</v>
      </c>
      <c r="C19">
        <v>14.1</v>
      </c>
      <c r="D19">
        <v>1.5</v>
      </c>
      <c r="E19">
        <v>87.4</v>
      </c>
      <c r="F19">
        <v>9.6</v>
      </c>
      <c r="G19">
        <v>3</v>
      </c>
      <c r="H19">
        <v>89</v>
      </c>
      <c r="I19">
        <v>5.5</v>
      </c>
      <c r="J19">
        <v>5.5</v>
      </c>
      <c r="K19">
        <v>89.8</v>
      </c>
      <c r="L19">
        <v>4.4000000000000004</v>
      </c>
      <c r="M19">
        <v>5.8</v>
      </c>
      <c r="N19">
        <v>91.6</v>
      </c>
      <c r="O19">
        <v>2.1</v>
      </c>
      <c r="P19">
        <v>6.3</v>
      </c>
      <c r="Q19">
        <v>84.6</v>
      </c>
      <c r="R19">
        <v>1.7</v>
      </c>
      <c r="S19">
        <v>13.7</v>
      </c>
      <c r="T19">
        <v>82.9</v>
      </c>
      <c r="U19">
        <v>1.2</v>
      </c>
      <c r="V19">
        <v>15.9</v>
      </c>
      <c r="W19">
        <v>88.8</v>
      </c>
      <c r="X19">
        <v>0.8</v>
      </c>
      <c r="Y19">
        <v>10.4</v>
      </c>
      <c r="Z19">
        <v>68.8</v>
      </c>
      <c r="AA19">
        <v>0.7</v>
      </c>
      <c r="AB19">
        <v>30.5</v>
      </c>
      <c r="AC19">
        <v>84.3</v>
      </c>
      <c r="AD19">
        <v>0.2</v>
      </c>
      <c r="AE19">
        <v>15.5</v>
      </c>
      <c r="AF19">
        <v>97.3</v>
      </c>
      <c r="AG19">
        <v>0</v>
      </c>
      <c r="AH19">
        <v>2.7</v>
      </c>
      <c r="AI19">
        <v>90.7</v>
      </c>
      <c r="AJ19">
        <v>0.9</v>
      </c>
      <c r="AK19">
        <v>8.4</v>
      </c>
    </row>
    <row r="20" spans="1:37" x14ac:dyDescent="0.25">
      <c r="A20" t="s">
        <v>122</v>
      </c>
      <c r="B20">
        <v>88.5</v>
      </c>
      <c r="C20">
        <v>9.4</v>
      </c>
      <c r="D20">
        <v>2.1</v>
      </c>
      <c r="E20">
        <v>92.3</v>
      </c>
      <c r="F20">
        <v>5.9</v>
      </c>
      <c r="G20">
        <v>1.7</v>
      </c>
      <c r="H20">
        <v>94.4</v>
      </c>
      <c r="I20">
        <v>4.5999999999999996</v>
      </c>
      <c r="J20">
        <v>1</v>
      </c>
      <c r="K20">
        <v>94.5</v>
      </c>
      <c r="L20">
        <v>3.8</v>
      </c>
      <c r="M20">
        <v>1.7</v>
      </c>
      <c r="N20">
        <v>95.3</v>
      </c>
      <c r="O20">
        <v>2.8</v>
      </c>
      <c r="P20">
        <v>1.9</v>
      </c>
      <c r="Q20">
        <v>73.8</v>
      </c>
      <c r="R20">
        <v>2.2999999999999998</v>
      </c>
      <c r="S20">
        <v>23.9</v>
      </c>
      <c r="T20">
        <v>87.9</v>
      </c>
      <c r="U20">
        <v>0.5</v>
      </c>
      <c r="V20">
        <v>11.6</v>
      </c>
      <c r="W20">
        <v>83.7</v>
      </c>
      <c r="X20">
        <v>0.3</v>
      </c>
      <c r="Y20">
        <v>16.100000000000001</v>
      </c>
      <c r="Z20">
        <v>57.3</v>
      </c>
      <c r="AA20">
        <v>1</v>
      </c>
      <c r="AB20">
        <v>41.7</v>
      </c>
      <c r="AC20">
        <v>80.599999999999994</v>
      </c>
      <c r="AD20">
        <v>0.7</v>
      </c>
      <c r="AE20">
        <v>18.7</v>
      </c>
      <c r="AF20">
        <v>91.2</v>
      </c>
      <c r="AG20">
        <v>0.3</v>
      </c>
      <c r="AH20">
        <v>8.5</v>
      </c>
      <c r="AI20">
        <v>82.1</v>
      </c>
      <c r="AJ20">
        <v>1.8</v>
      </c>
      <c r="AK20">
        <v>16.100000000000001</v>
      </c>
    </row>
    <row r="21" spans="1:37" x14ac:dyDescent="0.25">
      <c r="A21" t="s">
        <v>123</v>
      </c>
      <c r="B21">
        <v>85</v>
      </c>
      <c r="C21">
        <v>12.9</v>
      </c>
      <c r="D21">
        <v>2.2000000000000002</v>
      </c>
      <c r="E21">
        <v>90.4</v>
      </c>
      <c r="F21">
        <v>7.4</v>
      </c>
      <c r="G21">
        <v>2.2000000000000002</v>
      </c>
      <c r="H21">
        <v>89</v>
      </c>
      <c r="I21">
        <v>5.9</v>
      </c>
      <c r="J21">
        <v>5.0999999999999996</v>
      </c>
      <c r="K21">
        <v>90.3</v>
      </c>
      <c r="L21">
        <v>4.3</v>
      </c>
      <c r="M21">
        <v>5.4</v>
      </c>
      <c r="N21">
        <v>92.4</v>
      </c>
      <c r="O21">
        <v>2.4</v>
      </c>
      <c r="P21">
        <v>5.2</v>
      </c>
      <c r="Q21">
        <v>85.9</v>
      </c>
      <c r="R21">
        <v>2.1</v>
      </c>
      <c r="S21">
        <v>12</v>
      </c>
      <c r="T21">
        <v>82.8</v>
      </c>
      <c r="U21">
        <v>0.6</v>
      </c>
      <c r="V21">
        <v>16.600000000000001</v>
      </c>
      <c r="W21">
        <v>84.2</v>
      </c>
      <c r="X21">
        <v>0.3</v>
      </c>
      <c r="Y21">
        <v>15.5</v>
      </c>
      <c r="Z21">
        <v>85.9</v>
      </c>
      <c r="AA21">
        <v>1.3</v>
      </c>
      <c r="AB21">
        <v>12.7</v>
      </c>
      <c r="AC21">
        <v>88.4</v>
      </c>
      <c r="AD21">
        <v>0.1</v>
      </c>
      <c r="AE21">
        <v>11.5</v>
      </c>
      <c r="AF21">
        <v>99.1</v>
      </c>
      <c r="AG21">
        <v>0.2</v>
      </c>
      <c r="AH21">
        <v>0.7</v>
      </c>
      <c r="AI21">
        <v>80.2</v>
      </c>
      <c r="AJ21">
        <v>2.5</v>
      </c>
      <c r="AK21">
        <v>17.3</v>
      </c>
    </row>
    <row r="22" spans="1:37" x14ac:dyDescent="0.25">
      <c r="A22" t="s">
        <v>124</v>
      </c>
      <c r="B22">
        <v>81.2</v>
      </c>
      <c r="C22">
        <v>6.8</v>
      </c>
      <c r="D22">
        <v>12</v>
      </c>
      <c r="E22">
        <v>89.5</v>
      </c>
      <c r="F22">
        <v>4</v>
      </c>
      <c r="G22">
        <v>6.5</v>
      </c>
      <c r="H22">
        <v>89.3</v>
      </c>
      <c r="I22">
        <v>3.1</v>
      </c>
      <c r="J22">
        <v>7.6</v>
      </c>
      <c r="K22">
        <v>83.2</v>
      </c>
      <c r="L22">
        <v>1.8</v>
      </c>
      <c r="M22">
        <v>15</v>
      </c>
      <c r="N22">
        <v>86.2</v>
      </c>
      <c r="O22">
        <v>1.8</v>
      </c>
      <c r="P22">
        <v>12</v>
      </c>
      <c r="Q22">
        <v>57</v>
      </c>
      <c r="R22">
        <v>0.6</v>
      </c>
      <c r="S22">
        <v>42.4</v>
      </c>
      <c r="T22">
        <v>79.599999999999994</v>
      </c>
      <c r="U22">
        <v>0.3</v>
      </c>
      <c r="V22">
        <v>20.100000000000001</v>
      </c>
      <c r="W22">
        <v>97.7</v>
      </c>
      <c r="X22">
        <v>0</v>
      </c>
      <c r="Y22">
        <v>2.2999999999999998</v>
      </c>
      <c r="Z22">
        <v>69.599999999999994</v>
      </c>
      <c r="AA22">
        <v>2.1</v>
      </c>
      <c r="AB22">
        <v>28.2</v>
      </c>
      <c r="AC22">
        <v>88.1</v>
      </c>
      <c r="AD22">
        <v>0</v>
      </c>
      <c r="AE22">
        <v>11.9</v>
      </c>
      <c r="AF22">
        <v>92.8</v>
      </c>
      <c r="AG22">
        <v>0.4</v>
      </c>
      <c r="AH22">
        <v>6.8</v>
      </c>
      <c r="AI22">
        <v>89.4</v>
      </c>
      <c r="AJ22">
        <v>2.9</v>
      </c>
      <c r="AK22">
        <v>7.6</v>
      </c>
    </row>
    <row r="23" spans="1:37" x14ac:dyDescent="0.25">
      <c r="A23" t="s">
        <v>125</v>
      </c>
      <c r="B23">
        <v>86.5</v>
      </c>
      <c r="C23">
        <v>11.1</v>
      </c>
      <c r="D23">
        <v>2.4</v>
      </c>
      <c r="E23">
        <v>90.6</v>
      </c>
      <c r="F23">
        <v>7.1</v>
      </c>
      <c r="G23">
        <v>2.2000000000000002</v>
      </c>
      <c r="H23">
        <v>92.5</v>
      </c>
      <c r="I23">
        <v>4.8</v>
      </c>
      <c r="J23">
        <v>2.7</v>
      </c>
      <c r="K23">
        <v>94.1</v>
      </c>
      <c r="L23">
        <v>2.9</v>
      </c>
      <c r="M23">
        <v>3</v>
      </c>
      <c r="N23">
        <v>95.8</v>
      </c>
      <c r="O23">
        <v>2</v>
      </c>
      <c r="P23">
        <v>2.2000000000000002</v>
      </c>
      <c r="Q23">
        <v>84.5</v>
      </c>
      <c r="R23">
        <v>1.3</v>
      </c>
      <c r="S23">
        <v>14.2</v>
      </c>
      <c r="T23">
        <v>84.3</v>
      </c>
      <c r="U23">
        <v>2.6</v>
      </c>
      <c r="V23">
        <v>13.1</v>
      </c>
      <c r="W23">
        <v>86.2</v>
      </c>
      <c r="X23">
        <v>1.5</v>
      </c>
      <c r="Y23">
        <v>12.3</v>
      </c>
      <c r="Z23">
        <v>82.3</v>
      </c>
      <c r="AA23">
        <v>2.2000000000000002</v>
      </c>
      <c r="AB23">
        <v>15.5</v>
      </c>
      <c r="AC23">
        <v>85.6</v>
      </c>
      <c r="AD23">
        <v>1.4</v>
      </c>
      <c r="AE23">
        <v>13.1</v>
      </c>
      <c r="AF23">
        <v>94.1</v>
      </c>
      <c r="AG23">
        <v>0.7</v>
      </c>
      <c r="AH23">
        <v>5.2</v>
      </c>
      <c r="AI23">
        <v>78.900000000000006</v>
      </c>
      <c r="AJ23">
        <v>1.5</v>
      </c>
      <c r="AK23">
        <v>19.600000000000001</v>
      </c>
    </row>
    <row r="24" spans="1:37" x14ac:dyDescent="0.25">
      <c r="A24" t="s">
        <v>126</v>
      </c>
      <c r="B24">
        <v>76.900000000000006</v>
      </c>
      <c r="C24">
        <v>15.9</v>
      </c>
      <c r="D24">
        <v>7.2</v>
      </c>
      <c r="E24">
        <v>78.400000000000006</v>
      </c>
      <c r="F24">
        <v>10</v>
      </c>
      <c r="G24">
        <v>11.5</v>
      </c>
      <c r="H24">
        <v>81.099999999999994</v>
      </c>
      <c r="I24">
        <v>7.6</v>
      </c>
      <c r="J24">
        <v>11.3</v>
      </c>
      <c r="K24">
        <v>89.5</v>
      </c>
      <c r="L24">
        <v>4</v>
      </c>
      <c r="M24">
        <v>6.5</v>
      </c>
      <c r="N24">
        <v>86.5</v>
      </c>
      <c r="O24">
        <v>2.4</v>
      </c>
      <c r="P24">
        <v>11</v>
      </c>
      <c r="Q24">
        <v>62.1</v>
      </c>
      <c r="R24">
        <v>2.2999999999999998</v>
      </c>
      <c r="S24">
        <v>35.6</v>
      </c>
      <c r="T24">
        <v>79.8</v>
      </c>
      <c r="U24">
        <v>2.1</v>
      </c>
      <c r="V24">
        <v>18.100000000000001</v>
      </c>
      <c r="W24">
        <v>81.8</v>
      </c>
      <c r="X24">
        <v>2</v>
      </c>
      <c r="Y24">
        <v>16.2</v>
      </c>
      <c r="Z24">
        <v>80.2</v>
      </c>
      <c r="AA24">
        <v>1.7</v>
      </c>
      <c r="AB24">
        <v>18.100000000000001</v>
      </c>
      <c r="AC24">
        <v>84.5</v>
      </c>
      <c r="AD24">
        <v>0.6</v>
      </c>
      <c r="AE24">
        <v>14.9</v>
      </c>
      <c r="AF24">
        <v>99.7</v>
      </c>
      <c r="AG24">
        <v>0.3</v>
      </c>
      <c r="AH24" t="s">
        <v>418</v>
      </c>
      <c r="AI24">
        <v>82.7</v>
      </c>
      <c r="AJ24">
        <v>3.1</v>
      </c>
      <c r="AK24">
        <v>14.2</v>
      </c>
    </row>
    <row r="25" spans="1:37" x14ac:dyDescent="0.25">
      <c r="A25" t="s">
        <v>127</v>
      </c>
      <c r="B25">
        <v>91</v>
      </c>
      <c r="C25">
        <v>6.9</v>
      </c>
      <c r="D25">
        <v>2.1</v>
      </c>
      <c r="E25">
        <v>96.5</v>
      </c>
      <c r="F25">
        <v>3.7</v>
      </c>
      <c r="G25" t="s">
        <v>418</v>
      </c>
      <c r="H25">
        <v>96.2</v>
      </c>
      <c r="I25">
        <v>2.7</v>
      </c>
      <c r="J25">
        <v>1</v>
      </c>
      <c r="K25">
        <v>98</v>
      </c>
      <c r="L25">
        <v>1.8</v>
      </c>
      <c r="M25">
        <v>0.2</v>
      </c>
      <c r="N25">
        <v>97</v>
      </c>
      <c r="O25">
        <v>1.5</v>
      </c>
      <c r="P25">
        <v>1.6</v>
      </c>
      <c r="Q25">
        <v>94.1</v>
      </c>
      <c r="R25">
        <v>0.9</v>
      </c>
      <c r="S25">
        <v>5</v>
      </c>
      <c r="T25">
        <v>85.7</v>
      </c>
      <c r="U25">
        <v>1</v>
      </c>
      <c r="V25">
        <v>13.2</v>
      </c>
      <c r="W25">
        <v>82.4</v>
      </c>
      <c r="X25">
        <v>0.7</v>
      </c>
      <c r="Y25">
        <v>16.899999999999999</v>
      </c>
      <c r="Z25">
        <v>81.599999999999994</v>
      </c>
      <c r="AA25">
        <v>1</v>
      </c>
      <c r="AB25">
        <v>17.399999999999999</v>
      </c>
      <c r="AC25">
        <v>80.900000000000006</v>
      </c>
      <c r="AD25">
        <v>0.8</v>
      </c>
      <c r="AE25">
        <v>18.3</v>
      </c>
      <c r="AF25">
        <v>88</v>
      </c>
      <c r="AG25">
        <v>0.1</v>
      </c>
      <c r="AH25">
        <v>11.9</v>
      </c>
      <c r="AI25">
        <v>78.3</v>
      </c>
      <c r="AJ25">
        <v>1.9</v>
      </c>
      <c r="AK25">
        <v>19.8</v>
      </c>
    </row>
    <row r="26" spans="1:37" x14ac:dyDescent="0.25">
      <c r="A26" t="s">
        <v>128</v>
      </c>
      <c r="B26">
        <v>90</v>
      </c>
      <c r="C26">
        <v>9.3000000000000007</v>
      </c>
      <c r="D26">
        <v>0.7</v>
      </c>
      <c r="E26">
        <v>91.2</v>
      </c>
      <c r="F26">
        <v>7.3</v>
      </c>
      <c r="G26">
        <v>1.5</v>
      </c>
      <c r="H26">
        <v>91.8</v>
      </c>
      <c r="I26">
        <v>6.1</v>
      </c>
      <c r="J26">
        <v>2.1</v>
      </c>
      <c r="K26">
        <v>93.4</v>
      </c>
      <c r="L26">
        <v>4.0999999999999996</v>
      </c>
      <c r="M26">
        <v>2.5</v>
      </c>
      <c r="N26">
        <v>92.3</v>
      </c>
      <c r="O26">
        <v>4.0999999999999996</v>
      </c>
      <c r="P26">
        <v>3.6</v>
      </c>
      <c r="Q26">
        <v>86.6</v>
      </c>
      <c r="R26">
        <v>3.8</v>
      </c>
      <c r="S26">
        <v>9.6</v>
      </c>
      <c r="T26">
        <v>86.2</v>
      </c>
      <c r="U26">
        <v>2.2999999999999998</v>
      </c>
      <c r="V26">
        <v>11.6</v>
      </c>
      <c r="W26">
        <v>86.1</v>
      </c>
      <c r="X26">
        <v>1.9</v>
      </c>
      <c r="Y26">
        <v>11.9</v>
      </c>
      <c r="Z26">
        <v>80.900000000000006</v>
      </c>
      <c r="AA26">
        <v>2.1</v>
      </c>
      <c r="AB26">
        <v>17</v>
      </c>
      <c r="AC26">
        <v>86.2</v>
      </c>
      <c r="AD26">
        <v>0.6</v>
      </c>
      <c r="AE26">
        <v>13.2</v>
      </c>
      <c r="AF26">
        <v>90.5</v>
      </c>
      <c r="AG26">
        <v>0.5</v>
      </c>
      <c r="AH26">
        <v>9</v>
      </c>
      <c r="AI26">
        <v>67.900000000000006</v>
      </c>
      <c r="AJ26">
        <v>2.9</v>
      </c>
      <c r="AK26">
        <v>29.2</v>
      </c>
    </row>
    <row r="27" spans="1:37" x14ac:dyDescent="0.25">
      <c r="A27" t="s">
        <v>129</v>
      </c>
      <c r="B27">
        <v>86</v>
      </c>
      <c r="C27">
        <v>8.5</v>
      </c>
      <c r="D27">
        <v>5.5</v>
      </c>
      <c r="E27">
        <v>88.9</v>
      </c>
      <c r="F27">
        <v>5.9</v>
      </c>
      <c r="G27">
        <v>5.3</v>
      </c>
      <c r="H27">
        <v>89.5</v>
      </c>
      <c r="I27">
        <v>4.5</v>
      </c>
      <c r="J27">
        <v>6.1</v>
      </c>
      <c r="K27">
        <v>91.3</v>
      </c>
      <c r="L27">
        <v>3.2</v>
      </c>
      <c r="M27">
        <v>5.6</v>
      </c>
      <c r="N27">
        <v>90.1</v>
      </c>
      <c r="O27">
        <v>2.8</v>
      </c>
      <c r="P27">
        <v>7.1</v>
      </c>
      <c r="Q27">
        <v>49.8</v>
      </c>
      <c r="R27">
        <v>1.4</v>
      </c>
      <c r="S27">
        <v>48.8</v>
      </c>
      <c r="T27">
        <v>79.3</v>
      </c>
      <c r="U27">
        <v>2.2000000000000002</v>
      </c>
      <c r="V27">
        <v>18.5</v>
      </c>
      <c r="W27">
        <v>81.599999999999994</v>
      </c>
      <c r="X27">
        <v>1.4</v>
      </c>
      <c r="Y27">
        <v>16.899999999999999</v>
      </c>
      <c r="Z27">
        <v>56.4</v>
      </c>
      <c r="AA27">
        <v>2.6</v>
      </c>
      <c r="AB27">
        <v>41</v>
      </c>
      <c r="AC27">
        <v>90</v>
      </c>
      <c r="AD27">
        <v>1.2</v>
      </c>
      <c r="AE27">
        <v>8.9</v>
      </c>
      <c r="AF27">
        <v>91.2</v>
      </c>
      <c r="AG27">
        <v>0.3</v>
      </c>
      <c r="AH27">
        <v>8.5</v>
      </c>
      <c r="AI27">
        <v>75.099999999999994</v>
      </c>
      <c r="AJ27">
        <v>2.2000000000000002</v>
      </c>
      <c r="AK27">
        <v>22.6</v>
      </c>
    </row>
    <row r="28" spans="1:37" x14ac:dyDescent="0.25">
      <c r="A28" t="s">
        <v>87</v>
      </c>
      <c r="B28">
        <v>87.5</v>
      </c>
      <c r="C28">
        <v>9.1</v>
      </c>
      <c r="D28">
        <v>3.4</v>
      </c>
      <c r="E28">
        <v>91.1</v>
      </c>
      <c r="F28">
        <v>6.1</v>
      </c>
      <c r="G28">
        <v>2.8</v>
      </c>
      <c r="H28">
        <v>92.2</v>
      </c>
      <c r="I28">
        <v>4.5999999999999996</v>
      </c>
      <c r="J28">
        <v>3.2</v>
      </c>
      <c r="K28">
        <v>93</v>
      </c>
      <c r="L28">
        <v>3.2</v>
      </c>
      <c r="M28">
        <v>3.8</v>
      </c>
      <c r="N28">
        <v>93.8</v>
      </c>
      <c r="O28">
        <v>2.2999999999999998</v>
      </c>
      <c r="P28">
        <v>3.9</v>
      </c>
      <c r="Q28">
        <v>78.400000000000006</v>
      </c>
      <c r="R28">
        <v>1.8</v>
      </c>
      <c r="S28">
        <v>19.899999999999999</v>
      </c>
      <c r="T28">
        <v>84.1</v>
      </c>
      <c r="U28">
        <v>1.8</v>
      </c>
      <c r="V28">
        <v>14.1</v>
      </c>
      <c r="W28">
        <v>85.1</v>
      </c>
      <c r="X28">
        <v>1.1000000000000001</v>
      </c>
      <c r="Y28">
        <v>13.8</v>
      </c>
      <c r="Z28">
        <v>71.8</v>
      </c>
      <c r="AA28">
        <v>2</v>
      </c>
      <c r="AB28">
        <v>26.2</v>
      </c>
      <c r="AC28">
        <v>86.3</v>
      </c>
      <c r="AD28">
        <v>0.7</v>
      </c>
      <c r="AE28">
        <v>13</v>
      </c>
      <c r="AF28">
        <v>92.3</v>
      </c>
      <c r="AG28">
        <v>0.4</v>
      </c>
      <c r="AH28">
        <v>7.3</v>
      </c>
      <c r="AI28">
        <v>71</v>
      </c>
      <c r="AJ28">
        <v>2.6</v>
      </c>
      <c r="AK28">
        <v>26.4</v>
      </c>
    </row>
    <row r="29" spans="1:37" x14ac:dyDescent="0.25">
      <c r="A29" t="s">
        <v>265</v>
      </c>
      <c r="B29">
        <v>89.7</v>
      </c>
      <c r="C29">
        <v>7.4</v>
      </c>
      <c r="D29">
        <v>2.8</v>
      </c>
      <c r="E29">
        <v>93.9</v>
      </c>
      <c r="F29">
        <v>4.7</v>
      </c>
      <c r="G29">
        <v>1.4</v>
      </c>
      <c r="H29">
        <v>94.7</v>
      </c>
      <c r="I29">
        <v>3.4</v>
      </c>
      <c r="J29">
        <v>1.9</v>
      </c>
      <c r="K29">
        <v>95.1</v>
      </c>
      <c r="L29">
        <v>2.1</v>
      </c>
      <c r="M29">
        <v>2.8</v>
      </c>
      <c r="N29">
        <v>96</v>
      </c>
      <c r="O29">
        <v>1.3</v>
      </c>
      <c r="P29">
        <v>2.6</v>
      </c>
      <c r="Q29">
        <v>81.400000000000006</v>
      </c>
      <c r="R29">
        <v>0.9</v>
      </c>
      <c r="S29">
        <v>17.8</v>
      </c>
      <c r="T29">
        <v>86.4</v>
      </c>
      <c r="U29">
        <v>2.2999999999999998</v>
      </c>
      <c r="V29">
        <v>11.3</v>
      </c>
      <c r="W29">
        <v>93.2</v>
      </c>
      <c r="X29">
        <v>1.3</v>
      </c>
      <c r="Y29">
        <v>5.4</v>
      </c>
      <c r="Z29">
        <v>74.900000000000006</v>
      </c>
      <c r="AA29">
        <v>3.1</v>
      </c>
      <c r="AB29">
        <v>22</v>
      </c>
      <c r="AC29">
        <v>93.6</v>
      </c>
      <c r="AD29">
        <v>0.8</v>
      </c>
      <c r="AE29">
        <v>5.6</v>
      </c>
      <c r="AF29">
        <v>98.8</v>
      </c>
      <c r="AG29">
        <v>0.5</v>
      </c>
      <c r="AH29">
        <v>0.8</v>
      </c>
      <c r="AI29">
        <v>63.5</v>
      </c>
      <c r="AJ29">
        <v>2.5</v>
      </c>
      <c r="AK29">
        <v>34</v>
      </c>
    </row>
    <row r="30" spans="1:37" x14ac:dyDescent="0.25">
      <c r="A30" t="s">
        <v>266</v>
      </c>
      <c r="B30">
        <v>87</v>
      </c>
      <c r="C30">
        <v>9.5</v>
      </c>
      <c r="D30">
        <v>3.5</v>
      </c>
      <c r="E30">
        <v>90.5</v>
      </c>
      <c r="F30">
        <v>6.3</v>
      </c>
      <c r="G30">
        <v>3.1</v>
      </c>
      <c r="H30">
        <v>91.7</v>
      </c>
      <c r="I30">
        <v>4.8</v>
      </c>
      <c r="J30">
        <v>3.5</v>
      </c>
      <c r="K30">
        <v>92.6</v>
      </c>
      <c r="L30">
        <v>3.4</v>
      </c>
      <c r="M30">
        <v>4</v>
      </c>
      <c r="N30">
        <v>93.3</v>
      </c>
      <c r="O30">
        <v>2.5</v>
      </c>
      <c r="P30">
        <v>4.2</v>
      </c>
      <c r="Q30">
        <v>77.7</v>
      </c>
      <c r="R30">
        <v>1.9</v>
      </c>
      <c r="S30">
        <v>20.3</v>
      </c>
      <c r="T30">
        <v>83.6</v>
      </c>
      <c r="U30">
        <v>1.7</v>
      </c>
      <c r="V30">
        <v>14.7</v>
      </c>
      <c r="W30">
        <v>83.2</v>
      </c>
      <c r="X30">
        <v>1.1000000000000001</v>
      </c>
      <c r="Y30">
        <v>15.7</v>
      </c>
      <c r="Z30">
        <v>71.099999999999994</v>
      </c>
      <c r="AA30">
        <v>1.7</v>
      </c>
      <c r="AB30">
        <v>27.3</v>
      </c>
      <c r="AC30">
        <v>83.7</v>
      </c>
      <c r="AD30">
        <v>0.7</v>
      </c>
      <c r="AE30">
        <v>15.6</v>
      </c>
      <c r="AF30">
        <v>89.8</v>
      </c>
      <c r="AG30">
        <v>0.4</v>
      </c>
      <c r="AH30">
        <v>9.9</v>
      </c>
      <c r="AI30">
        <v>74.5</v>
      </c>
      <c r="AJ30">
        <v>2.6</v>
      </c>
      <c r="AK30">
        <v>22.9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7" t="s">
        <v>104</v>
      </c>
      <c r="B1" s="27" t="s">
        <v>149</v>
      </c>
      <c r="C1" s="27"/>
      <c r="D1" s="27"/>
      <c r="E1" s="27" t="s">
        <v>150</v>
      </c>
      <c r="F1" s="27"/>
      <c r="G1" s="27"/>
      <c r="H1" s="27" t="s">
        <v>151</v>
      </c>
      <c r="I1" s="27"/>
      <c r="J1" s="27"/>
      <c r="K1" s="27" t="s">
        <v>152</v>
      </c>
      <c r="L1" s="27"/>
      <c r="M1" s="27"/>
      <c r="N1" s="27" t="s">
        <v>153</v>
      </c>
      <c r="O1" s="27"/>
      <c r="P1" s="27"/>
      <c r="Q1" s="27" t="s">
        <v>154</v>
      </c>
      <c r="R1" s="27"/>
      <c r="S1" s="27"/>
      <c r="T1" s="27" t="s">
        <v>155</v>
      </c>
      <c r="U1" s="27"/>
      <c r="V1" s="27"/>
      <c r="W1" s="27" t="s">
        <v>156</v>
      </c>
      <c r="X1" s="27"/>
      <c r="Y1" s="27"/>
      <c r="Z1" s="27" t="s">
        <v>157</v>
      </c>
      <c r="AA1" s="27"/>
      <c r="AB1" s="27"/>
      <c r="AC1" s="27" t="s">
        <v>158</v>
      </c>
      <c r="AD1" s="27"/>
      <c r="AE1" s="27"/>
      <c r="AF1" s="27" t="s">
        <v>159</v>
      </c>
      <c r="AG1" s="27"/>
      <c r="AH1" s="27"/>
      <c r="AI1" s="27" t="s">
        <v>160</v>
      </c>
      <c r="AJ1" s="27"/>
      <c r="AK1" s="27"/>
    </row>
    <row r="2" spans="1:37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415</v>
      </c>
      <c r="L2" t="s">
        <v>416</v>
      </c>
      <c r="M2" t="s">
        <v>417</v>
      </c>
      <c r="N2" t="s">
        <v>415</v>
      </c>
      <c r="O2" t="s">
        <v>416</v>
      </c>
      <c r="P2" t="s">
        <v>417</v>
      </c>
      <c r="Q2" t="s">
        <v>415</v>
      </c>
      <c r="R2" t="s">
        <v>416</v>
      </c>
      <c r="S2" t="s">
        <v>417</v>
      </c>
      <c r="T2" t="s">
        <v>415</v>
      </c>
      <c r="U2" t="s">
        <v>416</v>
      </c>
      <c r="V2" t="s">
        <v>417</v>
      </c>
      <c r="W2" t="s">
        <v>415</v>
      </c>
      <c r="X2" t="s">
        <v>416</v>
      </c>
      <c r="Y2" t="s">
        <v>417</v>
      </c>
      <c r="Z2" t="s">
        <v>415</v>
      </c>
      <c r="AA2" t="s">
        <v>416</v>
      </c>
      <c r="AB2" t="s">
        <v>417</v>
      </c>
      <c r="AC2" t="s">
        <v>415</v>
      </c>
      <c r="AD2" t="s">
        <v>416</v>
      </c>
      <c r="AE2" t="s">
        <v>417</v>
      </c>
      <c r="AF2" t="s">
        <v>415</v>
      </c>
      <c r="AG2" t="s">
        <v>416</v>
      </c>
      <c r="AH2" t="s">
        <v>417</v>
      </c>
      <c r="AI2" t="s">
        <v>415</v>
      </c>
      <c r="AJ2" t="s">
        <v>416</v>
      </c>
      <c r="AK2" t="s">
        <v>417</v>
      </c>
    </row>
    <row r="3" spans="1:37" x14ac:dyDescent="0.25">
      <c r="A3" t="s">
        <v>105</v>
      </c>
      <c r="B3">
        <v>88.1</v>
      </c>
      <c r="C3">
        <v>7.7</v>
      </c>
      <c r="D3">
        <v>4.2</v>
      </c>
      <c r="E3">
        <v>89.6</v>
      </c>
      <c r="F3">
        <v>5.8</v>
      </c>
      <c r="G3">
        <v>4.5999999999999996</v>
      </c>
      <c r="H3">
        <v>91.2</v>
      </c>
      <c r="I3">
        <v>4.5</v>
      </c>
      <c r="J3">
        <v>4.3</v>
      </c>
      <c r="K3">
        <v>88.8</v>
      </c>
      <c r="L3">
        <v>4.0999999999999996</v>
      </c>
      <c r="M3">
        <v>7.1</v>
      </c>
      <c r="N3">
        <v>94.3</v>
      </c>
      <c r="O3">
        <v>2.6</v>
      </c>
      <c r="P3">
        <v>3.1</v>
      </c>
      <c r="Q3">
        <v>89.2</v>
      </c>
      <c r="R3">
        <v>1.6</v>
      </c>
      <c r="S3">
        <v>9.1999999999999993</v>
      </c>
      <c r="T3">
        <v>76.099999999999994</v>
      </c>
      <c r="U3">
        <v>3.3</v>
      </c>
      <c r="V3">
        <v>20.7</v>
      </c>
      <c r="W3">
        <v>80.599999999999994</v>
      </c>
      <c r="X3">
        <v>2.8</v>
      </c>
      <c r="Y3">
        <v>16.600000000000001</v>
      </c>
      <c r="Z3">
        <v>70.599999999999994</v>
      </c>
      <c r="AA3">
        <v>5.4</v>
      </c>
      <c r="AB3">
        <v>24</v>
      </c>
      <c r="AC3">
        <v>82.9</v>
      </c>
      <c r="AD3">
        <v>1.3</v>
      </c>
      <c r="AE3">
        <v>15.9</v>
      </c>
      <c r="AF3">
        <v>91.4</v>
      </c>
      <c r="AG3">
        <v>0.5</v>
      </c>
      <c r="AH3">
        <v>8.1</v>
      </c>
      <c r="AI3">
        <v>44.9</v>
      </c>
      <c r="AJ3">
        <v>4</v>
      </c>
      <c r="AK3">
        <v>51.2</v>
      </c>
    </row>
    <row r="4" spans="1:37" x14ac:dyDescent="0.25">
      <c r="A4" t="s">
        <v>106</v>
      </c>
      <c r="B4">
        <v>80.8</v>
      </c>
      <c r="C4">
        <v>12.6</v>
      </c>
      <c r="D4">
        <v>6.6</v>
      </c>
      <c r="E4">
        <v>84.2</v>
      </c>
      <c r="F4">
        <v>9.1999999999999993</v>
      </c>
      <c r="G4">
        <v>6.7</v>
      </c>
      <c r="H4">
        <v>87.2</v>
      </c>
      <c r="I4">
        <v>6.9</v>
      </c>
      <c r="J4">
        <v>5.9</v>
      </c>
      <c r="K4">
        <v>87.7</v>
      </c>
      <c r="L4">
        <v>5</v>
      </c>
      <c r="M4">
        <v>7.3</v>
      </c>
      <c r="N4">
        <v>88.4</v>
      </c>
      <c r="O4">
        <v>3.6</v>
      </c>
      <c r="P4">
        <v>8.1</v>
      </c>
      <c r="Q4">
        <v>69.7</v>
      </c>
      <c r="R4">
        <v>3.1</v>
      </c>
      <c r="S4">
        <v>27.2</v>
      </c>
      <c r="T4">
        <v>73.099999999999994</v>
      </c>
      <c r="U4">
        <v>4.7</v>
      </c>
      <c r="V4">
        <v>22.2</v>
      </c>
      <c r="W4">
        <v>80.7</v>
      </c>
      <c r="X4">
        <v>3</v>
      </c>
      <c r="Y4">
        <v>16.3</v>
      </c>
      <c r="Z4">
        <v>68.5</v>
      </c>
      <c r="AA4">
        <v>4.9000000000000004</v>
      </c>
      <c r="AB4">
        <v>26.6</v>
      </c>
      <c r="AC4">
        <v>82.7</v>
      </c>
      <c r="AD4">
        <v>2.2999999999999998</v>
      </c>
      <c r="AE4">
        <v>15</v>
      </c>
      <c r="AF4">
        <v>89.8</v>
      </c>
      <c r="AG4">
        <v>0.6</v>
      </c>
      <c r="AH4">
        <v>9.6</v>
      </c>
      <c r="AI4">
        <v>59.1</v>
      </c>
      <c r="AJ4">
        <v>4.0999999999999996</v>
      </c>
      <c r="AK4">
        <v>36.9</v>
      </c>
    </row>
    <row r="5" spans="1:37" x14ac:dyDescent="0.25">
      <c r="A5" t="s">
        <v>107</v>
      </c>
      <c r="B5">
        <v>81.3</v>
      </c>
      <c r="C5">
        <v>15</v>
      </c>
      <c r="D5">
        <v>3.8</v>
      </c>
      <c r="E5">
        <v>82.4</v>
      </c>
      <c r="F5">
        <v>11.5</v>
      </c>
      <c r="G5">
        <v>6</v>
      </c>
      <c r="H5">
        <v>83.8</v>
      </c>
      <c r="I5">
        <v>10.6</v>
      </c>
      <c r="J5">
        <v>5.7</v>
      </c>
      <c r="K5">
        <v>84.7</v>
      </c>
      <c r="L5">
        <v>8.1999999999999993</v>
      </c>
      <c r="M5">
        <v>7.1</v>
      </c>
      <c r="N5">
        <v>85.3</v>
      </c>
      <c r="O5">
        <v>7.6</v>
      </c>
      <c r="P5">
        <v>7.2</v>
      </c>
      <c r="Q5">
        <v>64.7</v>
      </c>
      <c r="R5">
        <v>5.0999999999999996</v>
      </c>
      <c r="S5">
        <v>30.1</v>
      </c>
      <c r="T5">
        <v>73.599999999999994</v>
      </c>
      <c r="U5">
        <v>5.4</v>
      </c>
      <c r="V5">
        <v>21</v>
      </c>
      <c r="W5">
        <v>79.5</v>
      </c>
      <c r="X5">
        <v>4.0999999999999996</v>
      </c>
      <c r="Y5">
        <v>16.399999999999999</v>
      </c>
      <c r="Z5">
        <v>57.3</v>
      </c>
      <c r="AA5">
        <v>4.5999999999999996</v>
      </c>
      <c r="AB5">
        <v>38.1</v>
      </c>
      <c r="AC5">
        <v>78</v>
      </c>
      <c r="AD5">
        <v>2.4</v>
      </c>
      <c r="AE5">
        <v>19.600000000000001</v>
      </c>
      <c r="AF5">
        <v>90.8</v>
      </c>
      <c r="AG5">
        <v>1</v>
      </c>
      <c r="AH5">
        <v>8.1</v>
      </c>
      <c r="AI5">
        <v>64.099999999999994</v>
      </c>
      <c r="AJ5">
        <v>4</v>
      </c>
      <c r="AK5">
        <v>31.9</v>
      </c>
    </row>
    <row r="6" spans="1:37" x14ac:dyDescent="0.25">
      <c r="A6" t="s">
        <v>108</v>
      </c>
      <c r="B6">
        <v>85.9</v>
      </c>
      <c r="C6">
        <v>12.1</v>
      </c>
      <c r="D6">
        <v>2</v>
      </c>
      <c r="E6">
        <v>87.6</v>
      </c>
      <c r="F6">
        <v>9.5</v>
      </c>
      <c r="G6">
        <v>2.9</v>
      </c>
      <c r="H6">
        <v>87.7</v>
      </c>
      <c r="I6">
        <v>8.5</v>
      </c>
      <c r="J6">
        <v>3.8</v>
      </c>
      <c r="K6">
        <v>87.4</v>
      </c>
      <c r="L6">
        <v>6.5</v>
      </c>
      <c r="M6">
        <v>6.1</v>
      </c>
      <c r="N6">
        <v>89.4</v>
      </c>
      <c r="O6">
        <v>3.9</v>
      </c>
      <c r="P6">
        <v>6.8</v>
      </c>
      <c r="Q6">
        <v>80.3</v>
      </c>
      <c r="R6">
        <v>2.2999999999999998</v>
      </c>
      <c r="S6">
        <v>17.399999999999999</v>
      </c>
      <c r="T6">
        <v>75.2</v>
      </c>
      <c r="U6">
        <v>4.2</v>
      </c>
      <c r="V6">
        <v>20.6</v>
      </c>
      <c r="W6">
        <v>79.8</v>
      </c>
      <c r="X6">
        <v>2.2999999999999998</v>
      </c>
      <c r="Y6">
        <v>17.8</v>
      </c>
      <c r="Z6">
        <v>72.3</v>
      </c>
      <c r="AA6">
        <v>3.4</v>
      </c>
      <c r="AB6">
        <v>24.3</v>
      </c>
      <c r="AC6">
        <v>81.8</v>
      </c>
      <c r="AD6">
        <v>0.9</v>
      </c>
      <c r="AE6">
        <v>17.3</v>
      </c>
      <c r="AF6">
        <v>87.6</v>
      </c>
      <c r="AG6">
        <v>0.4</v>
      </c>
      <c r="AH6">
        <v>12</v>
      </c>
      <c r="AI6">
        <v>59.2</v>
      </c>
      <c r="AJ6">
        <v>3.3</v>
      </c>
      <c r="AK6">
        <v>37.5</v>
      </c>
    </row>
    <row r="7" spans="1:37" x14ac:dyDescent="0.25">
      <c r="A7" t="s">
        <v>109</v>
      </c>
      <c r="B7">
        <v>84.8</v>
      </c>
      <c r="C7">
        <v>9.9</v>
      </c>
      <c r="D7">
        <v>5.2</v>
      </c>
      <c r="E7">
        <v>90.5</v>
      </c>
      <c r="F7">
        <v>6.9</v>
      </c>
      <c r="G7">
        <v>2.6</v>
      </c>
      <c r="H7">
        <v>90.1</v>
      </c>
      <c r="I7">
        <v>6.3</v>
      </c>
      <c r="J7">
        <v>3.6</v>
      </c>
      <c r="K7">
        <v>90.2</v>
      </c>
      <c r="L7">
        <v>4.5</v>
      </c>
      <c r="M7">
        <v>5.3</v>
      </c>
      <c r="N7">
        <v>90.7</v>
      </c>
      <c r="O7">
        <v>3.4</v>
      </c>
      <c r="P7">
        <v>5.9</v>
      </c>
      <c r="Q7">
        <v>68.900000000000006</v>
      </c>
      <c r="R7">
        <v>2.7</v>
      </c>
      <c r="S7">
        <v>28.4</v>
      </c>
      <c r="T7">
        <v>73.7</v>
      </c>
      <c r="U7">
        <v>2.8</v>
      </c>
      <c r="V7">
        <v>23.5</v>
      </c>
      <c r="W7">
        <v>76.900000000000006</v>
      </c>
      <c r="X7">
        <v>2.2000000000000002</v>
      </c>
      <c r="Y7">
        <v>20.9</v>
      </c>
      <c r="Z7">
        <v>53.7</v>
      </c>
      <c r="AA7">
        <v>4.5</v>
      </c>
      <c r="AB7">
        <v>41.8</v>
      </c>
      <c r="AC7">
        <v>76.3</v>
      </c>
      <c r="AD7">
        <v>0.4</v>
      </c>
      <c r="AE7">
        <v>23.3</v>
      </c>
      <c r="AF7">
        <v>86.1</v>
      </c>
      <c r="AG7">
        <v>0.5</v>
      </c>
      <c r="AH7">
        <v>13.4</v>
      </c>
      <c r="AI7">
        <v>63.2</v>
      </c>
      <c r="AJ7">
        <v>1.4</v>
      </c>
      <c r="AK7">
        <v>35.5</v>
      </c>
    </row>
    <row r="8" spans="1:37" x14ac:dyDescent="0.25">
      <c r="A8" t="s">
        <v>110</v>
      </c>
      <c r="B8">
        <v>79.2</v>
      </c>
      <c r="C8">
        <v>15</v>
      </c>
      <c r="D8">
        <v>5.8</v>
      </c>
      <c r="E8">
        <v>84.9</v>
      </c>
      <c r="F8">
        <v>10.8</v>
      </c>
      <c r="G8">
        <v>4.2</v>
      </c>
      <c r="H8">
        <v>86.1</v>
      </c>
      <c r="I8">
        <v>9</v>
      </c>
      <c r="J8">
        <v>4.8</v>
      </c>
      <c r="K8">
        <v>84.3</v>
      </c>
      <c r="L8">
        <v>6.1</v>
      </c>
      <c r="M8">
        <v>9.6</v>
      </c>
      <c r="N8">
        <v>87.3</v>
      </c>
      <c r="O8">
        <v>4.5999999999999996</v>
      </c>
      <c r="P8">
        <v>8.1999999999999993</v>
      </c>
      <c r="Q8">
        <v>64.5</v>
      </c>
      <c r="R8">
        <v>3.8</v>
      </c>
      <c r="S8">
        <v>31.7</v>
      </c>
      <c r="T8">
        <v>74.099999999999994</v>
      </c>
      <c r="U8">
        <v>5.7</v>
      </c>
      <c r="V8">
        <v>20.2</v>
      </c>
      <c r="W8">
        <v>81.8</v>
      </c>
      <c r="X8">
        <v>3.3</v>
      </c>
      <c r="Y8">
        <v>14.9</v>
      </c>
      <c r="Z8">
        <v>61.9</v>
      </c>
      <c r="AA8">
        <v>5.8</v>
      </c>
      <c r="AB8">
        <v>32.4</v>
      </c>
      <c r="AC8">
        <v>77.2</v>
      </c>
      <c r="AD8">
        <v>1.5</v>
      </c>
      <c r="AE8">
        <v>21.3</v>
      </c>
      <c r="AF8">
        <v>89.3</v>
      </c>
      <c r="AG8">
        <v>1.3</v>
      </c>
      <c r="AH8">
        <v>9.4</v>
      </c>
      <c r="AI8">
        <v>64.599999999999994</v>
      </c>
      <c r="AJ8">
        <v>1.8</v>
      </c>
      <c r="AK8">
        <v>33.6</v>
      </c>
    </row>
    <row r="9" spans="1:37" x14ac:dyDescent="0.25">
      <c r="A9" t="s">
        <v>111</v>
      </c>
      <c r="B9">
        <v>82.4</v>
      </c>
      <c r="C9">
        <v>11</v>
      </c>
      <c r="D9">
        <v>6.6</v>
      </c>
      <c r="E9">
        <v>89.2</v>
      </c>
      <c r="F9">
        <v>7.9</v>
      </c>
      <c r="G9">
        <v>2.9</v>
      </c>
      <c r="H9">
        <v>90.7</v>
      </c>
      <c r="I9">
        <v>5.8</v>
      </c>
      <c r="J9">
        <v>3.5</v>
      </c>
      <c r="K9">
        <v>91.1</v>
      </c>
      <c r="L9">
        <v>4.4000000000000004</v>
      </c>
      <c r="M9">
        <v>4.5</v>
      </c>
      <c r="N9">
        <v>85.9</v>
      </c>
      <c r="O9">
        <v>3.8</v>
      </c>
      <c r="P9">
        <v>10.4</v>
      </c>
      <c r="Q9">
        <v>68.900000000000006</v>
      </c>
      <c r="R9">
        <v>3.1</v>
      </c>
      <c r="S9">
        <v>28</v>
      </c>
      <c r="T9">
        <v>75.2</v>
      </c>
      <c r="U9">
        <v>4.5</v>
      </c>
      <c r="V9">
        <v>20.3</v>
      </c>
      <c r="W9">
        <v>76.400000000000006</v>
      </c>
      <c r="X9">
        <v>3</v>
      </c>
      <c r="Y9">
        <v>20.6</v>
      </c>
      <c r="Z9">
        <v>65.900000000000006</v>
      </c>
      <c r="AA9">
        <v>5.6</v>
      </c>
      <c r="AB9">
        <v>28.5</v>
      </c>
      <c r="AC9">
        <v>81.400000000000006</v>
      </c>
      <c r="AD9">
        <v>2.2999999999999998</v>
      </c>
      <c r="AE9">
        <v>16.3</v>
      </c>
      <c r="AF9">
        <v>87.6</v>
      </c>
      <c r="AG9">
        <v>1.1000000000000001</v>
      </c>
      <c r="AH9">
        <v>11.3</v>
      </c>
      <c r="AI9">
        <v>72.599999999999994</v>
      </c>
      <c r="AJ9">
        <v>2.2999999999999998</v>
      </c>
      <c r="AK9">
        <v>25.1</v>
      </c>
    </row>
    <row r="10" spans="1:37" x14ac:dyDescent="0.25">
      <c r="A10" t="s">
        <v>112</v>
      </c>
      <c r="B10">
        <v>82.3</v>
      </c>
      <c r="C10">
        <v>14.6</v>
      </c>
      <c r="D10">
        <v>3.2</v>
      </c>
      <c r="E10">
        <v>85.5</v>
      </c>
      <c r="F10">
        <v>11.6</v>
      </c>
      <c r="G10">
        <v>2.9</v>
      </c>
      <c r="H10">
        <v>86.3</v>
      </c>
      <c r="I10">
        <v>9.6999999999999993</v>
      </c>
      <c r="J10">
        <v>4</v>
      </c>
      <c r="K10">
        <v>87.4</v>
      </c>
      <c r="L10">
        <v>8.4</v>
      </c>
      <c r="M10">
        <v>4.2</v>
      </c>
      <c r="N10">
        <v>88.3</v>
      </c>
      <c r="O10">
        <v>6.7</v>
      </c>
      <c r="P10">
        <v>5</v>
      </c>
      <c r="Q10">
        <v>90.2</v>
      </c>
      <c r="R10">
        <v>5.0999999999999996</v>
      </c>
      <c r="S10">
        <v>4.5999999999999996</v>
      </c>
      <c r="T10">
        <v>76.8</v>
      </c>
      <c r="U10">
        <v>5.0999999999999996</v>
      </c>
      <c r="V10">
        <v>18</v>
      </c>
      <c r="W10">
        <v>82.7</v>
      </c>
      <c r="X10">
        <v>2.4</v>
      </c>
      <c r="Y10">
        <v>14.9</v>
      </c>
      <c r="Z10">
        <v>80.400000000000006</v>
      </c>
      <c r="AA10">
        <v>4.0999999999999996</v>
      </c>
      <c r="AB10">
        <v>15.5</v>
      </c>
      <c r="AC10">
        <v>81.099999999999994</v>
      </c>
      <c r="AD10">
        <v>1.5</v>
      </c>
      <c r="AE10">
        <v>17.3</v>
      </c>
      <c r="AF10">
        <v>90</v>
      </c>
      <c r="AG10">
        <v>1.3</v>
      </c>
      <c r="AH10">
        <v>8.6</v>
      </c>
      <c r="AI10">
        <v>68.2</v>
      </c>
      <c r="AJ10">
        <v>4.3</v>
      </c>
      <c r="AK10">
        <v>27.5</v>
      </c>
    </row>
    <row r="11" spans="1:37" x14ac:dyDescent="0.25">
      <c r="A11" t="s">
        <v>113</v>
      </c>
      <c r="B11">
        <v>86.3</v>
      </c>
      <c r="C11">
        <v>17</v>
      </c>
      <c r="D11" t="s">
        <v>418</v>
      </c>
      <c r="E11">
        <v>88.4</v>
      </c>
      <c r="F11">
        <v>14.1</v>
      </c>
      <c r="G11" t="s">
        <v>418</v>
      </c>
      <c r="H11">
        <v>89.4</v>
      </c>
      <c r="I11">
        <v>14.3</v>
      </c>
      <c r="J11" t="s">
        <v>418</v>
      </c>
      <c r="K11">
        <v>76.7</v>
      </c>
      <c r="L11">
        <v>18.3</v>
      </c>
      <c r="M11">
        <v>5</v>
      </c>
      <c r="N11">
        <v>89.2</v>
      </c>
      <c r="O11">
        <v>9.6</v>
      </c>
      <c r="P11">
        <v>1.2</v>
      </c>
      <c r="Q11">
        <v>75.599999999999994</v>
      </c>
      <c r="R11">
        <v>7.1</v>
      </c>
      <c r="S11">
        <v>17.3</v>
      </c>
      <c r="T11">
        <v>62.8</v>
      </c>
      <c r="U11">
        <v>10.6</v>
      </c>
      <c r="V11">
        <v>26.6</v>
      </c>
      <c r="W11">
        <v>75.099999999999994</v>
      </c>
      <c r="X11">
        <v>5.0999999999999996</v>
      </c>
      <c r="Y11">
        <v>19.8</v>
      </c>
      <c r="Z11">
        <v>77.7</v>
      </c>
      <c r="AA11">
        <v>3.6</v>
      </c>
      <c r="AB11">
        <v>18.7</v>
      </c>
      <c r="AC11">
        <v>86.7</v>
      </c>
      <c r="AD11">
        <v>2.2999999999999998</v>
      </c>
      <c r="AE11">
        <v>11</v>
      </c>
      <c r="AF11">
        <v>87.1</v>
      </c>
      <c r="AG11">
        <v>1.1000000000000001</v>
      </c>
      <c r="AH11">
        <v>11.8</v>
      </c>
      <c r="AI11">
        <v>78.099999999999994</v>
      </c>
      <c r="AJ11">
        <v>3.4</v>
      </c>
      <c r="AK11">
        <v>18.5</v>
      </c>
    </row>
    <row r="12" spans="1:37" x14ac:dyDescent="0.25">
      <c r="A12" t="s">
        <v>114</v>
      </c>
      <c r="B12">
        <v>84.8</v>
      </c>
      <c r="C12">
        <v>10.5</v>
      </c>
      <c r="D12">
        <v>4.5999999999999996</v>
      </c>
      <c r="E12">
        <v>83</v>
      </c>
      <c r="F12">
        <v>8.3000000000000007</v>
      </c>
      <c r="G12">
        <v>8.8000000000000007</v>
      </c>
      <c r="H12">
        <v>93.7</v>
      </c>
      <c r="I12">
        <v>5.5</v>
      </c>
      <c r="J12">
        <v>0.8</v>
      </c>
      <c r="K12">
        <v>85.7</v>
      </c>
      <c r="L12">
        <v>4.0999999999999996</v>
      </c>
      <c r="M12">
        <v>10.199999999999999</v>
      </c>
      <c r="N12">
        <v>83.7</v>
      </c>
      <c r="O12">
        <v>2.8</v>
      </c>
      <c r="P12">
        <v>13.5</v>
      </c>
      <c r="Q12">
        <v>78.400000000000006</v>
      </c>
      <c r="R12">
        <v>1.9</v>
      </c>
      <c r="S12">
        <v>19.7</v>
      </c>
      <c r="T12">
        <v>84.7</v>
      </c>
      <c r="U12">
        <v>0.9</v>
      </c>
      <c r="V12">
        <v>14.4</v>
      </c>
      <c r="W12">
        <v>87.1</v>
      </c>
      <c r="X12">
        <v>1.2</v>
      </c>
      <c r="Y12">
        <v>11.7</v>
      </c>
      <c r="Z12">
        <v>70.7</v>
      </c>
      <c r="AA12">
        <v>4</v>
      </c>
      <c r="AB12">
        <v>25.3</v>
      </c>
      <c r="AC12">
        <v>77.7</v>
      </c>
      <c r="AD12">
        <v>0.7</v>
      </c>
      <c r="AE12">
        <v>21.6</v>
      </c>
      <c r="AF12">
        <v>92.3</v>
      </c>
      <c r="AG12">
        <v>0.7</v>
      </c>
      <c r="AH12">
        <v>7.1</v>
      </c>
      <c r="AI12">
        <v>32.5</v>
      </c>
      <c r="AJ12">
        <v>1.5</v>
      </c>
      <c r="AK12">
        <v>66.099999999999994</v>
      </c>
    </row>
    <row r="13" spans="1:37" x14ac:dyDescent="0.25">
      <c r="A13" t="s">
        <v>115</v>
      </c>
      <c r="B13">
        <v>74.900000000000006</v>
      </c>
      <c r="C13">
        <v>14.9</v>
      </c>
      <c r="D13">
        <v>10.1</v>
      </c>
      <c r="E13">
        <v>79.5</v>
      </c>
      <c r="F13">
        <v>10.8</v>
      </c>
      <c r="G13">
        <v>9.8000000000000007</v>
      </c>
      <c r="H13">
        <v>79.099999999999994</v>
      </c>
      <c r="I13">
        <v>9</v>
      </c>
      <c r="J13">
        <v>11.9</v>
      </c>
      <c r="K13">
        <v>81.2</v>
      </c>
      <c r="L13">
        <v>6.2</v>
      </c>
      <c r="M13">
        <v>12.7</v>
      </c>
      <c r="N13">
        <v>83.1</v>
      </c>
      <c r="O13">
        <v>5.7</v>
      </c>
      <c r="P13">
        <v>11.2</v>
      </c>
      <c r="Q13">
        <v>79.2</v>
      </c>
      <c r="R13">
        <v>3.2</v>
      </c>
      <c r="S13">
        <v>17.5</v>
      </c>
      <c r="T13">
        <v>74</v>
      </c>
      <c r="U13">
        <v>3</v>
      </c>
      <c r="V13">
        <v>23</v>
      </c>
      <c r="W13">
        <v>76.2</v>
      </c>
      <c r="X13">
        <v>2</v>
      </c>
      <c r="Y13">
        <v>21.8</v>
      </c>
      <c r="Z13">
        <v>65.7</v>
      </c>
      <c r="AA13">
        <v>3.8</v>
      </c>
      <c r="AB13">
        <v>30.5</v>
      </c>
      <c r="AC13">
        <v>81.5</v>
      </c>
      <c r="AD13">
        <v>2.2000000000000002</v>
      </c>
      <c r="AE13">
        <v>16.2</v>
      </c>
      <c r="AF13">
        <v>89.7</v>
      </c>
      <c r="AG13">
        <v>1.3</v>
      </c>
      <c r="AH13">
        <v>9</v>
      </c>
      <c r="AI13">
        <v>71.900000000000006</v>
      </c>
      <c r="AJ13">
        <v>3.9</v>
      </c>
      <c r="AK13">
        <v>24.2</v>
      </c>
    </row>
    <row r="14" spans="1:37" x14ac:dyDescent="0.25">
      <c r="A14" t="s">
        <v>116</v>
      </c>
      <c r="B14">
        <v>85.5</v>
      </c>
      <c r="C14">
        <v>5.7</v>
      </c>
      <c r="D14">
        <v>8.9</v>
      </c>
      <c r="E14">
        <v>83.3</v>
      </c>
      <c r="F14">
        <v>4.7</v>
      </c>
      <c r="G14">
        <v>12</v>
      </c>
      <c r="H14">
        <v>86.1</v>
      </c>
      <c r="I14">
        <v>4.3</v>
      </c>
      <c r="J14">
        <v>9.6</v>
      </c>
      <c r="K14">
        <v>82.8</v>
      </c>
      <c r="L14">
        <v>4</v>
      </c>
      <c r="M14">
        <v>13.1</v>
      </c>
      <c r="N14">
        <v>84.3</v>
      </c>
      <c r="O14">
        <v>3.4</v>
      </c>
      <c r="P14">
        <v>12.3</v>
      </c>
      <c r="Q14">
        <v>85</v>
      </c>
      <c r="R14">
        <v>1.7</v>
      </c>
      <c r="S14">
        <v>13.3</v>
      </c>
      <c r="T14">
        <v>75</v>
      </c>
      <c r="U14">
        <v>5.4</v>
      </c>
      <c r="V14">
        <v>19.600000000000001</v>
      </c>
      <c r="W14">
        <v>79.900000000000006</v>
      </c>
      <c r="X14">
        <v>3.6</v>
      </c>
      <c r="Y14">
        <v>16.5</v>
      </c>
      <c r="Z14">
        <v>70.5</v>
      </c>
      <c r="AA14">
        <v>15.4</v>
      </c>
      <c r="AB14">
        <v>14.1</v>
      </c>
      <c r="AC14">
        <v>84.3</v>
      </c>
      <c r="AD14">
        <v>0.4</v>
      </c>
      <c r="AE14">
        <v>15.4</v>
      </c>
      <c r="AF14">
        <v>92.2</v>
      </c>
      <c r="AG14">
        <v>0</v>
      </c>
      <c r="AH14">
        <v>7.8</v>
      </c>
      <c r="AI14">
        <v>90.8</v>
      </c>
      <c r="AJ14">
        <v>0</v>
      </c>
      <c r="AK14">
        <v>9.1999999999999993</v>
      </c>
    </row>
    <row r="15" spans="1:37" x14ac:dyDescent="0.25">
      <c r="A15" t="s">
        <v>117</v>
      </c>
      <c r="B15">
        <v>77.099999999999994</v>
      </c>
      <c r="C15">
        <v>15.8</v>
      </c>
      <c r="D15">
        <v>7</v>
      </c>
      <c r="E15">
        <v>81</v>
      </c>
      <c r="F15">
        <v>10.9</v>
      </c>
      <c r="G15">
        <v>8.1</v>
      </c>
      <c r="H15">
        <v>82.9</v>
      </c>
      <c r="I15">
        <v>10.1</v>
      </c>
      <c r="J15">
        <v>7</v>
      </c>
      <c r="K15">
        <v>84.4</v>
      </c>
      <c r="L15">
        <v>7.1</v>
      </c>
      <c r="M15">
        <v>8.5</v>
      </c>
      <c r="N15">
        <v>85.8</v>
      </c>
      <c r="O15">
        <v>5.3</v>
      </c>
      <c r="P15">
        <v>8.8000000000000007</v>
      </c>
      <c r="Q15">
        <v>62</v>
      </c>
      <c r="R15">
        <v>5</v>
      </c>
      <c r="S15">
        <v>32.9</v>
      </c>
      <c r="T15">
        <v>75.599999999999994</v>
      </c>
      <c r="U15">
        <v>6.4</v>
      </c>
      <c r="V15">
        <v>18</v>
      </c>
      <c r="W15">
        <v>78.400000000000006</v>
      </c>
      <c r="X15">
        <v>3.7</v>
      </c>
      <c r="Y15">
        <v>18</v>
      </c>
      <c r="Z15">
        <v>62.3</v>
      </c>
      <c r="AA15">
        <v>10.199999999999999</v>
      </c>
      <c r="AB15">
        <v>27.5</v>
      </c>
      <c r="AC15">
        <v>76.099999999999994</v>
      </c>
      <c r="AD15">
        <v>3.7</v>
      </c>
      <c r="AE15">
        <v>20.2</v>
      </c>
      <c r="AF15">
        <v>90.3</v>
      </c>
      <c r="AG15">
        <v>2.8</v>
      </c>
      <c r="AH15">
        <v>6.9</v>
      </c>
      <c r="AI15">
        <v>78.3</v>
      </c>
      <c r="AJ15">
        <v>2.7</v>
      </c>
      <c r="AK15">
        <v>19</v>
      </c>
    </row>
    <row r="16" spans="1:37" x14ac:dyDescent="0.25">
      <c r="A16" t="s">
        <v>118</v>
      </c>
      <c r="B16">
        <v>89.3</v>
      </c>
      <c r="C16">
        <v>11.3</v>
      </c>
      <c r="D16" t="s">
        <v>418</v>
      </c>
      <c r="E16">
        <v>86.2</v>
      </c>
      <c r="F16">
        <v>9.1999999999999993</v>
      </c>
      <c r="G16">
        <v>4.5999999999999996</v>
      </c>
      <c r="H16">
        <v>86.9</v>
      </c>
      <c r="I16">
        <v>6.5</v>
      </c>
      <c r="J16">
        <v>6.5</v>
      </c>
      <c r="K16">
        <v>87.1</v>
      </c>
      <c r="L16">
        <v>4.5999999999999996</v>
      </c>
      <c r="M16">
        <v>8.4</v>
      </c>
      <c r="N16">
        <v>91.8</v>
      </c>
      <c r="O16">
        <v>6.2</v>
      </c>
      <c r="P16">
        <v>2</v>
      </c>
      <c r="Q16">
        <v>89.6</v>
      </c>
      <c r="R16">
        <v>1.7</v>
      </c>
      <c r="S16">
        <v>8.6999999999999993</v>
      </c>
      <c r="T16">
        <v>72.2</v>
      </c>
      <c r="U16">
        <v>6</v>
      </c>
      <c r="V16">
        <v>21.8</v>
      </c>
      <c r="W16">
        <v>83</v>
      </c>
      <c r="X16">
        <v>2.8</v>
      </c>
      <c r="Y16">
        <v>14.2</v>
      </c>
      <c r="Z16">
        <v>68.2</v>
      </c>
      <c r="AA16">
        <v>11.8</v>
      </c>
      <c r="AB16">
        <v>19.899999999999999</v>
      </c>
      <c r="AC16">
        <v>79</v>
      </c>
      <c r="AD16">
        <v>3.6</v>
      </c>
      <c r="AE16">
        <v>17.399999999999999</v>
      </c>
      <c r="AF16">
        <v>93.5</v>
      </c>
      <c r="AG16">
        <v>0.5</v>
      </c>
      <c r="AH16">
        <v>6</v>
      </c>
      <c r="AI16">
        <v>53.4</v>
      </c>
      <c r="AJ16">
        <v>1.5</v>
      </c>
      <c r="AK16">
        <v>45.1</v>
      </c>
    </row>
    <row r="17" spans="1:37" x14ac:dyDescent="0.25">
      <c r="A17" t="s">
        <v>119</v>
      </c>
      <c r="B17">
        <v>88.4</v>
      </c>
      <c r="C17">
        <v>7.2</v>
      </c>
      <c r="D17">
        <v>4.4000000000000004</v>
      </c>
      <c r="E17">
        <v>91.7</v>
      </c>
      <c r="F17">
        <v>5.8</v>
      </c>
      <c r="G17">
        <v>2.6</v>
      </c>
      <c r="H17">
        <v>94.9</v>
      </c>
      <c r="I17">
        <v>4.3</v>
      </c>
      <c r="J17">
        <v>0.8</v>
      </c>
      <c r="K17">
        <v>96.1</v>
      </c>
      <c r="L17">
        <v>3.8</v>
      </c>
      <c r="M17">
        <v>0.1</v>
      </c>
      <c r="N17">
        <v>93.7</v>
      </c>
      <c r="O17">
        <v>2.7</v>
      </c>
      <c r="P17">
        <v>3.6</v>
      </c>
      <c r="Q17">
        <v>77</v>
      </c>
      <c r="R17">
        <v>2</v>
      </c>
      <c r="S17">
        <v>21</v>
      </c>
      <c r="T17">
        <v>85.4</v>
      </c>
      <c r="U17">
        <v>4.4000000000000004</v>
      </c>
      <c r="V17">
        <v>10.199999999999999</v>
      </c>
      <c r="W17">
        <v>98.3</v>
      </c>
      <c r="X17">
        <v>2.8</v>
      </c>
      <c r="Y17" t="s">
        <v>418</v>
      </c>
      <c r="Z17">
        <v>65</v>
      </c>
      <c r="AA17">
        <v>5</v>
      </c>
      <c r="AB17">
        <v>30.1</v>
      </c>
      <c r="AC17">
        <v>96.2</v>
      </c>
      <c r="AD17">
        <v>1.2</v>
      </c>
      <c r="AE17">
        <v>2.6</v>
      </c>
      <c r="AF17" t="s">
        <v>418</v>
      </c>
      <c r="AG17">
        <v>1</v>
      </c>
      <c r="AH17" t="s">
        <v>418</v>
      </c>
      <c r="AI17">
        <v>45.8</v>
      </c>
      <c r="AJ17">
        <v>5.9</v>
      </c>
      <c r="AK17">
        <v>48.2</v>
      </c>
    </row>
    <row r="18" spans="1:37" x14ac:dyDescent="0.25">
      <c r="A18" t="s">
        <v>120</v>
      </c>
      <c r="B18">
        <v>88.4</v>
      </c>
      <c r="C18">
        <v>7.6</v>
      </c>
      <c r="D18">
        <v>4.0999999999999996</v>
      </c>
      <c r="E18">
        <v>93.8</v>
      </c>
      <c r="F18">
        <v>6.8</v>
      </c>
      <c r="G18" t="s">
        <v>418</v>
      </c>
      <c r="H18">
        <v>88.5</v>
      </c>
      <c r="I18">
        <v>6.3</v>
      </c>
      <c r="J18">
        <v>5.3</v>
      </c>
      <c r="K18">
        <v>89</v>
      </c>
      <c r="L18">
        <v>4</v>
      </c>
      <c r="M18">
        <v>7.1</v>
      </c>
      <c r="N18">
        <v>92.2</v>
      </c>
      <c r="O18">
        <v>2.7</v>
      </c>
      <c r="P18">
        <v>5.0999999999999996</v>
      </c>
      <c r="Q18">
        <v>21.2</v>
      </c>
      <c r="R18">
        <v>3.7</v>
      </c>
      <c r="S18">
        <v>75.099999999999994</v>
      </c>
      <c r="T18">
        <v>66</v>
      </c>
      <c r="U18">
        <v>9</v>
      </c>
      <c r="V18">
        <v>25</v>
      </c>
      <c r="W18">
        <v>84.2</v>
      </c>
      <c r="X18">
        <v>2.8</v>
      </c>
      <c r="Y18">
        <v>12.9</v>
      </c>
      <c r="Z18">
        <v>12.5</v>
      </c>
      <c r="AA18">
        <v>8</v>
      </c>
      <c r="AB18">
        <v>79.5</v>
      </c>
      <c r="AC18">
        <v>85.8</v>
      </c>
      <c r="AD18">
        <v>1.4</v>
      </c>
      <c r="AE18">
        <v>12.8</v>
      </c>
      <c r="AF18">
        <v>80.3</v>
      </c>
      <c r="AG18">
        <v>0.3</v>
      </c>
      <c r="AH18">
        <v>19.5</v>
      </c>
      <c r="AI18">
        <v>69.3</v>
      </c>
      <c r="AJ18">
        <v>16.3</v>
      </c>
      <c r="AK18">
        <v>14.4</v>
      </c>
    </row>
    <row r="19" spans="1:37" x14ac:dyDescent="0.25">
      <c r="A19" t="s">
        <v>121</v>
      </c>
      <c r="B19">
        <v>75.5</v>
      </c>
      <c r="C19">
        <v>19.5</v>
      </c>
      <c r="D19">
        <v>5</v>
      </c>
      <c r="E19">
        <v>82.1</v>
      </c>
      <c r="F19">
        <v>13.4</v>
      </c>
      <c r="G19">
        <v>4.5</v>
      </c>
      <c r="H19">
        <v>80.099999999999994</v>
      </c>
      <c r="I19">
        <v>10.3</v>
      </c>
      <c r="J19">
        <v>9.6</v>
      </c>
      <c r="K19">
        <v>82.9</v>
      </c>
      <c r="L19">
        <v>7.7</v>
      </c>
      <c r="M19">
        <v>9.4</v>
      </c>
      <c r="N19">
        <v>84.5</v>
      </c>
      <c r="O19">
        <v>4.7</v>
      </c>
      <c r="P19">
        <v>10.8</v>
      </c>
      <c r="Q19">
        <v>79.5</v>
      </c>
      <c r="R19">
        <v>3.5</v>
      </c>
      <c r="S19">
        <v>17</v>
      </c>
      <c r="T19">
        <v>80.7</v>
      </c>
      <c r="U19">
        <v>1.9</v>
      </c>
      <c r="V19">
        <v>17.399999999999999</v>
      </c>
      <c r="W19">
        <v>86.8</v>
      </c>
      <c r="X19">
        <v>1</v>
      </c>
      <c r="Y19">
        <v>12.2</v>
      </c>
      <c r="Z19">
        <v>66.8</v>
      </c>
      <c r="AA19">
        <v>2.7</v>
      </c>
      <c r="AB19">
        <v>30.5</v>
      </c>
      <c r="AC19">
        <v>83.4</v>
      </c>
      <c r="AD19">
        <v>0.8</v>
      </c>
      <c r="AE19">
        <v>15.8</v>
      </c>
      <c r="AF19">
        <v>94.8</v>
      </c>
      <c r="AG19">
        <v>0</v>
      </c>
      <c r="AH19">
        <v>5.2</v>
      </c>
      <c r="AI19">
        <v>76.900000000000006</v>
      </c>
      <c r="AJ19">
        <v>0.4</v>
      </c>
      <c r="AK19">
        <v>22.7</v>
      </c>
    </row>
    <row r="20" spans="1:37" x14ac:dyDescent="0.25">
      <c r="A20" t="s">
        <v>122</v>
      </c>
      <c r="B20">
        <v>85.1</v>
      </c>
      <c r="C20">
        <v>13</v>
      </c>
      <c r="D20">
        <v>1.9</v>
      </c>
      <c r="E20">
        <v>89.3</v>
      </c>
      <c r="F20">
        <v>9.6999999999999993</v>
      </c>
      <c r="G20">
        <v>1.1000000000000001</v>
      </c>
      <c r="H20">
        <v>89.6</v>
      </c>
      <c r="I20">
        <v>8.5</v>
      </c>
      <c r="J20">
        <v>1.9</v>
      </c>
      <c r="K20">
        <v>91.3</v>
      </c>
      <c r="L20">
        <v>6.3</v>
      </c>
      <c r="M20">
        <v>2.4</v>
      </c>
      <c r="N20">
        <v>90.1</v>
      </c>
      <c r="O20">
        <v>5.5</v>
      </c>
      <c r="P20">
        <v>4.4000000000000004</v>
      </c>
      <c r="Q20">
        <v>70.2</v>
      </c>
      <c r="R20">
        <v>4.9000000000000004</v>
      </c>
      <c r="S20">
        <v>24.9</v>
      </c>
      <c r="T20">
        <v>81.099999999999994</v>
      </c>
      <c r="U20">
        <v>1</v>
      </c>
      <c r="V20">
        <v>17.899999999999999</v>
      </c>
      <c r="W20">
        <v>84</v>
      </c>
      <c r="X20">
        <v>1.1000000000000001</v>
      </c>
      <c r="Y20">
        <v>15</v>
      </c>
      <c r="Z20">
        <v>52.4</v>
      </c>
      <c r="AA20">
        <v>2.5</v>
      </c>
      <c r="AB20">
        <v>45.1</v>
      </c>
      <c r="AC20">
        <v>78</v>
      </c>
      <c r="AD20">
        <v>0.8</v>
      </c>
      <c r="AE20">
        <v>21.2</v>
      </c>
      <c r="AF20">
        <v>88.5</v>
      </c>
      <c r="AG20">
        <v>0.9</v>
      </c>
      <c r="AH20">
        <v>10.6</v>
      </c>
      <c r="AI20">
        <v>62.9</v>
      </c>
      <c r="AJ20">
        <v>3.9</v>
      </c>
      <c r="AK20">
        <v>33.200000000000003</v>
      </c>
    </row>
    <row r="21" spans="1:37" x14ac:dyDescent="0.25">
      <c r="A21" t="s">
        <v>123</v>
      </c>
      <c r="B21">
        <v>80.400000000000006</v>
      </c>
      <c r="C21">
        <v>17.100000000000001</v>
      </c>
      <c r="D21">
        <v>2.5</v>
      </c>
      <c r="E21">
        <v>85</v>
      </c>
      <c r="F21">
        <v>10.6</v>
      </c>
      <c r="G21">
        <v>4.3</v>
      </c>
      <c r="H21">
        <v>84.8</v>
      </c>
      <c r="I21">
        <v>9.1999999999999993</v>
      </c>
      <c r="J21">
        <v>6</v>
      </c>
      <c r="K21">
        <v>84.4</v>
      </c>
      <c r="L21">
        <v>6.2</v>
      </c>
      <c r="M21">
        <v>9.5</v>
      </c>
      <c r="N21">
        <v>84.7</v>
      </c>
      <c r="O21">
        <v>4.9000000000000004</v>
      </c>
      <c r="P21">
        <v>10.4</v>
      </c>
      <c r="Q21">
        <v>80.7</v>
      </c>
      <c r="R21">
        <v>3.2</v>
      </c>
      <c r="S21">
        <v>16.100000000000001</v>
      </c>
      <c r="T21">
        <v>77.900000000000006</v>
      </c>
      <c r="U21">
        <v>1.3</v>
      </c>
      <c r="V21">
        <v>20.8</v>
      </c>
      <c r="W21">
        <v>84</v>
      </c>
      <c r="X21">
        <v>0.8</v>
      </c>
      <c r="Y21">
        <v>15.2</v>
      </c>
      <c r="Z21">
        <v>78.3</v>
      </c>
      <c r="AA21">
        <v>4.5</v>
      </c>
      <c r="AB21">
        <v>17.3</v>
      </c>
      <c r="AC21">
        <v>87.2</v>
      </c>
      <c r="AD21">
        <v>0.8</v>
      </c>
      <c r="AE21">
        <v>12</v>
      </c>
      <c r="AF21">
        <v>95</v>
      </c>
      <c r="AG21">
        <v>1</v>
      </c>
      <c r="AH21">
        <v>4</v>
      </c>
      <c r="AI21">
        <v>57.1</v>
      </c>
      <c r="AJ21">
        <v>4.5</v>
      </c>
      <c r="AK21">
        <v>38.4</v>
      </c>
    </row>
    <row r="22" spans="1:37" x14ac:dyDescent="0.25">
      <c r="A22" t="s">
        <v>124</v>
      </c>
      <c r="B22">
        <v>78.7</v>
      </c>
      <c r="C22">
        <v>8.6999999999999993</v>
      </c>
      <c r="D22">
        <v>12.6</v>
      </c>
      <c r="E22">
        <v>85.6</v>
      </c>
      <c r="F22">
        <v>5</v>
      </c>
      <c r="G22">
        <v>9.4</v>
      </c>
      <c r="H22">
        <v>86.9</v>
      </c>
      <c r="I22">
        <v>4</v>
      </c>
      <c r="J22">
        <v>9.1</v>
      </c>
      <c r="K22">
        <v>82.4</v>
      </c>
      <c r="L22">
        <v>3.2</v>
      </c>
      <c r="M22">
        <v>14.4</v>
      </c>
      <c r="N22">
        <v>80.8</v>
      </c>
      <c r="O22">
        <v>2.1</v>
      </c>
      <c r="P22">
        <v>17.100000000000001</v>
      </c>
      <c r="Q22">
        <v>55.6</v>
      </c>
      <c r="R22">
        <v>1.7</v>
      </c>
      <c r="S22">
        <v>42.7</v>
      </c>
      <c r="T22">
        <v>74</v>
      </c>
      <c r="U22">
        <v>1.9</v>
      </c>
      <c r="V22">
        <v>24.1</v>
      </c>
      <c r="W22">
        <v>98.1</v>
      </c>
      <c r="X22">
        <v>0.2</v>
      </c>
      <c r="Y22">
        <v>1.7</v>
      </c>
      <c r="Z22">
        <v>65.599999999999994</v>
      </c>
      <c r="AA22">
        <v>3.5</v>
      </c>
      <c r="AB22">
        <v>30.9</v>
      </c>
      <c r="AC22">
        <v>89.2</v>
      </c>
      <c r="AD22">
        <v>0.3</v>
      </c>
      <c r="AE22">
        <v>10.6</v>
      </c>
      <c r="AF22">
        <v>93.2</v>
      </c>
      <c r="AG22">
        <v>0.4</v>
      </c>
      <c r="AH22">
        <v>6.4</v>
      </c>
      <c r="AI22">
        <v>81.599999999999994</v>
      </c>
      <c r="AJ22">
        <v>3.5</v>
      </c>
      <c r="AK22">
        <v>14.9</v>
      </c>
    </row>
    <row r="23" spans="1:37" x14ac:dyDescent="0.25">
      <c r="A23" t="s">
        <v>125</v>
      </c>
      <c r="B23">
        <v>80.599999999999994</v>
      </c>
      <c r="C23">
        <v>15.6</v>
      </c>
      <c r="D23">
        <v>3.8</v>
      </c>
      <c r="E23">
        <v>83.4</v>
      </c>
      <c r="F23">
        <v>11.6</v>
      </c>
      <c r="G23">
        <v>5</v>
      </c>
      <c r="H23">
        <v>85.5</v>
      </c>
      <c r="I23">
        <v>9.5</v>
      </c>
      <c r="J23">
        <v>5</v>
      </c>
      <c r="K23">
        <v>87.2</v>
      </c>
      <c r="L23">
        <v>6.3</v>
      </c>
      <c r="M23">
        <v>6.5</v>
      </c>
      <c r="N23">
        <v>88.4</v>
      </c>
      <c r="O23">
        <v>5.0999999999999996</v>
      </c>
      <c r="P23">
        <v>6.6</v>
      </c>
      <c r="Q23">
        <v>79.900000000000006</v>
      </c>
      <c r="R23">
        <v>3.7</v>
      </c>
      <c r="S23">
        <v>16.399999999999999</v>
      </c>
      <c r="T23">
        <v>74.400000000000006</v>
      </c>
      <c r="U23">
        <v>7.4</v>
      </c>
      <c r="V23">
        <v>18.2</v>
      </c>
      <c r="W23">
        <v>82.2</v>
      </c>
      <c r="X23">
        <v>3.8</v>
      </c>
      <c r="Y23">
        <v>14</v>
      </c>
      <c r="Z23">
        <v>71.5</v>
      </c>
      <c r="AA23">
        <v>6</v>
      </c>
      <c r="AB23">
        <v>22.4</v>
      </c>
      <c r="AC23">
        <v>83.9</v>
      </c>
      <c r="AD23">
        <v>3.5</v>
      </c>
      <c r="AE23">
        <v>12.6</v>
      </c>
      <c r="AF23">
        <v>75.5</v>
      </c>
      <c r="AG23">
        <v>1.7</v>
      </c>
      <c r="AH23">
        <v>22.8</v>
      </c>
      <c r="AI23">
        <v>72.400000000000006</v>
      </c>
      <c r="AJ23">
        <v>3.4</v>
      </c>
      <c r="AK23">
        <v>24.2</v>
      </c>
    </row>
    <row r="24" spans="1:37" x14ac:dyDescent="0.25">
      <c r="A24" t="s">
        <v>126</v>
      </c>
      <c r="B24">
        <v>69.8</v>
      </c>
      <c r="C24">
        <v>18.899999999999999</v>
      </c>
      <c r="D24">
        <v>11.2</v>
      </c>
      <c r="E24">
        <v>79.8</v>
      </c>
      <c r="F24">
        <v>11.8</v>
      </c>
      <c r="G24">
        <v>8.3000000000000007</v>
      </c>
      <c r="H24">
        <v>74.7</v>
      </c>
      <c r="I24">
        <v>9.3000000000000007</v>
      </c>
      <c r="J24">
        <v>16</v>
      </c>
      <c r="K24">
        <v>82.1</v>
      </c>
      <c r="L24">
        <v>7.8</v>
      </c>
      <c r="M24">
        <v>10.199999999999999</v>
      </c>
      <c r="N24">
        <v>84.2</v>
      </c>
      <c r="O24">
        <v>3.7</v>
      </c>
      <c r="P24">
        <v>12.1</v>
      </c>
      <c r="Q24">
        <v>62.7</v>
      </c>
      <c r="R24">
        <v>2.6</v>
      </c>
      <c r="S24">
        <v>34.700000000000003</v>
      </c>
      <c r="T24">
        <v>71.2</v>
      </c>
      <c r="U24">
        <v>4.2</v>
      </c>
      <c r="V24">
        <v>24.7</v>
      </c>
      <c r="W24">
        <v>84.1</v>
      </c>
      <c r="X24">
        <v>1.8</v>
      </c>
      <c r="Y24">
        <v>14</v>
      </c>
      <c r="Z24">
        <v>72.599999999999994</v>
      </c>
      <c r="AA24">
        <v>3.5</v>
      </c>
      <c r="AB24">
        <v>23.9</v>
      </c>
      <c r="AC24">
        <v>83.6</v>
      </c>
      <c r="AD24">
        <v>4</v>
      </c>
      <c r="AE24">
        <v>12.4</v>
      </c>
      <c r="AF24">
        <v>91.4</v>
      </c>
      <c r="AG24">
        <v>0.3</v>
      </c>
      <c r="AH24">
        <v>8.3000000000000007</v>
      </c>
      <c r="AI24">
        <v>76.7</v>
      </c>
      <c r="AJ24">
        <v>6.7</v>
      </c>
      <c r="AK24">
        <v>16.7</v>
      </c>
    </row>
    <row r="25" spans="1:37" x14ac:dyDescent="0.25">
      <c r="A25" t="s">
        <v>127</v>
      </c>
      <c r="B25">
        <v>88.3</v>
      </c>
      <c r="C25">
        <v>9.8000000000000007</v>
      </c>
      <c r="D25">
        <v>2</v>
      </c>
      <c r="E25">
        <v>92.5</v>
      </c>
      <c r="F25">
        <v>6.3</v>
      </c>
      <c r="G25">
        <v>1.3</v>
      </c>
      <c r="H25">
        <v>93.4</v>
      </c>
      <c r="I25">
        <v>5.2</v>
      </c>
      <c r="J25">
        <v>1.4</v>
      </c>
      <c r="K25">
        <v>92.4</v>
      </c>
      <c r="L25">
        <v>3.9</v>
      </c>
      <c r="M25">
        <v>3.6</v>
      </c>
      <c r="N25">
        <v>93.7</v>
      </c>
      <c r="O25">
        <v>3.7</v>
      </c>
      <c r="P25">
        <v>2.6</v>
      </c>
      <c r="Q25">
        <v>91.3</v>
      </c>
      <c r="R25">
        <v>2.6</v>
      </c>
      <c r="S25">
        <v>6.1</v>
      </c>
      <c r="T25">
        <v>78.599999999999994</v>
      </c>
      <c r="U25">
        <v>4.5</v>
      </c>
      <c r="V25">
        <v>16.8</v>
      </c>
      <c r="W25">
        <v>79.3</v>
      </c>
      <c r="X25">
        <v>2.2000000000000002</v>
      </c>
      <c r="Y25">
        <v>18.5</v>
      </c>
      <c r="Z25">
        <v>75.400000000000006</v>
      </c>
      <c r="AA25">
        <v>3.1</v>
      </c>
      <c r="AB25">
        <v>21.5</v>
      </c>
      <c r="AC25">
        <v>79.099999999999994</v>
      </c>
      <c r="AD25">
        <v>1.7</v>
      </c>
      <c r="AE25">
        <v>19.2</v>
      </c>
      <c r="AF25">
        <v>85.4</v>
      </c>
      <c r="AG25">
        <v>0.8</v>
      </c>
      <c r="AH25">
        <v>13.9</v>
      </c>
      <c r="AI25">
        <v>69.8</v>
      </c>
      <c r="AJ25">
        <v>2.5</v>
      </c>
      <c r="AK25">
        <v>27.7</v>
      </c>
    </row>
    <row r="26" spans="1:37" x14ac:dyDescent="0.25">
      <c r="A26" t="s">
        <v>128</v>
      </c>
      <c r="B26">
        <v>83.7</v>
      </c>
      <c r="C26">
        <v>14.1</v>
      </c>
      <c r="D26">
        <v>2.2000000000000002</v>
      </c>
      <c r="E26">
        <v>83.1</v>
      </c>
      <c r="F26">
        <v>11.6</v>
      </c>
      <c r="G26">
        <v>5.3</v>
      </c>
      <c r="H26">
        <v>84.9</v>
      </c>
      <c r="I26">
        <v>11.3</v>
      </c>
      <c r="J26">
        <v>3.8</v>
      </c>
      <c r="K26">
        <v>85.5</v>
      </c>
      <c r="L26">
        <v>8.8000000000000007</v>
      </c>
      <c r="M26">
        <v>5.7</v>
      </c>
      <c r="N26">
        <v>85.7</v>
      </c>
      <c r="O26">
        <v>8.4</v>
      </c>
      <c r="P26">
        <v>6</v>
      </c>
      <c r="Q26">
        <v>79.3</v>
      </c>
      <c r="R26">
        <v>9</v>
      </c>
      <c r="S26">
        <v>11.7</v>
      </c>
      <c r="T26">
        <v>81.099999999999994</v>
      </c>
      <c r="U26">
        <v>4.5999999999999996</v>
      </c>
      <c r="V26">
        <v>14.3</v>
      </c>
      <c r="W26">
        <v>80.7</v>
      </c>
      <c r="X26">
        <v>3.6</v>
      </c>
      <c r="Y26">
        <v>15.7</v>
      </c>
      <c r="Z26" t="s">
        <v>418</v>
      </c>
      <c r="AA26">
        <v>6.9</v>
      </c>
      <c r="AB26" t="s">
        <v>418</v>
      </c>
      <c r="AC26">
        <v>80</v>
      </c>
      <c r="AD26">
        <v>2</v>
      </c>
      <c r="AE26">
        <v>18</v>
      </c>
      <c r="AF26">
        <v>84.1</v>
      </c>
      <c r="AG26">
        <v>1.2</v>
      </c>
      <c r="AH26">
        <v>14.7</v>
      </c>
      <c r="AI26">
        <v>57.1</v>
      </c>
      <c r="AJ26">
        <v>5</v>
      </c>
      <c r="AK26">
        <v>38</v>
      </c>
    </row>
    <row r="27" spans="1:37" x14ac:dyDescent="0.25">
      <c r="A27" t="s">
        <v>129</v>
      </c>
      <c r="B27">
        <v>82.3</v>
      </c>
      <c r="C27">
        <v>11.5</v>
      </c>
      <c r="D27">
        <v>6.2</v>
      </c>
      <c r="E27">
        <v>85.5</v>
      </c>
      <c r="F27">
        <v>8.8000000000000007</v>
      </c>
      <c r="G27">
        <v>5.7</v>
      </c>
      <c r="H27">
        <v>84.3</v>
      </c>
      <c r="I27">
        <v>7</v>
      </c>
      <c r="J27">
        <v>8.6999999999999993</v>
      </c>
      <c r="K27">
        <v>86.2</v>
      </c>
      <c r="L27">
        <v>5.5</v>
      </c>
      <c r="M27">
        <v>8.3000000000000007</v>
      </c>
      <c r="N27">
        <v>83.2</v>
      </c>
      <c r="O27">
        <v>4.4000000000000004</v>
      </c>
      <c r="P27">
        <v>12.4</v>
      </c>
      <c r="Q27">
        <v>48.7</v>
      </c>
      <c r="R27">
        <v>3.6</v>
      </c>
      <c r="S27">
        <v>47.7</v>
      </c>
      <c r="T27">
        <v>68.400000000000006</v>
      </c>
      <c r="U27">
        <v>5.7</v>
      </c>
      <c r="V27">
        <v>26</v>
      </c>
      <c r="W27">
        <v>76.7</v>
      </c>
      <c r="X27">
        <v>3.9</v>
      </c>
      <c r="Y27">
        <v>19.399999999999999</v>
      </c>
      <c r="Z27">
        <v>46.1</v>
      </c>
      <c r="AA27">
        <v>5</v>
      </c>
      <c r="AB27">
        <v>48.9</v>
      </c>
      <c r="AC27">
        <v>73.599999999999994</v>
      </c>
      <c r="AD27">
        <v>2</v>
      </c>
      <c r="AE27">
        <v>24.3</v>
      </c>
      <c r="AF27">
        <v>86.2</v>
      </c>
      <c r="AG27">
        <v>1.1000000000000001</v>
      </c>
      <c r="AH27">
        <v>12.7</v>
      </c>
      <c r="AI27">
        <v>66.3</v>
      </c>
      <c r="AJ27">
        <v>2.7</v>
      </c>
      <c r="AK27">
        <v>31</v>
      </c>
    </row>
    <row r="28" spans="1:37" x14ac:dyDescent="0.25">
      <c r="A28" t="s">
        <v>87</v>
      </c>
      <c r="B28">
        <v>82.5</v>
      </c>
      <c r="C28">
        <v>12.8</v>
      </c>
      <c r="D28">
        <v>4.8</v>
      </c>
      <c r="E28">
        <v>86</v>
      </c>
      <c r="F28">
        <v>9.4</v>
      </c>
      <c r="G28">
        <v>4.5999999999999996</v>
      </c>
      <c r="H28">
        <v>87.1</v>
      </c>
      <c r="I28">
        <v>7.9</v>
      </c>
      <c r="J28">
        <v>5</v>
      </c>
      <c r="K28">
        <v>87.7</v>
      </c>
      <c r="L28">
        <v>6</v>
      </c>
      <c r="M28">
        <v>6.3</v>
      </c>
      <c r="N28">
        <v>88.2</v>
      </c>
      <c r="O28">
        <v>4.8</v>
      </c>
      <c r="P28">
        <v>7</v>
      </c>
      <c r="Q28">
        <v>73.7</v>
      </c>
      <c r="R28">
        <v>3.8</v>
      </c>
      <c r="S28">
        <v>22.5</v>
      </c>
      <c r="T28">
        <v>76.400000000000006</v>
      </c>
      <c r="U28">
        <v>4.4000000000000004</v>
      </c>
      <c r="V28">
        <v>19.2</v>
      </c>
      <c r="W28">
        <v>82.4</v>
      </c>
      <c r="X28">
        <v>2.7</v>
      </c>
      <c r="Y28">
        <v>14.9</v>
      </c>
      <c r="Z28">
        <v>68.2</v>
      </c>
      <c r="AA28">
        <v>4.9000000000000004</v>
      </c>
      <c r="AB28">
        <v>26.9</v>
      </c>
      <c r="AC28">
        <v>82</v>
      </c>
      <c r="AD28">
        <v>1.7</v>
      </c>
      <c r="AE28">
        <v>16.3</v>
      </c>
      <c r="AF28">
        <v>89.1</v>
      </c>
      <c r="AG28">
        <v>1</v>
      </c>
      <c r="AH28">
        <v>9.9</v>
      </c>
      <c r="AI28">
        <v>61.7</v>
      </c>
      <c r="AJ28">
        <v>4</v>
      </c>
      <c r="AK28">
        <v>34.299999999999997</v>
      </c>
    </row>
    <row r="29" spans="1:37" x14ac:dyDescent="0.25">
      <c r="A29" t="s">
        <v>265</v>
      </c>
      <c r="B29">
        <v>83.9</v>
      </c>
      <c r="C29">
        <v>10.4</v>
      </c>
      <c r="D29">
        <v>5.7</v>
      </c>
      <c r="E29">
        <v>88.3</v>
      </c>
      <c r="F29">
        <v>8.1</v>
      </c>
      <c r="G29">
        <v>3.5</v>
      </c>
      <c r="H29">
        <v>90.6</v>
      </c>
      <c r="I29">
        <v>5.9</v>
      </c>
      <c r="J29">
        <v>3.5</v>
      </c>
      <c r="K29">
        <v>91.1</v>
      </c>
      <c r="L29">
        <v>4.4000000000000004</v>
      </c>
      <c r="M29">
        <v>4.4000000000000004</v>
      </c>
      <c r="N29">
        <v>91.5</v>
      </c>
      <c r="O29">
        <v>3.3</v>
      </c>
      <c r="P29">
        <v>5.2</v>
      </c>
      <c r="Q29">
        <v>77.099999999999994</v>
      </c>
      <c r="R29">
        <v>2.4</v>
      </c>
      <c r="S29">
        <v>20.5</v>
      </c>
      <c r="T29">
        <v>79.5</v>
      </c>
      <c r="U29">
        <v>5.0999999999999996</v>
      </c>
      <c r="V29">
        <v>15.4</v>
      </c>
      <c r="W29">
        <v>92</v>
      </c>
      <c r="X29">
        <v>3</v>
      </c>
      <c r="Y29">
        <v>5</v>
      </c>
      <c r="Z29">
        <v>70.900000000000006</v>
      </c>
      <c r="AA29">
        <v>5.7</v>
      </c>
      <c r="AB29">
        <v>23.3</v>
      </c>
      <c r="AC29">
        <v>88.5</v>
      </c>
      <c r="AD29">
        <v>1.9</v>
      </c>
      <c r="AE29">
        <v>9.6</v>
      </c>
      <c r="AF29">
        <v>96.3</v>
      </c>
      <c r="AG29">
        <v>1.1000000000000001</v>
      </c>
      <c r="AH29">
        <v>2.6</v>
      </c>
      <c r="AI29">
        <v>55.7</v>
      </c>
      <c r="AJ29">
        <v>4</v>
      </c>
      <c r="AK29">
        <v>40.299999999999997</v>
      </c>
    </row>
    <row r="30" spans="1:37" x14ac:dyDescent="0.25">
      <c r="A30" t="s">
        <v>266</v>
      </c>
      <c r="B30">
        <v>82.2</v>
      </c>
      <c r="C30">
        <v>13.2</v>
      </c>
      <c r="D30">
        <v>4.5999999999999996</v>
      </c>
      <c r="E30">
        <v>85.6</v>
      </c>
      <c r="F30">
        <v>9.6999999999999993</v>
      </c>
      <c r="G30">
        <v>4.8</v>
      </c>
      <c r="H30">
        <v>86.4</v>
      </c>
      <c r="I30">
        <v>8.3000000000000007</v>
      </c>
      <c r="J30">
        <v>5.2</v>
      </c>
      <c r="K30">
        <v>87.1</v>
      </c>
      <c r="L30">
        <v>6.3</v>
      </c>
      <c r="M30">
        <v>6.6</v>
      </c>
      <c r="N30">
        <v>87.5</v>
      </c>
      <c r="O30">
        <v>5.0999999999999996</v>
      </c>
      <c r="P30">
        <v>7.4</v>
      </c>
      <c r="Q30">
        <v>73</v>
      </c>
      <c r="R30">
        <v>4.0999999999999996</v>
      </c>
      <c r="S30">
        <v>22.9</v>
      </c>
      <c r="T30">
        <v>75.599999999999994</v>
      </c>
      <c r="U30">
        <v>4.3</v>
      </c>
      <c r="V30">
        <v>20.100000000000001</v>
      </c>
      <c r="W30">
        <v>80</v>
      </c>
      <c r="X30">
        <v>2.7</v>
      </c>
      <c r="Y30">
        <v>17.399999999999999</v>
      </c>
      <c r="Z30">
        <v>67.400000000000006</v>
      </c>
      <c r="AA30">
        <v>4.7</v>
      </c>
      <c r="AB30">
        <v>27.9</v>
      </c>
      <c r="AC30">
        <v>79.5</v>
      </c>
      <c r="AD30">
        <v>1.7</v>
      </c>
      <c r="AE30">
        <v>18.8</v>
      </c>
      <c r="AF30">
        <v>86</v>
      </c>
      <c r="AG30">
        <v>1</v>
      </c>
      <c r="AH30">
        <v>13</v>
      </c>
      <c r="AI30">
        <v>64.900000000000006</v>
      </c>
      <c r="AJ30">
        <v>4</v>
      </c>
      <c r="AK30">
        <v>31.2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AK30"/>
  <sheetViews>
    <sheetView workbookViewId="0"/>
  </sheetViews>
  <sheetFormatPr defaultRowHeight="15" x14ac:dyDescent="0.25"/>
  <sheetData>
    <row r="1" spans="1:37" x14ac:dyDescent="0.25">
      <c r="A1" s="27" t="s">
        <v>104</v>
      </c>
      <c r="B1" s="27" t="s">
        <v>149</v>
      </c>
      <c r="C1" s="27"/>
      <c r="D1" s="27"/>
      <c r="E1" s="27" t="s">
        <v>150</v>
      </c>
      <c r="F1" s="27"/>
      <c r="G1" s="27"/>
      <c r="H1" s="27" t="s">
        <v>151</v>
      </c>
      <c r="I1" s="27"/>
      <c r="J1" s="27"/>
      <c r="K1" s="27" t="s">
        <v>152</v>
      </c>
      <c r="L1" s="27"/>
      <c r="M1" s="27"/>
      <c r="N1" s="27" t="s">
        <v>153</v>
      </c>
      <c r="O1" s="27"/>
      <c r="P1" s="27"/>
      <c r="Q1" s="27" t="s">
        <v>154</v>
      </c>
      <c r="R1" s="27"/>
      <c r="S1" s="27"/>
      <c r="T1" s="27" t="s">
        <v>155</v>
      </c>
      <c r="U1" s="27"/>
      <c r="V1" s="27"/>
      <c r="W1" s="27" t="s">
        <v>156</v>
      </c>
      <c r="X1" s="27"/>
      <c r="Y1" s="27"/>
      <c r="Z1" s="27" t="s">
        <v>157</v>
      </c>
      <c r="AA1" s="27"/>
      <c r="AB1" s="27"/>
      <c r="AC1" s="27" t="s">
        <v>158</v>
      </c>
      <c r="AD1" s="27"/>
      <c r="AE1" s="27"/>
      <c r="AF1" s="27" t="s">
        <v>159</v>
      </c>
      <c r="AG1" s="27"/>
      <c r="AH1" s="27"/>
      <c r="AI1" s="27" t="s">
        <v>160</v>
      </c>
      <c r="AJ1" s="27"/>
      <c r="AK1" s="27"/>
    </row>
    <row r="2" spans="1:37" x14ac:dyDescent="0.25">
      <c r="A2" s="27"/>
      <c r="B2" t="s">
        <v>415</v>
      </c>
      <c r="C2" t="s">
        <v>416</v>
      </c>
      <c r="D2" t="s">
        <v>417</v>
      </c>
      <c r="E2" t="s">
        <v>415</v>
      </c>
      <c r="F2" t="s">
        <v>416</v>
      </c>
      <c r="G2" t="s">
        <v>417</v>
      </c>
      <c r="H2" t="s">
        <v>415</v>
      </c>
      <c r="I2" t="s">
        <v>416</v>
      </c>
      <c r="J2" t="s">
        <v>417</v>
      </c>
      <c r="K2" t="s">
        <v>415</v>
      </c>
      <c r="L2" t="s">
        <v>416</v>
      </c>
      <c r="M2" t="s">
        <v>417</v>
      </c>
      <c r="N2" t="s">
        <v>415</v>
      </c>
      <c r="O2" t="s">
        <v>416</v>
      </c>
      <c r="P2" t="s">
        <v>417</v>
      </c>
      <c r="Q2" t="s">
        <v>415</v>
      </c>
      <c r="R2" t="s">
        <v>416</v>
      </c>
      <c r="S2" t="s">
        <v>417</v>
      </c>
      <c r="T2" t="s">
        <v>415</v>
      </c>
      <c r="U2" t="s">
        <v>416</v>
      </c>
      <c r="V2" t="s">
        <v>417</v>
      </c>
      <c r="W2" t="s">
        <v>415</v>
      </c>
      <c r="X2" t="s">
        <v>416</v>
      </c>
      <c r="Y2" t="s">
        <v>417</v>
      </c>
      <c r="Z2" t="s">
        <v>415</v>
      </c>
      <c r="AA2" t="s">
        <v>416</v>
      </c>
      <c r="AB2" t="s">
        <v>417</v>
      </c>
      <c r="AC2" t="s">
        <v>415</v>
      </c>
      <c r="AD2" t="s">
        <v>416</v>
      </c>
      <c r="AE2" t="s">
        <v>417</v>
      </c>
      <c r="AF2" t="s">
        <v>415</v>
      </c>
      <c r="AG2" t="s">
        <v>416</v>
      </c>
      <c r="AH2" t="s">
        <v>417</v>
      </c>
      <c r="AI2" t="s">
        <v>415</v>
      </c>
      <c r="AJ2" t="s">
        <v>416</v>
      </c>
      <c r="AK2" t="s">
        <v>417</v>
      </c>
    </row>
    <row r="3" spans="1:37" x14ac:dyDescent="0.25">
      <c r="A3" t="s">
        <v>105</v>
      </c>
      <c r="B3">
        <v>90.1</v>
      </c>
      <c r="C3">
        <v>6.3</v>
      </c>
      <c r="D3">
        <v>3.7</v>
      </c>
      <c r="E3">
        <v>91.8</v>
      </c>
      <c r="F3">
        <v>4.8</v>
      </c>
      <c r="G3">
        <v>3.4</v>
      </c>
      <c r="H3">
        <v>93.2</v>
      </c>
      <c r="I3">
        <v>3.5</v>
      </c>
      <c r="J3">
        <v>3.3</v>
      </c>
      <c r="K3">
        <v>91.1</v>
      </c>
      <c r="L3">
        <v>2.9</v>
      </c>
      <c r="M3">
        <v>6</v>
      </c>
      <c r="N3">
        <v>96</v>
      </c>
      <c r="O3">
        <v>1.8</v>
      </c>
      <c r="P3">
        <v>2.2000000000000002</v>
      </c>
      <c r="Q3">
        <v>90.6</v>
      </c>
      <c r="R3">
        <v>1.3</v>
      </c>
      <c r="S3">
        <v>8.1</v>
      </c>
      <c r="T3">
        <v>80.099999999999994</v>
      </c>
      <c r="U3">
        <v>2.2000000000000002</v>
      </c>
      <c r="V3">
        <v>17.7</v>
      </c>
      <c r="W3">
        <v>83.8</v>
      </c>
      <c r="X3">
        <v>1.8</v>
      </c>
      <c r="Y3">
        <v>14.4</v>
      </c>
      <c r="Z3">
        <v>76</v>
      </c>
      <c r="AA3">
        <v>3.6</v>
      </c>
      <c r="AB3">
        <v>20.399999999999999</v>
      </c>
      <c r="AC3">
        <v>85.4</v>
      </c>
      <c r="AD3">
        <v>0.8</v>
      </c>
      <c r="AE3">
        <v>13.8</v>
      </c>
      <c r="AF3">
        <v>91.9</v>
      </c>
      <c r="AG3">
        <v>0.4</v>
      </c>
      <c r="AH3">
        <v>7.8</v>
      </c>
      <c r="AI3">
        <v>49.1</v>
      </c>
      <c r="AJ3">
        <v>3.2</v>
      </c>
      <c r="AK3">
        <v>47.7</v>
      </c>
    </row>
    <row r="4" spans="1:37" x14ac:dyDescent="0.25">
      <c r="A4" t="s">
        <v>106</v>
      </c>
      <c r="B4">
        <v>82.7</v>
      </c>
      <c r="C4">
        <v>10.9</v>
      </c>
      <c r="D4">
        <v>6.4</v>
      </c>
      <c r="E4">
        <v>86.4</v>
      </c>
      <c r="F4">
        <v>7.6</v>
      </c>
      <c r="G4">
        <v>6</v>
      </c>
      <c r="H4">
        <v>88.8</v>
      </c>
      <c r="I4">
        <v>5.6</v>
      </c>
      <c r="J4">
        <v>5.6</v>
      </c>
      <c r="K4">
        <v>90.3</v>
      </c>
      <c r="L4">
        <v>3.9</v>
      </c>
      <c r="M4">
        <v>5.8</v>
      </c>
      <c r="N4">
        <v>90.3</v>
      </c>
      <c r="O4">
        <v>2.7</v>
      </c>
      <c r="P4">
        <v>7</v>
      </c>
      <c r="Q4">
        <v>73.099999999999994</v>
      </c>
      <c r="R4">
        <v>2.2999999999999998</v>
      </c>
      <c r="S4">
        <v>24.6</v>
      </c>
      <c r="T4">
        <v>77.400000000000006</v>
      </c>
      <c r="U4">
        <v>3.2</v>
      </c>
      <c r="V4">
        <v>19.5</v>
      </c>
      <c r="W4">
        <v>82.2</v>
      </c>
      <c r="X4">
        <v>2</v>
      </c>
      <c r="Y4">
        <v>15.8</v>
      </c>
      <c r="Z4">
        <v>72.099999999999994</v>
      </c>
      <c r="AA4">
        <v>3.3</v>
      </c>
      <c r="AB4">
        <v>24.6</v>
      </c>
      <c r="AC4">
        <v>83.8</v>
      </c>
      <c r="AD4">
        <v>1.4</v>
      </c>
      <c r="AE4">
        <v>14.8</v>
      </c>
      <c r="AF4">
        <v>90.7</v>
      </c>
      <c r="AG4">
        <v>0.5</v>
      </c>
      <c r="AH4">
        <v>8.6999999999999993</v>
      </c>
      <c r="AI4">
        <v>60.9</v>
      </c>
      <c r="AJ4">
        <v>3.3</v>
      </c>
      <c r="AK4">
        <v>35.799999999999997</v>
      </c>
    </row>
    <row r="5" spans="1:37" x14ac:dyDescent="0.25">
      <c r="A5" t="s">
        <v>107</v>
      </c>
      <c r="B5">
        <v>83.2</v>
      </c>
      <c r="C5">
        <v>13</v>
      </c>
      <c r="D5">
        <v>3.8</v>
      </c>
      <c r="E5">
        <v>85</v>
      </c>
      <c r="F5">
        <v>9.6999999999999993</v>
      </c>
      <c r="G5">
        <v>5.2</v>
      </c>
      <c r="H5">
        <v>87.3</v>
      </c>
      <c r="I5">
        <v>8.5</v>
      </c>
      <c r="J5">
        <v>4.2</v>
      </c>
      <c r="K5">
        <v>88</v>
      </c>
      <c r="L5">
        <v>6.4</v>
      </c>
      <c r="M5">
        <v>5.5</v>
      </c>
      <c r="N5">
        <v>88.2</v>
      </c>
      <c r="O5">
        <v>5.5</v>
      </c>
      <c r="P5">
        <v>6.3</v>
      </c>
      <c r="Q5">
        <v>67.3</v>
      </c>
      <c r="R5">
        <v>3.7</v>
      </c>
      <c r="S5">
        <v>28.9</v>
      </c>
      <c r="T5">
        <v>79</v>
      </c>
      <c r="U5">
        <v>4</v>
      </c>
      <c r="V5">
        <v>16.899999999999999</v>
      </c>
      <c r="W5">
        <v>81.599999999999994</v>
      </c>
      <c r="X5">
        <v>2.7</v>
      </c>
      <c r="Y5">
        <v>15.7</v>
      </c>
      <c r="Z5">
        <v>59</v>
      </c>
      <c r="AA5">
        <v>3.4</v>
      </c>
      <c r="AB5">
        <v>37.6</v>
      </c>
      <c r="AC5">
        <v>81.8</v>
      </c>
      <c r="AD5">
        <v>1.6</v>
      </c>
      <c r="AE5">
        <v>16.5</v>
      </c>
      <c r="AF5">
        <v>91.8</v>
      </c>
      <c r="AG5">
        <v>0.7</v>
      </c>
      <c r="AH5">
        <v>7.5</v>
      </c>
      <c r="AI5">
        <v>67.5</v>
      </c>
      <c r="AJ5">
        <v>3.1</v>
      </c>
      <c r="AK5">
        <v>29.4</v>
      </c>
    </row>
    <row r="6" spans="1:37" x14ac:dyDescent="0.25">
      <c r="A6" t="s">
        <v>108</v>
      </c>
      <c r="B6">
        <v>88</v>
      </c>
      <c r="C6">
        <v>10.5</v>
      </c>
      <c r="D6">
        <v>1.5</v>
      </c>
      <c r="E6">
        <v>90.2</v>
      </c>
      <c r="F6">
        <v>7.7</v>
      </c>
      <c r="G6">
        <v>2.1</v>
      </c>
      <c r="H6">
        <v>90.8</v>
      </c>
      <c r="I6">
        <v>6.3</v>
      </c>
      <c r="J6">
        <v>2.9</v>
      </c>
      <c r="K6">
        <v>90.1</v>
      </c>
      <c r="L6">
        <v>4.8</v>
      </c>
      <c r="M6">
        <v>5.0999999999999996</v>
      </c>
      <c r="N6">
        <v>91.9</v>
      </c>
      <c r="O6">
        <v>3</v>
      </c>
      <c r="P6">
        <v>5.0999999999999996</v>
      </c>
      <c r="Q6">
        <v>84.5</v>
      </c>
      <c r="R6">
        <v>1.7</v>
      </c>
      <c r="S6">
        <v>13.8</v>
      </c>
      <c r="T6">
        <v>81.7</v>
      </c>
      <c r="U6">
        <v>2.7</v>
      </c>
      <c r="V6">
        <v>15.6</v>
      </c>
      <c r="W6">
        <v>83</v>
      </c>
      <c r="X6">
        <v>1.5</v>
      </c>
      <c r="Y6">
        <v>15.5</v>
      </c>
      <c r="Z6">
        <v>76.7</v>
      </c>
      <c r="AA6">
        <v>1.9</v>
      </c>
      <c r="AB6">
        <v>21.4</v>
      </c>
      <c r="AC6">
        <v>82.6</v>
      </c>
      <c r="AD6">
        <v>0.5</v>
      </c>
      <c r="AE6">
        <v>16.899999999999999</v>
      </c>
      <c r="AF6">
        <v>87.7</v>
      </c>
      <c r="AG6">
        <v>0.3</v>
      </c>
      <c r="AH6">
        <v>12</v>
      </c>
      <c r="AI6">
        <v>64.5</v>
      </c>
      <c r="AJ6">
        <v>2.8</v>
      </c>
      <c r="AK6">
        <v>32.700000000000003</v>
      </c>
    </row>
    <row r="7" spans="1:37" x14ac:dyDescent="0.25">
      <c r="A7" t="s">
        <v>109</v>
      </c>
      <c r="B7">
        <v>87.3</v>
      </c>
      <c r="C7">
        <v>8.6999999999999993</v>
      </c>
      <c r="D7">
        <v>4</v>
      </c>
      <c r="E7">
        <v>92.1</v>
      </c>
      <c r="F7">
        <v>6</v>
      </c>
      <c r="G7">
        <v>1.8</v>
      </c>
      <c r="H7">
        <v>91.5</v>
      </c>
      <c r="I7">
        <v>5.0999999999999996</v>
      </c>
      <c r="J7">
        <v>3.4</v>
      </c>
      <c r="K7">
        <v>92</v>
      </c>
      <c r="L7">
        <v>3.6</v>
      </c>
      <c r="M7">
        <v>4.4000000000000004</v>
      </c>
      <c r="N7">
        <v>93.3</v>
      </c>
      <c r="O7">
        <v>2.6</v>
      </c>
      <c r="P7">
        <v>4.0999999999999996</v>
      </c>
      <c r="Q7">
        <v>70.7</v>
      </c>
      <c r="R7">
        <v>2.2999999999999998</v>
      </c>
      <c r="S7">
        <v>27</v>
      </c>
      <c r="T7">
        <v>78.3</v>
      </c>
      <c r="U7">
        <v>1.9</v>
      </c>
      <c r="V7">
        <v>19.8</v>
      </c>
      <c r="W7">
        <v>77.3</v>
      </c>
      <c r="X7">
        <v>1.5</v>
      </c>
      <c r="Y7">
        <v>21.3</v>
      </c>
      <c r="Z7">
        <v>56.6</v>
      </c>
      <c r="AA7">
        <v>3</v>
      </c>
      <c r="AB7">
        <v>40.4</v>
      </c>
      <c r="AC7">
        <v>80.2</v>
      </c>
      <c r="AD7">
        <v>0.2</v>
      </c>
      <c r="AE7">
        <v>19.600000000000001</v>
      </c>
      <c r="AF7">
        <v>88.2</v>
      </c>
      <c r="AG7">
        <v>0.2</v>
      </c>
      <c r="AH7">
        <v>11.6</v>
      </c>
      <c r="AI7">
        <v>69.2</v>
      </c>
      <c r="AJ7">
        <v>1.4</v>
      </c>
      <c r="AK7">
        <v>29.5</v>
      </c>
    </row>
    <row r="8" spans="1:37" x14ac:dyDescent="0.25">
      <c r="A8" t="s">
        <v>110</v>
      </c>
      <c r="B8">
        <v>82.7</v>
      </c>
      <c r="C8">
        <v>13</v>
      </c>
      <c r="D8">
        <v>4.3</v>
      </c>
      <c r="E8">
        <v>87.8</v>
      </c>
      <c r="F8">
        <v>9.1999999999999993</v>
      </c>
      <c r="G8">
        <v>3</v>
      </c>
      <c r="H8">
        <v>89.4</v>
      </c>
      <c r="I8">
        <v>7.1</v>
      </c>
      <c r="J8">
        <v>3.6</v>
      </c>
      <c r="K8">
        <v>88.1</v>
      </c>
      <c r="L8">
        <v>4.7</v>
      </c>
      <c r="M8">
        <v>7.1</v>
      </c>
      <c r="N8">
        <v>90.4</v>
      </c>
      <c r="O8">
        <v>3.2</v>
      </c>
      <c r="P8">
        <v>6.4</v>
      </c>
      <c r="Q8">
        <v>66.900000000000006</v>
      </c>
      <c r="R8">
        <v>2.7</v>
      </c>
      <c r="S8">
        <v>30.4</v>
      </c>
      <c r="T8">
        <v>78</v>
      </c>
      <c r="U8">
        <v>4.0999999999999996</v>
      </c>
      <c r="V8">
        <v>17.899999999999999</v>
      </c>
      <c r="W8">
        <v>82.8</v>
      </c>
      <c r="X8">
        <v>2.2000000000000002</v>
      </c>
      <c r="Y8">
        <v>15</v>
      </c>
      <c r="Z8">
        <v>64.900000000000006</v>
      </c>
      <c r="AA8">
        <v>3.8</v>
      </c>
      <c r="AB8">
        <v>31.3</v>
      </c>
      <c r="AC8">
        <v>78.900000000000006</v>
      </c>
      <c r="AD8">
        <v>0.9</v>
      </c>
      <c r="AE8">
        <v>20.2</v>
      </c>
      <c r="AF8">
        <v>90.3</v>
      </c>
      <c r="AG8">
        <v>0.8</v>
      </c>
      <c r="AH8">
        <v>8.9</v>
      </c>
      <c r="AI8">
        <v>66.599999999999994</v>
      </c>
      <c r="AJ8">
        <v>1.4</v>
      </c>
      <c r="AK8">
        <v>32</v>
      </c>
    </row>
    <row r="9" spans="1:37" x14ac:dyDescent="0.25">
      <c r="A9" t="s">
        <v>111</v>
      </c>
      <c r="B9">
        <v>86.6</v>
      </c>
      <c r="C9">
        <v>9.4</v>
      </c>
      <c r="D9">
        <v>4.0999999999999996</v>
      </c>
      <c r="E9">
        <v>91</v>
      </c>
      <c r="F9">
        <v>6.3</v>
      </c>
      <c r="G9">
        <v>2.7</v>
      </c>
      <c r="H9">
        <v>92.1</v>
      </c>
      <c r="I9">
        <v>4.5999999999999996</v>
      </c>
      <c r="J9">
        <v>3.4</v>
      </c>
      <c r="K9">
        <v>92.9</v>
      </c>
      <c r="L9">
        <v>3.2</v>
      </c>
      <c r="M9">
        <v>3.9</v>
      </c>
      <c r="N9">
        <v>89.8</v>
      </c>
      <c r="O9">
        <v>3</v>
      </c>
      <c r="P9">
        <v>7.2</v>
      </c>
      <c r="Q9">
        <v>73</v>
      </c>
      <c r="R9">
        <v>2.2000000000000002</v>
      </c>
      <c r="S9">
        <v>24.8</v>
      </c>
      <c r="T9">
        <v>79.3</v>
      </c>
      <c r="U9">
        <v>3.1</v>
      </c>
      <c r="V9">
        <v>17.600000000000001</v>
      </c>
      <c r="W9">
        <v>79.3</v>
      </c>
      <c r="X9">
        <v>1.8</v>
      </c>
      <c r="Y9">
        <v>18.899999999999999</v>
      </c>
      <c r="Z9">
        <v>70.599999999999994</v>
      </c>
      <c r="AA9">
        <v>3.7</v>
      </c>
      <c r="AB9">
        <v>25.7</v>
      </c>
      <c r="AC9">
        <v>82.9</v>
      </c>
      <c r="AD9">
        <v>1.7</v>
      </c>
      <c r="AE9">
        <v>15.4</v>
      </c>
      <c r="AF9">
        <v>89</v>
      </c>
      <c r="AG9">
        <v>0.9</v>
      </c>
      <c r="AH9">
        <v>10.1</v>
      </c>
      <c r="AI9">
        <v>77.5</v>
      </c>
      <c r="AJ9">
        <v>2</v>
      </c>
      <c r="AK9">
        <v>20.5</v>
      </c>
    </row>
    <row r="10" spans="1:37" x14ac:dyDescent="0.25">
      <c r="A10" t="s">
        <v>112</v>
      </c>
      <c r="B10">
        <v>85.2</v>
      </c>
      <c r="C10">
        <v>12.6</v>
      </c>
      <c r="D10">
        <v>2.1</v>
      </c>
      <c r="E10">
        <v>87.9</v>
      </c>
      <c r="F10">
        <v>9.6</v>
      </c>
      <c r="G10">
        <v>2.6</v>
      </c>
      <c r="H10">
        <v>89.3</v>
      </c>
      <c r="I10">
        <v>8</v>
      </c>
      <c r="J10">
        <v>2.7</v>
      </c>
      <c r="K10">
        <v>89.9</v>
      </c>
      <c r="L10">
        <v>6.5</v>
      </c>
      <c r="M10">
        <v>3.6</v>
      </c>
      <c r="N10">
        <v>91</v>
      </c>
      <c r="O10">
        <v>5.2</v>
      </c>
      <c r="P10">
        <v>3.8</v>
      </c>
      <c r="Q10">
        <v>92.7</v>
      </c>
      <c r="R10">
        <v>3.7</v>
      </c>
      <c r="S10">
        <v>3.6</v>
      </c>
      <c r="T10">
        <v>81.400000000000006</v>
      </c>
      <c r="U10">
        <v>3.5</v>
      </c>
      <c r="V10">
        <v>15.2</v>
      </c>
      <c r="W10">
        <v>84.8</v>
      </c>
      <c r="X10">
        <v>1.7</v>
      </c>
      <c r="Y10">
        <v>13.5</v>
      </c>
      <c r="Z10">
        <v>84.2</v>
      </c>
      <c r="AA10">
        <v>2.7</v>
      </c>
      <c r="AB10">
        <v>13.1</v>
      </c>
      <c r="AC10">
        <v>83.7</v>
      </c>
      <c r="AD10">
        <v>1.1000000000000001</v>
      </c>
      <c r="AE10">
        <v>15.1</v>
      </c>
      <c r="AF10">
        <v>89.1</v>
      </c>
      <c r="AG10">
        <v>0.8</v>
      </c>
      <c r="AH10">
        <v>10.1</v>
      </c>
      <c r="AI10">
        <v>74.7</v>
      </c>
      <c r="AJ10">
        <v>3.6</v>
      </c>
      <c r="AK10">
        <v>21.8</v>
      </c>
    </row>
    <row r="11" spans="1:37" x14ac:dyDescent="0.25">
      <c r="A11" t="s">
        <v>113</v>
      </c>
      <c r="B11">
        <v>88.9</v>
      </c>
      <c r="C11">
        <v>14.6</v>
      </c>
      <c r="D11" t="s">
        <v>418</v>
      </c>
      <c r="E11">
        <v>93.2</v>
      </c>
      <c r="F11">
        <v>11</v>
      </c>
      <c r="G11" t="s">
        <v>418</v>
      </c>
      <c r="H11">
        <v>91</v>
      </c>
      <c r="I11">
        <v>11</v>
      </c>
      <c r="J11" t="s">
        <v>418</v>
      </c>
      <c r="K11">
        <v>85.9</v>
      </c>
      <c r="L11">
        <v>11.8</v>
      </c>
      <c r="M11">
        <v>2.2999999999999998</v>
      </c>
      <c r="N11">
        <v>91.8</v>
      </c>
      <c r="O11">
        <v>5.5</v>
      </c>
      <c r="P11">
        <v>2.6</v>
      </c>
      <c r="Q11">
        <v>80.099999999999994</v>
      </c>
      <c r="R11">
        <v>4.2</v>
      </c>
      <c r="S11">
        <v>15.7</v>
      </c>
      <c r="T11">
        <v>68.900000000000006</v>
      </c>
      <c r="U11">
        <v>6.3</v>
      </c>
      <c r="V11">
        <v>24.9</v>
      </c>
      <c r="W11">
        <v>79.8</v>
      </c>
      <c r="X11">
        <v>3.2</v>
      </c>
      <c r="Y11">
        <v>17</v>
      </c>
      <c r="Z11">
        <v>76.7</v>
      </c>
      <c r="AA11">
        <v>4</v>
      </c>
      <c r="AB11">
        <v>19.3</v>
      </c>
      <c r="AC11">
        <v>88.6</v>
      </c>
      <c r="AD11">
        <v>1.9</v>
      </c>
      <c r="AE11">
        <v>9.5</v>
      </c>
      <c r="AF11">
        <v>89.9</v>
      </c>
      <c r="AG11">
        <v>0.5</v>
      </c>
      <c r="AH11">
        <v>9.6</v>
      </c>
      <c r="AI11">
        <v>85.3</v>
      </c>
      <c r="AJ11">
        <v>2.1</v>
      </c>
      <c r="AK11">
        <v>12.6</v>
      </c>
    </row>
    <row r="12" spans="1:37" x14ac:dyDescent="0.25">
      <c r="A12" t="s">
        <v>114</v>
      </c>
      <c r="B12">
        <v>84.6</v>
      </c>
      <c r="C12">
        <v>9.3000000000000007</v>
      </c>
      <c r="D12">
        <v>6.1</v>
      </c>
      <c r="E12">
        <v>85.1</v>
      </c>
      <c r="F12">
        <v>6.9</v>
      </c>
      <c r="G12">
        <v>8.1</v>
      </c>
      <c r="H12">
        <v>92.3</v>
      </c>
      <c r="I12">
        <v>4.5999999999999996</v>
      </c>
      <c r="J12">
        <v>3.1</v>
      </c>
      <c r="K12">
        <v>89</v>
      </c>
      <c r="L12">
        <v>3.2</v>
      </c>
      <c r="M12">
        <v>7.8</v>
      </c>
      <c r="N12">
        <v>92.5</v>
      </c>
      <c r="O12">
        <v>1.8</v>
      </c>
      <c r="P12">
        <v>5.7</v>
      </c>
      <c r="Q12">
        <v>80.400000000000006</v>
      </c>
      <c r="R12">
        <v>1.5</v>
      </c>
      <c r="S12">
        <v>18.2</v>
      </c>
      <c r="T12">
        <v>84.6</v>
      </c>
      <c r="U12">
        <v>0.7</v>
      </c>
      <c r="V12">
        <v>14.7</v>
      </c>
      <c r="W12">
        <v>88.6</v>
      </c>
      <c r="X12">
        <v>0.7</v>
      </c>
      <c r="Y12">
        <v>10.7</v>
      </c>
      <c r="Z12">
        <v>73.599999999999994</v>
      </c>
      <c r="AA12">
        <v>2.8</v>
      </c>
      <c r="AB12">
        <v>23.6</v>
      </c>
      <c r="AC12">
        <v>87</v>
      </c>
      <c r="AD12">
        <v>0.5</v>
      </c>
      <c r="AE12">
        <v>12.5</v>
      </c>
      <c r="AF12">
        <v>91.9</v>
      </c>
      <c r="AG12">
        <v>0.4</v>
      </c>
      <c r="AH12">
        <v>7.7</v>
      </c>
      <c r="AI12">
        <v>32.700000000000003</v>
      </c>
      <c r="AJ12">
        <v>2.2000000000000002</v>
      </c>
      <c r="AK12">
        <v>65.099999999999994</v>
      </c>
    </row>
    <row r="13" spans="1:37" x14ac:dyDescent="0.25">
      <c r="A13" t="s">
        <v>115</v>
      </c>
      <c r="B13">
        <v>76.900000000000006</v>
      </c>
      <c r="C13">
        <v>13</v>
      </c>
      <c r="D13">
        <v>10.1</v>
      </c>
      <c r="E13">
        <v>81.599999999999994</v>
      </c>
      <c r="F13">
        <v>9.3000000000000007</v>
      </c>
      <c r="G13">
        <v>9.1</v>
      </c>
      <c r="H13">
        <v>81.8</v>
      </c>
      <c r="I13">
        <v>7.5</v>
      </c>
      <c r="J13">
        <v>10.7</v>
      </c>
      <c r="K13">
        <v>84.4</v>
      </c>
      <c r="L13">
        <v>5</v>
      </c>
      <c r="M13">
        <v>10.6</v>
      </c>
      <c r="N13">
        <v>85.9</v>
      </c>
      <c r="O13">
        <v>4</v>
      </c>
      <c r="P13">
        <v>10.1</v>
      </c>
      <c r="Q13">
        <v>81.400000000000006</v>
      </c>
      <c r="R13">
        <v>2.7</v>
      </c>
      <c r="S13">
        <v>15.9</v>
      </c>
      <c r="T13">
        <v>76.599999999999994</v>
      </c>
      <c r="U13">
        <v>2</v>
      </c>
      <c r="V13">
        <v>21.4</v>
      </c>
      <c r="W13">
        <v>77.400000000000006</v>
      </c>
      <c r="X13">
        <v>1.3</v>
      </c>
      <c r="Y13">
        <v>21.3</v>
      </c>
      <c r="Z13">
        <v>70.900000000000006</v>
      </c>
      <c r="AA13">
        <v>2.7</v>
      </c>
      <c r="AB13">
        <v>26.4</v>
      </c>
      <c r="AC13">
        <v>84</v>
      </c>
      <c r="AD13">
        <v>1.2</v>
      </c>
      <c r="AE13">
        <v>14.8</v>
      </c>
      <c r="AF13">
        <v>90.3</v>
      </c>
      <c r="AG13">
        <v>0.9</v>
      </c>
      <c r="AH13">
        <v>8.8000000000000007</v>
      </c>
      <c r="AI13">
        <v>75.900000000000006</v>
      </c>
      <c r="AJ13">
        <v>2.6</v>
      </c>
      <c r="AK13">
        <v>21.5</v>
      </c>
    </row>
    <row r="14" spans="1:37" x14ac:dyDescent="0.25">
      <c r="A14" t="s">
        <v>116</v>
      </c>
      <c r="B14">
        <v>86.9</v>
      </c>
      <c r="C14">
        <v>5.7</v>
      </c>
      <c r="D14">
        <v>7.4</v>
      </c>
      <c r="E14">
        <v>86.5</v>
      </c>
      <c r="F14">
        <v>4.4000000000000004</v>
      </c>
      <c r="G14">
        <v>9.1</v>
      </c>
      <c r="H14">
        <v>87.4</v>
      </c>
      <c r="I14">
        <v>3.5</v>
      </c>
      <c r="J14">
        <v>9.1</v>
      </c>
      <c r="K14">
        <v>86.8</v>
      </c>
      <c r="L14">
        <v>3.3</v>
      </c>
      <c r="M14">
        <v>9.9</v>
      </c>
      <c r="N14">
        <v>85.7</v>
      </c>
      <c r="O14">
        <v>2.1</v>
      </c>
      <c r="P14">
        <v>12.2</v>
      </c>
      <c r="Q14">
        <v>87.8</v>
      </c>
      <c r="R14">
        <v>1.6</v>
      </c>
      <c r="S14">
        <v>10.6</v>
      </c>
      <c r="T14">
        <v>78.8</v>
      </c>
      <c r="U14">
        <v>3.7</v>
      </c>
      <c r="V14">
        <v>17.5</v>
      </c>
      <c r="W14">
        <v>81.599999999999994</v>
      </c>
      <c r="X14">
        <v>2.9</v>
      </c>
      <c r="Y14">
        <v>15.5</v>
      </c>
      <c r="Z14">
        <v>76.599999999999994</v>
      </c>
      <c r="AA14">
        <v>10.3</v>
      </c>
      <c r="AB14">
        <v>13.1</v>
      </c>
      <c r="AC14">
        <v>86.6</v>
      </c>
      <c r="AD14">
        <v>0.2</v>
      </c>
      <c r="AE14">
        <v>13.2</v>
      </c>
      <c r="AF14">
        <v>93.8</v>
      </c>
      <c r="AG14">
        <v>0</v>
      </c>
      <c r="AH14">
        <v>6.2</v>
      </c>
      <c r="AI14">
        <v>92.9</v>
      </c>
      <c r="AJ14">
        <v>0</v>
      </c>
      <c r="AK14">
        <v>7.1</v>
      </c>
    </row>
    <row r="15" spans="1:37" x14ac:dyDescent="0.25">
      <c r="A15" t="s">
        <v>117</v>
      </c>
      <c r="B15">
        <v>78.5</v>
      </c>
      <c r="C15">
        <v>13.9</v>
      </c>
      <c r="D15">
        <v>7.5</v>
      </c>
      <c r="E15">
        <v>84.7</v>
      </c>
      <c r="F15">
        <v>9.1999999999999993</v>
      </c>
      <c r="G15">
        <v>6.1</v>
      </c>
      <c r="H15">
        <v>85.2</v>
      </c>
      <c r="I15">
        <v>8.1</v>
      </c>
      <c r="J15">
        <v>6.7</v>
      </c>
      <c r="K15">
        <v>87.4</v>
      </c>
      <c r="L15">
        <v>5.4</v>
      </c>
      <c r="M15">
        <v>7.2</v>
      </c>
      <c r="N15">
        <v>88.1</v>
      </c>
      <c r="O15">
        <v>4.0999999999999996</v>
      </c>
      <c r="P15">
        <v>7.9</v>
      </c>
      <c r="Q15">
        <v>63.4</v>
      </c>
      <c r="R15">
        <v>3.8</v>
      </c>
      <c r="S15">
        <v>32.799999999999997</v>
      </c>
      <c r="T15">
        <v>78.5</v>
      </c>
      <c r="U15">
        <v>4.5999999999999996</v>
      </c>
      <c r="V15">
        <v>16.899999999999999</v>
      </c>
      <c r="W15">
        <v>80.400000000000006</v>
      </c>
      <c r="X15">
        <v>2.5</v>
      </c>
      <c r="Y15">
        <v>17.100000000000001</v>
      </c>
      <c r="Z15">
        <v>64.8</v>
      </c>
      <c r="AA15">
        <v>7.5</v>
      </c>
      <c r="AB15">
        <v>27.7</v>
      </c>
      <c r="AC15">
        <v>81</v>
      </c>
      <c r="AD15">
        <v>2.4</v>
      </c>
      <c r="AE15">
        <v>16.600000000000001</v>
      </c>
      <c r="AF15">
        <v>90</v>
      </c>
      <c r="AG15">
        <v>1.5</v>
      </c>
      <c r="AH15">
        <v>8.4</v>
      </c>
      <c r="AI15">
        <v>81.400000000000006</v>
      </c>
      <c r="AJ15">
        <v>2.2999999999999998</v>
      </c>
      <c r="AK15">
        <v>16.3</v>
      </c>
    </row>
    <row r="16" spans="1:37" x14ac:dyDescent="0.25">
      <c r="A16" t="s">
        <v>118</v>
      </c>
      <c r="B16">
        <v>88.7</v>
      </c>
      <c r="C16">
        <v>9.1999999999999993</v>
      </c>
      <c r="D16">
        <v>2</v>
      </c>
      <c r="E16">
        <v>89.7</v>
      </c>
      <c r="F16">
        <v>7.7</v>
      </c>
      <c r="G16">
        <v>2.6</v>
      </c>
      <c r="H16">
        <v>88.7</v>
      </c>
      <c r="I16">
        <v>6.3</v>
      </c>
      <c r="J16">
        <v>5.0999999999999996</v>
      </c>
      <c r="K16">
        <v>90.9</v>
      </c>
      <c r="L16">
        <v>3</v>
      </c>
      <c r="M16">
        <v>6</v>
      </c>
      <c r="N16">
        <v>92.7</v>
      </c>
      <c r="O16">
        <v>3.8</v>
      </c>
      <c r="P16">
        <v>3.5</v>
      </c>
      <c r="Q16">
        <v>91.6</v>
      </c>
      <c r="R16">
        <v>0.9</v>
      </c>
      <c r="S16">
        <v>7.5</v>
      </c>
      <c r="T16">
        <v>76.3</v>
      </c>
      <c r="U16">
        <v>3.9</v>
      </c>
      <c r="V16">
        <v>19.899999999999999</v>
      </c>
      <c r="W16">
        <v>84.4</v>
      </c>
      <c r="X16">
        <v>1.8</v>
      </c>
      <c r="Y16">
        <v>13.8</v>
      </c>
      <c r="Z16">
        <v>73.599999999999994</v>
      </c>
      <c r="AA16">
        <v>9.5</v>
      </c>
      <c r="AB16">
        <v>16.8</v>
      </c>
      <c r="AC16">
        <v>80.099999999999994</v>
      </c>
      <c r="AD16">
        <v>2.1</v>
      </c>
      <c r="AE16">
        <v>17.8</v>
      </c>
      <c r="AF16">
        <v>91.4</v>
      </c>
      <c r="AG16">
        <v>0.2</v>
      </c>
      <c r="AH16">
        <v>8.4</v>
      </c>
      <c r="AI16">
        <v>55.2</v>
      </c>
      <c r="AJ16">
        <v>3.4</v>
      </c>
      <c r="AK16">
        <v>41.5</v>
      </c>
    </row>
    <row r="17" spans="1:37" x14ac:dyDescent="0.25">
      <c r="A17" t="s">
        <v>119</v>
      </c>
      <c r="B17">
        <v>91.4</v>
      </c>
      <c r="C17">
        <v>6.1</v>
      </c>
      <c r="D17">
        <v>2.5</v>
      </c>
      <c r="E17">
        <v>94.5</v>
      </c>
      <c r="F17">
        <v>4.5999999999999996</v>
      </c>
      <c r="G17">
        <v>0.9</v>
      </c>
      <c r="H17">
        <v>96.4</v>
      </c>
      <c r="I17">
        <v>3.5</v>
      </c>
      <c r="J17">
        <v>0.1</v>
      </c>
      <c r="K17">
        <v>96.8</v>
      </c>
      <c r="L17">
        <v>2.9</v>
      </c>
      <c r="M17">
        <v>0.3</v>
      </c>
      <c r="N17">
        <v>95.7</v>
      </c>
      <c r="O17">
        <v>2</v>
      </c>
      <c r="P17">
        <v>2.2999999999999998</v>
      </c>
      <c r="Q17">
        <v>79.900000000000006</v>
      </c>
      <c r="R17">
        <v>1.4</v>
      </c>
      <c r="S17">
        <v>18.600000000000001</v>
      </c>
      <c r="T17">
        <v>87.8</v>
      </c>
      <c r="U17">
        <v>3.5</v>
      </c>
      <c r="V17">
        <v>8.6999999999999993</v>
      </c>
      <c r="W17">
        <v>97.6</v>
      </c>
      <c r="X17">
        <v>2.1</v>
      </c>
      <c r="Y17">
        <v>0.3</v>
      </c>
      <c r="Z17">
        <v>64.599999999999994</v>
      </c>
      <c r="AA17">
        <v>3.7</v>
      </c>
      <c r="AB17">
        <v>31.7</v>
      </c>
      <c r="AC17">
        <v>98.4</v>
      </c>
      <c r="AD17">
        <v>0.9</v>
      </c>
      <c r="AE17">
        <v>0.7</v>
      </c>
      <c r="AF17" t="s">
        <v>418</v>
      </c>
      <c r="AG17">
        <v>0.8</v>
      </c>
      <c r="AH17" t="s">
        <v>418</v>
      </c>
      <c r="AI17">
        <v>49</v>
      </c>
      <c r="AJ17">
        <v>4.8</v>
      </c>
      <c r="AK17">
        <v>46.2</v>
      </c>
    </row>
    <row r="18" spans="1:37" x14ac:dyDescent="0.25">
      <c r="A18" t="s">
        <v>120</v>
      </c>
      <c r="B18">
        <v>88.4</v>
      </c>
      <c r="C18">
        <v>6.6</v>
      </c>
      <c r="D18">
        <v>5</v>
      </c>
      <c r="E18">
        <v>94.1</v>
      </c>
      <c r="F18">
        <v>5.4</v>
      </c>
      <c r="G18">
        <v>0.5</v>
      </c>
      <c r="H18">
        <v>90.9</v>
      </c>
      <c r="I18">
        <v>4.9000000000000004</v>
      </c>
      <c r="J18">
        <v>4.0999999999999996</v>
      </c>
      <c r="K18">
        <v>90.5</v>
      </c>
      <c r="L18">
        <v>3</v>
      </c>
      <c r="M18">
        <v>6.5</v>
      </c>
      <c r="N18">
        <v>95</v>
      </c>
      <c r="O18">
        <v>2</v>
      </c>
      <c r="P18">
        <v>3</v>
      </c>
      <c r="Q18">
        <v>22.3</v>
      </c>
      <c r="R18">
        <v>2.4</v>
      </c>
      <c r="S18">
        <v>75.3</v>
      </c>
      <c r="T18">
        <v>71.2</v>
      </c>
      <c r="U18">
        <v>5.7</v>
      </c>
      <c r="V18">
        <v>23.1</v>
      </c>
      <c r="W18">
        <v>83.9</v>
      </c>
      <c r="X18">
        <v>2.5</v>
      </c>
      <c r="Y18">
        <v>13.6</v>
      </c>
      <c r="Z18">
        <v>12.7</v>
      </c>
      <c r="AA18">
        <v>5.9</v>
      </c>
      <c r="AB18">
        <v>81.400000000000006</v>
      </c>
      <c r="AC18">
        <v>86.6</v>
      </c>
      <c r="AD18">
        <v>1.2</v>
      </c>
      <c r="AE18">
        <v>12.2</v>
      </c>
      <c r="AF18">
        <v>78.5</v>
      </c>
      <c r="AG18">
        <v>0.2</v>
      </c>
      <c r="AH18">
        <v>21.3</v>
      </c>
      <c r="AI18">
        <v>71.400000000000006</v>
      </c>
      <c r="AJ18">
        <v>17.3</v>
      </c>
      <c r="AK18">
        <v>11.2</v>
      </c>
    </row>
    <row r="19" spans="1:37" x14ac:dyDescent="0.25">
      <c r="A19" t="s">
        <v>121</v>
      </c>
      <c r="B19">
        <v>79.599999999999994</v>
      </c>
      <c r="C19">
        <v>17</v>
      </c>
      <c r="D19">
        <v>3.4</v>
      </c>
      <c r="E19">
        <v>84.6</v>
      </c>
      <c r="F19">
        <v>11.6</v>
      </c>
      <c r="G19">
        <v>3.8</v>
      </c>
      <c r="H19">
        <v>84.3</v>
      </c>
      <c r="I19">
        <v>8</v>
      </c>
      <c r="J19">
        <v>7.6</v>
      </c>
      <c r="K19">
        <v>86.3</v>
      </c>
      <c r="L19">
        <v>6.1</v>
      </c>
      <c r="M19">
        <v>7.6</v>
      </c>
      <c r="N19">
        <v>88.1</v>
      </c>
      <c r="O19">
        <v>3.4</v>
      </c>
      <c r="P19">
        <v>8.5</v>
      </c>
      <c r="Q19">
        <v>82.2</v>
      </c>
      <c r="R19">
        <v>2.6</v>
      </c>
      <c r="S19">
        <v>15.3</v>
      </c>
      <c r="T19">
        <v>81.900000000000006</v>
      </c>
      <c r="U19">
        <v>1.5</v>
      </c>
      <c r="V19">
        <v>16.5</v>
      </c>
      <c r="W19">
        <v>87.9</v>
      </c>
      <c r="X19">
        <v>0.9</v>
      </c>
      <c r="Y19">
        <v>11.2</v>
      </c>
      <c r="Z19">
        <v>67.900000000000006</v>
      </c>
      <c r="AA19">
        <v>1.6</v>
      </c>
      <c r="AB19">
        <v>30.5</v>
      </c>
      <c r="AC19">
        <v>83.9</v>
      </c>
      <c r="AD19">
        <v>0.5</v>
      </c>
      <c r="AE19">
        <v>15.6</v>
      </c>
      <c r="AF19">
        <v>96</v>
      </c>
      <c r="AG19">
        <v>0</v>
      </c>
      <c r="AH19">
        <v>4</v>
      </c>
      <c r="AI19">
        <v>83.8</v>
      </c>
      <c r="AJ19">
        <v>0.6</v>
      </c>
      <c r="AK19">
        <v>15.6</v>
      </c>
    </row>
    <row r="20" spans="1:37" x14ac:dyDescent="0.25">
      <c r="A20" t="s">
        <v>122</v>
      </c>
      <c r="B20">
        <v>86.7</v>
      </c>
      <c r="C20">
        <v>11.4</v>
      </c>
      <c r="D20">
        <v>2</v>
      </c>
      <c r="E20">
        <v>90.7</v>
      </c>
      <c r="F20">
        <v>8</v>
      </c>
      <c r="G20">
        <v>1.4</v>
      </c>
      <c r="H20">
        <v>91.8</v>
      </c>
      <c r="I20">
        <v>6.7</v>
      </c>
      <c r="J20">
        <v>1.5</v>
      </c>
      <c r="K20">
        <v>92.8</v>
      </c>
      <c r="L20">
        <v>5.0999999999999996</v>
      </c>
      <c r="M20">
        <v>2.1</v>
      </c>
      <c r="N20">
        <v>92.6</v>
      </c>
      <c r="O20">
        <v>4.2</v>
      </c>
      <c r="P20">
        <v>3.2</v>
      </c>
      <c r="Q20">
        <v>72</v>
      </c>
      <c r="R20">
        <v>3.6</v>
      </c>
      <c r="S20">
        <v>24.4</v>
      </c>
      <c r="T20">
        <v>84.6</v>
      </c>
      <c r="U20">
        <v>0.7</v>
      </c>
      <c r="V20">
        <v>14.7</v>
      </c>
      <c r="W20">
        <v>83.8</v>
      </c>
      <c r="X20">
        <v>0.6</v>
      </c>
      <c r="Y20">
        <v>15.5</v>
      </c>
      <c r="Z20">
        <v>55</v>
      </c>
      <c r="AA20">
        <v>1.7</v>
      </c>
      <c r="AB20">
        <v>43.3</v>
      </c>
      <c r="AC20">
        <v>79.400000000000006</v>
      </c>
      <c r="AD20">
        <v>0.8</v>
      </c>
      <c r="AE20">
        <v>19.8</v>
      </c>
      <c r="AF20">
        <v>89.9</v>
      </c>
      <c r="AG20">
        <v>0.6</v>
      </c>
      <c r="AH20">
        <v>9.5</v>
      </c>
      <c r="AI20">
        <v>73.099999999999994</v>
      </c>
      <c r="AJ20">
        <v>2.8</v>
      </c>
      <c r="AK20">
        <v>24.2</v>
      </c>
    </row>
    <row r="21" spans="1:37" x14ac:dyDescent="0.25">
      <c r="A21" t="s">
        <v>123</v>
      </c>
      <c r="B21">
        <v>82.6</v>
      </c>
      <c r="C21">
        <v>15.1</v>
      </c>
      <c r="D21">
        <v>2.2999999999999998</v>
      </c>
      <c r="E21">
        <v>87.6</v>
      </c>
      <c r="F21">
        <v>9.1</v>
      </c>
      <c r="G21">
        <v>3.3</v>
      </c>
      <c r="H21">
        <v>86.8</v>
      </c>
      <c r="I21">
        <v>7.7</v>
      </c>
      <c r="J21">
        <v>5.5</v>
      </c>
      <c r="K21">
        <v>87.3</v>
      </c>
      <c r="L21">
        <v>5.3</v>
      </c>
      <c r="M21">
        <v>7.4</v>
      </c>
      <c r="N21">
        <v>88.5</v>
      </c>
      <c r="O21">
        <v>3.6</v>
      </c>
      <c r="P21">
        <v>7.9</v>
      </c>
      <c r="Q21">
        <v>83.3</v>
      </c>
      <c r="R21">
        <v>2.6</v>
      </c>
      <c r="S21">
        <v>14.1</v>
      </c>
      <c r="T21">
        <v>80.5</v>
      </c>
      <c r="U21">
        <v>0.9</v>
      </c>
      <c r="V21">
        <v>18.600000000000001</v>
      </c>
      <c r="W21">
        <v>84.1</v>
      </c>
      <c r="X21">
        <v>0.6</v>
      </c>
      <c r="Y21">
        <v>15.3</v>
      </c>
      <c r="Z21">
        <v>82.3</v>
      </c>
      <c r="AA21">
        <v>2.8</v>
      </c>
      <c r="AB21">
        <v>14.9</v>
      </c>
      <c r="AC21">
        <v>87.8</v>
      </c>
      <c r="AD21">
        <v>0.4</v>
      </c>
      <c r="AE21">
        <v>11.7</v>
      </c>
      <c r="AF21">
        <v>97.2</v>
      </c>
      <c r="AG21">
        <v>0.6</v>
      </c>
      <c r="AH21">
        <v>2.2999999999999998</v>
      </c>
      <c r="AI21">
        <v>69.400000000000006</v>
      </c>
      <c r="AJ21">
        <v>3.4</v>
      </c>
      <c r="AK21">
        <v>27.2</v>
      </c>
    </row>
    <row r="22" spans="1:37" x14ac:dyDescent="0.25">
      <c r="A22" t="s">
        <v>124</v>
      </c>
      <c r="B22">
        <v>79.8</v>
      </c>
      <c r="C22">
        <v>7.8</v>
      </c>
      <c r="D22">
        <v>12.3</v>
      </c>
      <c r="E22">
        <v>87.5</v>
      </c>
      <c r="F22">
        <v>4.5</v>
      </c>
      <c r="G22">
        <v>8</v>
      </c>
      <c r="H22">
        <v>88.1</v>
      </c>
      <c r="I22">
        <v>3.5</v>
      </c>
      <c r="J22">
        <v>8.4</v>
      </c>
      <c r="K22">
        <v>82.7</v>
      </c>
      <c r="L22">
        <v>2.5</v>
      </c>
      <c r="M22">
        <v>14.7</v>
      </c>
      <c r="N22">
        <v>83.4</v>
      </c>
      <c r="O22">
        <v>1.9</v>
      </c>
      <c r="P22">
        <v>14.6</v>
      </c>
      <c r="Q22">
        <v>56.3</v>
      </c>
      <c r="R22">
        <v>1.1000000000000001</v>
      </c>
      <c r="S22">
        <v>42.5</v>
      </c>
      <c r="T22">
        <v>76.8</v>
      </c>
      <c r="U22">
        <v>1.1000000000000001</v>
      </c>
      <c r="V22">
        <v>22.1</v>
      </c>
      <c r="W22">
        <v>97.9</v>
      </c>
      <c r="X22">
        <v>0.1</v>
      </c>
      <c r="Y22">
        <v>2</v>
      </c>
      <c r="Z22">
        <v>67.5</v>
      </c>
      <c r="AA22">
        <v>2.8</v>
      </c>
      <c r="AB22">
        <v>29.6</v>
      </c>
      <c r="AC22">
        <v>88.7</v>
      </c>
      <c r="AD22">
        <v>0.1</v>
      </c>
      <c r="AE22">
        <v>11.2</v>
      </c>
      <c r="AF22">
        <v>93</v>
      </c>
      <c r="AG22">
        <v>0.4</v>
      </c>
      <c r="AH22">
        <v>6.6</v>
      </c>
      <c r="AI22">
        <v>85.3</v>
      </c>
      <c r="AJ22">
        <v>3.2</v>
      </c>
      <c r="AK22">
        <v>11.5</v>
      </c>
    </row>
    <row r="23" spans="1:37" x14ac:dyDescent="0.25">
      <c r="A23" t="s">
        <v>125</v>
      </c>
      <c r="B23">
        <v>83.3</v>
      </c>
      <c r="C23">
        <v>13.5</v>
      </c>
      <c r="D23">
        <v>3.1</v>
      </c>
      <c r="E23">
        <v>86.8</v>
      </c>
      <c r="F23">
        <v>9.5</v>
      </c>
      <c r="G23">
        <v>3.7</v>
      </c>
      <c r="H23">
        <v>88.8</v>
      </c>
      <c r="I23">
        <v>7.3</v>
      </c>
      <c r="J23">
        <v>3.9</v>
      </c>
      <c r="K23">
        <v>90.6</v>
      </c>
      <c r="L23">
        <v>4.5999999999999996</v>
      </c>
      <c r="M23">
        <v>4.8</v>
      </c>
      <c r="N23">
        <v>92.1</v>
      </c>
      <c r="O23">
        <v>3.5</v>
      </c>
      <c r="P23">
        <v>4.4000000000000004</v>
      </c>
      <c r="Q23">
        <v>82.2</v>
      </c>
      <c r="R23">
        <v>2.5</v>
      </c>
      <c r="S23">
        <v>15.3</v>
      </c>
      <c r="T23">
        <v>79.599999999999994</v>
      </c>
      <c r="U23">
        <v>4.9000000000000004</v>
      </c>
      <c r="V23">
        <v>15.5</v>
      </c>
      <c r="W23">
        <v>84.4</v>
      </c>
      <c r="X23">
        <v>2.5</v>
      </c>
      <c r="Y23">
        <v>13.1</v>
      </c>
      <c r="Z23">
        <v>77.5</v>
      </c>
      <c r="AA23">
        <v>3.9</v>
      </c>
      <c r="AB23">
        <v>18.600000000000001</v>
      </c>
      <c r="AC23">
        <v>84.8</v>
      </c>
      <c r="AD23">
        <v>2.2999999999999998</v>
      </c>
      <c r="AE23">
        <v>12.9</v>
      </c>
      <c r="AF23">
        <v>85.4</v>
      </c>
      <c r="AG23">
        <v>1.2</v>
      </c>
      <c r="AH23">
        <v>13.5</v>
      </c>
      <c r="AI23">
        <v>76</v>
      </c>
      <c r="AJ23">
        <v>2.2999999999999998</v>
      </c>
      <c r="AK23">
        <v>21.6</v>
      </c>
    </row>
    <row r="24" spans="1:37" x14ac:dyDescent="0.25">
      <c r="A24" t="s">
        <v>126</v>
      </c>
      <c r="B24">
        <v>73.099999999999994</v>
      </c>
      <c r="C24">
        <v>17.5</v>
      </c>
      <c r="D24">
        <v>9.4</v>
      </c>
      <c r="E24">
        <v>79.2</v>
      </c>
      <c r="F24">
        <v>11</v>
      </c>
      <c r="G24">
        <v>9.9</v>
      </c>
      <c r="H24">
        <v>77.8</v>
      </c>
      <c r="I24">
        <v>8.5</v>
      </c>
      <c r="J24">
        <v>13.7</v>
      </c>
      <c r="K24">
        <v>85.9</v>
      </c>
      <c r="L24">
        <v>5.8</v>
      </c>
      <c r="M24">
        <v>8.3000000000000007</v>
      </c>
      <c r="N24">
        <v>85.4</v>
      </c>
      <c r="O24">
        <v>3</v>
      </c>
      <c r="P24">
        <v>11.6</v>
      </c>
      <c r="Q24">
        <v>62.4</v>
      </c>
      <c r="R24">
        <v>2.5</v>
      </c>
      <c r="S24">
        <v>35.200000000000003</v>
      </c>
      <c r="T24">
        <v>75.8</v>
      </c>
      <c r="U24">
        <v>3</v>
      </c>
      <c r="V24">
        <v>21.1</v>
      </c>
      <c r="W24">
        <v>82.9</v>
      </c>
      <c r="X24">
        <v>1.9</v>
      </c>
      <c r="Y24">
        <v>15.2</v>
      </c>
      <c r="Z24">
        <v>76.400000000000006</v>
      </c>
      <c r="AA24">
        <v>2.6</v>
      </c>
      <c r="AB24">
        <v>21</v>
      </c>
      <c r="AC24">
        <v>84.1</v>
      </c>
      <c r="AD24">
        <v>2.2999999999999998</v>
      </c>
      <c r="AE24">
        <v>13.7</v>
      </c>
      <c r="AF24">
        <v>95.6</v>
      </c>
      <c r="AG24">
        <v>0.3</v>
      </c>
      <c r="AH24">
        <v>4.0999999999999996</v>
      </c>
      <c r="AI24">
        <v>79.599999999999994</v>
      </c>
      <c r="AJ24">
        <v>4.9000000000000004</v>
      </c>
      <c r="AK24">
        <v>15.4</v>
      </c>
    </row>
    <row r="25" spans="1:37" x14ac:dyDescent="0.25">
      <c r="A25" t="s">
        <v>127</v>
      </c>
      <c r="B25">
        <v>89.6</v>
      </c>
      <c r="C25">
        <v>8.4</v>
      </c>
      <c r="D25">
        <v>2</v>
      </c>
      <c r="E25">
        <v>94.4</v>
      </c>
      <c r="F25">
        <v>5</v>
      </c>
      <c r="G25">
        <v>0.6</v>
      </c>
      <c r="H25">
        <v>94.8</v>
      </c>
      <c r="I25">
        <v>4</v>
      </c>
      <c r="J25">
        <v>1.2</v>
      </c>
      <c r="K25">
        <v>95.2</v>
      </c>
      <c r="L25">
        <v>2.9</v>
      </c>
      <c r="M25">
        <v>2</v>
      </c>
      <c r="N25">
        <v>95.3</v>
      </c>
      <c r="O25">
        <v>2.6</v>
      </c>
      <c r="P25">
        <v>2.1</v>
      </c>
      <c r="Q25">
        <v>92.7</v>
      </c>
      <c r="R25">
        <v>1.8</v>
      </c>
      <c r="S25">
        <v>5.5</v>
      </c>
      <c r="T25">
        <v>82.3</v>
      </c>
      <c r="U25">
        <v>2.7</v>
      </c>
      <c r="V25">
        <v>15</v>
      </c>
      <c r="W25">
        <v>80.900000000000006</v>
      </c>
      <c r="X25">
        <v>1.5</v>
      </c>
      <c r="Y25">
        <v>17.7</v>
      </c>
      <c r="Z25">
        <v>78.599999999999994</v>
      </c>
      <c r="AA25">
        <v>2</v>
      </c>
      <c r="AB25">
        <v>19.399999999999999</v>
      </c>
      <c r="AC25">
        <v>80</v>
      </c>
      <c r="AD25">
        <v>1.3</v>
      </c>
      <c r="AE25">
        <v>18.7</v>
      </c>
      <c r="AF25">
        <v>86.8</v>
      </c>
      <c r="AG25">
        <v>0.4</v>
      </c>
      <c r="AH25">
        <v>12.8</v>
      </c>
      <c r="AI25">
        <v>73.900000000000006</v>
      </c>
      <c r="AJ25">
        <v>2.2000000000000002</v>
      </c>
      <c r="AK25">
        <v>23.9</v>
      </c>
    </row>
    <row r="26" spans="1:37" x14ac:dyDescent="0.25">
      <c r="A26" t="s">
        <v>128</v>
      </c>
      <c r="B26">
        <v>86.6</v>
      </c>
      <c r="C26">
        <v>11.9</v>
      </c>
      <c r="D26">
        <v>1.5</v>
      </c>
      <c r="E26">
        <v>86.9</v>
      </c>
      <c r="F26">
        <v>9.6</v>
      </c>
      <c r="G26">
        <v>3.5</v>
      </c>
      <c r="H26">
        <v>88.1</v>
      </c>
      <c r="I26">
        <v>8.9</v>
      </c>
      <c r="J26">
        <v>3</v>
      </c>
      <c r="K26">
        <v>89.3</v>
      </c>
      <c r="L26">
        <v>6.5</v>
      </c>
      <c r="M26">
        <v>4.2</v>
      </c>
      <c r="N26">
        <v>88.9</v>
      </c>
      <c r="O26">
        <v>6.3</v>
      </c>
      <c r="P26">
        <v>4.8</v>
      </c>
      <c r="Q26">
        <v>82.9</v>
      </c>
      <c r="R26">
        <v>6.5</v>
      </c>
      <c r="S26">
        <v>10.7</v>
      </c>
      <c r="T26">
        <v>83.6</v>
      </c>
      <c r="U26">
        <v>3.4</v>
      </c>
      <c r="V26">
        <v>12.9</v>
      </c>
      <c r="W26">
        <v>83.4</v>
      </c>
      <c r="X26">
        <v>2.8</v>
      </c>
      <c r="Y26">
        <v>13.8</v>
      </c>
      <c r="Z26">
        <v>92.9</v>
      </c>
      <c r="AA26">
        <v>4.5</v>
      </c>
      <c r="AB26">
        <v>2.7</v>
      </c>
      <c r="AC26">
        <v>83.2</v>
      </c>
      <c r="AD26">
        <v>1.3</v>
      </c>
      <c r="AE26">
        <v>15.5</v>
      </c>
      <c r="AF26">
        <v>87.4</v>
      </c>
      <c r="AG26">
        <v>0.8</v>
      </c>
      <c r="AH26">
        <v>11.8</v>
      </c>
      <c r="AI26">
        <v>62.6</v>
      </c>
      <c r="AJ26">
        <v>3.9</v>
      </c>
      <c r="AK26">
        <v>33.5</v>
      </c>
    </row>
    <row r="27" spans="1:37" x14ac:dyDescent="0.25">
      <c r="A27" t="s">
        <v>129</v>
      </c>
      <c r="B27">
        <v>84</v>
      </c>
      <c r="C27">
        <v>10.1</v>
      </c>
      <c r="D27">
        <v>5.9</v>
      </c>
      <c r="E27">
        <v>87.1</v>
      </c>
      <c r="F27">
        <v>7.4</v>
      </c>
      <c r="G27">
        <v>5.5</v>
      </c>
      <c r="H27">
        <v>86.7</v>
      </c>
      <c r="I27">
        <v>5.8</v>
      </c>
      <c r="J27">
        <v>7.5</v>
      </c>
      <c r="K27">
        <v>88.7</v>
      </c>
      <c r="L27">
        <v>4.4000000000000004</v>
      </c>
      <c r="M27">
        <v>7</v>
      </c>
      <c r="N27">
        <v>86.6</v>
      </c>
      <c r="O27">
        <v>3.6</v>
      </c>
      <c r="P27">
        <v>9.8000000000000007</v>
      </c>
      <c r="Q27">
        <v>49.3</v>
      </c>
      <c r="R27">
        <v>2.5</v>
      </c>
      <c r="S27">
        <v>48.2</v>
      </c>
      <c r="T27">
        <v>74</v>
      </c>
      <c r="U27">
        <v>3.9</v>
      </c>
      <c r="V27">
        <v>22.2</v>
      </c>
      <c r="W27">
        <v>79.400000000000006</v>
      </c>
      <c r="X27">
        <v>2.6</v>
      </c>
      <c r="Y27">
        <v>18</v>
      </c>
      <c r="Z27">
        <v>51.6</v>
      </c>
      <c r="AA27">
        <v>3.7</v>
      </c>
      <c r="AB27">
        <v>44.7</v>
      </c>
      <c r="AC27">
        <v>82.3</v>
      </c>
      <c r="AD27">
        <v>1.6</v>
      </c>
      <c r="AE27">
        <v>16.100000000000001</v>
      </c>
      <c r="AF27">
        <v>89</v>
      </c>
      <c r="AG27">
        <v>0.6</v>
      </c>
      <c r="AH27">
        <v>10.3</v>
      </c>
      <c r="AI27">
        <v>71.099999999999994</v>
      </c>
      <c r="AJ27">
        <v>2.4</v>
      </c>
      <c r="AK27">
        <v>26.5</v>
      </c>
    </row>
    <row r="28" spans="1:37" x14ac:dyDescent="0.25">
      <c r="A28" t="s">
        <v>87</v>
      </c>
      <c r="B28">
        <v>84.8</v>
      </c>
      <c r="C28">
        <v>11.1</v>
      </c>
      <c r="D28">
        <v>4.0999999999999996</v>
      </c>
      <c r="E28">
        <v>88.4</v>
      </c>
      <c r="F28">
        <v>7.9</v>
      </c>
      <c r="G28">
        <v>3.8</v>
      </c>
      <c r="H28">
        <v>89.5</v>
      </c>
      <c r="I28">
        <v>6.4</v>
      </c>
      <c r="J28">
        <v>4.0999999999999996</v>
      </c>
      <c r="K28">
        <v>90.3</v>
      </c>
      <c r="L28">
        <v>4.5999999999999996</v>
      </c>
      <c r="M28">
        <v>5.0999999999999996</v>
      </c>
      <c r="N28">
        <v>90.9</v>
      </c>
      <c r="O28">
        <v>3.6</v>
      </c>
      <c r="P28">
        <v>5.5</v>
      </c>
      <c r="Q28">
        <v>76</v>
      </c>
      <c r="R28">
        <v>2.8</v>
      </c>
      <c r="S28">
        <v>21.2</v>
      </c>
      <c r="T28">
        <v>80.3</v>
      </c>
      <c r="U28">
        <v>3.1</v>
      </c>
      <c r="V28">
        <v>16.600000000000001</v>
      </c>
      <c r="W28">
        <v>83.8</v>
      </c>
      <c r="X28">
        <v>1.9</v>
      </c>
      <c r="Y28">
        <v>14.3</v>
      </c>
      <c r="Z28">
        <v>70.099999999999994</v>
      </c>
      <c r="AA28">
        <v>3.4</v>
      </c>
      <c r="AB28">
        <v>26.5</v>
      </c>
      <c r="AC28">
        <v>84.3</v>
      </c>
      <c r="AD28">
        <v>1.2</v>
      </c>
      <c r="AE28">
        <v>14.5</v>
      </c>
      <c r="AF28">
        <v>90.8</v>
      </c>
      <c r="AG28">
        <v>0.7</v>
      </c>
      <c r="AH28">
        <v>8.5</v>
      </c>
      <c r="AI28">
        <v>66.599999999999994</v>
      </c>
      <c r="AJ28">
        <v>3.2</v>
      </c>
      <c r="AK28">
        <v>30.2</v>
      </c>
    </row>
    <row r="29" spans="1:37" x14ac:dyDescent="0.25">
      <c r="A29" t="s">
        <v>265</v>
      </c>
      <c r="B29">
        <v>86.6</v>
      </c>
      <c r="C29">
        <v>9</v>
      </c>
      <c r="D29">
        <v>4.4000000000000004</v>
      </c>
      <c r="E29">
        <v>90.9</v>
      </c>
      <c r="F29">
        <v>6.5</v>
      </c>
      <c r="G29">
        <v>2.5</v>
      </c>
      <c r="H29">
        <v>92.5</v>
      </c>
      <c r="I29">
        <v>4.7</v>
      </c>
      <c r="J29">
        <v>2.7</v>
      </c>
      <c r="K29">
        <v>93</v>
      </c>
      <c r="L29">
        <v>3.3</v>
      </c>
      <c r="M29">
        <v>3.6</v>
      </c>
      <c r="N29">
        <v>93.8</v>
      </c>
      <c r="O29">
        <v>2.2999999999999998</v>
      </c>
      <c r="P29">
        <v>3.9</v>
      </c>
      <c r="Q29">
        <v>79.3</v>
      </c>
      <c r="R29">
        <v>1.6</v>
      </c>
      <c r="S29">
        <v>19.100000000000001</v>
      </c>
      <c r="T29">
        <v>82.9</v>
      </c>
      <c r="U29">
        <v>3.7</v>
      </c>
      <c r="V29">
        <v>13.4</v>
      </c>
      <c r="W29">
        <v>92.7</v>
      </c>
      <c r="X29">
        <v>2.1</v>
      </c>
      <c r="Y29">
        <v>5.2</v>
      </c>
      <c r="Z29">
        <v>73</v>
      </c>
      <c r="AA29">
        <v>4.4000000000000004</v>
      </c>
      <c r="AB29">
        <v>22.7</v>
      </c>
      <c r="AC29">
        <v>91.2</v>
      </c>
      <c r="AD29">
        <v>1.3</v>
      </c>
      <c r="AE29">
        <v>7.5</v>
      </c>
      <c r="AF29">
        <v>97.6</v>
      </c>
      <c r="AG29">
        <v>0.8</v>
      </c>
      <c r="AH29">
        <v>1.6</v>
      </c>
      <c r="AI29">
        <v>59.7</v>
      </c>
      <c r="AJ29">
        <v>3.2</v>
      </c>
      <c r="AK29">
        <v>37.1</v>
      </c>
    </row>
    <row r="30" spans="1:37" x14ac:dyDescent="0.25">
      <c r="A30" t="s">
        <v>266</v>
      </c>
      <c r="B30">
        <v>84.4</v>
      </c>
      <c r="C30">
        <v>11.5</v>
      </c>
      <c r="D30">
        <v>4.0999999999999996</v>
      </c>
      <c r="E30">
        <v>87.9</v>
      </c>
      <c r="F30">
        <v>8.1</v>
      </c>
      <c r="G30">
        <v>4</v>
      </c>
      <c r="H30">
        <v>88.9</v>
      </c>
      <c r="I30">
        <v>6.7</v>
      </c>
      <c r="J30">
        <v>4.4000000000000004</v>
      </c>
      <c r="K30">
        <v>89.8</v>
      </c>
      <c r="L30">
        <v>4.9000000000000004</v>
      </c>
      <c r="M30">
        <v>5.4</v>
      </c>
      <c r="N30">
        <v>90.4</v>
      </c>
      <c r="O30">
        <v>3.8</v>
      </c>
      <c r="P30">
        <v>5.8</v>
      </c>
      <c r="Q30">
        <v>75.400000000000006</v>
      </c>
      <c r="R30">
        <v>3</v>
      </c>
      <c r="S30">
        <v>21.6</v>
      </c>
      <c r="T30">
        <v>79.7</v>
      </c>
      <c r="U30">
        <v>2.9</v>
      </c>
      <c r="V30">
        <v>17.3</v>
      </c>
      <c r="W30">
        <v>81.7</v>
      </c>
      <c r="X30">
        <v>1.8</v>
      </c>
      <c r="Y30">
        <v>16.5</v>
      </c>
      <c r="Z30">
        <v>69.400000000000006</v>
      </c>
      <c r="AA30">
        <v>3.1</v>
      </c>
      <c r="AB30">
        <v>27.5</v>
      </c>
      <c r="AC30">
        <v>81.8</v>
      </c>
      <c r="AD30">
        <v>1.1000000000000001</v>
      </c>
      <c r="AE30">
        <v>17.100000000000001</v>
      </c>
      <c r="AF30">
        <v>88</v>
      </c>
      <c r="AG30">
        <v>0.6</v>
      </c>
      <c r="AH30">
        <v>11.3</v>
      </c>
      <c r="AI30">
        <v>70</v>
      </c>
      <c r="AJ30">
        <v>3.2</v>
      </c>
      <c r="AK30">
        <v>26.7</v>
      </c>
    </row>
  </sheetData>
  <mergeCells count="13">
    <mergeCell ref="A1:A2"/>
    <mergeCell ref="AI1:AK1"/>
    <mergeCell ref="W1:Y1"/>
    <mergeCell ref="B1:D1"/>
    <mergeCell ref="N1:P1"/>
    <mergeCell ref="K1:M1"/>
    <mergeCell ref="Q1:S1"/>
    <mergeCell ref="E1:G1"/>
    <mergeCell ref="Z1:AB1"/>
    <mergeCell ref="AF1:AH1"/>
    <mergeCell ref="AC1:AE1"/>
    <mergeCell ref="H1:J1"/>
    <mergeCell ref="T1:V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W32"/>
  <sheetViews>
    <sheetView workbookViewId="0"/>
  </sheetViews>
  <sheetFormatPr defaultRowHeight="15" x14ac:dyDescent="0.25"/>
  <cols>
    <col min="1" max="1" width="25.140625" customWidth="1"/>
    <col min="2" max="2" width="7.28515625" customWidth="1"/>
    <col min="7" max="7" width="7.42578125" customWidth="1"/>
    <col min="8" max="8" width="7.28515625" customWidth="1"/>
    <col min="14" max="14" width="7.42578125" customWidth="1"/>
    <col min="15" max="15" width="7.28515625" customWidth="1"/>
    <col min="20" max="20" width="7.42578125" customWidth="1"/>
    <col min="21" max="21" width="7.28515625" customWidth="1"/>
    <col min="23" max="23" width="7.140625" customWidth="1"/>
  </cols>
  <sheetData>
    <row r="1" spans="1:23" x14ac:dyDescent="0.25">
      <c r="A1" s="27" t="s">
        <v>419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x14ac:dyDescent="0.25">
      <c r="A2" s="27" t="s">
        <v>104</v>
      </c>
      <c r="B2" s="27" t="s">
        <v>420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 t="s">
        <v>421</v>
      </c>
      <c r="O2" s="27"/>
      <c r="P2" s="27"/>
      <c r="Q2" s="27"/>
      <c r="R2" s="27"/>
      <c r="S2" s="27"/>
      <c r="T2" s="27"/>
      <c r="U2" s="27"/>
      <c r="V2" s="27"/>
    </row>
    <row r="3" spans="1:23" x14ac:dyDescent="0.25">
      <c r="A3" s="27"/>
      <c r="B3" s="27" t="s">
        <v>422</v>
      </c>
      <c r="C3" s="27"/>
      <c r="D3" s="27"/>
      <c r="E3" s="27" t="s">
        <v>161</v>
      </c>
      <c r="F3" s="27"/>
      <c r="G3" s="27"/>
      <c r="H3" s="27" t="s">
        <v>423</v>
      </c>
      <c r="I3" s="27"/>
      <c r="J3" s="27"/>
      <c r="K3" s="27" t="s">
        <v>424</v>
      </c>
      <c r="L3" s="27"/>
      <c r="M3" s="27"/>
      <c r="N3" s="27" t="s">
        <v>161</v>
      </c>
      <c r="O3" s="27"/>
      <c r="P3" s="27"/>
      <c r="Q3" s="27" t="s">
        <v>423</v>
      </c>
      <c r="R3" s="27"/>
      <c r="S3" s="27"/>
      <c r="T3" s="27" t="s">
        <v>424</v>
      </c>
      <c r="U3" s="27"/>
      <c r="V3" s="27"/>
    </row>
    <row r="4" spans="1:23" x14ac:dyDescent="0.25">
      <c r="A4" s="27"/>
      <c r="B4" t="s">
        <v>84</v>
      </c>
      <c r="C4" t="s">
        <v>85</v>
      </c>
      <c r="D4" t="s">
        <v>425</v>
      </c>
      <c r="E4" t="s">
        <v>84</v>
      </c>
      <c r="F4" t="s">
        <v>85</v>
      </c>
      <c r="G4" t="s">
        <v>425</v>
      </c>
      <c r="H4" t="s">
        <v>84</v>
      </c>
      <c r="I4" t="s">
        <v>85</v>
      </c>
      <c r="J4" t="s">
        <v>425</v>
      </c>
      <c r="K4" t="s">
        <v>84</v>
      </c>
      <c r="L4" t="s">
        <v>85</v>
      </c>
      <c r="M4" t="s">
        <v>425</v>
      </c>
      <c r="N4" t="s">
        <v>84</v>
      </c>
      <c r="O4" t="s">
        <v>85</v>
      </c>
      <c r="P4" t="s">
        <v>425</v>
      </c>
      <c r="Q4" t="s">
        <v>84</v>
      </c>
      <c r="R4" t="s">
        <v>85</v>
      </c>
      <c r="S4" t="s">
        <v>425</v>
      </c>
      <c r="T4" t="s">
        <v>84</v>
      </c>
      <c r="U4" t="s">
        <v>85</v>
      </c>
      <c r="V4" t="s">
        <v>425</v>
      </c>
    </row>
    <row r="5" spans="1:23" x14ac:dyDescent="0.25">
      <c r="A5" t="s">
        <v>105</v>
      </c>
      <c r="B5">
        <v>84</v>
      </c>
      <c r="C5">
        <v>88</v>
      </c>
      <c r="D5">
        <v>80.3</v>
      </c>
      <c r="E5">
        <v>82.1</v>
      </c>
      <c r="F5">
        <v>86.9</v>
      </c>
      <c r="G5">
        <v>77.7</v>
      </c>
      <c r="H5">
        <v>52.7</v>
      </c>
      <c r="I5">
        <v>59.8</v>
      </c>
      <c r="J5">
        <v>45.9</v>
      </c>
      <c r="K5">
        <v>33</v>
      </c>
      <c r="L5">
        <v>40</v>
      </c>
      <c r="M5">
        <v>26.4</v>
      </c>
      <c r="N5">
        <v>75.8</v>
      </c>
      <c r="O5">
        <v>78.8</v>
      </c>
      <c r="P5">
        <v>73.099999999999994</v>
      </c>
      <c r="Q5">
        <v>36.299999999999997</v>
      </c>
      <c r="R5">
        <v>41.4</v>
      </c>
      <c r="S5">
        <v>31.6</v>
      </c>
      <c r="T5">
        <v>17.7</v>
      </c>
      <c r="U5">
        <v>19.8</v>
      </c>
      <c r="V5">
        <v>15.8</v>
      </c>
    </row>
    <row r="6" spans="1:23" x14ac:dyDescent="0.25">
      <c r="A6" t="s">
        <v>106</v>
      </c>
      <c r="B6">
        <v>76.8</v>
      </c>
      <c r="C6">
        <v>80</v>
      </c>
      <c r="D6">
        <v>74</v>
      </c>
      <c r="E6">
        <v>71.3</v>
      </c>
      <c r="F6">
        <v>75.2</v>
      </c>
      <c r="G6">
        <v>67.8</v>
      </c>
      <c r="H6">
        <v>35.700000000000003</v>
      </c>
      <c r="I6">
        <v>40.799999999999997</v>
      </c>
      <c r="J6">
        <v>31.1</v>
      </c>
      <c r="K6">
        <v>20.7</v>
      </c>
      <c r="L6">
        <v>24.5</v>
      </c>
      <c r="M6">
        <v>17.100000000000001</v>
      </c>
      <c r="N6">
        <v>82.4</v>
      </c>
      <c r="O6">
        <v>85.9</v>
      </c>
      <c r="P6">
        <v>79.2</v>
      </c>
      <c r="Q6">
        <v>35.9</v>
      </c>
      <c r="R6">
        <v>41.4</v>
      </c>
      <c r="S6">
        <v>30.8</v>
      </c>
      <c r="T6">
        <v>17.2</v>
      </c>
      <c r="U6">
        <v>20.3</v>
      </c>
      <c r="V6">
        <v>14.4</v>
      </c>
    </row>
    <row r="7" spans="1:23" x14ac:dyDescent="0.25">
      <c r="A7" t="s">
        <v>107</v>
      </c>
      <c r="B7">
        <v>80.8</v>
      </c>
      <c r="C7">
        <v>85.2</v>
      </c>
      <c r="D7">
        <v>76.900000000000006</v>
      </c>
      <c r="E7">
        <v>75.5</v>
      </c>
      <c r="F7">
        <v>80.5</v>
      </c>
      <c r="G7">
        <v>71</v>
      </c>
      <c r="H7">
        <v>36.5</v>
      </c>
      <c r="I7">
        <v>42.2</v>
      </c>
      <c r="J7">
        <v>31.2</v>
      </c>
      <c r="K7">
        <v>17.100000000000001</v>
      </c>
      <c r="L7">
        <v>20.8</v>
      </c>
      <c r="M7">
        <v>13.8</v>
      </c>
      <c r="N7">
        <v>87.4</v>
      </c>
      <c r="O7">
        <v>91.9</v>
      </c>
      <c r="P7">
        <v>83.1</v>
      </c>
      <c r="Q7">
        <v>47.9</v>
      </c>
      <c r="R7">
        <v>56.1</v>
      </c>
      <c r="S7">
        <v>40.4</v>
      </c>
      <c r="T7">
        <v>28</v>
      </c>
      <c r="U7">
        <v>34</v>
      </c>
      <c r="V7">
        <v>22.6</v>
      </c>
    </row>
    <row r="8" spans="1:23" x14ac:dyDescent="0.25">
      <c r="A8" t="s">
        <v>108</v>
      </c>
      <c r="B8">
        <v>88.1</v>
      </c>
      <c r="C8">
        <v>91.8</v>
      </c>
      <c r="D8">
        <v>84.8</v>
      </c>
      <c r="E8">
        <v>83.5</v>
      </c>
      <c r="F8">
        <v>88.5</v>
      </c>
      <c r="G8">
        <v>78.8</v>
      </c>
      <c r="H8">
        <v>50.8</v>
      </c>
      <c r="I8">
        <v>60.8</v>
      </c>
      <c r="J8">
        <v>41.6</v>
      </c>
      <c r="K8">
        <v>29</v>
      </c>
      <c r="L8">
        <v>36</v>
      </c>
      <c r="M8">
        <v>22.6</v>
      </c>
      <c r="N8">
        <v>83.4</v>
      </c>
      <c r="O8">
        <v>87.8</v>
      </c>
      <c r="P8">
        <v>79.2</v>
      </c>
      <c r="Q8">
        <v>47.5</v>
      </c>
      <c r="R8">
        <v>54.5</v>
      </c>
      <c r="S8">
        <v>41</v>
      </c>
      <c r="T8">
        <v>25.2</v>
      </c>
      <c r="U8">
        <v>30</v>
      </c>
      <c r="V8">
        <v>21</v>
      </c>
    </row>
    <row r="9" spans="1:23" x14ac:dyDescent="0.25">
      <c r="A9" t="s">
        <v>109</v>
      </c>
      <c r="B9">
        <v>86.2</v>
      </c>
      <c r="C9">
        <v>89.5</v>
      </c>
      <c r="D9">
        <v>83.2</v>
      </c>
      <c r="E9">
        <v>82.5</v>
      </c>
      <c r="F9">
        <v>87.3</v>
      </c>
      <c r="G9">
        <v>78.2</v>
      </c>
      <c r="H9">
        <v>37.4</v>
      </c>
      <c r="I9">
        <v>42.2</v>
      </c>
      <c r="J9">
        <v>33</v>
      </c>
      <c r="K9">
        <v>15.5</v>
      </c>
      <c r="L9">
        <v>19.3</v>
      </c>
      <c r="M9">
        <v>12.3</v>
      </c>
      <c r="N9">
        <v>84</v>
      </c>
      <c r="O9">
        <v>87.3</v>
      </c>
      <c r="P9">
        <v>80.7</v>
      </c>
      <c r="Q9">
        <v>41.6</v>
      </c>
      <c r="R9">
        <v>46.1</v>
      </c>
      <c r="S9">
        <v>37.5</v>
      </c>
      <c r="T9">
        <v>21.1</v>
      </c>
      <c r="U9">
        <v>23.8</v>
      </c>
      <c r="V9">
        <v>18.7</v>
      </c>
    </row>
    <row r="10" spans="1:23" x14ac:dyDescent="0.25">
      <c r="A10" t="s">
        <v>110</v>
      </c>
      <c r="B10">
        <v>81.7</v>
      </c>
      <c r="C10">
        <v>88.7</v>
      </c>
      <c r="D10">
        <v>75.400000000000006</v>
      </c>
      <c r="E10">
        <v>76.3</v>
      </c>
      <c r="F10">
        <v>84.5</v>
      </c>
      <c r="G10">
        <v>69</v>
      </c>
      <c r="H10">
        <v>36.1</v>
      </c>
      <c r="I10">
        <v>42.1</v>
      </c>
      <c r="J10">
        <v>30.7</v>
      </c>
      <c r="K10">
        <v>17.7</v>
      </c>
      <c r="L10">
        <v>21.4</v>
      </c>
      <c r="M10">
        <v>14.3</v>
      </c>
      <c r="N10">
        <v>79.7</v>
      </c>
      <c r="O10">
        <v>85.8</v>
      </c>
      <c r="P10">
        <v>73.900000000000006</v>
      </c>
      <c r="Q10">
        <v>44.3</v>
      </c>
      <c r="R10">
        <v>50.7</v>
      </c>
      <c r="S10">
        <v>38.4</v>
      </c>
      <c r="T10">
        <v>24.9</v>
      </c>
      <c r="U10">
        <v>30.6</v>
      </c>
      <c r="V10">
        <v>19.8</v>
      </c>
    </row>
    <row r="11" spans="1:23" x14ac:dyDescent="0.25">
      <c r="A11" t="s">
        <v>111</v>
      </c>
      <c r="B11">
        <v>85.9</v>
      </c>
      <c r="C11">
        <v>90</v>
      </c>
      <c r="D11">
        <v>82.3</v>
      </c>
      <c r="E11">
        <v>79.5</v>
      </c>
      <c r="F11">
        <v>86.5</v>
      </c>
      <c r="G11">
        <v>73.400000000000006</v>
      </c>
      <c r="H11">
        <v>39.200000000000003</v>
      </c>
      <c r="I11">
        <v>47.4</v>
      </c>
      <c r="J11">
        <v>32.4</v>
      </c>
      <c r="K11">
        <v>21.8</v>
      </c>
      <c r="L11">
        <v>28.1</v>
      </c>
      <c r="M11">
        <v>16.7</v>
      </c>
      <c r="N11">
        <v>73.900000000000006</v>
      </c>
      <c r="O11">
        <v>77.3</v>
      </c>
      <c r="P11">
        <v>70.7</v>
      </c>
      <c r="Q11">
        <v>45.8</v>
      </c>
      <c r="R11">
        <v>51.2</v>
      </c>
      <c r="S11">
        <v>40.799999999999997</v>
      </c>
      <c r="T11">
        <v>28</v>
      </c>
      <c r="U11">
        <v>31.2</v>
      </c>
      <c r="V11">
        <v>25.1</v>
      </c>
    </row>
    <row r="12" spans="1:23" x14ac:dyDescent="0.25">
      <c r="A12" t="s">
        <v>112</v>
      </c>
      <c r="B12">
        <v>88.5</v>
      </c>
      <c r="C12">
        <v>92.6</v>
      </c>
      <c r="D12">
        <v>84.9</v>
      </c>
      <c r="E12">
        <v>84.9</v>
      </c>
      <c r="F12">
        <v>90.2</v>
      </c>
      <c r="G12">
        <v>80.3</v>
      </c>
      <c r="H12">
        <v>59.5</v>
      </c>
      <c r="I12">
        <v>67.3</v>
      </c>
      <c r="J12">
        <v>52.5</v>
      </c>
      <c r="K12">
        <v>39.200000000000003</v>
      </c>
      <c r="L12">
        <v>45.9</v>
      </c>
      <c r="M12">
        <v>33.1</v>
      </c>
      <c r="N12">
        <v>92.5</v>
      </c>
      <c r="O12">
        <v>95.8</v>
      </c>
      <c r="P12">
        <v>89.4</v>
      </c>
      <c r="Q12">
        <v>47</v>
      </c>
      <c r="R12">
        <v>52.8</v>
      </c>
      <c r="S12">
        <v>41.6</v>
      </c>
      <c r="T12">
        <v>25.7</v>
      </c>
      <c r="U12">
        <v>29.6</v>
      </c>
      <c r="V12">
        <v>22.1</v>
      </c>
    </row>
    <row r="13" spans="1:23" x14ac:dyDescent="0.25">
      <c r="A13" t="s">
        <v>113</v>
      </c>
      <c r="B13">
        <v>108.6</v>
      </c>
      <c r="C13">
        <v>111.8</v>
      </c>
      <c r="D13">
        <v>104.7</v>
      </c>
      <c r="E13">
        <v>105.6</v>
      </c>
      <c r="F13">
        <v>107.2</v>
      </c>
      <c r="G13">
        <v>103.4</v>
      </c>
      <c r="H13">
        <v>53.4</v>
      </c>
      <c r="I13">
        <v>60.1</v>
      </c>
      <c r="J13">
        <v>46.8</v>
      </c>
      <c r="K13">
        <v>34.799999999999997</v>
      </c>
      <c r="L13">
        <v>40.299999999999997</v>
      </c>
      <c r="M13">
        <v>29.5</v>
      </c>
      <c r="N13">
        <v>47.1</v>
      </c>
      <c r="O13">
        <v>51.1</v>
      </c>
      <c r="P13">
        <v>43.4</v>
      </c>
      <c r="Q13">
        <v>28</v>
      </c>
      <c r="R13">
        <v>31.2</v>
      </c>
      <c r="S13">
        <v>25.1</v>
      </c>
      <c r="T13">
        <v>23.1</v>
      </c>
      <c r="U13">
        <v>26.4</v>
      </c>
      <c r="V13">
        <v>20.100000000000001</v>
      </c>
    </row>
    <row r="14" spans="1:23" x14ac:dyDescent="0.25">
      <c r="A14" t="s">
        <v>114</v>
      </c>
      <c r="B14">
        <v>75.8</v>
      </c>
      <c r="C14">
        <v>75.400000000000006</v>
      </c>
      <c r="D14">
        <v>76</v>
      </c>
      <c r="E14">
        <v>71.400000000000006</v>
      </c>
      <c r="F14">
        <v>0</v>
      </c>
      <c r="G14">
        <v>65.400000000000006</v>
      </c>
      <c r="H14">
        <v>44.3</v>
      </c>
      <c r="I14">
        <v>0</v>
      </c>
      <c r="J14">
        <v>39.4</v>
      </c>
      <c r="K14">
        <v>27</v>
      </c>
      <c r="L14">
        <v>0</v>
      </c>
      <c r="M14">
        <v>21.1</v>
      </c>
      <c r="N14">
        <v>61.4</v>
      </c>
      <c r="O14">
        <v>68.599999999999994</v>
      </c>
      <c r="P14">
        <v>54.6</v>
      </c>
      <c r="Q14">
        <v>34.200000000000003</v>
      </c>
      <c r="R14">
        <v>36.5</v>
      </c>
      <c r="S14">
        <v>31.9</v>
      </c>
      <c r="T14">
        <v>17.5</v>
      </c>
      <c r="U14">
        <v>16</v>
      </c>
      <c r="V14">
        <v>18.899999999999999</v>
      </c>
    </row>
    <row r="15" spans="1:23" x14ac:dyDescent="0.25">
      <c r="A15" t="s">
        <v>115</v>
      </c>
      <c r="B15">
        <v>62.5</v>
      </c>
      <c r="C15">
        <v>66.400000000000006</v>
      </c>
      <c r="D15">
        <v>59</v>
      </c>
      <c r="E15">
        <v>56</v>
      </c>
      <c r="F15">
        <v>60.2</v>
      </c>
      <c r="G15">
        <v>52</v>
      </c>
      <c r="H15">
        <v>28.7</v>
      </c>
      <c r="I15">
        <v>32.4</v>
      </c>
      <c r="J15">
        <v>25.3</v>
      </c>
      <c r="K15">
        <v>16.2</v>
      </c>
      <c r="L15">
        <v>19.600000000000001</v>
      </c>
      <c r="M15">
        <v>13.1</v>
      </c>
      <c r="N15">
        <v>78</v>
      </c>
      <c r="O15">
        <v>82.2</v>
      </c>
      <c r="P15">
        <v>73.8</v>
      </c>
      <c r="Q15">
        <v>32.799999999999997</v>
      </c>
      <c r="R15">
        <v>37.4</v>
      </c>
      <c r="S15">
        <v>28.5</v>
      </c>
      <c r="T15">
        <v>19.600000000000001</v>
      </c>
      <c r="U15">
        <v>22.8</v>
      </c>
      <c r="V15">
        <v>16.7</v>
      </c>
    </row>
    <row r="16" spans="1:23" x14ac:dyDescent="0.25">
      <c r="A16" t="s">
        <v>116</v>
      </c>
      <c r="B16">
        <v>67.8</v>
      </c>
      <c r="C16">
        <v>75.2</v>
      </c>
      <c r="D16">
        <v>61.5</v>
      </c>
      <c r="E16">
        <v>59.4</v>
      </c>
      <c r="F16">
        <v>66.099999999999994</v>
      </c>
      <c r="G16">
        <v>53.7</v>
      </c>
      <c r="H16">
        <v>36.4</v>
      </c>
      <c r="I16">
        <v>43.3</v>
      </c>
      <c r="J16">
        <v>30.5</v>
      </c>
      <c r="K16">
        <v>25.3</v>
      </c>
      <c r="L16">
        <v>31.7</v>
      </c>
      <c r="M16">
        <v>19.8</v>
      </c>
      <c r="N16">
        <v>74.3</v>
      </c>
      <c r="O16">
        <v>79.5</v>
      </c>
      <c r="P16">
        <v>69.3</v>
      </c>
      <c r="Q16">
        <v>37.6</v>
      </c>
      <c r="R16">
        <v>42.7</v>
      </c>
      <c r="S16">
        <v>32.700000000000003</v>
      </c>
      <c r="T16">
        <v>21</v>
      </c>
      <c r="U16">
        <v>23.8</v>
      </c>
      <c r="V16">
        <v>18.3</v>
      </c>
    </row>
    <row r="17" spans="1:22" x14ac:dyDescent="0.25">
      <c r="A17" t="s">
        <v>117</v>
      </c>
      <c r="B17">
        <v>72.900000000000006</v>
      </c>
      <c r="C17">
        <v>76.3</v>
      </c>
      <c r="D17">
        <v>69.7</v>
      </c>
      <c r="E17">
        <v>66.900000000000006</v>
      </c>
      <c r="F17">
        <v>70.900000000000006</v>
      </c>
      <c r="G17">
        <v>63.2</v>
      </c>
      <c r="H17">
        <v>29.9</v>
      </c>
      <c r="I17">
        <v>32.9</v>
      </c>
      <c r="J17">
        <v>27.1</v>
      </c>
      <c r="K17">
        <v>15.9</v>
      </c>
      <c r="L17">
        <v>18.2</v>
      </c>
      <c r="M17">
        <v>13.8</v>
      </c>
      <c r="N17">
        <v>68.2</v>
      </c>
      <c r="O17">
        <v>72.900000000000006</v>
      </c>
      <c r="P17">
        <v>63.9</v>
      </c>
      <c r="Q17">
        <v>33.799999999999997</v>
      </c>
      <c r="R17">
        <v>37</v>
      </c>
      <c r="S17">
        <v>30.9</v>
      </c>
      <c r="T17">
        <v>17</v>
      </c>
      <c r="U17">
        <v>18.5</v>
      </c>
      <c r="V17">
        <v>15.5</v>
      </c>
    </row>
    <row r="18" spans="1:22" x14ac:dyDescent="0.25">
      <c r="A18" t="s">
        <v>118</v>
      </c>
      <c r="B18">
        <v>84.3</v>
      </c>
      <c r="C18">
        <v>87.8</v>
      </c>
      <c r="D18">
        <v>81.2</v>
      </c>
      <c r="E18">
        <v>81.2</v>
      </c>
      <c r="F18">
        <v>83.2</v>
      </c>
      <c r="G18">
        <v>79.400000000000006</v>
      </c>
      <c r="H18">
        <v>51.1</v>
      </c>
      <c r="I18">
        <v>54.9</v>
      </c>
      <c r="J18">
        <v>47.5</v>
      </c>
      <c r="K18">
        <v>31.2</v>
      </c>
      <c r="L18">
        <v>34</v>
      </c>
      <c r="M18">
        <v>28.3</v>
      </c>
      <c r="N18">
        <v>58.5</v>
      </c>
      <c r="O18">
        <v>60.2</v>
      </c>
      <c r="P18">
        <v>56.9</v>
      </c>
      <c r="Q18">
        <v>30.3</v>
      </c>
      <c r="R18">
        <v>32.1</v>
      </c>
      <c r="S18">
        <v>28.6</v>
      </c>
      <c r="T18">
        <v>12.5</v>
      </c>
      <c r="U18">
        <v>13.6</v>
      </c>
      <c r="V18">
        <v>11.4</v>
      </c>
    </row>
    <row r="19" spans="1:22" x14ac:dyDescent="0.25">
      <c r="A19" t="s">
        <v>119</v>
      </c>
      <c r="B19">
        <v>96</v>
      </c>
      <c r="C19">
        <v>100.9</v>
      </c>
      <c r="D19">
        <v>91.9</v>
      </c>
      <c r="E19">
        <v>93.8</v>
      </c>
      <c r="F19">
        <v>99.9</v>
      </c>
      <c r="G19">
        <v>88.5</v>
      </c>
      <c r="H19">
        <v>69</v>
      </c>
      <c r="I19">
        <v>76.2</v>
      </c>
      <c r="J19">
        <v>62.8</v>
      </c>
      <c r="K19">
        <v>0</v>
      </c>
      <c r="L19">
        <v>0</v>
      </c>
      <c r="M19">
        <v>0</v>
      </c>
      <c r="N19">
        <v>81.599999999999994</v>
      </c>
      <c r="O19">
        <v>86.1</v>
      </c>
      <c r="P19">
        <v>77.5</v>
      </c>
      <c r="Q19">
        <v>47.2</v>
      </c>
      <c r="R19">
        <v>47</v>
      </c>
      <c r="S19">
        <v>47.4</v>
      </c>
      <c r="T19">
        <v>27.6</v>
      </c>
      <c r="U19">
        <v>26</v>
      </c>
      <c r="V19">
        <v>29.6</v>
      </c>
    </row>
    <row r="20" spans="1:22" x14ac:dyDescent="0.25">
      <c r="A20" t="s">
        <v>120</v>
      </c>
      <c r="B20">
        <v>84</v>
      </c>
      <c r="C20">
        <v>83.8</v>
      </c>
      <c r="D20">
        <v>84.2</v>
      </c>
      <c r="E20">
        <v>81.5</v>
      </c>
      <c r="F20">
        <v>83.1</v>
      </c>
      <c r="G20">
        <v>79.7</v>
      </c>
      <c r="H20">
        <v>12.1</v>
      </c>
      <c r="I20">
        <v>13.2</v>
      </c>
      <c r="J20">
        <v>11</v>
      </c>
      <c r="K20">
        <v>1.1000000000000001</v>
      </c>
      <c r="L20">
        <v>1.2</v>
      </c>
      <c r="M20">
        <v>1.1000000000000001</v>
      </c>
      <c r="N20">
        <v>65.8</v>
      </c>
      <c r="O20">
        <v>68.8</v>
      </c>
      <c r="P20">
        <v>62.9</v>
      </c>
      <c r="Q20">
        <v>30.9</v>
      </c>
      <c r="R20">
        <v>32.700000000000003</v>
      </c>
      <c r="S20">
        <v>29.3</v>
      </c>
      <c r="T20">
        <v>15.2</v>
      </c>
      <c r="U20">
        <v>15.8</v>
      </c>
      <c r="V20">
        <v>14.6</v>
      </c>
    </row>
    <row r="21" spans="1:22" x14ac:dyDescent="0.25">
      <c r="A21" t="s">
        <v>121</v>
      </c>
      <c r="B21">
        <v>77.400000000000006</v>
      </c>
      <c r="C21">
        <v>84.1</v>
      </c>
      <c r="D21">
        <v>71.400000000000006</v>
      </c>
      <c r="E21">
        <v>70.599999999999994</v>
      </c>
      <c r="F21">
        <v>78.7</v>
      </c>
      <c r="G21">
        <v>63.3</v>
      </c>
      <c r="H21">
        <v>43.9</v>
      </c>
      <c r="I21">
        <v>50.9</v>
      </c>
      <c r="J21">
        <v>37.6</v>
      </c>
      <c r="K21">
        <v>24.5</v>
      </c>
      <c r="L21">
        <v>28.9</v>
      </c>
      <c r="M21">
        <v>20.6</v>
      </c>
      <c r="N21">
        <v>87.4</v>
      </c>
      <c r="O21">
        <v>94.8</v>
      </c>
      <c r="P21">
        <v>80.400000000000006</v>
      </c>
      <c r="Q21">
        <v>51.6</v>
      </c>
      <c r="R21">
        <v>58.3</v>
      </c>
      <c r="S21">
        <v>45.3</v>
      </c>
      <c r="T21">
        <v>25.5</v>
      </c>
      <c r="U21">
        <v>26.7</v>
      </c>
      <c r="V21">
        <v>24.4</v>
      </c>
    </row>
    <row r="22" spans="1:22" x14ac:dyDescent="0.25">
      <c r="A22" t="s">
        <v>122</v>
      </c>
      <c r="B22">
        <v>92.7</v>
      </c>
      <c r="C22">
        <v>93.2</v>
      </c>
      <c r="D22">
        <v>92.3</v>
      </c>
      <c r="E22">
        <v>89.7</v>
      </c>
      <c r="F22">
        <v>91.4</v>
      </c>
      <c r="G22">
        <v>88</v>
      </c>
      <c r="H22">
        <v>48.2</v>
      </c>
      <c r="I22">
        <v>51.2</v>
      </c>
      <c r="J22">
        <v>45.2</v>
      </c>
      <c r="K22">
        <v>19.5</v>
      </c>
      <c r="L22">
        <v>22</v>
      </c>
      <c r="M22">
        <v>17.100000000000001</v>
      </c>
      <c r="N22">
        <v>93</v>
      </c>
      <c r="O22">
        <v>94.8</v>
      </c>
      <c r="P22">
        <v>91.3</v>
      </c>
      <c r="Q22">
        <v>52.2</v>
      </c>
      <c r="R22">
        <v>57.9</v>
      </c>
      <c r="S22">
        <v>47</v>
      </c>
      <c r="T22">
        <v>26.5</v>
      </c>
      <c r="U22">
        <v>30.5</v>
      </c>
      <c r="V22">
        <v>23.1</v>
      </c>
    </row>
    <row r="23" spans="1:22" x14ac:dyDescent="0.25">
      <c r="A23" t="s">
        <v>123</v>
      </c>
      <c r="B23">
        <v>81.2</v>
      </c>
      <c r="C23">
        <v>85</v>
      </c>
      <c r="D23">
        <v>77.5</v>
      </c>
      <c r="E23">
        <v>74.5</v>
      </c>
      <c r="F23">
        <v>80.5</v>
      </c>
      <c r="G23">
        <v>69</v>
      </c>
      <c r="H23">
        <v>43.8</v>
      </c>
      <c r="I23">
        <v>49.7</v>
      </c>
      <c r="J23">
        <v>38.4</v>
      </c>
      <c r="K23">
        <v>32</v>
      </c>
      <c r="L23">
        <v>38</v>
      </c>
      <c r="M23">
        <v>26.6</v>
      </c>
      <c r="N23">
        <v>84.5</v>
      </c>
      <c r="O23">
        <v>91.1</v>
      </c>
      <c r="P23">
        <v>78.3</v>
      </c>
      <c r="Q23">
        <v>42.5</v>
      </c>
      <c r="R23">
        <v>47</v>
      </c>
      <c r="S23">
        <v>38.299999999999997</v>
      </c>
      <c r="T23">
        <v>22</v>
      </c>
      <c r="U23">
        <v>24.5</v>
      </c>
      <c r="V23">
        <v>19.600000000000001</v>
      </c>
    </row>
    <row r="24" spans="1:22" x14ac:dyDescent="0.25">
      <c r="A24" t="s">
        <v>124</v>
      </c>
      <c r="B24">
        <v>61.5</v>
      </c>
      <c r="C24">
        <v>63.4</v>
      </c>
      <c r="D24">
        <v>59.8</v>
      </c>
      <c r="E24">
        <v>52.4</v>
      </c>
      <c r="F24">
        <v>55.7</v>
      </c>
      <c r="G24">
        <v>49.3</v>
      </c>
      <c r="H24">
        <v>22.7</v>
      </c>
      <c r="I24">
        <v>24.9</v>
      </c>
      <c r="J24">
        <v>20.7</v>
      </c>
      <c r="K24">
        <v>13.1</v>
      </c>
      <c r="L24">
        <v>14.5</v>
      </c>
      <c r="M24">
        <v>11.8</v>
      </c>
      <c r="N24">
        <v>89.7</v>
      </c>
      <c r="O24">
        <v>94</v>
      </c>
      <c r="P24">
        <v>85.7</v>
      </c>
      <c r="Q24">
        <v>46.8</v>
      </c>
      <c r="R24">
        <v>48.2</v>
      </c>
      <c r="S24">
        <v>45.6</v>
      </c>
      <c r="T24">
        <v>20.6</v>
      </c>
      <c r="U24">
        <v>19.5</v>
      </c>
      <c r="V24">
        <v>21.7</v>
      </c>
    </row>
    <row r="25" spans="1:22" x14ac:dyDescent="0.25">
      <c r="A25" t="s">
        <v>125</v>
      </c>
      <c r="B25">
        <v>84.1</v>
      </c>
      <c r="C25">
        <v>89.4</v>
      </c>
      <c r="D25">
        <v>79.2</v>
      </c>
      <c r="E25">
        <v>80.3</v>
      </c>
      <c r="F25">
        <v>87.4</v>
      </c>
      <c r="G25">
        <v>73.8</v>
      </c>
      <c r="H25">
        <v>49</v>
      </c>
      <c r="I25">
        <v>56.7</v>
      </c>
      <c r="J25">
        <v>42</v>
      </c>
      <c r="K25">
        <v>29.7</v>
      </c>
      <c r="L25">
        <v>39.200000000000003</v>
      </c>
      <c r="M25">
        <v>21.3</v>
      </c>
      <c r="N25">
        <v>87.9</v>
      </c>
      <c r="O25">
        <v>95</v>
      </c>
      <c r="P25">
        <v>81.3</v>
      </c>
      <c r="Q25">
        <v>48.3</v>
      </c>
      <c r="R25">
        <v>55.8</v>
      </c>
      <c r="S25">
        <v>41.2</v>
      </c>
      <c r="T25">
        <v>27.5</v>
      </c>
      <c r="U25">
        <v>33.4</v>
      </c>
      <c r="V25">
        <v>22.1</v>
      </c>
    </row>
    <row r="26" spans="1:22" x14ac:dyDescent="0.25">
      <c r="A26" t="s">
        <v>126</v>
      </c>
      <c r="B26">
        <v>61.1</v>
      </c>
      <c r="C26">
        <v>65.2</v>
      </c>
      <c r="D26">
        <v>57.1</v>
      </c>
      <c r="E26">
        <v>53.8</v>
      </c>
      <c r="F26">
        <v>57.9</v>
      </c>
      <c r="G26">
        <v>49.9</v>
      </c>
      <c r="H26">
        <v>22.8</v>
      </c>
      <c r="I26">
        <v>25</v>
      </c>
      <c r="J26">
        <v>20.5</v>
      </c>
      <c r="K26">
        <v>14.7</v>
      </c>
      <c r="L26">
        <v>17.3</v>
      </c>
      <c r="M26">
        <v>12.3</v>
      </c>
      <c r="N26">
        <v>84.1</v>
      </c>
      <c r="O26">
        <v>88.3</v>
      </c>
      <c r="P26">
        <v>80.099999999999994</v>
      </c>
      <c r="Q26">
        <v>38</v>
      </c>
      <c r="R26">
        <v>40.4</v>
      </c>
      <c r="S26">
        <v>35.6</v>
      </c>
      <c r="T26">
        <v>18</v>
      </c>
      <c r="U26">
        <v>19.100000000000001</v>
      </c>
      <c r="V26">
        <v>16.8</v>
      </c>
    </row>
    <row r="27" spans="1:22" x14ac:dyDescent="0.25">
      <c r="A27" t="s">
        <v>127</v>
      </c>
      <c r="B27">
        <v>94</v>
      </c>
      <c r="C27">
        <v>96.7</v>
      </c>
      <c r="D27">
        <v>91.5</v>
      </c>
      <c r="E27">
        <v>92</v>
      </c>
      <c r="F27">
        <v>95.1</v>
      </c>
      <c r="G27">
        <v>89</v>
      </c>
      <c r="H27">
        <v>60.2</v>
      </c>
      <c r="I27">
        <v>64.900000000000006</v>
      </c>
      <c r="J27">
        <v>55.7</v>
      </c>
      <c r="K27">
        <v>34.1</v>
      </c>
      <c r="L27">
        <v>38.5</v>
      </c>
      <c r="M27">
        <v>30</v>
      </c>
      <c r="N27">
        <v>98</v>
      </c>
      <c r="O27">
        <v>100.8</v>
      </c>
      <c r="P27">
        <v>95.2</v>
      </c>
      <c r="Q27">
        <v>53.2</v>
      </c>
      <c r="R27">
        <v>58.6</v>
      </c>
      <c r="S27">
        <v>48.4</v>
      </c>
      <c r="T27">
        <v>28.9</v>
      </c>
      <c r="U27">
        <v>33.799999999999997</v>
      </c>
      <c r="V27">
        <v>24.7</v>
      </c>
    </row>
    <row r="28" spans="1:22" x14ac:dyDescent="0.25">
      <c r="A28" t="s">
        <v>128</v>
      </c>
      <c r="B28">
        <v>87.2</v>
      </c>
      <c r="C28">
        <v>93</v>
      </c>
      <c r="D28">
        <v>82.1</v>
      </c>
      <c r="E28">
        <v>82.8</v>
      </c>
      <c r="F28">
        <v>89.5</v>
      </c>
      <c r="G28">
        <v>76.8</v>
      </c>
      <c r="H28">
        <v>54.5</v>
      </c>
      <c r="I28">
        <v>62.4</v>
      </c>
      <c r="J28">
        <v>47.6</v>
      </c>
      <c r="K28">
        <v>39.299999999999997</v>
      </c>
      <c r="L28">
        <v>40.6</v>
      </c>
      <c r="M28">
        <v>0</v>
      </c>
      <c r="N28">
        <v>80.400000000000006</v>
      </c>
      <c r="O28">
        <v>84.1</v>
      </c>
      <c r="P28">
        <v>76.900000000000006</v>
      </c>
      <c r="Q28">
        <v>54.9</v>
      </c>
      <c r="R28">
        <v>60.3</v>
      </c>
      <c r="S28">
        <v>50</v>
      </c>
      <c r="T28">
        <v>34.200000000000003</v>
      </c>
      <c r="U28">
        <v>39.700000000000003</v>
      </c>
      <c r="V28">
        <v>29.5</v>
      </c>
    </row>
    <row r="29" spans="1:22" x14ac:dyDescent="0.25">
      <c r="A29" t="s">
        <v>129</v>
      </c>
      <c r="B29">
        <v>75.099999999999994</v>
      </c>
      <c r="C29">
        <v>78.3</v>
      </c>
      <c r="D29">
        <v>72.099999999999994</v>
      </c>
      <c r="E29">
        <v>67.400000000000006</v>
      </c>
      <c r="F29">
        <v>72.599999999999994</v>
      </c>
      <c r="G29">
        <v>62.8</v>
      </c>
      <c r="H29">
        <v>21.4</v>
      </c>
      <c r="I29">
        <v>24.6</v>
      </c>
      <c r="J29">
        <v>18.399999999999999</v>
      </c>
      <c r="K29">
        <v>8.6</v>
      </c>
      <c r="L29">
        <v>11.9</v>
      </c>
      <c r="M29">
        <v>5.8</v>
      </c>
      <c r="N29">
        <v>85.5</v>
      </c>
      <c r="O29">
        <v>90.2</v>
      </c>
      <c r="P29">
        <v>81.2</v>
      </c>
      <c r="Q29">
        <v>40.6</v>
      </c>
      <c r="R29">
        <v>47.2</v>
      </c>
      <c r="S29">
        <v>34.6</v>
      </c>
      <c r="T29">
        <v>19.5</v>
      </c>
      <c r="U29">
        <v>24.1</v>
      </c>
      <c r="V29">
        <v>15.4</v>
      </c>
    </row>
    <row r="30" spans="1:22" x14ac:dyDescent="0.25">
      <c r="A30" t="s">
        <v>87</v>
      </c>
      <c r="B30">
        <v>82.8</v>
      </c>
      <c r="C30">
        <v>86.6</v>
      </c>
      <c r="D30">
        <v>79.3</v>
      </c>
      <c r="E30">
        <v>78.099999999999994</v>
      </c>
      <c r="F30">
        <v>83.1</v>
      </c>
      <c r="G30">
        <v>73.400000000000006</v>
      </c>
      <c r="H30">
        <v>43.2</v>
      </c>
      <c r="I30">
        <v>48.9</v>
      </c>
      <c r="J30">
        <v>38.1</v>
      </c>
      <c r="K30">
        <v>24.5</v>
      </c>
      <c r="L30">
        <v>28.9</v>
      </c>
      <c r="M30">
        <v>20.5</v>
      </c>
      <c r="N30">
        <v>83.3</v>
      </c>
      <c r="O30">
        <v>87.6</v>
      </c>
      <c r="P30">
        <v>79.400000000000006</v>
      </c>
      <c r="Q30">
        <v>44.5</v>
      </c>
      <c r="R30">
        <v>49.5</v>
      </c>
      <c r="S30">
        <v>39.700000000000003</v>
      </c>
      <c r="T30">
        <v>24.2</v>
      </c>
      <c r="U30">
        <v>27.3</v>
      </c>
      <c r="V30">
        <v>21.3</v>
      </c>
    </row>
    <row r="31" spans="1:22" x14ac:dyDescent="0.25">
      <c r="A31" t="s">
        <v>265</v>
      </c>
      <c r="B31">
        <v>86.5</v>
      </c>
      <c r="C31">
        <v>91</v>
      </c>
      <c r="D31">
        <v>82.6</v>
      </c>
      <c r="E31">
        <v>83.1</v>
      </c>
      <c r="F31">
        <v>88.6</v>
      </c>
      <c r="G31">
        <v>78.2</v>
      </c>
      <c r="H31">
        <v>54.6</v>
      </c>
      <c r="I31">
        <v>60.8</v>
      </c>
      <c r="J31">
        <v>49.1</v>
      </c>
      <c r="K31">
        <v>37.9</v>
      </c>
      <c r="L31">
        <v>44</v>
      </c>
      <c r="M31">
        <v>32.5</v>
      </c>
      <c r="N31">
        <v>73.099999999999994</v>
      </c>
      <c r="O31">
        <v>77.2</v>
      </c>
      <c r="P31">
        <v>69.400000000000006</v>
      </c>
      <c r="Q31">
        <v>46</v>
      </c>
      <c r="R31">
        <v>48.2</v>
      </c>
      <c r="S31">
        <v>43.8</v>
      </c>
      <c r="T31">
        <v>33.700000000000003</v>
      </c>
      <c r="U31">
        <v>35.200000000000003</v>
      </c>
      <c r="V31">
        <v>32.299999999999997</v>
      </c>
    </row>
    <row r="32" spans="1:22" x14ac:dyDescent="0.25">
      <c r="A32" t="s">
        <v>266</v>
      </c>
      <c r="B32">
        <v>82</v>
      </c>
      <c r="C32">
        <v>85.8</v>
      </c>
      <c r="D32">
        <v>78.599999999999994</v>
      </c>
      <c r="E32">
        <v>77.099999999999994</v>
      </c>
      <c r="F32">
        <v>82.1</v>
      </c>
      <c r="G32">
        <v>72.5</v>
      </c>
      <c r="H32">
        <v>41</v>
      </c>
      <c r="I32">
        <v>46.6</v>
      </c>
      <c r="J32">
        <v>35.799999999999997</v>
      </c>
      <c r="K32">
        <v>21.5</v>
      </c>
      <c r="L32">
        <v>25.6</v>
      </c>
      <c r="M32">
        <v>17.8</v>
      </c>
      <c r="N32">
        <v>85.8</v>
      </c>
      <c r="O32">
        <v>90.1</v>
      </c>
      <c r="P32">
        <v>81.900000000000006</v>
      </c>
      <c r="Q32">
        <v>44.1</v>
      </c>
      <c r="R32">
        <v>49.9</v>
      </c>
      <c r="S32">
        <v>38.700000000000003</v>
      </c>
      <c r="T32">
        <v>21.4</v>
      </c>
      <c r="U32">
        <v>24.9</v>
      </c>
      <c r="V32">
        <v>18.3</v>
      </c>
    </row>
  </sheetData>
  <mergeCells count="11">
    <mergeCell ref="B2:M2"/>
    <mergeCell ref="B3:D3"/>
    <mergeCell ref="A1:W1"/>
    <mergeCell ref="N2:V2"/>
    <mergeCell ref="A2:A4"/>
    <mergeCell ref="T3:V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FF66CC"/>
  </sheetPr>
  <dimension ref="A1:M31"/>
  <sheetViews>
    <sheetView workbookViewId="0"/>
  </sheetViews>
  <sheetFormatPr defaultRowHeight="15" x14ac:dyDescent="0.25"/>
  <cols>
    <col min="1" max="1" width="24.42578125" customWidth="1"/>
    <col min="2" max="2" width="13.42578125" customWidth="1"/>
    <col min="4" max="4" width="11.42578125" customWidth="1"/>
    <col min="5" max="5" width="12.42578125" customWidth="1"/>
    <col min="6" max="6" width="12.7109375" customWidth="1"/>
    <col min="7" max="7" width="28.42578125" customWidth="1"/>
    <col min="8" max="8" width="10.85546875" customWidth="1"/>
    <col min="9" max="9" width="13.42578125" customWidth="1"/>
    <col min="10" max="10" width="13.28515625" customWidth="1"/>
    <col min="12" max="12" width="13.42578125" customWidth="1"/>
    <col min="13" max="13" width="6.85546875" customWidth="1"/>
  </cols>
  <sheetData>
    <row r="1" spans="1:13" x14ac:dyDescent="0.25">
      <c r="A1" s="27" t="s">
        <v>426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x14ac:dyDescent="0.25">
      <c r="A2" s="27" t="s">
        <v>104</v>
      </c>
      <c r="B2" s="27" t="s">
        <v>427</v>
      </c>
      <c r="C2" s="27" t="s">
        <v>428</v>
      </c>
      <c r="D2" s="27" t="s">
        <v>429</v>
      </c>
      <c r="E2" s="27"/>
      <c r="F2" s="27"/>
      <c r="G2" t="s">
        <v>430</v>
      </c>
      <c r="H2" s="27" t="s">
        <v>431</v>
      </c>
      <c r="I2" s="27"/>
      <c r="J2" s="27"/>
      <c r="K2" s="27"/>
      <c r="L2" s="27"/>
    </row>
    <row r="3" spans="1:13" x14ac:dyDescent="0.25">
      <c r="A3" s="27"/>
      <c r="B3" s="27"/>
      <c r="C3" s="27"/>
      <c r="D3" t="s">
        <v>432</v>
      </c>
      <c r="E3" t="s">
        <v>433</v>
      </c>
      <c r="F3" t="s">
        <v>434</v>
      </c>
      <c r="G3" t="s">
        <v>435</v>
      </c>
      <c r="H3" t="s">
        <v>436</v>
      </c>
      <c r="I3" t="s">
        <v>437</v>
      </c>
      <c r="J3" t="s">
        <v>438</v>
      </c>
      <c r="K3" t="s">
        <v>439</v>
      </c>
      <c r="L3" t="s">
        <v>440</v>
      </c>
    </row>
    <row r="4" spans="1:13" x14ac:dyDescent="0.25">
      <c r="A4" t="s">
        <v>105</v>
      </c>
      <c r="B4">
        <v>0.94</v>
      </c>
      <c r="C4">
        <v>0.97</v>
      </c>
      <c r="D4">
        <v>0.99</v>
      </c>
      <c r="E4">
        <v>1.22</v>
      </c>
      <c r="F4">
        <v>1.41</v>
      </c>
      <c r="G4">
        <v>1.01</v>
      </c>
      <c r="H4" t="s">
        <v>441</v>
      </c>
      <c r="I4">
        <v>1.35</v>
      </c>
      <c r="J4">
        <v>0.79</v>
      </c>
      <c r="K4">
        <v>0.66</v>
      </c>
      <c r="L4">
        <v>0.7</v>
      </c>
    </row>
    <row r="5" spans="1:13" x14ac:dyDescent="0.25">
      <c r="A5" t="s">
        <v>106</v>
      </c>
      <c r="B5">
        <v>0.97</v>
      </c>
      <c r="C5">
        <v>1.02</v>
      </c>
      <c r="D5">
        <v>0.98</v>
      </c>
      <c r="E5">
        <v>1.22</v>
      </c>
      <c r="F5">
        <v>1.38</v>
      </c>
      <c r="G5">
        <v>1.01</v>
      </c>
      <c r="H5">
        <v>13.18</v>
      </c>
      <c r="I5">
        <v>1.78</v>
      </c>
      <c r="J5">
        <v>0.98</v>
      </c>
      <c r="K5">
        <v>0.82</v>
      </c>
      <c r="L5">
        <v>0.89</v>
      </c>
    </row>
    <row r="6" spans="1:13" x14ac:dyDescent="0.25">
      <c r="A6" t="s">
        <v>107</v>
      </c>
      <c r="B6">
        <v>0.95</v>
      </c>
      <c r="C6">
        <v>0.97</v>
      </c>
      <c r="D6">
        <v>0.96</v>
      </c>
      <c r="E6">
        <v>1.25</v>
      </c>
      <c r="F6">
        <v>1.48</v>
      </c>
      <c r="G6">
        <v>0.97</v>
      </c>
      <c r="H6">
        <v>18.649999999999999</v>
      </c>
      <c r="I6">
        <v>1.82</v>
      </c>
      <c r="J6">
        <v>1.1399999999999999</v>
      </c>
      <c r="K6">
        <v>0.85</v>
      </c>
      <c r="L6">
        <v>0.93</v>
      </c>
    </row>
    <row r="7" spans="1:13" x14ac:dyDescent="0.25">
      <c r="A7" t="s">
        <v>108</v>
      </c>
      <c r="B7">
        <v>0.99</v>
      </c>
      <c r="C7">
        <v>1.02</v>
      </c>
      <c r="D7">
        <v>0.99</v>
      </c>
      <c r="E7">
        <v>1.26</v>
      </c>
      <c r="F7">
        <v>1.44</v>
      </c>
      <c r="G7">
        <v>1.02</v>
      </c>
      <c r="H7">
        <v>160</v>
      </c>
      <c r="I7">
        <v>1.02</v>
      </c>
      <c r="J7">
        <v>0.89</v>
      </c>
      <c r="K7">
        <v>0.61</v>
      </c>
      <c r="L7">
        <v>0.7</v>
      </c>
    </row>
    <row r="8" spans="1:13" x14ac:dyDescent="0.25">
      <c r="A8" t="s">
        <v>109</v>
      </c>
      <c r="B8">
        <v>0.94</v>
      </c>
      <c r="C8">
        <v>0.98</v>
      </c>
      <c r="D8">
        <v>0.97</v>
      </c>
      <c r="E8">
        <v>1.17</v>
      </c>
      <c r="F8">
        <v>1.29</v>
      </c>
      <c r="G8">
        <v>0.99</v>
      </c>
      <c r="H8">
        <v>9.6999999999999993</v>
      </c>
      <c r="I8">
        <v>0.89</v>
      </c>
      <c r="J8">
        <v>0.56999999999999995</v>
      </c>
      <c r="K8">
        <v>0.52</v>
      </c>
      <c r="L8">
        <v>0.54</v>
      </c>
    </row>
    <row r="9" spans="1:13" x14ac:dyDescent="0.25">
      <c r="A9" t="s">
        <v>110</v>
      </c>
      <c r="B9">
        <v>0.98</v>
      </c>
      <c r="C9">
        <v>1.02</v>
      </c>
      <c r="D9">
        <v>1.01</v>
      </c>
      <c r="E9">
        <v>1.27</v>
      </c>
      <c r="F9">
        <v>1.47</v>
      </c>
      <c r="G9">
        <v>1.04</v>
      </c>
      <c r="H9">
        <v>39.14</v>
      </c>
      <c r="I9">
        <v>1.36</v>
      </c>
      <c r="J9">
        <v>0.93</v>
      </c>
      <c r="K9">
        <v>0.81</v>
      </c>
      <c r="L9">
        <v>0.85</v>
      </c>
    </row>
    <row r="10" spans="1:13" x14ac:dyDescent="0.25">
      <c r="A10" t="s">
        <v>111</v>
      </c>
      <c r="B10">
        <v>0.91</v>
      </c>
      <c r="C10">
        <v>0.94</v>
      </c>
      <c r="D10">
        <v>0.97</v>
      </c>
      <c r="E10">
        <v>1.1599999999999999</v>
      </c>
      <c r="F10">
        <v>1.24</v>
      </c>
      <c r="G10">
        <v>0.99</v>
      </c>
      <c r="H10">
        <v>31</v>
      </c>
      <c r="I10">
        <v>1.0900000000000001</v>
      </c>
      <c r="J10">
        <v>0.79</v>
      </c>
      <c r="K10">
        <v>0.64</v>
      </c>
      <c r="L10">
        <v>0.71</v>
      </c>
    </row>
    <row r="11" spans="1:13" x14ac:dyDescent="0.25">
      <c r="A11" t="s">
        <v>112</v>
      </c>
      <c r="B11">
        <v>0.96</v>
      </c>
      <c r="C11">
        <v>1.01</v>
      </c>
      <c r="D11">
        <v>0.96</v>
      </c>
      <c r="E11">
        <v>1.18</v>
      </c>
      <c r="F11">
        <v>1.39</v>
      </c>
      <c r="G11">
        <v>1</v>
      </c>
      <c r="H11">
        <v>0</v>
      </c>
      <c r="I11">
        <v>1.78</v>
      </c>
      <c r="J11">
        <v>1.01</v>
      </c>
      <c r="K11">
        <v>0.79</v>
      </c>
      <c r="L11">
        <v>0.86</v>
      </c>
    </row>
    <row r="12" spans="1:13" x14ac:dyDescent="0.25">
      <c r="A12" t="s">
        <v>113</v>
      </c>
      <c r="B12">
        <v>0.98</v>
      </c>
      <c r="C12">
        <v>1.06</v>
      </c>
      <c r="D12">
        <v>1.05</v>
      </c>
      <c r="E12">
        <v>1.19</v>
      </c>
      <c r="F12">
        <v>1.21</v>
      </c>
      <c r="G12">
        <v>1.0900000000000001</v>
      </c>
      <c r="H12" t="s">
        <v>441</v>
      </c>
      <c r="I12">
        <v>1.25</v>
      </c>
      <c r="J12">
        <v>0.73</v>
      </c>
      <c r="K12">
        <v>0.78</v>
      </c>
      <c r="L12">
        <v>0.76</v>
      </c>
    </row>
    <row r="13" spans="1:13" x14ac:dyDescent="0.25">
      <c r="A13" t="s">
        <v>114</v>
      </c>
      <c r="B13">
        <v>0.97</v>
      </c>
      <c r="C13">
        <v>1.05</v>
      </c>
      <c r="D13">
        <v>0.99</v>
      </c>
      <c r="E13">
        <v>1.1100000000000001</v>
      </c>
      <c r="F13">
        <v>1.05</v>
      </c>
      <c r="G13">
        <v>1.02</v>
      </c>
      <c r="H13" t="s">
        <v>441</v>
      </c>
      <c r="I13">
        <v>1.03</v>
      </c>
      <c r="J13">
        <v>0.41</v>
      </c>
      <c r="K13">
        <v>0.59</v>
      </c>
      <c r="L13">
        <v>0.53</v>
      </c>
    </row>
    <row r="14" spans="1:13" x14ac:dyDescent="0.25">
      <c r="A14" t="s">
        <v>115</v>
      </c>
      <c r="B14">
        <v>0.9</v>
      </c>
      <c r="C14">
        <v>0.96</v>
      </c>
      <c r="D14">
        <v>0.96</v>
      </c>
      <c r="E14">
        <v>1.19</v>
      </c>
      <c r="F14">
        <v>1.34</v>
      </c>
      <c r="G14">
        <v>0.98</v>
      </c>
      <c r="H14">
        <v>69</v>
      </c>
      <c r="I14">
        <v>2.0699999999999998</v>
      </c>
      <c r="J14">
        <v>1.17</v>
      </c>
      <c r="K14">
        <v>0.91</v>
      </c>
      <c r="L14">
        <v>1.03</v>
      </c>
    </row>
    <row r="15" spans="1:13" x14ac:dyDescent="0.25">
      <c r="A15" t="s">
        <v>116</v>
      </c>
      <c r="B15">
        <v>1.01</v>
      </c>
      <c r="C15">
        <v>1.1000000000000001</v>
      </c>
      <c r="D15">
        <v>1.04</v>
      </c>
      <c r="E15">
        <v>1.1499999999999999</v>
      </c>
      <c r="F15">
        <v>1.27</v>
      </c>
      <c r="G15">
        <v>1.0900000000000001</v>
      </c>
      <c r="H15">
        <v>34</v>
      </c>
      <c r="I15">
        <v>1.01</v>
      </c>
      <c r="J15">
        <v>0.67</v>
      </c>
      <c r="K15">
        <v>0.56000000000000005</v>
      </c>
      <c r="L15">
        <v>0.59</v>
      </c>
    </row>
    <row r="16" spans="1:13" x14ac:dyDescent="0.25">
      <c r="A16" t="s">
        <v>117</v>
      </c>
      <c r="B16">
        <v>0.95</v>
      </c>
      <c r="C16">
        <v>0.99</v>
      </c>
      <c r="D16">
        <v>0.98</v>
      </c>
      <c r="E16">
        <v>1.1499999999999999</v>
      </c>
      <c r="F16">
        <v>1.21</v>
      </c>
      <c r="G16">
        <v>1.01</v>
      </c>
      <c r="H16">
        <v>22.5</v>
      </c>
      <c r="I16">
        <v>0.88</v>
      </c>
      <c r="J16">
        <v>0.55000000000000004</v>
      </c>
      <c r="K16">
        <v>0.55000000000000004</v>
      </c>
      <c r="L16">
        <v>0.55000000000000004</v>
      </c>
    </row>
    <row r="17" spans="1:12" x14ac:dyDescent="0.25">
      <c r="A17" t="s">
        <v>118</v>
      </c>
      <c r="B17">
        <v>0.98</v>
      </c>
      <c r="C17">
        <v>1.05</v>
      </c>
      <c r="D17">
        <v>0.98</v>
      </c>
      <c r="E17">
        <v>1.19</v>
      </c>
      <c r="F17">
        <v>1.29</v>
      </c>
      <c r="G17">
        <v>1.02</v>
      </c>
      <c r="H17" t="s">
        <v>441</v>
      </c>
      <c r="I17">
        <v>1.42</v>
      </c>
      <c r="J17">
        <v>0.79</v>
      </c>
      <c r="K17">
        <v>0.76</v>
      </c>
      <c r="L17">
        <v>0.78</v>
      </c>
    </row>
    <row r="18" spans="1:12" x14ac:dyDescent="0.25">
      <c r="A18" t="s">
        <v>119</v>
      </c>
      <c r="B18">
        <v>0.97</v>
      </c>
      <c r="C18">
        <v>0.99</v>
      </c>
      <c r="D18">
        <v>1</v>
      </c>
      <c r="E18">
        <v>1.03</v>
      </c>
      <c r="F18">
        <v>0.93</v>
      </c>
      <c r="G18">
        <v>1.03</v>
      </c>
      <c r="H18">
        <v>156.5</v>
      </c>
      <c r="I18">
        <v>3.16</v>
      </c>
      <c r="J18">
        <v>1.06</v>
      </c>
      <c r="K18">
        <v>0.81</v>
      </c>
      <c r="L18">
        <v>0.85</v>
      </c>
    </row>
    <row r="19" spans="1:12" x14ac:dyDescent="0.25">
      <c r="A19" t="s">
        <v>120</v>
      </c>
      <c r="B19">
        <v>1.07</v>
      </c>
      <c r="C19">
        <v>1.08</v>
      </c>
      <c r="D19">
        <v>1.03</v>
      </c>
      <c r="E19">
        <v>1.08</v>
      </c>
      <c r="F19">
        <v>1.21</v>
      </c>
      <c r="G19">
        <v>1.07</v>
      </c>
      <c r="H19">
        <v>22.75</v>
      </c>
      <c r="I19">
        <v>1.3</v>
      </c>
      <c r="J19">
        <v>0.74</v>
      </c>
      <c r="K19">
        <v>0.47</v>
      </c>
      <c r="L19">
        <v>0.56000000000000005</v>
      </c>
    </row>
    <row r="20" spans="1:12" x14ac:dyDescent="0.25">
      <c r="A20" t="s">
        <v>121</v>
      </c>
      <c r="B20">
        <v>0.93</v>
      </c>
      <c r="C20">
        <v>1.08</v>
      </c>
      <c r="D20">
        <v>0.98</v>
      </c>
      <c r="E20">
        <v>1.28</v>
      </c>
      <c r="F20">
        <v>1.25</v>
      </c>
      <c r="G20">
        <v>1</v>
      </c>
      <c r="H20">
        <v>41.5</v>
      </c>
      <c r="I20">
        <v>1.26</v>
      </c>
      <c r="J20">
        <v>0.65</v>
      </c>
      <c r="K20">
        <v>0.74</v>
      </c>
      <c r="L20">
        <v>0.69</v>
      </c>
    </row>
    <row r="21" spans="1:12" x14ac:dyDescent="0.25">
      <c r="A21" t="s">
        <v>122</v>
      </c>
      <c r="B21">
        <v>0.95</v>
      </c>
      <c r="C21">
        <v>0.97</v>
      </c>
      <c r="D21">
        <v>0.93</v>
      </c>
      <c r="E21">
        <v>1.2</v>
      </c>
      <c r="F21">
        <v>1.38</v>
      </c>
      <c r="G21">
        <v>0.98</v>
      </c>
      <c r="H21">
        <v>12.73</v>
      </c>
      <c r="I21">
        <v>0.99</v>
      </c>
      <c r="J21">
        <v>0.68</v>
      </c>
      <c r="K21">
        <v>0.56000000000000005</v>
      </c>
      <c r="L21">
        <v>0.6</v>
      </c>
    </row>
    <row r="22" spans="1:12" x14ac:dyDescent="0.25">
      <c r="A22" t="s">
        <v>123</v>
      </c>
      <c r="B22">
        <v>0.99</v>
      </c>
      <c r="C22">
        <v>1</v>
      </c>
      <c r="D22">
        <v>1.03</v>
      </c>
      <c r="E22">
        <v>1.2</v>
      </c>
      <c r="F22">
        <v>1.31</v>
      </c>
      <c r="G22">
        <v>1.03</v>
      </c>
      <c r="H22">
        <v>27.67</v>
      </c>
      <c r="I22">
        <v>1.18</v>
      </c>
      <c r="J22">
        <v>0.68</v>
      </c>
      <c r="K22">
        <v>0.55000000000000004</v>
      </c>
      <c r="L22">
        <v>0.61</v>
      </c>
    </row>
    <row r="23" spans="1:12" x14ac:dyDescent="0.25">
      <c r="A23" t="s">
        <v>124</v>
      </c>
      <c r="B23">
        <v>0.9</v>
      </c>
      <c r="C23">
        <v>0.93</v>
      </c>
      <c r="D23">
        <v>0.97</v>
      </c>
      <c r="E23">
        <v>1.0900000000000001</v>
      </c>
      <c r="F23">
        <v>0.97</v>
      </c>
      <c r="G23">
        <v>0.99</v>
      </c>
      <c r="H23">
        <v>9.67</v>
      </c>
      <c r="I23">
        <v>0.89</v>
      </c>
      <c r="J23">
        <v>0.83</v>
      </c>
      <c r="K23">
        <v>0.68</v>
      </c>
      <c r="L23">
        <v>0.73</v>
      </c>
    </row>
    <row r="24" spans="1:12" x14ac:dyDescent="0.25">
      <c r="A24" t="s">
        <v>125</v>
      </c>
      <c r="B24">
        <v>0.99</v>
      </c>
      <c r="C24">
        <v>1.03</v>
      </c>
      <c r="D24">
        <v>1.01</v>
      </c>
      <c r="E24">
        <v>1.25</v>
      </c>
      <c r="F24">
        <v>1.49</v>
      </c>
      <c r="G24">
        <v>1.05</v>
      </c>
      <c r="H24">
        <v>45.4</v>
      </c>
      <c r="I24">
        <v>2.2200000000000002</v>
      </c>
      <c r="J24">
        <v>1.28</v>
      </c>
      <c r="K24">
        <v>0.77</v>
      </c>
      <c r="L24">
        <v>0.9</v>
      </c>
    </row>
    <row r="25" spans="1:12" x14ac:dyDescent="0.25">
      <c r="A25" t="s">
        <v>126</v>
      </c>
      <c r="B25">
        <v>0.91</v>
      </c>
      <c r="C25">
        <v>0.94</v>
      </c>
      <c r="D25">
        <v>0.99</v>
      </c>
      <c r="E25">
        <v>1.1399999999999999</v>
      </c>
      <c r="F25">
        <v>1.1200000000000001</v>
      </c>
      <c r="G25">
        <v>1</v>
      </c>
      <c r="H25" t="s">
        <v>441</v>
      </c>
      <c r="I25">
        <v>1.59</v>
      </c>
      <c r="J25">
        <v>0.8</v>
      </c>
      <c r="K25">
        <v>0.65</v>
      </c>
      <c r="L25">
        <v>0.72</v>
      </c>
    </row>
    <row r="26" spans="1:12" x14ac:dyDescent="0.25">
      <c r="A26" t="s">
        <v>127</v>
      </c>
      <c r="B26">
        <v>0.98</v>
      </c>
      <c r="C26">
        <v>1</v>
      </c>
      <c r="D26">
        <v>0.97</v>
      </c>
      <c r="E26">
        <v>1.1499999999999999</v>
      </c>
      <c r="F26">
        <v>1.32</v>
      </c>
      <c r="G26">
        <v>1</v>
      </c>
      <c r="H26">
        <v>14.62</v>
      </c>
      <c r="I26">
        <v>0.72</v>
      </c>
      <c r="J26">
        <v>0.36</v>
      </c>
      <c r="K26">
        <v>0.45</v>
      </c>
      <c r="L26">
        <v>0.42</v>
      </c>
    </row>
    <row r="27" spans="1:12" x14ac:dyDescent="0.25">
      <c r="A27" t="s">
        <v>128</v>
      </c>
      <c r="B27">
        <v>0.97</v>
      </c>
      <c r="C27">
        <v>0.99</v>
      </c>
      <c r="D27">
        <v>0.97</v>
      </c>
      <c r="E27">
        <v>1.1299999999999999</v>
      </c>
      <c r="F27">
        <v>1.32</v>
      </c>
      <c r="G27">
        <v>1</v>
      </c>
      <c r="H27">
        <v>9.61</v>
      </c>
      <c r="I27">
        <v>0.79</v>
      </c>
      <c r="J27">
        <v>0.54</v>
      </c>
      <c r="K27">
        <v>0.43</v>
      </c>
      <c r="L27">
        <v>0.46</v>
      </c>
    </row>
    <row r="28" spans="1:12" x14ac:dyDescent="0.25">
      <c r="A28" t="s">
        <v>129</v>
      </c>
      <c r="B28">
        <v>0.94</v>
      </c>
      <c r="C28">
        <v>0.98</v>
      </c>
      <c r="D28">
        <v>0.98</v>
      </c>
      <c r="E28">
        <v>1.26</v>
      </c>
      <c r="F28">
        <v>1.51</v>
      </c>
      <c r="G28">
        <v>1.01</v>
      </c>
      <c r="H28">
        <v>12.5</v>
      </c>
      <c r="I28">
        <v>1.56</v>
      </c>
      <c r="J28">
        <v>0.92</v>
      </c>
      <c r="K28">
        <v>0.65</v>
      </c>
      <c r="L28">
        <v>0.72</v>
      </c>
    </row>
    <row r="29" spans="1:12" x14ac:dyDescent="0.25">
      <c r="A29" t="s">
        <v>87</v>
      </c>
      <c r="B29">
        <v>0.96</v>
      </c>
      <c r="C29">
        <v>1</v>
      </c>
      <c r="D29">
        <v>0.98</v>
      </c>
      <c r="E29">
        <v>1.19</v>
      </c>
      <c r="F29">
        <v>1.31</v>
      </c>
      <c r="G29">
        <v>1.01</v>
      </c>
      <c r="H29">
        <v>19.13</v>
      </c>
      <c r="I29">
        <v>1.36</v>
      </c>
      <c r="J29">
        <v>0.82</v>
      </c>
      <c r="K29">
        <v>0.67</v>
      </c>
      <c r="L29">
        <v>0.72</v>
      </c>
    </row>
    <row r="30" spans="1:12" x14ac:dyDescent="0.25">
      <c r="A30" t="s">
        <v>265</v>
      </c>
      <c r="B30">
        <v>0.96</v>
      </c>
      <c r="C30">
        <v>0.99</v>
      </c>
      <c r="D30">
        <v>1</v>
      </c>
      <c r="E30">
        <v>1.1000000000000001</v>
      </c>
      <c r="F30">
        <v>1.1299999999999999</v>
      </c>
      <c r="G30">
        <v>1.03</v>
      </c>
      <c r="H30">
        <v>88</v>
      </c>
      <c r="I30">
        <v>2.42</v>
      </c>
      <c r="J30">
        <v>1.1000000000000001</v>
      </c>
      <c r="K30">
        <v>0.78</v>
      </c>
      <c r="L30">
        <v>0.84</v>
      </c>
    </row>
    <row r="31" spans="1:12" x14ac:dyDescent="0.25">
      <c r="A31" t="s">
        <v>266</v>
      </c>
      <c r="B31">
        <v>0.96</v>
      </c>
      <c r="C31">
        <v>1</v>
      </c>
      <c r="D31">
        <v>0.98</v>
      </c>
      <c r="E31">
        <v>1.21</v>
      </c>
      <c r="F31">
        <v>1.37</v>
      </c>
      <c r="G31">
        <v>1</v>
      </c>
      <c r="H31">
        <v>16.190000000000001</v>
      </c>
      <c r="I31">
        <v>1.2</v>
      </c>
      <c r="J31">
        <v>0.77</v>
      </c>
      <c r="K31">
        <v>0.62</v>
      </c>
      <c r="L31">
        <v>0.68</v>
      </c>
    </row>
  </sheetData>
  <mergeCells count="6">
    <mergeCell ref="D2:F2"/>
    <mergeCell ref="H2:L2"/>
    <mergeCell ref="A1:M1"/>
    <mergeCell ref="B2:B3"/>
    <mergeCell ref="A2:A3"/>
    <mergeCell ref="C2:C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08080"/>
  </sheetPr>
  <dimension ref="A1:Q44"/>
  <sheetViews>
    <sheetView workbookViewId="0"/>
  </sheetViews>
  <sheetFormatPr defaultRowHeight="15" x14ac:dyDescent="0.25"/>
  <cols>
    <col min="1" max="1" width="20.140625" customWidth="1"/>
    <col min="2" max="2" width="10" customWidth="1"/>
    <col min="3" max="3" width="10.140625" customWidth="1"/>
    <col min="6" max="6" width="10" customWidth="1"/>
    <col min="7" max="7" width="10.140625" customWidth="1"/>
    <col min="10" max="10" width="10" customWidth="1"/>
    <col min="12" max="12" width="10.140625" customWidth="1"/>
    <col min="13" max="13" width="10" customWidth="1"/>
    <col min="14" max="14" width="10.140625" customWidth="1"/>
  </cols>
  <sheetData>
    <row r="1" spans="1:17" x14ac:dyDescent="0.25">
      <c r="A1" s="27" t="s">
        <v>442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</row>
    <row r="2" spans="1:17" x14ac:dyDescent="0.25">
      <c r="A2" s="27" t="s">
        <v>443</v>
      </c>
      <c r="B2" s="27" t="s">
        <v>82</v>
      </c>
      <c r="C2" s="27"/>
      <c r="D2" s="27"/>
      <c r="E2" s="27"/>
      <c r="F2" s="27" t="s">
        <v>77</v>
      </c>
      <c r="G2" s="27"/>
      <c r="H2" s="27"/>
      <c r="I2" s="27"/>
      <c r="J2" s="27" t="s">
        <v>444</v>
      </c>
      <c r="K2" s="27"/>
      <c r="L2" s="27"/>
      <c r="M2" s="27"/>
      <c r="N2" s="27" t="s">
        <v>31</v>
      </c>
      <c r="O2" s="27"/>
      <c r="P2" s="27"/>
      <c r="Q2" s="27"/>
    </row>
    <row r="3" spans="1:17" x14ac:dyDescent="0.25">
      <c r="A3" s="27"/>
      <c r="B3" t="s">
        <v>445</v>
      </c>
      <c r="C3" t="s">
        <v>446</v>
      </c>
      <c r="D3" t="s">
        <v>179</v>
      </c>
      <c r="E3" t="s">
        <v>180</v>
      </c>
      <c r="F3" t="s">
        <v>445</v>
      </c>
      <c r="G3" t="s">
        <v>446</v>
      </c>
      <c r="H3" t="s">
        <v>407</v>
      </c>
      <c r="I3" t="s">
        <v>408</v>
      </c>
      <c r="J3" t="s">
        <v>445</v>
      </c>
      <c r="K3" t="s">
        <v>446</v>
      </c>
      <c r="L3" t="s">
        <v>407</v>
      </c>
      <c r="M3" t="s">
        <v>408</v>
      </c>
      <c r="N3" t="s">
        <v>445</v>
      </c>
      <c r="O3" t="s">
        <v>446</v>
      </c>
      <c r="P3" t="s">
        <v>407</v>
      </c>
      <c r="Q3" t="s">
        <v>408</v>
      </c>
    </row>
    <row r="4" spans="1:17" x14ac:dyDescent="0.25">
      <c r="A4" t="s">
        <v>447</v>
      </c>
      <c r="B4">
        <v>96</v>
      </c>
      <c r="C4" t="s">
        <v>441</v>
      </c>
      <c r="D4">
        <v>14</v>
      </c>
      <c r="E4">
        <v>1</v>
      </c>
      <c r="F4">
        <v>230</v>
      </c>
      <c r="G4">
        <v>12069</v>
      </c>
      <c r="H4">
        <v>101</v>
      </c>
      <c r="I4">
        <v>7</v>
      </c>
      <c r="J4">
        <v>8229</v>
      </c>
      <c r="K4">
        <v>947317</v>
      </c>
      <c r="L4">
        <v>4803</v>
      </c>
      <c r="M4">
        <v>281</v>
      </c>
      <c r="N4">
        <v>267</v>
      </c>
      <c r="O4">
        <v>13619</v>
      </c>
      <c r="P4">
        <v>205</v>
      </c>
      <c r="Q4">
        <v>20</v>
      </c>
    </row>
    <row r="5" spans="1:17" x14ac:dyDescent="0.25">
      <c r="A5" t="s">
        <v>448</v>
      </c>
      <c r="B5">
        <v>149</v>
      </c>
      <c r="C5" t="s">
        <v>441</v>
      </c>
      <c r="D5">
        <v>62</v>
      </c>
      <c r="E5">
        <v>2</v>
      </c>
      <c r="F5">
        <v>446</v>
      </c>
      <c r="G5">
        <v>25526</v>
      </c>
      <c r="H5">
        <v>394</v>
      </c>
      <c r="I5">
        <v>14</v>
      </c>
      <c r="J5">
        <v>15077</v>
      </c>
      <c r="K5">
        <v>1328053</v>
      </c>
      <c r="L5">
        <v>17291</v>
      </c>
      <c r="M5">
        <v>555</v>
      </c>
      <c r="N5">
        <v>630</v>
      </c>
      <c r="O5">
        <v>30316</v>
      </c>
      <c r="P5">
        <v>671</v>
      </c>
      <c r="Q5">
        <v>28</v>
      </c>
    </row>
    <row r="6" spans="1:17" x14ac:dyDescent="0.25">
      <c r="A6" t="s">
        <v>449</v>
      </c>
      <c r="B6">
        <v>213</v>
      </c>
      <c r="C6">
        <v>3521</v>
      </c>
      <c r="D6">
        <v>96</v>
      </c>
      <c r="E6">
        <v>5</v>
      </c>
      <c r="F6">
        <v>448</v>
      </c>
      <c r="G6">
        <v>31909</v>
      </c>
      <c r="H6">
        <v>938</v>
      </c>
      <c r="I6">
        <v>33</v>
      </c>
      <c r="J6">
        <v>16579</v>
      </c>
      <c r="K6">
        <v>1538839</v>
      </c>
      <c r="L6">
        <v>39515</v>
      </c>
      <c r="M6">
        <v>1517</v>
      </c>
      <c r="N6">
        <v>818</v>
      </c>
      <c r="O6">
        <v>31884</v>
      </c>
      <c r="P6">
        <v>1586</v>
      </c>
      <c r="Q6">
        <v>65</v>
      </c>
    </row>
    <row r="7" spans="1:17" x14ac:dyDescent="0.25">
      <c r="A7" t="s">
        <v>450</v>
      </c>
      <c r="B7">
        <v>371</v>
      </c>
      <c r="C7">
        <v>3114</v>
      </c>
      <c r="D7">
        <v>173</v>
      </c>
      <c r="E7">
        <v>7</v>
      </c>
      <c r="F7">
        <v>823</v>
      </c>
      <c r="G7">
        <v>33740</v>
      </c>
      <c r="H7">
        <v>1949</v>
      </c>
      <c r="I7">
        <v>73</v>
      </c>
      <c r="J7">
        <v>23797</v>
      </c>
      <c r="K7">
        <v>1597081</v>
      </c>
      <c r="L7">
        <v>87005</v>
      </c>
      <c r="M7">
        <v>3493</v>
      </c>
      <c r="N7">
        <v>956</v>
      </c>
      <c r="O7">
        <v>34859</v>
      </c>
      <c r="P7">
        <v>3300</v>
      </c>
      <c r="Q7">
        <v>158</v>
      </c>
    </row>
    <row r="8" spans="1:17" x14ac:dyDescent="0.25">
      <c r="A8" t="s">
        <v>451</v>
      </c>
      <c r="B8">
        <v>500</v>
      </c>
      <c r="C8">
        <v>3005</v>
      </c>
      <c r="D8">
        <v>200</v>
      </c>
      <c r="E8">
        <v>13</v>
      </c>
      <c r="F8">
        <v>1128</v>
      </c>
      <c r="G8">
        <v>33287</v>
      </c>
      <c r="H8">
        <v>3089</v>
      </c>
      <c r="I8">
        <v>149</v>
      </c>
      <c r="J8">
        <v>25466</v>
      </c>
      <c r="K8">
        <v>1504839</v>
      </c>
      <c r="L8">
        <v>145726</v>
      </c>
      <c r="M8">
        <v>7639</v>
      </c>
      <c r="N8">
        <v>1493</v>
      </c>
      <c r="O8">
        <v>35479</v>
      </c>
      <c r="P8">
        <v>4494</v>
      </c>
      <c r="Q8">
        <v>271</v>
      </c>
    </row>
    <row r="9" spans="1:17" x14ac:dyDescent="0.25">
      <c r="A9" t="s">
        <v>452</v>
      </c>
      <c r="B9">
        <v>541</v>
      </c>
      <c r="C9">
        <v>3133</v>
      </c>
      <c r="D9">
        <v>222</v>
      </c>
      <c r="E9">
        <v>19</v>
      </c>
      <c r="F9">
        <v>1420</v>
      </c>
      <c r="G9">
        <v>33345</v>
      </c>
      <c r="H9">
        <v>4698</v>
      </c>
      <c r="I9">
        <v>211</v>
      </c>
      <c r="J9">
        <v>39920</v>
      </c>
      <c r="K9">
        <v>1367089</v>
      </c>
      <c r="L9">
        <v>234927</v>
      </c>
      <c r="M9">
        <v>10888</v>
      </c>
      <c r="N9">
        <v>1835</v>
      </c>
      <c r="O9">
        <v>35578</v>
      </c>
      <c r="P9">
        <v>6116</v>
      </c>
      <c r="Q9">
        <v>468</v>
      </c>
    </row>
    <row r="10" spans="1:17" x14ac:dyDescent="0.25">
      <c r="A10" t="s">
        <v>453</v>
      </c>
      <c r="B10">
        <v>689</v>
      </c>
      <c r="C10">
        <v>2294</v>
      </c>
      <c r="D10">
        <v>278</v>
      </c>
      <c r="E10">
        <v>28</v>
      </c>
      <c r="F10">
        <v>1557</v>
      </c>
      <c r="G10">
        <v>31062</v>
      </c>
      <c r="H10">
        <v>5730</v>
      </c>
      <c r="I10">
        <v>266</v>
      </c>
      <c r="J10">
        <v>56165</v>
      </c>
      <c r="K10">
        <v>1315531</v>
      </c>
      <c r="L10">
        <v>297775</v>
      </c>
      <c r="M10">
        <v>14020</v>
      </c>
      <c r="N10">
        <v>2398</v>
      </c>
      <c r="O10">
        <v>35080</v>
      </c>
      <c r="P10">
        <v>7416</v>
      </c>
      <c r="Q10">
        <v>617</v>
      </c>
    </row>
    <row r="11" spans="1:17" x14ac:dyDescent="0.25">
      <c r="A11" t="s">
        <v>454</v>
      </c>
      <c r="B11">
        <v>551</v>
      </c>
      <c r="C11">
        <v>4282</v>
      </c>
      <c r="D11">
        <v>304</v>
      </c>
      <c r="E11">
        <v>33</v>
      </c>
      <c r="F11">
        <v>1864</v>
      </c>
      <c r="G11">
        <v>30946</v>
      </c>
      <c r="H11">
        <v>6262</v>
      </c>
      <c r="I11">
        <v>364</v>
      </c>
      <c r="J11">
        <v>55760</v>
      </c>
      <c r="K11">
        <v>1294227</v>
      </c>
      <c r="L11">
        <v>327049</v>
      </c>
      <c r="M11">
        <v>18799</v>
      </c>
      <c r="N11">
        <v>2625</v>
      </c>
      <c r="O11">
        <v>36754</v>
      </c>
      <c r="P11">
        <v>8967</v>
      </c>
      <c r="Q11">
        <v>858</v>
      </c>
    </row>
    <row r="12" spans="1:17" x14ac:dyDescent="0.25">
      <c r="A12" t="s">
        <v>455</v>
      </c>
      <c r="B12">
        <v>560</v>
      </c>
      <c r="C12">
        <v>4780</v>
      </c>
      <c r="D12">
        <v>337</v>
      </c>
      <c r="E12">
        <v>40</v>
      </c>
      <c r="F12">
        <v>2059</v>
      </c>
      <c r="G12">
        <v>30890</v>
      </c>
      <c r="H12">
        <v>6538</v>
      </c>
      <c r="I12">
        <v>497</v>
      </c>
      <c r="J12">
        <v>59679</v>
      </c>
      <c r="K12">
        <v>1279053</v>
      </c>
      <c r="L12">
        <v>326403</v>
      </c>
      <c r="M12">
        <v>26176</v>
      </c>
      <c r="N12">
        <v>3017</v>
      </c>
      <c r="O12">
        <v>37292</v>
      </c>
      <c r="P12">
        <v>10866</v>
      </c>
      <c r="Q12">
        <v>1064</v>
      </c>
    </row>
    <row r="13" spans="1:17" x14ac:dyDescent="0.25">
      <c r="A13" t="s">
        <v>456</v>
      </c>
      <c r="B13">
        <v>679</v>
      </c>
      <c r="C13">
        <v>4730</v>
      </c>
      <c r="D13">
        <v>373</v>
      </c>
      <c r="E13">
        <v>49</v>
      </c>
      <c r="F13">
        <v>2195</v>
      </c>
      <c r="G13">
        <v>31384</v>
      </c>
      <c r="H13">
        <v>6265</v>
      </c>
      <c r="I13">
        <v>650</v>
      </c>
      <c r="J13">
        <v>61349</v>
      </c>
      <c r="K13">
        <v>1313689</v>
      </c>
      <c r="L13">
        <v>289064</v>
      </c>
      <c r="M13">
        <v>35125</v>
      </c>
      <c r="N13">
        <v>3209</v>
      </c>
      <c r="O13">
        <v>36930</v>
      </c>
      <c r="P13">
        <v>11702</v>
      </c>
      <c r="Q13">
        <v>1403</v>
      </c>
    </row>
    <row r="14" spans="1:17" x14ac:dyDescent="0.25">
      <c r="A14" t="s">
        <v>457</v>
      </c>
      <c r="B14">
        <v>416</v>
      </c>
      <c r="C14">
        <v>4773</v>
      </c>
      <c r="D14">
        <v>394</v>
      </c>
      <c r="E14">
        <v>61</v>
      </c>
      <c r="F14">
        <v>2181</v>
      </c>
      <c r="G14">
        <v>31553</v>
      </c>
      <c r="H14">
        <v>5602</v>
      </c>
      <c r="I14">
        <v>817</v>
      </c>
      <c r="J14">
        <v>56017</v>
      </c>
      <c r="K14">
        <v>1276957</v>
      </c>
      <c r="L14">
        <v>244842</v>
      </c>
      <c r="M14">
        <v>43561</v>
      </c>
      <c r="N14">
        <v>3383</v>
      </c>
      <c r="O14">
        <v>41261</v>
      </c>
      <c r="P14">
        <v>12702</v>
      </c>
      <c r="Q14">
        <v>1766</v>
      </c>
    </row>
    <row r="15" spans="1:17" x14ac:dyDescent="0.25">
      <c r="A15" t="s">
        <v>458</v>
      </c>
      <c r="B15">
        <v>397</v>
      </c>
      <c r="C15">
        <v>4665</v>
      </c>
      <c r="D15">
        <v>397</v>
      </c>
      <c r="E15">
        <v>66</v>
      </c>
      <c r="F15">
        <v>1789</v>
      </c>
      <c r="G15">
        <v>32858</v>
      </c>
      <c r="H15">
        <v>5064</v>
      </c>
      <c r="I15">
        <v>919</v>
      </c>
      <c r="J15">
        <v>51421</v>
      </c>
      <c r="K15">
        <v>1322143</v>
      </c>
      <c r="L15">
        <v>201496</v>
      </c>
      <c r="M15">
        <v>47562</v>
      </c>
      <c r="N15">
        <v>2959</v>
      </c>
      <c r="O15">
        <v>40014</v>
      </c>
      <c r="P15">
        <v>14351</v>
      </c>
      <c r="Q15">
        <v>2057</v>
      </c>
    </row>
    <row r="16" spans="1:17" x14ac:dyDescent="0.25">
      <c r="A16" t="s">
        <v>459</v>
      </c>
      <c r="B16">
        <v>221</v>
      </c>
      <c r="C16">
        <v>4555</v>
      </c>
      <c r="D16">
        <v>407</v>
      </c>
      <c r="E16">
        <v>80</v>
      </c>
      <c r="F16">
        <v>1714</v>
      </c>
      <c r="G16">
        <v>33142</v>
      </c>
      <c r="H16">
        <v>4848</v>
      </c>
      <c r="I16">
        <v>1084</v>
      </c>
      <c r="J16">
        <v>48207</v>
      </c>
      <c r="K16">
        <v>1371694</v>
      </c>
      <c r="L16">
        <v>183025</v>
      </c>
      <c r="M16">
        <v>53857</v>
      </c>
      <c r="N16">
        <v>2736</v>
      </c>
      <c r="O16">
        <v>40631</v>
      </c>
      <c r="P16">
        <v>14668</v>
      </c>
      <c r="Q16">
        <v>3149</v>
      </c>
    </row>
    <row r="17" spans="1:17" x14ac:dyDescent="0.25">
      <c r="A17" t="s">
        <v>460</v>
      </c>
      <c r="B17">
        <v>220</v>
      </c>
      <c r="C17">
        <v>4539</v>
      </c>
      <c r="D17">
        <v>358</v>
      </c>
      <c r="E17">
        <v>82</v>
      </c>
      <c r="F17">
        <v>1712</v>
      </c>
      <c r="G17">
        <v>35025</v>
      </c>
      <c r="H17">
        <v>4844</v>
      </c>
      <c r="I17">
        <v>1216</v>
      </c>
      <c r="J17">
        <v>50976</v>
      </c>
      <c r="K17">
        <v>1468958</v>
      </c>
      <c r="L17">
        <v>183793</v>
      </c>
      <c r="M17">
        <v>55570</v>
      </c>
      <c r="N17">
        <v>2920</v>
      </c>
      <c r="O17">
        <v>42405</v>
      </c>
      <c r="P17">
        <v>13107</v>
      </c>
      <c r="Q17">
        <v>6439</v>
      </c>
    </row>
    <row r="18" spans="1:17" x14ac:dyDescent="0.25">
      <c r="A18" t="s">
        <v>461</v>
      </c>
      <c r="B18">
        <v>203</v>
      </c>
      <c r="C18">
        <v>4693</v>
      </c>
      <c r="D18">
        <v>354</v>
      </c>
      <c r="E18">
        <v>89</v>
      </c>
      <c r="F18">
        <v>1700</v>
      </c>
      <c r="G18">
        <v>36798</v>
      </c>
      <c r="H18">
        <v>5402</v>
      </c>
      <c r="I18">
        <v>1350</v>
      </c>
      <c r="J18">
        <v>53080</v>
      </c>
      <c r="K18">
        <v>1621685</v>
      </c>
      <c r="L18">
        <v>224273</v>
      </c>
      <c r="M18">
        <v>61506</v>
      </c>
      <c r="N18">
        <v>2682</v>
      </c>
      <c r="O18">
        <v>44454</v>
      </c>
      <c r="P18">
        <v>13621</v>
      </c>
      <c r="Q18">
        <v>7645</v>
      </c>
    </row>
    <row r="19" spans="1:17" x14ac:dyDescent="0.25">
      <c r="A19" t="s">
        <v>462</v>
      </c>
      <c r="B19">
        <v>184</v>
      </c>
      <c r="C19">
        <v>4744</v>
      </c>
      <c r="D19">
        <v>363</v>
      </c>
      <c r="E19">
        <v>90</v>
      </c>
      <c r="F19">
        <v>1586</v>
      </c>
      <c r="G19">
        <v>39159</v>
      </c>
      <c r="H19">
        <v>6001</v>
      </c>
      <c r="I19">
        <v>1244</v>
      </c>
      <c r="J19">
        <v>49591</v>
      </c>
      <c r="K19">
        <v>1703316</v>
      </c>
      <c r="L19">
        <v>246198</v>
      </c>
      <c r="M19">
        <v>51357</v>
      </c>
      <c r="N19">
        <v>2628</v>
      </c>
      <c r="O19">
        <v>44985</v>
      </c>
      <c r="P19">
        <v>12179</v>
      </c>
      <c r="Q19">
        <v>8784</v>
      </c>
    </row>
    <row r="20" spans="1:17" x14ac:dyDescent="0.25">
      <c r="A20" t="s">
        <v>463</v>
      </c>
      <c r="B20">
        <v>188</v>
      </c>
      <c r="C20">
        <v>4845</v>
      </c>
      <c r="D20">
        <v>350</v>
      </c>
      <c r="E20">
        <v>92</v>
      </c>
      <c r="F20">
        <v>1516</v>
      </c>
      <c r="G20">
        <v>40691</v>
      </c>
      <c r="H20">
        <v>5851</v>
      </c>
      <c r="I20">
        <v>1561</v>
      </c>
      <c r="J20">
        <v>48721</v>
      </c>
      <c r="K20">
        <v>1805631</v>
      </c>
      <c r="L20">
        <v>235155</v>
      </c>
      <c r="M20">
        <v>52920</v>
      </c>
      <c r="N20">
        <v>2519</v>
      </c>
      <c r="O20">
        <v>45753</v>
      </c>
      <c r="P20">
        <v>11315</v>
      </c>
      <c r="Q20">
        <v>8806</v>
      </c>
    </row>
    <row r="21" spans="1:17" x14ac:dyDescent="0.25">
      <c r="A21" t="s">
        <v>464</v>
      </c>
      <c r="B21">
        <v>812</v>
      </c>
      <c r="C21">
        <v>4899</v>
      </c>
      <c r="D21">
        <v>351</v>
      </c>
      <c r="E21">
        <v>106</v>
      </c>
      <c r="F21">
        <v>1438</v>
      </c>
      <c r="G21">
        <v>43469</v>
      </c>
      <c r="H21">
        <v>6304</v>
      </c>
      <c r="I21">
        <v>1370</v>
      </c>
      <c r="J21">
        <v>44814</v>
      </c>
      <c r="K21">
        <v>1918985</v>
      </c>
      <c r="L21">
        <v>265895</v>
      </c>
      <c r="M21">
        <v>61671</v>
      </c>
      <c r="N21">
        <v>2071</v>
      </c>
      <c r="O21">
        <v>47147</v>
      </c>
      <c r="P21">
        <v>17459</v>
      </c>
      <c r="Q21">
        <v>3246</v>
      </c>
    </row>
    <row r="22" spans="1:17" x14ac:dyDescent="0.25">
      <c r="A22" t="s">
        <v>465</v>
      </c>
      <c r="B22">
        <v>793</v>
      </c>
      <c r="C22">
        <v>5026</v>
      </c>
      <c r="D22">
        <v>350</v>
      </c>
      <c r="E22">
        <v>125</v>
      </c>
      <c r="F22">
        <v>1393</v>
      </c>
      <c r="G22">
        <v>45443</v>
      </c>
      <c r="H22">
        <v>5926</v>
      </c>
      <c r="I22">
        <v>1653</v>
      </c>
      <c r="J22">
        <v>43358</v>
      </c>
      <c r="K22">
        <v>2011772</v>
      </c>
      <c r="L22">
        <v>229102</v>
      </c>
      <c r="M22">
        <v>73849</v>
      </c>
      <c r="N22">
        <v>1971</v>
      </c>
      <c r="O22">
        <v>48460</v>
      </c>
      <c r="P22">
        <v>17399</v>
      </c>
      <c r="Q22">
        <v>3825</v>
      </c>
    </row>
    <row r="23" spans="1:17" x14ac:dyDescent="0.25">
      <c r="A23" t="s">
        <v>466</v>
      </c>
      <c r="B23">
        <v>806</v>
      </c>
      <c r="C23">
        <v>5156</v>
      </c>
      <c r="D23">
        <v>355</v>
      </c>
      <c r="E23">
        <v>132</v>
      </c>
      <c r="F23">
        <v>1414</v>
      </c>
      <c r="G23">
        <v>48370</v>
      </c>
      <c r="H23">
        <v>5903</v>
      </c>
      <c r="I23">
        <v>1860</v>
      </c>
      <c r="J23">
        <v>45068</v>
      </c>
      <c r="K23">
        <v>2094000</v>
      </c>
      <c r="L23">
        <v>226057</v>
      </c>
      <c r="M23">
        <v>82110</v>
      </c>
      <c r="N23">
        <v>1983</v>
      </c>
      <c r="O23">
        <v>49400</v>
      </c>
      <c r="P23">
        <v>17582</v>
      </c>
      <c r="Q23">
        <v>4561</v>
      </c>
    </row>
    <row r="24" spans="1:17" x14ac:dyDescent="0.25">
      <c r="A24" t="s">
        <v>467</v>
      </c>
      <c r="B24">
        <v>874</v>
      </c>
      <c r="C24">
        <v>5274</v>
      </c>
      <c r="D24">
        <v>363</v>
      </c>
      <c r="E24">
        <v>140</v>
      </c>
      <c r="F24">
        <v>1523</v>
      </c>
      <c r="G24">
        <v>50960</v>
      </c>
      <c r="H24">
        <v>5951</v>
      </c>
      <c r="I24">
        <v>2262</v>
      </c>
      <c r="J24">
        <v>50597</v>
      </c>
      <c r="K24">
        <v>2211738</v>
      </c>
      <c r="L24">
        <v>233278</v>
      </c>
      <c r="M24">
        <v>108213</v>
      </c>
      <c r="N24">
        <v>2125</v>
      </c>
      <c r="O24">
        <v>50188</v>
      </c>
      <c r="P24">
        <v>18033</v>
      </c>
      <c r="Q24">
        <v>5083</v>
      </c>
    </row>
    <row r="25" spans="1:17" x14ac:dyDescent="0.25">
      <c r="A25" t="s">
        <v>468</v>
      </c>
      <c r="B25">
        <v>915</v>
      </c>
      <c r="C25">
        <v>5468</v>
      </c>
      <c r="D25">
        <v>367</v>
      </c>
      <c r="E25">
        <v>151</v>
      </c>
      <c r="F25">
        <v>1605</v>
      </c>
      <c r="G25">
        <v>55448</v>
      </c>
      <c r="H25">
        <v>6860</v>
      </c>
      <c r="I25">
        <v>2299</v>
      </c>
      <c r="J25">
        <v>55798</v>
      </c>
      <c r="K25">
        <v>2408109</v>
      </c>
      <c r="L25">
        <v>283578</v>
      </c>
      <c r="M25">
        <v>105086</v>
      </c>
      <c r="N25">
        <v>2181</v>
      </c>
      <c r="O25">
        <v>52168</v>
      </c>
      <c r="P25">
        <v>18952</v>
      </c>
      <c r="Q25">
        <v>5000</v>
      </c>
    </row>
    <row r="26" spans="1:17" x14ac:dyDescent="0.25">
      <c r="A26" t="s">
        <v>469</v>
      </c>
      <c r="B26">
        <v>1015</v>
      </c>
      <c r="C26">
        <v>5741</v>
      </c>
      <c r="D26">
        <v>379</v>
      </c>
      <c r="E26">
        <v>163</v>
      </c>
      <c r="F26">
        <v>1772</v>
      </c>
      <c r="G26">
        <v>60698</v>
      </c>
      <c r="H26">
        <v>7795</v>
      </c>
      <c r="I26">
        <v>2443</v>
      </c>
      <c r="J26">
        <v>63747</v>
      </c>
      <c r="K26">
        <v>2705453</v>
      </c>
      <c r="L26">
        <v>351635</v>
      </c>
      <c r="M26">
        <v>113404</v>
      </c>
      <c r="N26">
        <v>2346</v>
      </c>
      <c r="O26">
        <v>54519</v>
      </c>
      <c r="P26">
        <v>19650</v>
      </c>
      <c r="Q26">
        <v>5234</v>
      </c>
    </row>
    <row r="27" spans="1:17" x14ac:dyDescent="0.25">
      <c r="A27" t="s">
        <v>470</v>
      </c>
      <c r="B27">
        <v>1145</v>
      </c>
      <c r="C27">
        <v>5915</v>
      </c>
      <c r="D27">
        <v>411</v>
      </c>
      <c r="E27">
        <v>183</v>
      </c>
      <c r="F27">
        <v>2041</v>
      </c>
      <c r="G27">
        <v>59897</v>
      </c>
      <c r="H27">
        <v>8799</v>
      </c>
      <c r="I27">
        <v>2721</v>
      </c>
      <c r="J27">
        <v>64727</v>
      </c>
      <c r="K27">
        <v>2747411</v>
      </c>
      <c r="L27">
        <v>415703</v>
      </c>
      <c r="M27">
        <v>128182</v>
      </c>
      <c r="N27">
        <v>2538</v>
      </c>
      <c r="O27">
        <v>57077</v>
      </c>
      <c r="P27">
        <v>19841</v>
      </c>
      <c r="Q27">
        <v>6070</v>
      </c>
    </row>
    <row r="28" spans="1:17" x14ac:dyDescent="0.25">
      <c r="A28" t="s">
        <v>471</v>
      </c>
      <c r="B28">
        <v>1238</v>
      </c>
      <c r="C28">
        <v>6063</v>
      </c>
      <c r="D28">
        <v>486</v>
      </c>
      <c r="E28">
        <v>212</v>
      </c>
      <c r="F28">
        <v>2205</v>
      </c>
      <c r="G28">
        <v>60985</v>
      </c>
      <c r="H28">
        <v>9566</v>
      </c>
      <c r="I28">
        <v>3165</v>
      </c>
      <c r="J28">
        <v>72224</v>
      </c>
      <c r="K28">
        <v>2747080</v>
      </c>
      <c r="L28">
        <v>459986</v>
      </c>
      <c r="M28">
        <v>153758</v>
      </c>
      <c r="N28">
        <v>2697</v>
      </c>
      <c r="O28">
        <v>59271</v>
      </c>
      <c r="P28">
        <v>21307</v>
      </c>
      <c r="Q28">
        <v>6341</v>
      </c>
    </row>
    <row r="29" spans="1:17" x14ac:dyDescent="0.25">
      <c r="A29" t="s">
        <v>472</v>
      </c>
      <c r="B29">
        <v>1345</v>
      </c>
      <c r="C29">
        <v>6180</v>
      </c>
      <c r="D29">
        <v>578</v>
      </c>
      <c r="E29">
        <v>232</v>
      </c>
      <c r="F29">
        <v>2316</v>
      </c>
      <c r="G29">
        <v>61648</v>
      </c>
      <c r="H29">
        <v>10744</v>
      </c>
      <c r="I29">
        <v>3513</v>
      </c>
      <c r="J29">
        <v>72214</v>
      </c>
      <c r="K29">
        <v>2682129</v>
      </c>
      <c r="L29">
        <v>528940</v>
      </c>
      <c r="M29">
        <v>177129</v>
      </c>
      <c r="N29">
        <v>2833</v>
      </c>
      <c r="O29">
        <v>60841</v>
      </c>
      <c r="P29">
        <v>21985</v>
      </c>
      <c r="Q29">
        <v>6829</v>
      </c>
    </row>
    <row r="30" spans="1:17" x14ac:dyDescent="0.25">
      <c r="A30" t="s">
        <v>473</v>
      </c>
      <c r="B30">
        <v>1429</v>
      </c>
      <c r="C30">
        <v>6277</v>
      </c>
      <c r="D30">
        <v>670</v>
      </c>
      <c r="E30">
        <v>252</v>
      </c>
      <c r="F30">
        <v>2413</v>
      </c>
      <c r="G30">
        <v>61901</v>
      </c>
      <c r="H30">
        <v>11783</v>
      </c>
      <c r="I30">
        <v>3996</v>
      </c>
      <c r="J30">
        <v>75669</v>
      </c>
      <c r="K30">
        <v>2558467</v>
      </c>
      <c r="L30">
        <v>588333</v>
      </c>
      <c r="M30">
        <v>204925</v>
      </c>
      <c r="N30">
        <v>2882</v>
      </c>
      <c r="O30">
        <v>61657</v>
      </c>
      <c r="P30">
        <v>21729</v>
      </c>
      <c r="Q30">
        <v>7981</v>
      </c>
    </row>
    <row r="31" spans="1:17" x14ac:dyDescent="0.25">
      <c r="A31" t="s">
        <v>474</v>
      </c>
      <c r="B31">
        <v>1524</v>
      </c>
      <c r="C31">
        <v>6365</v>
      </c>
      <c r="D31">
        <v>846</v>
      </c>
      <c r="E31">
        <v>283</v>
      </c>
      <c r="F31">
        <v>2548</v>
      </c>
      <c r="G31">
        <v>61249</v>
      </c>
      <c r="H31">
        <v>12633</v>
      </c>
      <c r="I31">
        <v>4303</v>
      </c>
      <c r="J31">
        <v>77899</v>
      </c>
      <c r="K31">
        <v>2461135</v>
      </c>
      <c r="L31">
        <v>626005</v>
      </c>
      <c r="M31">
        <v>222271</v>
      </c>
      <c r="N31">
        <v>2978</v>
      </c>
      <c r="O31">
        <v>59889</v>
      </c>
      <c r="P31">
        <v>24052</v>
      </c>
      <c r="Q31">
        <v>7722</v>
      </c>
    </row>
    <row r="32" spans="1:17" x14ac:dyDescent="0.25">
      <c r="A32" t="s">
        <v>475</v>
      </c>
      <c r="B32">
        <v>1634</v>
      </c>
      <c r="C32">
        <v>6476</v>
      </c>
      <c r="D32">
        <v>1006</v>
      </c>
      <c r="E32">
        <v>315</v>
      </c>
      <c r="F32">
        <v>2678</v>
      </c>
      <c r="G32">
        <v>60384</v>
      </c>
      <c r="H32">
        <v>13300</v>
      </c>
      <c r="I32">
        <v>4968</v>
      </c>
      <c r="J32">
        <v>79585</v>
      </c>
      <c r="K32">
        <v>2311107</v>
      </c>
      <c r="L32">
        <v>637629</v>
      </c>
      <c r="M32">
        <v>260965</v>
      </c>
      <c r="N32">
        <v>3130</v>
      </c>
      <c r="O32">
        <v>58776</v>
      </c>
      <c r="P32">
        <v>27240</v>
      </c>
      <c r="Q32">
        <v>7857</v>
      </c>
    </row>
    <row r="33" spans="1:17" x14ac:dyDescent="0.25">
      <c r="A33" t="s">
        <v>476</v>
      </c>
      <c r="B33">
        <v>1798</v>
      </c>
      <c r="C33">
        <v>6565</v>
      </c>
      <c r="D33">
        <v>1122</v>
      </c>
      <c r="E33">
        <v>349</v>
      </c>
      <c r="F33">
        <v>2916</v>
      </c>
      <c r="G33">
        <v>60227</v>
      </c>
      <c r="H33">
        <v>13281</v>
      </c>
      <c r="I33">
        <v>5604</v>
      </c>
      <c r="J33">
        <v>90036</v>
      </c>
      <c r="K33">
        <v>2262834</v>
      </c>
      <c r="L33">
        <v>605707</v>
      </c>
      <c r="M33">
        <v>292423</v>
      </c>
      <c r="N33">
        <v>3247</v>
      </c>
      <c r="O33">
        <v>56978</v>
      </c>
      <c r="P33">
        <v>27784</v>
      </c>
      <c r="Q33">
        <v>10681</v>
      </c>
    </row>
    <row r="34" spans="1:17" x14ac:dyDescent="0.25">
      <c r="A34" t="s">
        <v>477</v>
      </c>
      <c r="B34">
        <v>1895</v>
      </c>
      <c r="C34">
        <v>6665</v>
      </c>
      <c r="D34">
        <v>1172</v>
      </c>
      <c r="E34">
        <v>383</v>
      </c>
      <c r="F34">
        <v>3111</v>
      </c>
      <c r="G34">
        <v>58062</v>
      </c>
      <c r="H34">
        <v>13024</v>
      </c>
      <c r="I34">
        <v>6311</v>
      </c>
      <c r="J34">
        <v>99130</v>
      </c>
      <c r="K34">
        <v>2240651</v>
      </c>
      <c r="L34">
        <v>585115</v>
      </c>
      <c r="M34">
        <v>323583</v>
      </c>
      <c r="N34">
        <v>3353</v>
      </c>
      <c r="O34">
        <v>56670</v>
      </c>
      <c r="P34">
        <v>28252</v>
      </c>
      <c r="Q34">
        <v>11680</v>
      </c>
    </row>
    <row r="35" spans="1:17" x14ac:dyDescent="0.25">
      <c r="A35" t="s">
        <v>478</v>
      </c>
      <c r="B35">
        <v>2092</v>
      </c>
      <c r="C35">
        <v>6767</v>
      </c>
      <c r="D35">
        <v>1189</v>
      </c>
      <c r="E35">
        <v>407</v>
      </c>
      <c r="F35">
        <v>3343</v>
      </c>
      <c r="G35">
        <v>57697</v>
      </c>
      <c r="H35">
        <v>12504</v>
      </c>
      <c r="I35">
        <v>6786</v>
      </c>
      <c r="J35">
        <v>103315</v>
      </c>
      <c r="K35">
        <v>2191192</v>
      </c>
      <c r="L35">
        <v>560868</v>
      </c>
      <c r="M35">
        <v>334734</v>
      </c>
      <c r="N35">
        <v>3711</v>
      </c>
      <c r="O35">
        <v>56339</v>
      </c>
      <c r="P35">
        <v>30012</v>
      </c>
      <c r="Q35">
        <v>11686</v>
      </c>
    </row>
    <row r="36" spans="1:17" x14ac:dyDescent="0.25">
      <c r="A36" t="s">
        <v>479</v>
      </c>
      <c r="B36">
        <v>2575</v>
      </c>
      <c r="C36">
        <v>6849</v>
      </c>
      <c r="D36">
        <v>1196</v>
      </c>
      <c r="E36">
        <v>426</v>
      </c>
      <c r="F36">
        <v>4006</v>
      </c>
      <c r="G36">
        <v>58594</v>
      </c>
      <c r="H36">
        <v>12251</v>
      </c>
      <c r="I36">
        <v>6750</v>
      </c>
      <c r="J36">
        <v>121306</v>
      </c>
      <c r="K36">
        <v>2142464</v>
      </c>
      <c r="L36">
        <v>541147</v>
      </c>
      <c r="M36">
        <v>318165</v>
      </c>
      <c r="N36">
        <v>4032</v>
      </c>
      <c r="O36">
        <v>56344</v>
      </c>
      <c r="P36">
        <v>31698</v>
      </c>
      <c r="Q36">
        <v>11706</v>
      </c>
    </row>
    <row r="37" spans="1:17" x14ac:dyDescent="0.25">
      <c r="A37" t="s">
        <v>480</v>
      </c>
      <c r="B37">
        <v>2813</v>
      </c>
      <c r="C37">
        <v>6910</v>
      </c>
      <c r="D37">
        <v>1214</v>
      </c>
      <c r="E37">
        <v>433</v>
      </c>
      <c r="F37">
        <v>4248</v>
      </c>
      <c r="G37">
        <v>58837</v>
      </c>
      <c r="H37">
        <v>12184</v>
      </c>
      <c r="I37">
        <v>6361</v>
      </c>
      <c r="J37">
        <v>128257</v>
      </c>
      <c r="K37">
        <v>2173384</v>
      </c>
      <c r="L37">
        <v>534710</v>
      </c>
      <c r="M37">
        <v>288789</v>
      </c>
      <c r="N37">
        <v>4309</v>
      </c>
      <c r="O37">
        <v>56108</v>
      </c>
      <c r="P37">
        <v>31815</v>
      </c>
      <c r="Q37">
        <v>12880</v>
      </c>
    </row>
    <row r="38" spans="1:17" x14ac:dyDescent="0.25">
      <c r="A38" t="s">
        <v>481</v>
      </c>
      <c r="B38">
        <v>3184</v>
      </c>
      <c r="C38">
        <v>6993</v>
      </c>
      <c r="D38">
        <v>1244</v>
      </c>
      <c r="E38">
        <v>444</v>
      </c>
      <c r="F38">
        <v>4929</v>
      </c>
      <c r="G38">
        <v>59454</v>
      </c>
      <c r="H38">
        <v>12281</v>
      </c>
      <c r="I38">
        <v>6031</v>
      </c>
      <c r="J38">
        <v>157288</v>
      </c>
      <c r="K38">
        <v>2073811</v>
      </c>
      <c r="L38">
        <v>538626</v>
      </c>
      <c r="M38">
        <v>266293</v>
      </c>
      <c r="N38">
        <v>4717</v>
      </c>
      <c r="O38">
        <v>55958</v>
      </c>
      <c r="P38">
        <v>32616</v>
      </c>
      <c r="Q38">
        <v>13330</v>
      </c>
    </row>
    <row r="39" spans="1:17" x14ac:dyDescent="0.25">
      <c r="A39" t="s">
        <v>482</v>
      </c>
      <c r="B39">
        <v>3443</v>
      </c>
      <c r="C39">
        <v>7051</v>
      </c>
      <c r="D39">
        <v>1249</v>
      </c>
      <c r="E39">
        <v>455</v>
      </c>
      <c r="F39">
        <v>5261</v>
      </c>
      <c r="G39">
        <v>59654</v>
      </c>
      <c r="H39">
        <v>12390</v>
      </c>
      <c r="I39">
        <v>5933</v>
      </c>
      <c r="J39">
        <v>163468</v>
      </c>
      <c r="K39">
        <v>2012175</v>
      </c>
      <c r="L39">
        <v>546864</v>
      </c>
      <c r="M39">
        <v>262072</v>
      </c>
      <c r="N39">
        <v>5027</v>
      </c>
      <c r="O39">
        <v>55788</v>
      </c>
      <c r="P39">
        <v>32525</v>
      </c>
      <c r="Q39">
        <v>14055</v>
      </c>
    </row>
    <row r="40" spans="1:17" x14ac:dyDescent="0.25">
      <c r="A40" t="s">
        <v>483</v>
      </c>
      <c r="B40">
        <v>3706</v>
      </c>
      <c r="C40">
        <v>7085</v>
      </c>
      <c r="D40">
        <v>1251</v>
      </c>
      <c r="E40">
        <v>463</v>
      </c>
      <c r="F40">
        <v>5974</v>
      </c>
      <c r="G40">
        <v>60224</v>
      </c>
      <c r="H40">
        <v>12590</v>
      </c>
      <c r="I40">
        <v>6020</v>
      </c>
      <c r="J40">
        <v>173893</v>
      </c>
      <c r="K40">
        <v>2010673</v>
      </c>
      <c r="L40">
        <v>558621</v>
      </c>
      <c r="M40">
        <v>266449</v>
      </c>
      <c r="N40">
        <v>4722</v>
      </c>
      <c r="O40">
        <v>56421</v>
      </c>
      <c r="P40">
        <v>33164</v>
      </c>
      <c r="Q40">
        <v>14434</v>
      </c>
    </row>
    <row r="41" spans="1:17" x14ac:dyDescent="0.25">
      <c r="A41" t="s">
        <v>484</v>
      </c>
      <c r="B41">
        <v>4014</v>
      </c>
      <c r="C41">
        <v>7144</v>
      </c>
      <c r="D41">
        <v>1245</v>
      </c>
      <c r="E41">
        <v>486</v>
      </c>
      <c r="F41">
        <v>6403</v>
      </c>
      <c r="G41">
        <v>61255</v>
      </c>
      <c r="H41">
        <v>12838</v>
      </c>
      <c r="I41">
        <v>6217</v>
      </c>
      <c r="J41">
        <v>190148</v>
      </c>
      <c r="K41">
        <v>2022061</v>
      </c>
      <c r="L41">
        <v>585971</v>
      </c>
      <c r="M41">
        <v>279480</v>
      </c>
      <c r="N41">
        <v>5084</v>
      </c>
      <c r="O41">
        <v>57844</v>
      </c>
      <c r="P41">
        <v>33763</v>
      </c>
      <c r="Q41">
        <v>14457</v>
      </c>
    </row>
    <row r="42" spans="1:17" x14ac:dyDescent="0.25">
      <c r="A42" t="s">
        <v>485</v>
      </c>
      <c r="B42">
        <v>4176</v>
      </c>
      <c r="C42">
        <v>7189</v>
      </c>
      <c r="D42">
        <v>1237</v>
      </c>
      <c r="E42">
        <v>510</v>
      </c>
      <c r="F42">
        <v>6825</v>
      </c>
      <c r="G42">
        <v>61635</v>
      </c>
      <c r="H42">
        <v>13215</v>
      </c>
      <c r="I42">
        <v>6684</v>
      </c>
      <c r="J42">
        <v>205492</v>
      </c>
      <c r="K42">
        <v>2028694</v>
      </c>
      <c r="L42">
        <v>605067</v>
      </c>
      <c r="M42">
        <v>303871</v>
      </c>
      <c r="N42">
        <v>5398</v>
      </c>
      <c r="O42">
        <v>57915</v>
      </c>
      <c r="P42">
        <v>33171</v>
      </c>
      <c r="Q42">
        <v>15172</v>
      </c>
    </row>
    <row r="43" spans="1:17" x14ac:dyDescent="0.25">
      <c r="A43" t="s">
        <v>486</v>
      </c>
      <c r="B43">
        <v>4301</v>
      </c>
      <c r="C43">
        <v>7228</v>
      </c>
      <c r="D43">
        <v>1246</v>
      </c>
      <c r="E43">
        <v>525</v>
      </c>
      <c r="F43">
        <v>7122</v>
      </c>
      <c r="G43">
        <v>62208</v>
      </c>
      <c r="H43">
        <v>13388</v>
      </c>
      <c r="I43">
        <v>7179</v>
      </c>
      <c r="J43">
        <v>217509</v>
      </c>
      <c r="K43">
        <v>2040257</v>
      </c>
      <c r="L43">
        <v>610261</v>
      </c>
      <c r="M43">
        <v>321145</v>
      </c>
      <c r="N43">
        <v>5559</v>
      </c>
      <c r="O43">
        <v>57811</v>
      </c>
      <c r="P43">
        <v>33638</v>
      </c>
      <c r="Q43">
        <v>15761</v>
      </c>
    </row>
    <row r="44" spans="1:17" x14ac:dyDescent="0.25">
      <c r="A44" t="s">
        <v>487</v>
      </c>
      <c r="B44">
        <v>4409</v>
      </c>
      <c r="C44">
        <v>7282</v>
      </c>
      <c r="D44">
        <v>1247</v>
      </c>
      <c r="E44">
        <v>544</v>
      </c>
      <c r="F44">
        <v>7761</v>
      </c>
      <c r="G44">
        <v>62402</v>
      </c>
      <c r="H44">
        <v>13690</v>
      </c>
      <c r="I44">
        <v>7406</v>
      </c>
      <c r="J44">
        <v>233132</v>
      </c>
      <c r="K44">
        <v>2023473</v>
      </c>
      <c r="L44">
        <v>618968</v>
      </c>
      <c r="M44">
        <v>334712</v>
      </c>
      <c r="N44">
        <v>5678</v>
      </c>
      <c r="O44">
        <v>57347</v>
      </c>
      <c r="P44">
        <v>32620</v>
      </c>
      <c r="Q44">
        <v>17442</v>
      </c>
    </row>
  </sheetData>
  <mergeCells count="6">
    <mergeCell ref="A1:Q1"/>
    <mergeCell ref="F2:I2"/>
    <mergeCell ref="A2:A3"/>
    <mergeCell ref="J2:M2"/>
    <mergeCell ref="B2:E2"/>
    <mergeCell ref="N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📋 Index</vt:lpstr>
      <vt:lpstr>National Summary - Schools, Cla</vt:lpstr>
      <vt:lpstr>Schools, Classes &amp; Staff by Pro</vt:lpstr>
      <vt:lpstr>All Lycees by Province</vt:lpstr>
      <vt:lpstr>Colleges by Province</vt:lpstr>
      <vt:lpstr>Lycees (Gr 10-12 only) by Provi</vt:lpstr>
      <vt:lpstr>Pre-Schools by Province</vt:lpstr>
      <vt:lpstr>Primary Schools by Province</vt:lpstr>
      <vt:lpstr>Secondary Schools by Province</vt:lpstr>
      <vt:lpstr>Classes by Grade &amp; Education Le</vt:lpstr>
      <vt:lpstr>Cluster Schools &amp; Schools in Pa</vt:lpstr>
      <vt:lpstr>School Characteristics &amp; Princi</vt:lpstr>
      <vt:lpstr>Schools by Highest Grade Taught</vt:lpstr>
      <vt:lpstr>Enrollment &amp; Repeaters by Grade</vt:lpstr>
      <vt:lpstr>Enrollment by Level 2019-2020</vt:lpstr>
      <vt:lpstr>New Intake &amp; Enrollment by Age </vt:lpstr>
      <vt:lpstr>New Intake &amp; Enrollment by Ag 1</vt:lpstr>
      <vt:lpstr>Pre-School Enrollment by Age (3</vt:lpstr>
      <vt:lpstr>Pre-School Enrollment by Step</vt:lpstr>
      <vt:lpstr>Provincial &amp; District Education</vt:lpstr>
      <vt:lpstr>School Staff - Special Function</vt:lpstr>
      <vt:lpstr>School Staff by Education Level</vt:lpstr>
      <vt:lpstr>Teaching Staff - Pedagogical Tr</vt:lpstr>
      <vt:lpstr>Classroom Conditions &amp; Office-L</vt:lpstr>
      <vt:lpstr>Community Participation &amp; Finan</vt:lpstr>
      <vt:lpstr>School Building Conditions</vt:lpstr>
      <vt:lpstr>School Space &amp; Sports Facilitie</vt:lpstr>
      <vt:lpstr>Access &amp; Enrollment Ratios for </vt:lpstr>
      <vt:lpstr>Access &amp; Equity Indicators - by</vt:lpstr>
      <vt:lpstr>Enrollment Indicators - by Prov</vt:lpstr>
      <vt:lpstr>Gross &amp; Net Enrollment Ratios -</vt:lpstr>
      <vt:lpstr>Indicators on Primary Schools -</vt:lpstr>
      <vt:lpstr>Indicators on Schools - Nationa</vt:lpstr>
      <vt:lpstr>Indicators on Schools - by Prov</vt:lpstr>
      <vt:lpstr>Indicators on Secondary Schools</vt:lpstr>
      <vt:lpstr>Primary Student &amp; Staff Indicat</vt:lpstr>
      <vt:lpstr>School-Going Age Population &amp; S</vt:lpstr>
      <vt:lpstr>Secondary Student &amp; Staff Indic</vt:lpstr>
      <vt:lpstr>Student &amp; Staff Indicators - Na</vt:lpstr>
      <vt:lpstr>Student &amp; Staff Indicators - by</vt:lpstr>
      <vt:lpstr>Flow Rates &amp; Graduates by Level</vt:lpstr>
      <vt:lpstr>Flow Rates &amp; Graduates by Lev 1</vt:lpstr>
      <vt:lpstr>Flow Rates &amp; Graduates by Lev 2</vt:lpstr>
      <vt:lpstr>Student Flow Rates (Both) 2018-</vt:lpstr>
      <vt:lpstr>Student Flow Rates (Male) 2018-</vt:lpstr>
      <vt:lpstr>Student Flow Rates by Grade 201</vt:lpstr>
      <vt:lpstr>Survival &amp; Completion Rates 201</vt:lpstr>
      <vt:lpstr>Gender Parity Index 2019-2020</vt:lpstr>
      <vt:lpstr>Appendix - Historical Data 1979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ASUS_PC</cp:lastModifiedBy>
  <dcterms:created xsi:type="dcterms:W3CDTF">2026-03-11T06:53:38Z</dcterms:created>
  <dcterms:modified xsi:type="dcterms:W3CDTF">2026-03-25T14:27:51Z</dcterms:modified>
</cp:coreProperties>
</file>