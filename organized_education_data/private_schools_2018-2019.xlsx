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National Summary - Schools, Cla" sheetId="2" state="visible" r:id="rId2"/>
    <sheet xmlns:r="http://schemas.openxmlformats.org/officeDocument/2006/relationships" name="Schools, Classes &amp; Staff by Pro" sheetId="3" state="visible" r:id="rId3"/>
    <sheet xmlns:r="http://schemas.openxmlformats.org/officeDocument/2006/relationships" name="Colleges by Province" sheetId="4" state="visible" r:id="rId4"/>
    <sheet xmlns:r="http://schemas.openxmlformats.org/officeDocument/2006/relationships" name="Lycees by Province" sheetId="5" state="visible" r:id="rId5"/>
    <sheet xmlns:r="http://schemas.openxmlformats.org/officeDocument/2006/relationships" name="Pre-Schools by Province" sheetId="6" state="visible" r:id="rId6"/>
    <sheet xmlns:r="http://schemas.openxmlformats.org/officeDocument/2006/relationships" name="Primary Schools by Province" sheetId="7" state="visible" r:id="rId7"/>
    <sheet xmlns:r="http://schemas.openxmlformats.org/officeDocument/2006/relationships" name="Secondary Schools by Province" sheetId="8" state="visible" r:id="rId8"/>
    <sheet xmlns:r="http://schemas.openxmlformats.org/officeDocument/2006/relationships" name="School Characteristics &amp; Princi" sheetId="9" state="visible" r:id="rId9"/>
    <sheet xmlns:r="http://schemas.openxmlformats.org/officeDocument/2006/relationships" name="Schools by Highest Grade Taught" sheetId="10" state="visible" r:id="rId10"/>
    <sheet xmlns:r="http://schemas.openxmlformats.org/officeDocument/2006/relationships" name="Enrollment &amp; Repeaters by Grade" sheetId="11" state="visible" r:id="rId11"/>
    <sheet xmlns:r="http://schemas.openxmlformats.org/officeDocument/2006/relationships" name="Enrollment by Level 2017-2018" sheetId="12" state="visible" r:id="rId12"/>
    <sheet xmlns:r="http://schemas.openxmlformats.org/officeDocument/2006/relationships" name="Enrollment by Level 2018-2019" sheetId="13" state="visible" r:id="rId13"/>
    <sheet xmlns:r="http://schemas.openxmlformats.org/officeDocument/2006/relationships" name="New Intake &amp; Enrollment by Age " sheetId="14" state="visible" r:id="rId14"/>
    <sheet xmlns:r="http://schemas.openxmlformats.org/officeDocument/2006/relationships" name="New Intake &amp; Enrollment by Ag 1" sheetId="15" state="visible" r:id="rId15"/>
    <sheet xmlns:r="http://schemas.openxmlformats.org/officeDocument/2006/relationships" name="Pre-School Enrollment Rate by A" sheetId="16" state="visible" r:id="rId16"/>
    <sheet xmlns:r="http://schemas.openxmlformats.org/officeDocument/2006/relationships" name="Pre-School Enrollment by Age (3" sheetId="17" state="visible" r:id="rId17"/>
    <sheet xmlns:r="http://schemas.openxmlformats.org/officeDocument/2006/relationships" name="Pre-School Enrollment by Step" sheetId="18" state="visible" r:id="rId18"/>
    <sheet xmlns:r="http://schemas.openxmlformats.org/officeDocument/2006/relationships" name="Non-Teaching Staff by Education" sheetId="19" state="visible" r:id="rId19"/>
    <sheet xmlns:r="http://schemas.openxmlformats.org/officeDocument/2006/relationships" name="Teaching Staff by Education Lev" sheetId="20" state="visible" r:id="rId20"/>
    <sheet xmlns:r="http://schemas.openxmlformats.org/officeDocument/2006/relationships" name="Learning Facilities (Computers," sheetId="21" state="visible" r:id="rId21"/>
    <sheet xmlns:r="http://schemas.openxmlformats.org/officeDocument/2006/relationships" name="School Building Conditions" sheetId="22" state="visible" r:id="rId22"/>
    <sheet xmlns:r="http://schemas.openxmlformats.org/officeDocument/2006/relationships" name="School Space &amp; Sports Facilitie" sheetId="23" state="visible" r:id="rId23"/>
    <sheet xmlns:r="http://schemas.openxmlformats.org/officeDocument/2006/relationships" name="School Fees - Pre-School (by St" sheetId="24" state="visible" r:id="rId24"/>
    <sheet xmlns:r="http://schemas.openxmlformats.org/officeDocument/2006/relationships" name="School Fees - Primary (by Grade" sheetId="25" state="visible" r:id="rId25"/>
    <sheet xmlns:r="http://schemas.openxmlformats.org/officeDocument/2006/relationships" name="School Fees - Secondary (by Gra" sheetId="26" state="visible" r:id="rId26"/>
    <sheet xmlns:r="http://schemas.openxmlformats.org/officeDocument/2006/relationships" name="Access &amp; Admission Rate Indicat" sheetId="27" state="visible" r:id="rId27"/>
    <sheet xmlns:r="http://schemas.openxmlformats.org/officeDocument/2006/relationships" name="Completion Rate 2018-2019" sheetId="28" state="visible" r:id="rId28"/>
    <sheet xmlns:r="http://schemas.openxmlformats.org/officeDocument/2006/relationships" name="Gender Parity Index 2018-201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color rgb="00888888"/>
      <sz val="9"/>
    </font>
    <font>
      <name val="Arial"/>
      <sz val="10"/>
    </font>
    <font>
      <name val="Arial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FFC000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FF66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2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2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2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2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2" fillId="14" borderId="1" applyAlignment="1" pivotButton="0" quotePrefix="0" xfId="0">
      <alignment horizontal="left" vertical="center"/>
    </xf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D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48" customWidth="1" min="3" max="3"/>
    <col width="34" customWidth="1" min="4" max="4"/>
  </cols>
  <sheetData>
    <row r="2" ht="32" customHeight="1">
      <c r="B2" s="1" t="inlineStr">
        <is>
          <t>Cambodia Education — Private Schools 2018-2019</t>
        </is>
      </c>
    </row>
    <row r="4" ht="20" customHeight="1">
      <c r="B4" s="2" t="inlineStr">
        <is>
          <t>Category</t>
        </is>
      </c>
      <c r="C4" s="2" t="inlineStr">
        <is>
          <t>Sheet Description</t>
        </is>
      </c>
      <c r="D4" s="2" t="inlineStr">
        <is>
          <t>Open Sheet →</t>
        </is>
      </c>
    </row>
    <row r="5" ht="17" customHeight="1">
      <c r="B5" s="3" t="inlineStr">
        <is>
          <t xml:space="preserve">  ▸  Overview</t>
        </is>
      </c>
      <c r="C5" s="4" t="n"/>
      <c r="D5" s="4" t="n"/>
    </row>
    <row r="6" ht="15" customHeight="1">
      <c r="B6" s="5" t="inlineStr">
        <is>
          <t>Overview</t>
        </is>
      </c>
      <c r="C6" s="6" t="inlineStr">
        <is>
          <t>National Summary - Schools, Classes &amp; Staff</t>
        </is>
      </c>
      <c r="D6" s="7">
        <f>HYPERLINK("#'National Summary - Schools, Cla'!A1","National Summary - Schools, Cla")</f>
        <v/>
      </c>
    </row>
    <row r="7" ht="15" customHeight="1">
      <c r="B7" s="8" t="inlineStr">
        <is>
          <t>Overview</t>
        </is>
      </c>
      <c r="C7" s="9" t="inlineStr">
        <is>
          <t>Schools, Classes &amp; Staff by Province</t>
        </is>
      </c>
      <c r="D7" s="10">
        <f>HYPERLINK("#'Schools, Classes &amp; Staff by Pro'!A1","Schools, Classes &amp; Staff by Pro")</f>
        <v/>
      </c>
    </row>
    <row r="8" ht="17" customHeight="1">
      <c r="B8" s="11" t="inlineStr">
        <is>
          <t xml:space="preserve">  ▸  School Types</t>
        </is>
      </c>
      <c r="C8" s="12" t="n"/>
      <c r="D8" s="12" t="n"/>
    </row>
    <row r="9" ht="15" customHeight="1">
      <c r="B9" s="8" t="inlineStr">
        <is>
          <t>School Types</t>
        </is>
      </c>
      <c r="C9" s="9" t="inlineStr">
        <is>
          <t>Colleges by Province</t>
        </is>
      </c>
      <c r="D9" s="10">
        <f>HYPERLINK("#'Colleges by Province'!A1","Colleges by Province")</f>
        <v/>
      </c>
    </row>
    <row r="10" ht="15" customHeight="1">
      <c r="B10" s="5" t="inlineStr">
        <is>
          <t>School Types</t>
        </is>
      </c>
      <c r="C10" s="6" t="inlineStr">
        <is>
          <t>Lycees by Province</t>
        </is>
      </c>
      <c r="D10" s="7">
        <f>HYPERLINK("#'Lycees by Province'!A1","Lycees by Province")</f>
        <v/>
      </c>
    </row>
    <row r="11" ht="15" customHeight="1">
      <c r="B11" s="8" t="inlineStr">
        <is>
          <t>School Types</t>
        </is>
      </c>
      <c r="C11" s="9" t="inlineStr">
        <is>
          <t>Pre-Schools by Province</t>
        </is>
      </c>
      <c r="D11" s="10">
        <f>HYPERLINK("#'Pre-Schools by Province'!A1","Pre-Schools by Province")</f>
        <v/>
      </c>
    </row>
    <row r="12" ht="15" customHeight="1">
      <c r="B12" s="5" t="inlineStr">
        <is>
          <t>School Types</t>
        </is>
      </c>
      <c r="C12" s="6" t="inlineStr">
        <is>
          <t>Primary Schools by Province</t>
        </is>
      </c>
      <c r="D12" s="7">
        <f>HYPERLINK("#'Primary Schools by Province'!A1","Primary Schools by Province")</f>
        <v/>
      </c>
    </row>
    <row r="13" ht="15" customHeight="1">
      <c r="B13" s="8" t="inlineStr">
        <is>
          <t>School Types</t>
        </is>
      </c>
      <c r="C13" s="9" t="inlineStr">
        <is>
          <t>Secondary Schools by Province</t>
        </is>
      </c>
      <c r="D13" s="10">
        <f>HYPERLINK("#'Secondary Schools by Province'!A1","Secondary Schools by Province")</f>
        <v/>
      </c>
    </row>
    <row r="14" ht="17" customHeight="1">
      <c r="B14" s="13" t="inlineStr">
        <is>
          <t xml:space="preserve">  ▸  School Info</t>
        </is>
      </c>
      <c r="C14" s="14" t="n"/>
      <c r="D14" s="14" t="n"/>
    </row>
    <row r="15" ht="15" customHeight="1">
      <c r="B15" s="8" t="inlineStr">
        <is>
          <t>School Info</t>
        </is>
      </c>
      <c r="C15" s="9" t="inlineStr">
        <is>
          <t>School Characteristics &amp; Principals</t>
        </is>
      </c>
      <c r="D15" s="10">
        <f>HYPERLINK("#'School Characteristics &amp; Princi'!A1","School Characteristics &amp; Princi")</f>
        <v/>
      </c>
    </row>
    <row r="16" ht="15" customHeight="1">
      <c r="B16" s="5" t="inlineStr">
        <is>
          <t>School Info</t>
        </is>
      </c>
      <c r="C16" s="6" t="inlineStr">
        <is>
          <t>Schools by Highest Grade Taught</t>
        </is>
      </c>
      <c r="D16" s="7">
        <f>HYPERLINK("#'Schools by Highest Grade Taught'!A1","Schools by Highest Grade Taught")</f>
        <v/>
      </c>
    </row>
    <row r="17" ht="17" customHeight="1">
      <c r="B17" s="15" t="inlineStr">
        <is>
          <t xml:space="preserve">  ▸  Enrollment</t>
        </is>
      </c>
      <c r="C17" s="16" t="n"/>
      <c r="D17" s="16" t="n"/>
    </row>
    <row r="18" ht="15" customHeight="1">
      <c r="B18" s="5" t="inlineStr">
        <is>
          <t>Enrollment</t>
        </is>
      </c>
      <c r="C18" s="6" t="inlineStr">
        <is>
          <t>Enrollment &amp; Repeaters by Grade</t>
        </is>
      </c>
      <c r="D18" s="7">
        <f>HYPERLINK("#'Enrollment &amp; Repeaters by Grade'!A1","Enrollment &amp; Repeaters by Grade")</f>
        <v/>
      </c>
    </row>
    <row r="19" ht="15" customHeight="1">
      <c r="B19" s="8" t="inlineStr">
        <is>
          <t>Enrollment</t>
        </is>
      </c>
      <c r="C19" s="9" t="inlineStr">
        <is>
          <t>Enrollment by Level 2017-2018</t>
        </is>
      </c>
      <c r="D19" s="10">
        <f>HYPERLINK("#'Enrollment by Level 2017-2018'!A1","Enrollment by Level 2017-2018")</f>
        <v/>
      </c>
    </row>
    <row r="20" ht="15" customHeight="1">
      <c r="B20" s="5" t="inlineStr">
        <is>
          <t>Enrollment</t>
        </is>
      </c>
      <c r="C20" s="6" t="inlineStr">
        <is>
          <t>Enrollment by Level 2018-2019</t>
        </is>
      </c>
      <c r="D20" s="7">
        <f>HYPERLINK("#'Enrollment by Level 2018-2019'!A1","Enrollment by Level 2018-2019")</f>
        <v/>
      </c>
    </row>
    <row r="21" ht="15" customHeight="1">
      <c r="B21" s="8" t="inlineStr">
        <is>
          <t>Enrollment</t>
        </is>
      </c>
      <c r="C21" s="9" t="inlineStr">
        <is>
          <t>New Intake &amp; Enrollment by Age (Both)</t>
        </is>
      </c>
      <c r="D21" s="10">
        <f>HYPERLINK("#'New Intake &amp; Enrollment by Age '!A1","New Intake &amp; Enrollment by Age ")</f>
        <v/>
      </c>
    </row>
    <row r="22" ht="15" customHeight="1">
      <c r="B22" s="5" t="inlineStr">
        <is>
          <t>Enrollment</t>
        </is>
      </c>
      <c r="C22" s="6" t="inlineStr">
        <is>
          <t>New Intake &amp; Enrollment by Age (Female)</t>
        </is>
      </c>
      <c r="D22" s="7">
        <f>HYPERLINK("#'New Intake &amp; Enrollment by Ag 1'!A1","New Intake &amp; Enrollment by Ag 1")</f>
        <v/>
      </c>
    </row>
    <row r="23" ht="15" customHeight="1">
      <c r="B23" s="8" t="inlineStr">
        <is>
          <t>Enrollment</t>
        </is>
      </c>
      <c r="C23" s="9" t="inlineStr">
        <is>
          <t>Pre-School Enrollment Rate by Age (3-5 yrs)</t>
        </is>
      </c>
      <c r="D23" s="10">
        <f>HYPERLINK("#'Pre-School Enrollment Rate by A'!A1","Pre-School Enrollment Rate by A")</f>
        <v/>
      </c>
    </row>
    <row r="24" ht="15" customHeight="1">
      <c r="B24" s="5" t="inlineStr">
        <is>
          <t>Enrollment</t>
        </is>
      </c>
      <c r="C24" s="6" t="inlineStr">
        <is>
          <t>Pre-School Enrollment by Age (3-5 yrs)</t>
        </is>
      </c>
      <c r="D24" s="7">
        <f>HYPERLINK("#'Pre-School Enrollment by Age (3'!A1","Pre-School Enrollment by Age (3")</f>
        <v/>
      </c>
    </row>
    <row r="25" ht="15" customHeight="1">
      <c r="B25" s="8" t="inlineStr">
        <is>
          <t>Enrollment</t>
        </is>
      </c>
      <c r="C25" s="9" t="inlineStr">
        <is>
          <t>Pre-School Enrollment by Step</t>
        </is>
      </c>
      <c r="D25" s="10">
        <f>HYPERLINK("#'Pre-School Enrollment by Step'!A1","Pre-School Enrollment by Step")</f>
        <v/>
      </c>
    </row>
    <row r="26" ht="17" customHeight="1">
      <c r="B26" s="17" t="inlineStr">
        <is>
          <t xml:space="preserve">  ▸  Staff</t>
        </is>
      </c>
      <c r="C26" s="18" t="n"/>
      <c r="D26" s="18" t="n"/>
    </row>
    <row r="27" ht="15" customHeight="1">
      <c r="B27" s="8" t="inlineStr">
        <is>
          <t>Staff</t>
        </is>
      </c>
      <c r="C27" s="9" t="inlineStr">
        <is>
          <t>Non-Teaching Staff by Education Level</t>
        </is>
      </c>
      <c r="D27" s="10">
        <f>HYPERLINK("#'Non-Teaching Staff by Education'!A1","Non-Teaching Staff by Education")</f>
        <v/>
      </c>
    </row>
    <row r="28" ht="15" customHeight="1">
      <c r="B28" s="5" t="inlineStr">
        <is>
          <t>Staff</t>
        </is>
      </c>
      <c r="C28" s="6" t="inlineStr">
        <is>
          <t>Teaching Staff by Education Level</t>
        </is>
      </c>
      <c r="D28" s="7">
        <f>HYPERLINK("#'Teaching Staff by Education Lev'!A1","Teaching Staff by Education Lev")</f>
        <v/>
      </c>
    </row>
    <row r="29" ht="17" customHeight="1">
      <c r="B29" s="19" t="inlineStr">
        <is>
          <t xml:space="preserve">  ▸  Facilities</t>
        </is>
      </c>
      <c r="C29" s="20" t="n"/>
      <c r="D29" s="20" t="n"/>
    </row>
    <row r="30" ht="15" customHeight="1">
      <c r="B30" s="5" t="inlineStr">
        <is>
          <t>Facilities</t>
        </is>
      </c>
      <c r="C30" s="6" t="inlineStr">
        <is>
          <t>Learning Facilities (Computers, Library etc.)</t>
        </is>
      </c>
      <c r="D30" s="7">
        <f>HYPERLINK("#'Learning Facilities (Computers,'!A1","Learning Facilities (Computers,")</f>
        <v/>
      </c>
    </row>
    <row r="31" ht="15" customHeight="1">
      <c r="B31" s="8" t="inlineStr">
        <is>
          <t>Facilities</t>
        </is>
      </c>
      <c r="C31" s="9" t="inlineStr">
        <is>
          <t>School Building Conditions</t>
        </is>
      </c>
      <c r="D31" s="10">
        <f>HYPERLINK("#'School Building Conditions'!A1","School Building Conditions")</f>
        <v/>
      </c>
    </row>
    <row r="32" ht="15" customHeight="1">
      <c r="B32" s="5" t="inlineStr">
        <is>
          <t>Facilities</t>
        </is>
      </c>
      <c r="C32" s="6" t="inlineStr">
        <is>
          <t>School Space &amp; Sports Facilities</t>
        </is>
      </c>
      <c r="D32" s="7">
        <f>HYPERLINK("#'School Space &amp; Sports Facilitie'!A1","School Space &amp; Sports Facilitie")</f>
        <v/>
      </c>
    </row>
    <row r="33" ht="17" customHeight="1">
      <c r="B33" s="21" t="inlineStr">
        <is>
          <t xml:space="preserve">  ▸  Fees</t>
        </is>
      </c>
      <c r="C33" s="22" t="n"/>
      <c r="D33" s="22" t="n"/>
    </row>
    <row r="34" ht="15" customHeight="1">
      <c r="B34" s="5" t="inlineStr">
        <is>
          <t>Fees</t>
        </is>
      </c>
      <c r="C34" s="6" t="inlineStr">
        <is>
          <t>School Fees - Pre-School (by Step)</t>
        </is>
      </c>
      <c r="D34" s="7">
        <f>HYPERLINK("#'School Fees - Pre-School (by St'!A1","School Fees - Pre-School (by St")</f>
        <v/>
      </c>
    </row>
    <row r="35" ht="15" customHeight="1">
      <c r="B35" s="8" t="inlineStr">
        <is>
          <t>Fees</t>
        </is>
      </c>
      <c r="C35" s="9" t="inlineStr">
        <is>
          <t>School Fees - Primary (by Grade)</t>
        </is>
      </c>
      <c r="D35" s="10">
        <f>HYPERLINK("#'School Fees - Primary (by Grade'!A1","School Fees - Primary (by Grade")</f>
        <v/>
      </c>
    </row>
    <row r="36" ht="15" customHeight="1">
      <c r="B36" s="5" t="inlineStr">
        <is>
          <t>Fees</t>
        </is>
      </c>
      <c r="C36" s="6" t="inlineStr">
        <is>
          <t>School Fees - Secondary (by Grade)</t>
        </is>
      </c>
      <c r="D36" s="7">
        <f>HYPERLINK("#'School Fees - Secondary (by Gra'!A1","School Fees - Secondary (by Gra")</f>
        <v/>
      </c>
    </row>
    <row r="37" ht="17" customHeight="1">
      <c r="B37" s="23" t="inlineStr">
        <is>
          <t xml:space="preserve">  ▸  Indicators</t>
        </is>
      </c>
      <c r="C37" s="24" t="n"/>
      <c r="D37" s="24" t="n"/>
    </row>
    <row r="38" ht="15" customHeight="1">
      <c r="B38" s="5" t="inlineStr">
        <is>
          <t>Indicators</t>
        </is>
      </c>
      <c r="C38" s="6" t="inlineStr">
        <is>
          <t>Access &amp; Admission Rate Indicators</t>
        </is>
      </c>
      <c r="D38" s="7">
        <f>HYPERLINK("#'Access &amp; Admission Rate Indicat'!A1","Access &amp; Admission Rate Indicat")</f>
        <v/>
      </c>
    </row>
    <row r="39" ht="17" customHeight="1">
      <c r="B39" s="25" t="inlineStr">
        <is>
          <t xml:space="preserve">  ▸  Student Flow</t>
        </is>
      </c>
      <c r="C39" s="26" t="n"/>
      <c r="D39" s="26" t="n"/>
    </row>
    <row r="40" ht="15" customHeight="1">
      <c r="B40" s="5" t="inlineStr">
        <is>
          <t>Student Flow</t>
        </is>
      </c>
      <c r="C40" s="6" t="inlineStr">
        <is>
          <t>Completion Rate 2018-2019</t>
        </is>
      </c>
      <c r="D40" s="7">
        <f>HYPERLINK("#'Completion Rate 2018-2019'!A1","Completion Rate 2018-2019")</f>
        <v/>
      </c>
    </row>
    <row r="41" ht="17" customHeight="1">
      <c r="B41" s="27" t="inlineStr">
        <is>
          <t xml:space="preserve">  ▸  Gender &amp; Equity</t>
        </is>
      </c>
      <c r="C41" s="28" t="n"/>
      <c r="D41" s="28" t="n"/>
    </row>
    <row r="42" ht="15" customHeight="1">
      <c r="B42" s="5" t="inlineStr">
        <is>
          <t>Gender &amp; Equity</t>
        </is>
      </c>
      <c r="C42" s="6" t="inlineStr">
        <is>
          <t>Gender Parity Index 2018-2019</t>
        </is>
      </c>
      <c r="D42" s="7">
        <f>HYPERLINK("#'Gender Parity Index 2018-2019'!A1","Gender Parity Index 2018-2019")</f>
        <v/>
      </c>
    </row>
  </sheetData>
  <mergeCells count="11">
    <mergeCell ref="B33:D33"/>
    <mergeCell ref="B5:D5"/>
    <mergeCell ref="B14:D14"/>
    <mergeCell ref="B37:D37"/>
    <mergeCell ref="B41:D41"/>
    <mergeCell ref="B8:D8"/>
    <mergeCell ref="B17:D17"/>
    <mergeCell ref="B26:D26"/>
    <mergeCell ref="B29:D29"/>
    <mergeCell ref="B39:D3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5.5" customWidth="1" min="1" max="1"/>
    <col width="8" customWidth="1" min="2" max="2"/>
    <col width="7.5" customWidth="1" min="3" max="3"/>
    <col width="6.1640625" customWidth="1" min="4" max="4"/>
    <col width="8.1640625" customWidth="1" min="5" max="5"/>
    <col width="7.5" customWidth="1" min="6" max="6"/>
    <col width="6.5" customWidth="1" min="7" max="7"/>
    <col width="6.83203125" customWidth="1" min="8" max="8"/>
    <col width="9.83203125" customWidth="1" min="9" max="9"/>
    <col width="5.83203125" customWidth="1" min="10" max="10"/>
    <col width="8.83203125" customWidth="1" min="11" max="11"/>
    <col width="9.83203125" customWidth="1" min="12" max="12"/>
    <col width="7.33203125" customWidth="1" min="13" max="13"/>
    <col width="8" customWidth="1" min="15" max="15"/>
    <col width="7.1640625" customWidth="1" min="16" max="16"/>
    <col width="8.1640625" customWidth="1" min="17" max="17"/>
    <col width="8" customWidth="1" min="18" max="18"/>
    <col width="6.83203125" customWidth="1" min="19" max="19"/>
    <col width="8.5" customWidth="1" min="20" max="20"/>
    <col width="4.83203125" customWidth="1" min="21" max="21"/>
  </cols>
  <sheetData>
    <row r="1">
      <c r="A1" t="inlineStr">
        <is>
          <t>Table 1: Schools, Classes, Students and Staff</t>
        </is>
      </c>
    </row>
    <row r="2">
      <c r="A2" t="inlineStr">
        <is>
          <t>Particulars</t>
        </is>
      </c>
      <c r="B2" t="inlineStr">
        <is>
          <t>Number of Schools</t>
        </is>
      </c>
      <c r="C2" t="inlineStr">
        <is>
          <t>Number of Classes</t>
        </is>
      </c>
      <c r="D2" t="inlineStr">
        <is>
          <t>Schools</t>
        </is>
      </c>
      <c r="K2" t="inlineStr">
        <is>
          <t>Enrollment</t>
        </is>
      </c>
      <c r="M2" t="inlineStr">
        <is>
          <t>Repeaters</t>
        </is>
      </c>
      <c r="O2" t="inlineStr">
        <is>
          <t>Teaching Staff</t>
        </is>
      </c>
      <c r="Q2" t="inlineStr">
        <is>
          <t>Non-Teaching Staff</t>
        </is>
      </c>
      <c r="S2" t="inlineStr">
        <is>
          <t>Govern. staff</t>
        </is>
      </c>
      <c r="T2" t="inlineStr">
        <is>
          <t>Foreigner Teaching Staff</t>
        </is>
      </c>
    </row>
    <row r="3">
      <c r="D3" t="inlineStr">
        <is>
          <t>Khmer</t>
        </is>
      </c>
      <c r="E3" t="inlineStr">
        <is>
          <t>Chinesse</t>
        </is>
      </c>
      <c r="F3" t="inlineStr">
        <is>
          <t>Muslim</t>
        </is>
      </c>
      <c r="G3" t="inlineStr">
        <is>
          <t>French</t>
        </is>
      </c>
      <c r="H3" t="inlineStr">
        <is>
          <t>English</t>
        </is>
      </c>
      <c r="I3" t="inlineStr">
        <is>
          <t>Vietnamese</t>
        </is>
      </c>
      <c r="J3" t="inlineStr">
        <is>
          <t>Other</t>
        </is>
      </c>
      <c r="K3" t="inlineStr">
        <is>
          <t>Total</t>
        </is>
      </c>
      <c r="L3" t="inlineStr">
        <is>
          <t>Girl</t>
        </is>
      </c>
      <c r="M3" t="inlineStr">
        <is>
          <t>Total</t>
        </is>
      </c>
      <c r="N3" t="inlineStr">
        <is>
          <t>Girl</t>
        </is>
      </c>
      <c r="O3" t="inlineStr">
        <is>
          <t>Total</t>
        </is>
      </c>
      <c r="P3" t="inlineStr">
        <is>
          <t>Female</t>
        </is>
      </c>
      <c r="Q3" t="inlineStr">
        <is>
          <t>Total</t>
        </is>
      </c>
      <c r="R3" t="inlineStr">
        <is>
          <t>Female</t>
        </is>
      </c>
    </row>
    <row r="4">
      <c r="A4" t="inlineStr">
        <is>
          <t>Whole Kingdom</t>
        </is>
      </c>
      <c r="B4" t="n">
        <v>1222</v>
      </c>
      <c r="C4" t="n">
        <v>8990</v>
      </c>
      <c r="D4" t="n">
        <v>975</v>
      </c>
      <c r="E4" t="n">
        <v>55</v>
      </c>
      <c r="F4" t="n">
        <v>28</v>
      </c>
      <c r="G4" t="n">
        <v>1</v>
      </c>
      <c r="H4" t="n">
        <v>160</v>
      </c>
      <c r="I4" t="n">
        <v>1</v>
      </c>
      <c r="J4" t="n">
        <v>2</v>
      </c>
      <c r="K4" t="n">
        <v>218357</v>
      </c>
      <c r="L4" t="n">
        <v>108580</v>
      </c>
      <c r="M4" t="n">
        <v>2986</v>
      </c>
      <c r="N4" t="n">
        <v>1183</v>
      </c>
      <c r="O4" t="n">
        <v>13496</v>
      </c>
      <c r="P4" t="n">
        <v>8143</v>
      </c>
      <c r="Q4" t="n">
        <v>5318</v>
      </c>
      <c r="R4" t="n">
        <v>3034</v>
      </c>
      <c r="S4" t="n">
        <v>5069</v>
      </c>
      <c r="T4" t="n">
        <v>1792</v>
      </c>
    </row>
    <row r="5">
      <c r="A5" t="inlineStr">
        <is>
          <t>Pre School</t>
        </is>
      </c>
      <c r="B5" t="n">
        <v>509</v>
      </c>
      <c r="C5" t="n">
        <v>2051</v>
      </c>
      <c r="D5" t="n">
        <v>373</v>
      </c>
      <c r="E5" t="n">
        <v>19</v>
      </c>
      <c r="F5" t="n">
        <v>5</v>
      </c>
      <c r="G5" t="n">
        <v>1</v>
      </c>
      <c r="H5" t="n">
        <v>110</v>
      </c>
      <c r="I5" t="n">
        <v>0</v>
      </c>
      <c r="J5" t="n">
        <v>1</v>
      </c>
      <c r="K5" t="n">
        <v>48318</v>
      </c>
      <c r="L5" t="n">
        <v>23849</v>
      </c>
      <c r="M5" t="n">
        <v>0</v>
      </c>
      <c r="N5" t="n">
        <v>0</v>
      </c>
      <c r="O5" t="n">
        <v>2740</v>
      </c>
      <c r="P5" t="n">
        <v>2338</v>
      </c>
      <c r="Q5" t="n">
        <v>1474</v>
      </c>
      <c r="R5" t="n">
        <v>954</v>
      </c>
      <c r="S5" t="n">
        <v>271</v>
      </c>
      <c r="T5" t="n">
        <v>594</v>
      </c>
    </row>
    <row r="6">
      <c r="A6" t="inlineStr">
        <is>
          <t>Primary School</t>
        </is>
      </c>
      <c r="B6" t="n">
        <v>488</v>
      </c>
      <c r="C6" t="n">
        <v>5047</v>
      </c>
      <c r="D6" t="n">
        <v>406</v>
      </c>
      <c r="E6" t="n">
        <v>26</v>
      </c>
      <c r="F6" t="n">
        <v>17</v>
      </c>
      <c r="G6" t="n">
        <v>0</v>
      </c>
      <c r="H6" t="n">
        <v>37</v>
      </c>
      <c r="I6" t="n">
        <v>1</v>
      </c>
      <c r="J6" t="n">
        <v>1</v>
      </c>
      <c r="K6" t="n">
        <v>122886</v>
      </c>
      <c r="L6" t="n">
        <v>61136</v>
      </c>
      <c r="M6" t="n">
        <v>2425</v>
      </c>
      <c r="N6" t="n">
        <v>989</v>
      </c>
      <c r="O6" t="n">
        <v>5742</v>
      </c>
      <c r="P6" t="n">
        <v>3887</v>
      </c>
      <c r="Q6" t="n">
        <v>2384</v>
      </c>
      <c r="R6" t="n">
        <v>1360</v>
      </c>
      <c r="S6" t="n">
        <v>1593</v>
      </c>
      <c r="T6" t="n">
        <v>711</v>
      </c>
    </row>
    <row r="7">
      <c r="A7" t="inlineStr">
        <is>
          <t>College (Grade7-9)</t>
        </is>
      </c>
      <c r="B7" t="n">
        <v>78</v>
      </c>
      <c r="C7" t="n">
        <v>216</v>
      </c>
      <c r="D7" t="n">
        <v>62</v>
      </c>
      <c r="E7" t="n">
        <v>10</v>
      </c>
      <c r="F7" t="n">
        <v>1</v>
      </c>
      <c r="G7" t="n">
        <v>0</v>
      </c>
      <c r="H7" t="n">
        <v>5</v>
      </c>
      <c r="I7" t="n">
        <v>0</v>
      </c>
      <c r="J7" t="n">
        <v>0</v>
      </c>
      <c r="K7" t="n">
        <v>4017</v>
      </c>
      <c r="L7" t="n">
        <v>2067</v>
      </c>
      <c r="M7" t="n">
        <v>6</v>
      </c>
      <c r="N7" t="n">
        <v>3</v>
      </c>
      <c r="O7" t="n">
        <v>687</v>
      </c>
      <c r="P7" t="n">
        <v>305</v>
      </c>
      <c r="Q7" t="n">
        <v>255</v>
      </c>
      <c r="R7" t="n">
        <v>156</v>
      </c>
      <c r="S7" t="n">
        <v>392</v>
      </c>
      <c r="T7" t="n">
        <v>202</v>
      </c>
    </row>
    <row r="8">
      <c r="A8" t="inlineStr">
        <is>
          <t>Lycee (Grade10-12)</t>
        </is>
      </c>
      <c r="B8" t="n">
        <v>2</v>
      </c>
      <c r="C8" t="n">
        <v>6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238</v>
      </c>
      <c r="L8" t="n">
        <v>146</v>
      </c>
      <c r="M8" t="n">
        <v>0</v>
      </c>
      <c r="N8" t="n">
        <v>0</v>
      </c>
      <c r="O8" t="n">
        <v>35</v>
      </c>
      <c r="P8" t="n">
        <v>10</v>
      </c>
      <c r="Q8" t="n">
        <v>7</v>
      </c>
      <c r="R8" t="n">
        <v>3</v>
      </c>
      <c r="S8" t="n">
        <v>33</v>
      </c>
      <c r="T8" t="n">
        <v>1</v>
      </c>
    </row>
    <row r="9">
      <c r="A9" t="inlineStr">
        <is>
          <t>Lycee (Grade7-12)</t>
        </is>
      </c>
      <c r="B9" t="n">
        <v>145</v>
      </c>
      <c r="C9" t="n">
        <v>1670</v>
      </c>
      <c r="D9" t="n">
        <v>132</v>
      </c>
      <c r="E9" t="n">
        <v>0</v>
      </c>
      <c r="F9" t="n">
        <v>5</v>
      </c>
      <c r="G9" t="n">
        <v>0</v>
      </c>
      <c r="H9" t="n">
        <v>8</v>
      </c>
      <c r="I9" t="n">
        <v>0</v>
      </c>
      <c r="J9" t="n">
        <v>0</v>
      </c>
      <c r="K9" t="n">
        <v>42898</v>
      </c>
      <c r="L9" t="n">
        <v>21382</v>
      </c>
      <c r="M9" t="n">
        <v>555</v>
      </c>
      <c r="N9" t="n">
        <v>191</v>
      </c>
      <c r="O9" t="n">
        <v>4292</v>
      </c>
      <c r="P9" t="n">
        <v>1603</v>
      </c>
      <c r="Q9" t="n">
        <v>1198</v>
      </c>
      <c r="R9" t="n">
        <v>561</v>
      </c>
      <c r="S9" t="n">
        <v>2780</v>
      </c>
      <c r="T9" t="n">
        <v>284</v>
      </c>
    </row>
    <row r="10">
      <c r="A10" t="inlineStr">
        <is>
          <t>Lower Secondary (Grade7-9)</t>
        </is>
      </c>
      <c r="B10" t="n">
        <v>223</v>
      </c>
      <c r="C10" t="n">
        <v>1125</v>
      </c>
      <c r="D10" t="n">
        <v>194</v>
      </c>
      <c r="E10" t="n">
        <v>10</v>
      </c>
      <c r="F10" t="n">
        <v>6</v>
      </c>
      <c r="G10" t="n">
        <v>0</v>
      </c>
      <c r="H10" t="n">
        <v>13</v>
      </c>
      <c r="I10" t="n">
        <v>0</v>
      </c>
      <c r="J10" t="n">
        <v>0</v>
      </c>
      <c r="K10" t="n">
        <v>28451</v>
      </c>
      <c r="L10" t="n">
        <v>14139</v>
      </c>
      <c r="M10" t="n">
        <v>330</v>
      </c>
      <c r="N10" t="n">
        <v>98</v>
      </c>
    </row>
    <row r="11">
      <c r="A11" t="inlineStr">
        <is>
          <t>Upper Secondary (Grade10-12)</t>
        </is>
      </c>
      <c r="B11" t="n">
        <v>147</v>
      </c>
      <c r="C11" t="n">
        <v>767</v>
      </c>
      <c r="D11" t="n">
        <v>134</v>
      </c>
      <c r="E11" t="n">
        <v>0</v>
      </c>
      <c r="F11" t="n">
        <v>5</v>
      </c>
      <c r="G11" t="n">
        <v>0</v>
      </c>
      <c r="H11" t="n">
        <v>8</v>
      </c>
      <c r="I11" t="n">
        <v>0</v>
      </c>
      <c r="J11" t="n">
        <v>0</v>
      </c>
      <c r="K11" t="n">
        <v>18702</v>
      </c>
      <c r="L11" t="n">
        <v>9456</v>
      </c>
      <c r="M11" t="n">
        <v>231</v>
      </c>
      <c r="N11" t="n">
        <v>96</v>
      </c>
    </row>
    <row r="12">
      <c r="A12" t="inlineStr">
        <is>
          <t>- Urban Area</t>
        </is>
      </c>
      <c r="B12" t="n">
        <v>994</v>
      </c>
      <c r="C12" t="n">
        <v>7722</v>
      </c>
      <c r="D12" t="n">
        <v>829</v>
      </c>
      <c r="E12" t="n">
        <v>33</v>
      </c>
      <c r="F12" t="n">
        <v>6</v>
      </c>
      <c r="G12" t="n">
        <v>1</v>
      </c>
      <c r="H12" t="n">
        <v>122</v>
      </c>
      <c r="I12" t="n">
        <v>1</v>
      </c>
      <c r="J12" t="n">
        <v>2</v>
      </c>
      <c r="K12" t="n">
        <v>182846</v>
      </c>
      <c r="L12" t="n">
        <v>90481</v>
      </c>
      <c r="M12" t="n">
        <v>2335</v>
      </c>
      <c r="N12" t="n">
        <v>924</v>
      </c>
      <c r="O12" t="n">
        <v>11549</v>
      </c>
      <c r="P12" t="n">
        <v>7049</v>
      </c>
      <c r="Q12" t="n">
        <v>4914</v>
      </c>
      <c r="R12" t="n">
        <v>2879</v>
      </c>
      <c r="S12" t="n">
        <v>4483</v>
      </c>
      <c r="T12" t="n">
        <v>1619</v>
      </c>
    </row>
    <row r="13">
      <c r="A13" t="inlineStr">
        <is>
          <t>- Rural Area</t>
        </is>
      </c>
      <c r="B13" t="n">
        <v>228</v>
      </c>
      <c r="C13" t="n">
        <v>1268</v>
      </c>
      <c r="D13" t="n">
        <v>146</v>
      </c>
      <c r="E13" t="n">
        <v>22</v>
      </c>
      <c r="F13" t="n">
        <v>22</v>
      </c>
      <c r="G13" t="n">
        <v>0</v>
      </c>
      <c r="H13" t="n">
        <v>38</v>
      </c>
      <c r="I13" t="n">
        <v>0</v>
      </c>
      <c r="J13" t="n">
        <v>0</v>
      </c>
      <c r="K13" t="n">
        <v>35511</v>
      </c>
      <c r="L13" t="n">
        <v>18099</v>
      </c>
      <c r="M13" t="n">
        <v>651</v>
      </c>
      <c r="N13" t="n">
        <v>259</v>
      </c>
      <c r="O13" t="n">
        <v>1947</v>
      </c>
      <c r="P13" t="n">
        <v>1094</v>
      </c>
      <c r="Q13" t="n">
        <v>404</v>
      </c>
      <c r="R13" t="n">
        <v>155</v>
      </c>
      <c r="S13" t="n">
        <v>586</v>
      </c>
      <c r="T13" t="n">
        <v>173</v>
      </c>
    </row>
  </sheetData>
  <mergeCells count="11">
    <mergeCell ref="O2:P2"/>
    <mergeCell ref="M2:N2"/>
    <mergeCell ref="T2:T3"/>
    <mergeCell ref="Q2:R2"/>
    <mergeCell ref="K2:L2"/>
    <mergeCell ref="B2:B3"/>
    <mergeCell ref="A2:A3"/>
    <mergeCell ref="D2:J2"/>
    <mergeCell ref="C2:C3"/>
    <mergeCell ref="A1:U1"/>
    <mergeCell ref="S2: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20" customWidth="1" min="1" max="1"/>
    <col width="10.1640625" customWidth="1" min="2" max="2"/>
    <col width="10.5" customWidth="1" min="4" max="4"/>
    <col width="9.5" customWidth="1" min="6" max="6"/>
    <col width="9.83203125" customWidth="1" min="7" max="7"/>
    <col width="9.5" customWidth="1" min="8" max="8"/>
    <col width="9.83203125" customWidth="1" min="9" max="9"/>
    <col width="9.5" customWidth="1" min="10" max="10"/>
    <col width="11.33203125" customWidth="1" min="11" max="11"/>
    <col width="11.1640625" customWidth="1" min="12" max="12"/>
    <col width="10.1640625" customWidth="1" min="13" max="13"/>
    <col width="10.5" customWidth="1" min="14" max="14"/>
    <col width="11.1640625" customWidth="1" min="15" max="15"/>
    <col width="13.5" customWidth="1" min="16" max="16"/>
  </cols>
  <sheetData>
    <row r="1">
      <c r="A1" t="inlineStr">
        <is>
          <t>Table 1: Schools, Classes, Students and Staff</t>
        </is>
      </c>
    </row>
    <row r="2">
      <c r="A2" t="inlineStr">
        <is>
          <t>Province</t>
        </is>
      </c>
      <c r="B2" t="inlineStr">
        <is>
          <t>Number of
Schools</t>
        </is>
      </c>
      <c r="C2" t="inlineStr">
        <is>
          <t>Number of
Classes</t>
        </is>
      </c>
      <c r="D2" t="inlineStr">
        <is>
          <t>Enrollment</t>
        </is>
      </c>
      <c r="F2" t="inlineStr">
        <is>
          <t>Teaching Staff</t>
        </is>
      </c>
      <c r="H2" t="inlineStr">
        <is>
          <t>Non-Teaching Staff</t>
        </is>
      </c>
      <c r="J2" t="inlineStr">
        <is>
          <t>Govern. staff</t>
        </is>
      </c>
      <c r="K2" t="inlineStr">
        <is>
          <t>Foreigner Teaching Staff</t>
        </is>
      </c>
      <c r="M2" t="inlineStr">
        <is>
          <t>Buildings</t>
        </is>
      </c>
      <c r="N2" t="inlineStr">
        <is>
          <t>Rooms</t>
        </is>
      </c>
      <c r="O2" t="inlineStr">
        <is>
          <t>Classrooms</t>
        </is>
      </c>
    </row>
    <row r="3">
      <c r="D3" t="inlineStr">
        <is>
          <t>Total</t>
        </is>
      </c>
      <c r="E3" t="inlineStr">
        <is>
          <t>Girl</t>
        </is>
      </c>
      <c r="F3" t="inlineStr">
        <is>
          <t>Total</t>
        </is>
      </c>
      <c r="G3" t="inlineStr">
        <is>
          <t>Female</t>
        </is>
      </c>
      <c r="H3" t="inlineStr">
        <is>
          <t>Total</t>
        </is>
      </c>
      <c r="I3" t="inlineStr">
        <is>
          <t>Female</t>
        </is>
      </c>
      <c r="K3" t="inlineStr">
        <is>
          <t>Total</t>
        </is>
      </c>
      <c r="L3" t="inlineStr">
        <is>
          <t>Female</t>
        </is>
      </c>
    </row>
    <row r="4">
      <c r="A4" t="inlineStr">
        <is>
          <t>Banteay Meanchey</t>
        </is>
      </c>
      <c r="B4" t="n">
        <v>121</v>
      </c>
      <c r="C4" t="n">
        <v>894</v>
      </c>
      <c r="D4" t="n">
        <v>21942</v>
      </c>
      <c r="E4" t="n">
        <v>10611</v>
      </c>
      <c r="F4" t="n">
        <v>1053</v>
      </c>
      <c r="G4" t="n">
        <v>580</v>
      </c>
      <c r="H4" t="n">
        <v>252</v>
      </c>
      <c r="I4" t="n">
        <v>113</v>
      </c>
      <c r="J4" t="n">
        <v>269</v>
      </c>
      <c r="K4" t="n">
        <v>49</v>
      </c>
      <c r="L4" t="n">
        <v>25</v>
      </c>
      <c r="M4" t="n">
        <v>132</v>
      </c>
      <c r="N4" t="n">
        <v>1382</v>
      </c>
      <c r="O4" t="n">
        <v>703</v>
      </c>
    </row>
    <row r="5">
      <c r="A5" t="inlineStr">
        <is>
          <t>Battambang</t>
        </is>
      </c>
      <c r="B5" t="n">
        <v>45</v>
      </c>
      <c r="C5" t="n">
        <v>406</v>
      </c>
      <c r="D5" t="n">
        <v>8804</v>
      </c>
      <c r="E5" t="n">
        <v>4371</v>
      </c>
      <c r="F5" t="n">
        <v>779</v>
      </c>
      <c r="G5" t="n">
        <v>488</v>
      </c>
      <c r="H5" t="n">
        <v>165</v>
      </c>
      <c r="I5" t="n">
        <v>82</v>
      </c>
      <c r="J5" t="n">
        <v>552</v>
      </c>
      <c r="K5" t="n">
        <v>38</v>
      </c>
      <c r="L5" t="n">
        <v>27</v>
      </c>
      <c r="M5" t="n">
        <v>57</v>
      </c>
      <c r="N5" t="n">
        <v>632</v>
      </c>
      <c r="O5" t="n">
        <v>361</v>
      </c>
    </row>
    <row r="6">
      <c r="A6" t="inlineStr">
        <is>
          <t>Kampong Cham</t>
        </is>
      </c>
      <c r="B6" t="n">
        <v>25</v>
      </c>
      <c r="C6" t="n">
        <v>158</v>
      </c>
      <c r="D6" t="n">
        <v>4010</v>
      </c>
      <c r="E6" t="n">
        <v>1969</v>
      </c>
      <c r="F6" t="n">
        <v>214</v>
      </c>
      <c r="G6" t="n">
        <v>130</v>
      </c>
      <c r="H6" t="n">
        <v>34</v>
      </c>
      <c r="I6" t="n">
        <v>14</v>
      </c>
      <c r="J6" t="n">
        <v>54</v>
      </c>
      <c r="K6" t="n">
        <v>7</v>
      </c>
      <c r="L6" t="n">
        <v>6</v>
      </c>
      <c r="M6" t="n">
        <v>52</v>
      </c>
      <c r="N6" t="n">
        <v>295</v>
      </c>
      <c r="O6" t="n">
        <v>140</v>
      </c>
    </row>
    <row r="7">
      <c r="A7" t="inlineStr">
        <is>
          <t>Kampong Chhnang</t>
        </is>
      </c>
      <c r="B7" t="n">
        <v>25</v>
      </c>
      <c r="C7" t="n">
        <v>190</v>
      </c>
      <c r="D7" t="n">
        <v>4505</v>
      </c>
      <c r="E7" t="n">
        <v>2055</v>
      </c>
      <c r="F7" t="n">
        <v>356</v>
      </c>
      <c r="G7" t="n">
        <v>242</v>
      </c>
      <c r="H7" t="n">
        <v>87</v>
      </c>
      <c r="I7" t="n">
        <v>46</v>
      </c>
      <c r="J7" t="n">
        <v>132</v>
      </c>
      <c r="K7" t="n">
        <v>13</v>
      </c>
      <c r="L7" t="n">
        <v>9</v>
      </c>
      <c r="M7" t="n">
        <v>51</v>
      </c>
      <c r="N7" t="n">
        <v>326</v>
      </c>
      <c r="O7" t="n">
        <v>183</v>
      </c>
    </row>
    <row r="8">
      <c r="A8" t="inlineStr">
        <is>
          <t>Kampong Speu</t>
        </is>
      </c>
      <c r="B8" t="n">
        <v>50</v>
      </c>
      <c r="C8" t="n">
        <v>328</v>
      </c>
      <c r="D8" t="n">
        <v>8134</v>
      </c>
      <c r="E8" t="n">
        <v>4179</v>
      </c>
      <c r="F8" t="n">
        <v>444</v>
      </c>
      <c r="G8" t="n">
        <v>279</v>
      </c>
      <c r="H8" t="n">
        <v>109</v>
      </c>
      <c r="I8" t="n">
        <v>41</v>
      </c>
      <c r="J8" t="n">
        <v>116</v>
      </c>
      <c r="K8" t="n">
        <v>49</v>
      </c>
      <c r="L8" t="n">
        <v>36</v>
      </c>
      <c r="M8" t="n">
        <v>67</v>
      </c>
      <c r="N8" t="n">
        <v>517</v>
      </c>
      <c r="O8" t="n">
        <v>296</v>
      </c>
    </row>
    <row r="9">
      <c r="A9" t="inlineStr">
        <is>
          <t>Kampong Thom</t>
        </is>
      </c>
      <c r="B9" t="n">
        <v>15</v>
      </c>
      <c r="C9" t="n">
        <v>58</v>
      </c>
      <c r="D9" t="n">
        <v>1699</v>
      </c>
      <c r="E9" t="n">
        <v>754</v>
      </c>
      <c r="F9" t="n">
        <v>110</v>
      </c>
      <c r="G9" t="n">
        <v>71</v>
      </c>
      <c r="H9" t="n">
        <v>34</v>
      </c>
      <c r="I9" t="n">
        <v>18</v>
      </c>
      <c r="J9" t="n">
        <v>64</v>
      </c>
      <c r="K9" t="n">
        <v>7</v>
      </c>
      <c r="L9" t="n">
        <v>7</v>
      </c>
      <c r="M9" t="n">
        <v>38</v>
      </c>
      <c r="N9" t="n">
        <v>166</v>
      </c>
      <c r="O9" t="n">
        <v>58</v>
      </c>
    </row>
    <row r="10">
      <c r="A10" t="inlineStr">
        <is>
          <t>Kampot</t>
        </is>
      </c>
      <c r="B10" t="n">
        <v>48</v>
      </c>
      <c r="C10" t="n">
        <v>296</v>
      </c>
      <c r="D10" t="n">
        <v>9588</v>
      </c>
      <c r="E10" t="n">
        <v>5022</v>
      </c>
      <c r="F10" t="n">
        <v>543</v>
      </c>
      <c r="G10" t="n">
        <v>304</v>
      </c>
      <c r="H10" t="n">
        <v>61</v>
      </c>
      <c r="I10" t="n">
        <v>32</v>
      </c>
      <c r="J10" t="n">
        <v>182</v>
      </c>
      <c r="K10" t="n">
        <v>66</v>
      </c>
      <c r="L10" t="n">
        <v>40</v>
      </c>
      <c r="M10" t="n">
        <v>69</v>
      </c>
      <c r="N10" t="n">
        <v>465</v>
      </c>
      <c r="O10" t="n">
        <v>287</v>
      </c>
    </row>
    <row r="11">
      <c r="A11" t="inlineStr">
        <is>
          <t>Kandal</t>
        </is>
      </c>
      <c r="B11" t="n">
        <v>63</v>
      </c>
      <c r="C11" t="n">
        <v>419</v>
      </c>
      <c r="D11" t="n">
        <v>10697</v>
      </c>
      <c r="E11" t="n">
        <v>5119</v>
      </c>
      <c r="F11" t="n">
        <v>694</v>
      </c>
      <c r="G11" t="n">
        <v>395</v>
      </c>
      <c r="H11" t="n">
        <v>284</v>
      </c>
      <c r="I11" t="n">
        <v>146</v>
      </c>
      <c r="J11" t="n">
        <v>353</v>
      </c>
      <c r="K11" t="n">
        <v>68</v>
      </c>
      <c r="L11" t="n">
        <v>48</v>
      </c>
      <c r="M11" t="n">
        <v>79</v>
      </c>
      <c r="N11" t="n">
        <v>1129</v>
      </c>
      <c r="O11" t="n">
        <v>362</v>
      </c>
    </row>
    <row r="12">
      <c r="A12" t="inlineStr">
        <is>
          <t>Kep</t>
        </is>
      </c>
      <c r="B12" t="n">
        <v>4</v>
      </c>
      <c r="C12" t="n">
        <v>18</v>
      </c>
      <c r="D12" t="n">
        <v>836</v>
      </c>
      <c r="E12" t="n">
        <v>446</v>
      </c>
      <c r="F12" t="n">
        <v>24</v>
      </c>
      <c r="G12" t="n">
        <v>14</v>
      </c>
      <c r="H12" t="n">
        <v>5</v>
      </c>
      <c r="I12" t="n">
        <v>4</v>
      </c>
      <c r="J12" t="n">
        <v>2</v>
      </c>
      <c r="K12" t="n">
        <v>8</v>
      </c>
      <c r="L12" t="n">
        <v>4</v>
      </c>
      <c r="M12" t="n">
        <v>8</v>
      </c>
      <c r="N12" t="n">
        <v>20</v>
      </c>
      <c r="O12" t="n">
        <v>18</v>
      </c>
    </row>
    <row r="13">
      <c r="A13" t="inlineStr">
        <is>
          <t>Koh Kong</t>
        </is>
      </c>
      <c r="B13" t="n">
        <v>18</v>
      </c>
      <c r="C13" t="n">
        <v>110</v>
      </c>
      <c r="D13" t="n">
        <v>3259</v>
      </c>
      <c r="E13" t="n">
        <v>1674</v>
      </c>
      <c r="F13" t="n">
        <v>188</v>
      </c>
      <c r="G13" t="n">
        <v>99</v>
      </c>
      <c r="H13" t="n">
        <v>24</v>
      </c>
      <c r="I13" t="n">
        <v>11</v>
      </c>
      <c r="J13" t="n">
        <v>44</v>
      </c>
      <c r="K13" t="n">
        <v>13</v>
      </c>
      <c r="L13" t="n">
        <v>11</v>
      </c>
      <c r="M13" t="n">
        <v>39</v>
      </c>
      <c r="N13" t="n">
        <v>186</v>
      </c>
      <c r="O13" t="n">
        <v>105</v>
      </c>
    </row>
    <row r="14">
      <c r="A14" t="inlineStr">
        <is>
          <t>Kratie</t>
        </is>
      </c>
      <c r="B14" t="n">
        <v>8</v>
      </c>
      <c r="C14" t="n">
        <v>44</v>
      </c>
      <c r="D14" t="n">
        <v>1499</v>
      </c>
      <c r="E14" t="n">
        <v>880</v>
      </c>
      <c r="F14" t="n">
        <v>14</v>
      </c>
      <c r="G14" t="n">
        <v>13</v>
      </c>
      <c r="H14" t="n">
        <v>15</v>
      </c>
      <c r="I14" t="n">
        <v>4</v>
      </c>
      <c r="J14" t="n">
        <v>8</v>
      </c>
      <c r="K14" t="n">
        <v>15</v>
      </c>
      <c r="L14" t="n">
        <v>8</v>
      </c>
      <c r="M14" t="n">
        <v>3</v>
      </c>
      <c r="N14" t="n">
        <v>9</v>
      </c>
      <c r="O14" t="n">
        <v>44</v>
      </c>
    </row>
    <row r="15">
      <c r="A15" t="inlineStr">
        <is>
          <t>Mondul Kiri</t>
        </is>
      </c>
      <c r="B15" t="n">
        <v>5</v>
      </c>
      <c r="C15" t="n">
        <v>17</v>
      </c>
      <c r="D15" t="n">
        <v>345</v>
      </c>
      <c r="E15" t="n">
        <v>140</v>
      </c>
      <c r="F15" t="n">
        <v>20</v>
      </c>
      <c r="G15" t="n">
        <v>17</v>
      </c>
      <c r="H15" t="n">
        <v>16</v>
      </c>
      <c r="I15" t="n">
        <v>12</v>
      </c>
      <c r="J15" t="n">
        <v>1</v>
      </c>
      <c r="K15" t="n">
        <v>3</v>
      </c>
      <c r="L15" t="n">
        <v>1</v>
      </c>
      <c r="M15" t="n">
        <v>4</v>
      </c>
      <c r="N15" t="n">
        <v>23</v>
      </c>
      <c r="O15" t="n">
        <v>17</v>
      </c>
    </row>
    <row r="16">
      <c r="A16" t="inlineStr">
        <is>
          <t>Otdar Meanchey</t>
        </is>
      </c>
      <c r="B16" t="n">
        <v>6</v>
      </c>
      <c r="C16" t="n">
        <v>45</v>
      </c>
      <c r="D16" t="n">
        <v>1473</v>
      </c>
      <c r="E16" t="n">
        <v>662</v>
      </c>
      <c r="F16" t="n">
        <v>35</v>
      </c>
      <c r="G16" t="n">
        <v>25</v>
      </c>
      <c r="H16" t="n">
        <v>5</v>
      </c>
      <c r="I16" t="n">
        <v>3</v>
      </c>
      <c r="J16" t="n">
        <v>0</v>
      </c>
      <c r="K16" t="n">
        <v>0</v>
      </c>
      <c r="L16" t="n">
        <v>0</v>
      </c>
      <c r="M16" t="n">
        <v>9</v>
      </c>
      <c r="N16" t="n">
        <v>37</v>
      </c>
      <c r="O16" t="n">
        <v>29</v>
      </c>
    </row>
    <row r="17">
      <c r="A17" t="inlineStr">
        <is>
          <t>Pailin</t>
        </is>
      </c>
      <c r="B17" t="n">
        <v>18</v>
      </c>
      <c r="C17" t="n">
        <v>105</v>
      </c>
      <c r="D17" t="n">
        <v>2245</v>
      </c>
      <c r="E17" t="n">
        <v>1098</v>
      </c>
      <c r="F17" t="n">
        <v>151</v>
      </c>
      <c r="G17" t="n">
        <v>113</v>
      </c>
      <c r="H17" t="n">
        <v>45</v>
      </c>
      <c r="I17" t="n">
        <v>16</v>
      </c>
      <c r="J17" t="n">
        <v>24</v>
      </c>
      <c r="K17" t="n">
        <v>3</v>
      </c>
      <c r="L17" t="n">
        <v>1</v>
      </c>
      <c r="M17" t="n">
        <v>36</v>
      </c>
      <c r="N17" t="n">
        <v>234</v>
      </c>
      <c r="O17" t="n">
        <v>93</v>
      </c>
    </row>
    <row r="18">
      <c r="A18" t="inlineStr">
        <is>
          <t>Phnom Penh</t>
        </is>
      </c>
      <c r="B18" t="n">
        <v>530</v>
      </c>
      <c r="C18" t="n">
        <v>4385</v>
      </c>
      <c r="D18" t="n">
        <v>101287</v>
      </c>
      <c r="E18" t="n">
        <v>50777</v>
      </c>
      <c r="F18" t="n">
        <v>6488</v>
      </c>
      <c r="G18" t="n">
        <v>3910</v>
      </c>
      <c r="H18" t="n">
        <v>3562</v>
      </c>
      <c r="I18" t="n">
        <v>2108</v>
      </c>
      <c r="J18" t="n">
        <v>2334</v>
      </c>
      <c r="K18" t="n">
        <v>1111</v>
      </c>
      <c r="L18" t="n">
        <v>632</v>
      </c>
      <c r="M18" t="n">
        <v>581</v>
      </c>
      <c r="N18" t="n">
        <v>9040</v>
      </c>
      <c r="O18" t="n">
        <v>3500</v>
      </c>
    </row>
    <row r="19">
      <c r="A19" t="inlineStr">
        <is>
          <t>Preah Sihanouk</t>
        </is>
      </c>
      <c r="B19" t="n">
        <v>45</v>
      </c>
      <c r="C19" t="n">
        <v>358</v>
      </c>
      <c r="D19" t="n">
        <v>8938</v>
      </c>
      <c r="E19" t="n">
        <v>4327</v>
      </c>
      <c r="F19" t="n">
        <v>521</v>
      </c>
      <c r="G19" t="n">
        <v>274</v>
      </c>
      <c r="H19" t="n">
        <v>136</v>
      </c>
      <c r="I19" t="n">
        <v>87</v>
      </c>
      <c r="J19" t="n">
        <v>222</v>
      </c>
      <c r="K19" t="n">
        <v>86</v>
      </c>
      <c r="L19" t="n">
        <v>67</v>
      </c>
      <c r="M19" t="n">
        <v>56</v>
      </c>
      <c r="N19" t="n">
        <v>663</v>
      </c>
      <c r="O19" t="n">
        <v>314</v>
      </c>
    </row>
    <row r="20">
      <c r="A20" t="inlineStr">
        <is>
          <t>Preah Vihear</t>
        </is>
      </c>
      <c r="B20" t="n">
        <v>4</v>
      </c>
      <c r="C20" t="n">
        <v>18</v>
      </c>
      <c r="D20" t="n">
        <v>265</v>
      </c>
      <c r="E20" t="n">
        <v>123</v>
      </c>
      <c r="F20" t="n">
        <v>19</v>
      </c>
      <c r="G20" t="n">
        <v>16</v>
      </c>
      <c r="H20" t="n">
        <v>1</v>
      </c>
      <c r="I20" t="n">
        <v>1</v>
      </c>
      <c r="J20" t="n">
        <v>1</v>
      </c>
      <c r="K20" t="n">
        <v>5</v>
      </c>
      <c r="L20" t="n">
        <v>1</v>
      </c>
      <c r="M20" t="n">
        <v>4</v>
      </c>
      <c r="N20" t="n">
        <v>41</v>
      </c>
      <c r="O20" t="n">
        <v>5</v>
      </c>
    </row>
    <row r="21">
      <c r="A21" t="inlineStr">
        <is>
          <t>Prey Veng</t>
        </is>
      </c>
      <c r="B21" t="n">
        <v>7</v>
      </c>
      <c r="C21" t="n">
        <v>16</v>
      </c>
      <c r="D21" t="n">
        <v>349</v>
      </c>
      <c r="E21" t="n">
        <v>206</v>
      </c>
      <c r="F21" t="n">
        <v>42</v>
      </c>
      <c r="G21" t="n">
        <v>25</v>
      </c>
      <c r="H21" t="n">
        <v>14</v>
      </c>
      <c r="I21" t="n">
        <v>8</v>
      </c>
      <c r="J21" t="n">
        <v>20</v>
      </c>
      <c r="K21" t="n">
        <v>1</v>
      </c>
      <c r="L21" t="n">
        <v>0</v>
      </c>
      <c r="M21" t="n">
        <v>7</v>
      </c>
      <c r="N21" t="n">
        <v>31</v>
      </c>
      <c r="O21" t="n">
        <v>16</v>
      </c>
    </row>
    <row r="22">
      <c r="A22" t="inlineStr">
        <is>
          <t>Pursat</t>
        </is>
      </c>
      <c r="B22" t="n">
        <v>8</v>
      </c>
      <c r="C22" t="n">
        <v>58</v>
      </c>
      <c r="D22" t="n">
        <v>2050</v>
      </c>
      <c r="E22" t="n">
        <v>1064</v>
      </c>
      <c r="F22" t="n">
        <v>69</v>
      </c>
      <c r="G22" t="n">
        <v>68</v>
      </c>
      <c r="H22" t="n">
        <v>17</v>
      </c>
      <c r="I22" t="n">
        <v>11</v>
      </c>
      <c r="J22" t="n">
        <v>13</v>
      </c>
      <c r="K22" t="n">
        <v>0</v>
      </c>
      <c r="L22" t="n">
        <v>0</v>
      </c>
      <c r="M22" t="n">
        <v>9</v>
      </c>
      <c r="N22" t="n">
        <v>93</v>
      </c>
      <c r="O22" t="n">
        <v>55</v>
      </c>
    </row>
    <row r="23">
      <c r="A23" t="inlineStr">
        <is>
          <t>Ratanak Kiri</t>
        </is>
      </c>
      <c r="B23" t="n">
        <v>14</v>
      </c>
      <c r="C23" t="n">
        <v>134</v>
      </c>
      <c r="D23" t="n">
        <v>3473</v>
      </c>
      <c r="E23" t="n">
        <v>1431</v>
      </c>
      <c r="F23" t="n">
        <v>175</v>
      </c>
      <c r="G23" t="n">
        <v>109</v>
      </c>
      <c r="H23" t="n">
        <v>46</v>
      </c>
      <c r="I23" t="n">
        <v>25</v>
      </c>
      <c r="J23" t="n">
        <v>112</v>
      </c>
      <c r="K23" t="n">
        <v>0</v>
      </c>
      <c r="L23" t="n">
        <v>0</v>
      </c>
      <c r="M23" t="n">
        <v>39</v>
      </c>
      <c r="N23" t="n">
        <v>383</v>
      </c>
      <c r="O23" t="n">
        <v>116</v>
      </c>
    </row>
    <row r="24">
      <c r="A24" t="inlineStr">
        <is>
          <t>Siemreap</t>
        </is>
      </c>
      <c r="B24" t="n">
        <v>102</v>
      </c>
      <c r="C24" t="n">
        <v>651</v>
      </c>
      <c r="D24" t="n">
        <v>15204</v>
      </c>
      <c r="E24" t="n">
        <v>7437</v>
      </c>
      <c r="F24" t="n">
        <v>1037</v>
      </c>
      <c r="G24" t="n">
        <v>699</v>
      </c>
      <c r="H24" t="n">
        <v>267</v>
      </c>
      <c r="I24" t="n">
        <v>181</v>
      </c>
      <c r="J24" t="n">
        <v>462</v>
      </c>
      <c r="K24" t="n">
        <v>200</v>
      </c>
      <c r="L24" t="n">
        <v>143</v>
      </c>
      <c r="M24" t="n">
        <v>98</v>
      </c>
      <c r="N24" t="n">
        <v>1136</v>
      </c>
      <c r="O24" t="n">
        <v>571</v>
      </c>
    </row>
    <row r="25">
      <c r="A25" t="inlineStr">
        <is>
          <t>Stung Treng</t>
        </is>
      </c>
      <c r="B25" t="n">
        <v>4</v>
      </c>
      <c r="C25" t="n">
        <v>15</v>
      </c>
      <c r="D25" t="n">
        <v>283</v>
      </c>
      <c r="E25" t="n">
        <v>132</v>
      </c>
      <c r="F25" t="n">
        <v>17</v>
      </c>
      <c r="G25" t="n">
        <v>10</v>
      </c>
      <c r="H25" t="n">
        <v>2</v>
      </c>
      <c r="I25" t="n">
        <v>2</v>
      </c>
      <c r="J25" t="n">
        <v>0</v>
      </c>
      <c r="K25" t="n">
        <v>6</v>
      </c>
      <c r="L25" t="n">
        <v>6</v>
      </c>
      <c r="M25" t="n">
        <v>5</v>
      </c>
      <c r="N25" t="n">
        <v>16</v>
      </c>
      <c r="O25" t="n">
        <v>15</v>
      </c>
    </row>
    <row r="26">
      <c r="A26" t="inlineStr">
        <is>
          <t>Svay Rieng</t>
        </is>
      </c>
      <c r="B26" t="n">
        <v>6</v>
      </c>
      <c r="C26" t="n">
        <v>16</v>
      </c>
      <c r="D26" t="n">
        <v>304</v>
      </c>
      <c r="E26" t="n">
        <v>141</v>
      </c>
      <c r="F26" t="n">
        <v>30</v>
      </c>
      <c r="G26" t="n">
        <v>28</v>
      </c>
      <c r="H26" t="n">
        <v>4</v>
      </c>
      <c r="I26" t="n">
        <v>1</v>
      </c>
      <c r="J26" t="n">
        <v>1</v>
      </c>
      <c r="K26" t="n">
        <v>15</v>
      </c>
      <c r="L26" t="n">
        <v>15</v>
      </c>
      <c r="M26" t="n">
        <v>7</v>
      </c>
      <c r="N26" t="n">
        <v>74</v>
      </c>
      <c r="O26" t="n">
        <v>13</v>
      </c>
    </row>
    <row r="27">
      <c r="A27" t="inlineStr">
        <is>
          <t>Takeo</t>
        </is>
      </c>
      <c r="B27" t="n">
        <v>24</v>
      </c>
      <c r="C27" t="n">
        <v>119</v>
      </c>
      <c r="D27" t="n">
        <v>2860</v>
      </c>
      <c r="E27" t="n">
        <v>1336</v>
      </c>
      <c r="F27" t="n">
        <v>241</v>
      </c>
      <c r="G27" t="n">
        <v>99</v>
      </c>
      <c r="H27" t="n">
        <v>81</v>
      </c>
      <c r="I27" t="n">
        <v>44</v>
      </c>
      <c r="J27" t="n">
        <v>79</v>
      </c>
      <c r="K27" t="n">
        <v>0</v>
      </c>
      <c r="L27" t="n">
        <v>0</v>
      </c>
      <c r="M27" t="n">
        <v>39</v>
      </c>
      <c r="N27" t="n">
        <v>272</v>
      </c>
      <c r="O27" t="n">
        <v>119</v>
      </c>
    </row>
    <row r="28">
      <c r="A28" t="inlineStr">
        <is>
          <t>Tbaung Khmum</t>
        </is>
      </c>
      <c r="B28" t="n">
        <v>27</v>
      </c>
      <c r="C28" t="n">
        <v>132</v>
      </c>
      <c r="D28" t="n">
        <v>4308</v>
      </c>
      <c r="E28" t="n">
        <v>2626</v>
      </c>
      <c r="F28" t="n">
        <v>232</v>
      </c>
      <c r="G28" t="n">
        <v>135</v>
      </c>
      <c r="H28" t="n">
        <v>52</v>
      </c>
      <c r="I28" t="n">
        <v>24</v>
      </c>
      <c r="J28" t="n">
        <v>24</v>
      </c>
      <c r="K28" t="n">
        <v>29</v>
      </c>
      <c r="L28" t="n">
        <v>24</v>
      </c>
      <c r="M28" t="n">
        <v>38</v>
      </c>
      <c r="N28" t="n">
        <v>297</v>
      </c>
      <c r="O28" t="n">
        <v>122</v>
      </c>
    </row>
    <row r="29">
      <c r="A29" t="inlineStr">
        <is>
          <t>Whole Kingdom</t>
        </is>
      </c>
      <c r="B29" t="n">
        <v>1222</v>
      </c>
      <c r="C29" t="n">
        <v>8990</v>
      </c>
      <c r="D29" t="n">
        <v>218357</v>
      </c>
      <c r="E29" t="n">
        <v>108580</v>
      </c>
      <c r="F29" t="n">
        <v>13496</v>
      </c>
      <c r="G29" t="n">
        <v>8143</v>
      </c>
      <c r="H29" t="n">
        <v>5318</v>
      </c>
      <c r="I29" t="n">
        <v>3034</v>
      </c>
      <c r="J29" t="n">
        <v>5069</v>
      </c>
      <c r="K29" t="n">
        <v>1792</v>
      </c>
      <c r="L29" t="n">
        <v>1111</v>
      </c>
      <c r="M29" t="n">
        <v>1527</v>
      </c>
      <c r="N29" t="n">
        <v>17467</v>
      </c>
      <c r="O29" t="n">
        <v>7542</v>
      </c>
    </row>
    <row r="30">
      <c r="A30" t="inlineStr">
        <is>
          <t>- Urban Area</t>
        </is>
      </c>
      <c r="B30" t="n">
        <v>994</v>
      </c>
      <c r="C30" t="n">
        <v>7722</v>
      </c>
      <c r="D30" t="n">
        <v>182846</v>
      </c>
      <c r="E30" t="n">
        <v>90481</v>
      </c>
      <c r="F30" t="n">
        <v>11549</v>
      </c>
      <c r="G30" t="n">
        <v>7049</v>
      </c>
      <c r="H30" t="n">
        <v>4914</v>
      </c>
      <c r="I30" t="n">
        <v>2879</v>
      </c>
      <c r="J30" t="n">
        <v>4483</v>
      </c>
      <c r="K30" t="n">
        <v>1619</v>
      </c>
      <c r="L30" t="n">
        <v>996</v>
      </c>
      <c r="M30" t="n">
        <v>1144</v>
      </c>
      <c r="N30" t="n">
        <v>15259</v>
      </c>
      <c r="O30" t="n">
        <v>6362</v>
      </c>
    </row>
    <row r="31">
      <c r="A31" t="inlineStr">
        <is>
          <t>- Rural Area</t>
        </is>
      </c>
      <c r="B31" t="n">
        <v>228</v>
      </c>
      <c r="C31" t="n">
        <v>1268</v>
      </c>
      <c r="D31" t="n">
        <v>35511</v>
      </c>
      <c r="E31" t="n">
        <v>18099</v>
      </c>
      <c r="F31" t="n">
        <v>1947</v>
      </c>
      <c r="G31" t="n">
        <v>1094</v>
      </c>
      <c r="H31" t="n">
        <v>404</v>
      </c>
      <c r="I31" t="n">
        <v>155</v>
      </c>
      <c r="J31" t="n">
        <v>586</v>
      </c>
      <c r="K31" t="n">
        <v>173</v>
      </c>
      <c r="L31" t="n">
        <v>115</v>
      </c>
      <c r="M31" t="n">
        <v>383</v>
      </c>
      <c r="N31" t="n">
        <v>2208</v>
      </c>
      <c r="O31" t="n">
        <v>1180</v>
      </c>
    </row>
  </sheetData>
  <mergeCells count="12">
    <mergeCell ref="F2:G2"/>
    <mergeCell ref="H2:I2"/>
    <mergeCell ref="D2:E2"/>
    <mergeCell ref="A1:P1"/>
    <mergeCell ref="K2:L2"/>
    <mergeCell ref="O2:O3"/>
    <mergeCell ref="M2:M3"/>
    <mergeCell ref="B2:B3"/>
    <mergeCell ref="A2:A3"/>
    <mergeCell ref="N2:N3"/>
    <mergeCell ref="C2:C3"/>
    <mergeCell ref="J2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4.1640625" customWidth="1" min="1" max="1"/>
    <col width="10.1640625" customWidth="1" min="2" max="2"/>
    <col width="9.33203125" customWidth="1" min="4" max="4"/>
    <col width="8.83203125" customWidth="1" min="8" max="8"/>
    <col width="9.33203125" customWidth="1" min="9" max="9"/>
    <col width="11.33203125" customWidth="1" min="11" max="11"/>
    <col width="11.1640625" customWidth="1" min="12" max="12"/>
    <col width="9.83203125" customWidth="1" min="13" max="13"/>
    <col width="11.1640625" customWidth="1" min="15" max="15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Govern. staff</t>
        </is>
      </c>
      <c r="K1" t="inlineStr">
        <is>
          <t>Foreigner Teaching Staff</t>
        </is>
      </c>
      <c r="M1" t="inlineStr">
        <is>
          <t>Buildings</t>
        </is>
      </c>
      <c r="N1" t="inlineStr">
        <is>
          <t>Rooms</t>
        </is>
      </c>
      <c r="O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K2" t="inlineStr">
        <is>
          <t>Total</t>
        </is>
      </c>
      <c r="L2" t="inlineStr">
        <is>
          <t>Female</t>
        </is>
      </c>
    </row>
    <row r="3">
      <c r="A3" t="inlineStr">
        <is>
          <t>Banteay Meanchey</t>
        </is>
      </c>
      <c r="B3" t="n">
        <v>10</v>
      </c>
      <c r="C3" t="n">
        <v>29</v>
      </c>
      <c r="D3" t="n">
        <v>715</v>
      </c>
      <c r="E3" t="n">
        <v>366</v>
      </c>
      <c r="F3" t="n">
        <v>110</v>
      </c>
      <c r="G3" t="n">
        <v>46</v>
      </c>
      <c r="H3" t="n">
        <v>12</v>
      </c>
      <c r="I3" t="n">
        <v>3</v>
      </c>
      <c r="J3" t="n">
        <v>54</v>
      </c>
      <c r="K3" t="n">
        <v>14</v>
      </c>
      <c r="L3" t="n">
        <v>8</v>
      </c>
      <c r="M3" t="n">
        <v>15</v>
      </c>
      <c r="N3" t="n">
        <v>84</v>
      </c>
      <c r="O3" t="n">
        <v>29</v>
      </c>
    </row>
    <row r="4">
      <c r="A4" t="inlineStr">
        <is>
          <t>Kampong Cham</t>
        </is>
      </c>
      <c r="B4" t="n">
        <v>2</v>
      </c>
      <c r="C4" t="n">
        <v>4</v>
      </c>
      <c r="D4" t="n">
        <v>57</v>
      </c>
      <c r="E4" t="n">
        <v>23</v>
      </c>
      <c r="F4" t="n">
        <v>11</v>
      </c>
      <c r="G4" t="n">
        <v>7</v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5</v>
      </c>
      <c r="N4" t="n">
        <v>28</v>
      </c>
      <c r="O4" t="n">
        <v>4</v>
      </c>
    </row>
    <row r="5">
      <c r="A5" t="inlineStr">
        <is>
          <t>Kampong Chhnang</t>
        </is>
      </c>
      <c r="B5" t="n">
        <v>1</v>
      </c>
      <c r="C5" t="n">
        <v>3</v>
      </c>
      <c r="D5" t="n">
        <v>91</v>
      </c>
      <c r="E5" t="n">
        <v>42</v>
      </c>
      <c r="F5" t="n">
        <v>14</v>
      </c>
      <c r="G5" t="n">
        <v>3</v>
      </c>
      <c r="H5" t="n">
        <v>3</v>
      </c>
      <c r="I5" t="n">
        <v>1</v>
      </c>
      <c r="J5" t="n">
        <v>12</v>
      </c>
      <c r="K5" t="n">
        <v>1</v>
      </c>
      <c r="L5" t="n">
        <v>0</v>
      </c>
      <c r="M5" t="n">
        <v>0</v>
      </c>
      <c r="N5" t="n">
        <v>0</v>
      </c>
      <c r="O5" t="n">
        <v>3</v>
      </c>
    </row>
    <row r="6">
      <c r="A6" t="inlineStr">
        <is>
          <t>Kampong Speu</t>
        </is>
      </c>
      <c r="B6" t="n">
        <v>3</v>
      </c>
      <c r="C6" t="n">
        <v>10</v>
      </c>
      <c r="D6" t="n">
        <v>327</v>
      </c>
      <c r="E6" t="n">
        <v>170</v>
      </c>
      <c r="F6" t="n">
        <v>29</v>
      </c>
      <c r="G6" t="n">
        <v>9</v>
      </c>
      <c r="H6" t="n">
        <v>9</v>
      </c>
      <c r="I6" t="n">
        <v>6</v>
      </c>
      <c r="J6" t="n">
        <v>4</v>
      </c>
      <c r="K6" t="n">
        <v>2</v>
      </c>
      <c r="L6" t="n">
        <v>1</v>
      </c>
      <c r="M6" t="n">
        <v>7</v>
      </c>
      <c r="N6" t="n">
        <v>51</v>
      </c>
      <c r="O6" t="n">
        <v>10</v>
      </c>
    </row>
    <row r="7">
      <c r="A7" t="inlineStr">
        <is>
          <t>Kampong Thom</t>
        </is>
      </c>
      <c r="B7" t="n">
        <v>1</v>
      </c>
      <c r="C7" t="n">
        <v>2</v>
      </c>
      <c r="D7" t="n">
        <v>18</v>
      </c>
      <c r="E7" t="n">
        <v>9</v>
      </c>
      <c r="F7" t="n">
        <v>0</v>
      </c>
      <c r="G7" t="n">
        <v>0</v>
      </c>
      <c r="H7" t="n">
        <v>2</v>
      </c>
      <c r="I7" t="n">
        <v>1</v>
      </c>
      <c r="J7" t="n">
        <v>8</v>
      </c>
      <c r="K7" t="n">
        <v>0</v>
      </c>
      <c r="L7" t="n">
        <v>0</v>
      </c>
      <c r="M7" t="n">
        <v>2</v>
      </c>
      <c r="N7" t="n">
        <v>15</v>
      </c>
      <c r="O7" t="n">
        <v>2</v>
      </c>
    </row>
    <row r="8">
      <c r="A8" t="inlineStr">
        <is>
          <t>Kampot</t>
        </is>
      </c>
      <c r="B8" t="n">
        <v>6</v>
      </c>
      <c r="C8" t="n">
        <v>18</v>
      </c>
      <c r="D8" t="n">
        <v>422</v>
      </c>
      <c r="E8" t="n">
        <v>232</v>
      </c>
      <c r="F8" t="n">
        <v>52</v>
      </c>
      <c r="G8" t="n">
        <v>19</v>
      </c>
      <c r="H8" t="n">
        <v>1</v>
      </c>
      <c r="I8" t="n">
        <v>1</v>
      </c>
      <c r="J8" t="n">
        <v>30</v>
      </c>
      <c r="K8" t="n">
        <v>12</v>
      </c>
      <c r="L8" t="n">
        <v>10</v>
      </c>
      <c r="M8" t="n">
        <v>22</v>
      </c>
      <c r="N8" t="n">
        <v>107</v>
      </c>
      <c r="O8" t="n">
        <v>18</v>
      </c>
    </row>
    <row r="9">
      <c r="A9" t="inlineStr">
        <is>
          <t>Kandal</t>
        </is>
      </c>
      <c r="B9" t="n">
        <v>4</v>
      </c>
      <c r="C9" t="n">
        <v>11</v>
      </c>
      <c r="D9" t="n">
        <v>172</v>
      </c>
      <c r="E9" t="n">
        <v>84</v>
      </c>
      <c r="F9" t="n">
        <v>34</v>
      </c>
      <c r="G9" t="n">
        <v>19</v>
      </c>
      <c r="H9" t="n">
        <v>14</v>
      </c>
      <c r="I9" t="n">
        <v>8</v>
      </c>
      <c r="J9" t="n">
        <v>28</v>
      </c>
      <c r="K9" t="n">
        <v>7</v>
      </c>
      <c r="L9" t="n">
        <v>6</v>
      </c>
      <c r="M9" t="n">
        <v>5</v>
      </c>
      <c r="N9" t="n">
        <v>109</v>
      </c>
      <c r="O9" t="n">
        <v>11</v>
      </c>
    </row>
    <row r="10">
      <c r="A10" t="inlineStr">
        <is>
          <t>Koh Kong</t>
        </is>
      </c>
      <c r="B10" t="n">
        <v>2</v>
      </c>
      <c r="C10" t="n">
        <v>5</v>
      </c>
      <c r="D10" t="n">
        <v>77</v>
      </c>
      <c r="E10" t="n">
        <v>37</v>
      </c>
      <c r="F10" t="n">
        <v>19</v>
      </c>
      <c r="G10" t="n">
        <v>7</v>
      </c>
      <c r="H10" t="n">
        <v>0</v>
      </c>
      <c r="I10" t="n">
        <v>0</v>
      </c>
      <c r="J10" t="n">
        <v>0</v>
      </c>
      <c r="K10" t="n">
        <v>2</v>
      </c>
      <c r="L10" t="n">
        <v>2</v>
      </c>
      <c r="M10" t="n">
        <v>3</v>
      </c>
      <c r="N10" t="n">
        <v>18</v>
      </c>
      <c r="O10" t="n">
        <v>5</v>
      </c>
    </row>
    <row r="11">
      <c r="A11" t="inlineStr">
        <is>
          <t>Phnom Penh</t>
        </is>
      </c>
      <c r="B11" t="n">
        <v>32</v>
      </c>
      <c r="C11" t="n">
        <v>96</v>
      </c>
      <c r="D11" t="n">
        <v>1597</v>
      </c>
      <c r="E11" t="n">
        <v>835</v>
      </c>
      <c r="F11" t="n">
        <v>283</v>
      </c>
      <c r="G11" t="n">
        <v>130</v>
      </c>
      <c r="H11" t="n">
        <v>182</v>
      </c>
      <c r="I11" t="n">
        <v>118</v>
      </c>
      <c r="J11" t="n">
        <v>188</v>
      </c>
      <c r="K11" t="n">
        <v>93</v>
      </c>
      <c r="L11" t="n">
        <v>41</v>
      </c>
      <c r="M11" t="n">
        <v>35</v>
      </c>
      <c r="N11" t="n">
        <v>445</v>
      </c>
      <c r="O11" t="n">
        <v>90</v>
      </c>
    </row>
    <row r="12">
      <c r="A12" t="inlineStr">
        <is>
          <t>Preah Sihanouk</t>
        </is>
      </c>
      <c r="B12" t="n">
        <v>4</v>
      </c>
      <c r="C12" t="n">
        <v>9</v>
      </c>
      <c r="D12" t="n">
        <v>138</v>
      </c>
      <c r="E12" t="n">
        <v>71</v>
      </c>
      <c r="F12" t="n">
        <v>28</v>
      </c>
      <c r="G12" t="n">
        <v>5</v>
      </c>
      <c r="H12" t="n">
        <v>2</v>
      </c>
      <c r="I12" t="n">
        <v>1</v>
      </c>
      <c r="J12" t="n">
        <v>14</v>
      </c>
      <c r="K12" t="n">
        <v>22</v>
      </c>
      <c r="L12" t="n">
        <v>18</v>
      </c>
      <c r="M12" t="n">
        <v>5</v>
      </c>
      <c r="N12" t="n">
        <v>47</v>
      </c>
      <c r="O12" t="n">
        <v>9</v>
      </c>
    </row>
    <row r="13">
      <c r="A13" t="inlineStr">
        <is>
          <t>Ratanak Kiri</t>
        </is>
      </c>
      <c r="B13" t="n">
        <v>1</v>
      </c>
      <c r="C13" t="n">
        <v>3</v>
      </c>
      <c r="D13" t="n">
        <v>51</v>
      </c>
      <c r="E13" t="n">
        <v>16</v>
      </c>
      <c r="F13" t="n">
        <v>6</v>
      </c>
      <c r="G13" t="n">
        <v>4</v>
      </c>
      <c r="H13" t="n">
        <v>13</v>
      </c>
      <c r="I13" t="n">
        <v>5</v>
      </c>
      <c r="J13" t="n">
        <v>1</v>
      </c>
      <c r="K13" t="n">
        <v>0</v>
      </c>
      <c r="L13" t="n">
        <v>0</v>
      </c>
      <c r="M13" t="n">
        <v>2</v>
      </c>
      <c r="N13" t="n">
        <v>33</v>
      </c>
      <c r="O13" t="n">
        <v>3</v>
      </c>
    </row>
    <row r="14">
      <c r="A14" t="inlineStr">
        <is>
          <t>Siemreap</t>
        </is>
      </c>
      <c r="B14" t="n">
        <v>9</v>
      </c>
      <c r="C14" t="n">
        <v>20</v>
      </c>
      <c r="D14" t="n">
        <v>165</v>
      </c>
      <c r="E14" t="n">
        <v>80</v>
      </c>
      <c r="F14" t="n">
        <v>80</v>
      </c>
      <c r="G14" t="n">
        <v>50</v>
      </c>
      <c r="H14" t="n">
        <v>14</v>
      </c>
      <c r="I14" t="n">
        <v>11</v>
      </c>
      <c r="J14" t="n">
        <v>43</v>
      </c>
      <c r="K14" t="n">
        <v>45</v>
      </c>
      <c r="L14" t="n">
        <v>20</v>
      </c>
      <c r="M14" t="n">
        <v>5</v>
      </c>
      <c r="N14" t="n">
        <v>50</v>
      </c>
      <c r="O14" t="n">
        <v>20</v>
      </c>
    </row>
    <row r="15">
      <c r="A15" t="inlineStr">
        <is>
          <t>Tbaung Khmum</t>
        </is>
      </c>
      <c r="B15" t="n">
        <v>3</v>
      </c>
      <c r="C15" t="n">
        <v>6</v>
      </c>
      <c r="D15" t="n">
        <v>187</v>
      </c>
      <c r="E15" t="n">
        <v>102</v>
      </c>
      <c r="F15" t="n">
        <v>21</v>
      </c>
      <c r="G15" t="n">
        <v>6</v>
      </c>
      <c r="H15" t="n">
        <v>0</v>
      </c>
      <c r="I15" t="n">
        <v>0</v>
      </c>
      <c r="J15" t="n">
        <v>10</v>
      </c>
      <c r="K15" t="n">
        <v>4</v>
      </c>
      <c r="L15" t="n">
        <v>2</v>
      </c>
      <c r="M15" t="n">
        <v>4</v>
      </c>
      <c r="N15" t="n">
        <v>49</v>
      </c>
      <c r="O15" t="n">
        <v>6</v>
      </c>
    </row>
    <row r="16">
      <c r="A16" t="inlineStr">
        <is>
          <t>Whole Kingdom</t>
        </is>
      </c>
      <c r="B16" t="n">
        <v>78</v>
      </c>
      <c r="C16" t="n">
        <v>216</v>
      </c>
      <c r="D16" t="n">
        <v>4017</v>
      </c>
      <c r="E16" t="n">
        <v>2067</v>
      </c>
      <c r="F16" t="n">
        <v>687</v>
      </c>
      <c r="G16" t="n">
        <v>305</v>
      </c>
      <c r="H16" t="n">
        <v>255</v>
      </c>
      <c r="I16" t="n">
        <v>156</v>
      </c>
      <c r="J16" t="n">
        <v>392</v>
      </c>
      <c r="K16" t="n">
        <v>202</v>
      </c>
      <c r="L16" t="n">
        <v>108</v>
      </c>
      <c r="M16" t="n">
        <v>110</v>
      </c>
      <c r="N16" t="n">
        <v>1036</v>
      </c>
      <c r="O16" t="n">
        <v>210</v>
      </c>
    </row>
    <row r="17">
      <c r="A17" t="inlineStr">
        <is>
          <t>- Urban Area</t>
        </is>
      </c>
      <c r="B17" t="n">
        <v>62</v>
      </c>
      <c r="C17" t="n">
        <v>173</v>
      </c>
      <c r="D17" t="n">
        <v>2935</v>
      </c>
      <c r="E17" t="n">
        <v>1500</v>
      </c>
      <c r="F17" t="n">
        <v>562</v>
      </c>
      <c r="G17" t="n">
        <v>265</v>
      </c>
      <c r="H17" t="n">
        <v>246</v>
      </c>
      <c r="I17" t="n">
        <v>152</v>
      </c>
      <c r="J17" t="n">
        <v>329</v>
      </c>
      <c r="K17" t="n">
        <v>188</v>
      </c>
      <c r="L17" t="n">
        <v>100</v>
      </c>
      <c r="M17" t="n">
        <v>70</v>
      </c>
      <c r="N17" t="n">
        <v>798</v>
      </c>
      <c r="O17" t="n">
        <v>167</v>
      </c>
    </row>
    <row r="18">
      <c r="A18" t="inlineStr">
        <is>
          <t>- Rural Area</t>
        </is>
      </c>
      <c r="B18" t="n">
        <v>16</v>
      </c>
      <c r="C18" t="n">
        <v>43</v>
      </c>
      <c r="D18" t="n">
        <v>1082</v>
      </c>
      <c r="E18" t="n">
        <v>567</v>
      </c>
      <c r="F18" t="n">
        <v>125</v>
      </c>
      <c r="G18" t="n">
        <v>40</v>
      </c>
      <c r="H18" t="n">
        <v>9</v>
      </c>
      <c r="I18" t="n">
        <v>4</v>
      </c>
      <c r="J18" t="n">
        <v>63</v>
      </c>
      <c r="K18" t="n">
        <v>14</v>
      </c>
      <c r="L18" t="n">
        <v>8</v>
      </c>
      <c r="M18" t="n">
        <v>40</v>
      </c>
      <c r="N18" t="n">
        <v>238</v>
      </c>
      <c r="O18" t="n">
        <v>43</v>
      </c>
    </row>
  </sheetData>
  <mergeCells count="11">
    <mergeCell ref="D1:E1"/>
    <mergeCell ref="K1:L1"/>
    <mergeCell ref="H1:I1"/>
    <mergeCell ref="C1:C2"/>
    <mergeCell ref="B1:B2"/>
    <mergeCell ref="F1:G1"/>
    <mergeCell ref="M1:M2"/>
    <mergeCell ref="J1:J2"/>
    <mergeCell ref="O1:O2"/>
    <mergeCell ref="N1:N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24.1640625" customWidth="1" min="1" max="1"/>
    <col width="10.1640625" customWidth="1" min="2" max="2"/>
    <col width="9.33203125" customWidth="1" min="4" max="4"/>
    <col width="8.83203125" customWidth="1" min="8" max="8"/>
    <col width="9.33203125" customWidth="1" min="9" max="9"/>
    <col width="11.33203125" customWidth="1" min="11" max="11"/>
    <col width="11.1640625" customWidth="1" min="12" max="12"/>
    <col width="9.83203125" customWidth="1" min="13" max="13"/>
    <col width="11.1640625" customWidth="1" min="15" max="15"/>
  </cols>
  <sheetData>
    <row r="1">
      <c r="A1" t="inlineStr">
        <is>
          <t>d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Govern. staff</t>
        </is>
      </c>
      <c r="K1" t="inlineStr">
        <is>
          <t>Foreigner Teaching Staff</t>
        </is>
      </c>
      <c r="M1" t="inlineStr">
        <is>
          <t>Buildings</t>
        </is>
      </c>
      <c r="N1" t="inlineStr">
        <is>
          <t>Rooms</t>
        </is>
      </c>
      <c r="O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K2" t="inlineStr">
        <is>
          <t>Total</t>
        </is>
      </c>
      <c r="L2" t="inlineStr">
        <is>
          <t>Female</t>
        </is>
      </c>
    </row>
    <row r="3">
      <c r="A3" t="inlineStr">
        <is>
          <t>Banteay Meanchey</t>
        </is>
      </c>
      <c r="B3" t="n">
        <v>11</v>
      </c>
      <c r="C3" t="n">
        <v>132</v>
      </c>
      <c r="D3" t="n">
        <v>3502</v>
      </c>
      <c r="E3" t="n">
        <v>1713</v>
      </c>
      <c r="F3" t="n">
        <v>287</v>
      </c>
      <c r="G3" t="n">
        <v>88</v>
      </c>
      <c r="H3" t="n">
        <v>56</v>
      </c>
      <c r="I3" t="n">
        <v>16</v>
      </c>
      <c r="J3" t="n">
        <v>163</v>
      </c>
      <c r="K3" t="n">
        <v>14</v>
      </c>
      <c r="L3" t="n">
        <v>5</v>
      </c>
      <c r="M3" t="n">
        <v>18</v>
      </c>
      <c r="N3" t="n">
        <v>316</v>
      </c>
      <c r="O3" t="n">
        <v>128</v>
      </c>
    </row>
    <row r="4">
      <c r="A4" t="inlineStr">
        <is>
          <t>Battambang</t>
        </is>
      </c>
      <c r="B4" t="n">
        <v>11</v>
      </c>
      <c r="C4" t="n">
        <v>113</v>
      </c>
      <c r="D4" t="n">
        <v>3183</v>
      </c>
      <c r="E4" t="n">
        <v>1627</v>
      </c>
      <c r="F4" t="n">
        <v>448</v>
      </c>
      <c r="G4" t="n">
        <v>196</v>
      </c>
      <c r="H4" t="n">
        <v>92</v>
      </c>
      <c r="I4" t="n">
        <v>34</v>
      </c>
      <c r="J4" t="n">
        <v>371</v>
      </c>
      <c r="K4" t="n">
        <v>4</v>
      </c>
      <c r="L4" t="n">
        <v>0</v>
      </c>
      <c r="M4" t="n">
        <v>14</v>
      </c>
      <c r="N4" t="n">
        <v>258</v>
      </c>
      <c r="O4" t="n">
        <v>115</v>
      </c>
    </row>
    <row r="5">
      <c r="A5" t="inlineStr">
        <is>
          <t>Kampong Cham</t>
        </is>
      </c>
      <c r="B5" t="n">
        <v>2</v>
      </c>
      <c r="C5" t="n">
        <v>19</v>
      </c>
      <c r="D5" t="n">
        <v>568</v>
      </c>
      <c r="E5" t="n">
        <v>278</v>
      </c>
      <c r="F5" t="n">
        <v>58</v>
      </c>
      <c r="G5" t="n">
        <v>21</v>
      </c>
      <c r="H5" t="n">
        <v>9</v>
      </c>
      <c r="I5" t="n">
        <v>5</v>
      </c>
      <c r="J5" t="n">
        <v>40</v>
      </c>
      <c r="K5" t="n">
        <v>1</v>
      </c>
      <c r="L5" t="n">
        <v>0</v>
      </c>
      <c r="M5" t="n">
        <v>4</v>
      </c>
      <c r="N5" t="n">
        <v>79</v>
      </c>
      <c r="O5" t="n">
        <v>19</v>
      </c>
    </row>
    <row r="6">
      <c r="A6" t="inlineStr">
        <is>
          <t>Kampong Chhnang</t>
        </is>
      </c>
      <c r="B6" t="n">
        <v>4</v>
      </c>
      <c r="C6" t="n">
        <v>38</v>
      </c>
      <c r="D6" t="n">
        <v>977</v>
      </c>
      <c r="E6" t="n">
        <v>372</v>
      </c>
      <c r="F6" t="n">
        <v>130</v>
      </c>
      <c r="G6" t="n">
        <v>71</v>
      </c>
      <c r="H6" t="n">
        <v>6</v>
      </c>
      <c r="I6" t="n">
        <v>1</v>
      </c>
      <c r="J6" t="n">
        <v>95</v>
      </c>
      <c r="K6" t="n">
        <v>0</v>
      </c>
      <c r="L6" t="n">
        <v>0</v>
      </c>
      <c r="M6" t="n">
        <v>21</v>
      </c>
      <c r="N6" t="n">
        <v>104</v>
      </c>
      <c r="O6" t="n">
        <v>38</v>
      </c>
    </row>
    <row r="7">
      <c r="A7" t="inlineStr">
        <is>
          <t>Kampong Speu</t>
        </is>
      </c>
      <c r="B7" t="n">
        <v>5</v>
      </c>
      <c r="C7" t="n">
        <v>30</v>
      </c>
      <c r="D7" t="n">
        <v>614</v>
      </c>
      <c r="E7" t="n">
        <v>306</v>
      </c>
      <c r="F7" t="n">
        <v>86</v>
      </c>
      <c r="G7" t="n">
        <v>36</v>
      </c>
      <c r="H7" t="n">
        <v>19</v>
      </c>
      <c r="I7" t="n">
        <v>4</v>
      </c>
      <c r="J7" t="n">
        <v>47</v>
      </c>
      <c r="K7" t="n">
        <v>10</v>
      </c>
      <c r="L7" t="n">
        <v>6</v>
      </c>
      <c r="M7" t="n">
        <v>6</v>
      </c>
      <c r="N7" t="n">
        <v>81</v>
      </c>
      <c r="O7" t="n">
        <v>29</v>
      </c>
    </row>
    <row r="8">
      <c r="A8" t="inlineStr">
        <is>
          <t>Kampong Thom</t>
        </is>
      </c>
      <c r="B8" t="n">
        <v>2</v>
      </c>
      <c r="C8" t="n">
        <v>12</v>
      </c>
      <c r="D8" t="n">
        <v>290</v>
      </c>
      <c r="E8" t="n">
        <v>130</v>
      </c>
      <c r="F8" t="n">
        <v>34</v>
      </c>
      <c r="G8" t="n">
        <v>11</v>
      </c>
      <c r="H8" t="n">
        <v>8</v>
      </c>
      <c r="I8" t="n">
        <v>4</v>
      </c>
      <c r="J8" t="n">
        <v>31</v>
      </c>
      <c r="K8" t="n">
        <v>2</v>
      </c>
      <c r="L8" t="n">
        <v>2</v>
      </c>
      <c r="M8" t="n">
        <v>12</v>
      </c>
      <c r="N8" t="n">
        <v>32</v>
      </c>
      <c r="O8" t="n">
        <v>12</v>
      </c>
    </row>
    <row r="9">
      <c r="A9" t="inlineStr">
        <is>
          <t>Kampot</t>
        </is>
      </c>
      <c r="B9" t="n">
        <v>8</v>
      </c>
      <c r="C9" t="n">
        <v>66</v>
      </c>
      <c r="D9" t="n">
        <v>1934</v>
      </c>
      <c r="E9" t="n">
        <v>1006</v>
      </c>
      <c r="F9" t="n">
        <v>186</v>
      </c>
      <c r="G9" t="n">
        <v>72</v>
      </c>
      <c r="H9" t="n">
        <v>23</v>
      </c>
      <c r="I9" t="n">
        <v>16</v>
      </c>
      <c r="J9" t="n">
        <v>105</v>
      </c>
      <c r="K9" t="n">
        <v>7</v>
      </c>
      <c r="L9" t="n">
        <v>1</v>
      </c>
      <c r="M9" t="n">
        <v>16</v>
      </c>
      <c r="N9" t="n">
        <v>151</v>
      </c>
      <c r="O9" t="n">
        <v>66</v>
      </c>
    </row>
    <row r="10">
      <c r="A10" t="inlineStr">
        <is>
          <t>Kandal</t>
        </is>
      </c>
      <c r="B10" t="n">
        <v>6</v>
      </c>
      <c r="C10" t="n">
        <v>108</v>
      </c>
      <c r="D10" t="n">
        <v>2868</v>
      </c>
      <c r="E10" t="n">
        <v>1200</v>
      </c>
      <c r="F10" t="n">
        <v>205</v>
      </c>
      <c r="G10" t="n">
        <v>60</v>
      </c>
      <c r="H10" t="n">
        <v>58</v>
      </c>
      <c r="I10" t="n">
        <v>20</v>
      </c>
      <c r="J10" t="n">
        <v>207</v>
      </c>
      <c r="K10" t="n">
        <v>0</v>
      </c>
      <c r="L10" t="n">
        <v>0</v>
      </c>
      <c r="M10" t="n">
        <v>19</v>
      </c>
      <c r="N10" t="n">
        <v>316</v>
      </c>
      <c r="O10" t="n">
        <v>98</v>
      </c>
    </row>
    <row r="11">
      <c r="A11" t="inlineStr">
        <is>
          <t>Koh Kong</t>
        </is>
      </c>
      <c r="B11" t="n">
        <v>1</v>
      </c>
      <c r="C11" t="n">
        <v>9</v>
      </c>
      <c r="D11" t="n">
        <v>272</v>
      </c>
      <c r="E11" t="n">
        <v>117</v>
      </c>
      <c r="F11" t="n">
        <v>32</v>
      </c>
      <c r="G11" t="n">
        <v>8</v>
      </c>
      <c r="H11" t="n">
        <v>8</v>
      </c>
      <c r="I11" t="n">
        <v>2</v>
      </c>
      <c r="J11" t="n">
        <v>3</v>
      </c>
      <c r="K11" t="n">
        <v>0</v>
      </c>
      <c r="L11" t="n">
        <v>0</v>
      </c>
      <c r="M11" t="n">
        <v>3</v>
      </c>
      <c r="N11" t="n">
        <v>16</v>
      </c>
      <c r="O11" t="n">
        <v>9</v>
      </c>
    </row>
    <row r="12">
      <c r="A12" t="inlineStr">
        <is>
          <t>Phnom Penh</t>
        </is>
      </c>
      <c r="B12" t="n">
        <v>70</v>
      </c>
      <c r="C12" t="n">
        <v>894</v>
      </c>
      <c r="D12" t="n">
        <v>22303</v>
      </c>
      <c r="E12" t="n">
        <v>11252</v>
      </c>
      <c r="F12" t="n">
        <v>2111</v>
      </c>
      <c r="G12" t="n">
        <v>791</v>
      </c>
      <c r="H12" t="n">
        <v>783</v>
      </c>
      <c r="I12" t="n">
        <v>387</v>
      </c>
      <c r="J12" t="n">
        <v>1229</v>
      </c>
      <c r="K12" t="n">
        <v>215</v>
      </c>
      <c r="L12" t="n">
        <v>96</v>
      </c>
      <c r="M12" t="n">
        <v>104</v>
      </c>
      <c r="N12" t="n">
        <v>2289</v>
      </c>
      <c r="O12" t="n">
        <v>722</v>
      </c>
    </row>
    <row r="13">
      <c r="A13" t="inlineStr">
        <is>
          <t>Preah Sihanouk</t>
        </is>
      </c>
      <c r="B13" t="n">
        <v>6</v>
      </c>
      <c r="C13" t="n">
        <v>75</v>
      </c>
      <c r="D13" t="n">
        <v>2035</v>
      </c>
      <c r="E13" t="n">
        <v>956</v>
      </c>
      <c r="F13" t="n">
        <v>182</v>
      </c>
      <c r="G13" t="n">
        <v>41</v>
      </c>
      <c r="H13" t="n">
        <v>27</v>
      </c>
      <c r="I13" t="n">
        <v>15</v>
      </c>
      <c r="J13" t="n">
        <v>141</v>
      </c>
      <c r="K13" t="n">
        <v>7</v>
      </c>
      <c r="L13" t="n">
        <v>3</v>
      </c>
      <c r="M13" t="n">
        <v>13</v>
      </c>
      <c r="N13" t="n">
        <v>184</v>
      </c>
      <c r="O13" t="n">
        <v>72</v>
      </c>
    </row>
    <row r="14">
      <c r="A14" t="inlineStr">
        <is>
          <t>Prey Veng</t>
        </is>
      </c>
      <c r="B14" t="n">
        <v>1</v>
      </c>
      <c r="C14" t="n">
        <v>3</v>
      </c>
      <c r="D14" t="n">
        <v>133</v>
      </c>
      <c r="E14" t="n">
        <v>78</v>
      </c>
      <c r="F14" t="n">
        <v>22</v>
      </c>
      <c r="G14" t="n">
        <v>5</v>
      </c>
      <c r="H14" t="n">
        <v>3</v>
      </c>
      <c r="I14" t="n">
        <v>2</v>
      </c>
      <c r="J14" t="n">
        <v>20</v>
      </c>
      <c r="K14" t="n">
        <v>1</v>
      </c>
      <c r="L14" t="n">
        <v>0</v>
      </c>
      <c r="M14" t="n">
        <v>3</v>
      </c>
      <c r="N14" t="n">
        <v>8</v>
      </c>
      <c r="O14" t="n">
        <v>3</v>
      </c>
    </row>
    <row r="15">
      <c r="A15" t="inlineStr">
        <is>
          <t>Ratanak Kiri</t>
        </is>
      </c>
      <c r="B15" t="n">
        <v>3</v>
      </c>
      <c r="C15" t="n">
        <v>23</v>
      </c>
      <c r="D15" t="n">
        <v>420</v>
      </c>
      <c r="E15" t="n">
        <v>186</v>
      </c>
      <c r="F15" t="n">
        <v>65</v>
      </c>
      <c r="G15" t="n">
        <v>23</v>
      </c>
      <c r="H15" t="n">
        <v>15</v>
      </c>
      <c r="I15" t="n">
        <v>11</v>
      </c>
      <c r="J15" t="n">
        <v>54</v>
      </c>
      <c r="K15" t="n">
        <v>0</v>
      </c>
      <c r="L15" t="n">
        <v>0</v>
      </c>
      <c r="M15" t="n">
        <v>15</v>
      </c>
      <c r="N15" t="n">
        <v>119</v>
      </c>
      <c r="O15" t="n">
        <v>23</v>
      </c>
    </row>
    <row r="16">
      <c r="A16" t="inlineStr">
        <is>
          <t>Siemreap</t>
        </is>
      </c>
      <c r="B16" t="n">
        <v>9</v>
      </c>
      <c r="C16" t="n">
        <v>93</v>
      </c>
      <c r="D16" t="n">
        <v>2312</v>
      </c>
      <c r="E16" t="n">
        <v>1138</v>
      </c>
      <c r="F16" t="n">
        <v>307</v>
      </c>
      <c r="G16" t="n">
        <v>143</v>
      </c>
      <c r="H16" t="n">
        <v>46</v>
      </c>
      <c r="I16" t="n">
        <v>23</v>
      </c>
      <c r="J16" t="n">
        <v>253</v>
      </c>
      <c r="K16" t="n">
        <v>22</v>
      </c>
      <c r="L16" t="n">
        <v>10</v>
      </c>
      <c r="M16" t="n">
        <v>6</v>
      </c>
      <c r="N16" t="n">
        <v>197</v>
      </c>
      <c r="O16" t="n">
        <v>81</v>
      </c>
    </row>
    <row r="17">
      <c r="A17" t="inlineStr">
        <is>
          <t>Stung Treng</t>
        </is>
      </c>
      <c r="B17" t="n">
        <v>1</v>
      </c>
      <c r="C17" t="n">
        <v>6</v>
      </c>
      <c r="D17" t="n">
        <v>21</v>
      </c>
      <c r="E17" t="n">
        <v>10</v>
      </c>
      <c r="F17" t="n">
        <v>5</v>
      </c>
      <c r="G17" t="n">
        <v>1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1</v>
      </c>
      <c r="N17" t="n">
        <v>6</v>
      </c>
      <c r="O17" t="n">
        <v>6</v>
      </c>
    </row>
    <row r="18">
      <c r="A18" t="inlineStr">
        <is>
          <t>Takeo</t>
        </is>
      </c>
      <c r="B18" t="n">
        <v>5</v>
      </c>
      <c r="C18" t="n">
        <v>31</v>
      </c>
      <c r="D18" t="n">
        <v>627</v>
      </c>
      <c r="E18" t="n">
        <v>287</v>
      </c>
      <c r="F18" t="n">
        <v>121</v>
      </c>
      <c r="G18" t="n">
        <v>30</v>
      </c>
      <c r="H18" t="n">
        <v>42</v>
      </c>
      <c r="I18" t="n">
        <v>21</v>
      </c>
      <c r="J18" t="n">
        <v>54</v>
      </c>
      <c r="K18" t="n">
        <v>0</v>
      </c>
      <c r="L18" t="n">
        <v>0</v>
      </c>
      <c r="M18" t="n">
        <v>12</v>
      </c>
      <c r="N18" t="n">
        <v>104</v>
      </c>
      <c r="O18" t="n">
        <v>31</v>
      </c>
    </row>
    <row r="19">
      <c r="A19" t="inlineStr">
        <is>
          <t>Tbaung Khmum</t>
        </is>
      </c>
      <c r="B19" t="n">
        <v>2</v>
      </c>
      <c r="C19" t="n">
        <v>24</v>
      </c>
      <c r="D19" t="n">
        <v>1077</v>
      </c>
      <c r="E19" t="n">
        <v>872</v>
      </c>
      <c r="F19" t="n">
        <v>48</v>
      </c>
      <c r="G19" t="n">
        <v>16</v>
      </c>
      <c r="H19" t="n">
        <v>10</v>
      </c>
      <c r="I19" t="n">
        <v>3</v>
      </c>
      <c r="J19" t="n">
        <v>0</v>
      </c>
      <c r="K19" t="n">
        <v>0</v>
      </c>
      <c r="L19" t="n">
        <v>0</v>
      </c>
      <c r="M19" t="n">
        <v>6</v>
      </c>
      <c r="N19" t="n">
        <v>39</v>
      </c>
      <c r="O19" t="n">
        <v>14</v>
      </c>
    </row>
    <row r="20">
      <c r="A20" t="inlineStr">
        <is>
          <t>Whole Kingdom</t>
        </is>
      </c>
      <c r="B20" t="n">
        <v>147</v>
      </c>
      <c r="C20" t="n">
        <v>1676</v>
      </c>
      <c r="D20" t="n">
        <v>43136</v>
      </c>
      <c r="E20" t="n">
        <v>21528</v>
      </c>
      <c r="F20" t="n">
        <v>4327</v>
      </c>
      <c r="G20" t="n">
        <v>1613</v>
      </c>
      <c r="H20" t="n">
        <v>1205</v>
      </c>
      <c r="I20" t="n">
        <v>564</v>
      </c>
      <c r="J20" t="n">
        <v>2813</v>
      </c>
      <c r="K20" t="n">
        <v>285</v>
      </c>
      <c r="L20" t="n">
        <v>125</v>
      </c>
      <c r="M20" t="n">
        <v>273</v>
      </c>
      <c r="N20" t="n">
        <v>4299</v>
      </c>
      <c r="O20" t="n">
        <v>1466</v>
      </c>
    </row>
    <row r="21">
      <c r="A21" t="inlineStr">
        <is>
          <t>- Urban Area</t>
        </is>
      </c>
      <c r="B21" t="n">
        <v>127</v>
      </c>
      <c r="C21" t="n">
        <v>1510</v>
      </c>
      <c r="D21" t="n">
        <v>38427</v>
      </c>
      <c r="E21" t="n">
        <v>19154</v>
      </c>
      <c r="F21" t="n">
        <v>3940</v>
      </c>
      <c r="G21" t="n">
        <v>1498</v>
      </c>
      <c r="H21" t="n">
        <v>1129</v>
      </c>
      <c r="I21" t="n">
        <v>545</v>
      </c>
      <c r="J21" t="n">
        <v>2583</v>
      </c>
      <c r="K21" t="n">
        <v>260</v>
      </c>
      <c r="L21" t="n">
        <v>113</v>
      </c>
      <c r="M21" t="n">
        <v>221</v>
      </c>
      <c r="N21" t="n">
        <v>3880</v>
      </c>
      <c r="O21" t="n">
        <v>1311</v>
      </c>
    </row>
    <row r="22">
      <c r="A22" t="inlineStr">
        <is>
          <t>- Rural Area</t>
        </is>
      </c>
      <c r="B22" t="n">
        <v>20</v>
      </c>
      <c r="C22" t="n">
        <v>166</v>
      </c>
      <c r="D22" t="n">
        <v>4709</v>
      </c>
      <c r="E22" t="n">
        <v>2374</v>
      </c>
      <c r="F22" t="n">
        <v>387</v>
      </c>
      <c r="G22" t="n">
        <v>115</v>
      </c>
      <c r="H22" t="n">
        <v>76</v>
      </c>
      <c r="I22" t="n">
        <v>19</v>
      </c>
      <c r="J22" t="n">
        <v>230</v>
      </c>
      <c r="K22" t="n">
        <v>25</v>
      </c>
      <c r="L22" t="n">
        <v>12</v>
      </c>
      <c r="M22" t="n">
        <v>52</v>
      </c>
      <c r="N22" t="n">
        <v>419</v>
      </c>
      <c r="O22" t="n">
        <v>155</v>
      </c>
    </row>
  </sheetData>
  <mergeCells count="11">
    <mergeCell ref="D1:E1"/>
    <mergeCell ref="K1:L1"/>
    <mergeCell ref="H1:I1"/>
    <mergeCell ref="C1:C2"/>
    <mergeCell ref="B1:B2"/>
    <mergeCell ref="F1:G1"/>
    <mergeCell ref="M1:M2"/>
    <mergeCell ref="J1:J2"/>
    <mergeCell ref="O1:O2"/>
    <mergeCell ref="N1:N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0.6640625" customWidth="1" min="2" max="2"/>
    <col width="8.83203125" customWidth="1" min="4" max="4"/>
    <col width="9.33203125" customWidth="1" min="7" max="7"/>
    <col width="8.83203125" customWidth="1" min="8" max="8"/>
    <col width="11.33203125" customWidth="1" min="11" max="11"/>
    <col width="10.1640625" customWidth="1" min="13" max="13"/>
    <col width="12.1640625" customWidth="1" min="15" max="15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Govern. staff</t>
        </is>
      </c>
      <c r="K1" t="inlineStr">
        <is>
          <t>Foreigner Teaching Staff</t>
        </is>
      </c>
      <c r="M1" t="inlineStr">
        <is>
          <t>Buildings</t>
        </is>
      </c>
      <c r="N1" t="inlineStr">
        <is>
          <t>Rooms</t>
        </is>
      </c>
      <c r="O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K2" t="inlineStr">
        <is>
          <t>Total</t>
        </is>
      </c>
      <c r="L2" t="inlineStr">
        <is>
          <t>Female</t>
        </is>
      </c>
    </row>
    <row r="3">
      <c r="A3" t="inlineStr">
        <is>
          <t>Banteay Meanchey</t>
        </is>
      </c>
      <c r="B3" t="n">
        <v>46</v>
      </c>
      <c r="C3" t="n">
        <v>137</v>
      </c>
      <c r="D3" t="n">
        <v>3393</v>
      </c>
      <c r="E3" t="n">
        <v>1653</v>
      </c>
      <c r="F3" t="n">
        <v>148</v>
      </c>
      <c r="G3" t="n">
        <v>139</v>
      </c>
      <c r="H3" t="n">
        <v>39</v>
      </c>
      <c r="I3" t="n">
        <v>27</v>
      </c>
      <c r="J3" t="n">
        <v>8</v>
      </c>
      <c r="K3" t="n">
        <v>8</v>
      </c>
      <c r="L3" t="n">
        <v>6</v>
      </c>
      <c r="M3" t="n">
        <v>30</v>
      </c>
      <c r="N3" t="n">
        <v>309</v>
      </c>
      <c r="O3" t="n">
        <v>110</v>
      </c>
    </row>
    <row r="4">
      <c r="A4" t="inlineStr">
        <is>
          <t>Battambang</t>
        </is>
      </c>
      <c r="B4" t="n">
        <v>16</v>
      </c>
      <c r="C4" t="n">
        <v>74</v>
      </c>
      <c r="D4" t="n">
        <v>1273</v>
      </c>
      <c r="E4" t="n">
        <v>605</v>
      </c>
      <c r="F4" t="n">
        <v>88</v>
      </c>
      <c r="G4" t="n">
        <v>80</v>
      </c>
      <c r="H4" t="n">
        <v>24</v>
      </c>
      <c r="I4" t="n">
        <v>20</v>
      </c>
      <c r="J4" t="n">
        <v>18</v>
      </c>
      <c r="K4" t="n">
        <v>22</v>
      </c>
      <c r="L4" t="n">
        <v>18</v>
      </c>
      <c r="M4" t="n">
        <v>11</v>
      </c>
      <c r="N4" t="n">
        <v>118</v>
      </c>
      <c r="O4" t="n">
        <v>71</v>
      </c>
    </row>
    <row r="5">
      <c r="A5" t="inlineStr">
        <is>
          <t>Kampong Cham</t>
        </is>
      </c>
      <c r="B5" t="n">
        <v>7</v>
      </c>
      <c r="C5" t="n">
        <v>22</v>
      </c>
      <c r="D5" t="n">
        <v>853</v>
      </c>
      <c r="E5" t="n">
        <v>455</v>
      </c>
      <c r="F5" t="n">
        <v>35</v>
      </c>
      <c r="G5" t="n">
        <v>32</v>
      </c>
      <c r="H5" t="n">
        <v>4</v>
      </c>
      <c r="I5" t="n">
        <v>2</v>
      </c>
      <c r="J5" t="n">
        <v>2</v>
      </c>
      <c r="K5" t="n">
        <v>0</v>
      </c>
      <c r="L5" t="n">
        <v>0</v>
      </c>
      <c r="M5" t="n">
        <v>6</v>
      </c>
      <c r="N5" t="n">
        <v>40</v>
      </c>
      <c r="O5" t="n">
        <v>22</v>
      </c>
    </row>
    <row r="6">
      <c r="A6" t="inlineStr">
        <is>
          <t>Kampong Chhnang</t>
        </is>
      </c>
      <c r="B6" t="n">
        <v>11</v>
      </c>
      <c r="C6" t="n">
        <v>63</v>
      </c>
      <c r="D6" t="n">
        <v>1532</v>
      </c>
      <c r="E6" t="n">
        <v>736</v>
      </c>
      <c r="F6" t="n">
        <v>69</v>
      </c>
      <c r="G6" t="n">
        <v>67</v>
      </c>
      <c r="H6" t="n">
        <v>28</v>
      </c>
      <c r="I6" t="n">
        <v>21</v>
      </c>
      <c r="J6" t="n">
        <v>0</v>
      </c>
      <c r="K6" t="n">
        <v>5</v>
      </c>
      <c r="L6" t="n">
        <v>3</v>
      </c>
      <c r="M6" t="n">
        <v>11</v>
      </c>
      <c r="N6" t="n">
        <v>65</v>
      </c>
      <c r="O6" t="n">
        <v>57</v>
      </c>
    </row>
    <row r="7">
      <c r="A7" t="inlineStr">
        <is>
          <t>Kampong Speu</t>
        </is>
      </c>
      <c r="B7" t="n">
        <v>25</v>
      </c>
      <c r="C7" t="n">
        <v>133</v>
      </c>
      <c r="D7" t="n">
        <v>2917</v>
      </c>
      <c r="E7" t="n">
        <v>1514</v>
      </c>
      <c r="F7" t="n">
        <v>142</v>
      </c>
      <c r="G7" t="n">
        <v>110</v>
      </c>
      <c r="H7" t="n">
        <v>50</v>
      </c>
      <c r="I7" t="n">
        <v>22</v>
      </c>
      <c r="J7" t="n">
        <v>24</v>
      </c>
      <c r="K7" t="n">
        <v>21</v>
      </c>
      <c r="L7" t="n">
        <v>16</v>
      </c>
      <c r="M7" t="n">
        <v>19</v>
      </c>
      <c r="N7" t="n">
        <v>158</v>
      </c>
      <c r="O7" t="n">
        <v>112</v>
      </c>
    </row>
    <row r="8">
      <c r="A8" t="inlineStr">
        <is>
          <t>Kampong Thom</t>
        </is>
      </c>
      <c r="B8" t="n">
        <v>7</v>
      </c>
      <c r="C8" t="n">
        <v>13</v>
      </c>
      <c r="D8" t="n">
        <v>342</v>
      </c>
      <c r="E8" t="n">
        <v>148</v>
      </c>
      <c r="F8" t="n">
        <v>13</v>
      </c>
      <c r="G8" t="n">
        <v>13</v>
      </c>
      <c r="H8" t="n">
        <v>6</v>
      </c>
      <c r="I8" t="n">
        <v>4</v>
      </c>
      <c r="J8" t="n">
        <v>4</v>
      </c>
      <c r="K8" t="n">
        <v>3</v>
      </c>
      <c r="L8" t="n">
        <v>3</v>
      </c>
      <c r="M8" t="n">
        <v>10</v>
      </c>
      <c r="N8" t="n">
        <v>47</v>
      </c>
      <c r="O8" t="n">
        <v>13</v>
      </c>
    </row>
    <row r="9">
      <c r="A9" t="inlineStr">
        <is>
          <t>Kampot</t>
        </is>
      </c>
      <c r="B9" t="n">
        <v>15</v>
      </c>
      <c r="C9" t="n">
        <v>40</v>
      </c>
      <c r="D9" t="n">
        <v>998</v>
      </c>
      <c r="E9" t="n">
        <v>499</v>
      </c>
      <c r="F9" t="n">
        <v>61</v>
      </c>
      <c r="G9" t="n">
        <v>61</v>
      </c>
      <c r="H9" t="n">
        <v>4</v>
      </c>
      <c r="I9" t="n">
        <v>3</v>
      </c>
      <c r="J9" t="n">
        <v>3</v>
      </c>
      <c r="K9" t="n">
        <v>12</v>
      </c>
      <c r="L9" t="n">
        <v>4</v>
      </c>
      <c r="M9" t="n">
        <v>0</v>
      </c>
      <c r="N9" t="n">
        <v>39</v>
      </c>
      <c r="O9" t="n">
        <v>37</v>
      </c>
    </row>
    <row r="10">
      <c r="A10" t="inlineStr">
        <is>
          <t>Kandal</t>
        </is>
      </c>
      <c r="B10" t="n">
        <v>33</v>
      </c>
      <c r="C10" t="n">
        <v>89</v>
      </c>
      <c r="D10" t="n">
        <v>1974</v>
      </c>
      <c r="E10" t="n">
        <v>1001</v>
      </c>
      <c r="F10" t="n">
        <v>226</v>
      </c>
      <c r="G10" t="n">
        <v>160</v>
      </c>
      <c r="H10" t="n">
        <v>117</v>
      </c>
      <c r="I10" t="n">
        <v>66</v>
      </c>
      <c r="J10" t="n">
        <v>48</v>
      </c>
      <c r="K10" t="n">
        <v>37</v>
      </c>
      <c r="L10" t="n">
        <v>25</v>
      </c>
      <c r="M10" t="n">
        <v>25</v>
      </c>
      <c r="N10" t="n">
        <v>307</v>
      </c>
      <c r="O10" t="n">
        <v>88</v>
      </c>
    </row>
    <row r="11">
      <c r="A11" t="inlineStr">
        <is>
          <t>Kep</t>
        </is>
      </c>
      <c r="B11" t="n">
        <v>3</v>
      </c>
      <c r="C11" t="n">
        <v>5</v>
      </c>
      <c r="D11" t="n">
        <v>121</v>
      </c>
      <c r="E11" t="n">
        <v>61</v>
      </c>
      <c r="F11" t="n">
        <v>8</v>
      </c>
      <c r="G11" t="n">
        <v>4</v>
      </c>
      <c r="H11" t="n">
        <v>5</v>
      </c>
      <c r="I11" t="n">
        <v>4</v>
      </c>
      <c r="J11" t="n">
        <v>1</v>
      </c>
      <c r="K11" t="n">
        <v>3</v>
      </c>
      <c r="L11" t="n">
        <v>2</v>
      </c>
      <c r="M11" t="n">
        <v>2</v>
      </c>
      <c r="N11" t="n">
        <v>6</v>
      </c>
      <c r="O11" t="n">
        <v>5</v>
      </c>
    </row>
    <row r="12">
      <c r="A12" t="inlineStr">
        <is>
          <t>Koh Kong</t>
        </is>
      </c>
      <c r="B12" t="n">
        <v>4</v>
      </c>
      <c r="C12" t="n">
        <v>9</v>
      </c>
      <c r="D12" t="n">
        <v>316</v>
      </c>
      <c r="E12" t="n">
        <v>183</v>
      </c>
      <c r="F12" t="n">
        <v>11</v>
      </c>
      <c r="G12" t="n">
        <v>7</v>
      </c>
      <c r="H12" t="n">
        <v>2</v>
      </c>
      <c r="I12" t="n">
        <v>2</v>
      </c>
      <c r="J12" t="n">
        <v>2</v>
      </c>
      <c r="K12" t="n">
        <v>0</v>
      </c>
      <c r="L12" t="n">
        <v>0</v>
      </c>
      <c r="M12" t="n">
        <v>1</v>
      </c>
      <c r="N12" t="n">
        <v>15</v>
      </c>
      <c r="O12" t="n">
        <v>7</v>
      </c>
    </row>
    <row r="13">
      <c r="A13" t="inlineStr">
        <is>
          <t>Kratie</t>
        </is>
      </c>
      <c r="B13" t="n">
        <v>3</v>
      </c>
      <c r="C13" t="n">
        <v>6</v>
      </c>
      <c r="D13" t="n">
        <v>162</v>
      </c>
      <c r="E13" t="n">
        <v>80</v>
      </c>
      <c r="F13" t="n">
        <v>11</v>
      </c>
      <c r="G13" t="n">
        <v>11</v>
      </c>
      <c r="H13" t="n">
        <v>15</v>
      </c>
      <c r="I13" t="n">
        <v>4</v>
      </c>
      <c r="J13" t="n">
        <v>0</v>
      </c>
      <c r="K13" t="n">
        <v>0</v>
      </c>
      <c r="L13" t="n">
        <v>0</v>
      </c>
      <c r="M13" t="n">
        <v>2</v>
      </c>
      <c r="N13" t="n">
        <v>5</v>
      </c>
      <c r="O13" t="n">
        <v>6</v>
      </c>
    </row>
    <row r="14">
      <c r="A14" t="inlineStr">
        <is>
          <t>Mondul Kiri</t>
        </is>
      </c>
      <c r="B14" t="n">
        <v>3</v>
      </c>
      <c r="C14" t="n">
        <v>7</v>
      </c>
      <c r="D14" t="n">
        <v>140</v>
      </c>
      <c r="E14" t="n">
        <v>65</v>
      </c>
      <c r="F14" t="n">
        <v>8</v>
      </c>
      <c r="G14" t="n">
        <v>8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2</v>
      </c>
      <c r="N14" t="n">
        <v>7</v>
      </c>
      <c r="O14" t="n">
        <v>7</v>
      </c>
    </row>
    <row r="15">
      <c r="A15" t="inlineStr">
        <is>
          <t>Otdar Meanchey</t>
        </is>
      </c>
      <c r="B15" t="n">
        <v>3</v>
      </c>
      <c r="C15" t="n">
        <v>8</v>
      </c>
      <c r="D15" t="n">
        <v>272</v>
      </c>
      <c r="E15" t="n">
        <v>114</v>
      </c>
      <c r="F15" t="n">
        <v>8</v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5</v>
      </c>
      <c r="O15" t="n">
        <v>7</v>
      </c>
    </row>
    <row r="16">
      <c r="A16" t="inlineStr">
        <is>
          <t>Pailin</t>
        </is>
      </c>
      <c r="B16" t="n">
        <v>9</v>
      </c>
      <c r="C16" t="n">
        <v>31</v>
      </c>
      <c r="D16" t="n">
        <v>718</v>
      </c>
      <c r="E16" t="n">
        <v>335</v>
      </c>
      <c r="F16" t="n">
        <v>64</v>
      </c>
      <c r="G16" t="n">
        <v>53</v>
      </c>
      <c r="H16" t="n">
        <v>17</v>
      </c>
      <c r="I16" t="n">
        <v>7</v>
      </c>
      <c r="J16" t="n">
        <v>10</v>
      </c>
      <c r="K16" t="n">
        <v>0</v>
      </c>
      <c r="L16" t="n">
        <v>0</v>
      </c>
      <c r="M16" t="n">
        <v>14</v>
      </c>
      <c r="N16" t="n">
        <v>90</v>
      </c>
      <c r="O16" t="n">
        <v>28</v>
      </c>
    </row>
    <row r="17">
      <c r="A17" t="inlineStr">
        <is>
          <t>Phnom Penh</t>
        </is>
      </c>
      <c r="B17" t="n">
        <v>213</v>
      </c>
      <c r="C17" t="n">
        <v>887</v>
      </c>
      <c r="D17" t="n">
        <v>19816</v>
      </c>
      <c r="E17" t="n">
        <v>9839</v>
      </c>
      <c r="F17" t="n">
        <v>1208</v>
      </c>
      <c r="G17" t="n">
        <v>1039</v>
      </c>
      <c r="H17" t="n">
        <v>907</v>
      </c>
      <c r="I17" t="n">
        <v>602</v>
      </c>
      <c r="J17" t="n">
        <v>78</v>
      </c>
      <c r="K17" t="n">
        <v>369</v>
      </c>
      <c r="L17" t="n">
        <v>240</v>
      </c>
      <c r="M17" t="n">
        <v>141</v>
      </c>
      <c r="N17" t="n">
        <v>1419</v>
      </c>
      <c r="O17" t="n">
        <v>767</v>
      </c>
    </row>
    <row r="18">
      <c r="A18" t="inlineStr">
        <is>
          <t>Preah Sihanouk</t>
        </is>
      </c>
      <c r="B18" t="n">
        <v>20</v>
      </c>
      <c r="C18" t="n">
        <v>107</v>
      </c>
      <c r="D18" t="n">
        <v>2542</v>
      </c>
      <c r="E18" t="n">
        <v>1271</v>
      </c>
      <c r="F18" t="n">
        <v>113</v>
      </c>
      <c r="G18" t="n">
        <v>104</v>
      </c>
      <c r="H18" t="n">
        <v>59</v>
      </c>
      <c r="I18" t="n">
        <v>42</v>
      </c>
      <c r="J18" t="n">
        <v>15</v>
      </c>
      <c r="K18" t="n">
        <v>13</v>
      </c>
      <c r="L18" t="n">
        <v>12</v>
      </c>
      <c r="M18" t="n">
        <v>11</v>
      </c>
      <c r="N18" t="n">
        <v>155</v>
      </c>
      <c r="O18" t="n">
        <v>96</v>
      </c>
    </row>
    <row r="19">
      <c r="A19" t="inlineStr">
        <is>
          <t>Preah Vihear</t>
        </is>
      </c>
      <c r="B19" t="n">
        <v>2</v>
      </c>
      <c r="C19" t="n">
        <v>5</v>
      </c>
      <c r="D19" t="n">
        <v>79</v>
      </c>
      <c r="E19" t="n">
        <v>47</v>
      </c>
      <c r="F19" t="n">
        <v>5</v>
      </c>
      <c r="G19" t="n">
        <v>5</v>
      </c>
      <c r="H19" t="n">
        <v>0</v>
      </c>
      <c r="I19" t="n">
        <v>0</v>
      </c>
      <c r="J19" t="n">
        <v>1</v>
      </c>
      <c r="K19" t="n">
        <v>3</v>
      </c>
      <c r="L19" t="n">
        <v>1</v>
      </c>
      <c r="M19" t="n">
        <v>2</v>
      </c>
      <c r="N19" t="n">
        <v>14</v>
      </c>
      <c r="O19" t="n">
        <v>5</v>
      </c>
    </row>
    <row r="20">
      <c r="A20" t="inlineStr">
        <is>
          <t>Prey Veng</t>
        </is>
      </c>
      <c r="B20" t="n">
        <v>5</v>
      </c>
      <c r="C20" t="n">
        <v>8</v>
      </c>
      <c r="D20" t="n">
        <v>138</v>
      </c>
      <c r="E20" t="n">
        <v>81</v>
      </c>
      <c r="F20" t="n">
        <v>13</v>
      </c>
      <c r="G20" t="n">
        <v>13</v>
      </c>
      <c r="H20" t="n">
        <v>9</v>
      </c>
      <c r="I20" t="n">
        <v>6</v>
      </c>
      <c r="J20" t="n">
        <v>0</v>
      </c>
      <c r="K20" t="n">
        <v>0</v>
      </c>
      <c r="L20" t="n">
        <v>0</v>
      </c>
      <c r="M20" t="n">
        <v>3</v>
      </c>
      <c r="N20" t="n">
        <v>15</v>
      </c>
      <c r="O20" t="n">
        <v>8</v>
      </c>
    </row>
    <row r="21">
      <c r="A21" t="inlineStr">
        <is>
          <t>Pursat</t>
        </is>
      </c>
      <c r="B21" t="n">
        <v>4</v>
      </c>
      <c r="C21" t="n">
        <v>30</v>
      </c>
      <c r="D21" t="n">
        <v>1019</v>
      </c>
      <c r="E21" t="n">
        <v>505</v>
      </c>
      <c r="F21" t="n">
        <v>42</v>
      </c>
      <c r="G21" t="n">
        <v>41</v>
      </c>
      <c r="H21" t="n">
        <v>12</v>
      </c>
      <c r="I21" t="n">
        <v>8</v>
      </c>
      <c r="J21" t="n">
        <v>6</v>
      </c>
      <c r="K21" t="n">
        <v>0</v>
      </c>
      <c r="L21" t="n">
        <v>0</v>
      </c>
      <c r="M21" t="n">
        <v>4</v>
      </c>
      <c r="N21" t="n">
        <v>54</v>
      </c>
      <c r="O21" t="n">
        <v>30</v>
      </c>
    </row>
    <row r="22">
      <c r="A22" t="inlineStr">
        <is>
          <t>Ratanak Kiri</t>
        </is>
      </c>
      <c r="B22" t="n">
        <v>5</v>
      </c>
      <c r="C22" t="n">
        <v>36</v>
      </c>
      <c r="D22" t="n">
        <v>1269</v>
      </c>
      <c r="E22" t="n">
        <v>415</v>
      </c>
      <c r="F22" t="n">
        <v>31</v>
      </c>
      <c r="G22" t="n">
        <v>30</v>
      </c>
      <c r="H22" t="n">
        <v>2</v>
      </c>
      <c r="I22" t="n">
        <v>1</v>
      </c>
      <c r="J22" t="n">
        <v>2</v>
      </c>
      <c r="K22" t="n">
        <v>0</v>
      </c>
      <c r="L22" t="n">
        <v>0</v>
      </c>
      <c r="M22" t="n">
        <v>8</v>
      </c>
      <c r="N22" t="n">
        <v>97</v>
      </c>
      <c r="O22" t="n">
        <v>31</v>
      </c>
    </row>
    <row r="23">
      <c r="A23" t="inlineStr">
        <is>
          <t>Siemreap</t>
        </is>
      </c>
      <c r="B23" t="n">
        <v>49</v>
      </c>
      <c r="C23" t="n">
        <v>272</v>
      </c>
      <c r="D23" t="n">
        <v>6530</v>
      </c>
      <c r="E23" t="n">
        <v>3265</v>
      </c>
      <c r="F23" t="n">
        <v>323</v>
      </c>
      <c r="G23" t="n">
        <v>255</v>
      </c>
      <c r="H23" t="n">
        <v>138</v>
      </c>
      <c r="I23" t="n">
        <v>93</v>
      </c>
      <c r="J23" t="n">
        <v>35</v>
      </c>
      <c r="K23" t="n">
        <v>76</v>
      </c>
      <c r="L23" t="n">
        <v>68</v>
      </c>
      <c r="M23" t="n">
        <v>19</v>
      </c>
      <c r="N23" t="n">
        <v>333</v>
      </c>
      <c r="O23" t="n">
        <v>230</v>
      </c>
    </row>
    <row r="24">
      <c r="A24" t="inlineStr">
        <is>
          <t>Stung Treng</t>
        </is>
      </c>
      <c r="B24" t="n">
        <v>2</v>
      </c>
      <c r="C24" t="n">
        <v>3</v>
      </c>
      <c r="D24" t="n">
        <v>108</v>
      </c>
      <c r="E24" t="n">
        <v>60</v>
      </c>
      <c r="F24" t="n">
        <v>8</v>
      </c>
      <c r="G24" t="n">
        <v>8</v>
      </c>
      <c r="H24" t="n">
        <v>0</v>
      </c>
      <c r="I24" t="n">
        <v>0</v>
      </c>
      <c r="J24" t="n">
        <v>0</v>
      </c>
      <c r="K24" t="n">
        <v>2</v>
      </c>
      <c r="L24" t="n">
        <v>2</v>
      </c>
      <c r="M24" t="n">
        <v>3</v>
      </c>
      <c r="N24" t="n">
        <v>4</v>
      </c>
      <c r="O24" t="n">
        <v>3</v>
      </c>
    </row>
    <row r="25">
      <c r="A25" t="inlineStr">
        <is>
          <t>Svay Rieng</t>
        </is>
      </c>
      <c r="B25" t="n">
        <v>3</v>
      </c>
      <c r="C25" t="n">
        <v>5</v>
      </c>
      <c r="D25" t="n">
        <v>106</v>
      </c>
      <c r="E25" t="n">
        <v>46</v>
      </c>
      <c r="F25" t="n">
        <v>10</v>
      </c>
      <c r="G25" t="n">
        <v>10</v>
      </c>
      <c r="H25" t="n">
        <v>0</v>
      </c>
      <c r="I25" t="n">
        <v>0</v>
      </c>
      <c r="J25" t="n">
        <v>1</v>
      </c>
      <c r="K25" t="n">
        <v>7</v>
      </c>
      <c r="L25" t="n">
        <v>7</v>
      </c>
      <c r="M25" t="n">
        <v>3</v>
      </c>
      <c r="N25" t="n">
        <v>23</v>
      </c>
      <c r="O25" t="n">
        <v>5</v>
      </c>
    </row>
    <row r="26">
      <c r="A26" t="inlineStr">
        <is>
          <t>Takeo</t>
        </is>
      </c>
      <c r="B26" t="n">
        <v>9</v>
      </c>
      <c r="C26" t="n">
        <v>24</v>
      </c>
      <c r="D26" t="n">
        <v>593</v>
      </c>
      <c r="E26" t="n">
        <v>282</v>
      </c>
      <c r="F26" t="n">
        <v>27</v>
      </c>
      <c r="G26" t="n">
        <v>26</v>
      </c>
      <c r="H26" t="n">
        <v>12</v>
      </c>
      <c r="I26" t="n">
        <v>8</v>
      </c>
      <c r="J26" t="n">
        <v>10</v>
      </c>
      <c r="K26" t="n">
        <v>0</v>
      </c>
      <c r="L26" t="n">
        <v>0</v>
      </c>
      <c r="M26" t="n">
        <v>6</v>
      </c>
      <c r="N26" t="n">
        <v>46</v>
      </c>
      <c r="O26" t="n">
        <v>24</v>
      </c>
    </row>
    <row r="27">
      <c r="A27" t="inlineStr">
        <is>
          <t>Tbaung Khmum</t>
        </is>
      </c>
      <c r="B27" t="n">
        <v>12</v>
      </c>
      <c r="C27" t="n">
        <v>37</v>
      </c>
      <c r="D27" t="n">
        <v>1107</v>
      </c>
      <c r="E27" t="n">
        <v>589</v>
      </c>
      <c r="F27" t="n">
        <v>68</v>
      </c>
      <c r="G27" t="n">
        <v>54</v>
      </c>
      <c r="H27" t="n">
        <v>23</v>
      </c>
      <c r="I27" t="n">
        <v>11</v>
      </c>
      <c r="J27" t="n">
        <v>2</v>
      </c>
      <c r="K27" t="n">
        <v>13</v>
      </c>
      <c r="L27" t="n">
        <v>11</v>
      </c>
      <c r="M27" t="n">
        <v>8</v>
      </c>
      <c r="N27" t="n">
        <v>75</v>
      </c>
      <c r="O27" t="n">
        <v>37</v>
      </c>
    </row>
    <row r="28">
      <c r="A28" t="inlineStr">
        <is>
          <t>Whole Kingdom</t>
        </is>
      </c>
      <c r="B28" t="n">
        <v>509</v>
      </c>
      <c r="C28" t="n">
        <v>2051</v>
      </c>
      <c r="D28" t="n">
        <v>48318</v>
      </c>
      <c r="E28" t="n">
        <v>23849</v>
      </c>
      <c r="F28" t="n">
        <v>2740</v>
      </c>
      <c r="G28" t="n">
        <v>2338</v>
      </c>
      <c r="H28" t="n">
        <v>1474</v>
      </c>
      <c r="I28" t="n">
        <v>954</v>
      </c>
      <c r="J28" t="n">
        <v>271</v>
      </c>
      <c r="K28" t="n">
        <v>594</v>
      </c>
      <c r="L28" t="n">
        <v>418</v>
      </c>
      <c r="M28" t="n">
        <v>342</v>
      </c>
      <c r="N28" t="n">
        <v>3446</v>
      </c>
      <c r="O28" t="n">
        <v>1806</v>
      </c>
    </row>
    <row r="29">
      <c r="A29" t="inlineStr">
        <is>
          <t>- Urban Area</t>
        </is>
      </c>
      <c r="B29" t="n">
        <v>410</v>
      </c>
      <c r="C29" t="n">
        <v>1740</v>
      </c>
      <c r="D29" t="n">
        <v>41048</v>
      </c>
      <c r="E29" t="n">
        <v>20118</v>
      </c>
      <c r="F29" t="n">
        <v>2259</v>
      </c>
      <c r="G29" t="n">
        <v>1981</v>
      </c>
      <c r="H29" t="n">
        <v>1333</v>
      </c>
      <c r="I29" t="n">
        <v>887</v>
      </c>
      <c r="J29" t="n">
        <v>171</v>
      </c>
      <c r="K29" t="n">
        <v>543</v>
      </c>
      <c r="L29" t="n">
        <v>383</v>
      </c>
      <c r="M29" t="n">
        <v>269</v>
      </c>
      <c r="N29" t="n">
        <v>2924</v>
      </c>
      <c r="O29" t="n">
        <v>1526</v>
      </c>
    </row>
    <row r="30">
      <c r="A30" t="inlineStr">
        <is>
          <t>- Rural Area</t>
        </is>
      </c>
      <c r="B30" t="n">
        <v>99</v>
      </c>
      <c r="C30" t="n">
        <v>311</v>
      </c>
      <c r="D30" t="n">
        <v>7270</v>
      </c>
      <c r="E30" t="n">
        <v>3731</v>
      </c>
      <c r="F30" t="n">
        <v>481</v>
      </c>
      <c r="G30" t="n">
        <v>357</v>
      </c>
      <c r="H30" t="n">
        <v>141</v>
      </c>
      <c r="I30" t="n">
        <v>67</v>
      </c>
      <c r="J30" t="n">
        <v>100</v>
      </c>
      <c r="K30" t="n">
        <v>51</v>
      </c>
      <c r="L30" t="n">
        <v>35</v>
      </c>
      <c r="M30" t="n">
        <v>73</v>
      </c>
      <c r="N30" t="n">
        <v>522</v>
      </c>
      <c r="O30" t="n">
        <v>280</v>
      </c>
    </row>
  </sheetData>
  <mergeCells count="11">
    <mergeCell ref="D1:E1"/>
    <mergeCell ref="K1:L1"/>
    <mergeCell ref="H1:I1"/>
    <mergeCell ref="C1:C2"/>
    <mergeCell ref="B1:B2"/>
    <mergeCell ref="F1:G1"/>
    <mergeCell ref="M1:M2"/>
    <mergeCell ref="J1:J2"/>
    <mergeCell ref="O1:O2"/>
    <mergeCell ref="N1:N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22.1640625" customWidth="1" min="1" max="1"/>
    <col width="10.1640625" customWidth="1" min="2" max="2"/>
    <col width="10.5" customWidth="1" min="3" max="3"/>
    <col width="9.33203125" customWidth="1" min="5" max="5"/>
    <col width="8.83203125" customWidth="1" min="6" max="6"/>
    <col width="9.33203125" customWidth="1" min="9" max="9"/>
    <col width="9.83203125" customWidth="1" min="10" max="10"/>
    <col width="11.5" customWidth="1" min="11" max="11"/>
    <col width="9.83203125" customWidth="1" min="13" max="13"/>
    <col width="10.83203125" customWidth="1" min="15" max="15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Govern. staff</t>
        </is>
      </c>
      <c r="K1" t="inlineStr">
        <is>
          <t>Foreigner Teaching Staff</t>
        </is>
      </c>
      <c r="M1" t="inlineStr">
        <is>
          <t>Buildings</t>
        </is>
      </c>
      <c r="N1" t="inlineStr">
        <is>
          <t>Rooms</t>
        </is>
      </c>
      <c r="O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K2" t="inlineStr">
        <is>
          <t>Total</t>
        </is>
      </c>
      <c r="L2" t="inlineStr">
        <is>
          <t>Female</t>
        </is>
      </c>
    </row>
    <row r="3">
      <c r="A3" t="inlineStr">
        <is>
          <t>Banteay Meanchey</t>
        </is>
      </c>
      <c r="B3" t="n">
        <v>54</v>
      </c>
      <c r="C3" t="n">
        <v>596</v>
      </c>
      <c r="D3" t="n">
        <v>14332</v>
      </c>
      <c r="E3" t="n">
        <v>6879</v>
      </c>
      <c r="F3" t="n">
        <v>508</v>
      </c>
      <c r="G3" t="n">
        <v>307</v>
      </c>
      <c r="H3" t="n">
        <v>145</v>
      </c>
      <c r="I3" t="n">
        <v>67</v>
      </c>
      <c r="J3" t="n">
        <v>44</v>
      </c>
      <c r="K3" t="n">
        <v>13</v>
      </c>
      <c r="L3" t="n">
        <v>6</v>
      </c>
      <c r="M3" t="n">
        <v>69</v>
      </c>
      <c r="N3" t="n">
        <v>673</v>
      </c>
      <c r="O3" t="n">
        <v>436</v>
      </c>
    </row>
    <row r="4">
      <c r="A4" t="inlineStr">
        <is>
          <t>Battambang</t>
        </is>
      </c>
      <c r="B4" t="n">
        <v>18</v>
      </c>
      <c r="C4" t="n">
        <v>219</v>
      </c>
      <c r="D4" t="n">
        <v>4348</v>
      </c>
      <c r="E4" t="n">
        <v>2139</v>
      </c>
      <c r="F4" t="n">
        <v>243</v>
      </c>
      <c r="G4" t="n">
        <v>212</v>
      </c>
      <c r="H4" t="n">
        <v>49</v>
      </c>
      <c r="I4" t="n">
        <v>28</v>
      </c>
      <c r="J4" t="n">
        <v>163</v>
      </c>
      <c r="K4" t="n">
        <v>12</v>
      </c>
      <c r="L4" t="n">
        <v>9</v>
      </c>
      <c r="M4" t="n">
        <v>32</v>
      </c>
      <c r="N4" t="n">
        <v>256</v>
      </c>
      <c r="O4" t="n">
        <v>175</v>
      </c>
    </row>
    <row r="5">
      <c r="A5" t="inlineStr">
        <is>
          <t>Kampong Cham</t>
        </is>
      </c>
      <c r="B5" t="n">
        <v>14</v>
      </c>
      <c r="C5" t="n">
        <v>113</v>
      </c>
      <c r="D5" t="n">
        <v>2532</v>
      </c>
      <c r="E5" t="n">
        <v>1213</v>
      </c>
      <c r="F5" t="n">
        <v>110</v>
      </c>
      <c r="G5" t="n">
        <v>70</v>
      </c>
      <c r="H5" t="n">
        <v>18</v>
      </c>
      <c r="I5" t="n">
        <v>6</v>
      </c>
      <c r="J5" t="n">
        <v>12</v>
      </c>
      <c r="K5" t="n">
        <v>6</v>
      </c>
      <c r="L5" t="n">
        <v>6</v>
      </c>
      <c r="M5" t="n">
        <v>37</v>
      </c>
      <c r="N5" t="n">
        <v>148</v>
      </c>
      <c r="O5" t="n">
        <v>95</v>
      </c>
    </row>
    <row r="6">
      <c r="A6" t="inlineStr">
        <is>
          <t>Kampong Chhnang</t>
        </is>
      </c>
      <c r="B6" t="n">
        <v>9</v>
      </c>
      <c r="C6" t="n">
        <v>86</v>
      </c>
      <c r="D6" t="n">
        <v>1905</v>
      </c>
      <c r="E6" t="n">
        <v>905</v>
      </c>
      <c r="F6" t="n">
        <v>143</v>
      </c>
      <c r="G6" t="n">
        <v>101</v>
      </c>
      <c r="H6" t="n">
        <v>50</v>
      </c>
      <c r="I6" t="n">
        <v>23</v>
      </c>
      <c r="J6" t="n">
        <v>25</v>
      </c>
      <c r="K6" t="n">
        <v>7</v>
      </c>
      <c r="L6" t="n">
        <v>6</v>
      </c>
      <c r="M6" t="n">
        <v>19</v>
      </c>
      <c r="N6" t="n">
        <v>157</v>
      </c>
      <c r="O6" t="n">
        <v>85</v>
      </c>
    </row>
    <row r="7">
      <c r="A7" t="inlineStr">
        <is>
          <t>Kampong Speu</t>
        </is>
      </c>
      <c r="B7" t="n">
        <v>17</v>
      </c>
      <c r="C7" t="n">
        <v>155</v>
      </c>
      <c r="D7" t="n">
        <v>4276</v>
      </c>
      <c r="E7" t="n">
        <v>2189</v>
      </c>
      <c r="F7" t="n">
        <v>187</v>
      </c>
      <c r="G7" t="n">
        <v>124</v>
      </c>
      <c r="H7" t="n">
        <v>31</v>
      </c>
      <c r="I7" t="n">
        <v>9</v>
      </c>
      <c r="J7" t="n">
        <v>41</v>
      </c>
      <c r="K7" t="n">
        <v>16</v>
      </c>
      <c r="L7" t="n">
        <v>13</v>
      </c>
      <c r="M7" t="n">
        <v>35</v>
      </c>
      <c r="N7" t="n">
        <v>227</v>
      </c>
      <c r="O7" t="n">
        <v>145</v>
      </c>
    </row>
    <row r="8">
      <c r="A8" t="inlineStr">
        <is>
          <t>Kampong Thom</t>
        </is>
      </c>
      <c r="B8" t="n">
        <v>5</v>
      </c>
      <c r="C8" t="n">
        <v>31</v>
      </c>
      <c r="D8" t="n">
        <v>1049</v>
      </c>
      <c r="E8" t="n">
        <v>467</v>
      </c>
      <c r="F8" t="n">
        <v>63</v>
      </c>
      <c r="G8" t="n">
        <v>47</v>
      </c>
      <c r="H8" t="n">
        <v>18</v>
      </c>
      <c r="I8" t="n">
        <v>9</v>
      </c>
      <c r="J8" t="n">
        <v>21</v>
      </c>
      <c r="K8" t="n">
        <v>2</v>
      </c>
      <c r="L8" t="n">
        <v>2</v>
      </c>
      <c r="M8" t="n">
        <v>14</v>
      </c>
      <c r="N8" t="n">
        <v>72</v>
      </c>
      <c r="O8" t="n">
        <v>31</v>
      </c>
    </row>
    <row r="9">
      <c r="A9" t="inlineStr">
        <is>
          <t>Kampot</t>
        </is>
      </c>
      <c r="B9" t="n">
        <v>19</v>
      </c>
      <c r="C9" t="n">
        <v>172</v>
      </c>
      <c r="D9" t="n">
        <v>6234</v>
      </c>
      <c r="E9" t="n">
        <v>3285</v>
      </c>
      <c r="F9" t="n">
        <v>244</v>
      </c>
      <c r="G9" t="n">
        <v>152</v>
      </c>
      <c r="H9" t="n">
        <v>33</v>
      </c>
      <c r="I9" t="n">
        <v>12</v>
      </c>
      <c r="J9" t="n">
        <v>44</v>
      </c>
      <c r="K9" t="n">
        <v>35</v>
      </c>
      <c r="L9" t="n">
        <v>25</v>
      </c>
      <c r="M9" t="n">
        <v>31</v>
      </c>
      <c r="N9" t="n">
        <v>168</v>
      </c>
      <c r="O9" t="n">
        <v>166</v>
      </c>
    </row>
    <row r="10">
      <c r="A10" t="inlineStr">
        <is>
          <t>Kandal</t>
        </is>
      </c>
      <c r="B10" t="n">
        <v>20</v>
      </c>
      <c r="C10" t="n">
        <v>211</v>
      </c>
      <c r="D10" t="n">
        <v>5683</v>
      </c>
      <c r="E10" t="n">
        <v>2834</v>
      </c>
      <c r="F10" t="n">
        <v>229</v>
      </c>
      <c r="G10" t="n">
        <v>156</v>
      </c>
      <c r="H10" t="n">
        <v>95</v>
      </c>
      <c r="I10" t="n">
        <v>52</v>
      </c>
      <c r="J10" t="n">
        <v>70</v>
      </c>
      <c r="K10" t="n">
        <v>24</v>
      </c>
      <c r="L10" t="n">
        <v>17</v>
      </c>
      <c r="M10" t="n">
        <v>30</v>
      </c>
      <c r="N10" t="n">
        <v>397</v>
      </c>
      <c r="O10" t="n">
        <v>165</v>
      </c>
    </row>
    <row r="11">
      <c r="A11" t="inlineStr">
        <is>
          <t>Kep</t>
        </is>
      </c>
      <c r="B11" t="n">
        <v>1</v>
      </c>
      <c r="C11" t="n">
        <v>13</v>
      </c>
      <c r="D11" t="n">
        <v>715</v>
      </c>
      <c r="E11" t="n">
        <v>385</v>
      </c>
      <c r="F11" t="n">
        <v>16</v>
      </c>
      <c r="G11" t="n">
        <v>10</v>
      </c>
      <c r="H11" t="n">
        <v>0</v>
      </c>
      <c r="I11" t="n">
        <v>0</v>
      </c>
      <c r="J11" t="n">
        <v>1</v>
      </c>
      <c r="K11" t="n">
        <v>5</v>
      </c>
      <c r="L11" t="n">
        <v>2</v>
      </c>
      <c r="M11" t="n">
        <v>6</v>
      </c>
      <c r="N11" t="n">
        <v>14</v>
      </c>
      <c r="O11" t="n">
        <v>13</v>
      </c>
    </row>
    <row r="12">
      <c r="A12" t="inlineStr">
        <is>
          <t>Koh Kong</t>
        </is>
      </c>
      <c r="B12" t="n">
        <v>11</v>
      </c>
      <c r="C12" t="n">
        <v>87</v>
      </c>
      <c r="D12" t="n">
        <v>2594</v>
      </c>
      <c r="E12" t="n">
        <v>1337</v>
      </c>
      <c r="F12" t="n">
        <v>126</v>
      </c>
      <c r="G12" t="n">
        <v>77</v>
      </c>
      <c r="H12" t="n">
        <v>14</v>
      </c>
      <c r="I12" t="n">
        <v>7</v>
      </c>
      <c r="J12" t="n">
        <v>39</v>
      </c>
      <c r="K12" t="n">
        <v>11</v>
      </c>
      <c r="L12" t="n">
        <v>9</v>
      </c>
      <c r="M12" t="n">
        <v>32</v>
      </c>
      <c r="N12" t="n">
        <v>137</v>
      </c>
      <c r="O12" t="n">
        <v>84</v>
      </c>
    </row>
    <row r="13">
      <c r="A13" t="inlineStr">
        <is>
          <t>Kratie</t>
        </is>
      </c>
      <c r="B13" t="n">
        <v>5</v>
      </c>
      <c r="C13" t="n">
        <v>38</v>
      </c>
      <c r="D13" t="n">
        <v>1337</v>
      </c>
      <c r="E13" t="n">
        <v>800</v>
      </c>
      <c r="F13" t="n">
        <v>3</v>
      </c>
      <c r="G13" t="n">
        <v>2</v>
      </c>
      <c r="H13" t="n">
        <v>0</v>
      </c>
      <c r="I13" t="n">
        <v>0</v>
      </c>
      <c r="J13" t="n">
        <v>8</v>
      </c>
      <c r="K13" t="n">
        <v>15</v>
      </c>
      <c r="L13" t="n">
        <v>8</v>
      </c>
      <c r="M13" t="n">
        <v>1</v>
      </c>
      <c r="N13" t="n">
        <v>4</v>
      </c>
      <c r="O13" t="n">
        <v>38</v>
      </c>
    </row>
    <row r="14">
      <c r="A14" t="inlineStr">
        <is>
          <t>Mondul Kiri</t>
        </is>
      </c>
      <c r="B14" t="n">
        <v>2</v>
      </c>
      <c r="C14" t="n">
        <v>10</v>
      </c>
      <c r="D14" t="n">
        <v>205</v>
      </c>
      <c r="E14" t="n">
        <v>75</v>
      </c>
      <c r="F14" t="n">
        <v>12</v>
      </c>
      <c r="G14" t="n">
        <v>9</v>
      </c>
      <c r="H14" t="n">
        <v>15</v>
      </c>
      <c r="I14" t="n">
        <v>11</v>
      </c>
      <c r="J14" t="n">
        <v>0</v>
      </c>
      <c r="K14" t="n">
        <v>3</v>
      </c>
      <c r="L14" t="n">
        <v>1</v>
      </c>
      <c r="M14" t="n">
        <v>2</v>
      </c>
      <c r="N14" t="n">
        <v>16</v>
      </c>
      <c r="O14" t="n">
        <v>10</v>
      </c>
    </row>
    <row r="15">
      <c r="A15" t="inlineStr">
        <is>
          <t>Otdar Meanchey</t>
        </is>
      </c>
      <c r="B15" t="n">
        <v>3</v>
      </c>
      <c r="C15" t="n">
        <v>37</v>
      </c>
      <c r="D15" t="n">
        <v>1201</v>
      </c>
      <c r="E15" t="n">
        <v>548</v>
      </c>
      <c r="F15" t="n">
        <v>27</v>
      </c>
      <c r="G15" t="n">
        <v>17</v>
      </c>
      <c r="H15" t="n">
        <v>5</v>
      </c>
      <c r="I15" t="n">
        <v>3</v>
      </c>
      <c r="J15" t="n">
        <v>0</v>
      </c>
      <c r="K15" t="n">
        <v>0</v>
      </c>
      <c r="L15" t="n">
        <v>0</v>
      </c>
      <c r="M15" t="n">
        <v>8</v>
      </c>
      <c r="N15" t="n">
        <v>32</v>
      </c>
      <c r="O15" t="n">
        <v>22</v>
      </c>
    </row>
    <row r="16">
      <c r="A16" t="inlineStr">
        <is>
          <t>Pailin</t>
        </is>
      </c>
      <c r="B16" t="n">
        <v>9</v>
      </c>
      <c r="C16" t="n">
        <v>74</v>
      </c>
      <c r="D16" t="n">
        <v>1527</v>
      </c>
      <c r="E16" t="n">
        <v>763</v>
      </c>
      <c r="F16" t="n">
        <v>87</v>
      </c>
      <c r="G16" t="n">
        <v>60</v>
      </c>
      <c r="H16" t="n">
        <v>28</v>
      </c>
      <c r="I16" t="n">
        <v>9</v>
      </c>
      <c r="J16" t="n">
        <v>14</v>
      </c>
      <c r="K16" t="n">
        <v>3</v>
      </c>
      <c r="L16" t="n">
        <v>1</v>
      </c>
      <c r="M16" t="n">
        <v>22</v>
      </c>
      <c r="N16" t="n">
        <v>144</v>
      </c>
      <c r="O16" t="n">
        <v>65</v>
      </c>
    </row>
    <row r="17">
      <c r="A17" t="inlineStr">
        <is>
          <t>Phnom Penh</t>
        </is>
      </c>
      <c r="B17" t="n">
        <v>215</v>
      </c>
      <c r="C17" t="n">
        <v>2508</v>
      </c>
      <c r="D17" t="n">
        <v>57571</v>
      </c>
      <c r="E17" t="n">
        <v>28851</v>
      </c>
      <c r="F17" t="n">
        <v>2886</v>
      </c>
      <c r="G17" t="n">
        <v>1950</v>
      </c>
      <c r="H17" t="n">
        <v>1690</v>
      </c>
      <c r="I17" t="n">
        <v>1001</v>
      </c>
      <c r="J17" t="n">
        <v>839</v>
      </c>
      <c r="K17" t="n">
        <v>434</v>
      </c>
      <c r="L17" t="n">
        <v>255</v>
      </c>
      <c r="M17" t="n">
        <v>301</v>
      </c>
      <c r="N17" t="n">
        <v>4887</v>
      </c>
      <c r="O17" t="n">
        <v>1921</v>
      </c>
    </row>
    <row r="18">
      <c r="A18" t="inlineStr">
        <is>
          <t>Preah Sihanouk</t>
        </is>
      </c>
      <c r="B18" t="n">
        <v>15</v>
      </c>
      <c r="C18" t="n">
        <v>167</v>
      </c>
      <c r="D18" t="n">
        <v>4223</v>
      </c>
      <c r="E18" t="n">
        <v>2029</v>
      </c>
      <c r="F18" t="n">
        <v>198</v>
      </c>
      <c r="G18" t="n">
        <v>124</v>
      </c>
      <c r="H18" t="n">
        <v>48</v>
      </c>
      <c r="I18" t="n">
        <v>29</v>
      </c>
      <c r="J18" t="n">
        <v>52</v>
      </c>
      <c r="K18" t="n">
        <v>44</v>
      </c>
      <c r="L18" t="n">
        <v>34</v>
      </c>
      <c r="M18" t="n">
        <v>27</v>
      </c>
      <c r="N18" t="n">
        <v>277</v>
      </c>
      <c r="O18" t="n">
        <v>137</v>
      </c>
    </row>
    <row r="19">
      <c r="A19" t="inlineStr">
        <is>
          <t>Preah Vihear</t>
        </is>
      </c>
      <c r="B19" t="n">
        <v>2</v>
      </c>
      <c r="C19" t="n">
        <v>13</v>
      </c>
      <c r="D19" t="n">
        <v>186</v>
      </c>
      <c r="E19" t="n">
        <v>76</v>
      </c>
      <c r="F19" t="n">
        <v>14</v>
      </c>
      <c r="G19" t="n">
        <v>11</v>
      </c>
      <c r="H19" t="n">
        <v>1</v>
      </c>
      <c r="I19" t="n">
        <v>1</v>
      </c>
      <c r="J19" t="n">
        <v>0</v>
      </c>
      <c r="K19" t="n">
        <v>2</v>
      </c>
      <c r="L19" t="n">
        <v>0</v>
      </c>
      <c r="M19" t="n">
        <v>2</v>
      </c>
      <c r="N19" t="n">
        <v>27</v>
      </c>
      <c r="O19" t="n">
        <v>0</v>
      </c>
    </row>
    <row r="20">
      <c r="A20" t="inlineStr">
        <is>
          <t>Prey Veng</t>
        </is>
      </c>
      <c r="B20" t="n">
        <v>1</v>
      </c>
      <c r="C20" t="n">
        <v>5</v>
      </c>
      <c r="D20" t="n">
        <v>78</v>
      </c>
      <c r="E20" t="n">
        <v>47</v>
      </c>
      <c r="F20" t="n">
        <v>7</v>
      </c>
      <c r="G20" t="n">
        <v>7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8</v>
      </c>
      <c r="O20" t="n">
        <v>5</v>
      </c>
    </row>
    <row r="21">
      <c r="A21" t="inlineStr">
        <is>
          <t>Pursat</t>
        </is>
      </c>
      <c r="B21" t="n">
        <v>4</v>
      </c>
      <c r="C21" t="n">
        <v>28</v>
      </c>
      <c r="D21" t="n">
        <v>1031</v>
      </c>
      <c r="E21" t="n">
        <v>559</v>
      </c>
      <c r="F21" t="n">
        <v>27</v>
      </c>
      <c r="G21" t="n">
        <v>27</v>
      </c>
      <c r="H21" t="n">
        <v>5</v>
      </c>
      <c r="I21" t="n">
        <v>3</v>
      </c>
      <c r="J21" t="n">
        <v>7</v>
      </c>
      <c r="K21" t="n">
        <v>0</v>
      </c>
      <c r="L21" t="n">
        <v>0</v>
      </c>
      <c r="M21" t="n">
        <v>5</v>
      </c>
      <c r="N21" t="n">
        <v>39</v>
      </c>
      <c r="O21" t="n">
        <v>25</v>
      </c>
    </row>
    <row r="22">
      <c r="A22" t="inlineStr">
        <is>
          <t>Ratanak Kiri</t>
        </is>
      </c>
      <c r="B22" t="n">
        <v>5</v>
      </c>
      <c r="C22" t="n">
        <v>72</v>
      </c>
      <c r="D22" t="n">
        <v>1733</v>
      </c>
      <c r="E22" t="n">
        <v>814</v>
      </c>
      <c r="F22" t="n">
        <v>73</v>
      </c>
      <c r="G22" t="n">
        <v>52</v>
      </c>
      <c r="H22" t="n">
        <v>16</v>
      </c>
      <c r="I22" t="n">
        <v>8</v>
      </c>
      <c r="J22" t="n">
        <v>55</v>
      </c>
      <c r="K22" t="n">
        <v>0</v>
      </c>
      <c r="L22" t="n">
        <v>0</v>
      </c>
      <c r="M22" t="n">
        <v>14</v>
      </c>
      <c r="N22" t="n">
        <v>134</v>
      </c>
      <c r="O22" t="n">
        <v>59</v>
      </c>
    </row>
    <row r="23">
      <c r="A23" t="inlineStr">
        <is>
          <t>Siemreap</t>
        </is>
      </c>
      <c r="B23" t="n">
        <v>35</v>
      </c>
      <c r="C23" t="n">
        <v>266</v>
      </c>
      <c r="D23" t="n">
        <v>6197</v>
      </c>
      <c r="E23" t="n">
        <v>2954</v>
      </c>
      <c r="F23" t="n">
        <v>327</v>
      </c>
      <c r="G23" t="n">
        <v>251</v>
      </c>
      <c r="H23" t="n">
        <v>69</v>
      </c>
      <c r="I23" t="n">
        <v>54</v>
      </c>
      <c r="J23" t="n">
        <v>131</v>
      </c>
      <c r="K23" t="n">
        <v>57</v>
      </c>
      <c r="L23" t="n">
        <v>45</v>
      </c>
      <c r="M23" t="n">
        <v>68</v>
      </c>
      <c r="N23" t="n">
        <v>556</v>
      </c>
      <c r="O23" t="n">
        <v>240</v>
      </c>
    </row>
    <row r="24">
      <c r="A24" t="inlineStr">
        <is>
          <t>Stung Treng</t>
        </is>
      </c>
      <c r="B24" t="n">
        <v>1</v>
      </c>
      <c r="C24" t="n">
        <v>6</v>
      </c>
      <c r="D24" t="n">
        <v>154</v>
      </c>
      <c r="E24" t="n">
        <v>62</v>
      </c>
      <c r="F24" t="n">
        <v>4</v>
      </c>
      <c r="G24" t="n">
        <v>1</v>
      </c>
      <c r="H24" t="n">
        <v>2</v>
      </c>
      <c r="I24" t="n">
        <v>2</v>
      </c>
      <c r="J24" t="n">
        <v>0</v>
      </c>
      <c r="K24" t="n">
        <v>2</v>
      </c>
      <c r="L24" t="n">
        <v>2</v>
      </c>
      <c r="M24" t="n">
        <v>1</v>
      </c>
      <c r="N24" t="n">
        <v>6</v>
      </c>
      <c r="O24" t="n">
        <v>6</v>
      </c>
    </row>
    <row r="25">
      <c r="A25" t="inlineStr">
        <is>
          <t>Svay Rieng</t>
        </is>
      </c>
      <c r="B25" t="n">
        <v>3</v>
      </c>
      <c r="C25" t="n">
        <v>11</v>
      </c>
      <c r="D25" t="n">
        <v>198</v>
      </c>
      <c r="E25" t="n">
        <v>95</v>
      </c>
      <c r="F25" t="n">
        <v>20</v>
      </c>
      <c r="G25" t="n">
        <v>18</v>
      </c>
      <c r="H25" t="n">
        <v>4</v>
      </c>
      <c r="I25" t="n">
        <v>1</v>
      </c>
      <c r="J25" t="n">
        <v>0</v>
      </c>
      <c r="K25" t="n">
        <v>8</v>
      </c>
      <c r="L25" t="n">
        <v>8</v>
      </c>
      <c r="M25" t="n">
        <v>4</v>
      </c>
      <c r="N25" t="n">
        <v>51</v>
      </c>
      <c r="O25" t="n">
        <v>8</v>
      </c>
    </row>
    <row r="26">
      <c r="A26" t="inlineStr">
        <is>
          <t>Takeo</t>
        </is>
      </c>
      <c r="B26" t="n">
        <v>10</v>
      </c>
      <c r="C26" t="n">
        <v>64</v>
      </c>
      <c r="D26" t="n">
        <v>1640</v>
      </c>
      <c r="E26" t="n">
        <v>767</v>
      </c>
      <c r="F26" t="n">
        <v>93</v>
      </c>
      <c r="G26" t="n">
        <v>43</v>
      </c>
      <c r="H26" t="n">
        <v>27</v>
      </c>
      <c r="I26" t="n">
        <v>15</v>
      </c>
      <c r="J26" t="n">
        <v>15</v>
      </c>
      <c r="K26" t="n">
        <v>0</v>
      </c>
      <c r="L26" t="n">
        <v>0</v>
      </c>
      <c r="M26" t="n">
        <v>21</v>
      </c>
      <c r="N26" t="n">
        <v>122</v>
      </c>
      <c r="O26" t="n">
        <v>64</v>
      </c>
    </row>
    <row r="27">
      <c r="A27" t="inlineStr">
        <is>
          <t>Tbaung Khmum</t>
        </is>
      </c>
      <c r="B27" t="n">
        <v>10</v>
      </c>
      <c r="C27" t="n">
        <v>65</v>
      </c>
      <c r="D27" t="n">
        <v>1937</v>
      </c>
      <c r="E27" t="n">
        <v>1063</v>
      </c>
      <c r="F27" t="n">
        <v>95</v>
      </c>
      <c r="G27" t="n">
        <v>59</v>
      </c>
      <c r="H27" t="n">
        <v>19</v>
      </c>
      <c r="I27" t="n">
        <v>10</v>
      </c>
      <c r="J27" t="n">
        <v>12</v>
      </c>
      <c r="K27" t="n">
        <v>12</v>
      </c>
      <c r="L27" t="n">
        <v>11</v>
      </c>
      <c r="M27" t="n">
        <v>20</v>
      </c>
      <c r="N27" t="n">
        <v>134</v>
      </c>
      <c r="O27" t="n">
        <v>65</v>
      </c>
    </row>
    <row r="28">
      <c r="A28" t="inlineStr">
        <is>
          <t>Whole Kingdom</t>
        </is>
      </c>
      <c r="B28" t="n">
        <v>488</v>
      </c>
      <c r="C28" t="n">
        <v>5047</v>
      </c>
      <c r="D28" t="n">
        <v>122886</v>
      </c>
      <c r="E28" t="n">
        <v>61136</v>
      </c>
      <c r="F28" t="n">
        <v>5742</v>
      </c>
      <c r="G28" t="n">
        <v>3887</v>
      </c>
      <c r="H28" t="n">
        <v>2384</v>
      </c>
      <c r="I28" t="n">
        <v>1360</v>
      </c>
      <c r="J28" t="n">
        <v>1593</v>
      </c>
      <c r="K28" t="n">
        <v>711</v>
      </c>
      <c r="L28" t="n">
        <v>460</v>
      </c>
      <c r="M28" t="n">
        <v>802</v>
      </c>
      <c r="N28" t="n">
        <v>8686</v>
      </c>
      <c r="O28" t="n">
        <v>4060</v>
      </c>
    </row>
    <row r="29">
      <c r="A29" t="inlineStr">
        <is>
          <t>- Urban Area</t>
        </is>
      </c>
      <c r="B29" t="n">
        <v>395</v>
      </c>
      <c r="C29" t="n">
        <v>4299</v>
      </c>
      <c r="D29" t="n">
        <v>100436</v>
      </c>
      <c r="E29" t="n">
        <v>49709</v>
      </c>
      <c r="F29" t="n">
        <v>4788</v>
      </c>
      <c r="G29" t="n">
        <v>3305</v>
      </c>
      <c r="H29" t="n">
        <v>2206</v>
      </c>
      <c r="I29" t="n">
        <v>1295</v>
      </c>
      <c r="J29" t="n">
        <v>1400</v>
      </c>
      <c r="K29" t="n">
        <v>628</v>
      </c>
      <c r="L29" t="n">
        <v>400</v>
      </c>
      <c r="M29" t="n">
        <v>584</v>
      </c>
      <c r="N29" t="n">
        <v>7657</v>
      </c>
      <c r="O29" t="n">
        <v>3358</v>
      </c>
    </row>
    <row r="30">
      <c r="A30" t="inlineStr">
        <is>
          <t>- Rural Area</t>
        </is>
      </c>
      <c r="B30" t="n">
        <v>93</v>
      </c>
      <c r="C30" t="n">
        <v>748</v>
      </c>
      <c r="D30" t="n">
        <v>22450</v>
      </c>
      <c r="E30" t="n">
        <v>11427</v>
      </c>
      <c r="F30" t="n">
        <v>954</v>
      </c>
      <c r="G30" t="n">
        <v>582</v>
      </c>
      <c r="H30" t="n">
        <v>178</v>
      </c>
      <c r="I30" t="n">
        <v>65</v>
      </c>
      <c r="J30" t="n">
        <v>193</v>
      </c>
      <c r="K30" t="n">
        <v>83</v>
      </c>
      <c r="L30" t="n">
        <v>60</v>
      </c>
      <c r="M30" t="n">
        <v>218</v>
      </c>
      <c r="N30" t="n">
        <v>1029</v>
      </c>
      <c r="O30" t="n">
        <v>702</v>
      </c>
    </row>
  </sheetData>
  <mergeCells count="11">
    <mergeCell ref="D1:E1"/>
    <mergeCell ref="K1:L1"/>
    <mergeCell ref="H1:I1"/>
    <mergeCell ref="C1:C2"/>
    <mergeCell ref="B1:B2"/>
    <mergeCell ref="F1:G1"/>
    <mergeCell ref="M1:M2"/>
    <mergeCell ref="J1:J2"/>
    <mergeCell ref="O1:O2"/>
    <mergeCell ref="N1:N2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24.1640625" customWidth="1" min="1" max="1"/>
    <col width="10.1640625" customWidth="1" min="2" max="2"/>
    <col width="9.33203125" customWidth="1" min="4" max="4"/>
    <col width="8.83203125" customWidth="1" min="8" max="8"/>
    <col width="9.33203125" customWidth="1" min="9" max="9"/>
    <col width="11.33203125" customWidth="1" min="11" max="11"/>
    <col width="11.1640625" customWidth="1" min="12" max="12"/>
    <col width="9.83203125" customWidth="1" min="13" max="13"/>
    <col width="11.1640625" customWidth="1" min="15" max="15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Govern. staff</t>
        </is>
      </c>
      <c r="K1" t="inlineStr">
        <is>
          <t>Foreigner Teaching Staff</t>
        </is>
      </c>
      <c r="M1" t="inlineStr">
        <is>
          <t>Buildings</t>
        </is>
      </c>
      <c r="N1" t="inlineStr">
        <is>
          <t>Rooms</t>
        </is>
      </c>
      <c r="O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K2" t="inlineStr">
        <is>
          <t>Total</t>
        </is>
      </c>
      <c r="L2" t="inlineStr">
        <is>
          <t>Female</t>
        </is>
      </c>
    </row>
    <row r="3">
      <c r="A3" t="inlineStr">
        <is>
          <t>Banteay Meanchey</t>
        </is>
      </c>
      <c r="B3" t="n">
        <v>21</v>
      </c>
      <c r="C3" t="n">
        <v>161</v>
      </c>
      <c r="D3" t="n">
        <v>4217</v>
      </c>
      <c r="E3" t="n">
        <v>2079</v>
      </c>
      <c r="F3" t="n">
        <v>397</v>
      </c>
      <c r="G3" t="n">
        <v>134</v>
      </c>
      <c r="H3" t="n">
        <v>68</v>
      </c>
      <c r="I3" t="n">
        <v>19</v>
      </c>
      <c r="J3" t="n">
        <v>217</v>
      </c>
      <c r="K3" t="n">
        <v>28</v>
      </c>
      <c r="L3" t="n">
        <v>13</v>
      </c>
      <c r="M3" t="n">
        <v>33</v>
      </c>
      <c r="N3" t="n">
        <v>400</v>
      </c>
      <c r="O3" t="n">
        <v>157</v>
      </c>
    </row>
    <row r="4">
      <c r="A4" t="inlineStr">
        <is>
          <t>Battambang</t>
        </is>
      </c>
      <c r="B4" t="n">
        <v>11</v>
      </c>
      <c r="C4" t="n">
        <v>113</v>
      </c>
      <c r="D4" t="n">
        <v>3183</v>
      </c>
      <c r="E4" t="n">
        <v>1627</v>
      </c>
      <c r="F4" t="n">
        <v>448</v>
      </c>
      <c r="G4" t="n">
        <v>196</v>
      </c>
      <c r="H4" t="n">
        <v>92</v>
      </c>
      <c r="I4" t="n">
        <v>34</v>
      </c>
      <c r="J4" t="n">
        <v>371</v>
      </c>
      <c r="K4" t="n">
        <v>4</v>
      </c>
      <c r="L4" t="n">
        <v>0</v>
      </c>
      <c r="M4" t="n">
        <v>14</v>
      </c>
      <c r="N4" t="n">
        <v>258</v>
      </c>
      <c r="O4" t="n">
        <v>115</v>
      </c>
    </row>
    <row r="5">
      <c r="A5" t="inlineStr">
        <is>
          <t>Kampong Cham</t>
        </is>
      </c>
      <c r="B5" t="n">
        <v>4</v>
      </c>
      <c r="C5" t="n">
        <v>23</v>
      </c>
      <c r="D5" t="n">
        <v>625</v>
      </c>
      <c r="E5" t="n">
        <v>301</v>
      </c>
      <c r="F5" t="n">
        <v>69</v>
      </c>
      <c r="G5" t="n">
        <v>28</v>
      </c>
      <c r="H5" t="n">
        <v>12</v>
      </c>
      <c r="I5" t="n">
        <v>6</v>
      </c>
      <c r="J5" t="n">
        <v>40</v>
      </c>
      <c r="K5" t="n">
        <v>1</v>
      </c>
      <c r="L5" t="n">
        <v>0</v>
      </c>
      <c r="M5" t="n">
        <v>9</v>
      </c>
      <c r="N5" t="n">
        <v>107</v>
      </c>
      <c r="O5" t="n">
        <v>23</v>
      </c>
    </row>
    <row r="6">
      <c r="A6" t="inlineStr">
        <is>
          <t>Kampong Chhnang</t>
        </is>
      </c>
      <c r="B6" t="n">
        <v>5</v>
      </c>
      <c r="C6" t="n">
        <v>41</v>
      </c>
      <c r="D6" t="n">
        <v>1068</v>
      </c>
      <c r="E6" t="n">
        <v>414</v>
      </c>
      <c r="F6" t="n">
        <v>144</v>
      </c>
      <c r="G6" t="n">
        <v>74</v>
      </c>
      <c r="H6" t="n">
        <v>9</v>
      </c>
      <c r="I6" t="n">
        <v>2</v>
      </c>
      <c r="J6" t="n">
        <v>107</v>
      </c>
      <c r="K6" t="n">
        <v>1</v>
      </c>
      <c r="L6" t="n">
        <v>0</v>
      </c>
      <c r="M6" t="n">
        <v>21</v>
      </c>
      <c r="N6" t="n">
        <v>104</v>
      </c>
      <c r="O6" t="n">
        <v>41</v>
      </c>
    </row>
    <row r="7">
      <c r="A7" t="inlineStr">
        <is>
          <t>Kampong Speu</t>
        </is>
      </c>
      <c r="B7" t="n">
        <v>8</v>
      </c>
      <c r="C7" t="n">
        <v>40</v>
      </c>
      <c r="D7" t="n">
        <v>941</v>
      </c>
      <c r="E7" t="n">
        <v>476</v>
      </c>
      <c r="F7" t="n">
        <v>115</v>
      </c>
      <c r="G7" t="n">
        <v>45</v>
      </c>
      <c r="H7" t="n">
        <v>28</v>
      </c>
      <c r="I7" t="n">
        <v>10</v>
      </c>
      <c r="J7" t="n">
        <v>51</v>
      </c>
      <c r="K7" t="n">
        <v>12</v>
      </c>
      <c r="L7" t="n">
        <v>7</v>
      </c>
      <c r="M7" t="n">
        <v>13</v>
      </c>
      <c r="N7" t="n">
        <v>132</v>
      </c>
      <c r="O7" t="n">
        <v>39</v>
      </c>
    </row>
    <row r="8">
      <c r="A8" t="inlineStr">
        <is>
          <t>Kampong Thom</t>
        </is>
      </c>
      <c r="B8" t="n">
        <v>3</v>
      </c>
      <c r="C8" t="n">
        <v>14</v>
      </c>
      <c r="D8" t="n">
        <v>308</v>
      </c>
      <c r="E8" t="n">
        <v>139</v>
      </c>
      <c r="F8" t="n">
        <v>34</v>
      </c>
      <c r="G8" t="n">
        <v>11</v>
      </c>
      <c r="H8" t="n">
        <v>10</v>
      </c>
      <c r="I8" t="n">
        <v>5</v>
      </c>
      <c r="J8" t="n">
        <v>39</v>
      </c>
      <c r="K8" t="n">
        <v>2</v>
      </c>
      <c r="L8" t="n">
        <v>2</v>
      </c>
      <c r="M8" t="n">
        <v>14</v>
      </c>
      <c r="N8" t="n">
        <v>47</v>
      </c>
      <c r="O8" t="n">
        <v>14</v>
      </c>
    </row>
    <row r="9">
      <c r="A9" t="inlineStr">
        <is>
          <t>Kampot</t>
        </is>
      </c>
      <c r="B9" t="n">
        <v>14</v>
      </c>
      <c r="C9" t="n">
        <v>84</v>
      </c>
      <c r="D9" t="n">
        <v>2356</v>
      </c>
      <c r="E9" t="n">
        <v>1238</v>
      </c>
      <c r="F9" t="n">
        <v>238</v>
      </c>
      <c r="G9" t="n">
        <v>91</v>
      </c>
      <c r="H9" t="n">
        <v>24</v>
      </c>
      <c r="I9" t="n">
        <v>17</v>
      </c>
      <c r="J9" t="n">
        <v>135</v>
      </c>
      <c r="K9" t="n">
        <v>19</v>
      </c>
      <c r="L9" t="n">
        <v>11</v>
      </c>
      <c r="M9" t="n">
        <v>38</v>
      </c>
      <c r="N9" t="n">
        <v>258</v>
      </c>
      <c r="O9" t="n">
        <v>84</v>
      </c>
    </row>
    <row r="10">
      <c r="A10" t="inlineStr">
        <is>
          <t>Kandal</t>
        </is>
      </c>
      <c r="B10" t="n">
        <v>10</v>
      </c>
      <c r="C10" t="n">
        <v>119</v>
      </c>
      <c r="D10" t="n">
        <v>3040</v>
      </c>
      <c r="E10" t="n">
        <v>1284</v>
      </c>
      <c r="F10" t="n">
        <v>239</v>
      </c>
      <c r="G10" t="n">
        <v>79</v>
      </c>
      <c r="H10" t="n">
        <v>72</v>
      </c>
      <c r="I10" t="n">
        <v>28</v>
      </c>
      <c r="J10" t="n">
        <v>235</v>
      </c>
      <c r="K10" t="n">
        <v>7</v>
      </c>
      <c r="L10" t="n">
        <v>6</v>
      </c>
      <c r="M10" t="n">
        <v>24</v>
      </c>
      <c r="N10" t="n">
        <v>425</v>
      </c>
      <c r="O10" t="n">
        <v>109</v>
      </c>
    </row>
    <row r="11">
      <c r="A11" t="inlineStr">
        <is>
          <t>Koh Kong</t>
        </is>
      </c>
      <c r="B11" t="n">
        <v>3</v>
      </c>
      <c r="C11" t="n">
        <v>14</v>
      </c>
      <c r="D11" t="n">
        <v>349</v>
      </c>
      <c r="E11" t="n">
        <v>154</v>
      </c>
      <c r="F11" t="n">
        <v>51</v>
      </c>
      <c r="G11" t="n">
        <v>15</v>
      </c>
      <c r="H11" t="n">
        <v>8</v>
      </c>
      <c r="I11" t="n">
        <v>2</v>
      </c>
      <c r="J11" t="n">
        <v>3</v>
      </c>
      <c r="K11" t="n">
        <v>2</v>
      </c>
      <c r="L11" t="n">
        <v>2</v>
      </c>
      <c r="M11" t="n">
        <v>6</v>
      </c>
      <c r="N11" t="n">
        <v>34</v>
      </c>
      <c r="O11" t="n">
        <v>14</v>
      </c>
    </row>
    <row r="12">
      <c r="A12" t="inlineStr">
        <is>
          <t>Phnom Penh</t>
        </is>
      </c>
      <c r="B12" t="n">
        <v>102</v>
      </c>
      <c r="C12" t="n">
        <v>990</v>
      </c>
      <c r="D12" t="n">
        <v>23900</v>
      </c>
      <c r="E12" t="n">
        <v>12087</v>
      </c>
      <c r="F12" t="n">
        <v>2394</v>
      </c>
      <c r="G12" t="n">
        <v>921</v>
      </c>
      <c r="H12" t="n">
        <v>965</v>
      </c>
      <c r="I12" t="n">
        <v>505</v>
      </c>
      <c r="J12" t="n">
        <v>1417</v>
      </c>
      <c r="K12" t="n">
        <v>308</v>
      </c>
      <c r="L12" t="n">
        <v>137</v>
      </c>
      <c r="M12" t="n">
        <v>139</v>
      </c>
      <c r="N12" t="n">
        <v>2734</v>
      </c>
      <c r="O12" t="n">
        <v>812</v>
      </c>
    </row>
    <row r="13">
      <c r="A13" t="inlineStr">
        <is>
          <t>Preah Sihanouk</t>
        </is>
      </c>
      <c r="B13" t="n">
        <v>10</v>
      </c>
      <c r="C13" t="n">
        <v>84</v>
      </c>
      <c r="D13" t="n">
        <v>2173</v>
      </c>
      <c r="E13" t="n">
        <v>1027</v>
      </c>
      <c r="F13" t="n">
        <v>210</v>
      </c>
      <c r="G13" t="n">
        <v>46</v>
      </c>
      <c r="H13" t="n">
        <v>29</v>
      </c>
      <c r="I13" t="n">
        <v>16</v>
      </c>
      <c r="J13" t="n">
        <v>155</v>
      </c>
      <c r="K13" t="n">
        <v>29</v>
      </c>
      <c r="L13" t="n">
        <v>21</v>
      </c>
      <c r="M13" t="n">
        <v>18</v>
      </c>
      <c r="N13" t="n">
        <v>231</v>
      </c>
      <c r="O13" t="n">
        <v>81</v>
      </c>
    </row>
    <row r="14">
      <c r="A14" t="inlineStr">
        <is>
          <t>Prey Veng</t>
        </is>
      </c>
      <c r="B14" t="n">
        <v>1</v>
      </c>
      <c r="C14" t="n">
        <v>3</v>
      </c>
      <c r="D14" t="n">
        <v>133</v>
      </c>
      <c r="E14" t="n">
        <v>78</v>
      </c>
      <c r="F14" t="n">
        <v>22</v>
      </c>
      <c r="G14" t="n">
        <v>5</v>
      </c>
      <c r="H14" t="n">
        <v>3</v>
      </c>
      <c r="I14" t="n">
        <v>2</v>
      </c>
      <c r="J14" t="n">
        <v>20</v>
      </c>
      <c r="K14" t="n">
        <v>1</v>
      </c>
      <c r="L14" t="n">
        <v>0</v>
      </c>
      <c r="M14" t="n">
        <v>3</v>
      </c>
      <c r="N14" t="n">
        <v>8</v>
      </c>
      <c r="O14" t="n">
        <v>3</v>
      </c>
    </row>
    <row r="15">
      <c r="A15" t="inlineStr">
        <is>
          <t>Ratanak Kiri</t>
        </is>
      </c>
      <c r="B15" t="n">
        <v>4</v>
      </c>
      <c r="C15" t="n">
        <v>26</v>
      </c>
      <c r="D15" t="n">
        <v>471</v>
      </c>
      <c r="E15" t="n">
        <v>202</v>
      </c>
      <c r="F15" t="n">
        <v>71</v>
      </c>
      <c r="G15" t="n">
        <v>27</v>
      </c>
      <c r="H15" t="n">
        <v>28</v>
      </c>
      <c r="I15" t="n">
        <v>16</v>
      </c>
      <c r="J15" t="n">
        <v>55</v>
      </c>
      <c r="K15" t="n">
        <v>0</v>
      </c>
      <c r="L15" t="n">
        <v>0</v>
      </c>
      <c r="M15" t="n">
        <v>17</v>
      </c>
      <c r="N15" t="n">
        <v>152</v>
      </c>
      <c r="O15" t="n">
        <v>26</v>
      </c>
    </row>
    <row r="16">
      <c r="A16" t="inlineStr">
        <is>
          <t>Siemreap</t>
        </is>
      </c>
      <c r="B16" t="n">
        <v>18</v>
      </c>
      <c r="C16" t="n">
        <v>113</v>
      </c>
      <c r="D16" t="n">
        <v>2477</v>
      </c>
      <c r="E16" t="n">
        <v>1218</v>
      </c>
      <c r="F16" t="n">
        <v>387</v>
      </c>
      <c r="G16" t="n">
        <v>193</v>
      </c>
      <c r="H16" t="n">
        <v>60</v>
      </c>
      <c r="I16" t="n">
        <v>34</v>
      </c>
      <c r="J16" t="n">
        <v>296</v>
      </c>
      <c r="K16" t="n">
        <v>67</v>
      </c>
      <c r="L16" t="n">
        <v>30</v>
      </c>
      <c r="M16" t="n">
        <v>11</v>
      </c>
      <c r="N16" t="n">
        <v>247</v>
      </c>
      <c r="O16" t="n">
        <v>101</v>
      </c>
    </row>
    <row r="17">
      <c r="A17" t="inlineStr">
        <is>
          <t>Stung Treng</t>
        </is>
      </c>
      <c r="B17" t="n">
        <v>1</v>
      </c>
      <c r="C17" t="n">
        <v>6</v>
      </c>
      <c r="D17" t="n">
        <v>21</v>
      </c>
      <c r="E17" t="n">
        <v>10</v>
      </c>
      <c r="F17" t="n">
        <v>5</v>
      </c>
      <c r="G17" t="n">
        <v>1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1</v>
      </c>
      <c r="N17" t="n">
        <v>6</v>
      </c>
      <c r="O17" t="n">
        <v>6</v>
      </c>
    </row>
    <row r="18">
      <c r="A18" t="inlineStr">
        <is>
          <t>Takeo</t>
        </is>
      </c>
      <c r="B18" t="n">
        <v>5</v>
      </c>
      <c r="C18" t="n">
        <v>31</v>
      </c>
      <c r="D18" t="n">
        <v>627</v>
      </c>
      <c r="E18" t="n">
        <v>287</v>
      </c>
      <c r="F18" t="n">
        <v>121</v>
      </c>
      <c r="G18" t="n">
        <v>30</v>
      </c>
      <c r="H18" t="n">
        <v>42</v>
      </c>
      <c r="I18" t="n">
        <v>21</v>
      </c>
      <c r="J18" t="n">
        <v>54</v>
      </c>
      <c r="K18" t="n">
        <v>0</v>
      </c>
      <c r="L18" t="n">
        <v>0</v>
      </c>
      <c r="M18" t="n">
        <v>12</v>
      </c>
      <c r="N18" t="n">
        <v>104</v>
      </c>
      <c r="O18" t="n">
        <v>31</v>
      </c>
    </row>
    <row r="19">
      <c r="A19" t="inlineStr">
        <is>
          <t>Tbaung Khmum</t>
        </is>
      </c>
      <c r="B19" t="n">
        <v>5</v>
      </c>
      <c r="C19" t="n">
        <v>30</v>
      </c>
      <c r="D19" t="n">
        <v>1264</v>
      </c>
      <c r="E19" t="n">
        <v>974</v>
      </c>
      <c r="F19" t="n">
        <v>69</v>
      </c>
      <c r="G19" t="n">
        <v>22</v>
      </c>
      <c r="H19" t="n">
        <v>10</v>
      </c>
      <c r="I19" t="n">
        <v>3</v>
      </c>
      <c r="J19" t="n">
        <v>10</v>
      </c>
      <c r="K19" t="n">
        <v>4</v>
      </c>
      <c r="L19" t="n">
        <v>2</v>
      </c>
      <c r="M19" t="n">
        <v>10</v>
      </c>
      <c r="N19" t="n">
        <v>88</v>
      </c>
      <c r="O19" t="n">
        <v>20</v>
      </c>
    </row>
    <row r="20">
      <c r="A20" t="inlineStr">
        <is>
          <t>Whole Kingdom</t>
        </is>
      </c>
      <c r="B20" t="n">
        <v>225</v>
      </c>
      <c r="C20" t="n">
        <v>1892</v>
      </c>
      <c r="D20" t="n">
        <v>47153</v>
      </c>
      <c r="E20" t="n">
        <v>23595</v>
      </c>
      <c r="F20" t="n">
        <v>5014</v>
      </c>
      <c r="G20" t="n">
        <v>1918</v>
      </c>
      <c r="H20" t="n">
        <v>1460</v>
      </c>
      <c r="I20" t="n">
        <v>720</v>
      </c>
      <c r="J20" t="n">
        <v>3205</v>
      </c>
      <c r="K20" t="n">
        <v>487</v>
      </c>
      <c r="L20" t="n">
        <v>233</v>
      </c>
      <c r="M20" t="n">
        <v>383</v>
      </c>
      <c r="N20" t="n">
        <v>5335</v>
      </c>
      <c r="O20" t="n">
        <v>1676</v>
      </c>
    </row>
    <row r="21">
      <c r="A21" t="inlineStr">
        <is>
          <t>- Urban Area</t>
        </is>
      </c>
      <c r="B21" t="n">
        <v>189</v>
      </c>
      <c r="C21" t="n">
        <v>1683</v>
      </c>
      <c r="D21" t="n">
        <v>41362</v>
      </c>
      <c r="E21" t="n">
        <v>20654</v>
      </c>
      <c r="F21" t="n">
        <v>4502</v>
      </c>
      <c r="G21" t="n">
        <v>1763</v>
      </c>
      <c r="H21" t="n">
        <v>1375</v>
      </c>
      <c r="I21" t="n">
        <v>697</v>
      </c>
      <c r="J21" t="n">
        <v>2912</v>
      </c>
      <c r="K21" t="n">
        <v>448</v>
      </c>
      <c r="L21" t="n">
        <v>213</v>
      </c>
      <c r="M21" t="n">
        <v>291</v>
      </c>
      <c r="N21" t="n">
        <v>4678</v>
      </c>
      <c r="O21" t="n">
        <v>1478</v>
      </c>
    </row>
    <row r="22">
      <c r="A22" t="inlineStr">
        <is>
          <t>- Rural Area</t>
        </is>
      </c>
      <c r="B22" t="n">
        <v>36</v>
      </c>
      <c r="C22" t="n">
        <v>209</v>
      </c>
      <c r="D22" t="n">
        <v>5791</v>
      </c>
      <c r="E22" t="n">
        <v>2941</v>
      </c>
      <c r="F22" t="n">
        <v>512</v>
      </c>
      <c r="G22" t="n">
        <v>155</v>
      </c>
      <c r="H22" t="n">
        <v>85</v>
      </c>
      <c r="I22" t="n">
        <v>23</v>
      </c>
      <c r="J22" t="n">
        <v>293</v>
      </c>
      <c r="K22" t="n">
        <v>39</v>
      </c>
      <c r="L22" t="n">
        <v>20</v>
      </c>
      <c r="M22" t="n">
        <v>92</v>
      </c>
      <c r="N22" t="n">
        <v>657</v>
      </c>
      <c r="O22" t="n">
        <v>198</v>
      </c>
    </row>
  </sheetData>
  <mergeCells count="11">
    <mergeCell ref="D1:E1"/>
    <mergeCell ref="K1:L1"/>
    <mergeCell ref="H1:I1"/>
    <mergeCell ref="C1:C2"/>
    <mergeCell ref="B1:B2"/>
    <mergeCell ref="F1:G1"/>
    <mergeCell ref="M1:M2"/>
    <mergeCell ref="J1:J2"/>
    <mergeCell ref="O1:O2"/>
    <mergeCell ref="N1:N2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6.1640625" customWidth="1" min="1" max="1"/>
    <col width="14.83203125" customWidth="1" min="2" max="2"/>
    <col width="15.1640625" customWidth="1" min="3" max="3"/>
    <col width="14.83203125" customWidth="1" min="5" max="5"/>
    <col width="15.1640625" customWidth="1" min="6" max="6"/>
    <col width="14.83203125" customWidth="1" min="7" max="7"/>
    <col width="15.1640625" customWidth="1" min="8" max="8"/>
    <col width="14.83203125" customWidth="1" min="10" max="10"/>
  </cols>
  <sheetData>
    <row r="1">
      <c r="A1" t="inlineStr">
        <is>
          <t>Table 1: Schools, Classes, Students and Staff</t>
        </is>
      </c>
      <c r="B1" t="inlineStr">
        <is>
          <t>Number of Schools</t>
        </is>
      </c>
      <c r="F1" t="inlineStr">
        <is>
          <t>2 - Shift
Schools</t>
        </is>
      </c>
      <c r="G1" t="inlineStr">
        <is>
          <t>Characteristics of School Principals</t>
        </is>
      </c>
    </row>
    <row r="2">
      <c r="B2" t="inlineStr">
        <is>
          <t>Pre- School</t>
        </is>
      </c>
      <c r="C2" t="inlineStr">
        <is>
          <t>Primary</t>
        </is>
      </c>
      <c r="D2" t="inlineStr">
        <is>
          <t>College</t>
        </is>
      </c>
      <c r="E2" t="inlineStr">
        <is>
          <t>Lycee</t>
        </is>
      </c>
      <c r="G2" t="inlineStr">
        <is>
          <t>Total</t>
        </is>
      </c>
      <c r="H2" t="inlineStr">
        <is>
          <t>Female</t>
        </is>
      </c>
      <c r="I2" t="inlineStr">
        <is>
          <t>Average Age</t>
        </is>
      </c>
      <c r="J2" t="inlineStr">
        <is>
          <t>Avg. Service</t>
        </is>
      </c>
    </row>
    <row r="3">
      <c r="A3" t="inlineStr">
        <is>
          <t>Banteay Meanchey</t>
        </is>
      </c>
      <c r="B3" t="n">
        <v>46</v>
      </c>
      <c r="C3" t="n">
        <v>54</v>
      </c>
      <c r="D3" t="n">
        <v>10</v>
      </c>
      <c r="E3" t="n">
        <v>11</v>
      </c>
      <c r="F3" t="n">
        <v>49</v>
      </c>
      <c r="G3" t="n">
        <v>98</v>
      </c>
      <c r="H3" t="n">
        <v>23</v>
      </c>
      <c r="I3" t="n">
        <v>37.6</v>
      </c>
      <c r="J3" t="n">
        <v>12.8</v>
      </c>
    </row>
    <row r="4">
      <c r="A4" t="inlineStr">
        <is>
          <t>Battambang</t>
        </is>
      </c>
      <c r="B4" t="n">
        <v>16</v>
      </c>
      <c r="C4" t="n">
        <v>18</v>
      </c>
      <c r="D4" t="n">
        <v>0</v>
      </c>
      <c r="E4" t="n">
        <v>11</v>
      </c>
      <c r="F4" t="n">
        <v>11</v>
      </c>
      <c r="G4" t="n">
        <v>42</v>
      </c>
      <c r="H4" t="n">
        <v>3</v>
      </c>
      <c r="I4" t="n">
        <v>50.1</v>
      </c>
      <c r="J4" t="n">
        <v>22.8</v>
      </c>
    </row>
    <row r="5">
      <c r="A5" t="inlineStr">
        <is>
          <t>Kampong Cham</t>
        </is>
      </c>
      <c r="B5" t="n">
        <v>7</v>
      </c>
      <c r="C5" t="n">
        <v>14</v>
      </c>
      <c r="D5" t="n">
        <v>2</v>
      </c>
      <c r="E5" t="n">
        <v>2</v>
      </c>
      <c r="F5" t="n">
        <v>9</v>
      </c>
      <c r="G5" t="n">
        <v>20</v>
      </c>
      <c r="H5" t="n">
        <v>5</v>
      </c>
      <c r="I5" t="n">
        <v>43.3</v>
      </c>
      <c r="J5" t="n">
        <v>15.6</v>
      </c>
    </row>
    <row r="6">
      <c r="A6" t="inlineStr">
        <is>
          <t>Kampong Chhnang</t>
        </is>
      </c>
      <c r="B6" t="n">
        <v>11</v>
      </c>
      <c r="C6" t="n">
        <v>9</v>
      </c>
      <c r="D6" t="n">
        <v>1</v>
      </c>
      <c r="E6" t="n">
        <v>4</v>
      </c>
      <c r="F6" t="n">
        <v>7</v>
      </c>
      <c r="G6" t="n">
        <v>21</v>
      </c>
      <c r="H6" t="n">
        <v>4</v>
      </c>
      <c r="I6" t="n">
        <v>47.3</v>
      </c>
      <c r="J6" t="n">
        <v>17</v>
      </c>
    </row>
    <row r="7">
      <c r="A7" t="inlineStr">
        <is>
          <t>Kampong Speu</t>
        </is>
      </c>
      <c r="B7" t="n">
        <v>25</v>
      </c>
      <c r="C7" t="n">
        <v>17</v>
      </c>
      <c r="D7" t="n">
        <v>3</v>
      </c>
      <c r="E7" t="n">
        <v>5</v>
      </c>
      <c r="F7" t="n">
        <v>11</v>
      </c>
      <c r="G7" t="n">
        <v>35</v>
      </c>
      <c r="H7" t="n">
        <v>15</v>
      </c>
      <c r="I7" t="n">
        <v>37</v>
      </c>
      <c r="J7" t="n">
        <v>11.4</v>
      </c>
    </row>
    <row r="8">
      <c r="A8" t="inlineStr">
        <is>
          <t>Kampong Thom</t>
        </is>
      </c>
      <c r="B8" t="n">
        <v>7</v>
      </c>
      <c r="C8" t="n">
        <v>5</v>
      </c>
      <c r="D8" t="n">
        <v>1</v>
      </c>
      <c r="E8" t="n">
        <v>2</v>
      </c>
      <c r="F8" t="n">
        <v>5</v>
      </c>
      <c r="G8" t="n">
        <v>13</v>
      </c>
      <c r="H8" t="n">
        <v>2</v>
      </c>
      <c r="I8" t="n">
        <v>44.4</v>
      </c>
      <c r="J8" t="n">
        <v>18</v>
      </c>
    </row>
    <row r="9">
      <c r="A9" t="inlineStr">
        <is>
          <t>Kampot</t>
        </is>
      </c>
      <c r="B9" t="n">
        <v>15</v>
      </c>
      <c r="C9" t="n">
        <v>19</v>
      </c>
      <c r="D9" t="n">
        <v>6</v>
      </c>
      <c r="E9" t="n">
        <v>8</v>
      </c>
      <c r="F9" t="n">
        <v>25</v>
      </c>
      <c r="G9" t="n">
        <v>31</v>
      </c>
      <c r="H9" t="n">
        <v>17</v>
      </c>
      <c r="I9" t="n">
        <v>34.5</v>
      </c>
      <c r="J9" t="n">
        <v>12.1</v>
      </c>
    </row>
    <row r="10">
      <c r="A10" t="inlineStr">
        <is>
          <t>Kandal</t>
        </is>
      </c>
      <c r="B10" t="n">
        <v>33</v>
      </c>
      <c r="C10" t="n">
        <v>20</v>
      </c>
      <c r="D10" t="n">
        <v>4</v>
      </c>
      <c r="E10" t="n">
        <v>6</v>
      </c>
      <c r="F10" t="n">
        <v>20</v>
      </c>
      <c r="G10" t="n">
        <v>55</v>
      </c>
      <c r="H10" t="n">
        <v>8</v>
      </c>
      <c r="I10" t="n">
        <v>41.1</v>
      </c>
      <c r="J10" t="n">
        <v>15</v>
      </c>
    </row>
    <row r="11">
      <c r="A11" t="inlineStr">
        <is>
          <t>Kep</t>
        </is>
      </c>
      <c r="B11" t="n">
        <v>3</v>
      </c>
      <c r="C11" t="n">
        <v>1</v>
      </c>
      <c r="D11" t="n">
        <v>0</v>
      </c>
      <c r="E11" t="n">
        <v>0</v>
      </c>
      <c r="F11" t="n">
        <v>1</v>
      </c>
      <c r="G11" t="n">
        <v>2</v>
      </c>
      <c r="H11" t="n">
        <v>2</v>
      </c>
      <c r="I11" t="n">
        <v>44.6</v>
      </c>
      <c r="J11" t="n">
        <v>2.3</v>
      </c>
    </row>
    <row r="12">
      <c r="A12" t="inlineStr">
        <is>
          <t>Koh Kong</t>
        </is>
      </c>
      <c r="B12" t="n">
        <v>4</v>
      </c>
      <c r="C12" t="n">
        <v>11</v>
      </c>
      <c r="D12" t="n">
        <v>2</v>
      </c>
      <c r="E12" t="n">
        <v>1</v>
      </c>
      <c r="F12" t="n">
        <v>11</v>
      </c>
      <c r="G12" t="n">
        <v>15</v>
      </c>
      <c r="H12" t="n">
        <v>3</v>
      </c>
      <c r="I12" t="n">
        <v>40</v>
      </c>
      <c r="J12" t="n">
        <v>10.7</v>
      </c>
    </row>
    <row r="13">
      <c r="A13" t="inlineStr">
        <is>
          <t>Kratie</t>
        </is>
      </c>
      <c r="B13" t="n">
        <v>3</v>
      </c>
      <c r="C13" t="n">
        <v>5</v>
      </c>
      <c r="D13" t="n">
        <v>0</v>
      </c>
      <c r="E13" t="n">
        <v>0</v>
      </c>
      <c r="F13" t="n">
        <v>4</v>
      </c>
      <c r="G13" t="n">
        <v>7</v>
      </c>
      <c r="H13" t="n">
        <v>1</v>
      </c>
      <c r="I13" t="n">
        <v>40.1</v>
      </c>
      <c r="J13" t="n">
        <v>15.4</v>
      </c>
    </row>
    <row r="14">
      <c r="A14" t="inlineStr">
        <is>
          <t>Mondul Kiri</t>
        </is>
      </c>
      <c r="B14" t="n">
        <v>3</v>
      </c>
      <c r="C14" t="n">
        <v>2</v>
      </c>
      <c r="D14" t="n">
        <v>0</v>
      </c>
      <c r="E14" t="n">
        <v>0</v>
      </c>
      <c r="F14" t="n">
        <v>1</v>
      </c>
      <c r="G14" t="n">
        <v>4</v>
      </c>
      <c r="H14" t="n">
        <v>1</v>
      </c>
      <c r="I14" t="n">
        <v>36.6</v>
      </c>
      <c r="J14" t="n">
        <v>6.8</v>
      </c>
    </row>
    <row r="15">
      <c r="A15" t="inlineStr">
        <is>
          <t>Otdar Meanchey</t>
        </is>
      </c>
      <c r="B15" t="n">
        <v>3</v>
      </c>
      <c r="C15" t="n">
        <v>3</v>
      </c>
      <c r="D15" t="n">
        <v>0</v>
      </c>
      <c r="E15" t="n">
        <v>0</v>
      </c>
      <c r="F15" t="n">
        <v>3</v>
      </c>
      <c r="G15" t="n">
        <v>6</v>
      </c>
      <c r="H15" t="n">
        <v>0</v>
      </c>
      <c r="I15" t="n">
        <v>40.9</v>
      </c>
      <c r="J15" t="n">
        <v>20.7</v>
      </c>
    </row>
    <row r="16">
      <c r="A16" t="inlineStr">
        <is>
          <t>Pailin</t>
        </is>
      </c>
      <c r="B16" t="n">
        <v>9</v>
      </c>
      <c r="C16" t="n">
        <v>9</v>
      </c>
      <c r="D16" t="n">
        <v>0</v>
      </c>
      <c r="E16" t="n">
        <v>0</v>
      </c>
      <c r="F16" t="n">
        <v>4</v>
      </c>
      <c r="G16" t="n">
        <v>16</v>
      </c>
      <c r="H16" t="n">
        <v>2</v>
      </c>
      <c r="I16" t="n">
        <v>37.8</v>
      </c>
      <c r="J16" t="n">
        <v>16.8</v>
      </c>
    </row>
    <row r="17">
      <c r="A17" t="inlineStr">
        <is>
          <t>Phnom Penh</t>
        </is>
      </c>
      <c r="B17" t="n">
        <v>213</v>
      </c>
      <c r="C17" t="n">
        <v>215</v>
      </c>
      <c r="D17" t="n">
        <v>32</v>
      </c>
      <c r="E17" t="n">
        <v>70</v>
      </c>
      <c r="F17" t="n">
        <v>218</v>
      </c>
      <c r="G17" t="n">
        <v>421</v>
      </c>
      <c r="H17" t="n">
        <v>109</v>
      </c>
      <c r="I17" t="n">
        <v>42.6</v>
      </c>
      <c r="J17" t="n">
        <v>15</v>
      </c>
    </row>
    <row r="18">
      <c r="A18" t="inlineStr">
        <is>
          <t>Preah Sihanouk</t>
        </is>
      </c>
      <c r="B18" t="n">
        <v>20</v>
      </c>
      <c r="C18" t="n">
        <v>15</v>
      </c>
      <c r="D18" t="n">
        <v>4</v>
      </c>
      <c r="E18" t="n">
        <v>6</v>
      </c>
      <c r="F18" t="n">
        <v>21</v>
      </c>
      <c r="G18" t="n">
        <v>38</v>
      </c>
      <c r="H18" t="n">
        <v>7</v>
      </c>
      <c r="I18" t="n">
        <v>43</v>
      </c>
      <c r="J18" t="n">
        <v>16.7</v>
      </c>
    </row>
    <row r="19">
      <c r="A19" t="inlineStr">
        <is>
          <t>Preah Vihear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3</v>
      </c>
      <c r="H19" t="n">
        <v>1</v>
      </c>
      <c r="I19" t="n">
        <v>32.1</v>
      </c>
      <c r="J19" t="n">
        <v>8.5</v>
      </c>
    </row>
    <row r="20">
      <c r="A20" t="inlineStr">
        <is>
          <t>Prey Veng</t>
        </is>
      </c>
      <c r="B20" t="n">
        <v>5</v>
      </c>
      <c r="C20" t="n">
        <v>1</v>
      </c>
      <c r="D20" t="n">
        <v>0</v>
      </c>
      <c r="E20" t="n">
        <v>1</v>
      </c>
      <c r="F20" t="n">
        <v>1</v>
      </c>
      <c r="G20" t="n">
        <v>5</v>
      </c>
      <c r="H20" t="n">
        <v>2</v>
      </c>
      <c r="I20" t="n">
        <v>47.2</v>
      </c>
      <c r="J20" t="n">
        <v>23.6</v>
      </c>
    </row>
    <row r="21">
      <c r="A21" t="inlineStr">
        <is>
          <t>Pursat</t>
        </is>
      </c>
      <c r="B21" t="n">
        <v>4</v>
      </c>
      <c r="C21" t="n">
        <v>4</v>
      </c>
      <c r="D21" t="n">
        <v>0</v>
      </c>
      <c r="E21" t="n">
        <v>0</v>
      </c>
      <c r="F21" t="n">
        <v>2</v>
      </c>
      <c r="G21" t="n">
        <v>8</v>
      </c>
      <c r="H21" t="n">
        <v>0</v>
      </c>
      <c r="I21" t="n">
        <v>40.2</v>
      </c>
      <c r="J21" t="n">
        <v>13.9</v>
      </c>
    </row>
    <row r="22">
      <c r="A22" t="inlineStr">
        <is>
          <t>Ratanak Kiri</t>
        </is>
      </c>
      <c r="B22" t="n">
        <v>5</v>
      </c>
      <c r="C22" t="n">
        <v>5</v>
      </c>
      <c r="D22" t="n">
        <v>1</v>
      </c>
      <c r="E22" t="n">
        <v>3</v>
      </c>
      <c r="F22" t="n">
        <v>5</v>
      </c>
      <c r="G22" t="n">
        <v>14</v>
      </c>
      <c r="H22" t="n">
        <v>0</v>
      </c>
      <c r="I22" t="n">
        <v>34.6</v>
      </c>
      <c r="J22" t="n">
        <v>8.5</v>
      </c>
    </row>
    <row r="23">
      <c r="A23" t="inlineStr">
        <is>
          <t>Siemreap</t>
        </is>
      </c>
      <c r="B23" t="n">
        <v>49</v>
      </c>
      <c r="C23" t="n">
        <v>35</v>
      </c>
      <c r="D23" t="n">
        <v>9</v>
      </c>
      <c r="E23" t="n">
        <v>9</v>
      </c>
      <c r="F23" t="n">
        <v>25</v>
      </c>
      <c r="G23" t="n">
        <v>81</v>
      </c>
      <c r="H23" t="n">
        <v>21</v>
      </c>
      <c r="I23" t="n">
        <v>10.9</v>
      </c>
      <c r="J23" t="n">
        <v>16.5</v>
      </c>
    </row>
    <row r="24">
      <c r="A24" t="inlineStr">
        <is>
          <t>Stung Treng</t>
        </is>
      </c>
      <c r="B24" t="n">
        <v>2</v>
      </c>
      <c r="C24" t="n">
        <v>1</v>
      </c>
      <c r="D24" t="n">
        <v>0</v>
      </c>
      <c r="E24" t="n">
        <v>1</v>
      </c>
      <c r="F24" t="n">
        <v>2</v>
      </c>
      <c r="G24" t="n">
        <v>4</v>
      </c>
      <c r="H24" t="n">
        <v>0</v>
      </c>
      <c r="I24" t="n">
        <v>55.4</v>
      </c>
      <c r="J24" t="n">
        <v>13.3</v>
      </c>
    </row>
    <row r="25">
      <c r="A25" t="inlineStr">
        <is>
          <t>Svay Rieng</t>
        </is>
      </c>
      <c r="B25" t="n">
        <v>3</v>
      </c>
      <c r="C25" t="n">
        <v>3</v>
      </c>
      <c r="D25" t="n">
        <v>0</v>
      </c>
      <c r="E25" t="n">
        <v>0</v>
      </c>
      <c r="F25" t="n">
        <v>0</v>
      </c>
      <c r="G25" t="n">
        <v>5</v>
      </c>
      <c r="H25" t="n">
        <v>1</v>
      </c>
      <c r="I25" t="n">
        <v>44.6</v>
      </c>
      <c r="J25" t="n">
        <v>22.7</v>
      </c>
    </row>
    <row r="26">
      <c r="A26" t="inlineStr">
        <is>
          <t>Takeo</t>
        </is>
      </c>
      <c r="B26" t="n">
        <v>9</v>
      </c>
      <c r="C26" t="n">
        <v>10</v>
      </c>
      <c r="D26" t="n">
        <v>0</v>
      </c>
      <c r="E26" t="n">
        <v>5</v>
      </c>
      <c r="F26" t="n">
        <v>7</v>
      </c>
      <c r="G26" t="n">
        <v>18</v>
      </c>
      <c r="H26" t="n">
        <v>6</v>
      </c>
      <c r="I26" t="n">
        <v>41</v>
      </c>
      <c r="J26" t="n">
        <v>15.2</v>
      </c>
    </row>
    <row r="27">
      <c r="A27" t="inlineStr">
        <is>
          <t>Tbaung Khmum</t>
        </is>
      </c>
      <c r="B27" t="n">
        <v>12</v>
      </c>
      <c r="C27" t="n">
        <v>10</v>
      </c>
      <c r="D27" t="n">
        <v>3</v>
      </c>
      <c r="E27" t="n">
        <v>2</v>
      </c>
      <c r="F27" t="n">
        <v>12</v>
      </c>
      <c r="G27" t="n">
        <v>24</v>
      </c>
      <c r="H27" t="n">
        <v>2</v>
      </c>
      <c r="I27" t="n">
        <v>40.8</v>
      </c>
      <c r="J27" t="n">
        <v>11.4</v>
      </c>
    </row>
    <row r="28">
      <c r="A28" t="inlineStr">
        <is>
          <t>Whole Kingdom</t>
        </is>
      </c>
      <c r="B28" t="n">
        <v>509</v>
      </c>
      <c r="C28" t="n">
        <v>488</v>
      </c>
      <c r="D28" t="n">
        <v>78</v>
      </c>
      <c r="E28" t="n">
        <v>147</v>
      </c>
      <c r="F28" t="n">
        <v>454</v>
      </c>
      <c r="G28" t="n">
        <v>986</v>
      </c>
      <c r="H28" t="n">
        <v>235</v>
      </c>
      <c r="I28" t="n">
        <v>40.3</v>
      </c>
      <c r="J28" t="n">
        <v>14.5</v>
      </c>
    </row>
    <row r="29">
      <c r="A29" t="inlineStr">
        <is>
          <t>- Urban Area</t>
        </is>
      </c>
      <c r="B29" t="n">
        <v>410</v>
      </c>
      <c r="C29" t="n">
        <v>395</v>
      </c>
      <c r="D29" t="n">
        <v>62</v>
      </c>
      <c r="E29" t="n">
        <v>127</v>
      </c>
      <c r="F29" t="n">
        <v>377</v>
      </c>
      <c r="G29" t="n">
        <v>792</v>
      </c>
      <c r="H29" t="n">
        <v>202</v>
      </c>
      <c r="I29" t="n">
        <v>38.9</v>
      </c>
      <c r="J29" t="n">
        <v>15.4</v>
      </c>
    </row>
    <row r="30">
      <c r="A30" t="inlineStr">
        <is>
          <t>- Rural Area</t>
        </is>
      </c>
      <c r="B30" t="n">
        <v>99</v>
      </c>
      <c r="C30" t="n">
        <v>93</v>
      </c>
      <c r="D30" t="n">
        <v>16</v>
      </c>
      <c r="E30" t="n">
        <v>20</v>
      </c>
      <c r="F30" t="n">
        <v>77</v>
      </c>
      <c r="G30" t="n">
        <v>194</v>
      </c>
      <c r="H30" t="n">
        <v>33</v>
      </c>
      <c r="I30" t="n">
        <v>39.6</v>
      </c>
      <c r="J30" t="n">
        <v>12.7</v>
      </c>
    </row>
  </sheetData>
  <mergeCells count="4">
    <mergeCell ref="F1:F2"/>
    <mergeCell ref="B1:E1"/>
    <mergeCell ref="G1:J1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26.1640625" customWidth="1" min="1" max="1"/>
    <col width="9.5" customWidth="1" min="2" max="2"/>
    <col width="10.83203125" customWidth="1" min="3" max="3"/>
    <col width="9.83203125" customWidth="1" min="4" max="4"/>
    <col width="9.5" customWidth="1" min="5" max="5"/>
    <col width="9.83203125" customWidth="1" min="7" max="7"/>
    <col width="9.5" customWidth="1" min="8" max="8"/>
    <col width="9.83203125" customWidth="1" min="10" max="10"/>
    <col width="9.5" customWidth="1" min="11" max="11"/>
    <col width="9.83203125" customWidth="1" min="12" max="12"/>
    <col width="9.5" customWidth="1" min="13" max="13"/>
    <col width="9.83203125" customWidth="1" min="15" max="15"/>
  </cols>
  <sheetData>
    <row r="1">
      <c r="A1" t="inlineStr">
        <is>
          <t>Table 1: Schools, Classes, Students and Staff</t>
        </is>
      </c>
      <c r="B1" t="inlineStr">
        <is>
          <t>Pre- School</t>
        </is>
      </c>
      <c r="D1" t="inlineStr">
        <is>
          <t>Primary Education</t>
        </is>
      </c>
      <c r="J1" t="inlineStr">
        <is>
          <t>Secondary Education</t>
        </is>
      </c>
    </row>
    <row r="2">
      <c r="B2" t="inlineStr">
        <is>
          <t>Total</t>
        </is>
      </c>
      <c r="C2" t="inlineStr">
        <is>
          <t>Mixed Step</t>
        </is>
      </c>
      <c r="D2" t="inlineStr">
        <is>
          <t>Grade 1</t>
        </is>
      </c>
      <c r="E2" t="inlineStr">
        <is>
          <t>Grade 2</t>
        </is>
      </c>
      <c r="F2" t="inlineStr">
        <is>
          <t>Grade 3</t>
        </is>
      </c>
      <c r="G2" t="inlineStr">
        <is>
          <t>Grade 4</t>
        </is>
      </c>
      <c r="H2" t="inlineStr">
        <is>
          <t>Grade 5</t>
        </is>
      </c>
      <c r="I2" t="inlineStr">
        <is>
          <t>Grade 6</t>
        </is>
      </c>
      <c r="J2" t="inlineStr">
        <is>
          <t>Grade 7</t>
        </is>
      </c>
      <c r="K2" t="inlineStr">
        <is>
          <t>Grade 8</t>
        </is>
      </c>
      <c r="L2" t="inlineStr">
        <is>
          <t>Grade 9</t>
        </is>
      </c>
      <c r="M2" t="inlineStr">
        <is>
          <t>Grade 10</t>
        </is>
      </c>
      <c r="N2" t="inlineStr">
        <is>
          <t>Grade 11</t>
        </is>
      </c>
      <c r="O2" t="inlineStr">
        <is>
          <t>Grade 12</t>
        </is>
      </c>
    </row>
    <row r="3">
      <c r="A3" t="inlineStr">
        <is>
          <t>Banteay Meanchey</t>
        </is>
      </c>
      <c r="B3" t="n">
        <v>46</v>
      </c>
      <c r="C3" t="n">
        <v>29</v>
      </c>
      <c r="D3" t="n">
        <v>2</v>
      </c>
      <c r="E3" t="n">
        <v>0</v>
      </c>
      <c r="F3" t="n">
        <v>2</v>
      </c>
      <c r="G3" t="n">
        <v>2</v>
      </c>
      <c r="H3" t="n">
        <v>5</v>
      </c>
      <c r="I3" t="n">
        <v>43</v>
      </c>
      <c r="J3" t="n">
        <v>1</v>
      </c>
      <c r="K3" t="n">
        <v>2</v>
      </c>
      <c r="L3" t="n">
        <v>7</v>
      </c>
      <c r="M3" t="n">
        <v>2</v>
      </c>
      <c r="N3" t="n">
        <v>1</v>
      </c>
      <c r="O3" t="n">
        <v>8</v>
      </c>
    </row>
    <row r="4">
      <c r="A4" t="inlineStr">
        <is>
          <t>Battambang</t>
        </is>
      </c>
      <c r="B4" t="n">
        <v>16</v>
      </c>
      <c r="C4" t="n">
        <v>8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10</v>
      </c>
    </row>
    <row r="5">
      <c r="A5" t="inlineStr">
        <is>
          <t>Kampong Cham</t>
        </is>
      </c>
      <c r="B5" t="n">
        <v>7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12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2</v>
      </c>
    </row>
    <row r="6">
      <c r="A6" t="inlineStr">
        <is>
          <t>Kampong Chhnang</t>
        </is>
      </c>
      <c r="B6" t="n">
        <v>11</v>
      </c>
      <c r="C6" t="n">
        <v>3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4</v>
      </c>
    </row>
    <row r="7">
      <c r="A7" t="inlineStr">
        <is>
          <t>Kampong Speu</t>
        </is>
      </c>
      <c r="B7" t="n">
        <v>25</v>
      </c>
      <c r="C7" t="n">
        <v>9</v>
      </c>
      <c r="D7" t="n">
        <v>0</v>
      </c>
      <c r="E7" t="n">
        <v>0</v>
      </c>
      <c r="F7" t="n">
        <v>1</v>
      </c>
      <c r="G7" t="n">
        <v>2</v>
      </c>
      <c r="H7" t="n">
        <v>1</v>
      </c>
      <c r="I7" t="n">
        <v>13</v>
      </c>
      <c r="J7" t="n">
        <v>0</v>
      </c>
      <c r="K7" t="n">
        <v>0</v>
      </c>
      <c r="L7" t="n">
        <v>3</v>
      </c>
      <c r="M7" t="n">
        <v>1</v>
      </c>
      <c r="N7" t="n">
        <v>1</v>
      </c>
      <c r="O7" t="n">
        <v>3</v>
      </c>
    </row>
    <row r="8">
      <c r="A8" t="inlineStr">
        <is>
          <t>Kampong Thom</t>
        </is>
      </c>
      <c r="B8" t="n">
        <v>7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1</v>
      </c>
    </row>
    <row r="9">
      <c r="A9" t="inlineStr">
        <is>
          <t>Kampot</t>
        </is>
      </c>
      <c r="B9" t="n">
        <v>15</v>
      </c>
      <c r="C9" t="n">
        <v>2</v>
      </c>
      <c r="D9" t="n">
        <v>1</v>
      </c>
      <c r="E9" t="n">
        <v>2</v>
      </c>
      <c r="F9" t="n">
        <v>2</v>
      </c>
      <c r="G9" t="n">
        <v>0</v>
      </c>
      <c r="H9" t="n">
        <v>0</v>
      </c>
      <c r="I9" t="n">
        <v>14</v>
      </c>
      <c r="J9" t="n">
        <v>0</v>
      </c>
      <c r="K9" t="n">
        <v>1</v>
      </c>
      <c r="L9" t="n">
        <v>5</v>
      </c>
      <c r="M9" t="n">
        <v>1</v>
      </c>
      <c r="N9" t="n">
        <v>1</v>
      </c>
      <c r="O9" t="n">
        <v>6</v>
      </c>
    </row>
    <row r="10">
      <c r="A10" t="inlineStr">
        <is>
          <t>Kandal</t>
        </is>
      </c>
      <c r="B10" t="n">
        <v>33</v>
      </c>
      <c r="C10" t="n">
        <v>17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  <c r="I10" t="n">
        <v>17</v>
      </c>
      <c r="J10" t="n">
        <v>2</v>
      </c>
      <c r="K10" t="n">
        <v>0</v>
      </c>
      <c r="L10" t="n">
        <v>2</v>
      </c>
      <c r="M10" t="n">
        <v>0</v>
      </c>
      <c r="N10" t="n">
        <v>1</v>
      </c>
      <c r="O10" t="n">
        <v>5</v>
      </c>
    </row>
    <row r="11">
      <c r="A11" t="inlineStr">
        <is>
          <t>Kep</t>
        </is>
      </c>
      <c r="B11" t="n">
        <v>3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Koh Kong</t>
        </is>
      </c>
      <c r="B12" t="n">
        <v>4</v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2</v>
      </c>
      <c r="I12" t="n">
        <v>8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</row>
    <row r="13">
      <c r="A13" t="inlineStr">
        <is>
          <t>Kratie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Mondul Kiri</t>
        </is>
      </c>
      <c r="B14" t="n">
        <v>3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Otdar Meanchey</t>
        </is>
      </c>
      <c r="B15" t="n">
        <v>3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Pailin</t>
        </is>
      </c>
      <c r="B16" t="n">
        <v>9</v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2</v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Phnom Penh</t>
        </is>
      </c>
      <c r="B17" t="n">
        <v>213</v>
      </c>
      <c r="C17" t="n">
        <v>91</v>
      </c>
      <c r="D17" t="n">
        <v>2</v>
      </c>
      <c r="E17" t="n">
        <v>8</v>
      </c>
      <c r="F17" t="n">
        <v>4</v>
      </c>
      <c r="G17" t="n">
        <v>14</v>
      </c>
      <c r="H17" t="n">
        <v>25</v>
      </c>
      <c r="I17" t="n">
        <v>162</v>
      </c>
      <c r="J17" t="n">
        <v>10</v>
      </c>
      <c r="K17" t="n">
        <v>5</v>
      </c>
      <c r="L17" t="n">
        <v>17</v>
      </c>
      <c r="M17" t="n">
        <v>10</v>
      </c>
      <c r="N17" t="n">
        <v>6</v>
      </c>
      <c r="O17" t="n">
        <v>54</v>
      </c>
    </row>
    <row r="18">
      <c r="A18" t="inlineStr">
        <is>
          <t>Preah Sihanouk</t>
        </is>
      </c>
      <c r="B18" t="n">
        <v>20</v>
      </c>
      <c r="C18" t="n">
        <v>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5</v>
      </c>
    </row>
    <row r="19">
      <c r="A19" t="inlineStr">
        <is>
          <t>Preah Vihear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Prey Veng</t>
        </is>
      </c>
      <c r="B20" t="n">
        <v>5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</row>
    <row r="21">
      <c r="A21" t="inlineStr">
        <is>
          <t>Pursat</t>
        </is>
      </c>
      <c r="B21" t="n">
        <v>4</v>
      </c>
      <c r="C21" t="n">
        <v>3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Ratanak Kiri</t>
        </is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2</v>
      </c>
    </row>
    <row r="23">
      <c r="A23" t="inlineStr">
        <is>
          <t>Siemreap</t>
        </is>
      </c>
      <c r="B23" t="n">
        <v>49</v>
      </c>
      <c r="C23" t="n">
        <v>25</v>
      </c>
      <c r="D23" t="n">
        <v>1</v>
      </c>
      <c r="E23" t="n">
        <v>2</v>
      </c>
      <c r="F23" t="n">
        <v>1</v>
      </c>
      <c r="G23" t="n">
        <v>3</v>
      </c>
      <c r="H23" t="n">
        <v>4</v>
      </c>
      <c r="I23" t="n">
        <v>24</v>
      </c>
      <c r="J23" t="n">
        <v>2</v>
      </c>
      <c r="K23" t="n">
        <v>3</v>
      </c>
      <c r="L23" t="n">
        <v>4</v>
      </c>
      <c r="M23" t="n">
        <v>1</v>
      </c>
      <c r="N23" t="n">
        <v>1</v>
      </c>
      <c r="O23" t="n">
        <v>7</v>
      </c>
    </row>
    <row r="24">
      <c r="A24" t="inlineStr">
        <is>
          <t>Stung Treng</t>
        </is>
      </c>
      <c r="B24" t="n">
        <v>2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</row>
    <row r="25">
      <c r="A25" t="inlineStr">
        <is>
          <t>Svay Rieng</t>
        </is>
      </c>
      <c r="B25" t="n">
        <v>3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Takeo</t>
        </is>
      </c>
      <c r="B26" t="n">
        <v>9</v>
      </c>
      <c r="C26" t="n">
        <v>3</v>
      </c>
      <c r="D26" t="n">
        <v>0</v>
      </c>
      <c r="E26" t="n">
        <v>1</v>
      </c>
      <c r="F26" t="n">
        <v>0</v>
      </c>
      <c r="G26" t="n">
        <v>1</v>
      </c>
      <c r="H26" t="n">
        <v>2</v>
      </c>
      <c r="I26" t="n">
        <v>6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4</v>
      </c>
    </row>
    <row r="27">
      <c r="A27" t="inlineStr">
        <is>
          <t>Tbaung Khmum</t>
        </is>
      </c>
      <c r="B27" t="n">
        <v>12</v>
      </c>
      <c r="C27" t="n">
        <v>6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6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2</v>
      </c>
    </row>
    <row r="28">
      <c r="A28" t="inlineStr">
        <is>
          <t>Whole Province</t>
        </is>
      </c>
      <c r="B28" t="n">
        <v>509</v>
      </c>
      <c r="C28" t="n">
        <v>224</v>
      </c>
      <c r="D28" t="n">
        <v>7</v>
      </c>
      <c r="E28" t="n">
        <v>19</v>
      </c>
      <c r="F28" t="n">
        <v>13</v>
      </c>
      <c r="G28" t="n">
        <v>27</v>
      </c>
      <c r="H28" t="n">
        <v>49</v>
      </c>
      <c r="I28" t="n">
        <v>373</v>
      </c>
      <c r="J28" t="n">
        <v>19</v>
      </c>
      <c r="K28" t="n">
        <v>14</v>
      </c>
      <c r="L28" t="n">
        <v>45</v>
      </c>
      <c r="M28" t="n">
        <v>18</v>
      </c>
      <c r="N28" t="n">
        <v>14</v>
      </c>
      <c r="O28" t="n">
        <v>115</v>
      </c>
    </row>
    <row r="29">
      <c r="A29" t="inlineStr">
        <is>
          <t>-  Urban Area</t>
        </is>
      </c>
      <c r="B29" t="n">
        <v>410</v>
      </c>
      <c r="C29" t="n">
        <v>170</v>
      </c>
      <c r="D29" t="n">
        <v>7</v>
      </c>
      <c r="E29" t="n">
        <v>11</v>
      </c>
      <c r="F29" t="n">
        <v>10</v>
      </c>
      <c r="G29" t="n">
        <v>23</v>
      </c>
      <c r="H29" t="n">
        <v>41</v>
      </c>
      <c r="I29" t="n">
        <v>303</v>
      </c>
      <c r="J29" t="n">
        <v>16</v>
      </c>
      <c r="K29" t="n">
        <v>11</v>
      </c>
      <c r="L29" t="n">
        <v>35</v>
      </c>
      <c r="M29" t="n">
        <v>17</v>
      </c>
      <c r="N29" t="n">
        <v>11</v>
      </c>
      <c r="O29" t="n">
        <v>99</v>
      </c>
    </row>
    <row r="30">
      <c r="A30" t="inlineStr">
        <is>
          <t>-  Rural Area</t>
        </is>
      </c>
      <c r="B30" t="n">
        <v>99</v>
      </c>
      <c r="C30" t="n">
        <v>54</v>
      </c>
      <c r="D30" t="n">
        <v>0</v>
      </c>
      <c r="E30" t="n">
        <v>8</v>
      </c>
      <c r="F30" t="n">
        <v>3</v>
      </c>
      <c r="G30" t="n">
        <v>4</v>
      </c>
      <c r="H30" t="n">
        <v>8</v>
      </c>
      <c r="I30" t="n">
        <v>70</v>
      </c>
      <c r="J30" t="n">
        <v>3</v>
      </c>
      <c r="K30" t="n">
        <v>3</v>
      </c>
      <c r="L30" t="n">
        <v>10</v>
      </c>
      <c r="M30" t="n">
        <v>1</v>
      </c>
      <c r="N30" t="n">
        <v>3</v>
      </c>
      <c r="O30" t="n">
        <v>16</v>
      </c>
    </row>
  </sheetData>
  <mergeCells count="4">
    <mergeCell ref="B1:C1"/>
    <mergeCell ref="J1:O1"/>
    <mergeCell ref="D1:I1"/>
    <mergeCell ref="A1: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BA31"/>
  <sheetViews>
    <sheetView workbookViewId="0">
      <selection activeCell="A1" sqref="A1"/>
    </sheetView>
  </sheetViews>
  <sheetFormatPr baseColWidth="8" defaultRowHeight="15"/>
  <cols>
    <col width="22.6640625" customWidth="1" min="1" max="1"/>
    <col width="11.83203125" customWidth="1" min="2" max="2"/>
    <col width="11.5" customWidth="1" min="4" max="4"/>
    <col width="11.83203125" customWidth="1" min="5" max="5"/>
    <col width="11.5" customWidth="1" min="8" max="8"/>
    <col width="11.83203125" customWidth="1" min="9" max="9"/>
    <col width="11.5" customWidth="1" min="13" max="13"/>
  </cols>
  <sheetData>
    <row r="1">
      <c r="A1" t="inlineStr">
        <is>
          <t>Table 1: Schools, Classes, Students and Staff</t>
        </is>
      </c>
      <c r="B1" t="inlineStr">
        <is>
          <t>Grade 1</t>
        </is>
      </c>
      <c r="F1" t="inlineStr">
        <is>
          <t>Grade 2</t>
        </is>
      </c>
      <c r="J1" t="inlineStr">
        <is>
          <t>Grade 3</t>
        </is>
      </c>
      <c r="N1" t="inlineStr">
        <is>
          <t>Grade 4</t>
        </is>
      </c>
      <c r="R1" t="inlineStr">
        <is>
          <t>Grade 5</t>
        </is>
      </c>
      <c r="V1" t="inlineStr">
        <is>
          <t>Grade 6</t>
        </is>
      </c>
      <c r="Z1" t="inlineStr">
        <is>
          <t>Grade 7</t>
        </is>
      </c>
      <c r="AD1" t="inlineStr">
        <is>
          <t>Grade 8</t>
        </is>
      </c>
      <c r="AH1" t="inlineStr">
        <is>
          <t>Grade 9</t>
        </is>
      </c>
      <c r="AL1" t="inlineStr">
        <is>
          <t>Grade 10</t>
        </is>
      </c>
      <c r="AP1" t="inlineStr">
        <is>
          <t>Grade 11</t>
        </is>
      </c>
      <c r="AT1" t="inlineStr">
        <is>
          <t>Grade 12</t>
        </is>
      </c>
      <c r="AX1" t="inlineStr">
        <is>
          <t>Total</t>
        </is>
      </c>
    </row>
    <row r="2">
      <c r="B2" t="inlineStr">
        <is>
          <t>Enrollment</t>
        </is>
      </c>
      <c r="D2" t="inlineStr">
        <is>
          <t>Repeaters</t>
        </is>
      </c>
      <c r="F2" t="inlineStr">
        <is>
          <t>Enrollment</t>
        </is>
      </c>
      <c r="H2" t="inlineStr">
        <is>
          <t>Repeaters</t>
        </is>
      </c>
      <c r="J2" t="inlineStr">
        <is>
          <t>Enrollment</t>
        </is>
      </c>
      <c r="L2" t="inlineStr">
        <is>
          <t>Repeaters</t>
        </is>
      </c>
      <c r="N2" t="inlineStr">
        <is>
          <t>Enrollment</t>
        </is>
      </c>
      <c r="P2" t="inlineStr">
        <is>
          <t>Repeaters</t>
        </is>
      </c>
      <c r="R2" t="inlineStr">
        <is>
          <t>Enrollment</t>
        </is>
      </c>
      <c r="T2" t="inlineStr">
        <is>
          <t>Repeaters</t>
        </is>
      </c>
      <c r="V2" t="inlineStr">
        <is>
          <t>Enrollment</t>
        </is>
      </c>
      <c r="X2" t="inlineStr">
        <is>
          <t>Repeaters</t>
        </is>
      </c>
      <c r="Z2" t="inlineStr">
        <is>
          <t>Enrollment</t>
        </is>
      </c>
      <c r="AB2" t="inlineStr">
        <is>
          <t>Repeaters</t>
        </is>
      </c>
      <c r="AD2" t="inlineStr">
        <is>
          <t>Enrollment</t>
        </is>
      </c>
      <c r="AF2" t="inlineStr">
        <is>
          <t>Repeaters</t>
        </is>
      </c>
      <c r="AH2" t="inlineStr">
        <is>
          <t>Enrollment</t>
        </is>
      </c>
      <c r="AJ2" t="inlineStr">
        <is>
          <t>Repeaters</t>
        </is>
      </c>
      <c r="AL2" t="inlineStr">
        <is>
          <t>Enrollment</t>
        </is>
      </c>
      <c r="AN2" t="inlineStr">
        <is>
          <t>Repeaters</t>
        </is>
      </c>
      <c r="AP2" t="inlineStr">
        <is>
          <t>Enrollment</t>
        </is>
      </c>
      <c r="AR2" t="inlineStr">
        <is>
          <t>Repeaters</t>
        </is>
      </c>
      <c r="AT2" t="inlineStr">
        <is>
          <t>Enrollment</t>
        </is>
      </c>
      <c r="AV2" t="inlineStr">
        <is>
          <t>Repeaters</t>
        </is>
      </c>
      <c r="AX2" t="inlineStr">
        <is>
          <t>Enrollment</t>
        </is>
      </c>
      <c r="AZ2" t="inlineStr">
        <is>
          <t>Repeaters</t>
        </is>
      </c>
    </row>
    <row r="3">
      <c r="B3" t="inlineStr">
        <is>
          <t>Total</t>
        </is>
      </c>
      <c r="C3" t="inlineStr">
        <is>
          <t>Girl</t>
        </is>
      </c>
      <c r="D3" t="inlineStr">
        <is>
          <t>Total</t>
        </is>
      </c>
      <c r="E3" t="inlineStr">
        <is>
          <t>Girl</t>
        </is>
      </c>
      <c r="F3" t="inlineStr">
        <is>
          <t>Total</t>
        </is>
      </c>
      <c r="G3" t="inlineStr">
        <is>
          <t>Girl</t>
        </is>
      </c>
      <c r="H3" t="inlineStr">
        <is>
          <t>Total</t>
        </is>
      </c>
      <c r="I3" t="inlineStr">
        <is>
          <t>Girl</t>
        </is>
      </c>
      <c r="J3" t="inlineStr">
        <is>
          <t>Total</t>
        </is>
      </c>
      <c r="K3" t="inlineStr">
        <is>
          <t>Girl</t>
        </is>
      </c>
      <c r="L3" t="inlineStr">
        <is>
          <t>Total</t>
        </is>
      </c>
      <c r="M3" t="inlineStr">
        <is>
          <t>Girl</t>
        </is>
      </c>
      <c r="N3" t="inlineStr">
        <is>
          <t>Total</t>
        </is>
      </c>
      <c r="O3" t="inlineStr">
        <is>
          <t>Girl</t>
        </is>
      </c>
      <c r="P3" t="inlineStr">
        <is>
          <t>Total</t>
        </is>
      </c>
      <c r="Q3" t="inlineStr">
        <is>
          <t>Girl</t>
        </is>
      </c>
      <c r="R3" t="inlineStr">
        <is>
          <t>Total</t>
        </is>
      </c>
      <c r="S3" t="inlineStr">
        <is>
          <t>Girl</t>
        </is>
      </c>
      <c r="T3" t="inlineStr">
        <is>
          <t>Total</t>
        </is>
      </c>
      <c r="U3" t="inlineStr">
        <is>
          <t>Girl</t>
        </is>
      </c>
      <c r="V3" t="inlineStr">
        <is>
          <t>Total</t>
        </is>
      </c>
      <c r="W3" t="inlineStr">
        <is>
          <t>Girl</t>
        </is>
      </c>
      <c r="X3" t="inlineStr">
        <is>
          <t>Total</t>
        </is>
      </c>
      <c r="Y3" t="inlineStr">
        <is>
          <t>Girl</t>
        </is>
      </c>
      <c r="Z3" t="inlineStr">
        <is>
          <t>Total</t>
        </is>
      </c>
      <c r="AA3" t="inlineStr">
        <is>
          <t>Girl</t>
        </is>
      </c>
      <c r="AB3" t="inlineStr">
        <is>
          <t>Total</t>
        </is>
      </c>
      <c r="AC3" t="inlineStr">
        <is>
          <t>Girl</t>
        </is>
      </c>
      <c r="AD3" t="inlineStr">
        <is>
          <t>Total</t>
        </is>
      </c>
      <c r="AE3" t="inlineStr">
        <is>
          <t>Girl</t>
        </is>
      </c>
      <c r="AF3" t="inlineStr">
        <is>
          <t>Total</t>
        </is>
      </c>
      <c r="AG3" t="inlineStr">
        <is>
          <t>Girl</t>
        </is>
      </c>
      <c r="AH3" t="inlineStr">
        <is>
          <t>Total</t>
        </is>
      </c>
      <c r="AI3" t="inlineStr">
        <is>
          <t>Girl</t>
        </is>
      </c>
      <c r="AJ3" t="inlineStr">
        <is>
          <t>Total</t>
        </is>
      </c>
      <c r="AK3" t="inlineStr">
        <is>
          <t>Girl</t>
        </is>
      </c>
      <c r="AL3" t="inlineStr">
        <is>
          <t>Total</t>
        </is>
      </c>
      <c r="AM3" t="inlineStr">
        <is>
          <t>Girl</t>
        </is>
      </c>
      <c r="AN3" t="inlineStr">
        <is>
          <t>Total</t>
        </is>
      </c>
      <c r="AO3" t="inlineStr">
        <is>
          <t>Girl</t>
        </is>
      </c>
      <c r="AP3" t="inlineStr">
        <is>
          <t>Total</t>
        </is>
      </c>
      <c r="AQ3" t="inlineStr">
        <is>
          <t>Girl</t>
        </is>
      </c>
      <c r="AR3" t="inlineStr">
        <is>
          <t>Total</t>
        </is>
      </c>
      <c r="AS3" t="inlineStr">
        <is>
          <t>Girl</t>
        </is>
      </c>
      <c r="AT3" t="inlineStr">
        <is>
          <t>Total</t>
        </is>
      </c>
      <c r="AU3" t="inlineStr">
        <is>
          <t>Girl</t>
        </is>
      </c>
      <c r="AV3" t="inlineStr">
        <is>
          <t>Total</t>
        </is>
      </c>
      <c r="AW3" t="inlineStr">
        <is>
          <t>Girl</t>
        </is>
      </c>
      <c r="AX3" t="inlineStr">
        <is>
          <t>Total</t>
        </is>
      </c>
      <c r="AY3" t="inlineStr">
        <is>
          <t>Girl</t>
        </is>
      </c>
      <c r="AZ3" t="inlineStr">
        <is>
          <t>Total</t>
        </is>
      </c>
      <c r="BA3" t="inlineStr">
        <is>
          <t>Girl</t>
        </is>
      </c>
    </row>
    <row r="4">
      <c r="A4" t="inlineStr">
        <is>
          <t>Banteay Meanchey</t>
        </is>
      </c>
      <c r="B4" t="n">
        <v>3270</v>
      </c>
      <c r="C4" t="n">
        <v>1518</v>
      </c>
      <c r="D4" t="n">
        <v>157</v>
      </c>
      <c r="E4" t="n">
        <v>64</v>
      </c>
      <c r="F4" t="n">
        <v>2972</v>
      </c>
      <c r="G4" t="n">
        <v>1444</v>
      </c>
      <c r="H4" t="n">
        <v>85</v>
      </c>
      <c r="I4" t="n">
        <v>24</v>
      </c>
      <c r="J4" t="n">
        <v>2594</v>
      </c>
      <c r="K4" t="n">
        <v>1200</v>
      </c>
      <c r="L4" t="n">
        <v>63</v>
      </c>
      <c r="M4" t="n">
        <v>18</v>
      </c>
      <c r="N4" t="n">
        <v>2166</v>
      </c>
      <c r="O4" t="n">
        <v>1044</v>
      </c>
      <c r="P4" t="n">
        <v>14</v>
      </c>
      <c r="Q4" t="n">
        <v>5</v>
      </c>
      <c r="R4" t="n">
        <v>1829</v>
      </c>
      <c r="S4" t="n">
        <v>901</v>
      </c>
      <c r="T4" t="n">
        <v>16</v>
      </c>
      <c r="U4" t="n">
        <v>6</v>
      </c>
      <c r="V4" t="n">
        <v>1501</v>
      </c>
      <c r="W4" t="n">
        <v>772</v>
      </c>
      <c r="X4" t="n">
        <v>12</v>
      </c>
      <c r="Y4" t="n">
        <v>4</v>
      </c>
      <c r="Z4" t="n">
        <v>1229</v>
      </c>
      <c r="AA4" t="n">
        <v>602</v>
      </c>
      <c r="AB4" t="n">
        <v>12</v>
      </c>
      <c r="AC4" t="n">
        <v>4</v>
      </c>
      <c r="AD4" t="n">
        <v>904</v>
      </c>
      <c r="AE4" t="n">
        <v>421</v>
      </c>
      <c r="AF4" t="n">
        <v>9</v>
      </c>
      <c r="AG4" t="n">
        <v>3</v>
      </c>
      <c r="AH4" t="n">
        <v>784</v>
      </c>
      <c r="AI4" t="n">
        <v>398</v>
      </c>
      <c r="AJ4" t="n">
        <v>16</v>
      </c>
      <c r="AK4" t="n">
        <v>4</v>
      </c>
      <c r="AL4" t="n">
        <v>515</v>
      </c>
      <c r="AM4" t="n">
        <v>276</v>
      </c>
      <c r="AN4" t="n">
        <v>0</v>
      </c>
      <c r="AO4" t="n">
        <v>0</v>
      </c>
      <c r="AP4" t="n">
        <v>427</v>
      </c>
      <c r="AQ4" t="n">
        <v>215</v>
      </c>
      <c r="AR4" t="n">
        <v>1</v>
      </c>
      <c r="AS4" t="n">
        <v>0</v>
      </c>
      <c r="AT4" t="n">
        <v>358</v>
      </c>
      <c r="AU4" t="n">
        <v>167</v>
      </c>
      <c r="AV4" t="n">
        <v>7</v>
      </c>
      <c r="AW4" t="n">
        <v>1</v>
      </c>
      <c r="AX4" t="n">
        <v>21942</v>
      </c>
      <c r="AY4" t="n">
        <v>10611</v>
      </c>
      <c r="AZ4" t="n">
        <v>392</v>
      </c>
      <c r="BA4" t="n">
        <v>133</v>
      </c>
    </row>
    <row r="5">
      <c r="A5" t="inlineStr">
        <is>
          <t>Battambang</t>
        </is>
      </c>
      <c r="B5" t="n">
        <v>1028</v>
      </c>
      <c r="C5" t="n">
        <v>487</v>
      </c>
      <c r="D5" t="n">
        <v>3</v>
      </c>
      <c r="E5" t="n">
        <v>0</v>
      </c>
      <c r="F5" t="n">
        <v>828</v>
      </c>
      <c r="G5" t="n">
        <v>386</v>
      </c>
      <c r="H5" t="n">
        <v>8</v>
      </c>
      <c r="I5" t="n">
        <v>0</v>
      </c>
      <c r="J5" t="n">
        <v>689</v>
      </c>
      <c r="K5" t="n">
        <v>352</v>
      </c>
      <c r="L5" t="n">
        <v>10</v>
      </c>
      <c r="M5" t="n">
        <v>4</v>
      </c>
      <c r="N5" t="n">
        <v>620</v>
      </c>
      <c r="O5" t="n">
        <v>310</v>
      </c>
      <c r="P5" t="n">
        <v>5</v>
      </c>
      <c r="Q5" t="n">
        <v>1</v>
      </c>
      <c r="R5" t="n">
        <v>608</v>
      </c>
      <c r="S5" t="n">
        <v>312</v>
      </c>
      <c r="T5" t="n">
        <v>7</v>
      </c>
      <c r="U5" t="n">
        <v>0</v>
      </c>
      <c r="V5" t="n">
        <v>575</v>
      </c>
      <c r="W5" t="n">
        <v>292</v>
      </c>
      <c r="X5" t="n">
        <v>4</v>
      </c>
      <c r="Y5" t="n">
        <v>2</v>
      </c>
      <c r="Z5" t="n">
        <v>545</v>
      </c>
      <c r="AA5" t="n">
        <v>277</v>
      </c>
      <c r="AB5" t="n">
        <v>14</v>
      </c>
      <c r="AC5" t="n">
        <v>2</v>
      </c>
      <c r="AD5" t="n">
        <v>547</v>
      </c>
      <c r="AE5" t="n">
        <v>250</v>
      </c>
      <c r="AF5" t="n">
        <v>9</v>
      </c>
      <c r="AG5" t="n">
        <v>1</v>
      </c>
      <c r="AH5" t="n">
        <v>569</v>
      </c>
      <c r="AI5" t="n">
        <v>286</v>
      </c>
      <c r="AJ5" t="n">
        <v>14</v>
      </c>
      <c r="AK5" t="n">
        <v>2</v>
      </c>
      <c r="AL5" t="n">
        <v>540</v>
      </c>
      <c r="AM5" t="n">
        <v>285</v>
      </c>
      <c r="AN5" t="n">
        <v>5</v>
      </c>
      <c r="AO5" t="n">
        <v>3</v>
      </c>
      <c r="AP5" t="n">
        <v>529</v>
      </c>
      <c r="AQ5" t="n">
        <v>284</v>
      </c>
      <c r="AR5" t="n">
        <v>2</v>
      </c>
      <c r="AS5" t="n">
        <v>1</v>
      </c>
      <c r="AT5" t="n">
        <v>453</v>
      </c>
      <c r="AU5" t="n">
        <v>245</v>
      </c>
      <c r="AV5" t="n">
        <v>17</v>
      </c>
      <c r="AW5" t="n">
        <v>7</v>
      </c>
      <c r="AX5" t="n">
        <v>8804</v>
      </c>
      <c r="AY5" t="n">
        <v>4371</v>
      </c>
      <c r="AZ5" t="n">
        <v>98</v>
      </c>
      <c r="BA5" t="n">
        <v>23</v>
      </c>
    </row>
    <row r="6">
      <c r="A6" t="inlineStr">
        <is>
          <t>Kampong Cham</t>
        </is>
      </c>
      <c r="B6" t="n">
        <v>545</v>
      </c>
      <c r="C6" t="n">
        <v>278</v>
      </c>
      <c r="D6" t="n">
        <v>32</v>
      </c>
      <c r="E6" t="n">
        <v>10</v>
      </c>
      <c r="F6" t="n">
        <v>528</v>
      </c>
      <c r="G6" t="n">
        <v>253</v>
      </c>
      <c r="H6" t="n">
        <v>27</v>
      </c>
      <c r="I6" t="n">
        <v>13</v>
      </c>
      <c r="J6" t="n">
        <v>455</v>
      </c>
      <c r="K6" t="n">
        <v>215</v>
      </c>
      <c r="L6" t="n">
        <v>17</v>
      </c>
      <c r="M6" t="n">
        <v>6</v>
      </c>
      <c r="N6" t="n">
        <v>337</v>
      </c>
      <c r="O6" t="n">
        <v>145</v>
      </c>
      <c r="P6" t="n">
        <v>8</v>
      </c>
      <c r="Q6" t="n">
        <v>3</v>
      </c>
      <c r="R6" t="n">
        <v>381</v>
      </c>
      <c r="S6" t="n">
        <v>177</v>
      </c>
      <c r="T6" t="n">
        <v>0</v>
      </c>
      <c r="U6" t="n">
        <v>0</v>
      </c>
      <c r="V6" t="n">
        <v>286</v>
      </c>
      <c r="W6" t="n">
        <v>145</v>
      </c>
      <c r="X6" t="n">
        <v>4</v>
      </c>
      <c r="Y6" t="n">
        <v>4</v>
      </c>
      <c r="Z6" t="n">
        <v>159</v>
      </c>
      <c r="AA6" t="n">
        <v>72</v>
      </c>
      <c r="AB6" t="n">
        <v>2</v>
      </c>
      <c r="AC6" t="n">
        <v>1</v>
      </c>
      <c r="AD6" t="n">
        <v>142</v>
      </c>
      <c r="AE6" t="n">
        <v>66</v>
      </c>
      <c r="AF6" t="n">
        <v>2</v>
      </c>
      <c r="AG6" t="n">
        <v>0</v>
      </c>
      <c r="AH6" t="n">
        <v>106</v>
      </c>
      <c r="AI6" t="n">
        <v>54</v>
      </c>
      <c r="AJ6" t="n">
        <v>0</v>
      </c>
      <c r="AK6" t="n">
        <v>0</v>
      </c>
      <c r="AL6" t="n">
        <v>89</v>
      </c>
      <c r="AM6" t="n">
        <v>48</v>
      </c>
      <c r="AN6" t="n">
        <v>1</v>
      </c>
      <c r="AO6" t="n">
        <v>0</v>
      </c>
      <c r="AP6" t="n">
        <v>71</v>
      </c>
      <c r="AQ6" t="n">
        <v>33</v>
      </c>
      <c r="AR6" t="n">
        <v>0</v>
      </c>
      <c r="AS6" t="n">
        <v>0</v>
      </c>
      <c r="AT6" t="n">
        <v>58</v>
      </c>
      <c r="AU6" t="n">
        <v>28</v>
      </c>
      <c r="AV6" t="n">
        <v>0</v>
      </c>
      <c r="AW6" t="n">
        <v>0</v>
      </c>
      <c r="AX6" t="n">
        <v>4010</v>
      </c>
      <c r="AY6" t="n">
        <v>1969</v>
      </c>
      <c r="AZ6" t="n">
        <v>93</v>
      </c>
      <c r="BA6" t="n">
        <v>37</v>
      </c>
    </row>
    <row r="7">
      <c r="A7" t="inlineStr">
        <is>
          <t>Kampong Chhnang</t>
        </is>
      </c>
      <c r="B7" t="n">
        <v>499</v>
      </c>
      <c r="C7" t="n">
        <v>261</v>
      </c>
      <c r="D7" t="n">
        <v>3</v>
      </c>
      <c r="E7" t="n">
        <v>1</v>
      </c>
      <c r="F7" t="n">
        <v>426</v>
      </c>
      <c r="G7" t="n">
        <v>191</v>
      </c>
      <c r="H7" t="n">
        <v>3</v>
      </c>
      <c r="I7" t="n">
        <v>1</v>
      </c>
      <c r="J7" t="n">
        <v>246</v>
      </c>
      <c r="K7" t="n">
        <v>121</v>
      </c>
      <c r="L7" t="n">
        <v>0</v>
      </c>
      <c r="M7" t="n">
        <v>0</v>
      </c>
      <c r="N7" t="n">
        <v>278</v>
      </c>
      <c r="O7" t="n">
        <v>124</v>
      </c>
      <c r="P7" t="n">
        <v>0</v>
      </c>
      <c r="Q7" t="n">
        <v>0</v>
      </c>
      <c r="R7" t="n">
        <v>254</v>
      </c>
      <c r="S7" t="n">
        <v>119</v>
      </c>
      <c r="T7" t="n">
        <v>0</v>
      </c>
      <c r="U7" t="n">
        <v>0</v>
      </c>
      <c r="V7" t="n">
        <v>202</v>
      </c>
      <c r="W7" t="n">
        <v>89</v>
      </c>
      <c r="X7" t="n">
        <v>0</v>
      </c>
      <c r="Y7" t="n">
        <v>0</v>
      </c>
      <c r="Z7" t="n">
        <v>211</v>
      </c>
      <c r="AA7" t="n">
        <v>80</v>
      </c>
      <c r="AB7" t="n">
        <v>5</v>
      </c>
      <c r="AC7" t="n">
        <v>1</v>
      </c>
      <c r="AD7" t="n">
        <v>182</v>
      </c>
      <c r="AE7" t="n">
        <v>68</v>
      </c>
      <c r="AF7" t="n">
        <v>0</v>
      </c>
      <c r="AG7" t="n">
        <v>0</v>
      </c>
      <c r="AH7" t="n">
        <v>215</v>
      </c>
      <c r="AI7" t="n">
        <v>82</v>
      </c>
      <c r="AJ7" t="n">
        <v>1</v>
      </c>
      <c r="AK7" t="n">
        <v>0</v>
      </c>
      <c r="AL7" t="n">
        <v>119</v>
      </c>
      <c r="AM7" t="n">
        <v>36</v>
      </c>
      <c r="AN7" t="n">
        <v>2</v>
      </c>
      <c r="AO7" t="n">
        <v>0</v>
      </c>
      <c r="AP7" t="n">
        <v>165</v>
      </c>
      <c r="AQ7" t="n">
        <v>75</v>
      </c>
      <c r="AR7" t="n">
        <v>0</v>
      </c>
      <c r="AS7" t="n">
        <v>0</v>
      </c>
      <c r="AT7" t="n">
        <v>176</v>
      </c>
      <c r="AU7" t="n">
        <v>73</v>
      </c>
      <c r="AV7" t="n">
        <v>1</v>
      </c>
      <c r="AW7" t="n">
        <v>1</v>
      </c>
      <c r="AX7" t="n">
        <v>4505</v>
      </c>
      <c r="AY7" t="n">
        <v>2055</v>
      </c>
      <c r="AZ7" t="n">
        <v>15</v>
      </c>
      <c r="BA7" t="n">
        <v>4</v>
      </c>
    </row>
    <row r="8">
      <c r="A8" t="inlineStr">
        <is>
          <t>Kampong Speu</t>
        </is>
      </c>
      <c r="B8" t="n">
        <v>1091</v>
      </c>
      <c r="C8" t="n">
        <v>552</v>
      </c>
      <c r="D8" t="n">
        <v>29</v>
      </c>
      <c r="E8" t="n">
        <v>12</v>
      </c>
      <c r="F8" t="n">
        <v>825</v>
      </c>
      <c r="G8" t="n">
        <v>412</v>
      </c>
      <c r="H8" t="n">
        <v>21</v>
      </c>
      <c r="I8" t="n">
        <v>7</v>
      </c>
      <c r="J8" t="n">
        <v>741</v>
      </c>
      <c r="K8" t="n">
        <v>376</v>
      </c>
      <c r="L8" t="n">
        <v>12</v>
      </c>
      <c r="M8" t="n">
        <v>5</v>
      </c>
      <c r="N8" t="n">
        <v>626</v>
      </c>
      <c r="O8" t="n">
        <v>312</v>
      </c>
      <c r="P8" t="n">
        <v>5</v>
      </c>
      <c r="Q8" t="n">
        <v>3</v>
      </c>
      <c r="R8" t="n">
        <v>502</v>
      </c>
      <c r="S8" t="n">
        <v>261</v>
      </c>
      <c r="T8" t="n">
        <v>9</v>
      </c>
      <c r="U8" t="n">
        <v>4</v>
      </c>
      <c r="V8" t="n">
        <v>491</v>
      </c>
      <c r="W8" t="n">
        <v>276</v>
      </c>
      <c r="X8" t="n">
        <v>18</v>
      </c>
      <c r="Y8" t="n">
        <v>13</v>
      </c>
      <c r="Z8" t="n">
        <v>288</v>
      </c>
      <c r="AA8" t="n">
        <v>133</v>
      </c>
      <c r="AB8" t="n">
        <v>4</v>
      </c>
      <c r="AC8" t="n">
        <v>1</v>
      </c>
      <c r="AD8" t="n">
        <v>246</v>
      </c>
      <c r="AE8" t="n">
        <v>118</v>
      </c>
      <c r="AF8" t="n">
        <v>2</v>
      </c>
      <c r="AG8" t="n">
        <v>2</v>
      </c>
      <c r="AH8" t="n">
        <v>206</v>
      </c>
      <c r="AI8" t="n">
        <v>121</v>
      </c>
      <c r="AJ8" t="n">
        <v>1</v>
      </c>
      <c r="AK8" t="n">
        <v>0</v>
      </c>
      <c r="AL8" t="n">
        <v>105</v>
      </c>
      <c r="AM8" t="n">
        <v>55</v>
      </c>
      <c r="AN8" t="n">
        <v>0</v>
      </c>
      <c r="AO8" t="n">
        <v>0</v>
      </c>
      <c r="AP8" t="n">
        <v>58</v>
      </c>
      <c r="AQ8" t="n">
        <v>30</v>
      </c>
      <c r="AR8" t="n">
        <v>0</v>
      </c>
      <c r="AS8" t="n">
        <v>0</v>
      </c>
      <c r="AT8" t="n">
        <v>38</v>
      </c>
      <c r="AU8" t="n">
        <v>19</v>
      </c>
      <c r="AV8" t="n">
        <v>0</v>
      </c>
      <c r="AW8" t="n">
        <v>0</v>
      </c>
      <c r="AX8" t="n">
        <v>8134</v>
      </c>
      <c r="AY8" t="n">
        <v>4179</v>
      </c>
      <c r="AZ8" t="n">
        <v>101</v>
      </c>
      <c r="BA8" t="n">
        <v>47</v>
      </c>
    </row>
    <row r="9">
      <c r="A9" t="inlineStr">
        <is>
          <t>Kampong Thom</t>
        </is>
      </c>
      <c r="B9" t="n">
        <v>233</v>
      </c>
      <c r="C9" t="n">
        <v>91</v>
      </c>
      <c r="D9" t="n">
        <v>1</v>
      </c>
      <c r="E9" t="n">
        <v>0</v>
      </c>
      <c r="F9" t="n">
        <v>191</v>
      </c>
      <c r="G9" t="n">
        <v>84</v>
      </c>
      <c r="H9" t="n">
        <v>1</v>
      </c>
      <c r="I9" t="n">
        <v>0</v>
      </c>
      <c r="J9" t="n">
        <v>208</v>
      </c>
      <c r="K9" t="n">
        <v>106</v>
      </c>
      <c r="L9" t="n">
        <v>0</v>
      </c>
      <c r="M9" t="n">
        <v>0</v>
      </c>
      <c r="N9" t="n">
        <v>147</v>
      </c>
      <c r="O9" t="n">
        <v>68</v>
      </c>
      <c r="P9" t="n">
        <v>0</v>
      </c>
      <c r="Q9" t="n">
        <v>0</v>
      </c>
      <c r="R9" t="n">
        <v>151</v>
      </c>
      <c r="S9" t="n">
        <v>63</v>
      </c>
      <c r="T9" t="n">
        <v>0</v>
      </c>
      <c r="U9" t="n">
        <v>0</v>
      </c>
      <c r="V9" t="n">
        <v>119</v>
      </c>
      <c r="W9" t="n">
        <v>55</v>
      </c>
      <c r="X9" t="n">
        <v>0</v>
      </c>
      <c r="Y9" t="n">
        <v>0</v>
      </c>
      <c r="Z9" t="n">
        <v>71</v>
      </c>
      <c r="AA9" t="n">
        <v>26</v>
      </c>
      <c r="AB9" t="n">
        <v>0</v>
      </c>
      <c r="AC9" t="n">
        <v>0</v>
      </c>
      <c r="AD9" t="n">
        <v>83</v>
      </c>
      <c r="AE9" t="n">
        <v>41</v>
      </c>
      <c r="AF9" t="n">
        <v>0</v>
      </c>
      <c r="AG9" t="n">
        <v>0</v>
      </c>
      <c r="AH9" t="n">
        <v>56</v>
      </c>
      <c r="AI9" t="n">
        <v>22</v>
      </c>
      <c r="AJ9" t="n">
        <v>3</v>
      </c>
      <c r="AK9" t="n">
        <v>1</v>
      </c>
      <c r="AL9" t="n">
        <v>55</v>
      </c>
      <c r="AM9" t="n">
        <v>25</v>
      </c>
      <c r="AN9" t="n">
        <v>0</v>
      </c>
      <c r="AO9" t="n">
        <v>0</v>
      </c>
      <c r="AP9" t="n">
        <v>29</v>
      </c>
      <c r="AQ9" t="n">
        <v>19</v>
      </c>
      <c r="AR9" t="n">
        <v>0</v>
      </c>
      <c r="AS9" t="n">
        <v>0</v>
      </c>
      <c r="AT9" t="n">
        <v>14</v>
      </c>
      <c r="AU9" t="n">
        <v>6</v>
      </c>
      <c r="AV9" t="n">
        <v>0</v>
      </c>
      <c r="AW9" t="n">
        <v>0</v>
      </c>
      <c r="AX9" t="n">
        <v>1699</v>
      </c>
      <c r="AY9" t="n">
        <v>754</v>
      </c>
      <c r="AZ9" t="n">
        <v>5</v>
      </c>
      <c r="BA9" t="n">
        <v>1</v>
      </c>
    </row>
    <row r="10">
      <c r="A10" t="inlineStr">
        <is>
          <t>Kampot</t>
        </is>
      </c>
      <c r="B10" t="n">
        <v>2074</v>
      </c>
      <c r="C10" t="n">
        <v>1079</v>
      </c>
      <c r="D10" t="n">
        <v>48</v>
      </c>
      <c r="E10" t="n">
        <v>30</v>
      </c>
      <c r="F10" t="n">
        <v>1230</v>
      </c>
      <c r="G10" t="n">
        <v>632</v>
      </c>
      <c r="H10" t="n">
        <v>27</v>
      </c>
      <c r="I10" t="n">
        <v>13</v>
      </c>
      <c r="J10" t="n">
        <v>877</v>
      </c>
      <c r="K10" t="n">
        <v>491</v>
      </c>
      <c r="L10" t="n">
        <v>30</v>
      </c>
      <c r="M10" t="n">
        <v>18</v>
      </c>
      <c r="N10" t="n">
        <v>797</v>
      </c>
      <c r="O10" t="n">
        <v>418</v>
      </c>
      <c r="P10" t="n">
        <v>10</v>
      </c>
      <c r="Q10" t="n">
        <v>5</v>
      </c>
      <c r="R10" t="n">
        <v>697</v>
      </c>
      <c r="S10" t="n">
        <v>369</v>
      </c>
      <c r="T10" t="n">
        <v>8</v>
      </c>
      <c r="U10" t="n">
        <v>3</v>
      </c>
      <c r="V10" t="n">
        <v>559</v>
      </c>
      <c r="W10" t="n">
        <v>296</v>
      </c>
      <c r="X10" t="n">
        <v>4</v>
      </c>
      <c r="Y10" t="n">
        <v>0</v>
      </c>
      <c r="Z10" t="n">
        <v>565</v>
      </c>
      <c r="AA10" t="n">
        <v>307</v>
      </c>
      <c r="AB10" t="n">
        <v>7</v>
      </c>
      <c r="AC10" t="n">
        <v>5</v>
      </c>
      <c r="AD10" t="n">
        <v>388</v>
      </c>
      <c r="AE10" t="n">
        <v>219</v>
      </c>
      <c r="AF10" t="n">
        <v>0</v>
      </c>
      <c r="AG10" t="n">
        <v>0</v>
      </c>
      <c r="AH10" t="n">
        <v>384</v>
      </c>
      <c r="AI10" t="n">
        <v>201</v>
      </c>
      <c r="AJ10" t="n">
        <v>1</v>
      </c>
      <c r="AK10" t="n">
        <v>0</v>
      </c>
      <c r="AL10" t="n">
        <v>369</v>
      </c>
      <c r="AM10" t="n">
        <v>184</v>
      </c>
      <c r="AN10" t="n">
        <v>0</v>
      </c>
      <c r="AO10" t="n">
        <v>0</v>
      </c>
      <c r="AP10" t="n">
        <v>304</v>
      </c>
      <c r="AQ10" t="n">
        <v>153</v>
      </c>
      <c r="AR10" t="n">
        <v>0</v>
      </c>
      <c r="AS10" t="n">
        <v>0</v>
      </c>
      <c r="AT10" t="n">
        <v>346</v>
      </c>
      <c r="AU10" t="n">
        <v>174</v>
      </c>
      <c r="AV10" t="n">
        <v>23</v>
      </c>
      <c r="AW10" t="n">
        <v>11</v>
      </c>
      <c r="AX10" t="n">
        <v>9588</v>
      </c>
      <c r="AY10" t="n">
        <v>5022</v>
      </c>
      <c r="AZ10" t="n">
        <v>158</v>
      </c>
      <c r="BA10" t="n">
        <v>85</v>
      </c>
    </row>
    <row r="11">
      <c r="A11" t="inlineStr">
        <is>
          <t>Kandal</t>
        </is>
      </c>
      <c r="B11" t="n">
        <v>1586</v>
      </c>
      <c r="C11" t="n">
        <v>815</v>
      </c>
      <c r="D11" t="n">
        <v>103</v>
      </c>
      <c r="E11" t="n">
        <v>39</v>
      </c>
      <c r="F11" t="n">
        <v>1172</v>
      </c>
      <c r="G11" t="n">
        <v>580</v>
      </c>
      <c r="H11" t="n">
        <v>93</v>
      </c>
      <c r="I11" t="n">
        <v>32</v>
      </c>
      <c r="J11" t="n">
        <v>892</v>
      </c>
      <c r="K11" t="n">
        <v>437</v>
      </c>
      <c r="L11" t="n">
        <v>51</v>
      </c>
      <c r="M11" t="n">
        <v>18</v>
      </c>
      <c r="N11" t="n">
        <v>788</v>
      </c>
      <c r="O11" t="n">
        <v>375</v>
      </c>
      <c r="P11" t="n">
        <v>35</v>
      </c>
      <c r="Q11" t="n">
        <v>12</v>
      </c>
      <c r="R11" t="n">
        <v>688</v>
      </c>
      <c r="S11" t="n">
        <v>338</v>
      </c>
      <c r="T11" t="n">
        <v>15</v>
      </c>
      <c r="U11" t="n">
        <v>4</v>
      </c>
      <c r="V11" t="n">
        <v>557</v>
      </c>
      <c r="W11" t="n">
        <v>289</v>
      </c>
      <c r="X11" t="n">
        <v>19</v>
      </c>
      <c r="Y11" t="n">
        <v>4</v>
      </c>
      <c r="Z11" t="n">
        <v>757</v>
      </c>
      <c r="AA11" t="n">
        <v>294</v>
      </c>
      <c r="AB11" t="n">
        <v>6</v>
      </c>
      <c r="AC11" t="n">
        <v>2</v>
      </c>
      <c r="AD11" t="n">
        <v>620</v>
      </c>
      <c r="AE11" t="n">
        <v>243</v>
      </c>
      <c r="AF11" t="n">
        <v>5</v>
      </c>
      <c r="AG11" t="n">
        <v>4</v>
      </c>
      <c r="AH11" t="n">
        <v>526</v>
      </c>
      <c r="AI11" t="n">
        <v>225</v>
      </c>
      <c r="AJ11" t="n">
        <v>3</v>
      </c>
      <c r="AK11" t="n">
        <v>1</v>
      </c>
      <c r="AL11" t="n">
        <v>407</v>
      </c>
      <c r="AM11" t="n">
        <v>182</v>
      </c>
      <c r="AN11" t="n">
        <v>3</v>
      </c>
      <c r="AO11" t="n">
        <v>2</v>
      </c>
      <c r="AP11" t="n">
        <v>380</v>
      </c>
      <c r="AQ11" t="n">
        <v>173</v>
      </c>
      <c r="AR11" t="n">
        <v>3</v>
      </c>
      <c r="AS11" t="n">
        <v>0</v>
      </c>
      <c r="AT11" t="n">
        <v>350</v>
      </c>
      <c r="AU11" t="n">
        <v>167</v>
      </c>
      <c r="AV11" t="n">
        <v>10</v>
      </c>
      <c r="AW11" t="n">
        <v>7</v>
      </c>
      <c r="AX11" t="n">
        <v>10697</v>
      </c>
      <c r="AY11" t="n">
        <v>5119</v>
      </c>
      <c r="AZ11" t="n">
        <v>346</v>
      </c>
      <c r="BA11" t="n">
        <v>125</v>
      </c>
    </row>
    <row r="12">
      <c r="A12" t="inlineStr">
        <is>
          <t>Kep</t>
        </is>
      </c>
      <c r="B12" t="n">
        <v>289</v>
      </c>
      <c r="C12" t="n">
        <v>143</v>
      </c>
      <c r="D12" t="n">
        <v>0</v>
      </c>
      <c r="E12" t="n">
        <v>0</v>
      </c>
      <c r="F12" t="n">
        <v>102</v>
      </c>
      <c r="G12" t="n">
        <v>56</v>
      </c>
      <c r="H12" t="n">
        <v>0</v>
      </c>
      <c r="I12" t="n">
        <v>0</v>
      </c>
      <c r="J12" t="n">
        <v>90</v>
      </c>
      <c r="K12" t="n">
        <v>55</v>
      </c>
      <c r="L12" t="n">
        <v>0</v>
      </c>
      <c r="M12" t="n">
        <v>0</v>
      </c>
      <c r="N12" t="n">
        <v>104</v>
      </c>
      <c r="O12" t="n">
        <v>64</v>
      </c>
      <c r="P12" t="n">
        <v>0</v>
      </c>
      <c r="Q12" t="n">
        <v>0</v>
      </c>
      <c r="R12" t="n">
        <v>82</v>
      </c>
      <c r="S12" t="n">
        <v>46</v>
      </c>
      <c r="T12" t="n">
        <v>0</v>
      </c>
      <c r="U12" t="n">
        <v>0</v>
      </c>
      <c r="V12" t="n">
        <v>48</v>
      </c>
      <c r="W12" t="n">
        <v>21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836</v>
      </c>
      <c r="AY12" t="n">
        <v>446</v>
      </c>
      <c r="AZ12" t="n">
        <v>0</v>
      </c>
      <c r="BA12" t="n">
        <v>0</v>
      </c>
    </row>
    <row r="13">
      <c r="A13" t="inlineStr">
        <is>
          <t>Koh Kong</t>
        </is>
      </c>
      <c r="B13" t="n">
        <v>732</v>
      </c>
      <c r="C13" t="n">
        <v>364</v>
      </c>
      <c r="D13" t="n">
        <v>12</v>
      </c>
      <c r="E13" t="n">
        <v>2</v>
      </c>
      <c r="F13" t="n">
        <v>577</v>
      </c>
      <c r="G13" t="n">
        <v>294</v>
      </c>
      <c r="H13" t="n">
        <v>20</v>
      </c>
      <c r="I13" t="n">
        <v>6</v>
      </c>
      <c r="J13" t="n">
        <v>395</v>
      </c>
      <c r="K13" t="n">
        <v>201</v>
      </c>
      <c r="L13" t="n">
        <v>1</v>
      </c>
      <c r="M13" t="n">
        <v>0</v>
      </c>
      <c r="N13" t="n">
        <v>373</v>
      </c>
      <c r="O13" t="n">
        <v>196</v>
      </c>
      <c r="P13" t="n">
        <v>3</v>
      </c>
      <c r="Q13" t="n">
        <v>0</v>
      </c>
      <c r="R13" t="n">
        <v>282</v>
      </c>
      <c r="S13" t="n">
        <v>137</v>
      </c>
      <c r="T13" t="n">
        <v>3</v>
      </c>
      <c r="U13" t="n">
        <v>3</v>
      </c>
      <c r="V13" t="n">
        <v>235</v>
      </c>
      <c r="W13" t="n">
        <v>145</v>
      </c>
      <c r="X13" t="n">
        <v>0</v>
      </c>
      <c r="Y13" t="n">
        <v>0</v>
      </c>
      <c r="Z13" t="n">
        <v>137</v>
      </c>
      <c r="AA13" t="n">
        <v>57</v>
      </c>
      <c r="AB13" t="n">
        <v>0</v>
      </c>
      <c r="AC13" t="n">
        <v>0</v>
      </c>
      <c r="AD13" t="n">
        <v>117</v>
      </c>
      <c r="AE13" t="n">
        <v>56</v>
      </c>
      <c r="AF13" t="n">
        <v>1</v>
      </c>
      <c r="AG13" t="n">
        <v>0</v>
      </c>
      <c r="AH13" t="n">
        <v>78</v>
      </c>
      <c r="AI13" t="n">
        <v>34</v>
      </c>
      <c r="AJ13" t="n">
        <v>0</v>
      </c>
      <c r="AK13" t="n">
        <v>0</v>
      </c>
      <c r="AL13" t="n">
        <v>17</v>
      </c>
      <c r="AM13" t="n">
        <v>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3259</v>
      </c>
      <c r="AY13" t="n">
        <v>1674</v>
      </c>
      <c r="AZ13" t="n">
        <v>40</v>
      </c>
      <c r="BA13" t="n">
        <v>11</v>
      </c>
    </row>
    <row r="14">
      <c r="A14" t="inlineStr">
        <is>
          <t>Kratie</t>
        </is>
      </c>
      <c r="B14" t="n">
        <v>764</v>
      </c>
      <c r="C14" t="n">
        <v>463</v>
      </c>
      <c r="D14" t="n">
        <v>11</v>
      </c>
      <c r="E14" t="n">
        <v>9</v>
      </c>
      <c r="F14" t="n">
        <v>276</v>
      </c>
      <c r="G14" t="n">
        <v>174</v>
      </c>
      <c r="H14" t="n">
        <v>0</v>
      </c>
      <c r="I14" t="n">
        <v>0</v>
      </c>
      <c r="J14" t="n">
        <v>156</v>
      </c>
      <c r="K14" t="n">
        <v>91</v>
      </c>
      <c r="L14" t="n">
        <v>2</v>
      </c>
      <c r="M14" t="n">
        <v>1</v>
      </c>
      <c r="N14" t="n">
        <v>80</v>
      </c>
      <c r="O14" t="n">
        <v>46</v>
      </c>
      <c r="P14" t="n">
        <v>0</v>
      </c>
      <c r="Q14" t="n">
        <v>0</v>
      </c>
      <c r="R14" t="n">
        <v>43</v>
      </c>
      <c r="S14" t="n">
        <v>20</v>
      </c>
      <c r="T14" t="n">
        <v>0</v>
      </c>
      <c r="U14" t="n">
        <v>0</v>
      </c>
      <c r="V14" t="n">
        <v>18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1499</v>
      </c>
      <c r="AY14" t="n">
        <v>880</v>
      </c>
      <c r="AZ14" t="n">
        <v>13</v>
      </c>
      <c r="BA14" t="n">
        <v>10</v>
      </c>
    </row>
    <row r="15">
      <c r="A15" t="inlineStr">
        <is>
          <t>Mondul Kiri</t>
        </is>
      </c>
      <c r="B15" t="n">
        <v>66</v>
      </c>
      <c r="C15" t="n">
        <v>19</v>
      </c>
      <c r="D15" t="n">
        <v>0</v>
      </c>
      <c r="E15" t="n">
        <v>0</v>
      </c>
      <c r="F15" t="n">
        <v>43</v>
      </c>
      <c r="G15" t="n">
        <v>15</v>
      </c>
      <c r="H15" t="n">
        <v>0</v>
      </c>
      <c r="I15" t="n">
        <v>0</v>
      </c>
      <c r="J15" t="n">
        <v>29</v>
      </c>
      <c r="K15" t="n">
        <v>9</v>
      </c>
      <c r="L15" t="n">
        <v>0</v>
      </c>
      <c r="M15" t="n">
        <v>0</v>
      </c>
      <c r="N15" t="n">
        <v>30</v>
      </c>
      <c r="O15" t="n">
        <v>13</v>
      </c>
      <c r="P15" t="n">
        <v>0</v>
      </c>
      <c r="Q15" t="n">
        <v>0</v>
      </c>
      <c r="R15" t="n">
        <v>23</v>
      </c>
      <c r="S15" t="n">
        <v>13</v>
      </c>
      <c r="T15" t="n">
        <v>0</v>
      </c>
      <c r="U15" t="n">
        <v>0</v>
      </c>
      <c r="V15" t="n">
        <v>14</v>
      </c>
      <c r="W15" t="n">
        <v>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345</v>
      </c>
      <c r="AY15" t="n">
        <v>140</v>
      </c>
      <c r="AZ15" t="n">
        <v>0</v>
      </c>
      <c r="BA15" t="n">
        <v>0</v>
      </c>
    </row>
    <row r="16">
      <c r="A16" t="inlineStr">
        <is>
          <t>Otdar Meanchey</t>
        </is>
      </c>
      <c r="B16" t="n">
        <v>314</v>
      </c>
      <c r="C16" t="n">
        <v>130</v>
      </c>
      <c r="D16" t="n">
        <v>8</v>
      </c>
      <c r="E16" t="n">
        <v>4</v>
      </c>
      <c r="F16" t="n">
        <v>248</v>
      </c>
      <c r="G16" t="n">
        <v>120</v>
      </c>
      <c r="H16" t="n">
        <v>4</v>
      </c>
      <c r="I16" t="n">
        <v>1</v>
      </c>
      <c r="J16" t="n">
        <v>170</v>
      </c>
      <c r="K16" t="n">
        <v>70</v>
      </c>
      <c r="L16" t="n">
        <v>6</v>
      </c>
      <c r="M16" t="n">
        <v>3</v>
      </c>
      <c r="N16" t="n">
        <v>197</v>
      </c>
      <c r="O16" t="n">
        <v>100</v>
      </c>
      <c r="P16" t="n">
        <v>0</v>
      </c>
      <c r="Q16" t="n">
        <v>0</v>
      </c>
      <c r="R16" t="n">
        <v>165</v>
      </c>
      <c r="S16" t="n">
        <v>77</v>
      </c>
      <c r="T16" t="n">
        <v>0</v>
      </c>
      <c r="U16" t="n">
        <v>0</v>
      </c>
      <c r="V16" t="n">
        <v>107</v>
      </c>
      <c r="W16" t="n">
        <v>51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1473</v>
      </c>
      <c r="AY16" t="n">
        <v>662</v>
      </c>
      <c r="AZ16" t="n">
        <v>18</v>
      </c>
      <c r="BA16" t="n">
        <v>8</v>
      </c>
    </row>
    <row r="17">
      <c r="A17" t="inlineStr">
        <is>
          <t>Pailin</t>
        </is>
      </c>
      <c r="B17" t="n">
        <v>425</v>
      </c>
      <c r="C17" t="n">
        <v>195</v>
      </c>
      <c r="D17" t="n">
        <v>14</v>
      </c>
      <c r="E17" t="n">
        <v>5</v>
      </c>
      <c r="F17" t="n">
        <v>313</v>
      </c>
      <c r="G17" t="n">
        <v>158</v>
      </c>
      <c r="H17" t="n">
        <v>6</v>
      </c>
      <c r="I17" t="n">
        <v>1</v>
      </c>
      <c r="J17" t="n">
        <v>262</v>
      </c>
      <c r="K17" t="n">
        <v>127</v>
      </c>
      <c r="L17" t="n">
        <v>1</v>
      </c>
      <c r="M17" t="n">
        <v>0</v>
      </c>
      <c r="N17" t="n">
        <v>191</v>
      </c>
      <c r="O17" t="n">
        <v>98</v>
      </c>
      <c r="P17" t="n">
        <v>1</v>
      </c>
      <c r="Q17" t="n">
        <v>0</v>
      </c>
      <c r="R17" t="n">
        <v>188</v>
      </c>
      <c r="S17" t="n">
        <v>101</v>
      </c>
      <c r="T17" t="n">
        <v>5</v>
      </c>
      <c r="U17" t="n">
        <v>1</v>
      </c>
      <c r="V17" t="n">
        <v>148</v>
      </c>
      <c r="W17" t="n">
        <v>84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2245</v>
      </c>
      <c r="AY17" t="n">
        <v>1098</v>
      </c>
      <c r="AZ17" t="n">
        <v>27</v>
      </c>
      <c r="BA17" t="n">
        <v>7</v>
      </c>
    </row>
    <row r="18">
      <c r="A18" t="inlineStr">
        <is>
          <t>Phnom Penh</t>
        </is>
      </c>
      <c r="B18" t="n">
        <v>12845</v>
      </c>
      <c r="C18" t="n">
        <v>6420</v>
      </c>
      <c r="D18" t="n">
        <v>245</v>
      </c>
      <c r="E18" t="n">
        <v>111</v>
      </c>
      <c r="F18" t="n">
        <v>10761</v>
      </c>
      <c r="G18" t="n">
        <v>5286</v>
      </c>
      <c r="H18" t="n">
        <v>173</v>
      </c>
      <c r="I18" t="n">
        <v>75</v>
      </c>
      <c r="J18" t="n">
        <v>9169</v>
      </c>
      <c r="K18" t="n">
        <v>4537</v>
      </c>
      <c r="L18" t="n">
        <v>159</v>
      </c>
      <c r="M18" t="n">
        <v>71</v>
      </c>
      <c r="N18" t="n">
        <v>9234</v>
      </c>
      <c r="O18" t="n">
        <v>4680</v>
      </c>
      <c r="P18" t="n">
        <v>105</v>
      </c>
      <c r="Q18" t="n">
        <v>41</v>
      </c>
      <c r="R18" t="n">
        <v>8458</v>
      </c>
      <c r="S18" t="n">
        <v>4265</v>
      </c>
      <c r="T18" t="n">
        <v>209</v>
      </c>
      <c r="U18" t="n">
        <v>93</v>
      </c>
      <c r="V18" t="n">
        <v>7104</v>
      </c>
      <c r="W18" t="n">
        <v>3663</v>
      </c>
      <c r="X18" t="n">
        <v>65</v>
      </c>
      <c r="Y18" t="n">
        <v>33</v>
      </c>
      <c r="Z18" t="n">
        <v>4974</v>
      </c>
      <c r="AA18" t="n">
        <v>2481</v>
      </c>
      <c r="AB18" t="n">
        <v>45</v>
      </c>
      <c r="AC18" t="n">
        <v>14</v>
      </c>
      <c r="AD18" t="n">
        <v>4495</v>
      </c>
      <c r="AE18" t="n">
        <v>2290</v>
      </c>
      <c r="AF18" t="n">
        <v>29</v>
      </c>
      <c r="AG18" t="n">
        <v>9</v>
      </c>
      <c r="AH18" t="n">
        <v>4354</v>
      </c>
      <c r="AI18" t="n">
        <v>2214</v>
      </c>
      <c r="AJ18" t="n">
        <v>70</v>
      </c>
      <c r="AK18" t="n">
        <v>16</v>
      </c>
      <c r="AL18" t="n">
        <v>3716</v>
      </c>
      <c r="AM18" t="n">
        <v>1794</v>
      </c>
      <c r="AN18" t="n">
        <v>6</v>
      </c>
      <c r="AO18" t="n">
        <v>1</v>
      </c>
      <c r="AP18" t="n">
        <v>3274</v>
      </c>
      <c r="AQ18" t="n">
        <v>1695</v>
      </c>
      <c r="AR18" t="n">
        <v>5</v>
      </c>
      <c r="AS18" t="n">
        <v>1</v>
      </c>
      <c r="AT18" t="n">
        <v>3087</v>
      </c>
      <c r="AU18" t="n">
        <v>1613</v>
      </c>
      <c r="AV18" t="n">
        <v>109</v>
      </c>
      <c r="AW18" t="n">
        <v>42</v>
      </c>
      <c r="AX18" t="n">
        <v>101287</v>
      </c>
      <c r="AY18" t="n">
        <v>50777</v>
      </c>
      <c r="AZ18" t="n">
        <v>1220</v>
      </c>
      <c r="BA18" t="n">
        <v>507</v>
      </c>
    </row>
    <row r="19">
      <c r="A19" t="inlineStr">
        <is>
          <t>Preah Sihanouk</t>
        </is>
      </c>
      <c r="B19" t="n">
        <v>992</v>
      </c>
      <c r="C19" t="n">
        <v>482</v>
      </c>
      <c r="D19" t="n">
        <v>66</v>
      </c>
      <c r="E19" t="n">
        <v>27</v>
      </c>
      <c r="F19" t="n">
        <v>902</v>
      </c>
      <c r="G19" t="n">
        <v>442</v>
      </c>
      <c r="H19" t="n">
        <v>30</v>
      </c>
      <c r="I19" t="n">
        <v>12</v>
      </c>
      <c r="J19" t="n">
        <v>642</v>
      </c>
      <c r="K19" t="n">
        <v>291</v>
      </c>
      <c r="L19" t="n">
        <v>19</v>
      </c>
      <c r="M19" t="n">
        <v>4</v>
      </c>
      <c r="N19" t="n">
        <v>625</v>
      </c>
      <c r="O19" t="n">
        <v>292</v>
      </c>
      <c r="P19" t="n">
        <v>5</v>
      </c>
      <c r="Q19" t="n">
        <v>2</v>
      </c>
      <c r="R19" t="n">
        <v>583</v>
      </c>
      <c r="S19" t="n">
        <v>299</v>
      </c>
      <c r="T19" t="n">
        <v>9</v>
      </c>
      <c r="U19" t="n">
        <v>5</v>
      </c>
      <c r="V19" t="n">
        <v>479</v>
      </c>
      <c r="W19" t="n">
        <v>223</v>
      </c>
      <c r="X19" t="n">
        <v>5</v>
      </c>
      <c r="Y19" t="n">
        <v>0</v>
      </c>
      <c r="Z19" t="n">
        <v>506</v>
      </c>
      <c r="AA19" t="n">
        <v>231</v>
      </c>
      <c r="AB19" t="n">
        <v>22</v>
      </c>
      <c r="AC19" t="n">
        <v>2</v>
      </c>
      <c r="AD19" t="n">
        <v>420</v>
      </c>
      <c r="AE19" t="n">
        <v>219</v>
      </c>
      <c r="AF19" t="n">
        <v>7</v>
      </c>
      <c r="AG19" t="n">
        <v>4</v>
      </c>
      <c r="AH19" t="n">
        <v>405</v>
      </c>
      <c r="AI19" t="n">
        <v>193</v>
      </c>
      <c r="AJ19" t="n">
        <v>12</v>
      </c>
      <c r="AK19" t="n">
        <v>6</v>
      </c>
      <c r="AL19" t="n">
        <v>317</v>
      </c>
      <c r="AM19" t="n">
        <v>145</v>
      </c>
      <c r="AN19" t="n">
        <v>0</v>
      </c>
      <c r="AO19" t="n">
        <v>0</v>
      </c>
      <c r="AP19" t="n">
        <v>262</v>
      </c>
      <c r="AQ19" t="n">
        <v>121</v>
      </c>
      <c r="AR19" t="n">
        <v>0</v>
      </c>
      <c r="AS19" t="n">
        <v>0</v>
      </c>
      <c r="AT19" t="n">
        <v>263</v>
      </c>
      <c r="AU19" t="n">
        <v>118</v>
      </c>
      <c r="AV19" t="n">
        <v>5</v>
      </c>
      <c r="AW19" t="n">
        <v>2</v>
      </c>
      <c r="AX19" t="n">
        <v>8938</v>
      </c>
      <c r="AY19" t="n">
        <v>4327</v>
      </c>
      <c r="AZ19" t="n">
        <v>180</v>
      </c>
      <c r="BA19" t="n">
        <v>64</v>
      </c>
    </row>
    <row r="20">
      <c r="A20" t="inlineStr">
        <is>
          <t>Preah Vihear</t>
        </is>
      </c>
      <c r="B20" t="n">
        <v>63</v>
      </c>
      <c r="C20" t="n">
        <v>23</v>
      </c>
      <c r="D20" t="n">
        <v>0</v>
      </c>
      <c r="E20" t="n">
        <v>0</v>
      </c>
      <c r="F20" t="n">
        <v>30</v>
      </c>
      <c r="G20" t="n">
        <v>14</v>
      </c>
      <c r="H20" t="n">
        <v>0</v>
      </c>
      <c r="I20" t="n">
        <v>0</v>
      </c>
      <c r="J20" t="n">
        <v>31</v>
      </c>
      <c r="K20" t="n">
        <v>10</v>
      </c>
      <c r="L20" t="n">
        <v>3</v>
      </c>
      <c r="M20" t="n">
        <v>0</v>
      </c>
      <c r="N20" t="n">
        <v>24</v>
      </c>
      <c r="O20" t="n">
        <v>12</v>
      </c>
      <c r="P20" t="n">
        <v>0</v>
      </c>
      <c r="Q20" t="n">
        <v>0</v>
      </c>
      <c r="R20" t="n">
        <v>22</v>
      </c>
      <c r="S20" t="n">
        <v>10</v>
      </c>
      <c r="T20" t="n">
        <v>0</v>
      </c>
      <c r="U20" t="n">
        <v>0</v>
      </c>
      <c r="V20" t="n">
        <v>16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265</v>
      </c>
      <c r="AY20" t="n">
        <v>123</v>
      </c>
      <c r="AZ20" t="n">
        <v>3</v>
      </c>
      <c r="BA20" t="n">
        <v>0</v>
      </c>
    </row>
    <row r="21">
      <c r="A21" t="inlineStr">
        <is>
          <t>Prey Veng</t>
        </is>
      </c>
      <c r="B21" t="n">
        <v>23</v>
      </c>
      <c r="C21" t="n">
        <v>14</v>
      </c>
      <c r="D21" t="n">
        <v>0</v>
      </c>
      <c r="E21" t="n">
        <v>0</v>
      </c>
      <c r="F21" t="n">
        <v>16</v>
      </c>
      <c r="G21" t="n">
        <v>9</v>
      </c>
      <c r="H21" t="n">
        <v>0</v>
      </c>
      <c r="I21" t="n">
        <v>0</v>
      </c>
      <c r="J21" t="n">
        <v>14</v>
      </c>
      <c r="K21" t="n">
        <v>8</v>
      </c>
      <c r="L21" t="n">
        <v>0</v>
      </c>
      <c r="M21" t="n">
        <v>0</v>
      </c>
      <c r="N21" t="n">
        <v>17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45</v>
      </c>
      <c r="AM21" t="n">
        <v>31</v>
      </c>
      <c r="AN21" t="n">
        <v>0</v>
      </c>
      <c r="AO21" t="n">
        <v>0</v>
      </c>
      <c r="AP21" t="n">
        <v>45</v>
      </c>
      <c r="AQ21" t="n">
        <v>22</v>
      </c>
      <c r="AR21" t="n">
        <v>0</v>
      </c>
      <c r="AS21" t="n">
        <v>0</v>
      </c>
      <c r="AT21" t="n">
        <v>43</v>
      </c>
      <c r="AU21" t="n">
        <v>25</v>
      </c>
      <c r="AV21" t="n">
        <v>0</v>
      </c>
      <c r="AW21" t="n">
        <v>0</v>
      </c>
      <c r="AX21" t="n">
        <v>349</v>
      </c>
      <c r="AY21" t="n">
        <v>206</v>
      </c>
      <c r="AZ21" t="n">
        <v>0</v>
      </c>
      <c r="BA21" t="n">
        <v>0</v>
      </c>
    </row>
    <row r="22">
      <c r="A22" t="inlineStr">
        <is>
          <t>Pursat</t>
        </is>
      </c>
      <c r="B22" t="n">
        <v>436</v>
      </c>
      <c r="C22" t="n">
        <v>240</v>
      </c>
      <c r="D22" t="n">
        <v>0</v>
      </c>
      <c r="E22" t="n">
        <v>0</v>
      </c>
      <c r="F22" t="n">
        <v>113</v>
      </c>
      <c r="G22" t="n">
        <v>70</v>
      </c>
      <c r="H22" t="n">
        <v>0</v>
      </c>
      <c r="I22" t="n">
        <v>0</v>
      </c>
      <c r="J22" t="n">
        <v>125</v>
      </c>
      <c r="K22" t="n">
        <v>55</v>
      </c>
      <c r="L22" t="n">
        <v>0</v>
      </c>
      <c r="M22" t="n">
        <v>0</v>
      </c>
      <c r="N22" t="n">
        <v>114</v>
      </c>
      <c r="O22" t="n">
        <v>67</v>
      </c>
      <c r="P22" t="n">
        <v>0</v>
      </c>
      <c r="Q22" t="n">
        <v>0</v>
      </c>
      <c r="R22" t="n">
        <v>92</v>
      </c>
      <c r="S22" t="n">
        <v>52</v>
      </c>
      <c r="T22" t="n">
        <v>0</v>
      </c>
      <c r="U22" t="n">
        <v>0</v>
      </c>
      <c r="V22" t="n">
        <v>151</v>
      </c>
      <c r="W22" t="n">
        <v>75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2050</v>
      </c>
      <c r="AY22" t="n">
        <v>1064</v>
      </c>
      <c r="AZ22" t="n">
        <v>0</v>
      </c>
      <c r="BA22" t="n">
        <v>0</v>
      </c>
    </row>
    <row r="23">
      <c r="A23" t="inlineStr">
        <is>
          <t>Ratanak Kiri</t>
        </is>
      </c>
      <c r="B23" t="n">
        <v>438</v>
      </c>
      <c r="C23" t="n">
        <v>198</v>
      </c>
      <c r="D23" t="n">
        <v>14</v>
      </c>
      <c r="E23" t="n">
        <v>5</v>
      </c>
      <c r="F23" t="n">
        <v>386</v>
      </c>
      <c r="G23" t="n">
        <v>175</v>
      </c>
      <c r="H23" t="n">
        <v>2</v>
      </c>
      <c r="I23" t="n">
        <v>1</v>
      </c>
      <c r="J23" t="n">
        <v>287</v>
      </c>
      <c r="K23" t="n">
        <v>146</v>
      </c>
      <c r="L23" t="n">
        <v>11</v>
      </c>
      <c r="M23" t="n">
        <v>6</v>
      </c>
      <c r="N23" t="n">
        <v>278</v>
      </c>
      <c r="O23" t="n">
        <v>132</v>
      </c>
      <c r="P23" t="n">
        <v>5</v>
      </c>
      <c r="Q23" t="n">
        <v>2</v>
      </c>
      <c r="R23" t="n">
        <v>198</v>
      </c>
      <c r="S23" t="n">
        <v>95</v>
      </c>
      <c r="T23" t="n">
        <v>3</v>
      </c>
      <c r="U23" t="n">
        <v>1</v>
      </c>
      <c r="V23" t="n">
        <v>146</v>
      </c>
      <c r="W23" t="n">
        <v>68</v>
      </c>
      <c r="X23" t="n">
        <v>0</v>
      </c>
      <c r="Y23" t="n">
        <v>0</v>
      </c>
      <c r="Z23" t="n">
        <v>125</v>
      </c>
      <c r="AA23" t="n">
        <v>50</v>
      </c>
      <c r="AB23" t="n">
        <v>0</v>
      </c>
      <c r="AC23" t="n">
        <v>0</v>
      </c>
      <c r="AD23" t="n">
        <v>96</v>
      </c>
      <c r="AE23" t="n">
        <v>39</v>
      </c>
      <c r="AF23" t="n">
        <v>0</v>
      </c>
      <c r="AG23" t="n">
        <v>0</v>
      </c>
      <c r="AH23" t="n">
        <v>101</v>
      </c>
      <c r="AI23" t="n">
        <v>39</v>
      </c>
      <c r="AJ23" t="n">
        <v>0</v>
      </c>
      <c r="AK23" t="n">
        <v>0</v>
      </c>
      <c r="AL23" t="n">
        <v>49</v>
      </c>
      <c r="AM23" t="n">
        <v>21</v>
      </c>
      <c r="AN23" t="n">
        <v>0</v>
      </c>
      <c r="AO23" t="n">
        <v>0</v>
      </c>
      <c r="AP23" t="n">
        <v>50</v>
      </c>
      <c r="AQ23" t="n">
        <v>29</v>
      </c>
      <c r="AR23" t="n">
        <v>0</v>
      </c>
      <c r="AS23" t="n">
        <v>0</v>
      </c>
      <c r="AT23" t="n">
        <v>50</v>
      </c>
      <c r="AU23" t="n">
        <v>24</v>
      </c>
      <c r="AV23" t="n">
        <v>4</v>
      </c>
      <c r="AW23" t="n">
        <v>3</v>
      </c>
      <c r="AX23" t="n">
        <v>3473</v>
      </c>
      <c r="AY23" t="n">
        <v>1431</v>
      </c>
      <c r="AZ23" t="n">
        <v>39</v>
      </c>
      <c r="BA23" t="n">
        <v>18</v>
      </c>
    </row>
    <row r="24">
      <c r="A24" t="inlineStr">
        <is>
          <t>Siemreap</t>
        </is>
      </c>
      <c r="B24" t="n">
        <v>1595</v>
      </c>
      <c r="C24" t="n">
        <v>747</v>
      </c>
      <c r="D24" t="n">
        <v>38</v>
      </c>
      <c r="E24" t="n">
        <v>15</v>
      </c>
      <c r="F24" t="n">
        <v>1139</v>
      </c>
      <c r="G24" t="n">
        <v>546</v>
      </c>
      <c r="H24" t="n">
        <v>13</v>
      </c>
      <c r="I24" t="n">
        <v>5</v>
      </c>
      <c r="J24" t="n">
        <v>907</v>
      </c>
      <c r="K24" t="n">
        <v>433</v>
      </c>
      <c r="L24" t="n">
        <v>6</v>
      </c>
      <c r="M24" t="n">
        <v>1</v>
      </c>
      <c r="N24" t="n">
        <v>953</v>
      </c>
      <c r="O24" t="n">
        <v>473</v>
      </c>
      <c r="P24" t="n">
        <v>7</v>
      </c>
      <c r="Q24" t="n">
        <v>4</v>
      </c>
      <c r="R24" t="n">
        <v>836</v>
      </c>
      <c r="S24" t="n">
        <v>390</v>
      </c>
      <c r="T24" t="n">
        <v>9</v>
      </c>
      <c r="U24" t="n">
        <v>3</v>
      </c>
      <c r="V24" t="n">
        <v>767</v>
      </c>
      <c r="W24" t="n">
        <v>365</v>
      </c>
      <c r="X24" t="n">
        <v>5</v>
      </c>
      <c r="Y24" t="n">
        <v>2</v>
      </c>
      <c r="Z24" t="n">
        <v>583</v>
      </c>
      <c r="AA24" t="n">
        <v>287</v>
      </c>
      <c r="AB24" t="n">
        <v>8</v>
      </c>
      <c r="AC24" t="n">
        <v>3</v>
      </c>
      <c r="AD24" t="n">
        <v>534</v>
      </c>
      <c r="AE24" t="n">
        <v>262</v>
      </c>
      <c r="AF24" t="n">
        <v>6</v>
      </c>
      <c r="AG24" t="n">
        <v>4</v>
      </c>
      <c r="AH24" t="n">
        <v>440</v>
      </c>
      <c r="AI24" t="n">
        <v>214</v>
      </c>
      <c r="AJ24" t="n">
        <v>5</v>
      </c>
      <c r="AK24" t="n">
        <v>1</v>
      </c>
      <c r="AL24" t="n">
        <v>369</v>
      </c>
      <c r="AM24" t="n">
        <v>159</v>
      </c>
      <c r="AN24" t="n">
        <v>2</v>
      </c>
      <c r="AO24" t="n">
        <v>0</v>
      </c>
      <c r="AP24" t="n">
        <v>299</v>
      </c>
      <c r="AQ24" t="n">
        <v>166</v>
      </c>
      <c r="AR24" t="n">
        <v>0</v>
      </c>
      <c r="AS24" t="n">
        <v>0</v>
      </c>
      <c r="AT24" t="n">
        <v>252</v>
      </c>
      <c r="AU24" t="n">
        <v>130</v>
      </c>
      <c r="AV24" t="n">
        <v>7</v>
      </c>
      <c r="AW24" t="n">
        <v>7</v>
      </c>
      <c r="AX24" t="n">
        <v>15204</v>
      </c>
      <c r="AY24" t="n">
        <v>7437</v>
      </c>
      <c r="AZ24" t="n">
        <v>106</v>
      </c>
      <c r="BA24" t="n">
        <v>45</v>
      </c>
    </row>
    <row r="25">
      <c r="A25" t="inlineStr">
        <is>
          <t>Stung Treng</t>
        </is>
      </c>
      <c r="B25" t="n">
        <v>47</v>
      </c>
      <c r="C25" t="n">
        <v>22</v>
      </c>
      <c r="D25" t="n">
        <v>6</v>
      </c>
      <c r="E25" t="n">
        <v>3</v>
      </c>
      <c r="F25" t="n">
        <v>36</v>
      </c>
      <c r="G25" t="n">
        <v>14</v>
      </c>
      <c r="H25" t="n">
        <v>3</v>
      </c>
      <c r="I25" t="n">
        <v>2</v>
      </c>
      <c r="J25" t="n">
        <v>27</v>
      </c>
      <c r="K25" t="n">
        <v>5</v>
      </c>
      <c r="L25" t="n">
        <v>1</v>
      </c>
      <c r="M25" t="n">
        <v>0</v>
      </c>
      <c r="N25" t="n">
        <v>18</v>
      </c>
      <c r="O25" t="n">
        <v>9</v>
      </c>
      <c r="P25" t="n">
        <v>0</v>
      </c>
      <c r="Q25" t="n">
        <v>0</v>
      </c>
      <c r="R25" t="n">
        <v>13</v>
      </c>
      <c r="S25" t="n">
        <v>6</v>
      </c>
      <c r="T25" t="n">
        <v>0</v>
      </c>
      <c r="U25" t="n">
        <v>0</v>
      </c>
      <c r="V25" t="n">
        <v>13</v>
      </c>
      <c r="W25" t="n">
        <v>6</v>
      </c>
      <c r="X25" t="n">
        <v>0</v>
      </c>
      <c r="Y25" t="n">
        <v>0</v>
      </c>
      <c r="Z25" t="n">
        <v>5</v>
      </c>
      <c r="AA25" t="n">
        <v>1</v>
      </c>
      <c r="AB25" t="n">
        <v>0</v>
      </c>
      <c r="AC25" t="n">
        <v>0</v>
      </c>
      <c r="AD25" t="n">
        <v>2</v>
      </c>
      <c r="AE25" t="n">
        <v>1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6</v>
      </c>
      <c r="AM25" t="n">
        <v>4</v>
      </c>
      <c r="AN25" t="n">
        <v>0</v>
      </c>
      <c r="AO25" t="n">
        <v>0</v>
      </c>
      <c r="AP25" t="n">
        <v>2</v>
      </c>
      <c r="AQ25" t="n">
        <v>1</v>
      </c>
      <c r="AR25" t="n">
        <v>0</v>
      </c>
      <c r="AS25" t="n">
        <v>0</v>
      </c>
      <c r="AT25" t="n">
        <v>5</v>
      </c>
      <c r="AU25" t="n">
        <v>2</v>
      </c>
      <c r="AV25" t="n">
        <v>0</v>
      </c>
      <c r="AW25" t="n">
        <v>0</v>
      </c>
      <c r="AX25" t="n">
        <v>283</v>
      </c>
      <c r="AY25" t="n">
        <v>132</v>
      </c>
      <c r="AZ25" t="n">
        <v>10</v>
      </c>
      <c r="BA25" t="n">
        <v>5</v>
      </c>
    </row>
    <row r="26">
      <c r="A26" t="inlineStr">
        <is>
          <t>Svay Rieng</t>
        </is>
      </c>
      <c r="B26" t="n">
        <v>72</v>
      </c>
      <c r="C26" t="n">
        <v>34</v>
      </c>
      <c r="D26" t="n">
        <v>0</v>
      </c>
      <c r="E26" t="n">
        <v>0</v>
      </c>
      <c r="F26" t="n">
        <v>45</v>
      </c>
      <c r="G26" t="n">
        <v>21</v>
      </c>
      <c r="H26" t="n">
        <v>0</v>
      </c>
      <c r="I26" t="n">
        <v>0</v>
      </c>
      <c r="J26" t="n">
        <v>21</v>
      </c>
      <c r="K26" t="n">
        <v>11</v>
      </c>
      <c r="L26" t="n">
        <v>0</v>
      </c>
      <c r="M26" t="n">
        <v>0</v>
      </c>
      <c r="N26" t="n">
        <v>19</v>
      </c>
      <c r="O26" t="n">
        <v>7</v>
      </c>
      <c r="P26" t="n">
        <v>0</v>
      </c>
      <c r="Q26" t="n">
        <v>0</v>
      </c>
      <c r="R26" t="n">
        <v>20</v>
      </c>
      <c r="S26" t="n">
        <v>9</v>
      </c>
      <c r="T26" t="n">
        <v>0</v>
      </c>
      <c r="U26" t="n">
        <v>0</v>
      </c>
      <c r="V26" t="n">
        <v>21</v>
      </c>
      <c r="W26" t="n">
        <v>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304</v>
      </c>
      <c r="AY26" t="n">
        <v>141</v>
      </c>
      <c r="AZ26" t="n">
        <v>0</v>
      </c>
      <c r="BA26" t="n">
        <v>0</v>
      </c>
    </row>
    <row r="27">
      <c r="A27" t="inlineStr">
        <is>
          <t>Takeo</t>
        </is>
      </c>
      <c r="B27" t="n">
        <v>477</v>
      </c>
      <c r="C27" t="n">
        <v>238</v>
      </c>
      <c r="D27" t="n">
        <v>8</v>
      </c>
      <c r="E27" t="n">
        <v>1</v>
      </c>
      <c r="F27" t="n">
        <v>356</v>
      </c>
      <c r="G27" t="n">
        <v>172</v>
      </c>
      <c r="H27" t="n">
        <v>2</v>
      </c>
      <c r="I27" t="n">
        <v>1</v>
      </c>
      <c r="J27" t="n">
        <v>286</v>
      </c>
      <c r="K27" t="n">
        <v>141</v>
      </c>
      <c r="L27" t="n">
        <v>1</v>
      </c>
      <c r="M27" t="n">
        <v>0</v>
      </c>
      <c r="N27" t="n">
        <v>230</v>
      </c>
      <c r="O27" t="n">
        <v>101</v>
      </c>
      <c r="P27" t="n">
        <v>0</v>
      </c>
      <c r="Q27" t="n">
        <v>0</v>
      </c>
      <c r="R27" t="n">
        <v>174</v>
      </c>
      <c r="S27" t="n">
        <v>69</v>
      </c>
      <c r="T27" t="n">
        <v>1</v>
      </c>
      <c r="U27" t="n">
        <v>0</v>
      </c>
      <c r="V27" t="n">
        <v>117</v>
      </c>
      <c r="W27" t="n">
        <v>46</v>
      </c>
      <c r="X27" t="n">
        <v>2</v>
      </c>
      <c r="Y27" t="n">
        <v>0</v>
      </c>
      <c r="Z27" t="n">
        <v>144</v>
      </c>
      <c r="AA27" t="n">
        <v>58</v>
      </c>
      <c r="AB27" t="n">
        <v>5</v>
      </c>
      <c r="AC27" t="n">
        <v>3</v>
      </c>
      <c r="AD27" t="n">
        <v>132</v>
      </c>
      <c r="AE27" t="n">
        <v>50</v>
      </c>
      <c r="AF27" t="n">
        <v>1</v>
      </c>
      <c r="AG27" t="n">
        <v>0</v>
      </c>
      <c r="AH27" t="n">
        <v>104</v>
      </c>
      <c r="AI27" t="n">
        <v>47</v>
      </c>
      <c r="AJ27" t="n">
        <v>0</v>
      </c>
      <c r="AK27" t="n">
        <v>0</v>
      </c>
      <c r="AL27" t="n">
        <v>73</v>
      </c>
      <c r="AM27" t="n">
        <v>28</v>
      </c>
      <c r="AN27" t="n">
        <v>1</v>
      </c>
      <c r="AO27" t="n">
        <v>0</v>
      </c>
      <c r="AP27" t="n">
        <v>101</v>
      </c>
      <c r="AQ27" t="n">
        <v>58</v>
      </c>
      <c r="AR27" t="n">
        <v>2</v>
      </c>
      <c r="AS27" t="n">
        <v>1</v>
      </c>
      <c r="AT27" t="n">
        <v>73</v>
      </c>
      <c r="AU27" t="n">
        <v>46</v>
      </c>
      <c r="AV27" t="n">
        <v>0</v>
      </c>
      <c r="AW27" t="n">
        <v>0</v>
      </c>
      <c r="AX27" t="n">
        <v>2860</v>
      </c>
      <c r="AY27" t="n">
        <v>1336</v>
      </c>
      <c r="AZ27" t="n">
        <v>23</v>
      </c>
      <c r="BA27" t="n">
        <v>6</v>
      </c>
    </row>
    <row r="28">
      <c r="A28" t="inlineStr">
        <is>
          <t>Tbaung Khmum</t>
        </is>
      </c>
      <c r="B28" t="n">
        <v>454</v>
      </c>
      <c r="C28" t="n">
        <v>235</v>
      </c>
      <c r="D28" t="n">
        <v>24</v>
      </c>
      <c r="E28" t="n">
        <v>9</v>
      </c>
      <c r="F28" t="n">
        <v>355</v>
      </c>
      <c r="G28" t="n">
        <v>179</v>
      </c>
      <c r="H28" t="n">
        <v>12</v>
      </c>
      <c r="I28" t="n">
        <v>5</v>
      </c>
      <c r="J28" t="n">
        <v>291</v>
      </c>
      <c r="K28" t="n">
        <v>151</v>
      </c>
      <c r="L28" t="n">
        <v>14</v>
      </c>
      <c r="M28" t="n">
        <v>4</v>
      </c>
      <c r="N28" t="n">
        <v>356</v>
      </c>
      <c r="O28" t="n">
        <v>205</v>
      </c>
      <c r="P28" t="n">
        <v>17</v>
      </c>
      <c r="Q28" t="n">
        <v>12</v>
      </c>
      <c r="R28" t="n">
        <v>243</v>
      </c>
      <c r="S28" t="n">
        <v>150</v>
      </c>
      <c r="T28" t="n">
        <v>8</v>
      </c>
      <c r="U28" t="n">
        <v>6</v>
      </c>
      <c r="V28" t="n">
        <v>238</v>
      </c>
      <c r="W28" t="n">
        <v>143</v>
      </c>
      <c r="X28" t="n">
        <v>6</v>
      </c>
      <c r="Y28" t="n">
        <v>3</v>
      </c>
      <c r="Z28" t="n">
        <v>447</v>
      </c>
      <c r="AA28" t="n">
        <v>324</v>
      </c>
      <c r="AB28" t="n">
        <v>0</v>
      </c>
      <c r="AC28" t="n">
        <v>0</v>
      </c>
      <c r="AD28" t="n">
        <v>281</v>
      </c>
      <c r="AE28" t="n">
        <v>232</v>
      </c>
      <c r="AF28" t="n">
        <v>1</v>
      </c>
      <c r="AG28" t="n">
        <v>0</v>
      </c>
      <c r="AH28" t="n">
        <v>187</v>
      </c>
      <c r="AI28" t="n">
        <v>153</v>
      </c>
      <c r="AJ28" t="n">
        <v>2</v>
      </c>
      <c r="AK28" t="n">
        <v>2</v>
      </c>
      <c r="AL28" t="n">
        <v>125</v>
      </c>
      <c r="AM28" t="n">
        <v>98</v>
      </c>
      <c r="AN28" t="n">
        <v>0</v>
      </c>
      <c r="AO28" t="n">
        <v>0</v>
      </c>
      <c r="AP28" t="n">
        <v>116</v>
      </c>
      <c r="AQ28" t="n">
        <v>95</v>
      </c>
      <c r="AR28" t="n">
        <v>0</v>
      </c>
      <c r="AS28" t="n">
        <v>0</v>
      </c>
      <c r="AT28" t="n">
        <v>108</v>
      </c>
      <c r="AU28" t="n">
        <v>72</v>
      </c>
      <c r="AV28" t="n">
        <v>15</v>
      </c>
      <c r="AW28" t="n">
        <v>6</v>
      </c>
      <c r="AX28" t="n">
        <v>4308</v>
      </c>
      <c r="AY28" t="n">
        <v>2626</v>
      </c>
      <c r="AZ28" t="n">
        <v>99</v>
      </c>
      <c r="BA28" t="n">
        <v>47</v>
      </c>
    </row>
    <row r="29">
      <c r="A29" t="inlineStr">
        <is>
          <t>Whole Kingdom</t>
        </is>
      </c>
      <c r="B29" t="n">
        <v>30358</v>
      </c>
      <c r="C29" t="n">
        <v>15048</v>
      </c>
      <c r="D29" t="n">
        <v>822</v>
      </c>
      <c r="E29" t="n">
        <v>347</v>
      </c>
      <c r="F29" t="n">
        <v>23870</v>
      </c>
      <c r="G29" t="n">
        <v>11727</v>
      </c>
      <c r="H29" t="n">
        <v>530</v>
      </c>
      <c r="I29" t="n">
        <v>199</v>
      </c>
      <c r="J29" t="n">
        <v>19604</v>
      </c>
      <c r="K29" t="n">
        <v>9639</v>
      </c>
      <c r="L29" t="n">
        <v>407</v>
      </c>
      <c r="M29" t="n">
        <v>159</v>
      </c>
      <c r="N29" t="n">
        <v>18602</v>
      </c>
      <c r="O29" t="n">
        <v>9301</v>
      </c>
      <c r="P29" t="n">
        <v>220</v>
      </c>
      <c r="Q29" t="n">
        <v>90</v>
      </c>
      <c r="R29" t="n">
        <v>16532</v>
      </c>
      <c r="S29" t="n">
        <v>8279</v>
      </c>
      <c r="T29" t="n">
        <v>302</v>
      </c>
      <c r="U29" t="n">
        <v>129</v>
      </c>
      <c r="V29" t="n">
        <v>13920</v>
      </c>
      <c r="W29" t="n">
        <v>7142</v>
      </c>
      <c r="X29" t="n">
        <v>144</v>
      </c>
      <c r="Y29" t="n">
        <v>65</v>
      </c>
      <c r="Z29" t="n">
        <v>10746</v>
      </c>
      <c r="AA29" t="n">
        <v>5280</v>
      </c>
      <c r="AB29" t="n">
        <v>130</v>
      </c>
      <c r="AC29" t="n">
        <v>38</v>
      </c>
      <c r="AD29" t="n">
        <v>9189</v>
      </c>
      <c r="AE29" t="n">
        <v>4575</v>
      </c>
      <c r="AF29" t="n">
        <v>72</v>
      </c>
      <c r="AG29" t="n">
        <v>27</v>
      </c>
      <c r="AH29" t="n">
        <v>8516</v>
      </c>
      <c r="AI29" t="n">
        <v>4284</v>
      </c>
      <c r="AJ29" t="n">
        <v>128</v>
      </c>
      <c r="AK29" t="n">
        <v>33</v>
      </c>
      <c r="AL29" t="n">
        <v>6916</v>
      </c>
      <c r="AM29" t="n">
        <v>3378</v>
      </c>
      <c r="AN29" t="n">
        <v>20</v>
      </c>
      <c r="AO29" t="n">
        <v>6</v>
      </c>
      <c r="AP29" t="n">
        <v>6112</v>
      </c>
      <c r="AQ29" t="n">
        <v>3169</v>
      </c>
      <c r="AR29" t="n">
        <v>13</v>
      </c>
      <c r="AS29" t="n">
        <v>3</v>
      </c>
      <c r="AT29" t="n">
        <v>5674</v>
      </c>
      <c r="AU29" t="n">
        <v>2909</v>
      </c>
      <c r="AV29" t="n">
        <v>198</v>
      </c>
      <c r="AW29" t="n">
        <v>87</v>
      </c>
      <c r="AX29" t="n">
        <v>218357</v>
      </c>
      <c r="AY29" t="n">
        <v>108580</v>
      </c>
      <c r="AZ29" t="n">
        <v>2986</v>
      </c>
      <c r="BA29" t="n">
        <v>1183</v>
      </c>
    </row>
    <row r="30">
      <c r="A30" t="inlineStr">
        <is>
          <t>- Urban Area</t>
        </is>
      </c>
      <c r="B30" t="n">
        <v>23711</v>
      </c>
      <c r="C30" t="n">
        <v>11635</v>
      </c>
      <c r="D30" t="n">
        <v>603</v>
      </c>
      <c r="E30" t="n">
        <v>258</v>
      </c>
      <c r="F30" t="n">
        <v>19376</v>
      </c>
      <c r="G30" t="n">
        <v>9486</v>
      </c>
      <c r="H30" t="n">
        <v>376</v>
      </c>
      <c r="I30" t="n">
        <v>151</v>
      </c>
      <c r="J30" t="n">
        <v>16168</v>
      </c>
      <c r="K30" t="n">
        <v>7865</v>
      </c>
      <c r="L30" t="n">
        <v>307</v>
      </c>
      <c r="M30" t="n">
        <v>114</v>
      </c>
      <c r="N30" t="n">
        <v>15599</v>
      </c>
      <c r="O30" t="n">
        <v>7784</v>
      </c>
      <c r="P30" t="n">
        <v>168</v>
      </c>
      <c r="Q30" t="n">
        <v>67</v>
      </c>
      <c r="R30" t="n">
        <v>13863</v>
      </c>
      <c r="S30" t="n">
        <v>6916</v>
      </c>
      <c r="T30" t="n">
        <v>265</v>
      </c>
      <c r="U30" t="n">
        <v>115</v>
      </c>
      <c r="V30" t="n">
        <v>11719</v>
      </c>
      <c r="W30" t="n">
        <v>6023</v>
      </c>
      <c r="X30" t="n">
        <v>99</v>
      </c>
      <c r="Y30" t="n">
        <v>40</v>
      </c>
      <c r="Z30" t="n">
        <v>8984</v>
      </c>
      <c r="AA30" t="n">
        <v>4399</v>
      </c>
      <c r="AB30" t="n">
        <v>117</v>
      </c>
      <c r="AC30" t="n">
        <v>34</v>
      </c>
      <c r="AD30" t="n">
        <v>7836</v>
      </c>
      <c r="AE30" t="n">
        <v>3883</v>
      </c>
      <c r="AF30" t="n">
        <v>69</v>
      </c>
      <c r="AG30" t="n">
        <v>27</v>
      </c>
      <c r="AH30" t="n">
        <v>7473</v>
      </c>
      <c r="AI30" t="n">
        <v>3735</v>
      </c>
      <c r="AJ30" t="n">
        <v>120</v>
      </c>
      <c r="AK30" t="n">
        <v>29</v>
      </c>
      <c r="AL30" t="n">
        <v>6283</v>
      </c>
      <c r="AM30" t="n">
        <v>3073</v>
      </c>
      <c r="AN30" t="n">
        <v>18</v>
      </c>
      <c r="AO30" t="n">
        <v>6</v>
      </c>
      <c r="AP30" t="n">
        <v>5550</v>
      </c>
      <c r="AQ30" t="n">
        <v>2878</v>
      </c>
      <c r="AR30" t="n">
        <v>11</v>
      </c>
      <c r="AS30" t="n">
        <v>2</v>
      </c>
      <c r="AT30" t="n">
        <v>5236</v>
      </c>
      <c r="AU30" t="n">
        <v>2686</v>
      </c>
      <c r="AV30" t="n">
        <v>182</v>
      </c>
      <c r="AW30" t="n">
        <v>81</v>
      </c>
      <c r="AX30" t="n">
        <v>182846</v>
      </c>
      <c r="AY30" t="n">
        <v>90481</v>
      </c>
      <c r="AZ30" t="n">
        <v>2335</v>
      </c>
      <c r="BA30" t="n">
        <v>924</v>
      </c>
    </row>
    <row r="31">
      <c r="A31" t="inlineStr">
        <is>
          <t>- Rural Area</t>
        </is>
      </c>
      <c r="B31" t="n">
        <v>6647</v>
      </c>
      <c r="C31" t="n">
        <v>3413</v>
      </c>
      <c r="D31" t="n">
        <v>219</v>
      </c>
      <c r="E31" t="n">
        <v>89</v>
      </c>
      <c r="F31" t="n">
        <v>4494</v>
      </c>
      <c r="G31" t="n">
        <v>2241</v>
      </c>
      <c r="H31" t="n">
        <v>154</v>
      </c>
      <c r="I31" t="n">
        <v>48</v>
      </c>
      <c r="J31" t="n">
        <v>3436</v>
      </c>
      <c r="K31" t="n">
        <v>1774</v>
      </c>
      <c r="L31" t="n">
        <v>100</v>
      </c>
      <c r="M31" t="n">
        <v>45</v>
      </c>
      <c r="N31" t="n">
        <v>3003</v>
      </c>
      <c r="O31" t="n">
        <v>1517</v>
      </c>
      <c r="P31" t="n">
        <v>52</v>
      </c>
      <c r="Q31" t="n">
        <v>23</v>
      </c>
      <c r="R31" t="n">
        <v>2669</v>
      </c>
      <c r="S31" t="n">
        <v>1363</v>
      </c>
      <c r="T31" t="n">
        <v>37</v>
      </c>
      <c r="U31" t="n">
        <v>14</v>
      </c>
      <c r="V31" t="n">
        <v>2201</v>
      </c>
      <c r="W31" t="n">
        <v>1119</v>
      </c>
      <c r="X31" t="n">
        <v>45</v>
      </c>
      <c r="Y31" t="n">
        <v>25</v>
      </c>
      <c r="Z31" t="n">
        <v>1762</v>
      </c>
      <c r="AA31" t="n">
        <v>881</v>
      </c>
      <c r="AB31" t="n">
        <v>13</v>
      </c>
      <c r="AC31" t="n">
        <v>4</v>
      </c>
      <c r="AD31" t="n">
        <v>1353</v>
      </c>
      <c r="AE31" t="n">
        <v>692</v>
      </c>
      <c r="AF31" t="n">
        <v>3</v>
      </c>
      <c r="AG31" t="n">
        <v>0</v>
      </c>
      <c r="AH31" t="n">
        <v>1043</v>
      </c>
      <c r="AI31" t="n">
        <v>549</v>
      </c>
      <c r="AJ31" t="n">
        <v>8</v>
      </c>
      <c r="AK31" t="n">
        <v>4</v>
      </c>
      <c r="AL31" t="n">
        <v>633</v>
      </c>
      <c r="AM31" t="n">
        <v>305</v>
      </c>
      <c r="AN31" t="n">
        <v>2</v>
      </c>
      <c r="AO31" t="n">
        <v>0</v>
      </c>
      <c r="AP31" t="n">
        <v>562</v>
      </c>
      <c r="AQ31" t="n">
        <v>291</v>
      </c>
      <c r="AR31" t="n">
        <v>2</v>
      </c>
      <c r="AS31" t="n">
        <v>1</v>
      </c>
      <c r="AT31" t="n">
        <v>438</v>
      </c>
      <c r="AU31" t="n">
        <v>223</v>
      </c>
      <c r="AV31" t="n">
        <v>16</v>
      </c>
      <c r="AW31" t="n">
        <v>6</v>
      </c>
      <c r="AX31" t="n">
        <v>35511</v>
      </c>
      <c r="AY31" t="n">
        <v>18099</v>
      </c>
      <c r="AZ31" t="n">
        <v>651</v>
      </c>
      <c r="BA31" t="n">
        <v>259</v>
      </c>
    </row>
  </sheetData>
  <mergeCells count="40">
    <mergeCell ref="L2:M2"/>
    <mergeCell ref="V2:W2"/>
    <mergeCell ref="X2:Y2"/>
    <mergeCell ref="AJ2:AK2"/>
    <mergeCell ref="AL2:AM2"/>
    <mergeCell ref="Z1:AC1"/>
    <mergeCell ref="AL1:AO1"/>
    <mergeCell ref="AT1:AW1"/>
    <mergeCell ref="B2:C2"/>
    <mergeCell ref="F1:I1"/>
    <mergeCell ref="D2:E2"/>
    <mergeCell ref="R1:U1"/>
    <mergeCell ref="AV2:AW2"/>
    <mergeCell ref="N2:O2"/>
    <mergeCell ref="AX2:AY2"/>
    <mergeCell ref="P2:Q2"/>
    <mergeCell ref="AX1:BA1"/>
    <mergeCell ref="J1:M1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V1:Y1"/>
    <mergeCell ref="AD1:AG1"/>
    <mergeCell ref="AP1:AS1"/>
    <mergeCell ref="AH1:AK1"/>
    <mergeCell ref="B1:E1"/>
    <mergeCell ref="AH2:AI2"/>
    <mergeCell ref="AR2:AS2"/>
    <mergeCell ref="J2:K2"/>
    <mergeCell ref="N1:Q1"/>
    <mergeCell ref="AT2:AU2"/>
    <mergeCell ref="AZ2:BA2"/>
    <mergeCell ref="R2:S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21.83203125" customWidth="1" min="1" max="1"/>
    <col width="13.5" customWidth="1" min="2" max="2"/>
    <col width="10.5" customWidth="1" min="3" max="3"/>
    <col width="10.6640625" customWidth="1" min="4" max="4"/>
    <col width="10.5" customWidth="1" min="7" max="7"/>
    <col width="10.6640625" customWidth="1" min="8" max="8"/>
    <col width="10.5" customWidth="1" min="11" max="11"/>
    <col width="10.6640625" customWidth="1" min="12" max="12"/>
    <col width="10.83203125" customWidth="1" min="13" max="13"/>
    <col width="11.1640625" customWidth="1" min="14" max="14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C1" t="inlineStr">
        <is>
          <t>Pre-School</t>
        </is>
      </c>
      <c r="E1" t="inlineStr">
        <is>
          <t>Primary</t>
        </is>
      </c>
      <c r="G1" t="inlineStr">
        <is>
          <t>Lower Sec.</t>
        </is>
      </c>
      <c r="I1" t="inlineStr">
        <is>
          <t>Upper Sec.</t>
        </is>
      </c>
      <c r="K1" t="inlineStr">
        <is>
          <t>Total</t>
        </is>
      </c>
      <c r="M1" t="inlineStr">
        <is>
          <t>%Female</t>
        </is>
      </c>
    </row>
    <row r="2">
      <c r="C2" t="inlineStr">
        <is>
          <t>Total</t>
        </is>
      </c>
      <c r="D2" t="inlineStr">
        <is>
          <t>Girl</t>
        </is>
      </c>
      <c r="E2" t="inlineStr">
        <is>
          <t>Total</t>
        </is>
      </c>
      <c r="F2" t="inlineStr">
        <is>
          <t>Girl</t>
        </is>
      </c>
      <c r="G2" t="inlineStr">
        <is>
          <t>Total</t>
        </is>
      </c>
      <c r="H2" t="inlineStr">
        <is>
          <t>Girl</t>
        </is>
      </c>
      <c r="I2" t="inlineStr">
        <is>
          <t>Total</t>
        </is>
      </c>
      <c r="J2" t="inlineStr">
        <is>
          <t>Girl</t>
        </is>
      </c>
      <c r="K2" t="inlineStr">
        <is>
          <t>Total</t>
        </is>
      </c>
      <c r="L2" t="inlineStr">
        <is>
          <t>Girl</t>
        </is>
      </c>
      <c r="M2" t="inlineStr">
        <is>
          <t>Primary</t>
        </is>
      </c>
      <c r="N2" t="inlineStr">
        <is>
          <t>All Level</t>
        </is>
      </c>
    </row>
    <row r="3">
      <c r="A3" t="inlineStr">
        <is>
          <t>Banteay Meanchey</t>
        </is>
      </c>
      <c r="B3" t="n">
        <v>99</v>
      </c>
      <c r="C3" t="n">
        <v>2839</v>
      </c>
      <c r="D3" t="n">
        <v>1399</v>
      </c>
      <c r="E3" t="n">
        <v>11658</v>
      </c>
      <c r="F3" t="n">
        <v>5716</v>
      </c>
      <c r="G3" t="n">
        <v>2411</v>
      </c>
      <c r="H3" t="n">
        <v>1125</v>
      </c>
      <c r="I3" t="n">
        <v>1103</v>
      </c>
      <c r="J3" t="n">
        <v>501</v>
      </c>
      <c r="K3" t="n">
        <v>18011</v>
      </c>
      <c r="L3" t="n">
        <v>8741</v>
      </c>
      <c r="M3" t="n">
        <v>49</v>
      </c>
      <c r="N3" t="n">
        <v>48.5</v>
      </c>
    </row>
    <row r="4">
      <c r="A4" t="inlineStr">
        <is>
          <t>Battambang</t>
        </is>
      </c>
      <c r="B4" t="n">
        <v>45</v>
      </c>
      <c r="C4" t="n">
        <v>1932</v>
      </c>
      <c r="D4" t="n">
        <v>925</v>
      </c>
      <c r="E4" t="n">
        <v>4083</v>
      </c>
      <c r="F4" t="n">
        <v>1974</v>
      </c>
      <c r="G4" t="n">
        <v>1501</v>
      </c>
      <c r="H4" t="n">
        <v>749</v>
      </c>
      <c r="I4" t="n">
        <v>1491</v>
      </c>
      <c r="J4" t="n">
        <v>746</v>
      </c>
      <c r="K4" t="n">
        <v>9007</v>
      </c>
      <c r="L4" t="n">
        <v>4394</v>
      </c>
      <c r="M4" t="n">
        <v>48.3</v>
      </c>
      <c r="N4" t="n">
        <v>48.8</v>
      </c>
    </row>
    <row r="5">
      <c r="A5" t="inlineStr">
        <is>
          <t>Kampong Cham</t>
        </is>
      </c>
      <c r="B5" t="n">
        <v>22</v>
      </c>
      <c r="C5" t="n">
        <v>482</v>
      </c>
      <c r="D5" t="n">
        <v>220</v>
      </c>
      <c r="E5" t="n">
        <v>2261</v>
      </c>
      <c r="F5" t="n">
        <v>1055</v>
      </c>
      <c r="G5" t="n">
        <v>373</v>
      </c>
      <c r="H5" t="n">
        <v>182</v>
      </c>
      <c r="I5" t="n">
        <v>203</v>
      </c>
      <c r="J5" t="n">
        <v>91</v>
      </c>
      <c r="K5" t="n">
        <v>3319</v>
      </c>
      <c r="L5" t="n">
        <v>1548</v>
      </c>
      <c r="M5" t="n">
        <v>46.7</v>
      </c>
      <c r="N5" t="n">
        <v>46.6</v>
      </c>
    </row>
    <row r="6">
      <c r="A6" t="inlineStr">
        <is>
          <t>Kampong Chhnang</t>
        </is>
      </c>
      <c r="B6" t="n">
        <v>21</v>
      </c>
      <c r="C6" t="n">
        <v>1485</v>
      </c>
      <c r="D6" t="n">
        <v>767</v>
      </c>
      <c r="E6" t="n">
        <v>1758</v>
      </c>
      <c r="F6" t="n">
        <v>813</v>
      </c>
      <c r="G6" t="n">
        <v>477</v>
      </c>
      <c r="H6" t="n">
        <v>165</v>
      </c>
      <c r="I6" t="n">
        <v>320</v>
      </c>
      <c r="J6" t="n">
        <v>118</v>
      </c>
      <c r="K6" t="n">
        <v>4040</v>
      </c>
      <c r="L6" t="n">
        <v>1863</v>
      </c>
      <c r="M6" t="n">
        <v>46.2</v>
      </c>
      <c r="N6" t="n">
        <v>46.1</v>
      </c>
    </row>
    <row r="7">
      <c r="A7" t="inlineStr">
        <is>
          <t>Kampong Speu</t>
        </is>
      </c>
      <c r="B7" t="n">
        <v>36</v>
      </c>
      <c r="C7" t="n">
        <v>1853</v>
      </c>
      <c r="D7" t="n">
        <v>848</v>
      </c>
      <c r="E7" t="n">
        <v>2605</v>
      </c>
      <c r="F7" t="n">
        <v>1217</v>
      </c>
      <c r="G7" t="n">
        <v>577</v>
      </c>
      <c r="H7" t="n">
        <v>253</v>
      </c>
      <c r="I7" t="n">
        <v>92</v>
      </c>
      <c r="J7" t="n">
        <v>43</v>
      </c>
      <c r="K7" t="n">
        <v>5127</v>
      </c>
      <c r="L7" t="n">
        <v>2361</v>
      </c>
      <c r="M7" t="n">
        <v>46.7</v>
      </c>
      <c r="N7" t="n">
        <v>46.1</v>
      </c>
    </row>
    <row r="8">
      <c r="A8" t="inlineStr">
        <is>
          <t>Kampong Thom</t>
        </is>
      </c>
      <c r="B8" t="n">
        <v>19</v>
      </c>
      <c r="C8" t="n">
        <v>1378</v>
      </c>
      <c r="D8" t="n">
        <v>681</v>
      </c>
      <c r="E8" t="n">
        <v>1012</v>
      </c>
      <c r="F8" t="n">
        <v>469</v>
      </c>
      <c r="G8" t="n">
        <v>322</v>
      </c>
      <c r="H8" t="n">
        <v>146</v>
      </c>
      <c r="I8" t="n">
        <v>106</v>
      </c>
      <c r="J8" t="n">
        <v>57</v>
      </c>
      <c r="K8" t="n">
        <v>2818</v>
      </c>
      <c r="L8" t="n">
        <v>1353</v>
      </c>
      <c r="M8" t="n">
        <v>46.3</v>
      </c>
      <c r="N8" t="n">
        <v>48</v>
      </c>
    </row>
    <row r="9">
      <c r="A9" t="inlineStr">
        <is>
          <t>Kampot</t>
        </is>
      </c>
      <c r="B9" t="n">
        <v>43</v>
      </c>
      <c r="C9" t="n">
        <v>986</v>
      </c>
      <c r="D9" t="n">
        <v>473</v>
      </c>
      <c r="E9" t="n">
        <v>4944</v>
      </c>
      <c r="F9" t="n">
        <v>2621</v>
      </c>
      <c r="G9" t="n">
        <v>1071</v>
      </c>
      <c r="H9" t="n">
        <v>565</v>
      </c>
      <c r="I9" t="n">
        <v>1020</v>
      </c>
      <c r="J9" t="n">
        <v>497</v>
      </c>
      <c r="K9" t="n">
        <v>8021</v>
      </c>
      <c r="L9" t="n">
        <v>4156</v>
      </c>
      <c r="M9" t="n">
        <v>53</v>
      </c>
      <c r="N9" t="n">
        <v>51.8</v>
      </c>
    </row>
    <row r="10">
      <c r="A10" t="inlineStr">
        <is>
          <t>Kandal</t>
        </is>
      </c>
      <c r="B10" t="n">
        <v>29</v>
      </c>
      <c r="C10" t="n">
        <v>1217</v>
      </c>
      <c r="D10" t="n">
        <v>632</v>
      </c>
      <c r="E10" t="n">
        <v>4386</v>
      </c>
      <c r="F10" t="n">
        <v>2318</v>
      </c>
      <c r="G10" t="n">
        <v>1475</v>
      </c>
      <c r="H10" t="n">
        <v>614</v>
      </c>
      <c r="I10" t="n">
        <v>946</v>
      </c>
      <c r="J10" t="n">
        <v>429</v>
      </c>
      <c r="K10" t="n">
        <v>8024</v>
      </c>
      <c r="L10" t="n">
        <v>3993</v>
      </c>
      <c r="M10" t="n">
        <v>52.8</v>
      </c>
      <c r="N10" t="n">
        <v>49.8</v>
      </c>
    </row>
    <row r="11">
      <c r="A11" t="inlineStr">
        <is>
          <t>Kep</t>
        </is>
      </c>
      <c r="B11" t="n">
        <v>3</v>
      </c>
      <c r="C11" t="n">
        <v>54</v>
      </c>
      <c r="D11" t="n">
        <v>21</v>
      </c>
      <c r="E11" t="n">
        <v>533</v>
      </c>
      <c r="F11" t="n">
        <v>317</v>
      </c>
      <c r="G11" t="n">
        <v>0</v>
      </c>
      <c r="H11" t="n">
        <v>0</v>
      </c>
      <c r="I11" t="n">
        <v>0</v>
      </c>
      <c r="J11" t="n">
        <v>0</v>
      </c>
      <c r="K11" t="n">
        <v>587</v>
      </c>
      <c r="L11" t="n">
        <v>338</v>
      </c>
      <c r="M11" t="n">
        <v>59.5</v>
      </c>
      <c r="N11" t="n">
        <v>57.6</v>
      </c>
    </row>
    <row r="12">
      <c r="A12" t="inlineStr">
        <is>
          <t>Koh Kong</t>
        </is>
      </c>
      <c r="B12" t="n">
        <v>23</v>
      </c>
      <c r="C12" t="n">
        <v>1032</v>
      </c>
      <c r="D12" t="n">
        <v>545</v>
      </c>
      <c r="E12" t="n">
        <v>2208</v>
      </c>
      <c r="F12" t="n">
        <v>1135</v>
      </c>
      <c r="G12" t="n">
        <v>350</v>
      </c>
      <c r="H12" t="n">
        <v>168</v>
      </c>
      <c r="I12" t="n">
        <v>46</v>
      </c>
      <c r="J12" t="n">
        <v>16</v>
      </c>
      <c r="K12" t="n">
        <v>3636</v>
      </c>
      <c r="L12" t="n">
        <v>1864</v>
      </c>
      <c r="M12" t="n">
        <v>51.4</v>
      </c>
      <c r="N12" t="n">
        <v>51.3</v>
      </c>
    </row>
    <row r="13">
      <c r="A13" t="inlineStr">
        <is>
          <t>Kratie</t>
        </is>
      </c>
      <c r="B13" t="n">
        <v>9</v>
      </c>
      <c r="C13" t="n">
        <v>222</v>
      </c>
      <c r="D13" t="n">
        <v>109</v>
      </c>
      <c r="E13" t="n">
        <v>735</v>
      </c>
      <c r="F13" t="n">
        <v>424</v>
      </c>
      <c r="G13" t="n">
        <v>0</v>
      </c>
      <c r="H13" t="n">
        <v>0</v>
      </c>
      <c r="I13" t="n">
        <v>0</v>
      </c>
      <c r="J13" t="n">
        <v>0</v>
      </c>
      <c r="K13" t="n">
        <v>957</v>
      </c>
      <c r="L13" t="n">
        <v>533</v>
      </c>
      <c r="M13" t="n">
        <v>57.7</v>
      </c>
      <c r="N13" t="n">
        <v>55.7</v>
      </c>
    </row>
    <row r="14">
      <c r="A14" t="inlineStr">
        <is>
          <t>Mondul Kiri</t>
        </is>
      </c>
      <c r="B14" t="n">
        <v>7</v>
      </c>
      <c r="C14" t="n">
        <v>130</v>
      </c>
      <c r="D14" t="n">
        <v>67</v>
      </c>
      <c r="E14" t="n">
        <v>252</v>
      </c>
      <c r="F14" t="n">
        <v>121</v>
      </c>
      <c r="G14" t="n">
        <v>0</v>
      </c>
      <c r="H14" t="n">
        <v>0</v>
      </c>
      <c r="I14" t="n">
        <v>0</v>
      </c>
      <c r="J14" t="n">
        <v>0</v>
      </c>
      <c r="K14" t="n">
        <v>382</v>
      </c>
      <c r="L14" t="n">
        <v>188</v>
      </c>
      <c r="M14" t="n">
        <v>48</v>
      </c>
      <c r="N14" t="n">
        <v>49.2</v>
      </c>
    </row>
    <row r="15">
      <c r="A15" t="inlineStr">
        <is>
          <t>Otdar Meanchey</t>
        </is>
      </c>
      <c r="B15" t="n">
        <v>6</v>
      </c>
      <c r="C15" t="n">
        <v>283</v>
      </c>
      <c r="D15" t="n">
        <v>123</v>
      </c>
      <c r="E15" t="n">
        <v>1070</v>
      </c>
      <c r="F15" t="n">
        <v>536</v>
      </c>
      <c r="G15" t="n">
        <v>0</v>
      </c>
      <c r="H15" t="n">
        <v>0</v>
      </c>
      <c r="I15" t="n">
        <v>0</v>
      </c>
      <c r="J15" t="n">
        <v>0</v>
      </c>
      <c r="K15" t="n">
        <v>1353</v>
      </c>
      <c r="L15" t="n">
        <v>659</v>
      </c>
      <c r="M15" t="n">
        <v>50.1</v>
      </c>
      <c r="N15" t="n">
        <v>48.7</v>
      </c>
    </row>
    <row r="16">
      <c r="A16" t="inlineStr">
        <is>
          <t>Pailin</t>
        </is>
      </c>
      <c r="B16" t="n">
        <v>18</v>
      </c>
      <c r="C16" t="n">
        <v>770</v>
      </c>
      <c r="D16" t="n">
        <v>351</v>
      </c>
      <c r="E16" t="n">
        <v>1528</v>
      </c>
      <c r="F16" t="n">
        <v>748</v>
      </c>
      <c r="G16" t="n">
        <v>0</v>
      </c>
      <c r="H16" t="n">
        <v>0</v>
      </c>
      <c r="I16" t="n">
        <v>0</v>
      </c>
      <c r="J16" t="n">
        <v>0</v>
      </c>
      <c r="K16" t="n">
        <v>2298</v>
      </c>
      <c r="L16" t="n">
        <v>1099</v>
      </c>
      <c r="M16" t="n">
        <v>49</v>
      </c>
      <c r="N16" t="n">
        <v>47.8</v>
      </c>
    </row>
    <row r="17">
      <c r="A17" t="inlineStr">
        <is>
          <t>Phnom Penh</t>
        </is>
      </c>
      <c r="B17" t="n">
        <v>457</v>
      </c>
      <c r="C17" t="n">
        <v>19609</v>
      </c>
      <c r="D17" t="n">
        <v>9974</v>
      </c>
      <c r="E17" t="n">
        <v>57286</v>
      </c>
      <c r="F17" t="n">
        <v>28416</v>
      </c>
      <c r="G17" t="n">
        <v>13283</v>
      </c>
      <c r="H17" t="n">
        <v>6580</v>
      </c>
      <c r="I17" t="n">
        <v>9988</v>
      </c>
      <c r="J17" t="n">
        <v>4822</v>
      </c>
      <c r="K17" t="n">
        <v>100166</v>
      </c>
      <c r="L17" t="n">
        <v>49792</v>
      </c>
      <c r="M17" t="n">
        <v>49.6</v>
      </c>
      <c r="N17" t="n">
        <v>49.7</v>
      </c>
    </row>
    <row r="18">
      <c r="A18" t="inlineStr">
        <is>
          <t>Preah Sihanouk</t>
        </is>
      </c>
      <c r="B18" t="n">
        <v>47</v>
      </c>
      <c r="C18" t="n">
        <v>2261</v>
      </c>
      <c r="D18" t="n">
        <v>1098</v>
      </c>
      <c r="E18" t="n">
        <v>3939</v>
      </c>
      <c r="F18" t="n">
        <v>1862</v>
      </c>
      <c r="G18" t="n">
        <v>1171</v>
      </c>
      <c r="H18" t="n">
        <v>553</v>
      </c>
      <c r="I18" t="n">
        <v>814</v>
      </c>
      <c r="J18" t="n">
        <v>387</v>
      </c>
      <c r="K18" t="n">
        <v>8185</v>
      </c>
      <c r="L18" t="n">
        <v>3900</v>
      </c>
      <c r="M18" t="n">
        <v>47.3</v>
      </c>
      <c r="N18" t="n">
        <v>47.6</v>
      </c>
    </row>
    <row r="19">
      <c r="A19" t="inlineStr">
        <is>
          <t>Preah Vihear</t>
        </is>
      </c>
      <c r="B19" t="n">
        <v>4</v>
      </c>
      <c r="C19" t="n">
        <v>93</v>
      </c>
      <c r="D19" t="n">
        <v>44</v>
      </c>
      <c r="E19" t="n">
        <v>177</v>
      </c>
      <c r="F19" t="n">
        <v>73</v>
      </c>
      <c r="G19" t="n">
        <v>0</v>
      </c>
      <c r="H19" t="n">
        <v>0</v>
      </c>
      <c r="I19" t="n">
        <v>0</v>
      </c>
      <c r="J19" t="n">
        <v>0</v>
      </c>
      <c r="K19" t="n">
        <v>270</v>
      </c>
      <c r="L19" t="n">
        <v>117</v>
      </c>
      <c r="M19" t="n">
        <v>41.2</v>
      </c>
      <c r="N19" t="n">
        <v>43.3</v>
      </c>
    </row>
    <row r="20">
      <c r="A20" t="inlineStr">
        <is>
          <t>Prey Veng</t>
        </is>
      </c>
      <c r="B20" t="n">
        <v>6</v>
      </c>
      <c r="C20" t="n">
        <v>134</v>
      </c>
      <c r="D20" t="n">
        <v>76</v>
      </c>
      <c r="E20" t="n">
        <v>78</v>
      </c>
      <c r="F20" t="n">
        <v>37</v>
      </c>
      <c r="G20" t="n">
        <v>0</v>
      </c>
      <c r="H20" t="n">
        <v>0</v>
      </c>
      <c r="I20" t="n">
        <v>133</v>
      </c>
      <c r="J20" t="n">
        <v>78</v>
      </c>
      <c r="K20" t="n">
        <v>345</v>
      </c>
      <c r="L20" t="n">
        <v>191</v>
      </c>
      <c r="M20" t="n">
        <v>47.4</v>
      </c>
      <c r="N20" t="n">
        <v>55.4</v>
      </c>
    </row>
    <row r="21">
      <c r="A21" t="inlineStr">
        <is>
          <t>Pursat</t>
        </is>
      </c>
      <c r="B21" t="n">
        <v>7</v>
      </c>
      <c r="C21" t="n">
        <v>838</v>
      </c>
      <c r="D21" t="n">
        <v>400</v>
      </c>
      <c r="E21" t="n">
        <v>1016</v>
      </c>
      <c r="F21" t="n">
        <v>522</v>
      </c>
      <c r="G21" t="n">
        <v>0</v>
      </c>
      <c r="H21" t="n">
        <v>0</v>
      </c>
      <c r="I21" t="n">
        <v>0</v>
      </c>
      <c r="J21" t="n">
        <v>0</v>
      </c>
      <c r="K21" t="n">
        <v>1854</v>
      </c>
      <c r="L21" t="n">
        <v>922</v>
      </c>
      <c r="M21" t="n">
        <v>51.4</v>
      </c>
      <c r="N21" t="n">
        <v>49.7</v>
      </c>
    </row>
    <row r="22">
      <c r="A22" t="inlineStr">
        <is>
          <t>Ratanak Kiri</t>
        </is>
      </c>
      <c r="B22" t="n">
        <v>14</v>
      </c>
      <c r="C22" t="n">
        <v>984</v>
      </c>
      <c r="D22" t="n">
        <v>496</v>
      </c>
      <c r="E22" t="n">
        <v>1609</v>
      </c>
      <c r="F22" t="n">
        <v>721</v>
      </c>
      <c r="G22" t="n">
        <v>235</v>
      </c>
      <c r="H22" t="n">
        <v>114</v>
      </c>
      <c r="I22" t="n">
        <v>19</v>
      </c>
      <c r="J22" t="n">
        <v>9</v>
      </c>
      <c r="K22" t="n">
        <v>2847</v>
      </c>
      <c r="L22" t="n">
        <v>1340</v>
      </c>
      <c r="M22" t="n">
        <v>44.8</v>
      </c>
      <c r="N22" t="n">
        <v>47.1</v>
      </c>
    </row>
    <row r="23">
      <c r="A23" t="inlineStr">
        <is>
          <t>Siemreap</t>
        </is>
      </c>
      <c r="B23" t="n">
        <v>102</v>
      </c>
      <c r="C23" t="n">
        <v>6671</v>
      </c>
      <c r="D23" t="n">
        <v>3438</v>
      </c>
      <c r="E23" t="n">
        <v>5408</v>
      </c>
      <c r="F23" t="n">
        <v>2478</v>
      </c>
      <c r="G23" t="n">
        <v>1946</v>
      </c>
      <c r="H23" t="n">
        <v>934</v>
      </c>
      <c r="I23" t="n">
        <v>1323</v>
      </c>
      <c r="J23" t="n">
        <v>664</v>
      </c>
      <c r="K23" t="n">
        <v>15348</v>
      </c>
      <c r="L23" t="n">
        <v>7514</v>
      </c>
      <c r="M23" t="n">
        <v>45.8</v>
      </c>
      <c r="N23" t="n">
        <v>49</v>
      </c>
    </row>
    <row r="24">
      <c r="A24" t="inlineStr">
        <is>
          <t>Stung Treng</t>
        </is>
      </c>
      <c r="B24" t="n">
        <v>5</v>
      </c>
      <c r="C24" t="n">
        <v>351</v>
      </c>
      <c r="D24" t="n">
        <v>174</v>
      </c>
      <c r="E24" t="n">
        <v>0</v>
      </c>
      <c r="F24" t="n">
        <v>0</v>
      </c>
      <c r="G24" t="n">
        <v>17</v>
      </c>
      <c r="H24" t="n">
        <v>10</v>
      </c>
      <c r="I24" t="n">
        <v>10</v>
      </c>
      <c r="J24" t="n">
        <v>5</v>
      </c>
      <c r="K24" t="n">
        <v>378</v>
      </c>
      <c r="L24" t="n">
        <v>189</v>
      </c>
      <c r="N24" t="n">
        <v>50</v>
      </c>
    </row>
    <row r="25">
      <c r="A25" t="inlineStr">
        <is>
          <t>Svay Rieng</t>
        </is>
      </c>
      <c r="B25" t="n">
        <v>6</v>
      </c>
      <c r="C25" t="n">
        <v>113</v>
      </c>
      <c r="D25" t="n">
        <v>54</v>
      </c>
      <c r="E25" t="n">
        <v>219</v>
      </c>
      <c r="F25" t="n">
        <v>117</v>
      </c>
      <c r="G25" t="n">
        <v>0</v>
      </c>
      <c r="H25" t="n">
        <v>0</v>
      </c>
      <c r="I25" t="n">
        <v>0</v>
      </c>
      <c r="J25" t="n">
        <v>0</v>
      </c>
      <c r="K25" t="n">
        <v>332</v>
      </c>
      <c r="L25" t="n">
        <v>171</v>
      </c>
      <c r="M25" t="n">
        <v>53.4</v>
      </c>
      <c r="N25" t="n">
        <v>51.5</v>
      </c>
    </row>
    <row r="26">
      <c r="A26" t="inlineStr">
        <is>
          <t>Takeo</t>
        </is>
      </c>
      <c r="B26" t="n">
        <v>34</v>
      </c>
      <c r="C26" t="n">
        <v>1201</v>
      </c>
      <c r="D26" t="n">
        <v>627</v>
      </c>
      <c r="E26" t="n">
        <v>1945</v>
      </c>
      <c r="F26" t="n">
        <v>928</v>
      </c>
      <c r="G26" t="n">
        <v>509</v>
      </c>
      <c r="H26" t="n">
        <v>226</v>
      </c>
      <c r="I26" t="n">
        <v>335</v>
      </c>
      <c r="J26" t="n">
        <v>193</v>
      </c>
      <c r="K26" t="n">
        <v>3990</v>
      </c>
      <c r="L26" t="n">
        <v>1974</v>
      </c>
      <c r="M26" t="n">
        <v>47.7</v>
      </c>
      <c r="N26" t="n">
        <v>49.5</v>
      </c>
    </row>
    <row r="27">
      <c r="A27" t="inlineStr">
        <is>
          <t>Tbaung Khmum</t>
        </is>
      </c>
      <c r="B27" t="n">
        <v>14</v>
      </c>
      <c r="C27" t="n">
        <v>333</v>
      </c>
      <c r="D27" t="n">
        <v>159</v>
      </c>
      <c r="E27" t="n">
        <v>1088</v>
      </c>
      <c r="F27" t="n">
        <v>476</v>
      </c>
      <c r="G27" t="n">
        <v>210</v>
      </c>
      <c r="H27" t="n">
        <v>108</v>
      </c>
      <c r="I27" t="n">
        <v>158</v>
      </c>
      <c r="J27" t="n">
        <v>88</v>
      </c>
      <c r="K27" t="n">
        <v>1789</v>
      </c>
      <c r="L27" t="n">
        <v>831</v>
      </c>
      <c r="M27" t="n">
        <v>43.8</v>
      </c>
      <c r="N27" t="n">
        <v>46.5</v>
      </c>
    </row>
    <row r="28">
      <c r="A28" t="inlineStr">
        <is>
          <t>Whole Kingdom</t>
        </is>
      </c>
      <c r="B28" t="n">
        <v>1076</v>
      </c>
      <c r="C28" t="n">
        <v>47251</v>
      </c>
      <c r="D28" t="n">
        <v>23701</v>
      </c>
      <c r="E28" t="n">
        <v>111798</v>
      </c>
      <c r="F28" t="n">
        <v>55094</v>
      </c>
      <c r="G28" t="n">
        <v>25928</v>
      </c>
      <c r="H28" t="n">
        <v>12492</v>
      </c>
      <c r="I28" t="n">
        <v>18107</v>
      </c>
      <c r="J28" t="n">
        <v>8744</v>
      </c>
      <c r="K28" t="n">
        <v>203084</v>
      </c>
      <c r="L28" t="n">
        <v>100031</v>
      </c>
      <c r="M28" t="n">
        <v>49.3</v>
      </c>
      <c r="N28" t="n">
        <v>49.3</v>
      </c>
    </row>
    <row r="29">
      <c r="A29" t="inlineStr">
        <is>
          <t>- Urban Area</t>
        </is>
      </c>
      <c r="B29" t="n">
        <v>880</v>
      </c>
      <c r="C29" t="n">
        <v>39636</v>
      </c>
      <c r="D29" t="n">
        <v>20011</v>
      </c>
      <c r="E29" t="n">
        <v>93224</v>
      </c>
      <c r="F29" t="n">
        <v>45790</v>
      </c>
      <c r="G29" t="n">
        <v>22731</v>
      </c>
      <c r="H29" t="n">
        <v>11102</v>
      </c>
      <c r="I29" t="n">
        <v>16663</v>
      </c>
      <c r="J29" t="n">
        <v>8061</v>
      </c>
      <c r="K29" t="n">
        <v>172254</v>
      </c>
      <c r="L29" t="n">
        <v>84964</v>
      </c>
      <c r="M29" t="n">
        <v>49.1</v>
      </c>
      <c r="N29" t="n">
        <v>49.3</v>
      </c>
    </row>
    <row r="30">
      <c r="A30" t="inlineStr">
        <is>
          <t>- Rural Area</t>
        </is>
      </c>
      <c r="B30" t="n">
        <v>196</v>
      </c>
      <c r="C30" t="n">
        <v>7615</v>
      </c>
      <c r="D30" t="n">
        <v>3690</v>
      </c>
      <c r="E30" t="n">
        <v>18574</v>
      </c>
      <c r="F30" t="n">
        <v>9304</v>
      </c>
      <c r="G30" t="n">
        <v>3197</v>
      </c>
      <c r="H30" t="n">
        <v>1390</v>
      </c>
      <c r="I30" t="n">
        <v>1444</v>
      </c>
      <c r="J30" t="n">
        <v>683</v>
      </c>
      <c r="K30" t="n">
        <v>30830</v>
      </c>
      <c r="L30" t="n">
        <v>15067</v>
      </c>
      <c r="M30" t="n">
        <v>50.1</v>
      </c>
      <c r="N30" t="n">
        <v>48.9</v>
      </c>
    </row>
  </sheetData>
  <mergeCells count="8">
    <mergeCell ref="C1:D1"/>
    <mergeCell ref="G1:H1"/>
    <mergeCell ref="E1:F1"/>
    <mergeCell ref="K1:L1"/>
    <mergeCell ref="B1:B2"/>
    <mergeCell ref="M1:N1"/>
    <mergeCell ref="I1:J1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B9BD5"/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21.83203125" customWidth="1" min="1" max="1"/>
    <col width="10.6640625" customWidth="1" min="2" max="2"/>
    <col width="10.5" customWidth="1" min="3" max="3"/>
    <col width="10.6640625" customWidth="1" min="4" max="4"/>
    <col width="10.5" customWidth="1" min="7" max="7"/>
    <col width="10.6640625" customWidth="1" min="8" max="8"/>
    <col width="10.5" customWidth="1" min="11" max="11"/>
    <col width="10.6640625" customWidth="1" min="12" max="12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C1" t="inlineStr">
        <is>
          <t>Pre-School</t>
        </is>
      </c>
      <c r="E1" t="inlineStr">
        <is>
          <t>Primary</t>
        </is>
      </c>
      <c r="G1" t="inlineStr">
        <is>
          <t>Lower Sec.</t>
        </is>
      </c>
      <c r="I1" t="inlineStr">
        <is>
          <t>Upper Sec.</t>
        </is>
      </c>
      <c r="K1" t="inlineStr">
        <is>
          <t>Total</t>
        </is>
      </c>
      <c r="M1" t="inlineStr">
        <is>
          <t>%Female</t>
        </is>
      </c>
    </row>
    <row r="2">
      <c r="C2" t="inlineStr">
        <is>
          <t>Total</t>
        </is>
      </c>
      <c r="D2" t="inlineStr">
        <is>
          <t>Girl</t>
        </is>
      </c>
      <c r="E2" t="inlineStr">
        <is>
          <t>Total</t>
        </is>
      </c>
      <c r="F2" t="inlineStr">
        <is>
          <t>Girl</t>
        </is>
      </c>
      <c r="G2" t="inlineStr">
        <is>
          <t>Total</t>
        </is>
      </c>
      <c r="H2" t="inlineStr">
        <is>
          <t>Girl</t>
        </is>
      </c>
      <c r="I2" t="inlineStr">
        <is>
          <t>Total</t>
        </is>
      </c>
      <c r="J2" t="inlineStr">
        <is>
          <t>Girl</t>
        </is>
      </c>
      <c r="K2" t="inlineStr">
        <is>
          <t>Total</t>
        </is>
      </c>
      <c r="L2" t="inlineStr">
        <is>
          <t>Girl</t>
        </is>
      </c>
      <c r="M2" t="inlineStr">
        <is>
          <t>Primary</t>
        </is>
      </c>
      <c r="N2" t="inlineStr">
        <is>
          <t>All Level</t>
        </is>
      </c>
    </row>
    <row r="3">
      <c r="A3" t="inlineStr">
        <is>
          <t>Banteay Meanchey</t>
        </is>
      </c>
      <c r="B3" t="n">
        <v>121</v>
      </c>
      <c r="C3" t="n">
        <v>3393</v>
      </c>
      <c r="D3" t="n">
        <v>1653</v>
      </c>
      <c r="E3" t="n">
        <v>14332</v>
      </c>
      <c r="F3" t="n">
        <v>6879</v>
      </c>
      <c r="G3" t="n">
        <v>2917</v>
      </c>
      <c r="H3" t="n">
        <v>1421</v>
      </c>
      <c r="I3" t="n">
        <v>1300</v>
      </c>
      <c r="J3" t="n">
        <v>658</v>
      </c>
      <c r="K3" t="n">
        <v>21942</v>
      </c>
      <c r="L3" t="n">
        <v>10611</v>
      </c>
      <c r="M3" t="n">
        <v>48</v>
      </c>
      <c r="N3" t="n">
        <v>48.4</v>
      </c>
    </row>
    <row r="4">
      <c r="A4" t="inlineStr">
        <is>
          <t>Battambang</t>
        </is>
      </c>
      <c r="B4" t="n">
        <v>45</v>
      </c>
      <c r="C4" t="n">
        <v>1273</v>
      </c>
      <c r="D4" t="n">
        <v>605</v>
      </c>
      <c r="E4" t="n">
        <v>4348</v>
      </c>
      <c r="F4" t="n">
        <v>2139</v>
      </c>
      <c r="G4" t="n">
        <v>1661</v>
      </c>
      <c r="H4" t="n">
        <v>813</v>
      </c>
      <c r="I4" t="n">
        <v>1522</v>
      </c>
      <c r="J4" t="n">
        <v>814</v>
      </c>
      <c r="K4" t="n">
        <v>8804</v>
      </c>
      <c r="L4" t="n">
        <v>4371</v>
      </c>
      <c r="M4" t="n">
        <v>49.2</v>
      </c>
      <c r="N4" t="n">
        <v>49.6</v>
      </c>
    </row>
    <row r="5">
      <c r="A5" t="inlineStr">
        <is>
          <t>Kampong Cham</t>
        </is>
      </c>
      <c r="B5" t="n">
        <v>25</v>
      </c>
      <c r="C5" t="n">
        <v>853</v>
      </c>
      <c r="D5" t="n">
        <v>455</v>
      </c>
      <c r="E5" t="n">
        <v>2532</v>
      </c>
      <c r="F5" t="n">
        <v>1213</v>
      </c>
      <c r="G5" t="n">
        <v>407</v>
      </c>
      <c r="H5" t="n">
        <v>192</v>
      </c>
      <c r="I5" t="n">
        <v>218</v>
      </c>
      <c r="J5" t="n">
        <v>109</v>
      </c>
      <c r="K5" t="n">
        <v>4010</v>
      </c>
      <c r="L5" t="n">
        <v>1969</v>
      </c>
      <c r="M5" t="n">
        <v>47.9</v>
      </c>
      <c r="N5" t="n">
        <v>49.1</v>
      </c>
    </row>
    <row r="6">
      <c r="A6" t="inlineStr">
        <is>
          <t>Kampong Chhnang</t>
        </is>
      </c>
      <c r="B6" t="n">
        <v>25</v>
      </c>
      <c r="C6" t="n">
        <v>1532</v>
      </c>
      <c r="D6" t="n">
        <v>736</v>
      </c>
      <c r="E6" t="n">
        <v>1905</v>
      </c>
      <c r="F6" t="n">
        <v>905</v>
      </c>
      <c r="G6" t="n">
        <v>608</v>
      </c>
      <c r="H6" t="n">
        <v>230</v>
      </c>
      <c r="I6" t="n">
        <v>460</v>
      </c>
      <c r="J6" t="n">
        <v>184</v>
      </c>
      <c r="K6" t="n">
        <v>4505</v>
      </c>
      <c r="L6" t="n">
        <v>2055</v>
      </c>
      <c r="M6" t="n">
        <v>47.5</v>
      </c>
      <c r="N6" t="n">
        <v>45.6</v>
      </c>
    </row>
    <row r="7">
      <c r="A7" t="inlineStr">
        <is>
          <t>Kampong Speu</t>
        </is>
      </c>
      <c r="B7" t="n">
        <v>50</v>
      </c>
      <c r="C7" t="n">
        <v>2917</v>
      </c>
      <c r="D7" t="n">
        <v>1514</v>
      </c>
      <c r="E7" t="n">
        <v>4276</v>
      </c>
      <c r="F7" t="n">
        <v>2189</v>
      </c>
      <c r="G7" t="n">
        <v>740</v>
      </c>
      <c r="H7" t="n">
        <v>372</v>
      </c>
      <c r="I7" t="n">
        <v>201</v>
      </c>
      <c r="J7" t="n">
        <v>104</v>
      </c>
      <c r="K7" t="n">
        <v>8134</v>
      </c>
      <c r="L7" t="n">
        <v>4179</v>
      </c>
      <c r="M7" t="n">
        <v>51.2</v>
      </c>
      <c r="N7" t="n">
        <v>51.4</v>
      </c>
    </row>
    <row r="8">
      <c r="A8" t="inlineStr">
        <is>
          <t>Kampong Thom</t>
        </is>
      </c>
      <c r="B8" t="n">
        <v>15</v>
      </c>
      <c r="C8" t="n">
        <v>342</v>
      </c>
      <c r="D8" t="n">
        <v>148</v>
      </c>
      <c r="E8" t="n">
        <v>1049</v>
      </c>
      <c r="F8" t="n">
        <v>467</v>
      </c>
      <c r="G8" t="n">
        <v>210</v>
      </c>
      <c r="H8" t="n">
        <v>89</v>
      </c>
      <c r="I8" t="n">
        <v>98</v>
      </c>
      <c r="J8" t="n">
        <v>50</v>
      </c>
      <c r="K8" t="n">
        <v>1699</v>
      </c>
      <c r="L8" t="n">
        <v>754</v>
      </c>
      <c r="M8" t="n">
        <v>44.5</v>
      </c>
      <c r="N8" t="n">
        <v>44.4</v>
      </c>
    </row>
    <row r="9">
      <c r="A9" t="inlineStr">
        <is>
          <t>Kampot</t>
        </is>
      </c>
      <c r="B9" t="n">
        <v>48</v>
      </c>
      <c r="C9" t="n">
        <v>998</v>
      </c>
      <c r="D9" t="n">
        <v>499</v>
      </c>
      <c r="E9" t="n">
        <v>6234</v>
      </c>
      <c r="F9" t="n">
        <v>3285</v>
      </c>
      <c r="G9" t="n">
        <v>1337</v>
      </c>
      <c r="H9" t="n">
        <v>727</v>
      </c>
      <c r="I9" t="n">
        <v>1019</v>
      </c>
      <c r="J9" t="n">
        <v>511</v>
      </c>
      <c r="K9" t="n">
        <v>9588</v>
      </c>
      <c r="L9" t="n">
        <v>5022</v>
      </c>
      <c r="M9" t="n">
        <v>52.7</v>
      </c>
      <c r="N9" t="n">
        <v>52.4</v>
      </c>
    </row>
    <row r="10">
      <c r="A10" t="inlineStr">
        <is>
          <t>Kandal</t>
        </is>
      </c>
      <c r="B10" t="n">
        <v>63</v>
      </c>
      <c r="C10" t="n">
        <v>1974</v>
      </c>
      <c r="D10" t="n">
        <v>1001</v>
      </c>
      <c r="E10" t="n">
        <v>5683</v>
      </c>
      <c r="F10" t="n">
        <v>2834</v>
      </c>
      <c r="G10" t="n">
        <v>1903</v>
      </c>
      <c r="H10" t="n">
        <v>762</v>
      </c>
      <c r="I10" t="n">
        <v>1137</v>
      </c>
      <c r="J10" t="n">
        <v>522</v>
      </c>
      <c r="K10" t="n">
        <v>10697</v>
      </c>
      <c r="L10" t="n">
        <v>5119</v>
      </c>
      <c r="M10" t="n">
        <v>49.9</v>
      </c>
      <c r="N10" t="n">
        <v>47.9</v>
      </c>
    </row>
    <row r="11">
      <c r="A11" t="inlineStr">
        <is>
          <t>Kep</t>
        </is>
      </c>
      <c r="B11" t="n">
        <v>4</v>
      </c>
      <c r="C11" t="n">
        <v>121</v>
      </c>
      <c r="D11" t="n">
        <v>61</v>
      </c>
      <c r="E11" t="n">
        <v>715</v>
      </c>
      <c r="F11" t="n">
        <v>385</v>
      </c>
      <c r="G11" t="n">
        <v>0</v>
      </c>
      <c r="H11" t="n">
        <v>0</v>
      </c>
      <c r="I11" t="n">
        <v>0</v>
      </c>
      <c r="J11" t="n">
        <v>0</v>
      </c>
      <c r="K11" t="n">
        <v>836</v>
      </c>
      <c r="L11" t="n">
        <v>446</v>
      </c>
      <c r="M11" t="n">
        <v>53.8</v>
      </c>
      <c r="N11" t="n">
        <v>53.3</v>
      </c>
    </row>
    <row r="12">
      <c r="A12" t="inlineStr">
        <is>
          <t>Koh Kong</t>
        </is>
      </c>
      <c r="B12" t="n">
        <v>18</v>
      </c>
      <c r="C12" t="n">
        <v>316</v>
      </c>
      <c r="D12" t="n">
        <v>183</v>
      </c>
      <c r="E12" t="n">
        <v>2594</v>
      </c>
      <c r="F12" t="n">
        <v>1337</v>
      </c>
      <c r="G12" t="n">
        <v>332</v>
      </c>
      <c r="H12" t="n">
        <v>147</v>
      </c>
      <c r="I12" t="n">
        <v>17</v>
      </c>
      <c r="J12" t="n">
        <v>7</v>
      </c>
      <c r="K12" t="n">
        <v>3259</v>
      </c>
      <c r="L12" t="n">
        <v>1674</v>
      </c>
      <c r="M12" t="n">
        <v>51.5</v>
      </c>
      <c r="N12" t="n">
        <v>51.4</v>
      </c>
    </row>
    <row r="13">
      <c r="A13" t="inlineStr">
        <is>
          <t>Kratie</t>
        </is>
      </c>
      <c r="B13" t="n">
        <v>8</v>
      </c>
      <c r="C13" t="n">
        <v>162</v>
      </c>
      <c r="D13" t="n">
        <v>80</v>
      </c>
      <c r="E13" t="n">
        <v>1337</v>
      </c>
      <c r="F13" t="n">
        <v>800</v>
      </c>
      <c r="G13" t="n">
        <v>0</v>
      </c>
      <c r="H13" t="n">
        <v>0</v>
      </c>
      <c r="I13" t="n">
        <v>0</v>
      </c>
      <c r="J13" t="n">
        <v>0</v>
      </c>
      <c r="K13" t="n">
        <v>1499</v>
      </c>
      <c r="L13" t="n">
        <v>880</v>
      </c>
      <c r="M13" t="n">
        <v>59.8</v>
      </c>
      <c r="N13" t="n">
        <v>58.7</v>
      </c>
    </row>
    <row r="14">
      <c r="A14" t="inlineStr">
        <is>
          <t>Mondul Kiri</t>
        </is>
      </c>
      <c r="B14" t="n">
        <v>5</v>
      </c>
      <c r="C14" t="n">
        <v>140</v>
      </c>
      <c r="D14" t="n">
        <v>65</v>
      </c>
      <c r="E14" t="n">
        <v>205</v>
      </c>
      <c r="F14" t="n">
        <v>75</v>
      </c>
      <c r="G14" t="n">
        <v>0</v>
      </c>
      <c r="H14" t="n">
        <v>0</v>
      </c>
      <c r="I14" t="n">
        <v>0</v>
      </c>
      <c r="J14" t="n">
        <v>0</v>
      </c>
      <c r="K14" t="n">
        <v>345</v>
      </c>
      <c r="L14" t="n">
        <v>140</v>
      </c>
      <c r="M14" t="n">
        <v>36.6</v>
      </c>
      <c r="N14" t="n">
        <v>40.6</v>
      </c>
    </row>
    <row r="15">
      <c r="A15" t="inlineStr">
        <is>
          <t>Otdar Meanchey</t>
        </is>
      </c>
      <c r="B15" t="n">
        <v>6</v>
      </c>
      <c r="C15" t="n">
        <v>272</v>
      </c>
      <c r="D15" t="n">
        <v>114</v>
      </c>
      <c r="E15" t="n">
        <v>1201</v>
      </c>
      <c r="F15" t="n">
        <v>548</v>
      </c>
      <c r="G15" t="n">
        <v>0</v>
      </c>
      <c r="H15" t="n">
        <v>0</v>
      </c>
      <c r="I15" t="n">
        <v>0</v>
      </c>
      <c r="J15" t="n">
        <v>0</v>
      </c>
      <c r="K15" t="n">
        <v>1473</v>
      </c>
      <c r="L15" t="n">
        <v>662</v>
      </c>
      <c r="M15" t="n">
        <v>45.6</v>
      </c>
      <c r="N15" t="n">
        <v>44.9</v>
      </c>
    </row>
    <row r="16">
      <c r="A16" t="inlineStr">
        <is>
          <t>Pailin</t>
        </is>
      </c>
      <c r="B16" t="n">
        <v>18</v>
      </c>
      <c r="C16" t="n">
        <v>718</v>
      </c>
      <c r="D16" t="n">
        <v>335</v>
      </c>
      <c r="E16" t="n">
        <v>1527</v>
      </c>
      <c r="F16" t="n">
        <v>763</v>
      </c>
      <c r="G16" t="n">
        <v>0</v>
      </c>
      <c r="H16" t="n">
        <v>0</v>
      </c>
      <c r="I16" t="n">
        <v>0</v>
      </c>
      <c r="J16" t="n">
        <v>0</v>
      </c>
      <c r="K16" t="n">
        <v>2245</v>
      </c>
      <c r="L16" t="n">
        <v>1098</v>
      </c>
      <c r="M16" t="n">
        <v>50</v>
      </c>
      <c r="N16" t="n">
        <v>48.9</v>
      </c>
    </row>
    <row r="17">
      <c r="A17" t="inlineStr">
        <is>
          <t>Phnom Penh</t>
        </is>
      </c>
      <c r="B17" t="n">
        <v>530</v>
      </c>
      <c r="C17" t="n">
        <v>19816</v>
      </c>
      <c r="D17" t="n">
        <v>9839</v>
      </c>
      <c r="E17" t="n">
        <v>57571</v>
      </c>
      <c r="F17" t="n">
        <v>28851</v>
      </c>
      <c r="G17" t="n">
        <v>13823</v>
      </c>
      <c r="H17" t="n">
        <v>6985</v>
      </c>
      <c r="I17" t="n">
        <v>10077</v>
      </c>
      <c r="J17" t="n">
        <v>5102</v>
      </c>
      <c r="K17" t="n">
        <v>101287</v>
      </c>
      <c r="L17" t="n">
        <v>50777</v>
      </c>
      <c r="M17" t="n">
        <v>50.1</v>
      </c>
      <c r="N17" t="n">
        <v>50.1</v>
      </c>
    </row>
    <row r="18">
      <c r="A18" t="inlineStr">
        <is>
          <t>Preah Sihanouk</t>
        </is>
      </c>
      <c r="B18" t="n">
        <v>45</v>
      </c>
      <c r="C18" t="n">
        <v>2542</v>
      </c>
      <c r="D18" t="n">
        <v>1271</v>
      </c>
      <c r="E18" t="n">
        <v>4223</v>
      </c>
      <c r="F18" t="n">
        <v>2029</v>
      </c>
      <c r="G18" t="n">
        <v>1331</v>
      </c>
      <c r="H18" t="n">
        <v>643</v>
      </c>
      <c r="I18" t="n">
        <v>842</v>
      </c>
      <c r="J18" t="n">
        <v>384</v>
      </c>
      <c r="K18" t="n">
        <v>8938</v>
      </c>
      <c r="L18" t="n">
        <v>4327</v>
      </c>
      <c r="M18" t="n">
        <v>48</v>
      </c>
      <c r="N18" t="n">
        <v>48.4</v>
      </c>
    </row>
    <row r="19">
      <c r="A19" t="inlineStr">
        <is>
          <t>Preah Vihear</t>
        </is>
      </c>
      <c r="B19" t="n">
        <v>4</v>
      </c>
      <c r="C19" t="n">
        <v>79</v>
      </c>
      <c r="D19" t="n">
        <v>47</v>
      </c>
      <c r="E19" t="n">
        <v>186</v>
      </c>
      <c r="F19" t="n">
        <v>76</v>
      </c>
      <c r="G19" t="n">
        <v>0</v>
      </c>
      <c r="H19" t="n">
        <v>0</v>
      </c>
      <c r="I19" t="n">
        <v>0</v>
      </c>
      <c r="J19" t="n">
        <v>0</v>
      </c>
      <c r="K19" t="n">
        <v>265</v>
      </c>
      <c r="L19" t="n">
        <v>123</v>
      </c>
      <c r="M19" t="n">
        <v>40.9</v>
      </c>
      <c r="N19" t="n">
        <v>46.4</v>
      </c>
    </row>
    <row r="20">
      <c r="A20" t="inlineStr">
        <is>
          <t>Prey Veng</t>
        </is>
      </c>
      <c r="B20" t="n">
        <v>7</v>
      </c>
      <c r="C20" t="n">
        <v>138</v>
      </c>
      <c r="D20" t="n">
        <v>81</v>
      </c>
      <c r="E20" t="n">
        <v>78</v>
      </c>
      <c r="F20" t="n">
        <v>47</v>
      </c>
      <c r="G20" t="n">
        <v>0</v>
      </c>
      <c r="H20" t="n">
        <v>0</v>
      </c>
      <c r="I20" t="n">
        <v>133</v>
      </c>
      <c r="J20" t="n">
        <v>78</v>
      </c>
      <c r="K20" t="n">
        <v>349</v>
      </c>
      <c r="L20" t="n">
        <v>206</v>
      </c>
      <c r="M20" t="n">
        <v>60.3</v>
      </c>
      <c r="N20" t="n">
        <v>59</v>
      </c>
    </row>
    <row r="21">
      <c r="A21" t="inlineStr">
        <is>
          <t>Pursat</t>
        </is>
      </c>
      <c r="B21" t="n">
        <v>8</v>
      </c>
      <c r="C21" t="n">
        <v>1019</v>
      </c>
      <c r="D21" t="n">
        <v>505</v>
      </c>
      <c r="E21" t="n">
        <v>1031</v>
      </c>
      <c r="F21" t="n">
        <v>559</v>
      </c>
      <c r="G21" t="n">
        <v>0</v>
      </c>
      <c r="H21" t="n">
        <v>0</v>
      </c>
      <c r="I21" t="n">
        <v>0</v>
      </c>
      <c r="J21" t="n">
        <v>0</v>
      </c>
      <c r="K21" t="n">
        <v>2050</v>
      </c>
      <c r="L21" t="n">
        <v>1064</v>
      </c>
      <c r="M21" t="n">
        <v>54.2</v>
      </c>
      <c r="N21" t="n">
        <v>51.9</v>
      </c>
    </row>
    <row r="22">
      <c r="A22" t="inlineStr">
        <is>
          <t>Ratanak Kiri</t>
        </is>
      </c>
      <c r="B22" t="n">
        <v>14</v>
      </c>
      <c r="C22" t="n">
        <v>1269</v>
      </c>
      <c r="D22" t="n">
        <v>415</v>
      </c>
      <c r="E22" t="n">
        <v>1733</v>
      </c>
      <c r="F22" t="n">
        <v>814</v>
      </c>
      <c r="G22" t="n">
        <v>322</v>
      </c>
      <c r="H22" t="n">
        <v>128</v>
      </c>
      <c r="I22" t="n">
        <v>149</v>
      </c>
      <c r="J22" t="n">
        <v>74</v>
      </c>
      <c r="K22" t="n">
        <v>3473</v>
      </c>
      <c r="L22" t="n">
        <v>1431</v>
      </c>
      <c r="M22" t="n">
        <v>47</v>
      </c>
      <c r="N22" t="n">
        <v>41.2</v>
      </c>
    </row>
    <row r="23">
      <c r="A23" t="inlineStr">
        <is>
          <t>Siemreap</t>
        </is>
      </c>
      <c r="B23" t="n">
        <v>102</v>
      </c>
      <c r="C23" t="n">
        <v>6530</v>
      </c>
      <c r="D23" t="n">
        <v>3265</v>
      </c>
      <c r="E23" t="n">
        <v>6197</v>
      </c>
      <c r="F23" t="n">
        <v>2954</v>
      </c>
      <c r="G23" t="n">
        <v>1557</v>
      </c>
      <c r="H23" t="n">
        <v>763</v>
      </c>
      <c r="I23" t="n">
        <v>920</v>
      </c>
      <c r="J23" t="n">
        <v>455</v>
      </c>
      <c r="K23" t="n">
        <v>15204</v>
      </c>
      <c r="L23" t="n">
        <v>7437</v>
      </c>
      <c r="M23" t="n">
        <v>47.7</v>
      </c>
      <c r="N23" t="n">
        <v>48.9</v>
      </c>
    </row>
    <row r="24">
      <c r="A24" t="inlineStr">
        <is>
          <t>Stung Treng</t>
        </is>
      </c>
      <c r="B24" t="n">
        <v>4</v>
      </c>
      <c r="C24" t="n">
        <v>108</v>
      </c>
      <c r="D24" t="n">
        <v>60</v>
      </c>
      <c r="E24" t="n">
        <v>154</v>
      </c>
      <c r="F24" t="n">
        <v>62</v>
      </c>
      <c r="G24" t="n">
        <v>8</v>
      </c>
      <c r="H24" t="n">
        <v>3</v>
      </c>
      <c r="I24" t="n">
        <v>13</v>
      </c>
      <c r="J24" t="n">
        <v>7</v>
      </c>
      <c r="K24" t="n">
        <v>283</v>
      </c>
      <c r="L24" t="n">
        <v>132</v>
      </c>
      <c r="M24" t="n">
        <v>40.3</v>
      </c>
      <c r="N24" t="n">
        <v>46.6</v>
      </c>
    </row>
    <row r="25">
      <c r="A25" t="inlineStr">
        <is>
          <t>Svay Rieng</t>
        </is>
      </c>
      <c r="B25" t="n">
        <v>6</v>
      </c>
      <c r="C25" t="n">
        <v>106</v>
      </c>
      <c r="D25" t="n">
        <v>46</v>
      </c>
      <c r="E25" t="n">
        <v>198</v>
      </c>
      <c r="F25" t="n">
        <v>95</v>
      </c>
      <c r="G25" t="n">
        <v>0</v>
      </c>
      <c r="H25" t="n">
        <v>0</v>
      </c>
      <c r="I25" t="n">
        <v>0</v>
      </c>
      <c r="J25" t="n">
        <v>0</v>
      </c>
      <c r="K25" t="n">
        <v>304</v>
      </c>
      <c r="L25" t="n">
        <v>141</v>
      </c>
      <c r="M25" t="n">
        <v>48</v>
      </c>
      <c r="N25" t="n">
        <v>46.4</v>
      </c>
    </row>
    <row r="26">
      <c r="A26" t="inlineStr">
        <is>
          <t>Takeo</t>
        </is>
      </c>
      <c r="B26" t="n">
        <v>24</v>
      </c>
      <c r="C26" t="n">
        <v>593</v>
      </c>
      <c r="D26" t="n">
        <v>282</v>
      </c>
      <c r="E26" t="n">
        <v>1640</v>
      </c>
      <c r="F26" t="n">
        <v>767</v>
      </c>
      <c r="G26" t="n">
        <v>380</v>
      </c>
      <c r="H26" t="n">
        <v>155</v>
      </c>
      <c r="I26" t="n">
        <v>247</v>
      </c>
      <c r="J26" t="n">
        <v>132</v>
      </c>
      <c r="K26" t="n">
        <v>2860</v>
      </c>
      <c r="L26" t="n">
        <v>1336</v>
      </c>
      <c r="M26" t="n">
        <v>46.8</v>
      </c>
      <c r="N26" t="n">
        <v>46.7</v>
      </c>
    </row>
    <row r="27">
      <c r="A27" t="inlineStr">
        <is>
          <t>Tbaung Khmum</t>
        </is>
      </c>
      <c r="B27" t="n">
        <v>27</v>
      </c>
      <c r="C27" t="n">
        <v>1107</v>
      </c>
      <c r="D27" t="n">
        <v>589</v>
      </c>
      <c r="E27" t="n">
        <v>1937</v>
      </c>
      <c r="F27" t="n">
        <v>1063</v>
      </c>
      <c r="G27" t="n">
        <v>915</v>
      </c>
      <c r="H27" t="n">
        <v>709</v>
      </c>
      <c r="I27" t="n">
        <v>349</v>
      </c>
      <c r="J27" t="n">
        <v>265</v>
      </c>
      <c r="K27" t="n">
        <v>4308</v>
      </c>
      <c r="L27" t="n">
        <v>2626</v>
      </c>
      <c r="M27" t="n">
        <v>54.9</v>
      </c>
      <c r="N27" t="n">
        <v>61</v>
      </c>
    </row>
    <row r="28">
      <c r="A28" t="inlineStr">
        <is>
          <t>Whole Kingdom</t>
        </is>
      </c>
      <c r="B28" t="n">
        <v>1222</v>
      </c>
      <c r="C28" t="n">
        <v>48318</v>
      </c>
      <c r="D28" t="n">
        <v>23849</v>
      </c>
      <c r="E28" t="n">
        <v>122886</v>
      </c>
      <c r="F28" t="n">
        <v>61136</v>
      </c>
      <c r="G28" t="n">
        <v>28451</v>
      </c>
      <c r="H28" t="n">
        <v>14139</v>
      </c>
      <c r="I28" t="n">
        <v>18702</v>
      </c>
      <c r="J28" t="n">
        <v>9456</v>
      </c>
      <c r="K28" t="n">
        <v>218357</v>
      </c>
      <c r="L28" t="n">
        <v>108580</v>
      </c>
      <c r="M28" t="n">
        <v>49.8</v>
      </c>
      <c r="N28" t="n">
        <v>49.7</v>
      </c>
    </row>
    <row r="29">
      <c r="A29" t="inlineStr">
        <is>
          <t>- Urban Area</t>
        </is>
      </c>
      <c r="B29" t="n">
        <v>994</v>
      </c>
      <c r="C29" t="n">
        <v>41048</v>
      </c>
      <c r="D29" t="n">
        <v>20118</v>
      </c>
      <c r="E29" t="n">
        <v>100436</v>
      </c>
      <c r="F29" t="n">
        <v>49709</v>
      </c>
      <c r="G29" t="n">
        <v>24293</v>
      </c>
      <c r="H29" t="n">
        <v>12017</v>
      </c>
      <c r="I29" t="n">
        <v>17069</v>
      </c>
      <c r="J29" t="n">
        <v>8637</v>
      </c>
      <c r="K29" t="n">
        <v>182846</v>
      </c>
      <c r="L29" t="n">
        <v>90481</v>
      </c>
      <c r="M29" t="n">
        <v>49.5</v>
      </c>
      <c r="N29" t="n">
        <v>49.5</v>
      </c>
    </row>
    <row r="30">
      <c r="A30" t="inlineStr">
        <is>
          <t>- Rural Area</t>
        </is>
      </c>
      <c r="B30" t="n">
        <v>228</v>
      </c>
      <c r="C30" t="n">
        <v>7270</v>
      </c>
      <c r="D30" t="n">
        <v>3731</v>
      </c>
      <c r="E30" t="n">
        <v>22450</v>
      </c>
      <c r="F30" t="n">
        <v>11427</v>
      </c>
      <c r="G30" t="n">
        <v>4158</v>
      </c>
      <c r="H30" t="n">
        <v>2122</v>
      </c>
      <c r="I30" t="n">
        <v>1633</v>
      </c>
      <c r="J30" t="n">
        <v>819</v>
      </c>
      <c r="K30" t="n">
        <v>35511</v>
      </c>
      <c r="L30" t="n">
        <v>18099</v>
      </c>
      <c r="M30" t="n">
        <v>50.9</v>
      </c>
      <c r="N30" t="n">
        <v>51</v>
      </c>
    </row>
  </sheetData>
  <mergeCells count="8">
    <mergeCell ref="C1:D1"/>
    <mergeCell ref="G1:H1"/>
    <mergeCell ref="E1:F1"/>
    <mergeCell ref="K1:L1"/>
    <mergeCell ref="B1:B2"/>
    <mergeCell ref="M1:N1"/>
    <mergeCell ref="I1:J1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B9BD5"/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20.1640625" customWidth="1" min="1" max="1"/>
    <col width="9.5" customWidth="1" min="2" max="2"/>
    <col width="10.83203125" customWidth="1" min="4" max="4"/>
    <col width="9.5" customWidth="1" min="5" max="5"/>
    <col width="9.33203125" customWidth="1" min="6" max="6"/>
    <col width="9.5" customWidth="1" min="7" max="7"/>
    <col width="9.33203125" customWidth="1" min="9" max="9"/>
    <col width="9.5" customWidth="1" min="10" max="10"/>
    <col width="9.33203125" customWidth="1" min="12" max="12"/>
    <col width="9.5" customWidth="1" min="13" max="13"/>
    <col width="9.33203125" customWidth="1" min="16" max="16"/>
  </cols>
  <sheetData>
    <row r="1">
      <c r="A1" t="inlineStr">
        <is>
          <t>Table 1: Schools, Classes, Students and Staff</t>
        </is>
      </c>
      <c r="B1" t="inlineStr">
        <is>
          <t>Grade 1</t>
        </is>
      </c>
      <c r="D1" t="inlineStr">
        <is>
          <t>Primary Enrollment</t>
        </is>
      </c>
      <c r="F1" t="inlineStr">
        <is>
          <t>New Grade 7</t>
        </is>
      </c>
      <c r="H1" t="inlineStr">
        <is>
          <t>L.Sec. Enrollment</t>
        </is>
      </c>
      <c r="J1" t="inlineStr">
        <is>
          <t>New Grade 10</t>
        </is>
      </c>
      <c r="L1" t="inlineStr">
        <is>
          <t>U. Sec. Enrollment</t>
        </is>
      </c>
      <c r="N1" t="inlineStr">
        <is>
          <t>%Over-age Enrollment in</t>
        </is>
      </c>
    </row>
    <row r="2">
      <c r="B2" t="inlineStr">
        <is>
          <t>Total</t>
        </is>
      </c>
      <c r="C2" t="inlineStr">
        <is>
          <t>Aged 6</t>
        </is>
      </c>
      <c r="D2" t="inlineStr">
        <is>
          <t>Total</t>
        </is>
      </c>
      <c r="E2" t="inlineStr">
        <is>
          <t>Aged 11+</t>
        </is>
      </c>
      <c r="F2" t="inlineStr">
        <is>
          <t>Total</t>
        </is>
      </c>
      <c r="G2" t="inlineStr">
        <is>
          <t>Aged 12</t>
        </is>
      </c>
      <c r="H2" t="inlineStr">
        <is>
          <t>Total</t>
        </is>
      </c>
      <c r="I2" t="inlineStr">
        <is>
          <t>Aged 14+</t>
        </is>
      </c>
      <c r="J2" t="inlineStr">
        <is>
          <t>Total</t>
        </is>
      </c>
      <c r="K2" t="inlineStr">
        <is>
          <t>Aged 15</t>
        </is>
      </c>
      <c r="L2" t="inlineStr">
        <is>
          <t>Total</t>
        </is>
      </c>
      <c r="M2" t="inlineStr">
        <is>
          <t>Age 17+</t>
        </is>
      </c>
      <c r="N2" t="inlineStr">
        <is>
          <t>Primary</t>
        </is>
      </c>
      <c r="O2" t="inlineStr">
        <is>
          <t>L.Sec.</t>
        </is>
      </c>
      <c r="P2" t="inlineStr">
        <is>
          <t>U.sec.</t>
        </is>
      </c>
    </row>
    <row r="3">
      <c r="A3" t="inlineStr">
        <is>
          <t>Banteay Meanchey</t>
        </is>
      </c>
      <c r="B3" t="n">
        <v>3113</v>
      </c>
      <c r="C3" t="n">
        <v>1953</v>
      </c>
      <c r="D3" t="n">
        <v>14332</v>
      </c>
      <c r="E3" t="n">
        <v>1304</v>
      </c>
      <c r="F3" t="n">
        <v>1217</v>
      </c>
      <c r="G3" t="n">
        <v>732</v>
      </c>
      <c r="H3" t="n">
        <v>2917</v>
      </c>
      <c r="I3" t="n">
        <v>536</v>
      </c>
      <c r="J3" t="n">
        <v>515</v>
      </c>
      <c r="K3" t="n">
        <v>348</v>
      </c>
      <c r="L3" t="n">
        <v>1300</v>
      </c>
      <c r="M3" t="n">
        <v>194</v>
      </c>
      <c r="N3" t="n">
        <v>9.1</v>
      </c>
      <c r="O3" t="n">
        <v>18.4</v>
      </c>
      <c r="P3" t="n">
        <v>14.9</v>
      </c>
    </row>
    <row r="4">
      <c r="A4" t="inlineStr">
        <is>
          <t>Battambang</t>
        </is>
      </c>
      <c r="B4" t="n">
        <v>1025</v>
      </c>
      <c r="C4" t="n">
        <v>573</v>
      </c>
      <c r="D4" t="n">
        <v>4348</v>
      </c>
      <c r="E4" t="n">
        <v>531</v>
      </c>
      <c r="F4" t="n">
        <v>531</v>
      </c>
      <c r="G4" t="n">
        <v>364</v>
      </c>
      <c r="H4" t="n">
        <v>1661</v>
      </c>
      <c r="I4" t="n">
        <v>292</v>
      </c>
      <c r="J4" t="n">
        <v>535</v>
      </c>
      <c r="K4" t="n">
        <v>367</v>
      </c>
      <c r="L4" t="n">
        <v>1522</v>
      </c>
      <c r="M4" t="n">
        <v>278</v>
      </c>
      <c r="N4" t="n">
        <v>12.2</v>
      </c>
      <c r="O4" t="n">
        <v>17.6</v>
      </c>
      <c r="P4" t="n">
        <v>18.3</v>
      </c>
    </row>
    <row r="5">
      <c r="A5" t="inlineStr">
        <is>
          <t>Kampong Cham</t>
        </is>
      </c>
      <c r="B5" t="n">
        <v>513</v>
      </c>
      <c r="C5" t="n">
        <v>248</v>
      </c>
      <c r="D5" t="n">
        <v>2532</v>
      </c>
      <c r="E5" t="n">
        <v>605</v>
      </c>
      <c r="F5" t="n">
        <v>157</v>
      </c>
      <c r="G5" t="n">
        <v>109</v>
      </c>
      <c r="H5" t="n">
        <v>407</v>
      </c>
      <c r="I5" t="n">
        <v>55</v>
      </c>
      <c r="J5" t="n">
        <v>88</v>
      </c>
      <c r="K5" t="n">
        <v>64</v>
      </c>
      <c r="L5" t="n">
        <v>218</v>
      </c>
      <c r="M5" t="n">
        <v>17</v>
      </c>
      <c r="N5" t="n">
        <v>23.9</v>
      </c>
      <c r="O5" t="n">
        <v>13.5</v>
      </c>
      <c r="P5" t="n">
        <v>7.8</v>
      </c>
    </row>
    <row r="6">
      <c r="A6" t="inlineStr">
        <is>
          <t>Kampong Chhnang</t>
        </is>
      </c>
      <c r="B6" t="n">
        <v>496</v>
      </c>
      <c r="C6" t="n">
        <v>459</v>
      </c>
      <c r="D6" t="n">
        <v>1905</v>
      </c>
      <c r="E6" t="n">
        <v>56</v>
      </c>
      <c r="F6" t="n">
        <v>206</v>
      </c>
      <c r="G6" t="n">
        <v>95</v>
      </c>
      <c r="H6" t="n">
        <v>608</v>
      </c>
      <c r="I6" t="n">
        <v>150</v>
      </c>
      <c r="J6" t="n">
        <v>117</v>
      </c>
      <c r="K6" t="n">
        <v>59</v>
      </c>
      <c r="L6" t="n">
        <v>460</v>
      </c>
      <c r="M6" t="n">
        <v>65</v>
      </c>
      <c r="N6" t="n">
        <v>2.9</v>
      </c>
      <c r="O6" t="n">
        <v>24.7</v>
      </c>
      <c r="P6" t="n">
        <v>14.1</v>
      </c>
    </row>
    <row r="7">
      <c r="A7" t="inlineStr">
        <is>
          <t>Kampong Speu</t>
        </is>
      </c>
      <c r="B7" t="n">
        <v>1062</v>
      </c>
      <c r="C7" t="n">
        <v>658</v>
      </c>
      <c r="D7" t="n">
        <v>4276</v>
      </c>
      <c r="E7" t="n">
        <v>850</v>
      </c>
      <c r="F7" t="n">
        <v>284</v>
      </c>
      <c r="G7" t="n">
        <v>138</v>
      </c>
      <c r="H7" t="n">
        <v>740</v>
      </c>
      <c r="I7" t="n">
        <v>207</v>
      </c>
      <c r="J7" t="n">
        <v>105</v>
      </c>
      <c r="K7" t="n">
        <v>58</v>
      </c>
      <c r="L7" t="n">
        <v>201</v>
      </c>
      <c r="M7" t="n">
        <v>22</v>
      </c>
      <c r="N7" t="n">
        <v>19.9</v>
      </c>
      <c r="O7" t="n">
        <v>28</v>
      </c>
      <c r="P7" t="n">
        <v>10.9</v>
      </c>
    </row>
    <row r="8">
      <c r="A8" t="inlineStr">
        <is>
          <t>Kampong Thom</t>
        </is>
      </c>
      <c r="B8" t="n">
        <v>232</v>
      </c>
      <c r="C8" t="n">
        <v>119</v>
      </c>
      <c r="D8" t="n">
        <v>1049</v>
      </c>
      <c r="E8" t="n">
        <v>117</v>
      </c>
      <c r="F8" t="n">
        <v>71</v>
      </c>
      <c r="G8" t="n">
        <v>30</v>
      </c>
      <c r="H8" t="n">
        <v>210</v>
      </c>
      <c r="I8" t="n">
        <v>96</v>
      </c>
      <c r="J8" t="n">
        <v>55</v>
      </c>
      <c r="K8" t="n">
        <v>20</v>
      </c>
      <c r="L8" t="n">
        <v>98</v>
      </c>
      <c r="M8" t="n">
        <v>34</v>
      </c>
      <c r="N8" t="n">
        <v>11.2</v>
      </c>
      <c r="O8" t="n">
        <v>45.7</v>
      </c>
      <c r="P8" t="n">
        <v>34.7</v>
      </c>
    </row>
    <row r="9">
      <c r="A9" t="inlineStr">
        <is>
          <t>Kampot</t>
        </is>
      </c>
      <c r="B9" t="n">
        <v>2026</v>
      </c>
      <c r="C9" t="n">
        <v>473</v>
      </c>
      <c r="D9" t="n">
        <v>6234</v>
      </c>
      <c r="E9" t="n">
        <v>2487</v>
      </c>
      <c r="F9" t="n">
        <v>558</v>
      </c>
      <c r="G9" t="n">
        <v>292</v>
      </c>
      <c r="H9" t="n">
        <v>1337</v>
      </c>
      <c r="I9" t="n">
        <v>364</v>
      </c>
      <c r="J9" t="n">
        <v>369</v>
      </c>
      <c r="K9" t="n">
        <v>270</v>
      </c>
      <c r="L9" t="n">
        <v>1019</v>
      </c>
      <c r="M9" t="n">
        <v>153</v>
      </c>
      <c r="N9" t="n">
        <v>39.9</v>
      </c>
      <c r="O9" t="n">
        <v>27.2</v>
      </c>
      <c r="P9" t="n">
        <v>15</v>
      </c>
    </row>
    <row r="10">
      <c r="A10" t="inlineStr">
        <is>
          <t>Kandal</t>
        </is>
      </c>
      <c r="B10" t="n">
        <v>1483</v>
      </c>
      <c r="C10" t="n">
        <v>651</v>
      </c>
      <c r="D10" t="n">
        <v>5683</v>
      </c>
      <c r="E10" t="n">
        <v>1100</v>
      </c>
      <c r="F10" t="n">
        <v>751</v>
      </c>
      <c r="G10" t="n">
        <v>405</v>
      </c>
      <c r="H10" t="n">
        <v>1903</v>
      </c>
      <c r="I10" t="n">
        <v>331</v>
      </c>
      <c r="J10" t="n">
        <v>404</v>
      </c>
      <c r="K10" t="n">
        <v>307</v>
      </c>
      <c r="L10" t="n">
        <v>1137</v>
      </c>
      <c r="M10" t="n">
        <v>191</v>
      </c>
      <c r="N10" t="n">
        <v>19.4</v>
      </c>
      <c r="O10" t="n">
        <v>17.4</v>
      </c>
      <c r="P10" t="n">
        <v>16.8</v>
      </c>
    </row>
    <row r="11">
      <c r="A11" t="inlineStr">
        <is>
          <t>Kep</t>
        </is>
      </c>
      <c r="B11" t="n">
        <v>289</v>
      </c>
      <c r="C11" t="n">
        <v>0</v>
      </c>
      <c r="D11" t="n">
        <v>715</v>
      </c>
      <c r="E11" t="n">
        <v>596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83.40000000000001</v>
      </c>
      <c r="O11" t="n">
        <v>0</v>
      </c>
      <c r="P11" t="n">
        <v>0</v>
      </c>
    </row>
    <row r="12">
      <c r="A12" t="inlineStr">
        <is>
          <t>Koh Kong</t>
        </is>
      </c>
      <c r="B12" t="n">
        <v>720</v>
      </c>
      <c r="C12" t="n">
        <v>286</v>
      </c>
      <c r="D12" t="n">
        <v>2594</v>
      </c>
      <c r="E12" t="n">
        <v>420</v>
      </c>
      <c r="F12" t="n">
        <v>137</v>
      </c>
      <c r="G12" t="n">
        <v>79</v>
      </c>
      <c r="H12" t="n">
        <v>332</v>
      </c>
      <c r="I12" t="n">
        <v>49</v>
      </c>
      <c r="J12" t="n">
        <v>17</v>
      </c>
      <c r="K12" t="n">
        <v>14</v>
      </c>
      <c r="L12" t="n">
        <v>17</v>
      </c>
      <c r="M12" t="n">
        <v>0</v>
      </c>
      <c r="N12" t="n">
        <v>16.2</v>
      </c>
      <c r="O12" t="n">
        <v>14.8</v>
      </c>
      <c r="P12" t="n">
        <v>0</v>
      </c>
    </row>
    <row r="13">
      <c r="A13" t="inlineStr">
        <is>
          <t>Kratie</t>
        </is>
      </c>
      <c r="B13" t="n">
        <v>753</v>
      </c>
      <c r="C13" t="n">
        <v>36</v>
      </c>
      <c r="D13" t="n">
        <v>1337</v>
      </c>
      <c r="E13" t="n">
        <v>1034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77.3</v>
      </c>
      <c r="O13" t="n">
        <v>0</v>
      </c>
      <c r="P13" t="n">
        <v>0</v>
      </c>
    </row>
    <row r="14">
      <c r="A14" t="inlineStr">
        <is>
          <t>Mondul Kiri</t>
        </is>
      </c>
      <c r="B14" t="n">
        <v>66</v>
      </c>
      <c r="C14" t="n">
        <v>34</v>
      </c>
      <c r="D14" t="n">
        <v>205</v>
      </c>
      <c r="E14" t="n">
        <v>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8.300000000000001</v>
      </c>
      <c r="O14" t="n">
        <v>0</v>
      </c>
      <c r="P14" t="n">
        <v>0</v>
      </c>
    </row>
    <row r="15">
      <c r="A15" t="inlineStr">
        <is>
          <t>Otdar Meanchey</t>
        </is>
      </c>
      <c r="B15" t="n">
        <v>306</v>
      </c>
      <c r="C15" t="n">
        <v>233</v>
      </c>
      <c r="D15" t="n">
        <v>1201</v>
      </c>
      <c r="E15" t="n">
        <v>30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2.5</v>
      </c>
      <c r="O15" t="n">
        <v>0</v>
      </c>
      <c r="P15" t="n">
        <v>0</v>
      </c>
    </row>
    <row r="16">
      <c r="A16" t="inlineStr">
        <is>
          <t>Pailin</t>
        </is>
      </c>
      <c r="B16" t="n">
        <v>411</v>
      </c>
      <c r="C16" t="n">
        <v>297</v>
      </c>
      <c r="D16" t="n">
        <v>1527</v>
      </c>
      <c r="E16" t="n">
        <v>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</v>
      </c>
      <c r="O16" t="n">
        <v>0</v>
      </c>
      <c r="P16" t="n">
        <v>0</v>
      </c>
    </row>
    <row r="17">
      <c r="A17" t="inlineStr">
        <is>
          <t>Phnom Penh</t>
        </is>
      </c>
      <c r="B17" t="n">
        <v>12600</v>
      </c>
      <c r="C17" t="n">
        <v>9478</v>
      </c>
      <c r="D17" t="n">
        <v>57571</v>
      </c>
      <c r="E17" t="n">
        <v>4047</v>
      </c>
      <c r="F17" t="n">
        <v>4929</v>
      </c>
      <c r="G17" t="n">
        <v>3614</v>
      </c>
      <c r="H17" t="n">
        <v>13823</v>
      </c>
      <c r="I17" t="n">
        <v>1646</v>
      </c>
      <c r="J17" t="n">
        <v>3710</v>
      </c>
      <c r="K17" t="n">
        <v>2794</v>
      </c>
      <c r="L17" t="n">
        <v>10077</v>
      </c>
      <c r="M17" t="n">
        <v>1151</v>
      </c>
      <c r="N17" t="n">
        <v>7</v>
      </c>
      <c r="O17" t="n">
        <v>11.9</v>
      </c>
      <c r="P17" t="n">
        <v>11.4</v>
      </c>
    </row>
    <row r="18">
      <c r="A18" t="inlineStr">
        <is>
          <t>Preah Sihanouk</t>
        </is>
      </c>
      <c r="B18" t="n">
        <v>926</v>
      </c>
      <c r="C18" t="n">
        <v>421</v>
      </c>
      <c r="D18" t="n">
        <v>4223</v>
      </c>
      <c r="E18" t="n">
        <v>577</v>
      </c>
      <c r="F18" t="n">
        <v>484</v>
      </c>
      <c r="G18" t="n">
        <v>329</v>
      </c>
      <c r="H18" t="n">
        <v>1331</v>
      </c>
      <c r="I18" t="n">
        <v>217</v>
      </c>
      <c r="J18" t="n">
        <v>317</v>
      </c>
      <c r="K18" t="n">
        <v>213</v>
      </c>
      <c r="L18" t="n">
        <v>842</v>
      </c>
      <c r="M18" t="n">
        <v>132</v>
      </c>
      <c r="N18" t="n">
        <v>13.7</v>
      </c>
      <c r="O18" t="n">
        <v>16.3</v>
      </c>
      <c r="P18" t="n">
        <v>15.7</v>
      </c>
    </row>
    <row r="19">
      <c r="A19" t="inlineStr">
        <is>
          <t>Preah Vihear</t>
        </is>
      </c>
      <c r="B19" t="n">
        <v>63</v>
      </c>
      <c r="C19" t="n">
        <v>43</v>
      </c>
      <c r="D19" t="n">
        <v>186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4.3</v>
      </c>
      <c r="O19" t="n">
        <v>0</v>
      </c>
      <c r="P19" t="n">
        <v>0</v>
      </c>
    </row>
    <row r="20">
      <c r="A20" t="inlineStr">
        <is>
          <t>Prey Veng</t>
        </is>
      </c>
      <c r="B20" t="n">
        <v>23</v>
      </c>
      <c r="C20" t="n">
        <v>12</v>
      </c>
      <c r="D20" t="n">
        <v>78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45</v>
      </c>
      <c r="K20" t="n">
        <v>35</v>
      </c>
      <c r="L20" t="n">
        <v>133</v>
      </c>
      <c r="M20" t="n">
        <v>28</v>
      </c>
      <c r="N20" t="n">
        <v>2.6</v>
      </c>
      <c r="O20" t="n">
        <v>0</v>
      </c>
      <c r="P20" t="n">
        <v>21.1</v>
      </c>
    </row>
    <row r="21">
      <c r="A21" t="inlineStr">
        <is>
          <t>Pursat</t>
        </is>
      </c>
      <c r="B21" t="n">
        <v>436</v>
      </c>
      <c r="C21" t="n">
        <v>131</v>
      </c>
      <c r="D21" t="n">
        <v>1031</v>
      </c>
      <c r="E21" t="n">
        <v>234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22.7</v>
      </c>
      <c r="O21" t="n">
        <v>0</v>
      </c>
      <c r="P21" t="n">
        <v>0</v>
      </c>
    </row>
    <row r="22">
      <c r="A22" t="inlineStr">
        <is>
          <t>Ratanak Kiri</t>
        </is>
      </c>
      <c r="B22" t="n">
        <v>424</v>
      </c>
      <c r="C22" t="n">
        <v>354</v>
      </c>
      <c r="D22" t="n">
        <v>1733</v>
      </c>
      <c r="E22" t="n">
        <v>60</v>
      </c>
      <c r="F22" t="n">
        <v>125</v>
      </c>
      <c r="G22" t="n">
        <v>95</v>
      </c>
      <c r="H22" t="n">
        <v>322</v>
      </c>
      <c r="I22" t="n">
        <v>47</v>
      </c>
      <c r="J22" t="n">
        <v>49</v>
      </c>
      <c r="K22" t="n">
        <v>49</v>
      </c>
      <c r="L22" t="n">
        <v>149</v>
      </c>
      <c r="M22" t="n">
        <v>4</v>
      </c>
      <c r="N22" t="n">
        <v>3.5</v>
      </c>
      <c r="O22" t="n">
        <v>14.6</v>
      </c>
      <c r="P22" t="n">
        <v>2.7</v>
      </c>
    </row>
    <row r="23">
      <c r="A23" t="inlineStr">
        <is>
          <t>Siemreap</t>
        </is>
      </c>
      <c r="B23" t="n">
        <v>1557</v>
      </c>
      <c r="C23" t="n">
        <v>1012</v>
      </c>
      <c r="D23" t="n">
        <v>6197</v>
      </c>
      <c r="E23" t="n">
        <v>469</v>
      </c>
      <c r="F23" t="n">
        <v>575</v>
      </c>
      <c r="G23" t="n">
        <v>386</v>
      </c>
      <c r="H23" t="n">
        <v>1557</v>
      </c>
      <c r="I23" t="n">
        <v>254</v>
      </c>
      <c r="J23" t="n">
        <v>367</v>
      </c>
      <c r="K23" t="n">
        <v>255</v>
      </c>
      <c r="L23" t="n">
        <v>920</v>
      </c>
      <c r="M23" t="n">
        <v>171</v>
      </c>
      <c r="N23" t="n">
        <v>7.6</v>
      </c>
      <c r="O23" t="n">
        <v>16.3</v>
      </c>
      <c r="P23" t="n">
        <v>18.6</v>
      </c>
    </row>
    <row r="24">
      <c r="A24" t="inlineStr">
        <is>
          <t>Stung Treng</t>
        </is>
      </c>
      <c r="B24" t="n">
        <v>41</v>
      </c>
      <c r="C24" t="n">
        <v>23</v>
      </c>
      <c r="D24" t="n">
        <v>154</v>
      </c>
      <c r="E24" t="n">
        <v>9</v>
      </c>
      <c r="F24" t="n">
        <v>5</v>
      </c>
      <c r="G24" t="n">
        <v>2</v>
      </c>
      <c r="H24" t="n">
        <v>8</v>
      </c>
      <c r="I24" t="n">
        <v>0</v>
      </c>
      <c r="J24" t="n">
        <v>6</v>
      </c>
      <c r="K24" t="n">
        <v>3</v>
      </c>
      <c r="L24" t="n">
        <v>13</v>
      </c>
      <c r="M24" t="n">
        <v>5</v>
      </c>
      <c r="N24" t="n">
        <v>5.8</v>
      </c>
      <c r="O24" t="n">
        <v>0</v>
      </c>
      <c r="P24" t="n">
        <v>38.5</v>
      </c>
    </row>
    <row r="25">
      <c r="A25" t="inlineStr">
        <is>
          <t>Svay Rieng</t>
        </is>
      </c>
      <c r="B25" t="n">
        <v>72</v>
      </c>
      <c r="C25" t="n">
        <v>55</v>
      </c>
      <c r="D25" t="n">
        <v>198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2.5</v>
      </c>
      <c r="O25" t="n">
        <v>0</v>
      </c>
      <c r="P25" t="n">
        <v>0</v>
      </c>
    </row>
    <row r="26">
      <c r="A26" t="inlineStr">
        <is>
          <t>Takeo</t>
        </is>
      </c>
      <c r="B26" t="n">
        <v>469</v>
      </c>
      <c r="C26" t="n">
        <v>353</v>
      </c>
      <c r="D26" t="n">
        <v>1640</v>
      </c>
      <c r="E26" t="n">
        <v>50</v>
      </c>
      <c r="F26" t="n">
        <v>139</v>
      </c>
      <c r="G26" t="n">
        <v>113</v>
      </c>
      <c r="H26" t="n">
        <v>380</v>
      </c>
      <c r="I26" t="n">
        <v>23</v>
      </c>
      <c r="J26" t="n">
        <v>72</v>
      </c>
      <c r="K26" t="n">
        <v>53</v>
      </c>
      <c r="L26" t="n">
        <v>247</v>
      </c>
      <c r="M26" t="n">
        <v>22</v>
      </c>
      <c r="N26" t="n">
        <v>3</v>
      </c>
      <c r="O26" t="n">
        <v>6.1</v>
      </c>
      <c r="P26" t="n">
        <v>8.9</v>
      </c>
    </row>
    <row r="27">
      <c r="A27" t="inlineStr">
        <is>
          <t>Tbaung Khmum</t>
        </is>
      </c>
      <c r="B27" t="n">
        <v>430</v>
      </c>
      <c r="C27" t="n">
        <v>222</v>
      </c>
      <c r="D27" t="n">
        <v>1937</v>
      </c>
      <c r="E27" t="n">
        <v>486</v>
      </c>
      <c r="F27" t="n">
        <v>447</v>
      </c>
      <c r="G27" t="n">
        <v>142</v>
      </c>
      <c r="H27" t="n">
        <v>915</v>
      </c>
      <c r="I27" t="n">
        <v>304</v>
      </c>
      <c r="J27" t="n">
        <v>125</v>
      </c>
      <c r="K27" t="n">
        <v>41</v>
      </c>
      <c r="L27" t="n">
        <v>349</v>
      </c>
      <c r="M27" t="n">
        <v>168</v>
      </c>
      <c r="N27" t="n">
        <v>25.1</v>
      </c>
      <c r="O27" t="n">
        <v>33.2</v>
      </c>
      <c r="P27" t="n">
        <v>48.1</v>
      </c>
    </row>
    <row r="28">
      <c r="A28" t="inlineStr">
        <is>
          <t>Whole Kingdom</t>
        </is>
      </c>
      <c r="B28" t="n">
        <v>29536</v>
      </c>
      <c r="C28" t="n">
        <v>18124</v>
      </c>
      <c r="D28" t="n">
        <v>122886</v>
      </c>
      <c r="E28" t="n">
        <v>15185</v>
      </c>
      <c r="F28" t="n">
        <v>10616</v>
      </c>
      <c r="G28" t="n">
        <v>6925</v>
      </c>
      <c r="H28" t="n">
        <v>28451</v>
      </c>
      <c r="I28" t="n">
        <v>4571</v>
      </c>
      <c r="J28" t="n">
        <v>6896</v>
      </c>
      <c r="K28" t="n">
        <v>4950</v>
      </c>
      <c r="L28" t="n">
        <v>18702</v>
      </c>
      <c r="M28" t="n">
        <v>2635</v>
      </c>
      <c r="N28" t="n">
        <v>12.4</v>
      </c>
      <c r="O28" t="n">
        <v>16.1</v>
      </c>
      <c r="P28" t="n">
        <v>14.1</v>
      </c>
    </row>
    <row r="29">
      <c r="A29" t="inlineStr">
        <is>
          <t>- Urban Area</t>
        </is>
      </c>
      <c r="B29" t="n">
        <v>23108</v>
      </c>
      <c r="C29" t="n">
        <v>15821</v>
      </c>
      <c r="D29" t="n">
        <v>100436</v>
      </c>
      <c r="E29" t="n">
        <v>8544</v>
      </c>
      <c r="F29" t="n">
        <v>8867</v>
      </c>
      <c r="G29" t="n">
        <v>6153</v>
      </c>
      <c r="H29" t="n">
        <v>24293</v>
      </c>
      <c r="I29" t="n">
        <v>3375</v>
      </c>
      <c r="J29" t="n">
        <v>6265</v>
      </c>
      <c r="K29" t="n">
        <v>4657</v>
      </c>
      <c r="L29" t="n">
        <v>17069</v>
      </c>
      <c r="M29" t="n">
        <v>2156</v>
      </c>
      <c r="N29" t="n">
        <v>8.5</v>
      </c>
      <c r="O29" t="n">
        <v>13.9</v>
      </c>
      <c r="P29" t="n">
        <v>12.6</v>
      </c>
    </row>
    <row r="30">
      <c r="A30" t="inlineStr">
        <is>
          <t>- Rural Area</t>
        </is>
      </c>
      <c r="B30" t="n">
        <v>6428</v>
      </c>
      <c r="C30" t="n">
        <v>2303</v>
      </c>
      <c r="D30" t="n">
        <v>22450</v>
      </c>
      <c r="E30" t="n">
        <v>6641</v>
      </c>
      <c r="F30" t="n">
        <v>1749</v>
      </c>
      <c r="G30" t="n">
        <v>772</v>
      </c>
      <c r="H30" t="n">
        <v>4158</v>
      </c>
      <c r="I30" t="n">
        <v>1196</v>
      </c>
      <c r="J30" t="n">
        <v>631</v>
      </c>
      <c r="K30" t="n">
        <v>293</v>
      </c>
      <c r="L30" t="n">
        <v>1633</v>
      </c>
      <c r="M30" t="n">
        <v>479</v>
      </c>
      <c r="N30" t="n">
        <v>29.6</v>
      </c>
      <c r="O30" t="n">
        <v>28.8</v>
      </c>
      <c r="P30" t="n">
        <v>29.3</v>
      </c>
    </row>
  </sheetData>
  <mergeCells count="8">
    <mergeCell ref="D1:E1"/>
    <mergeCell ref="H1:I1"/>
    <mergeCell ref="L1:M1"/>
    <mergeCell ref="J1:K1"/>
    <mergeCell ref="N1:P1"/>
    <mergeCell ref="B1:C1"/>
    <mergeCell ref="F1:G1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B9BD5"/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20.5" customWidth="1" min="1" max="1"/>
    <col width="9.83203125" customWidth="1" min="2" max="2"/>
    <col width="9.5" customWidth="1" min="3" max="3"/>
    <col width="9.83203125" customWidth="1" min="5" max="5"/>
    <col width="9.5" customWidth="1" min="6" max="6"/>
    <col width="9.83203125" customWidth="1" min="7" max="7"/>
    <col width="9.5" customWidth="1" min="8" max="8"/>
    <col width="9.83203125" customWidth="1" min="10" max="10"/>
    <col width="9.5" customWidth="1" min="11" max="11"/>
    <col width="9.83203125" customWidth="1" min="12" max="12"/>
    <col width="9.5" customWidth="1" min="13" max="13"/>
    <col width="9.83203125" customWidth="1" min="15" max="15"/>
    <col width="9.5" customWidth="1" min="16" max="16"/>
  </cols>
  <sheetData>
    <row r="1">
      <c r="A1" t="inlineStr">
        <is>
          <t>Table 1: Schools, Classes, Students and Staff</t>
        </is>
      </c>
      <c r="B1" t="inlineStr">
        <is>
          <t>Grade 1</t>
        </is>
      </c>
      <c r="D1" t="inlineStr">
        <is>
          <t>Primary Enrollment</t>
        </is>
      </c>
      <c r="F1" t="inlineStr">
        <is>
          <t>New Grade 7</t>
        </is>
      </c>
      <c r="H1" t="inlineStr">
        <is>
          <t>L.Sec. Enrollment</t>
        </is>
      </c>
      <c r="J1" t="inlineStr">
        <is>
          <t>New Grade 10</t>
        </is>
      </c>
      <c r="L1" t="inlineStr">
        <is>
          <t>U. Sec. Enrollment</t>
        </is>
      </c>
      <c r="N1" t="inlineStr">
        <is>
          <t>%Over-age Enrollment in</t>
        </is>
      </c>
    </row>
    <row r="2">
      <c r="B2" t="inlineStr">
        <is>
          <t>Total</t>
        </is>
      </c>
      <c r="C2" t="inlineStr">
        <is>
          <t>Aged 6</t>
        </is>
      </c>
      <c r="D2" t="inlineStr">
        <is>
          <t>Total</t>
        </is>
      </c>
      <c r="E2" t="inlineStr">
        <is>
          <t>Aged 11+</t>
        </is>
      </c>
      <c r="F2" t="inlineStr">
        <is>
          <t>Total</t>
        </is>
      </c>
      <c r="G2" t="inlineStr">
        <is>
          <t>Aged 12</t>
        </is>
      </c>
      <c r="H2" t="inlineStr">
        <is>
          <t>Total</t>
        </is>
      </c>
      <c r="I2" t="inlineStr">
        <is>
          <t>Aged 14+</t>
        </is>
      </c>
      <c r="J2" t="inlineStr">
        <is>
          <t>Total</t>
        </is>
      </c>
      <c r="K2" t="inlineStr">
        <is>
          <t>Aged 15</t>
        </is>
      </c>
      <c r="L2" t="inlineStr">
        <is>
          <t>Total</t>
        </is>
      </c>
      <c r="M2" t="inlineStr">
        <is>
          <t>Age 17+</t>
        </is>
      </c>
      <c r="N2" t="inlineStr">
        <is>
          <t>Primary</t>
        </is>
      </c>
      <c r="O2" t="inlineStr">
        <is>
          <t>L.Sec.</t>
        </is>
      </c>
      <c r="P2" t="inlineStr">
        <is>
          <t>U.sec.</t>
        </is>
      </c>
    </row>
    <row r="3">
      <c r="A3" t="inlineStr">
        <is>
          <t>Banteay Meanchey</t>
        </is>
      </c>
      <c r="B3" t="n">
        <v>1454</v>
      </c>
      <c r="C3" t="n">
        <v>941</v>
      </c>
      <c r="D3" t="n">
        <v>6879</v>
      </c>
      <c r="E3" t="n">
        <v>571</v>
      </c>
      <c r="F3" t="n">
        <v>598</v>
      </c>
      <c r="G3" t="n">
        <v>378</v>
      </c>
      <c r="H3" t="n">
        <v>1421</v>
      </c>
      <c r="I3" t="n">
        <v>234</v>
      </c>
      <c r="J3" t="n">
        <v>276</v>
      </c>
      <c r="K3" t="n">
        <v>196</v>
      </c>
      <c r="L3" t="n">
        <v>658</v>
      </c>
      <c r="M3" t="n">
        <v>68</v>
      </c>
      <c r="N3" t="n">
        <v>8.300000000000001</v>
      </c>
      <c r="O3" t="n">
        <v>16.5</v>
      </c>
      <c r="P3" t="n">
        <v>10.3</v>
      </c>
    </row>
    <row r="4">
      <c r="A4" t="inlineStr">
        <is>
          <t>Battambang</t>
        </is>
      </c>
      <c r="B4" t="n">
        <v>487</v>
      </c>
      <c r="C4" t="n">
        <v>278</v>
      </c>
      <c r="D4" t="n">
        <v>2139</v>
      </c>
      <c r="E4" t="n">
        <v>250</v>
      </c>
      <c r="F4" t="n">
        <v>275</v>
      </c>
      <c r="G4" t="n">
        <v>196</v>
      </c>
      <c r="H4" t="n">
        <v>813</v>
      </c>
      <c r="I4" t="n">
        <v>124</v>
      </c>
      <c r="J4" t="n">
        <v>282</v>
      </c>
      <c r="K4" t="n">
        <v>201</v>
      </c>
      <c r="L4" t="n">
        <v>814</v>
      </c>
      <c r="M4" t="n">
        <v>132</v>
      </c>
      <c r="N4" t="n">
        <v>11.7</v>
      </c>
      <c r="O4" t="n">
        <v>15.3</v>
      </c>
      <c r="P4" t="n">
        <v>16.2</v>
      </c>
    </row>
    <row r="5">
      <c r="A5" t="inlineStr">
        <is>
          <t>Kampong Cham</t>
        </is>
      </c>
      <c r="B5" t="n">
        <v>268</v>
      </c>
      <c r="C5" t="n">
        <v>119</v>
      </c>
      <c r="D5" t="n">
        <v>1213</v>
      </c>
      <c r="E5" t="n">
        <v>300</v>
      </c>
      <c r="F5" t="n">
        <v>71</v>
      </c>
      <c r="G5" t="n">
        <v>44</v>
      </c>
      <c r="H5" t="n">
        <v>192</v>
      </c>
      <c r="I5" t="n">
        <v>27</v>
      </c>
      <c r="J5" t="n">
        <v>48</v>
      </c>
      <c r="K5" t="n">
        <v>36</v>
      </c>
      <c r="L5" t="n">
        <v>109</v>
      </c>
      <c r="M5" t="n">
        <v>9</v>
      </c>
      <c r="N5" t="n">
        <v>24.7</v>
      </c>
      <c r="O5" t="n">
        <v>14.1</v>
      </c>
      <c r="P5" t="n">
        <v>8.300000000000001</v>
      </c>
    </row>
    <row r="6">
      <c r="A6" t="inlineStr">
        <is>
          <t>Kampong Chhnang</t>
        </is>
      </c>
      <c r="B6" t="n">
        <v>260</v>
      </c>
      <c r="C6" t="n">
        <v>241</v>
      </c>
      <c r="D6" t="n">
        <v>905</v>
      </c>
      <c r="E6" t="n">
        <v>19</v>
      </c>
      <c r="F6" t="n">
        <v>79</v>
      </c>
      <c r="G6" t="n">
        <v>36</v>
      </c>
      <c r="H6" t="n">
        <v>230</v>
      </c>
      <c r="I6" t="n">
        <v>49</v>
      </c>
      <c r="J6" t="n">
        <v>36</v>
      </c>
      <c r="K6" t="n">
        <v>19</v>
      </c>
      <c r="L6" t="n">
        <v>184</v>
      </c>
      <c r="M6" t="n">
        <v>15</v>
      </c>
      <c r="N6" t="n">
        <v>2.1</v>
      </c>
      <c r="O6" t="n">
        <v>21.3</v>
      </c>
      <c r="P6" t="n">
        <v>8.199999999999999</v>
      </c>
    </row>
    <row r="7">
      <c r="A7" t="inlineStr">
        <is>
          <t>Kampong Speu</t>
        </is>
      </c>
      <c r="B7" t="n">
        <v>540</v>
      </c>
      <c r="C7" t="n">
        <v>330</v>
      </c>
      <c r="D7" t="n">
        <v>2189</v>
      </c>
      <c r="E7" t="n">
        <v>459</v>
      </c>
      <c r="F7" t="n">
        <v>132</v>
      </c>
      <c r="G7" t="n">
        <v>68</v>
      </c>
      <c r="H7" t="n">
        <v>372</v>
      </c>
      <c r="I7" t="n">
        <v>107</v>
      </c>
      <c r="J7" t="n">
        <v>55</v>
      </c>
      <c r="K7" t="n">
        <v>26</v>
      </c>
      <c r="L7" t="n">
        <v>104</v>
      </c>
      <c r="M7" t="n">
        <v>9</v>
      </c>
      <c r="N7" t="n">
        <v>21</v>
      </c>
      <c r="O7" t="n">
        <v>28.8</v>
      </c>
      <c r="P7" t="n">
        <v>8.699999999999999</v>
      </c>
    </row>
    <row r="8">
      <c r="A8" t="inlineStr">
        <is>
          <t>Kampong Thom</t>
        </is>
      </c>
      <c r="B8" t="n">
        <v>91</v>
      </c>
      <c r="C8" t="n">
        <v>38</v>
      </c>
      <c r="D8" t="n">
        <v>467</v>
      </c>
      <c r="E8" t="n">
        <v>49</v>
      </c>
      <c r="F8" t="n">
        <v>26</v>
      </c>
      <c r="G8" t="n">
        <v>13</v>
      </c>
      <c r="H8" t="n">
        <v>89</v>
      </c>
      <c r="I8" t="n">
        <v>39</v>
      </c>
      <c r="J8" t="n">
        <v>25</v>
      </c>
      <c r="K8" t="n">
        <v>12</v>
      </c>
      <c r="L8" t="n">
        <v>50</v>
      </c>
      <c r="M8" t="n">
        <v>18</v>
      </c>
      <c r="N8" t="n">
        <v>10.5</v>
      </c>
      <c r="O8" t="n">
        <v>43.8</v>
      </c>
      <c r="P8" t="n">
        <v>36</v>
      </c>
    </row>
    <row r="9">
      <c r="A9" t="inlineStr">
        <is>
          <t>Kampot</t>
        </is>
      </c>
      <c r="B9" t="n">
        <v>1049</v>
      </c>
      <c r="C9" t="n">
        <v>216</v>
      </c>
      <c r="D9" t="n">
        <v>3285</v>
      </c>
      <c r="E9" t="n">
        <v>1390</v>
      </c>
      <c r="F9" t="n">
        <v>302</v>
      </c>
      <c r="G9" t="n">
        <v>155</v>
      </c>
      <c r="H9" t="n">
        <v>727</v>
      </c>
      <c r="I9" t="n">
        <v>199</v>
      </c>
      <c r="J9" t="n">
        <v>184</v>
      </c>
      <c r="K9" t="n">
        <v>137</v>
      </c>
      <c r="L9" t="n">
        <v>511</v>
      </c>
      <c r="M9" t="n">
        <v>76</v>
      </c>
      <c r="N9" t="n">
        <v>42.3</v>
      </c>
      <c r="O9" t="n">
        <v>27.4</v>
      </c>
      <c r="P9" t="n">
        <v>14.9</v>
      </c>
    </row>
    <row r="10">
      <c r="A10" t="inlineStr">
        <is>
          <t>Kandal</t>
        </is>
      </c>
      <c r="B10" t="n">
        <v>776</v>
      </c>
      <c r="C10" t="n">
        <v>295</v>
      </c>
      <c r="D10" t="n">
        <v>2834</v>
      </c>
      <c r="E10" t="n">
        <v>595</v>
      </c>
      <c r="F10" t="n">
        <v>292</v>
      </c>
      <c r="G10" t="n">
        <v>189</v>
      </c>
      <c r="H10" t="n">
        <v>762</v>
      </c>
      <c r="I10" t="n">
        <v>135</v>
      </c>
      <c r="J10" t="n">
        <v>180</v>
      </c>
      <c r="K10" t="n">
        <v>144</v>
      </c>
      <c r="L10" t="n">
        <v>522</v>
      </c>
      <c r="M10" t="n">
        <v>65</v>
      </c>
      <c r="N10" t="n">
        <v>21</v>
      </c>
      <c r="O10" t="n">
        <v>17.7</v>
      </c>
      <c r="P10" t="n">
        <v>12.5</v>
      </c>
    </row>
    <row r="11">
      <c r="A11" t="inlineStr">
        <is>
          <t>Kep</t>
        </is>
      </c>
      <c r="B11" t="n">
        <v>143</v>
      </c>
      <c r="C11" t="n">
        <v>0</v>
      </c>
      <c r="D11" t="n">
        <v>385</v>
      </c>
      <c r="E11" t="n">
        <v>325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84.40000000000001</v>
      </c>
      <c r="O11" t="n">
        <v>0</v>
      </c>
      <c r="P11" t="n">
        <v>0</v>
      </c>
    </row>
    <row r="12">
      <c r="A12" t="inlineStr">
        <is>
          <t>Koh Kong</t>
        </is>
      </c>
      <c r="B12" t="n">
        <v>362</v>
      </c>
      <c r="C12" t="n">
        <v>153</v>
      </c>
      <c r="D12" t="n">
        <v>1337</v>
      </c>
      <c r="E12" t="n">
        <v>222</v>
      </c>
      <c r="F12" t="n">
        <v>57</v>
      </c>
      <c r="G12" t="n">
        <v>39</v>
      </c>
      <c r="H12" t="n">
        <v>147</v>
      </c>
      <c r="I12" t="n">
        <v>17</v>
      </c>
      <c r="J12" t="n">
        <v>7</v>
      </c>
      <c r="K12" t="n">
        <v>7</v>
      </c>
      <c r="L12" t="n">
        <v>7</v>
      </c>
      <c r="M12" t="n">
        <v>0</v>
      </c>
      <c r="N12" t="n">
        <v>16.6</v>
      </c>
      <c r="O12" t="n">
        <v>11.6</v>
      </c>
      <c r="P12" t="n">
        <v>0</v>
      </c>
    </row>
    <row r="13">
      <c r="A13" t="inlineStr">
        <is>
          <t>Kratie</t>
        </is>
      </c>
      <c r="B13" t="n">
        <v>454</v>
      </c>
      <c r="C13" t="n">
        <v>14</v>
      </c>
      <c r="D13" t="n">
        <v>800</v>
      </c>
      <c r="E13" t="n">
        <v>650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81.3</v>
      </c>
      <c r="O13" t="n">
        <v>0</v>
      </c>
      <c r="P13" t="n">
        <v>0</v>
      </c>
    </row>
    <row r="14">
      <c r="A14" t="inlineStr">
        <is>
          <t>Mondul Kiri</t>
        </is>
      </c>
      <c r="B14" t="n">
        <v>19</v>
      </c>
      <c r="C14" t="n">
        <v>13</v>
      </c>
      <c r="D14" t="n">
        <v>75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0</v>
      </c>
    </row>
    <row r="15">
      <c r="A15" t="inlineStr">
        <is>
          <t>Otdar Meanchey</t>
        </is>
      </c>
      <c r="B15" t="n">
        <v>126</v>
      </c>
      <c r="C15" t="n">
        <v>101</v>
      </c>
      <c r="D15" t="n">
        <v>548</v>
      </c>
      <c r="E15" t="n">
        <v>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1.6</v>
      </c>
      <c r="O15" t="n">
        <v>0</v>
      </c>
      <c r="P15" t="n">
        <v>0</v>
      </c>
    </row>
    <row r="16">
      <c r="A16" t="inlineStr">
        <is>
          <t>Pailin</t>
        </is>
      </c>
      <c r="B16" t="n">
        <v>190</v>
      </c>
      <c r="C16" t="n">
        <v>153</v>
      </c>
      <c r="D16" t="n">
        <v>763</v>
      </c>
      <c r="E16" t="n">
        <v>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5.1</v>
      </c>
      <c r="O16" t="n">
        <v>0</v>
      </c>
      <c r="P16" t="n">
        <v>0</v>
      </c>
    </row>
    <row r="17">
      <c r="A17" t="inlineStr">
        <is>
          <t>Phnom Penh</t>
        </is>
      </c>
      <c r="B17" t="n">
        <v>6309</v>
      </c>
      <c r="C17" t="n">
        <v>4728</v>
      </c>
      <c r="D17" t="n">
        <v>28851</v>
      </c>
      <c r="E17" t="n">
        <v>1882</v>
      </c>
      <c r="F17" t="n">
        <v>2467</v>
      </c>
      <c r="G17" t="n">
        <v>1835</v>
      </c>
      <c r="H17" t="n">
        <v>6985</v>
      </c>
      <c r="I17" t="n">
        <v>787</v>
      </c>
      <c r="J17" t="n">
        <v>1793</v>
      </c>
      <c r="K17" t="n">
        <v>1435</v>
      </c>
      <c r="L17" t="n">
        <v>5102</v>
      </c>
      <c r="M17" t="n">
        <v>539</v>
      </c>
      <c r="N17" t="n">
        <v>6.5</v>
      </c>
      <c r="O17" t="n">
        <v>11.3</v>
      </c>
      <c r="P17" t="n">
        <v>10.6</v>
      </c>
    </row>
    <row r="18">
      <c r="A18" t="inlineStr">
        <is>
          <t>Preah Sihanouk</t>
        </is>
      </c>
      <c r="B18" t="n">
        <v>455</v>
      </c>
      <c r="C18" t="n">
        <v>206</v>
      </c>
      <c r="D18" t="n">
        <v>2029</v>
      </c>
      <c r="E18" t="n">
        <v>273</v>
      </c>
      <c r="F18" t="n">
        <v>229</v>
      </c>
      <c r="G18" t="n">
        <v>170</v>
      </c>
      <c r="H18" t="n">
        <v>643</v>
      </c>
      <c r="I18" t="n">
        <v>96</v>
      </c>
      <c r="J18" t="n">
        <v>145</v>
      </c>
      <c r="K18" t="n">
        <v>97</v>
      </c>
      <c r="L18" t="n">
        <v>384</v>
      </c>
      <c r="M18" t="n">
        <v>53</v>
      </c>
      <c r="N18" t="n">
        <v>13.5</v>
      </c>
      <c r="O18" t="n">
        <v>14.9</v>
      </c>
      <c r="P18" t="n">
        <v>13.8</v>
      </c>
    </row>
    <row r="19">
      <c r="A19" t="inlineStr">
        <is>
          <t>Preah Vihear</t>
        </is>
      </c>
      <c r="B19" t="n">
        <v>23</v>
      </c>
      <c r="C19" t="n">
        <v>13</v>
      </c>
      <c r="D19" t="n">
        <v>76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3.9</v>
      </c>
      <c r="O19" t="n">
        <v>0</v>
      </c>
      <c r="P19" t="n">
        <v>0</v>
      </c>
    </row>
    <row r="20">
      <c r="A20" t="inlineStr">
        <is>
          <t>Prey Veng</t>
        </is>
      </c>
      <c r="B20" t="n">
        <v>14</v>
      </c>
      <c r="C20" t="n">
        <v>8</v>
      </c>
      <c r="D20" t="n">
        <v>47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31</v>
      </c>
      <c r="K20" t="n">
        <v>25</v>
      </c>
      <c r="L20" t="n">
        <v>78</v>
      </c>
      <c r="M20" t="n">
        <v>17</v>
      </c>
      <c r="N20" t="n">
        <v>4.3</v>
      </c>
      <c r="O20" t="n">
        <v>0</v>
      </c>
      <c r="P20" t="n">
        <v>21.8</v>
      </c>
    </row>
    <row r="21">
      <c r="A21" t="inlineStr">
        <is>
          <t>Pursat</t>
        </is>
      </c>
      <c r="B21" t="n">
        <v>240</v>
      </c>
      <c r="C21" t="n">
        <v>64</v>
      </c>
      <c r="D21" t="n">
        <v>559</v>
      </c>
      <c r="E21" t="n">
        <v>132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23.6</v>
      </c>
      <c r="O21" t="n">
        <v>0</v>
      </c>
      <c r="P21" t="n">
        <v>0</v>
      </c>
    </row>
    <row r="22">
      <c r="A22" t="inlineStr">
        <is>
          <t>Ratanak Kiri</t>
        </is>
      </c>
      <c r="B22" t="n">
        <v>193</v>
      </c>
      <c r="C22" t="n">
        <v>167</v>
      </c>
      <c r="D22" t="n">
        <v>814</v>
      </c>
      <c r="E22" t="n">
        <v>20</v>
      </c>
      <c r="F22" t="n">
        <v>50</v>
      </c>
      <c r="G22" t="n">
        <v>41</v>
      </c>
      <c r="H22" t="n">
        <v>128</v>
      </c>
      <c r="I22" t="n">
        <v>7</v>
      </c>
      <c r="J22" t="n">
        <v>21</v>
      </c>
      <c r="K22" t="n">
        <v>21</v>
      </c>
      <c r="L22" t="n">
        <v>74</v>
      </c>
      <c r="M22" t="n">
        <v>3</v>
      </c>
      <c r="N22" t="n">
        <v>2.5</v>
      </c>
      <c r="O22" t="n">
        <v>5.5</v>
      </c>
      <c r="P22" t="n">
        <v>4.1</v>
      </c>
    </row>
    <row r="23">
      <c r="A23" t="inlineStr">
        <is>
          <t>Siemreap</t>
        </is>
      </c>
      <c r="B23" t="n">
        <v>732</v>
      </c>
      <c r="C23" t="n">
        <v>470</v>
      </c>
      <c r="D23" t="n">
        <v>2954</v>
      </c>
      <c r="E23" t="n">
        <v>197</v>
      </c>
      <c r="F23" t="n">
        <v>284</v>
      </c>
      <c r="G23" t="n">
        <v>195</v>
      </c>
      <c r="H23" t="n">
        <v>763</v>
      </c>
      <c r="I23" t="n">
        <v>103</v>
      </c>
      <c r="J23" t="n">
        <v>159</v>
      </c>
      <c r="K23" t="n">
        <v>110</v>
      </c>
      <c r="L23" t="n">
        <v>455</v>
      </c>
      <c r="M23" t="n">
        <v>97</v>
      </c>
      <c r="N23" t="n">
        <v>6.7</v>
      </c>
      <c r="O23" t="n">
        <v>13.5</v>
      </c>
      <c r="P23" t="n">
        <v>21.3</v>
      </c>
    </row>
    <row r="24">
      <c r="A24" t="inlineStr">
        <is>
          <t>Stung Treng</t>
        </is>
      </c>
      <c r="B24" t="n">
        <v>19</v>
      </c>
      <c r="C24" t="n">
        <v>11</v>
      </c>
      <c r="D24" t="n">
        <v>62</v>
      </c>
      <c r="E24" t="n">
        <v>2</v>
      </c>
      <c r="F24" t="n">
        <v>1</v>
      </c>
      <c r="G24" t="n">
        <v>0</v>
      </c>
      <c r="H24" t="n">
        <v>3</v>
      </c>
      <c r="I24" t="n">
        <v>0</v>
      </c>
      <c r="J24" t="n">
        <v>4</v>
      </c>
      <c r="K24" t="n">
        <v>3</v>
      </c>
      <c r="L24" t="n">
        <v>7</v>
      </c>
      <c r="M24" t="n">
        <v>2</v>
      </c>
      <c r="N24" t="n">
        <v>3.2</v>
      </c>
      <c r="O24" t="n">
        <v>0</v>
      </c>
      <c r="P24" t="n">
        <v>28.6</v>
      </c>
    </row>
    <row r="25">
      <c r="A25" t="inlineStr">
        <is>
          <t>Svay Rieng</t>
        </is>
      </c>
      <c r="B25" t="n">
        <v>34</v>
      </c>
      <c r="C25" t="n">
        <v>28</v>
      </c>
      <c r="D25" t="n">
        <v>95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1.1</v>
      </c>
      <c r="O25" t="n">
        <v>0</v>
      </c>
      <c r="P25" t="n">
        <v>0</v>
      </c>
    </row>
    <row r="26">
      <c r="A26" t="inlineStr">
        <is>
          <t>Takeo</t>
        </is>
      </c>
      <c r="B26" t="n">
        <v>237</v>
      </c>
      <c r="C26" t="n">
        <v>180</v>
      </c>
      <c r="D26" t="n">
        <v>767</v>
      </c>
      <c r="E26" t="n">
        <v>12</v>
      </c>
      <c r="F26" t="n">
        <v>55</v>
      </c>
      <c r="G26" t="n">
        <v>46</v>
      </c>
      <c r="H26" t="n">
        <v>155</v>
      </c>
      <c r="I26" t="n">
        <v>4</v>
      </c>
      <c r="J26" t="n">
        <v>28</v>
      </c>
      <c r="K26" t="n">
        <v>24</v>
      </c>
      <c r="L26" t="n">
        <v>132</v>
      </c>
      <c r="M26" t="n">
        <v>14</v>
      </c>
      <c r="N26" t="n">
        <v>1.6</v>
      </c>
      <c r="O26" t="n">
        <v>2.6</v>
      </c>
      <c r="P26" t="n">
        <v>10.6</v>
      </c>
    </row>
    <row r="27">
      <c r="A27" t="inlineStr">
        <is>
          <t>Tbaung Khmum</t>
        </is>
      </c>
      <c r="B27" t="n">
        <v>226</v>
      </c>
      <c r="C27" t="n">
        <v>117</v>
      </c>
      <c r="D27" t="n">
        <v>1063</v>
      </c>
      <c r="E27" t="n">
        <v>272</v>
      </c>
      <c r="F27" t="n">
        <v>324</v>
      </c>
      <c r="G27" t="n">
        <v>112</v>
      </c>
      <c r="H27" t="n">
        <v>709</v>
      </c>
      <c r="I27" t="n">
        <v>212</v>
      </c>
      <c r="J27" t="n">
        <v>98</v>
      </c>
      <c r="K27" t="n">
        <v>37</v>
      </c>
      <c r="L27" t="n">
        <v>265</v>
      </c>
      <c r="M27" t="n">
        <v>111</v>
      </c>
      <c r="N27" t="n">
        <v>25.6</v>
      </c>
      <c r="O27" t="n">
        <v>29.9</v>
      </c>
      <c r="P27" t="n">
        <v>41.9</v>
      </c>
    </row>
    <row r="28">
      <c r="A28" t="inlineStr">
        <is>
          <t>Whole Kingdom</t>
        </is>
      </c>
      <c r="B28" t="n">
        <v>14701</v>
      </c>
      <c r="C28" t="n">
        <v>8884</v>
      </c>
      <c r="D28" t="n">
        <v>61136</v>
      </c>
      <c r="E28" t="n">
        <v>7680</v>
      </c>
      <c r="F28" t="n">
        <v>5242</v>
      </c>
      <c r="G28" t="n">
        <v>3517</v>
      </c>
      <c r="H28" t="n">
        <v>14139</v>
      </c>
      <c r="I28" t="n">
        <v>2140</v>
      </c>
      <c r="J28" t="n">
        <v>3372</v>
      </c>
      <c r="K28" t="n">
        <v>2530</v>
      </c>
      <c r="L28" t="n">
        <v>9456</v>
      </c>
      <c r="M28" t="n">
        <v>1228</v>
      </c>
      <c r="N28" t="n">
        <v>12.6</v>
      </c>
      <c r="O28" t="n">
        <v>15.1</v>
      </c>
      <c r="P28" t="n">
        <v>13</v>
      </c>
    </row>
    <row r="29">
      <c r="A29" t="inlineStr">
        <is>
          <t>- Urban Area</t>
        </is>
      </c>
      <c r="B29" t="n">
        <v>11377</v>
      </c>
      <c r="C29" t="n">
        <v>7755</v>
      </c>
      <c r="D29" t="n">
        <v>49709</v>
      </c>
      <c r="E29" t="n">
        <v>4063</v>
      </c>
      <c r="F29" t="n">
        <v>4365</v>
      </c>
      <c r="G29" t="n">
        <v>3117</v>
      </c>
      <c r="H29" t="n">
        <v>12017</v>
      </c>
      <c r="I29" t="n">
        <v>1525</v>
      </c>
      <c r="J29" t="n">
        <v>3067</v>
      </c>
      <c r="K29" t="n">
        <v>2385</v>
      </c>
      <c r="L29" t="n">
        <v>8637</v>
      </c>
      <c r="M29" t="n">
        <v>1000</v>
      </c>
      <c r="N29" t="n">
        <v>8.199999999999999</v>
      </c>
      <c r="O29" t="n">
        <v>12.7</v>
      </c>
      <c r="P29" t="n">
        <v>11.6</v>
      </c>
    </row>
    <row r="30">
      <c r="A30" t="inlineStr">
        <is>
          <t>- Rural Area</t>
        </is>
      </c>
      <c r="B30" t="n">
        <v>3324</v>
      </c>
      <c r="C30" t="n">
        <v>1129</v>
      </c>
      <c r="D30" t="n">
        <v>11427</v>
      </c>
      <c r="E30" t="n">
        <v>3617</v>
      </c>
      <c r="F30" t="n">
        <v>877</v>
      </c>
      <c r="G30" t="n">
        <v>400</v>
      </c>
      <c r="H30" t="n">
        <v>2122</v>
      </c>
      <c r="I30" t="n">
        <v>615</v>
      </c>
      <c r="J30" t="n">
        <v>305</v>
      </c>
      <c r="K30" t="n">
        <v>145</v>
      </c>
      <c r="L30" t="n">
        <v>819</v>
      </c>
      <c r="M30" t="n">
        <v>228</v>
      </c>
      <c r="N30" t="n">
        <v>31.7</v>
      </c>
      <c r="O30" t="n">
        <v>29</v>
      </c>
      <c r="P30" t="n">
        <v>27.8</v>
      </c>
    </row>
  </sheetData>
  <mergeCells count="8">
    <mergeCell ref="D1:E1"/>
    <mergeCell ref="H1:I1"/>
    <mergeCell ref="L1:M1"/>
    <mergeCell ref="J1:K1"/>
    <mergeCell ref="N1:P1"/>
    <mergeCell ref="B1:C1"/>
    <mergeCell ref="F1:G1"/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B9BD5"/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22.1640625" customWidth="1" min="1" max="1"/>
    <col width="11.33203125" customWidth="1" min="2" max="2"/>
    <col width="11.5" customWidth="1" min="3" max="3"/>
    <col width="11.33203125" customWidth="1" min="4" max="4"/>
    <col width="11.5" customWidth="1" min="6" max="6"/>
    <col width="11.33203125" customWidth="1" min="7" max="7"/>
    <col width="11.5" customWidth="1" min="10" max="10"/>
    <col width="11.33203125" customWidth="1" min="11" max="11"/>
    <col width="11.5" customWidth="1" min="13" max="13"/>
  </cols>
  <sheetData>
    <row r="1">
      <c r="A1" t="inlineStr">
        <is>
          <t>Table 1: Schools, Classes, Students and Staff</t>
        </is>
      </c>
      <c r="B1" t="inlineStr">
        <is>
          <t>3 year</t>
        </is>
      </c>
      <c r="E1" t="inlineStr">
        <is>
          <t>4 Year</t>
        </is>
      </c>
      <c r="H1" t="inlineStr">
        <is>
          <t>5 Year</t>
        </is>
      </c>
      <c r="K1" t="inlineStr">
        <is>
          <t>3 - 5 Year</t>
        </is>
      </c>
    </row>
    <row r="2">
      <c r="B2" t="inlineStr">
        <is>
          <t>Total</t>
        </is>
      </c>
      <c r="C2" t="inlineStr">
        <is>
          <t>Girl</t>
        </is>
      </c>
      <c r="D2" t="inlineStr">
        <is>
          <t>Boy</t>
        </is>
      </c>
      <c r="E2" t="inlineStr">
        <is>
          <t>Total</t>
        </is>
      </c>
      <c r="F2" t="inlineStr">
        <is>
          <t>Girl</t>
        </is>
      </c>
      <c r="G2" t="inlineStr">
        <is>
          <t>Boy</t>
        </is>
      </c>
      <c r="H2" t="inlineStr">
        <is>
          <t>Total</t>
        </is>
      </c>
      <c r="I2" t="inlineStr">
        <is>
          <t>Girl</t>
        </is>
      </c>
      <c r="J2" t="inlineStr">
        <is>
          <t>Boy</t>
        </is>
      </c>
      <c r="K2" t="inlineStr">
        <is>
          <t>Total</t>
        </is>
      </c>
      <c r="L2" t="inlineStr">
        <is>
          <t>Girl</t>
        </is>
      </c>
      <c r="M2" t="inlineStr">
        <is>
          <t>Boy</t>
        </is>
      </c>
    </row>
    <row r="3">
      <c r="A3" t="inlineStr">
        <is>
          <t>Banteay Meanchey</t>
        </is>
      </c>
      <c r="B3" t="n">
        <v>2</v>
      </c>
      <c r="C3" t="n">
        <v>2</v>
      </c>
      <c r="D3" t="n">
        <v>2</v>
      </c>
      <c r="E3" t="n">
        <v>7.7</v>
      </c>
      <c r="F3" t="n">
        <v>7.9</v>
      </c>
      <c r="G3" t="n">
        <v>7.5</v>
      </c>
      <c r="H3" t="n">
        <v>8.1</v>
      </c>
      <c r="I3" t="n">
        <v>7.9</v>
      </c>
      <c r="J3" t="n">
        <v>8.4</v>
      </c>
      <c r="K3" t="n">
        <v>5.9</v>
      </c>
      <c r="L3" t="n">
        <v>5.9</v>
      </c>
      <c r="M3" t="n">
        <v>5.9</v>
      </c>
    </row>
    <row r="4">
      <c r="A4" t="inlineStr">
        <is>
          <t>Battambang</t>
        </is>
      </c>
      <c r="B4" t="n">
        <v>0.9</v>
      </c>
      <c r="C4" t="n">
        <v>0.9</v>
      </c>
      <c r="D4" t="n">
        <v>0.9</v>
      </c>
      <c r="E4" t="n">
        <v>1.5</v>
      </c>
      <c r="F4" t="n">
        <v>1.6</v>
      </c>
      <c r="G4" t="n">
        <v>1.4</v>
      </c>
      <c r="H4" t="n">
        <v>2.1</v>
      </c>
      <c r="I4" t="n">
        <v>1.9</v>
      </c>
      <c r="J4" t="n">
        <v>2.2</v>
      </c>
      <c r="K4" t="n">
        <v>1.5</v>
      </c>
      <c r="L4" t="n">
        <v>1.5</v>
      </c>
      <c r="M4" t="n">
        <v>1.5</v>
      </c>
    </row>
    <row r="5">
      <c r="A5" t="inlineStr">
        <is>
          <t>Kampong Cham</t>
        </is>
      </c>
      <c r="B5" t="n">
        <v>1.2</v>
      </c>
      <c r="C5" t="n">
        <v>1.4</v>
      </c>
      <c r="D5" t="n">
        <v>1</v>
      </c>
      <c r="E5" t="n">
        <v>1.2</v>
      </c>
      <c r="F5" t="n">
        <v>1.2</v>
      </c>
      <c r="G5" t="n">
        <v>1.2</v>
      </c>
      <c r="H5" t="n">
        <v>1.4</v>
      </c>
      <c r="I5" t="n">
        <v>1.3</v>
      </c>
      <c r="J5" t="n">
        <v>1.5</v>
      </c>
      <c r="K5" t="n">
        <v>1.3</v>
      </c>
      <c r="L5" t="n">
        <v>1.3</v>
      </c>
      <c r="M5" t="n">
        <v>1.2</v>
      </c>
    </row>
    <row r="6">
      <c r="A6" t="inlineStr">
        <is>
          <t>Kampong Chhnang</t>
        </is>
      </c>
      <c r="B6" t="n">
        <v>2.6</v>
      </c>
      <c r="C6" t="n">
        <v>2.6</v>
      </c>
      <c r="D6" t="n">
        <v>2.7</v>
      </c>
      <c r="E6" t="n">
        <v>3.3</v>
      </c>
      <c r="F6" t="n">
        <v>3.3</v>
      </c>
      <c r="G6" t="n">
        <v>3.4</v>
      </c>
      <c r="H6" t="n">
        <v>5.8</v>
      </c>
      <c r="I6" t="n">
        <v>5.6</v>
      </c>
      <c r="J6" t="n">
        <v>6</v>
      </c>
      <c r="K6" t="n">
        <v>3.9</v>
      </c>
      <c r="L6" t="n">
        <v>3.8</v>
      </c>
      <c r="M6" t="n">
        <v>4</v>
      </c>
    </row>
    <row r="7">
      <c r="A7" t="inlineStr">
        <is>
          <t>Kampong Speu</t>
        </is>
      </c>
      <c r="B7" t="n">
        <v>2.5</v>
      </c>
      <c r="C7" t="n">
        <v>2.6</v>
      </c>
      <c r="D7" t="n">
        <v>2.4</v>
      </c>
      <c r="E7" t="n">
        <v>4.4</v>
      </c>
      <c r="F7" t="n">
        <v>4.5</v>
      </c>
      <c r="G7" t="n">
        <v>4.2</v>
      </c>
      <c r="H7" t="n">
        <v>4.7</v>
      </c>
      <c r="I7" t="n">
        <v>5</v>
      </c>
      <c r="J7" t="n">
        <v>4.5</v>
      </c>
      <c r="K7" t="n">
        <v>3.9</v>
      </c>
      <c r="L7" t="n">
        <v>4</v>
      </c>
      <c r="M7" t="n">
        <v>3.7</v>
      </c>
    </row>
    <row r="8">
      <c r="A8" t="inlineStr">
        <is>
          <t>Kampong Thom</t>
        </is>
      </c>
      <c r="B8" t="n">
        <v>0.4</v>
      </c>
      <c r="C8" t="n">
        <v>0.3</v>
      </c>
      <c r="D8" t="n">
        <v>0.5</v>
      </c>
      <c r="E8" t="n">
        <v>0.7</v>
      </c>
      <c r="F8" t="n">
        <v>0.6</v>
      </c>
      <c r="G8" t="n">
        <v>0.8</v>
      </c>
      <c r="H8" t="n">
        <v>1</v>
      </c>
      <c r="I8" t="n">
        <v>0.9</v>
      </c>
      <c r="J8" t="n">
        <v>1</v>
      </c>
      <c r="K8" t="n">
        <v>0.7</v>
      </c>
      <c r="L8" t="n">
        <v>0.6</v>
      </c>
      <c r="M8" t="n">
        <v>0.8</v>
      </c>
    </row>
    <row r="9">
      <c r="A9" t="inlineStr">
        <is>
          <t>Kampot</t>
        </is>
      </c>
      <c r="B9" t="n">
        <v>1.5</v>
      </c>
      <c r="C9" t="n">
        <v>1.4</v>
      </c>
      <c r="D9" t="n">
        <v>1.6</v>
      </c>
      <c r="E9" t="n">
        <v>2.5</v>
      </c>
      <c r="F9" t="n">
        <v>2.6</v>
      </c>
      <c r="G9" t="n">
        <v>2.5</v>
      </c>
      <c r="H9" t="n">
        <v>2.5</v>
      </c>
      <c r="I9" t="n">
        <v>2.7</v>
      </c>
      <c r="J9" t="n">
        <v>2.4</v>
      </c>
      <c r="K9" t="n">
        <v>2.2</v>
      </c>
      <c r="L9" t="n">
        <v>2.2</v>
      </c>
      <c r="M9" t="n">
        <v>2.1</v>
      </c>
    </row>
    <row r="10">
      <c r="A10" t="inlineStr">
        <is>
          <t>Kandal</t>
        </is>
      </c>
      <c r="B10" t="n">
        <v>0.9</v>
      </c>
      <c r="C10" t="n">
        <v>1</v>
      </c>
      <c r="D10" t="n">
        <v>0.8</v>
      </c>
      <c r="E10" t="n">
        <v>2.5</v>
      </c>
      <c r="F10" t="n">
        <v>2.5</v>
      </c>
      <c r="G10" t="n">
        <v>2.5</v>
      </c>
      <c r="H10" t="n">
        <v>2.8</v>
      </c>
      <c r="I10" t="n">
        <v>2.8</v>
      </c>
      <c r="J10" t="n">
        <v>2.8</v>
      </c>
      <c r="K10" t="n">
        <v>2</v>
      </c>
      <c r="L10" t="n">
        <v>2.1</v>
      </c>
      <c r="M10" t="n">
        <v>2</v>
      </c>
    </row>
    <row r="11">
      <c r="A11" t="inlineStr">
        <is>
          <t>Kep</t>
        </is>
      </c>
      <c r="B11" t="n">
        <v>1.4</v>
      </c>
      <c r="C11" t="n">
        <v>1</v>
      </c>
      <c r="D11" t="n">
        <v>1.7</v>
      </c>
      <c r="E11" t="n">
        <v>2.7</v>
      </c>
      <c r="F11" t="n">
        <v>2.5</v>
      </c>
      <c r="G11" t="n">
        <v>2.8</v>
      </c>
      <c r="H11" t="n">
        <v>2.2</v>
      </c>
      <c r="I11" t="n">
        <v>2.6</v>
      </c>
      <c r="J11" t="n">
        <v>1.9</v>
      </c>
      <c r="K11" t="n">
        <v>2.1</v>
      </c>
      <c r="L11" t="n">
        <v>2</v>
      </c>
      <c r="M11" t="n">
        <v>2.1</v>
      </c>
    </row>
    <row r="12">
      <c r="A12" t="inlineStr">
        <is>
          <t>Koh Kong</t>
        </is>
      </c>
      <c r="B12" t="n">
        <v>0.7</v>
      </c>
      <c r="C12" t="n">
        <v>0.6</v>
      </c>
      <c r="D12" t="n">
        <v>0.8</v>
      </c>
      <c r="E12" t="n">
        <v>1.9</v>
      </c>
      <c r="F12" t="n">
        <v>2.1</v>
      </c>
      <c r="G12" t="n">
        <v>1.7</v>
      </c>
      <c r="H12" t="n">
        <v>3.4</v>
      </c>
      <c r="I12" t="n">
        <v>4.9</v>
      </c>
      <c r="J12" t="n">
        <v>2</v>
      </c>
      <c r="K12" t="n">
        <v>2</v>
      </c>
      <c r="L12" t="n">
        <v>2.5</v>
      </c>
      <c r="M12" t="n">
        <v>1.5</v>
      </c>
    </row>
    <row r="13">
      <c r="A13" t="inlineStr">
        <is>
          <t>Kratie</t>
        </is>
      </c>
      <c r="B13" t="n">
        <v>0.5</v>
      </c>
      <c r="C13" t="n">
        <v>0.5</v>
      </c>
      <c r="D13" t="n">
        <v>0.6</v>
      </c>
      <c r="E13" t="n">
        <v>0.7</v>
      </c>
      <c r="F13" t="n">
        <v>0.7</v>
      </c>
      <c r="G13" t="n">
        <v>0.6</v>
      </c>
      <c r="H13" t="n">
        <v>0.6</v>
      </c>
      <c r="I13" t="n">
        <v>0.6</v>
      </c>
      <c r="J13" t="n">
        <v>0.6</v>
      </c>
      <c r="K13" t="n">
        <v>0.6</v>
      </c>
      <c r="L13" t="n">
        <v>0.6</v>
      </c>
      <c r="M13" t="n">
        <v>0.6</v>
      </c>
    </row>
    <row r="14">
      <c r="A14" t="inlineStr">
        <is>
          <t>Mondul Kiri</t>
        </is>
      </c>
      <c r="B14" t="n">
        <v>2.5</v>
      </c>
      <c r="C14" t="n">
        <v>2.2</v>
      </c>
      <c r="D14" t="n">
        <v>2.7</v>
      </c>
      <c r="E14" t="n">
        <v>1.3</v>
      </c>
      <c r="F14" t="n">
        <v>1.3</v>
      </c>
      <c r="G14" t="n">
        <v>1.3</v>
      </c>
      <c r="H14" t="n">
        <v>2.3</v>
      </c>
      <c r="I14" t="n">
        <v>2.2</v>
      </c>
      <c r="J14" t="n">
        <v>2.4</v>
      </c>
      <c r="K14" t="n">
        <v>2</v>
      </c>
      <c r="L14" t="n">
        <v>1.9</v>
      </c>
      <c r="M14" t="n">
        <v>2.1</v>
      </c>
    </row>
    <row r="15">
      <c r="A15" t="inlineStr">
        <is>
          <t>Otdar Meanchey</t>
        </is>
      </c>
      <c r="B15" t="n">
        <v>0.7</v>
      </c>
      <c r="C15" t="n">
        <v>0.7</v>
      </c>
      <c r="D15" t="n">
        <v>0.7</v>
      </c>
      <c r="E15" t="n">
        <v>1.7</v>
      </c>
      <c r="F15" t="n">
        <v>1.1</v>
      </c>
      <c r="G15" t="n">
        <v>2.2</v>
      </c>
      <c r="H15" t="n">
        <v>2.3</v>
      </c>
      <c r="I15" t="n">
        <v>2.2</v>
      </c>
      <c r="J15" t="n">
        <v>2.4</v>
      </c>
      <c r="K15" t="n">
        <v>1.6</v>
      </c>
      <c r="L15" t="n">
        <v>1.3</v>
      </c>
      <c r="M15" t="n">
        <v>1.8</v>
      </c>
    </row>
    <row r="16">
      <c r="A16" t="inlineStr">
        <is>
          <t>Pailin</t>
        </is>
      </c>
      <c r="B16" t="n">
        <v>5</v>
      </c>
      <c r="C16" t="n">
        <v>5.4</v>
      </c>
      <c r="D16" t="n">
        <v>4.6</v>
      </c>
      <c r="E16" t="n">
        <v>12.3</v>
      </c>
      <c r="F16" t="n">
        <v>11</v>
      </c>
      <c r="G16" t="n">
        <v>13.6</v>
      </c>
      <c r="H16" t="n">
        <v>11.7</v>
      </c>
      <c r="I16" t="n">
        <v>11.2</v>
      </c>
      <c r="J16" t="n">
        <v>12.1</v>
      </c>
      <c r="K16" t="n">
        <v>9.6</v>
      </c>
      <c r="L16" t="n">
        <v>9.1</v>
      </c>
      <c r="M16" t="n">
        <v>10</v>
      </c>
    </row>
    <row r="17">
      <c r="A17" t="inlineStr">
        <is>
          <t>Phnom Penh</t>
        </is>
      </c>
      <c r="B17" t="n">
        <v>9.300000000000001</v>
      </c>
      <c r="C17" t="n">
        <v>8.699999999999999</v>
      </c>
      <c r="D17" t="n">
        <v>9.800000000000001</v>
      </c>
      <c r="E17" t="n">
        <v>15.9</v>
      </c>
      <c r="F17" t="n">
        <v>17.3</v>
      </c>
      <c r="G17" t="n">
        <v>14.6</v>
      </c>
      <c r="H17" t="n">
        <v>27.9</v>
      </c>
      <c r="I17" t="n">
        <v>29.1</v>
      </c>
      <c r="J17" t="n">
        <v>26.9</v>
      </c>
      <c r="K17" t="n">
        <v>17</v>
      </c>
      <c r="L17" t="n">
        <v>17.6</v>
      </c>
      <c r="M17" t="n">
        <v>16.5</v>
      </c>
    </row>
    <row r="18">
      <c r="A18" t="inlineStr">
        <is>
          <t>Preah Sihanouk</t>
        </is>
      </c>
      <c r="B18" t="n">
        <v>5.3</v>
      </c>
      <c r="C18" t="n">
        <v>5.5</v>
      </c>
      <c r="D18" t="n">
        <v>5</v>
      </c>
      <c r="E18" t="n">
        <v>15.6</v>
      </c>
      <c r="F18" t="n">
        <v>16.5</v>
      </c>
      <c r="G18" t="n">
        <v>14.7</v>
      </c>
      <c r="H18" t="n">
        <v>15.3</v>
      </c>
      <c r="I18" t="n">
        <v>15.2</v>
      </c>
      <c r="J18" t="n">
        <v>15.3</v>
      </c>
      <c r="K18" t="n">
        <v>11.9</v>
      </c>
      <c r="L18" t="n">
        <v>12.2</v>
      </c>
      <c r="M18" t="n">
        <v>11.5</v>
      </c>
    </row>
    <row r="19">
      <c r="A19" t="inlineStr">
        <is>
          <t>Preah Vihear</t>
        </is>
      </c>
      <c r="B19" t="n">
        <v>0.3</v>
      </c>
      <c r="C19" t="n">
        <v>0.3</v>
      </c>
      <c r="D19" t="n">
        <v>0.3</v>
      </c>
      <c r="E19" t="n">
        <v>0.5</v>
      </c>
      <c r="F19" t="n">
        <v>0.6</v>
      </c>
      <c r="G19" t="n">
        <v>0.4</v>
      </c>
      <c r="H19" t="n">
        <v>0.9</v>
      </c>
      <c r="I19" t="n">
        <v>1.1</v>
      </c>
      <c r="J19" t="n">
        <v>0.7</v>
      </c>
      <c r="K19" t="n">
        <v>0.6</v>
      </c>
      <c r="L19" t="n">
        <v>0.7</v>
      </c>
      <c r="M19" t="n">
        <v>0.4</v>
      </c>
    </row>
    <row r="20">
      <c r="A20" t="inlineStr">
        <is>
          <t>Prey Veng</t>
        </is>
      </c>
      <c r="B20" t="n">
        <v>0.1</v>
      </c>
      <c r="C20" t="n">
        <v>0.1</v>
      </c>
      <c r="D20" t="n">
        <v>0</v>
      </c>
      <c r="E20" t="n">
        <v>0.3</v>
      </c>
      <c r="F20" t="n">
        <v>0.4</v>
      </c>
      <c r="G20" t="n">
        <v>0.3</v>
      </c>
      <c r="H20" t="n">
        <v>0.3</v>
      </c>
      <c r="I20" t="n">
        <v>0.3</v>
      </c>
      <c r="J20" t="n">
        <v>0.2</v>
      </c>
      <c r="K20" t="n">
        <v>0.2</v>
      </c>
      <c r="L20" t="n">
        <v>0.3</v>
      </c>
      <c r="M20" t="n">
        <v>0.2</v>
      </c>
    </row>
    <row r="21">
      <c r="A21" t="inlineStr">
        <is>
          <t>Pursat</t>
        </is>
      </c>
      <c r="B21" t="n">
        <v>1.9</v>
      </c>
      <c r="C21" t="n">
        <v>1.6</v>
      </c>
      <c r="D21" t="n">
        <v>2.1</v>
      </c>
      <c r="E21" t="n">
        <v>1.9</v>
      </c>
      <c r="F21" t="n">
        <v>2.2</v>
      </c>
      <c r="G21" t="n">
        <v>1.6</v>
      </c>
      <c r="H21" t="n">
        <v>1.4</v>
      </c>
      <c r="I21" t="n">
        <v>1.6</v>
      </c>
      <c r="J21" t="n">
        <v>1.2</v>
      </c>
      <c r="K21" t="n">
        <v>1.7</v>
      </c>
      <c r="L21" t="n">
        <v>1.8</v>
      </c>
      <c r="M21" t="n">
        <v>1.6</v>
      </c>
    </row>
    <row r="22">
      <c r="A22" t="inlineStr">
        <is>
          <t>Ratanak Kiri</t>
        </is>
      </c>
      <c r="B22" t="n">
        <v>6.1</v>
      </c>
      <c r="C22" t="n">
        <v>5.8</v>
      </c>
      <c r="D22" t="n">
        <v>6.3</v>
      </c>
      <c r="E22" t="n">
        <v>3.2</v>
      </c>
      <c r="F22" t="n">
        <v>3</v>
      </c>
      <c r="G22" t="n">
        <v>3.3</v>
      </c>
      <c r="H22" t="n">
        <v>14.2</v>
      </c>
      <c r="I22" t="n">
        <v>6.8</v>
      </c>
      <c r="J22" t="n">
        <v>21.4</v>
      </c>
      <c r="K22" t="n">
        <v>7.9</v>
      </c>
      <c r="L22" t="n">
        <v>5.2</v>
      </c>
      <c r="M22" t="n">
        <v>10.5</v>
      </c>
    </row>
    <row r="23">
      <c r="A23" t="inlineStr">
        <is>
          <t>Siemreap</t>
        </is>
      </c>
      <c r="B23" t="n">
        <v>4.9</v>
      </c>
      <c r="C23" t="n">
        <v>4.6</v>
      </c>
      <c r="D23" t="n">
        <v>5.1</v>
      </c>
      <c r="E23" t="n">
        <v>7.8</v>
      </c>
      <c r="F23" t="n">
        <v>8.6</v>
      </c>
      <c r="G23" t="n">
        <v>7</v>
      </c>
      <c r="H23" t="n">
        <v>7.1</v>
      </c>
      <c r="I23" t="n">
        <v>6.9</v>
      </c>
      <c r="J23" t="n">
        <v>7.3</v>
      </c>
      <c r="K23" t="n">
        <v>6.6</v>
      </c>
      <c r="L23" t="n">
        <v>6.7</v>
      </c>
      <c r="M23" t="n">
        <v>6.4</v>
      </c>
    </row>
    <row r="24">
      <c r="A24" t="inlineStr">
        <is>
          <t>Stung Treng</t>
        </is>
      </c>
      <c r="B24" t="n">
        <v>1.1</v>
      </c>
      <c r="C24" t="n">
        <v>1.5</v>
      </c>
      <c r="D24" t="n">
        <v>0.7</v>
      </c>
      <c r="E24" t="n">
        <v>1.5</v>
      </c>
      <c r="F24" t="n">
        <v>1.6</v>
      </c>
      <c r="G24" t="n">
        <v>1.4</v>
      </c>
      <c r="H24" t="n">
        <v>0.7</v>
      </c>
      <c r="I24" t="n">
        <v>0.6</v>
      </c>
      <c r="J24" t="n">
        <v>0.8</v>
      </c>
      <c r="K24" t="n">
        <v>1.1</v>
      </c>
      <c r="L24" t="n">
        <v>1.2</v>
      </c>
      <c r="M24" t="n">
        <v>1</v>
      </c>
    </row>
    <row r="25">
      <c r="A25" t="inlineStr">
        <is>
          <t>Svay Rieng</t>
        </is>
      </c>
      <c r="B25" t="n">
        <v>0.3</v>
      </c>
      <c r="C25" t="n">
        <v>0.2</v>
      </c>
      <c r="D25" t="n">
        <v>0.3</v>
      </c>
      <c r="E25" t="n">
        <v>0.5</v>
      </c>
      <c r="F25" t="n">
        <v>0.4</v>
      </c>
      <c r="G25" t="n">
        <v>0.6</v>
      </c>
      <c r="H25" t="n">
        <v>0.4</v>
      </c>
      <c r="I25" t="n">
        <v>0.4</v>
      </c>
      <c r="J25" t="n">
        <v>0.4</v>
      </c>
      <c r="K25" t="n">
        <v>0.4</v>
      </c>
      <c r="L25" t="n">
        <v>0.3</v>
      </c>
      <c r="M25" t="n">
        <v>0.4</v>
      </c>
    </row>
    <row r="26">
      <c r="A26" t="inlineStr">
        <is>
          <t>Takeo</t>
        </is>
      </c>
      <c r="B26" t="n">
        <v>0.6</v>
      </c>
      <c r="C26" t="n">
        <v>0.7</v>
      </c>
      <c r="D26" t="n">
        <v>0.6</v>
      </c>
      <c r="E26" t="n">
        <v>1.4</v>
      </c>
      <c r="F26" t="n">
        <v>1.4</v>
      </c>
      <c r="G26" t="n">
        <v>1.4</v>
      </c>
      <c r="H26" t="n">
        <v>1.2</v>
      </c>
      <c r="I26" t="n">
        <v>1.1</v>
      </c>
      <c r="J26" t="n">
        <v>1.3</v>
      </c>
      <c r="K26" t="n">
        <v>1.1</v>
      </c>
      <c r="L26" t="n">
        <v>1.1</v>
      </c>
      <c r="M26" t="n">
        <v>1.1</v>
      </c>
    </row>
    <row r="27">
      <c r="A27" t="inlineStr">
        <is>
          <t>Tbaung Khmum</t>
        </is>
      </c>
      <c r="B27" t="n">
        <v>0.8</v>
      </c>
      <c r="C27" t="n">
        <v>0.9</v>
      </c>
      <c r="D27" t="n">
        <v>0.8</v>
      </c>
      <c r="E27" t="n">
        <v>1.6</v>
      </c>
      <c r="F27" t="n">
        <v>1.8</v>
      </c>
      <c r="G27" t="n">
        <v>1.4</v>
      </c>
      <c r="H27" t="n">
        <v>3</v>
      </c>
      <c r="I27" t="n">
        <v>3.3</v>
      </c>
      <c r="J27" t="n">
        <v>2.8</v>
      </c>
      <c r="K27" t="n">
        <v>1.8</v>
      </c>
      <c r="L27" t="n">
        <v>2</v>
      </c>
      <c r="M27" t="n">
        <v>1.6</v>
      </c>
    </row>
    <row r="28">
      <c r="A28" t="inlineStr">
        <is>
          <t>Whole Kingdom</t>
        </is>
      </c>
      <c r="B28" t="n">
        <v>2.5</v>
      </c>
      <c r="C28" t="n">
        <v>2.5</v>
      </c>
      <c r="D28" t="n">
        <v>2.6</v>
      </c>
      <c r="E28" t="n">
        <v>4.4</v>
      </c>
      <c r="F28" t="n">
        <v>4.6</v>
      </c>
      <c r="G28" t="n">
        <v>4.1</v>
      </c>
      <c r="H28" t="n">
        <v>5.8</v>
      </c>
      <c r="I28" t="n">
        <v>5.8</v>
      </c>
      <c r="J28" t="n">
        <v>5.8</v>
      </c>
      <c r="K28" t="n">
        <v>4.2</v>
      </c>
      <c r="L28" t="n">
        <v>4.3</v>
      </c>
      <c r="M28" t="n">
        <v>4.2</v>
      </c>
    </row>
    <row r="29">
      <c r="A29" t="inlineStr">
        <is>
          <t>- Urban Area</t>
        </is>
      </c>
      <c r="B29" t="n">
        <v>9.6</v>
      </c>
      <c r="C29" t="n">
        <v>9.199999999999999</v>
      </c>
      <c r="D29" t="n">
        <v>10</v>
      </c>
      <c r="E29" t="n">
        <v>16.6</v>
      </c>
      <c r="F29" t="n">
        <v>17.7</v>
      </c>
      <c r="G29" t="n">
        <v>15.6</v>
      </c>
      <c r="H29" t="n">
        <v>23.2</v>
      </c>
      <c r="I29" t="n">
        <v>23</v>
      </c>
      <c r="J29" t="n">
        <v>23.4</v>
      </c>
      <c r="K29" t="n">
        <v>16.2</v>
      </c>
      <c r="L29" t="n">
        <v>16.3</v>
      </c>
      <c r="M29" t="n">
        <v>16</v>
      </c>
    </row>
    <row r="30">
      <c r="A30" t="inlineStr">
        <is>
          <t>- Rural Area</t>
        </is>
      </c>
      <c r="B30" t="n">
        <v>0.4</v>
      </c>
      <c r="C30" t="n">
        <v>0.4</v>
      </c>
      <c r="D30" t="n">
        <v>0.4</v>
      </c>
      <c r="E30" t="n">
        <v>0.9</v>
      </c>
      <c r="F30" t="n">
        <v>0.9</v>
      </c>
      <c r="G30" t="n">
        <v>0.8</v>
      </c>
      <c r="H30" t="n">
        <v>1</v>
      </c>
      <c r="I30" t="n">
        <v>1.1</v>
      </c>
      <c r="J30" t="n">
        <v>1</v>
      </c>
      <c r="K30" t="n">
        <v>0.8</v>
      </c>
      <c r="L30" t="n">
        <v>0.8</v>
      </c>
      <c r="M30" t="n">
        <v>0.7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B9BD5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3.5" customWidth="1" min="1" max="1"/>
    <col width="14" customWidth="1" min="2" max="2"/>
    <col width="13.5" customWidth="1" min="3" max="3"/>
    <col width="14" customWidth="1" min="4" max="4"/>
    <col width="13.5" customWidth="1" min="5" max="5"/>
    <col width="14" customWidth="1" min="6" max="6"/>
    <col width="13.5" customWidth="1" min="7" max="7"/>
    <col width="14" customWidth="1" min="8" max="8"/>
    <col width="13.5" customWidth="1" min="10" max="10"/>
    <col width="14" customWidth="1" min="11" max="11"/>
  </cols>
  <sheetData>
    <row r="1">
      <c r="A1" t="inlineStr">
        <is>
          <t>Table 1: Schools, Classes, Students and Staff</t>
        </is>
      </c>
      <c r="B1" t="inlineStr">
        <is>
          <t>&lt; 3 Year</t>
        </is>
      </c>
      <c r="D1" t="inlineStr">
        <is>
          <t>Age 3</t>
        </is>
      </c>
      <c r="F1" t="inlineStr">
        <is>
          <t>Age 4</t>
        </is>
      </c>
      <c r="H1" t="inlineStr">
        <is>
          <t>Age 5</t>
        </is>
      </c>
      <c r="J1" t="inlineStr">
        <is>
          <t>Age 6</t>
        </is>
      </c>
    </row>
    <row r="2">
      <c r="B2" t="inlineStr">
        <is>
          <t>Total</t>
        </is>
      </c>
      <c r="C2" t="inlineStr">
        <is>
          <t>Girl</t>
        </is>
      </c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Girl</t>
        </is>
      </c>
      <c r="H2" t="inlineStr">
        <is>
          <t>Total</t>
        </is>
      </c>
      <c r="I2" t="inlineStr">
        <is>
          <t>Girl</t>
        </is>
      </c>
      <c r="J2" t="inlineStr">
        <is>
          <t>Total</t>
        </is>
      </c>
      <c r="K2" t="inlineStr">
        <is>
          <t>Girl</t>
        </is>
      </c>
    </row>
    <row r="3">
      <c r="A3" t="inlineStr">
        <is>
          <t>Banteay Meanchey</t>
        </is>
      </c>
      <c r="B3" t="n">
        <v>22</v>
      </c>
      <c r="C3" t="n">
        <v>11</v>
      </c>
      <c r="D3" t="n">
        <v>344</v>
      </c>
      <c r="E3" t="n">
        <v>168</v>
      </c>
      <c r="F3" t="n">
        <v>1276</v>
      </c>
      <c r="G3" t="n">
        <v>641</v>
      </c>
      <c r="H3" t="n">
        <v>1323</v>
      </c>
      <c r="I3" t="n">
        <v>630</v>
      </c>
      <c r="J3" t="n">
        <v>428</v>
      </c>
      <c r="K3" t="n">
        <v>203</v>
      </c>
    </row>
    <row r="4">
      <c r="A4" t="inlineStr">
        <is>
          <t>Battambang</t>
        </is>
      </c>
      <c r="B4" t="n">
        <v>21</v>
      </c>
      <c r="C4" t="n">
        <v>9</v>
      </c>
      <c r="D4" t="n">
        <v>228</v>
      </c>
      <c r="E4" t="n">
        <v>112</v>
      </c>
      <c r="F4" t="n">
        <v>367</v>
      </c>
      <c r="G4" t="n">
        <v>193</v>
      </c>
      <c r="H4" t="n">
        <v>505</v>
      </c>
      <c r="I4" t="n">
        <v>223</v>
      </c>
      <c r="J4" t="n">
        <v>152</v>
      </c>
      <c r="K4" t="n">
        <v>68</v>
      </c>
    </row>
    <row r="5">
      <c r="A5" t="inlineStr">
        <is>
          <t>Kampong Cham</t>
        </is>
      </c>
      <c r="B5" t="n">
        <v>25</v>
      </c>
      <c r="C5" t="n">
        <v>13</v>
      </c>
      <c r="D5" t="n">
        <v>235</v>
      </c>
      <c r="E5" t="n">
        <v>136</v>
      </c>
      <c r="F5" t="n">
        <v>228</v>
      </c>
      <c r="G5" t="n">
        <v>114</v>
      </c>
      <c r="H5" t="n">
        <v>260</v>
      </c>
      <c r="I5" t="n">
        <v>116</v>
      </c>
      <c r="J5" t="n">
        <v>105</v>
      </c>
      <c r="K5" t="n">
        <v>76</v>
      </c>
    </row>
    <row r="6">
      <c r="A6" t="inlineStr">
        <is>
          <t>Kampong Chhnang</t>
        </is>
      </c>
      <c r="B6" t="n">
        <v>106</v>
      </c>
      <c r="C6" t="n">
        <v>55</v>
      </c>
      <c r="D6" t="n">
        <v>330</v>
      </c>
      <c r="E6" t="n">
        <v>160</v>
      </c>
      <c r="F6" t="n">
        <v>400</v>
      </c>
      <c r="G6" t="n">
        <v>194</v>
      </c>
      <c r="H6" t="n">
        <v>675</v>
      </c>
      <c r="I6" t="n">
        <v>316</v>
      </c>
      <c r="J6" t="n">
        <v>21</v>
      </c>
      <c r="K6" t="n">
        <v>11</v>
      </c>
    </row>
    <row r="7">
      <c r="A7" t="inlineStr">
        <is>
          <t>Kampong Speu</t>
        </is>
      </c>
      <c r="B7" t="n">
        <v>66</v>
      </c>
      <c r="C7" t="n">
        <v>43</v>
      </c>
      <c r="D7" t="n">
        <v>438</v>
      </c>
      <c r="E7" t="n">
        <v>224</v>
      </c>
      <c r="F7" t="n">
        <v>743</v>
      </c>
      <c r="G7" t="n">
        <v>377</v>
      </c>
      <c r="H7" t="n">
        <v>797</v>
      </c>
      <c r="I7" t="n">
        <v>413</v>
      </c>
      <c r="J7" t="n">
        <v>873</v>
      </c>
      <c r="K7" t="n">
        <v>457</v>
      </c>
    </row>
    <row r="8">
      <c r="A8" t="inlineStr">
        <is>
          <t>Kampong Thom</t>
        </is>
      </c>
      <c r="B8" t="n">
        <v>4</v>
      </c>
      <c r="C8" t="n">
        <v>1</v>
      </c>
      <c r="D8" t="n">
        <v>55</v>
      </c>
      <c r="E8" t="n">
        <v>20</v>
      </c>
      <c r="F8" t="n">
        <v>102</v>
      </c>
      <c r="G8" t="n">
        <v>43</v>
      </c>
      <c r="H8" t="n">
        <v>143</v>
      </c>
      <c r="I8" t="n">
        <v>65</v>
      </c>
      <c r="J8" t="n">
        <v>38</v>
      </c>
      <c r="K8" t="n">
        <v>19</v>
      </c>
    </row>
    <row r="9">
      <c r="A9" t="inlineStr">
        <is>
          <t>Kampot</t>
        </is>
      </c>
      <c r="B9" t="n">
        <v>51</v>
      </c>
      <c r="C9" t="n">
        <v>29</v>
      </c>
      <c r="D9" t="n">
        <v>189</v>
      </c>
      <c r="E9" t="n">
        <v>87</v>
      </c>
      <c r="F9" t="n">
        <v>314</v>
      </c>
      <c r="G9" t="n">
        <v>157</v>
      </c>
      <c r="H9" t="n">
        <v>314</v>
      </c>
      <c r="I9" t="n">
        <v>162</v>
      </c>
      <c r="J9" t="n">
        <v>130</v>
      </c>
      <c r="K9" t="n">
        <v>64</v>
      </c>
    </row>
    <row r="10">
      <c r="A10" t="inlineStr">
        <is>
          <t>Kandal</t>
        </is>
      </c>
      <c r="B10" t="n">
        <v>6</v>
      </c>
      <c r="C10" t="n">
        <v>3</v>
      </c>
      <c r="D10" t="n">
        <v>227</v>
      </c>
      <c r="E10" t="n">
        <v>120</v>
      </c>
      <c r="F10" t="n">
        <v>600</v>
      </c>
      <c r="G10" t="n">
        <v>287</v>
      </c>
      <c r="H10" t="n">
        <v>639</v>
      </c>
      <c r="I10" t="n">
        <v>311</v>
      </c>
      <c r="J10" t="n">
        <v>502</v>
      </c>
      <c r="K10" t="n">
        <v>280</v>
      </c>
    </row>
    <row r="11">
      <c r="A11" t="inlineStr">
        <is>
          <t>Kep</t>
        </is>
      </c>
      <c r="B11" t="n">
        <v>0</v>
      </c>
      <c r="C11" t="n">
        <v>0</v>
      </c>
      <c r="D11" t="n">
        <v>14</v>
      </c>
      <c r="E11" t="n">
        <v>5</v>
      </c>
      <c r="F11" t="n">
        <v>27</v>
      </c>
      <c r="G11" t="n">
        <v>12</v>
      </c>
      <c r="H11" t="n">
        <v>23</v>
      </c>
      <c r="I11" t="n">
        <v>13</v>
      </c>
      <c r="J11" t="n">
        <v>57</v>
      </c>
      <c r="K11" t="n">
        <v>31</v>
      </c>
    </row>
    <row r="12">
      <c r="A12" t="inlineStr">
        <is>
          <t>Koh Kong</t>
        </is>
      </c>
      <c r="B12" t="n">
        <v>45</v>
      </c>
      <c r="C12" t="n">
        <v>18</v>
      </c>
      <c r="D12" t="n">
        <v>25</v>
      </c>
      <c r="E12" t="n">
        <v>10</v>
      </c>
      <c r="F12" t="n">
        <v>65</v>
      </c>
      <c r="G12" t="n">
        <v>35</v>
      </c>
      <c r="H12" t="n">
        <v>112</v>
      </c>
      <c r="I12" t="n">
        <v>78</v>
      </c>
      <c r="J12" t="n">
        <v>69</v>
      </c>
      <c r="K12" t="n">
        <v>42</v>
      </c>
    </row>
    <row r="13">
      <c r="A13" t="inlineStr">
        <is>
          <t>Kratie</t>
        </is>
      </c>
      <c r="B13" t="n">
        <v>0</v>
      </c>
      <c r="C13" t="n">
        <v>0</v>
      </c>
      <c r="D13" t="n">
        <v>49</v>
      </c>
      <c r="E13" t="n">
        <v>22</v>
      </c>
      <c r="F13" t="n">
        <v>61</v>
      </c>
      <c r="G13" t="n">
        <v>32</v>
      </c>
      <c r="H13" t="n">
        <v>52</v>
      </c>
      <c r="I13" t="n">
        <v>26</v>
      </c>
      <c r="J13" t="n">
        <v>0</v>
      </c>
      <c r="K13" t="n">
        <v>0</v>
      </c>
    </row>
    <row r="14">
      <c r="A14" t="inlineStr">
        <is>
          <t>Mondul Kiri</t>
        </is>
      </c>
      <c r="B14" t="n">
        <v>0</v>
      </c>
      <c r="C14" t="n">
        <v>0</v>
      </c>
      <c r="D14" t="n">
        <v>52</v>
      </c>
      <c r="E14" t="n">
        <v>23</v>
      </c>
      <c r="F14" t="n">
        <v>28</v>
      </c>
      <c r="G14" t="n">
        <v>14</v>
      </c>
      <c r="H14" t="n">
        <v>50</v>
      </c>
      <c r="I14" t="n">
        <v>23</v>
      </c>
      <c r="J14" t="n">
        <v>10</v>
      </c>
      <c r="K14" t="n">
        <v>5</v>
      </c>
    </row>
    <row r="15">
      <c r="A15" t="inlineStr">
        <is>
          <t>Otdar Meanchey</t>
        </is>
      </c>
      <c r="B15" t="n">
        <v>0</v>
      </c>
      <c r="C15" t="n">
        <v>0</v>
      </c>
      <c r="D15" t="n">
        <v>39</v>
      </c>
      <c r="E15" t="n">
        <v>20</v>
      </c>
      <c r="F15" t="n">
        <v>98</v>
      </c>
      <c r="G15" t="n">
        <v>32</v>
      </c>
      <c r="H15" t="n">
        <v>135</v>
      </c>
      <c r="I15" t="n">
        <v>62</v>
      </c>
      <c r="J15" t="n">
        <v>0</v>
      </c>
      <c r="K15" t="n">
        <v>0</v>
      </c>
    </row>
    <row r="16">
      <c r="A16" t="inlineStr">
        <is>
          <t>Pailin</t>
        </is>
      </c>
      <c r="B16" t="n">
        <v>4</v>
      </c>
      <c r="C16" t="n">
        <v>3</v>
      </c>
      <c r="D16" t="n">
        <v>127</v>
      </c>
      <c r="E16" t="n">
        <v>67</v>
      </c>
      <c r="F16" t="n">
        <v>296</v>
      </c>
      <c r="G16" t="n">
        <v>128</v>
      </c>
      <c r="H16" t="n">
        <v>269</v>
      </c>
      <c r="I16" t="n">
        <v>125</v>
      </c>
      <c r="J16" t="n">
        <v>22</v>
      </c>
      <c r="K16" t="n">
        <v>12</v>
      </c>
    </row>
    <row r="17">
      <c r="A17" t="inlineStr">
        <is>
          <t>Phnom Penh</t>
        </is>
      </c>
      <c r="B17" t="n">
        <v>526</v>
      </c>
      <c r="C17" t="n">
        <v>243</v>
      </c>
      <c r="D17" t="n">
        <v>3405</v>
      </c>
      <c r="E17" t="n">
        <v>1554</v>
      </c>
      <c r="F17" t="n">
        <v>5188</v>
      </c>
      <c r="G17" t="n">
        <v>2733</v>
      </c>
      <c r="H17" t="n">
        <v>8222</v>
      </c>
      <c r="I17" t="n">
        <v>4131</v>
      </c>
      <c r="J17" t="n">
        <v>2475</v>
      </c>
      <c r="K17" t="n">
        <v>1178</v>
      </c>
    </row>
    <row r="18">
      <c r="A18" t="inlineStr">
        <is>
          <t>Preah Sihanouk</t>
        </is>
      </c>
      <c r="B18" t="n">
        <v>71</v>
      </c>
      <c r="C18" t="n">
        <v>30</v>
      </c>
      <c r="D18" t="n">
        <v>296</v>
      </c>
      <c r="E18" t="n">
        <v>151</v>
      </c>
      <c r="F18" t="n">
        <v>828</v>
      </c>
      <c r="G18" t="n">
        <v>426</v>
      </c>
      <c r="H18" t="n">
        <v>779</v>
      </c>
      <c r="I18" t="n">
        <v>377</v>
      </c>
      <c r="J18" t="n">
        <v>568</v>
      </c>
      <c r="K18" t="n">
        <v>287</v>
      </c>
    </row>
    <row r="19">
      <c r="A19" t="inlineStr">
        <is>
          <t>Preah Vihear</t>
        </is>
      </c>
      <c r="B19" t="n">
        <v>0</v>
      </c>
      <c r="C19" t="n">
        <v>0</v>
      </c>
      <c r="D19" t="n">
        <v>12</v>
      </c>
      <c r="E19" t="n">
        <v>6</v>
      </c>
      <c r="F19" t="n">
        <v>25</v>
      </c>
      <c r="G19" t="n">
        <v>15</v>
      </c>
      <c r="H19" t="n">
        <v>42</v>
      </c>
      <c r="I19" t="n">
        <v>26</v>
      </c>
      <c r="J19" t="n">
        <v>0</v>
      </c>
      <c r="K19" t="n">
        <v>0</v>
      </c>
    </row>
    <row r="20">
      <c r="A20" t="inlineStr">
        <is>
          <t>Prey Veng</t>
        </is>
      </c>
      <c r="B20" t="n">
        <v>0</v>
      </c>
      <c r="C20" t="n">
        <v>0</v>
      </c>
      <c r="D20" t="n">
        <v>15</v>
      </c>
      <c r="E20" t="n">
        <v>11</v>
      </c>
      <c r="F20" t="n">
        <v>65</v>
      </c>
      <c r="G20" t="n">
        <v>33</v>
      </c>
      <c r="H20" t="n">
        <v>51</v>
      </c>
      <c r="I20" t="n">
        <v>33</v>
      </c>
      <c r="J20" t="n">
        <v>7</v>
      </c>
      <c r="K20" t="n">
        <v>4</v>
      </c>
    </row>
    <row r="21">
      <c r="A21" t="inlineStr">
        <is>
          <t>Pursat</t>
        </is>
      </c>
      <c r="B21" t="n">
        <v>0</v>
      </c>
      <c r="C21" t="n">
        <v>0</v>
      </c>
      <c r="D21" t="n">
        <v>182</v>
      </c>
      <c r="E21" t="n">
        <v>75</v>
      </c>
      <c r="F21" t="n">
        <v>178</v>
      </c>
      <c r="G21" t="n">
        <v>100</v>
      </c>
      <c r="H21" t="n">
        <v>131</v>
      </c>
      <c r="I21" t="n">
        <v>73</v>
      </c>
      <c r="J21" t="n">
        <v>528</v>
      </c>
      <c r="K21" t="n">
        <v>257</v>
      </c>
    </row>
    <row r="22">
      <c r="A22" t="inlineStr">
        <is>
          <t>Ratanak Kiri</t>
        </is>
      </c>
      <c r="B22" t="n">
        <v>20</v>
      </c>
      <c r="C22" t="n">
        <v>7</v>
      </c>
      <c r="D22" t="n">
        <v>265</v>
      </c>
      <c r="E22" t="n">
        <v>126</v>
      </c>
      <c r="F22" t="n">
        <v>142</v>
      </c>
      <c r="G22" t="n">
        <v>68</v>
      </c>
      <c r="H22" t="n">
        <v>652</v>
      </c>
      <c r="I22" t="n">
        <v>155</v>
      </c>
      <c r="J22" t="n">
        <v>190</v>
      </c>
      <c r="K22" t="n">
        <v>59</v>
      </c>
    </row>
    <row r="23">
      <c r="A23" t="inlineStr">
        <is>
          <t>Siemreap</t>
        </is>
      </c>
      <c r="B23" t="n">
        <v>113</v>
      </c>
      <c r="C23" t="n">
        <v>58</v>
      </c>
      <c r="D23" t="n">
        <v>1294</v>
      </c>
      <c r="E23" t="n">
        <v>596</v>
      </c>
      <c r="F23" t="n">
        <v>1986</v>
      </c>
      <c r="G23" t="n">
        <v>1063</v>
      </c>
      <c r="H23" t="n">
        <v>1778</v>
      </c>
      <c r="I23" t="n">
        <v>833</v>
      </c>
      <c r="J23" t="n">
        <v>1359</v>
      </c>
      <c r="K23" t="n">
        <v>715</v>
      </c>
    </row>
    <row r="24">
      <c r="A24" t="inlineStr">
        <is>
          <t>Stung Treng</t>
        </is>
      </c>
      <c r="B24" t="n">
        <v>0</v>
      </c>
      <c r="C24" t="n">
        <v>0</v>
      </c>
      <c r="D24" t="n">
        <v>35</v>
      </c>
      <c r="E24" t="n">
        <v>24</v>
      </c>
      <c r="F24" t="n">
        <v>48</v>
      </c>
      <c r="G24" t="n">
        <v>25</v>
      </c>
      <c r="H24" t="n">
        <v>22</v>
      </c>
      <c r="I24" t="n">
        <v>9</v>
      </c>
      <c r="J24" t="n">
        <v>3</v>
      </c>
      <c r="K24" t="n">
        <v>2</v>
      </c>
    </row>
    <row r="25">
      <c r="A25" t="inlineStr">
        <is>
          <t>Svay Rieng</t>
        </is>
      </c>
      <c r="B25" t="n">
        <v>0</v>
      </c>
      <c r="C25" t="n">
        <v>0</v>
      </c>
      <c r="D25" t="n">
        <v>27</v>
      </c>
      <c r="E25" t="n">
        <v>11</v>
      </c>
      <c r="F25" t="n">
        <v>44</v>
      </c>
      <c r="G25" t="n">
        <v>18</v>
      </c>
      <c r="H25" t="n">
        <v>35</v>
      </c>
      <c r="I25" t="n">
        <v>17</v>
      </c>
      <c r="J25" t="n">
        <v>0</v>
      </c>
      <c r="K25" t="n">
        <v>0</v>
      </c>
    </row>
    <row r="26">
      <c r="A26" t="inlineStr">
        <is>
          <t>Takeo</t>
        </is>
      </c>
      <c r="B26" t="n">
        <v>5</v>
      </c>
      <c r="C26" t="n">
        <v>1</v>
      </c>
      <c r="D26" t="n">
        <v>110</v>
      </c>
      <c r="E26" t="n">
        <v>59</v>
      </c>
      <c r="F26" t="n">
        <v>234</v>
      </c>
      <c r="G26" t="n">
        <v>115</v>
      </c>
      <c r="H26" t="n">
        <v>205</v>
      </c>
      <c r="I26" t="n">
        <v>89</v>
      </c>
      <c r="J26" t="n">
        <v>39</v>
      </c>
      <c r="K26" t="n">
        <v>18</v>
      </c>
    </row>
    <row r="27">
      <c r="A27" t="inlineStr">
        <is>
          <t>Tbaung Khmum</t>
        </is>
      </c>
      <c r="B27" t="n">
        <v>25</v>
      </c>
      <c r="C27" t="n">
        <v>12</v>
      </c>
      <c r="D27" t="n">
        <v>133</v>
      </c>
      <c r="E27" t="n">
        <v>70</v>
      </c>
      <c r="F27" t="n">
        <v>244</v>
      </c>
      <c r="G27" t="n">
        <v>133</v>
      </c>
      <c r="H27" t="n">
        <v>462</v>
      </c>
      <c r="I27" t="n">
        <v>243</v>
      </c>
      <c r="J27" t="n">
        <v>243</v>
      </c>
      <c r="K27" t="n">
        <v>131</v>
      </c>
    </row>
    <row r="28">
      <c r="A28" t="inlineStr">
        <is>
          <t>Whole Kingdom</t>
        </is>
      </c>
      <c r="B28" t="n">
        <v>1110</v>
      </c>
      <c r="C28" t="n">
        <v>536</v>
      </c>
      <c r="D28" t="n">
        <v>8126</v>
      </c>
      <c r="E28" t="n">
        <v>3857</v>
      </c>
      <c r="F28" t="n">
        <v>13587</v>
      </c>
      <c r="G28" t="n">
        <v>6988</v>
      </c>
      <c r="H28" t="n">
        <v>17676</v>
      </c>
      <c r="I28" t="n">
        <v>8549</v>
      </c>
      <c r="J28" t="n">
        <v>7819</v>
      </c>
      <c r="K28" t="n">
        <v>3919</v>
      </c>
    </row>
    <row r="29">
      <c r="A29" t="inlineStr">
        <is>
          <t>- Urban Area</t>
        </is>
      </c>
      <c r="B29" t="n">
        <v>970</v>
      </c>
      <c r="C29" t="n">
        <v>462</v>
      </c>
      <c r="D29" t="n">
        <v>7162</v>
      </c>
      <c r="E29" t="n">
        <v>3339</v>
      </c>
      <c r="F29" t="n">
        <v>11527</v>
      </c>
      <c r="G29" t="n">
        <v>5955</v>
      </c>
      <c r="H29" t="n">
        <v>15240</v>
      </c>
      <c r="I29" t="n">
        <v>7307</v>
      </c>
      <c r="J29" t="n">
        <v>6149</v>
      </c>
      <c r="K29" t="n">
        <v>3055</v>
      </c>
    </row>
    <row r="30">
      <c r="A30" t="inlineStr">
        <is>
          <t>- Rural Area</t>
        </is>
      </c>
      <c r="B30" t="n">
        <v>140</v>
      </c>
      <c r="C30" t="n">
        <v>74</v>
      </c>
      <c r="D30" t="n">
        <v>964</v>
      </c>
      <c r="E30" t="n">
        <v>518</v>
      </c>
      <c r="F30" t="n">
        <v>2060</v>
      </c>
      <c r="G30" t="n">
        <v>1033</v>
      </c>
      <c r="H30" t="n">
        <v>2436</v>
      </c>
      <c r="I30" t="n">
        <v>1242</v>
      </c>
      <c r="J30" t="n">
        <v>1670</v>
      </c>
      <c r="K30" t="n">
        <v>864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B9BD5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3.5" customWidth="1" min="1" max="1"/>
    <col width="14.1640625" customWidth="1" min="2" max="2"/>
  </cols>
  <sheetData>
    <row r="1">
      <c r="A1" t="inlineStr">
        <is>
          <t>Table 1: Schools, Classes, Students and Staff</t>
        </is>
      </c>
      <c r="B1" t="inlineStr">
        <is>
          <t>Lowest Step</t>
        </is>
      </c>
      <c r="D1" t="inlineStr">
        <is>
          <t>Medium Step</t>
        </is>
      </c>
      <c r="F1" t="inlineStr">
        <is>
          <t>Highest Step</t>
        </is>
      </c>
      <c r="H1" t="inlineStr">
        <is>
          <t>Mixed Step</t>
        </is>
      </c>
      <c r="J1" t="inlineStr">
        <is>
          <t>Total</t>
        </is>
      </c>
    </row>
    <row r="2">
      <c r="B2" t="inlineStr">
        <is>
          <t>Total</t>
        </is>
      </c>
      <c r="C2" t="inlineStr">
        <is>
          <t>Girl</t>
        </is>
      </c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Girl</t>
        </is>
      </c>
      <c r="H2" t="inlineStr">
        <is>
          <t>Total</t>
        </is>
      </c>
      <c r="I2" t="inlineStr">
        <is>
          <t>Girl</t>
        </is>
      </c>
      <c r="J2" t="inlineStr">
        <is>
          <t>Total</t>
        </is>
      </c>
      <c r="K2" t="inlineStr">
        <is>
          <t>Girl</t>
        </is>
      </c>
    </row>
    <row r="3">
      <c r="A3" t="inlineStr">
        <is>
          <t>Banteay Meanchey</t>
        </is>
      </c>
      <c r="B3" t="n">
        <v>484</v>
      </c>
      <c r="C3" t="n">
        <v>249</v>
      </c>
      <c r="D3" t="n">
        <v>580</v>
      </c>
      <c r="E3" t="n">
        <v>268</v>
      </c>
      <c r="F3" t="n">
        <v>839</v>
      </c>
      <c r="G3" t="n">
        <v>413</v>
      </c>
      <c r="H3" t="n">
        <v>1490</v>
      </c>
      <c r="I3" t="n">
        <v>723</v>
      </c>
      <c r="J3" t="n">
        <v>3393</v>
      </c>
      <c r="K3" t="n">
        <v>1653</v>
      </c>
    </row>
    <row r="4">
      <c r="A4" t="inlineStr">
        <is>
          <t>Battambang</t>
        </is>
      </c>
      <c r="B4" t="n">
        <v>184</v>
      </c>
      <c r="C4" t="n">
        <v>99</v>
      </c>
      <c r="D4" t="n">
        <v>223</v>
      </c>
      <c r="E4" t="n">
        <v>118</v>
      </c>
      <c r="F4" t="n">
        <v>461</v>
      </c>
      <c r="G4" t="n">
        <v>214</v>
      </c>
      <c r="H4" t="n">
        <v>405</v>
      </c>
      <c r="I4" t="n">
        <v>174</v>
      </c>
      <c r="J4" t="n">
        <v>1273</v>
      </c>
      <c r="K4" t="n">
        <v>605</v>
      </c>
    </row>
    <row r="5">
      <c r="A5" t="inlineStr">
        <is>
          <t>Kampong Cham</t>
        </is>
      </c>
      <c r="B5" t="n">
        <v>357</v>
      </c>
      <c r="C5" t="n">
        <v>194</v>
      </c>
      <c r="D5" t="n">
        <v>170</v>
      </c>
      <c r="E5" t="n">
        <v>72</v>
      </c>
      <c r="F5" t="n">
        <v>170</v>
      </c>
      <c r="G5" t="n">
        <v>111</v>
      </c>
      <c r="H5" t="n">
        <v>156</v>
      </c>
      <c r="I5" t="n">
        <v>78</v>
      </c>
      <c r="J5" t="n">
        <v>853</v>
      </c>
      <c r="K5" t="n">
        <v>455</v>
      </c>
    </row>
    <row r="6">
      <c r="A6" t="inlineStr">
        <is>
          <t>Kampong Chhnang</t>
        </is>
      </c>
      <c r="B6" t="n">
        <v>277</v>
      </c>
      <c r="C6" t="n">
        <v>132</v>
      </c>
      <c r="D6" t="n">
        <v>356</v>
      </c>
      <c r="E6" t="n">
        <v>181</v>
      </c>
      <c r="F6" t="n">
        <v>557</v>
      </c>
      <c r="G6" t="n">
        <v>255</v>
      </c>
      <c r="H6" t="n">
        <v>342</v>
      </c>
      <c r="I6" t="n">
        <v>168</v>
      </c>
      <c r="J6" t="n">
        <v>1532</v>
      </c>
      <c r="K6" t="n">
        <v>736</v>
      </c>
    </row>
    <row r="7">
      <c r="A7" t="inlineStr">
        <is>
          <t>Kampong Speu</t>
        </is>
      </c>
      <c r="B7" t="n">
        <v>576</v>
      </c>
      <c r="C7" t="n">
        <v>289</v>
      </c>
      <c r="D7" t="n">
        <v>628</v>
      </c>
      <c r="E7" t="n">
        <v>328</v>
      </c>
      <c r="F7" t="n">
        <v>844</v>
      </c>
      <c r="G7" t="n">
        <v>453</v>
      </c>
      <c r="H7" t="n">
        <v>869</v>
      </c>
      <c r="I7" t="n">
        <v>444</v>
      </c>
      <c r="J7" t="n">
        <v>2917</v>
      </c>
      <c r="K7" t="n">
        <v>1514</v>
      </c>
    </row>
    <row r="8">
      <c r="A8" t="inlineStr">
        <is>
          <t>Kampong Thom</t>
        </is>
      </c>
      <c r="B8" t="n">
        <v>45</v>
      </c>
      <c r="C8" t="n">
        <v>19</v>
      </c>
      <c r="D8" t="n">
        <v>76</v>
      </c>
      <c r="E8" t="n">
        <v>31</v>
      </c>
      <c r="F8" t="n">
        <v>134</v>
      </c>
      <c r="G8" t="n">
        <v>61</v>
      </c>
      <c r="H8" t="n">
        <v>87</v>
      </c>
      <c r="I8" t="n">
        <v>37</v>
      </c>
      <c r="J8" t="n">
        <v>342</v>
      </c>
      <c r="K8" t="n">
        <v>148</v>
      </c>
    </row>
    <row r="9">
      <c r="A9" t="inlineStr">
        <is>
          <t>Kampot</t>
        </is>
      </c>
      <c r="B9" t="n">
        <v>301</v>
      </c>
      <c r="C9" t="n">
        <v>152</v>
      </c>
      <c r="D9" t="n">
        <v>211</v>
      </c>
      <c r="E9" t="n">
        <v>107</v>
      </c>
      <c r="F9" t="n">
        <v>390</v>
      </c>
      <c r="G9" t="n">
        <v>201</v>
      </c>
      <c r="H9" t="n">
        <v>96</v>
      </c>
      <c r="I9" t="n">
        <v>39</v>
      </c>
      <c r="J9" t="n">
        <v>998</v>
      </c>
      <c r="K9" t="n">
        <v>499</v>
      </c>
    </row>
    <row r="10">
      <c r="A10" t="inlineStr">
        <is>
          <t>Kandal</t>
        </is>
      </c>
      <c r="B10" t="n">
        <v>279</v>
      </c>
      <c r="C10" t="n">
        <v>123</v>
      </c>
      <c r="D10" t="n">
        <v>300</v>
      </c>
      <c r="E10" t="n">
        <v>141</v>
      </c>
      <c r="F10" t="n">
        <v>309</v>
      </c>
      <c r="G10" t="n">
        <v>152</v>
      </c>
      <c r="H10" t="n">
        <v>1086</v>
      </c>
      <c r="I10" t="n">
        <v>585</v>
      </c>
      <c r="J10" t="n">
        <v>1974</v>
      </c>
      <c r="K10" t="n">
        <v>1001</v>
      </c>
    </row>
    <row r="11">
      <c r="A11" t="inlineStr">
        <is>
          <t>Kep</t>
        </is>
      </c>
      <c r="B11" t="n">
        <v>0</v>
      </c>
      <c r="C11" t="n">
        <v>0</v>
      </c>
      <c r="D11" t="n">
        <v>21</v>
      </c>
      <c r="E11" t="n">
        <v>10</v>
      </c>
      <c r="F11" t="n">
        <v>23</v>
      </c>
      <c r="G11" t="n">
        <v>12</v>
      </c>
      <c r="H11" t="n">
        <v>77</v>
      </c>
      <c r="I11" t="n">
        <v>39</v>
      </c>
      <c r="J11" t="n">
        <v>121</v>
      </c>
      <c r="K11" t="n">
        <v>61</v>
      </c>
    </row>
    <row r="12">
      <c r="A12" t="inlineStr">
        <is>
          <t>Koh Kong</t>
        </is>
      </c>
      <c r="B12" t="n">
        <v>45</v>
      </c>
      <c r="C12" t="n">
        <v>21</v>
      </c>
      <c r="D12" t="n">
        <v>125</v>
      </c>
      <c r="E12" t="n">
        <v>80</v>
      </c>
      <c r="F12" t="n">
        <v>93</v>
      </c>
      <c r="G12" t="n">
        <v>55</v>
      </c>
      <c r="H12" t="n">
        <v>53</v>
      </c>
      <c r="I12" t="n">
        <v>27</v>
      </c>
      <c r="J12" t="n">
        <v>316</v>
      </c>
      <c r="K12" t="n">
        <v>183</v>
      </c>
    </row>
    <row r="13">
      <c r="A13" t="inlineStr">
        <is>
          <t>Kratie</t>
        </is>
      </c>
      <c r="B13" t="n">
        <v>45</v>
      </c>
      <c r="C13" t="n">
        <v>20</v>
      </c>
      <c r="D13" t="n">
        <v>81</v>
      </c>
      <c r="E13" t="n">
        <v>42</v>
      </c>
      <c r="F13" t="n">
        <v>36</v>
      </c>
      <c r="G13" t="n">
        <v>18</v>
      </c>
      <c r="H13" t="n">
        <v>0</v>
      </c>
      <c r="I13" t="n">
        <v>0</v>
      </c>
      <c r="J13" t="n">
        <v>162</v>
      </c>
      <c r="K13" t="n">
        <v>80</v>
      </c>
    </row>
    <row r="14">
      <c r="A14" t="inlineStr">
        <is>
          <t>Mondul Kiri</t>
        </is>
      </c>
      <c r="B14" t="n">
        <v>28</v>
      </c>
      <c r="C14" t="n">
        <v>13</v>
      </c>
      <c r="D14" t="n">
        <v>18</v>
      </c>
      <c r="E14" t="n">
        <v>12</v>
      </c>
      <c r="F14" t="n">
        <v>55</v>
      </c>
      <c r="G14" t="n">
        <v>23</v>
      </c>
      <c r="H14" t="n">
        <v>39</v>
      </c>
      <c r="I14" t="n">
        <v>17</v>
      </c>
      <c r="J14" t="n">
        <v>140</v>
      </c>
      <c r="K14" t="n">
        <v>65</v>
      </c>
    </row>
    <row r="15">
      <c r="A15" t="inlineStr">
        <is>
          <t>Otdar Meanchey</t>
        </is>
      </c>
      <c r="B15" t="n">
        <v>44</v>
      </c>
      <c r="C15" t="n">
        <v>21</v>
      </c>
      <c r="D15" t="n">
        <v>82</v>
      </c>
      <c r="E15" t="n">
        <v>30</v>
      </c>
      <c r="F15" t="n">
        <v>80</v>
      </c>
      <c r="G15" t="n">
        <v>39</v>
      </c>
      <c r="H15" t="n">
        <v>66</v>
      </c>
      <c r="I15" t="n">
        <v>24</v>
      </c>
      <c r="J15" t="n">
        <v>272</v>
      </c>
      <c r="K15" t="n">
        <v>114</v>
      </c>
    </row>
    <row r="16">
      <c r="A16" t="inlineStr">
        <is>
          <t>Pailin</t>
        </is>
      </c>
      <c r="B16" t="n">
        <v>175</v>
      </c>
      <c r="C16" t="n">
        <v>85</v>
      </c>
      <c r="D16" t="n">
        <v>260</v>
      </c>
      <c r="E16" t="n">
        <v>113</v>
      </c>
      <c r="F16" t="n">
        <v>234</v>
      </c>
      <c r="G16" t="n">
        <v>111</v>
      </c>
      <c r="H16" t="n">
        <v>49</v>
      </c>
      <c r="I16" t="n">
        <v>26</v>
      </c>
      <c r="J16" t="n">
        <v>718</v>
      </c>
      <c r="K16" t="n">
        <v>335</v>
      </c>
    </row>
    <row r="17">
      <c r="A17" t="inlineStr">
        <is>
          <t>Phnom Penh</t>
        </is>
      </c>
      <c r="B17" t="n">
        <v>4622</v>
      </c>
      <c r="C17" t="n">
        <v>2227</v>
      </c>
      <c r="D17" t="n">
        <v>4786</v>
      </c>
      <c r="E17" t="n">
        <v>2442</v>
      </c>
      <c r="F17" t="n">
        <v>7076</v>
      </c>
      <c r="G17" t="n">
        <v>3515</v>
      </c>
      <c r="H17" t="n">
        <v>3332</v>
      </c>
      <c r="I17" t="n">
        <v>1655</v>
      </c>
      <c r="J17" t="n">
        <v>19816</v>
      </c>
      <c r="K17" t="n">
        <v>9839</v>
      </c>
    </row>
    <row r="18">
      <c r="A18" t="inlineStr">
        <is>
          <t>Preah Sihanouk</t>
        </is>
      </c>
      <c r="B18" t="n">
        <v>481</v>
      </c>
      <c r="C18" t="n">
        <v>239</v>
      </c>
      <c r="D18" t="n">
        <v>640</v>
      </c>
      <c r="E18" t="n">
        <v>317</v>
      </c>
      <c r="F18" t="n">
        <v>885</v>
      </c>
      <c r="G18" t="n">
        <v>431</v>
      </c>
      <c r="H18" t="n">
        <v>536</v>
      </c>
      <c r="I18" t="n">
        <v>284</v>
      </c>
      <c r="J18" t="n">
        <v>2542</v>
      </c>
      <c r="K18" t="n">
        <v>1271</v>
      </c>
    </row>
    <row r="19">
      <c r="A19" t="inlineStr">
        <is>
          <t>Preah Vihear</t>
        </is>
      </c>
      <c r="B19" t="n">
        <v>20</v>
      </c>
      <c r="C19" t="n">
        <v>11</v>
      </c>
      <c r="D19" t="n">
        <v>17</v>
      </c>
      <c r="E19" t="n">
        <v>10</v>
      </c>
      <c r="F19" t="n">
        <v>42</v>
      </c>
      <c r="G19" t="n">
        <v>26</v>
      </c>
      <c r="H19" t="n">
        <v>0</v>
      </c>
      <c r="I19" t="n">
        <v>0</v>
      </c>
      <c r="J19" t="n">
        <v>79</v>
      </c>
      <c r="K19" t="n">
        <v>47</v>
      </c>
    </row>
    <row r="20">
      <c r="A20" t="inlineStr">
        <is>
          <t>Prey Veng</t>
        </is>
      </c>
      <c r="B20" t="n">
        <v>26</v>
      </c>
      <c r="C20" t="n">
        <v>17</v>
      </c>
      <c r="D20" t="n">
        <v>47</v>
      </c>
      <c r="E20" t="n">
        <v>24</v>
      </c>
      <c r="F20" t="n">
        <v>45</v>
      </c>
      <c r="G20" t="n">
        <v>30</v>
      </c>
      <c r="H20" t="n">
        <v>20</v>
      </c>
      <c r="I20" t="n">
        <v>10</v>
      </c>
      <c r="J20" t="n">
        <v>138</v>
      </c>
      <c r="K20" t="n">
        <v>81</v>
      </c>
    </row>
    <row r="21">
      <c r="A21" t="inlineStr">
        <is>
          <t>Pursat</t>
        </is>
      </c>
      <c r="B21" t="n">
        <v>157</v>
      </c>
      <c r="C21" t="n">
        <v>63</v>
      </c>
      <c r="D21" t="n">
        <v>147</v>
      </c>
      <c r="E21" t="n">
        <v>82</v>
      </c>
      <c r="F21" t="n">
        <v>106</v>
      </c>
      <c r="G21" t="n">
        <v>60</v>
      </c>
      <c r="H21" t="n">
        <v>609</v>
      </c>
      <c r="I21" t="n">
        <v>300</v>
      </c>
      <c r="J21" t="n">
        <v>1019</v>
      </c>
      <c r="K21" t="n">
        <v>505</v>
      </c>
    </row>
    <row r="22">
      <c r="A22" t="inlineStr">
        <is>
          <t>Ratanak Kiri</t>
        </is>
      </c>
      <c r="B22" t="n">
        <v>289</v>
      </c>
      <c r="C22" t="n">
        <v>130</v>
      </c>
      <c r="D22" t="n">
        <v>273</v>
      </c>
      <c r="E22" t="n">
        <v>140</v>
      </c>
      <c r="F22" t="n">
        <v>534</v>
      </c>
      <c r="G22" t="n">
        <v>91</v>
      </c>
      <c r="H22" t="n">
        <v>173</v>
      </c>
      <c r="I22" t="n">
        <v>54</v>
      </c>
      <c r="J22" t="n">
        <v>1269</v>
      </c>
      <c r="K22" t="n">
        <v>415</v>
      </c>
    </row>
    <row r="23">
      <c r="A23" t="inlineStr">
        <is>
          <t>Siemreap</t>
        </is>
      </c>
      <c r="B23" t="n">
        <v>1449</v>
      </c>
      <c r="C23" t="n">
        <v>727</v>
      </c>
      <c r="D23" t="n">
        <v>1286</v>
      </c>
      <c r="E23" t="n">
        <v>626</v>
      </c>
      <c r="F23" t="n">
        <v>1359</v>
      </c>
      <c r="G23" t="n">
        <v>664</v>
      </c>
      <c r="H23" t="n">
        <v>2436</v>
      </c>
      <c r="I23" t="n">
        <v>1248</v>
      </c>
      <c r="J23" t="n">
        <v>6530</v>
      </c>
      <c r="K23" t="n">
        <v>3265</v>
      </c>
    </row>
    <row r="24">
      <c r="A24" t="inlineStr">
        <is>
          <t>Stung Treng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</v>
      </c>
      <c r="I24" t="n">
        <v>60</v>
      </c>
      <c r="J24" t="n">
        <v>108</v>
      </c>
      <c r="K24" t="n">
        <v>60</v>
      </c>
    </row>
    <row r="25">
      <c r="A25" t="inlineStr">
        <is>
          <t>Svay Rieng</t>
        </is>
      </c>
      <c r="B25" t="n">
        <v>20</v>
      </c>
      <c r="C25" t="n">
        <v>5</v>
      </c>
      <c r="D25" t="n">
        <v>36</v>
      </c>
      <c r="E25" t="n">
        <v>15</v>
      </c>
      <c r="F25" t="n">
        <v>25</v>
      </c>
      <c r="G25" t="n">
        <v>15</v>
      </c>
      <c r="H25" t="n">
        <v>25</v>
      </c>
      <c r="I25" t="n">
        <v>11</v>
      </c>
      <c r="J25" t="n">
        <v>106</v>
      </c>
      <c r="K25" t="n">
        <v>46</v>
      </c>
    </row>
    <row r="26">
      <c r="A26" t="inlineStr">
        <is>
          <t>Takeo</t>
        </is>
      </c>
      <c r="B26" t="n">
        <v>168</v>
      </c>
      <c r="C26" t="n">
        <v>87</v>
      </c>
      <c r="D26" t="n">
        <v>90</v>
      </c>
      <c r="E26" t="n">
        <v>42</v>
      </c>
      <c r="F26" t="n">
        <v>193</v>
      </c>
      <c r="G26" t="n">
        <v>82</v>
      </c>
      <c r="H26" t="n">
        <v>142</v>
      </c>
      <c r="I26" t="n">
        <v>71</v>
      </c>
      <c r="J26" t="n">
        <v>593</v>
      </c>
      <c r="K26" t="n">
        <v>282</v>
      </c>
    </row>
    <row r="27">
      <c r="A27" t="inlineStr">
        <is>
          <t>Tbaung Khmum</t>
        </is>
      </c>
      <c r="B27" t="n">
        <v>98</v>
      </c>
      <c r="C27" t="n">
        <v>48</v>
      </c>
      <c r="D27" t="n">
        <v>143</v>
      </c>
      <c r="E27" t="n">
        <v>74</v>
      </c>
      <c r="F27" t="n">
        <v>130</v>
      </c>
      <c r="G27" t="n">
        <v>51</v>
      </c>
      <c r="H27" t="n">
        <v>736</v>
      </c>
      <c r="I27" t="n">
        <v>416</v>
      </c>
      <c r="J27" t="n">
        <v>1107</v>
      </c>
      <c r="K27" t="n">
        <v>589</v>
      </c>
    </row>
    <row r="28">
      <c r="A28" t="inlineStr">
        <is>
          <t>Whole Kingdom</t>
        </is>
      </c>
      <c r="B28" t="n">
        <v>10170</v>
      </c>
      <c r="C28" t="n">
        <v>4971</v>
      </c>
      <c r="D28" t="n">
        <v>10596</v>
      </c>
      <c r="E28" t="n">
        <v>5305</v>
      </c>
      <c r="F28" t="n">
        <v>14620</v>
      </c>
      <c r="G28" t="n">
        <v>7083</v>
      </c>
      <c r="H28" t="n">
        <v>12932</v>
      </c>
      <c r="I28" t="n">
        <v>6490</v>
      </c>
      <c r="J28" t="n">
        <v>48318</v>
      </c>
      <c r="K28" t="n">
        <v>23849</v>
      </c>
    </row>
    <row r="29">
      <c r="A29" t="inlineStr">
        <is>
          <t>- Urban Area</t>
        </is>
      </c>
      <c r="B29" t="n">
        <v>8955</v>
      </c>
      <c r="C29" t="n">
        <v>4343</v>
      </c>
      <c r="D29" t="n">
        <v>9159</v>
      </c>
      <c r="E29" t="n">
        <v>4554</v>
      </c>
      <c r="F29" t="n">
        <v>12840</v>
      </c>
      <c r="G29" t="n">
        <v>6160</v>
      </c>
      <c r="H29" t="n">
        <v>10094</v>
      </c>
      <c r="I29" t="n">
        <v>5061</v>
      </c>
      <c r="J29" t="n">
        <v>41048</v>
      </c>
      <c r="K29" t="n">
        <v>20118</v>
      </c>
    </row>
    <row r="30">
      <c r="A30" t="inlineStr">
        <is>
          <t>- Rural Area</t>
        </is>
      </c>
      <c r="B30" t="n">
        <v>1215</v>
      </c>
      <c r="C30" t="n">
        <v>628</v>
      </c>
      <c r="D30" t="n">
        <v>1437</v>
      </c>
      <c r="E30" t="n">
        <v>751</v>
      </c>
      <c r="F30" t="n">
        <v>1780</v>
      </c>
      <c r="G30" t="n">
        <v>923</v>
      </c>
      <c r="H30" t="n">
        <v>2838</v>
      </c>
      <c r="I30" t="n">
        <v>1429</v>
      </c>
      <c r="J30" t="n">
        <v>7270</v>
      </c>
      <c r="K30" t="n">
        <v>3731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C000"/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8.1640625" customWidth="1" min="1" max="1"/>
    <col width="7.5" customWidth="1" min="2" max="2"/>
    <col width="7.33203125" customWidth="1" min="3" max="3"/>
    <col width="8" customWidth="1" min="4" max="4"/>
    <col width="8.6640625" customWidth="1" min="5" max="5"/>
    <col width="7.83203125" customWidth="1" min="7" max="7"/>
    <col width="7.1640625" customWidth="1" min="9" max="9"/>
    <col width="7.5" customWidth="1" min="10" max="10"/>
    <col width="8.83203125" customWidth="1" min="11" max="11"/>
    <col width="7.5" customWidth="1" min="13" max="13"/>
    <col width="7.83203125" customWidth="1" min="14" max="14"/>
    <col width="7.33203125" customWidth="1" min="15" max="15"/>
    <col width="7.5" customWidth="1" min="16" max="16"/>
    <col width="9.33203125" customWidth="1" min="17" max="17"/>
    <col width="8.83203125" customWidth="1" min="18" max="18"/>
    <col width="7.5" customWidth="1" min="19" max="19"/>
  </cols>
  <sheetData>
    <row r="1">
      <c r="A1" t="inlineStr">
        <is>
          <t>Table 1: Schools, Classes, Students and Staff</t>
        </is>
      </c>
      <c r="B1" t="inlineStr">
        <is>
          <t>Education Level of Non-Teaching Staff: Total</t>
        </is>
      </c>
      <c r="H1" t="inlineStr">
        <is>
          <t>Education Level of Non-Teaching Staff: Female</t>
        </is>
      </c>
      <c r="N1" t="inlineStr">
        <is>
          <t>Non-Teaching Staff Without Pedagogical Training</t>
        </is>
      </c>
    </row>
    <row r="2">
      <c r="B2" t="inlineStr">
        <is>
          <t>Primary</t>
        </is>
      </c>
      <c r="C2" t="inlineStr">
        <is>
          <t>L.sec.</t>
        </is>
      </c>
      <c r="D2" t="inlineStr">
        <is>
          <t>U.Sec.</t>
        </is>
      </c>
      <c r="E2" t="inlineStr">
        <is>
          <t>Graduate</t>
        </is>
      </c>
      <c r="F2" t="inlineStr">
        <is>
          <t>Post Graduate</t>
        </is>
      </c>
      <c r="G2" t="inlineStr">
        <is>
          <t>Ph_D</t>
        </is>
      </c>
      <c r="H2" t="inlineStr">
        <is>
          <t>Primary</t>
        </is>
      </c>
      <c r="I2" t="inlineStr">
        <is>
          <t>L.sec.</t>
        </is>
      </c>
      <c r="J2" t="inlineStr">
        <is>
          <t>U.Sec.</t>
        </is>
      </c>
      <c r="K2" t="inlineStr">
        <is>
          <t>Graduate</t>
        </is>
      </c>
      <c r="L2" t="inlineStr">
        <is>
          <t>Post Graduate</t>
        </is>
      </c>
      <c r="M2" t="inlineStr">
        <is>
          <t>Ph_D</t>
        </is>
      </c>
      <c r="N2" t="inlineStr">
        <is>
          <t>Primary</t>
        </is>
      </c>
      <c r="O2" t="inlineStr">
        <is>
          <t>L.sec.</t>
        </is>
      </c>
      <c r="P2" t="inlineStr">
        <is>
          <t>U.Sec.</t>
        </is>
      </c>
      <c r="Q2" t="inlineStr">
        <is>
          <t>Graduate</t>
        </is>
      </c>
      <c r="R2" t="inlineStr">
        <is>
          <t>Post Graduate</t>
        </is>
      </c>
      <c r="S2" t="inlineStr">
        <is>
          <t>Ph_D</t>
        </is>
      </c>
    </row>
    <row r="3">
      <c r="A3" t="inlineStr">
        <is>
          <t>Banteay Meanchey</t>
        </is>
      </c>
      <c r="B3" t="n">
        <v>19</v>
      </c>
      <c r="C3" t="n">
        <v>12</v>
      </c>
      <c r="D3" t="n">
        <v>50</v>
      </c>
      <c r="E3" t="n">
        <v>143</v>
      </c>
      <c r="F3" t="n">
        <v>26</v>
      </c>
      <c r="G3" t="n">
        <v>2</v>
      </c>
      <c r="H3" t="n">
        <v>17</v>
      </c>
      <c r="I3" t="n">
        <v>5</v>
      </c>
      <c r="J3" t="n">
        <v>19</v>
      </c>
      <c r="K3" t="n">
        <v>65</v>
      </c>
      <c r="L3" t="n">
        <v>7</v>
      </c>
      <c r="M3" t="n">
        <v>0</v>
      </c>
      <c r="N3" t="n">
        <v>10</v>
      </c>
      <c r="O3" t="n">
        <v>3</v>
      </c>
      <c r="P3" t="n">
        <v>5</v>
      </c>
      <c r="Q3" t="n">
        <v>25</v>
      </c>
      <c r="R3" t="n">
        <v>3</v>
      </c>
      <c r="S3" t="n">
        <v>0</v>
      </c>
    </row>
    <row r="4">
      <c r="A4" t="inlineStr">
        <is>
          <t>Battambang</t>
        </is>
      </c>
      <c r="B4" t="n">
        <v>17</v>
      </c>
      <c r="C4" t="n">
        <v>11</v>
      </c>
      <c r="D4" t="n">
        <v>38</v>
      </c>
      <c r="E4" t="n">
        <v>72</v>
      </c>
      <c r="F4" t="n">
        <v>25</v>
      </c>
      <c r="G4" t="n">
        <v>2</v>
      </c>
      <c r="H4" t="n">
        <v>11</v>
      </c>
      <c r="I4" t="n">
        <v>9</v>
      </c>
      <c r="J4" t="n">
        <v>5</v>
      </c>
      <c r="K4" t="n">
        <v>49</v>
      </c>
      <c r="L4" t="n">
        <v>8</v>
      </c>
      <c r="M4" t="n">
        <v>0</v>
      </c>
      <c r="N4" t="n">
        <v>5</v>
      </c>
      <c r="O4" t="n">
        <v>3</v>
      </c>
      <c r="P4" t="n">
        <v>21</v>
      </c>
      <c r="Q4" t="n">
        <v>24</v>
      </c>
      <c r="R4" t="n">
        <v>2</v>
      </c>
      <c r="S4" t="n">
        <v>0</v>
      </c>
    </row>
    <row r="5">
      <c r="A5" t="inlineStr">
        <is>
          <t>Kampong Cham</t>
        </is>
      </c>
      <c r="B5" t="n">
        <v>2</v>
      </c>
      <c r="C5" t="n">
        <v>0</v>
      </c>
      <c r="D5" t="n">
        <v>17</v>
      </c>
      <c r="E5" t="n">
        <v>14</v>
      </c>
      <c r="F5" t="n">
        <v>1</v>
      </c>
      <c r="G5" t="n">
        <v>0</v>
      </c>
      <c r="H5" t="n">
        <v>0</v>
      </c>
      <c r="I5" t="n">
        <v>0</v>
      </c>
      <c r="J5" t="n">
        <v>3</v>
      </c>
      <c r="K5" t="n">
        <v>11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3</v>
      </c>
      <c r="R5" t="n">
        <v>0</v>
      </c>
      <c r="S5" t="n">
        <v>0</v>
      </c>
    </row>
    <row r="6">
      <c r="A6" t="inlineStr">
        <is>
          <t>Kampong Chhnang</t>
        </is>
      </c>
      <c r="B6" t="n">
        <v>1</v>
      </c>
      <c r="C6" t="n">
        <v>7</v>
      </c>
      <c r="D6" t="n">
        <v>34</v>
      </c>
      <c r="E6" t="n">
        <v>34</v>
      </c>
      <c r="F6" t="n">
        <v>9</v>
      </c>
      <c r="G6" t="n">
        <v>2</v>
      </c>
      <c r="H6" t="n">
        <v>1</v>
      </c>
      <c r="I6" t="n">
        <v>0</v>
      </c>
      <c r="J6" t="n">
        <v>20</v>
      </c>
      <c r="K6" t="n">
        <v>23</v>
      </c>
      <c r="L6" t="n">
        <v>2</v>
      </c>
      <c r="M6" t="n">
        <v>0</v>
      </c>
      <c r="N6" t="n">
        <v>0</v>
      </c>
      <c r="O6" t="n">
        <v>2</v>
      </c>
      <c r="P6" t="n">
        <v>1</v>
      </c>
      <c r="Q6" t="n">
        <v>3</v>
      </c>
      <c r="R6" t="n">
        <v>0</v>
      </c>
      <c r="S6" t="n">
        <v>0</v>
      </c>
    </row>
    <row r="7">
      <c r="A7" t="inlineStr">
        <is>
          <t>Kampong Speu</t>
        </is>
      </c>
      <c r="B7" t="n">
        <v>6</v>
      </c>
      <c r="C7" t="n">
        <v>11</v>
      </c>
      <c r="D7" t="n">
        <v>55</v>
      </c>
      <c r="E7" t="n">
        <v>31</v>
      </c>
      <c r="F7" t="n">
        <v>4</v>
      </c>
      <c r="G7" t="n">
        <v>2</v>
      </c>
      <c r="H7" t="n">
        <v>5</v>
      </c>
      <c r="I7" t="n">
        <v>2</v>
      </c>
      <c r="J7" t="n">
        <v>12</v>
      </c>
      <c r="K7" t="n">
        <v>20</v>
      </c>
      <c r="L7" t="n">
        <v>1</v>
      </c>
      <c r="M7" t="n">
        <v>1</v>
      </c>
      <c r="N7" t="n">
        <v>3</v>
      </c>
      <c r="O7" t="n">
        <v>0</v>
      </c>
      <c r="P7" t="n">
        <v>4</v>
      </c>
      <c r="Q7" t="n">
        <v>0</v>
      </c>
      <c r="R7" t="n">
        <v>0</v>
      </c>
      <c r="S7" t="n">
        <v>0</v>
      </c>
    </row>
    <row r="8">
      <c r="A8" t="inlineStr">
        <is>
          <t>Kampong Thom</t>
        </is>
      </c>
      <c r="B8" t="n">
        <v>1</v>
      </c>
      <c r="C8" t="n">
        <v>3</v>
      </c>
      <c r="D8" t="n">
        <v>8</v>
      </c>
      <c r="E8" t="n">
        <v>16</v>
      </c>
      <c r="F8" t="n">
        <v>4</v>
      </c>
      <c r="G8" t="n">
        <v>2</v>
      </c>
      <c r="H8" t="n">
        <v>0</v>
      </c>
      <c r="I8" t="n">
        <v>2</v>
      </c>
      <c r="J8" t="n">
        <v>5</v>
      </c>
      <c r="K8" t="n">
        <v>11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</row>
    <row r="9">
      <c r="A9" t="inlineStr">
        <is>
          <t>Kampot</t>
        </is>
      </c>
      <c r="B9" t="n">
        <v>8</v>
      </c>
      <c r="C9" t="n">
        <v>8</v>
      </c>
      <c r="D9" t="n">
        <v>9</v>
      </c>
      <c r="E9" t="n">
        <v>33</v>
      </c>
      <c r="F9" t="n">
        <v>3</v>
      </c>
      <c r="G9" t="n">
        <v>0</v>
      </c>
      <c r="H9" t="n">
        <v>3</v>
      </c>
      <c r="I9" t="n">
        <v>3</v>
      </c>
      <c r="J9" t="n">
        <v>6</v>
      </c>
      <c r="K9" t="n">
        <v>20</v>
      </c>
      <c r="L9" t="n">
        <v>0</v>
      </c>
      <c r="M9" t="n">
        <v>0</v>
      </c>
      <c r="N9" t="n">
        <v>4</v>
      </c>
      <c r="O9" t="n">
        <v>5</v>
      </c>
      <c r="P9" t="n">
        <v>1</v>
      </c>
      <c r="Q9" t="n">
        <v>11</v>
      </c>
      <c r="R9" t="n">
        <v>0</v>
      </c>
      <c r="S9" t="n">
        <v>0</v>
      </c>
    </row>
    <row r="10">
      <c r="A10" t="inlineStr">
        <is>
          <t>Kandal</t>
        </is>
      </c>
      <c r="B10" t="n">
        <v>12</v>
      </c>
      <c r="C10" t="n">
        <v>33</v>
      </c>
      <c r="D10" t="n">
        <v>109</v>
      </c>
      <c r="E10" t="n">
        <v>109</v>
      </c>
      <c r="F10" t="n">
        <v>20</v>
      </c>
      <c r="G10" t="n">
        <v>1</v>
      </c>
      <c r="H10" t="n">
        <v>8</v>
      </c>
      <c r="I10" t="n">
        <v>20</v>
      </c>
      <c r="J10" t="n">
        <v>53</v>
      </c>
      <c r="K10" t="n">
        <v>61</v>
      </c>
      <c r="L10" t="n">
        <v>4</v>
      </c>
      <c r="M10" t="n">
        <v>0</v>
      </c>
      <c r="N10" t="n">
        <v>0</v>
      </c>
      <c r="O10" t="n">
        <v>10</v>
      </c>
      <c r="P10" t="n">
        <v>10</v>
      </c>
      <c r="Q10" t="n">
        <v>8</v>
      </c>
      <c r="R10" t="n">
        <v>0</v>
      </c>
      <c r="S10" t="n">
        <v>0</v>
      </c>
    </row>
    <row r="11">
      <c r="A11" t="inlineStr">
        <is>
          <t>Kep</t>
        </is>
      </c>
      <c r="B11" t="n">
        <v>0</v>
      </c>
      <c r="C11" t="n">
        <v>0</v>
      </c>
      <c r="D11" t="n">
        <v>2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</row>
    <row r="12">
      <c r="A12" t="inlineStr">
        <is>
          <t>Koh Kong</t>
        </is>
      </c>
      <c r="B12" t="n">
        <v>5</v>
      </c>
      <c r="C12" t="n">
        <v>5</v>
      </c>
      <c r="D12" t="n">
        <v>6</v>
      </c>
      <c r="E12" t="n">
        <v>7</v>
      </c>
      <c r="F12" t="n">
        <v>1</v>
      </c>
      <c r="G12" t="n">
        <v>0</v>
      </c>
      <c r="H12" t="n">
        <v>5</v>
      </c>
      <c r="I12" t="n">
        <v>3</v>
      </c>
      <c r="J12" t="n">
        <v>0</v>
      </c>
      <c r="K12" t="n">
        <v>3</v>
      </c>
      <c r="L12" t="n">
        <v>0</v>
      </c>
      <c r="M12" t="n">
        <v>0</v>
      </c>
      <c r="N12" t="n">
        <v>3</v>
      </c>
      <c r="O12" t="n">
        <v>5</v>
      </c>
      <c r="P12" t="n">
        <v>4</v>
      </c>
      <c r="Q12" t="n">
        <v>4</v>
      </c>
      <c r="R12" t="n">
        <v>0</v>
      </c>
      <c r="S12" t="n">
        <v>0</v>
      </c>
    </row>
    <row r="13">
      <c r="A13" t="inlineStr">
        <is>
          <t>Kratie</t>
        </is>
      </c>
      <c r="B13" t="n">
        <v>0</v>
      </c>
      <c r="C13" t="n">
        <v>0</v>
      </c>
      <c r="D13" t="n">
        <v>0</v>
      </c>
      <c r="E13" t="n">
        <v>14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Mondul Kiri</t>
        </is>
      </c>
      <c r="B14" t="n">
        <v>8</v>
      </c>
      <c r="C14" t="n">
        <v>2</v>
      </c>
      <c r="D14" t="n">
        <v>2</v>
      </c>
      <c r="E14" t="n">
        <v>4</v>
      </c>
      <c r="F14" t="n">
        <v>0</v>
      </c>
      <c r="G14" t="n">
        <v>0</v>
      </c>
      <c r="H14" t="n">
        <v>6</v>
      </c>
      <c r="I14" t="n">
        <v>1</v>
      </c>
      <c r="J14" t="n">
        <v>2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Otdar Meanchey</t>
        </is>
      </c>
      <c r="B15" t="n">
        <v>1</v>
      </c>
      <c r="C15" t="n">
        <v>0</v>
      </c>
      <c r="D15" t="n">
        <v>3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</row>
    <row r="16">
      <c r="A16" t="inlineStr">
        <is>
          <t>Pailin</t>
        </is>
      </c>
      <c r="B16" t="n">
        <v>6</v>
      </c>
      <c r="C16" t="n">
        <v>6</v>
      </c>
      <c r="D16" t="n">
        <v>3</v>
      </c>
      <c r="E16" t="n">
        <v>27</v>
      </c>
      <c r="F16" t="n">
        <v>3</v>
      </c>
      <c r="G16" t="n">
        <v>0</v>
      </c>
      <c r="H16" t="n">
        <v>2</v>
      </c>
      <c r="I16" t="n">
        <v>4</v>
      </c>
      <c r="J16" t="n">
        <v>1</v>
      </c>
      <c r="K16" t="n">
        <v>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0</v>
      </c>
    </row>
    <row r="17">
      <c r="A17" t="inlineStr">
        <is>
          <t>Phnom Penh</t>
        </is>
      </c>
      <c r="B17" t="n">
        <v>283</v>
      </c>
      <c r="C17" t="n">
        <v>330</v>
      </c>
      <c r="D17" t="n">
        <v>665</v>
      </c>
      <c r="E17" t="n">
        <v>2010</v>
      </c>
      <c r="F17" t="n">
        <v>236</v>
      </c>
      <c r="G17" t="n">
        <v>38</v>
      </c>
      <c r="H17" t="n">
        <v>208</v>
      </c>
      <c r="I17" t="n">
        <v>171</v>
      </c>
      <c r="J17" t="n">
        <v>351</v>
      </c>
      <c r="K17" t="n">
        <v>1306</v>
      </c>
      <c r="L17" t="n">
        <v>64</v>
      </c>
      <c r="M17" t="n">
        <v>8</v>
      </c>
      <c r="N17" t="n">
        <v>59</v>
      </c>
      <c r="O17" t="n">
        <v>70</v>
      </c>
      <c r="P17" t="n">
        <v>123</v>
      </c>
      <c r="Q17" t="n">
        <v>278</v>
      </c>
      <c r="R17" t="n">
        <v>29</v>
      </c>
      <c r="S17" t="n">
        <v>1</v>
      </c>
    </row>
    <row r="18">
      <c r="A18" t="inlineStr">
        <is>
          <t>Preah Sihanouk</t>
        </is>
      </c>
      <c r="B18" t="n">
        <v>9</v>
      </c>
      <c r="C18" t="n">
        <v>4</v>
      </c>
      <c r="D18" t="n">
        <v>14</v>
      </c>
      <c r="E18" t="n">
        <v>98</v>
      </c>
      <c r="F18" t="n">
        <v>11</v>
      </c>
      <c r="G18" t="n">
        <v>0</v>
      </c>
      <c r="H18" t="n">
        <v>9</v>
      </c>
      <c r="I18" t="n">
        <v>1</v>
      </c>
      <c r="J18" t="n">
        <v>11</v>
      </c>
      <c r="K18" t="n">
        <v>62</v>
      </c>
      <c r="L18" t="n">
        <v>4</v>
      </c>
      <c r="M18" t="n">
        <v>0</v>
      </c>
      <c r="N18" t="n">
        <v>4</v>
      </c>
      <c r="O18" t="n">
        <v>0</v>
      </c>
      <c r="P18" t="n">
        <v>1</v>
      </c>
      <c r="Q18" t="n">
        <v>8</v>
      </c>
      <c r="R18" t="n">
        <v>0</v>
      </c>
      <c r="S18" t="n">
        <v>0</v>
      </c>
    </row>
    <row r="19">
      <c r="A19" t="inlineStr">
        <is>
          <t>Preah Vihear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Prey Veng</t>
        </is>
      </c>
      <c r="B20" t="n">
        <v>0</v>
      </c>
      <c r="C20" t="n">
        <v>1</v>
      </c>
      <c r="D20" t="n">
        <v>7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Pursat</t>
        </is>
      </c>
      <c r="B21" t="n">
        <v>0</v>
      </c>
      <c r="C21" t="n">
        <v>3</v>
      </c>
      <c r="D21" t="n">
        <v>7</v>
      </c>
      <c r="E21" t="n">
        <v>7</v>
      </c>
      <c r="F21" t="n">
        <v>0</v>
      </c>
      <c r="G21" t="n">
        <v>0</v>
      </c>
      <c r="H21" t="n">
        <v>0</v>
      </c>
      <c r="I21" t="n">
        <v>2</v>
      </c>
      <c r="J21" t="n">
        <v>2</v>
      </c>
      <c r="K21" t="n">
        <v>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Ratanak Kiri</t>
        </is>
      </c>
      <c r="B22" t="n">
        <v>0</v>
      </c>
      <c r="C22" t="n">
        <v>4</v>
      </c>
      <c r="D22" t="n">
        <v>16</v>
      </c>
      <c r="E22" t="n">
        <v>23</v>
      </c>
      <c r="F22" t="n">
        <v>3</v>
      </c>
      <c r="G22" t="n">
        <v>0</v>
      </c>
      <c r="H22" t="n">
        <v>0</v>
      </c>
      <c r="I22" t="n">
        <v>0</v>
      </c>
      <c r="J22" t="n">
        <v>12</v>
      </c>
      <c r="K22" t="n">
        <v>13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</v>
      </c>
      <c r="R22" t="n">
        <v>0</v>
      </c>
      <c r="S22" t="n">
        <v>0</v>
      </c>
    </row>
    <row r="23">
      <c r="A23" t="inlineStr">
        <is>
          <t>Siemreap</t>
        </is>
      </c>
      <c r="B23" t="n">
        <v>20</v>
      </c>
      <c r="C23" t="n">
        <v>24</v>
      </c>
      <c r="D23" t="n">
        <v>81</v>
      </c>
      <c r="E23" t="n">
        <v>121</v>
      </c>
      <c r="F23" t="n">
        <v>21</v>
      </c>
      <c r="G23" t="n">
        <v>0</v>
      </c>
      <c r="H23" t="n">
        <v>19</v>
      </c>
      <c r="I23" t="n">
        <v>12</v>
      </c>
      <c r="J23" t="n">
        <v>59</v>
      </c>
      <c r="K23" t="n">
        <v>85</v>
      </c>
      <c r="L23" t="n">
        <v>6</v>
      </c>
      <c r="M23" t="n">
        <v>0</v>
      </c>
      <c r="N23" t="n">
        <v>8</v>
      </c>
      <c r="O23" t="n">
        <v>4</v>
      </c>
      <c r="P23" t="n">
        <v>19</v>
      </c>
      <c r="Q23" t="n">
        <v>27</v>
      </c>
      <c r="R23" t="n">
        <v>1</v>
      </c>
      <c r="S23" t="n">
        <v>0</v>
      </c>
    </row>
    <row r="24">
      <c r="A24" t="inlineStr">
        <is>
          <t>Stung Treng</t>
        </is>
      </c>
      <c r="B24" t="n">
        <v>0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Svay Rieng</t>
        </is>
      </c>
      <c r="B25" t="n">
        <v>0</v>
      </c>
      <c r="C25" t="n">
        <v>0</v>
      </c>
      <c r="D25" t="n">
        <v>1</v>
      </c>
      <c r="E25" t="n">
        <v>2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Takeo</t>
        </is>
      </c>
      <c r="B26" t="n">
        <v>7</v>
      </c>
      <c r="C26" t="n">
        <v>20</v>
      </c>
      <c r="D26" t="n">
        <v>12</v>
      </c>
      <c r="E26" t="n">
        <v>30</v>
      </c>
      <c r="F26" t="n">
        <v>12</v>
      </c>
      <c r="G26" t="n">
        <v>0</v>
      </c>
      <c r="H26" t="n">
        <v>5</v>
      </c>
      <c r="I26" t="n">
        <v>13</v>
      </c>
      <c r="J26" t="n">
        <v>4</v>
      </c>
      <c r="K26" t="n">
        <v>15</v>
      </c>
      <c r="L26" t="n">
        <v>7</v>
      </c>
      <c r="M26" t="n">
        <v>0</v>
      </c>
      <c r="N26" t="n">
        <v>3</v>
      </c>
      <c r="O26" t="n">
        <v>5</v>
      </c>
      <c r="P26" t="n">
        <v>5</v>
      </c>
      <c r="Q26" t="n">
        <v>8</v>
      </c>
      <c r="R26" t="n">
        <v>1</v>
      </c>
      <c r="S26" t="n">
        <v>0</v>
      </c>
    </row>
    <row r="27">
      <c r="A27" t="inlineStr">
        <is>
          <t>Tbaung Khmum</t>
        </is>
      </c>
      <c r="B27" t="n">
        <v>17</v>
      </c>
      <c r="C27" t="n">
        <v>7</v>
      </c>
      <c r="D27" t="n">
        <v>1</v>
      </c>
      <c r="E27" t="n">
        <v>24</v>
      </c>
      <c r="F27" t="n">
        <v>3</v>
      </c>
      <c r="G27" t="n">
        <v>0</v>
      </c>
      <c r="H27" t="n">
        <v>8</v>
      </c>
      <c r="I27" t="n">
        <v>3</v>
      </c>
      <c r="J27" t="n">
        <v>0</v>
      </c>
      <c r="K27" t="n">
        <v>11</v>
      </c>
      <c r="L27" t="n">
        <v>2</v>
      </c>
      <c r="M27" t="n">
        <v>0</v>
      </c>
      <c r="N27" t="n">
        <v>11</v>
      </c>
      <c r="O27" t="n">
        <v>7</v>
      </c>
      <c r="P27" t="n">
        <v>0</v>
      </c>
      <c r="Q27" t="n">
        <v>4</v>
      </c>
      <c r="R27" t="n">
        <v>0</v>
      </c>
      <c r="S27" t="n">
        <v>0</v>
      </c>
    </row>
    <row r="28">
      <c r="A28" t="inlineStr">
        <is>
          <t>Whole Kingdom</t>
        </is>
      </c>
      <c r="B28" t="n">
        <v>422</v>
      </c>
      <c r="C28" t="n">
        <v>494</v>
      </c>
      <c r="D28" t="n">
        <v>1140</v>
      </c>
      <c r="E28" t="n">
        <v>2829</v>
      </c>
      <c r="F28" t="n">
        <v>384</v>
      </c>
      <c r="G28" t="n">
        <v>49</v>
      </c>
      <c r="H28" t="n">
        <v>308</v>
      </c>
      <c r="I28" t="n">
        <v>254</v>
      </c>
      <c r="J28" t="n">
        <v>573</v>
      </c>
      <c r="K28" t="n">
        <v>1785</v>
      </c>
      <c r="L28" t="n">
        <v>105</v>
      </c>
      <c r="M28" t="n">
        <v>9</v>
      </c>
      <c r="N28" t="n">
        <v>112</v>
      </c>
      <c r="O28" t="n">
        <v>116</v>
      </c>
      <c r="P28" t="n">
        <v>198</v>
      </c>
      <c r="Q28" t="n">
        <v>421</v>
      </c>
      <c r="R28" t="n">
        <v>36</v>
      </c>
      <c r="S28" t="n">
        <v>1</v>
      </c>
    </row>
    <row r="29">
      <c r="A29" t="inlineStr">
        <is>
          <t>- Urban Area</t>
        </is>
      </c>
      <c r="B29" t="n">
        <v>384</v>
      </c>
      <c r="C29" t="n">
        <v>440</v>
      </c>
      <c r="D29" t="n">
        <v>1014</v>
      </c>
      <c r="E29" t="n">
        <v>2677</v>
      </c>
      <c r="F29" t="n">
        <v>356</v>
      </c>
      <c r="G29" t="n">
        <v>43</v>
      </c>
      <c r="H29" t="n">
        <v>290</v>
      </c>
      <c r="I29" t="n">
        <v>236</v>
      </c>
      <c r="J29" t="n">
        <v>534</v>
      </c>
      <c r="K29" t="n">
        <v>1710</v>
      </c>
      <c r="L29" t="n">
        <v>100</v>
      </c>
      <c r="M29" t="n">
        <v>9</v>
      </c>
      <c r="N29" t="n">
        <v>96</v>
      </c>
      <c r="O29" t="n">
        <v>105</v>
      </c>
      <c r="P29" t="n">
        <v>184</v>
      </c>
      <c r="Q29" t="n">
        <v>391</v>
      </c>
      <c r="R29" t="n">
        <v>33</v>
      </c>
      <c r="S29" t="n">
        <v>1</v>
      </c>
    </row>
    <row r="30">
      <c r="A30" t="inlineStr">
        <is>
          <t>- Rural Area</t>
        </is>
      </c>
      <c r="B30" t="n">
        <v>38</v>
      </c>
      <c r="C30" t="n">
        <v>54</v>
      </c>
      <c r="D30" t="n">
        <v>126</v>
      </c>
      <c r="E30" t="n">
        <v>152</v>
      </c>
      <c r="F30" t="n">
        <v>28</v>
      </c>
      <c r="G30" t="n">
        <v>6</v>
      </c>
      <c r="H30" t="n">
        <v>18</v>
      </c>
      <c r="I30" t="n">
        <v>18</v>
      </c>
      <c r="J30" t="n">
        <v>39</v>
      </c>
      <c r="K30" t="n">
        <v>75</v>
      </c>
      <c r="L30" t="n">
        <v>5</v>
      </c>
      <c r="M30" t="n">
        <v>0</v>
      </c>
      <c r="N30" t="n">
        <v>16</v>
      </c>
      <c r="O30" t="n">
        <v>11</v>
      </c>
      <c r="P30" t="n">
        <v>14</v>
      </c>
      <c r="Q30" t="n">
        <v>30</v>
      </c>
      <c r="R30" t="n">
        <v>3</v>
      </c>
      <c r="S30" t="n">
        <v>0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C000"/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8.1640625" customWidth="1" min="1" max="1"/>
    <col width="7.83203125" customWidth="1" min="2" max="2"/>
    <col width="7.33203125" customWidth="1" min="3" max="3"/>
    <col width="8.1640625" customWidth="1" min="4" max="4"/>
    <col width="8.5" customWidth="1" min="5" max="5"/>
    <col width="9.33203125" customWidth="1" min="6" max="6"/>
    <col width="7.33203125" customWidth="1" min="7" max="7"/>
    <col width="7.83203125" customWidth="1" min="8" max="8"/>
    <col width="7.33203125" customWidth="1" min="9" max="9"/>
    <col width="8" customWidth="1" min="10" max="10"/>
    <col width="8.5" customWidth="1" min="11" max="11"/>
    <col width="8.6640625" customWidth="1" min="12" max="12"/>
    <col width="7.1640625" customWidth="1" min="13" max="13"/>
    <col width="8" customWidth="1" min="14" max="14"/>
    <col width="8.6640625" customWidth="1" min="17" max="17"/>
    <col width="8.83203125" customWidth="1" min="18" max="18"/>
    <col width="7.5" customWidth="1" min="19" max="19"/>
  </cols>
  <sheetData>
    <row r="1">
      <c r="A1" t="inlineStr">
        <is>
          <t>Table 1: Schools, Classes, Students and Staff</t>
        </is>
      </c>
      <c r="B1" t="inlineStr">
        <is>
          <t>Education Level of Teaching Staff: Total</t>
        </is>
      </c>
      <c r="H1" t="inlineStr">
        <is>
          <t>Education Level of Teaching Staff: Female</t>
        </is>
      </c>
      <c r="N1" t="inlineStr">
        <is>
          <t>Teaching Staff Without Pedagogical Training</t>
        </is>
      </c>
    </row>
    <row r="2">
      <c r="B2" t="inlineStr">
        <is>
          <t>Primary</t>
        </is>
      </c>
      <c r="C2" t="inlineStr">
        <is>
          <t>L.sec.</t>
        </is>
      </c>
      <c r="D2" t="inlineStr">
        <is>
          <t>U.Sec.</t>
        </is>
      </c>
      <c r="E2" t="inlineStr">
        <is>
          <t>Graduate</t>
        </is>
      </c>
      <c r="F2" t="inlineStr">
        <is>
          <t>Post
Graduate</t>
        </is>
      </c>
      <c r="G2" t="inlineStr">
        <is>
          <t>Ph_D</t>
        </is>
      </c>
      <c r="H2" t="inlineStr">
        <is>
          <t>Primary</t>
        </is>
      </c>
      <c r="I2" t="inlineStr">
        <is>
          <t>L.sec.</t>
        </is>
      </c>
      <c r="J2" t="inlineStr">
        <is>
          <t>U.Sec.</t>
        </is>
      </c>
      <c r="K2" t="inlineStr">
        <is>
          <t>Graduate</t>
        </is>
      </c>
      <c r="L2" t="inlineStr">
        <is>
          <t>Post
Graduate</t>
        </is>
      </c>
      <c r="M2" t="inlineStr">
        <is>
          <t>Ph_D</t>
        </is>
      </c>
      <c r="N2" t="inlineStr">
        <is>
          <t>Primary</t>
        </is>
      </c>
      <c r="O2" t="inlineStr">
        <is>
          <t>L.sec.</t>
        </is>
      </c>
      <c r="P2" t="inlineStr">
        <is>
          <t>U.Sec.</t>
        </is>
      </c>
      <c r="Q2" t="inlineStr">
        <is>
          <t>Graduate</t>
        </is>
      </c>
      <c r="R2" t="inlineStr">
        <is>
          <t>Post
Graduate</t>
        </is>
      </c>
      <c r="S2" t="inlineStr">
        <is>
          <t>Ph_D</t>
        </is>
      </c>
    </row>
    <row r="3">
      <c r="A3" t="inlineStr">
        <is>
          <t>Banteay Meanchey</t>
        </is>
      </c>
      <c r="B3" t="n">
        <v>0</v>
      </c>
      <c r="C3" t="n">
        <v>38</v>
      </c>
      <c r="D3" t="n">
        <v>430</v>
      </c>
      <c r="E3" t="n">
        <v>554</v>
      </c>
      <c r="F3" t="n">
        <v>31</v>
      </c>
      <c r="G3" t="n">
        <v>0</v>
      </c>
      <c r="H3" t="n">
        <v>0</v>
      </c>
      <c r="I3" t="n">
        <v>29</v>
      </c>
      <c r="J3" t="n">
        <v>265</v>
      </c>
      <c r="K3" t="n">
        <v>280</v>
      </c>
      <c r="L3" t="n">
        <v>6</v>
      </c>
      <c r="M3" t="n">
        <v>0</v>
      </c>
      <c r="N3" t="n">
        <v>0</v>
      </c>
      <c r="O3" t="n">
        <v>8</v>
      </c>
      <c r="P3" t="n">
        <v>50</v>
      </c>
      <c r="Q3" t="n">
        <v>51</v>
      </c>
      <c r="R3" t="n">
        <v>1</v>
      </c>
      <c r="S3" t="n">
        <v>0</v>
      </c>
    </row>
    <row r="4">
      <c r="A4" t="inlineStr">
        <is>
          <t>Battambang</t>
        </is>
      </c>
      <c r="B4" t="n">
        <v>12</v>
      </c>
      <c r="C4" t="n">
        <v>31</v>
      </c>
      <c r="D4" t="n">
        <v>228</v>
      </c>
      <c r="E4" t="n">
        <v>467</v>
      </c>
      <c r="F4" t="n">
        <v>40</v>
      </c>
      <c r="G4" t="n">
        <v>1</v>
      </c>
      <c r="H4" t="n">
        <v>12</v>
      </c>
      <c r="I4" t="n">
        <v>19</v>
      </c>
      <c r="J4" t="n">
        <v>169</v>
      </c>
      <c r="K4" t="n">
        <v>274</v>
      </c>
      <c r="L4" t="n">
        <v>14</v>
      </c>
      <c r="M4" t="n">
        <v>0</v>
      </c>
      <c r="N4" t="n">
        <v>0</v>
      </c>
      <c r="O4" t="n">
        <v>1</v>
      </c>
      <c r="P4" t="n">
        <v>5</v>
      </c>
      <c r="Q4" t="n">
        <v>8</v>
      </c>
      <c r="R4" t="n">
        <v>0</v>
      </c>
      <c r="S4" t="n">
        <v>0</v>
      </c>
    </row>
    <row r="5">
      <c r="A5" t="inlineStr">
        <is>
          <t>Kampong Cham</t>
        </is>
      </c>
      <c r="B5" t="n">
        <v>5</v>
      </c>
      <c r="C5" t="n">
        <v>23</v>
      </c>
      <c r="D5" t="n">
        <v>74</v>
      </c>
      <c r="E5" t="n">
        <v>103</v>
      </c>
      <c r="F5" t="n">
        <v>9</v>
      </c>
      <c r="G5" t="n">
        <v>0</v>
      </c>
      <c r="H5" t="n">
        <v>1</v>
      </c>
      <c r="I5" t="n">
        <v>17</v>
      </c>
      <c r="J5" t="n">
        <v>59</v>
      </c>
      <c r="K5" t="n">
        <v>53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8</v>
      </c>
      <c r="R5" t="n">
        <v>0</v>
      </c>
      <c r="S5" t="n">
        <v>0</v>
      </c>
    </row>
    <row r="6">
      <c r="A6" t="inlineStr">
        <is>
          <t>Kampong Chhnang</t>
        </is>
      </c>
      <c r="B6" t="n">
        <v>0</v>
      </c>
      <c r="C6" t="n">
        <v>17</v>
      </c>
      <c r="D6" t="n">
        <v>195</v>
      </c>
      <c r="E6" t="n">
        <v>140</v>
      </c>
      <c r="F6" t="n">
        <v>3</v>
      </c>
      <c r="G6" t="n">
        <v>1</v>
      </c>
      <c r="H6" t="n">
        <v>0</v>
      </c>
      <c r="I6" t="n">
        <v>12</v>
      </c>
      <c r="J6" t="n">
        <v>147</v>
      </c>
      <c r="K6" t="n">
        <v>82</v>
      </c>
      <c r="L6" t="n">
        <v>1</v>
      </c>
      <c r="M6" t="n">
        <v>0</v>
      </c>
      <c r="N6" t="n">
        <v>0</v>
      </c>
      <c r="O6" t="n">
        <v>0</v>
      </c>
      <c r="P6" t="n">
        <v>9</v>
      </c>
      <c r="Q6" t="n">
        <v>11</v>
      </c>
      <c r="R6" t="n">
        <v>0</v>
      </c>
      <c r="S6" t="n">
        <v>0</v>
      </c>
    </row>
    <row r="7">
      <c r="A7" t="inlineStr">
        <is>
          <t>Kampong Speu</t>
        </is>
      </c>
      <c r="B7" t="n">
        <v>4</v>
      </c>
      <c r="C7" t="n">
        <v>20</v>
      </c>
      <c r="D7" t="n">
        <v>130</v>
      </c>
      <c r="E7" t="n">
        <v>271</v>
      </c>
      <c r="F7" t="n">
        <v>19</v>
      </c>
      <c r="G7" t="n">
        <v>0</v>
      </c>
      <c r="H7" t="n">
        <v>2</v>
      </c>
      <c r="I7" t="n">
        <v>16</v>
      </c>
      <c r="J7" t="n">
        <v>93</v>
      </c>
      <c r="K7" t="n">
        <v>159</v>
      </c>
      <c r="L7" t="n">
        <v>9</v>
      </c>
      <c r="M7" t="n">
        <v>0</v>
      </c>
      <c r="N7" t="n">
        <v>0</v>
      </c>
      <c r="O7" t="n">
        <v>0</v>
      </c>
      <c r="P7" t="n">
        <v>2</v>
      </c>
      <c r="Q7" t="n">
        <v>13</v>
      </c>
      <c r="R7" t="n">
        <v>1</v>
      </c>
      <c r="S7" t="n">
        <v>0</v>
      </c>
    </row>
    <row r="8">
      <c r="A8" t="inlineStr">
        <is>
          <t>Kampong Thom</t>
        </is>
      </c>
      <c r="B8" t="n">
        <v>2</v>
      </c>
      <c r="C8" t="n">
        <v>2</v>
      </c>
      <c r="D8" t="n">
        <v>31</v>
      </c>
      <c r="E8" t="n">
        <v>70</v>
      </c>
      <c r="F8" t="n">
        <v>5</v>
      </c>
      <c r="G8" t="n">
        <v>0</v>
      </c>
      <c r="H8" t="n">
        <v>2</v>
      </c>
      <c r="I8" t="n">
        <v>2</v>
      </c>
      <c r="J8" t="n">
        <v>26</v>
      </c>
      <c r="K8" t="n">
        <v>40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Kampot</t>
        </is>
      </c>
      <c r="B9" t="n">
        <v>12</v>
      </c>
      <c r="C9" t="n">
        <v>104</v>
      </c>
      <c r="D9" t="n">
        <v>147</v>
      </c>
      <c r="E9" t="n">
        <v>259</v>
      </c>
      <c r="F9" t="n">
        <v>21</v>
      </c>
      <c r="G9" t="n">
        <v>0</v>
      </c>
      <c r="H9" t="n">
        <v>1</v>
      </c>
      <c r="I9" t="n">
        <v>75</v>
      </c>
      <c r="J9" t="n">
        <v>81</v>
      </c>
      <c r="K9" t="n">
        <v>143</v>
      </c>
      <c r="L9" t="n">
        <v>4</v>
      </c>
      <c r="M9" t="n">
        <v>0</v>
      </c>
      <c r="N9" t="n">
        <v>2</v>
      </c>
      <c r="O9" t="n">
        <v>6</v>
      </c>
      <c r="P9" t="n">
        <v>9</v>
      </c>
      <c r="Q9" t="n">
        <v>30</v>
      </c>
      <c r="R9" t="n">
        <v>0</v>
      </c>
      <c r="S9" t="n">
        <v>0</v>
      </c>
    </row>
    <row r="10">
      <c r="A10" t="inlineStr">
        <is>
          <t>Kandal</t>
        </is>
      </c>
      <c r="B10" t="n">
        <v>22</v>
      </c>
      <c r="C10" t="n">
        <v>47</v>
      </c>
      <c r="D10" t="n">
        <v>201</v>
      </c>
      <c r="E10" t="n">
        <v>389</v>
      </c>
      <c r="F10" t="n">
        <v>30</v>
      </c>
      <c r="G10" t="n">
        <v>5</v>
      </c>
      <c r="H10" t="n">
        <v>13</v>
      </c>
      <c r="I10" t="n">
        <v>37</v>
      </c>
      <c r="J10" t="n">
        <v>144</v>
      </c>
      <c r="K10" t="n">
        <v>187</v>
      </c>
      <c r="L10" t="n">
        <v>11</v>
      </c>
      <c r="M10" t="n">
        <v>3</v>
      </c>
      <c r="N10" t="n">
        <v>10</v>
      </c>
      <c r="O10" t="n">
        <v>1</v>
      </c>
      <c r="P10" t="n">
        <v>6</v>
      </c>
      <c r="Q10" t="n">
        <v>9</v>
      </c>
      <c r="R10" t="n">
        <v>0</v>
      </c>
      <c r="S10" t="n">
        <v>0</v>
      </c>
    </row>
    <row r="11">
      <c r="A11" t="inlineStr">
        <is>
          <t>Kep</t>
        </is>
      </c>
      <c r="B11" t="n">
        <v>11</v>
      </c>
      <c r="C11" t="n">
        <v>0</v>
      </c>
      <c r="D11" t="n">
        <v>7</v>
      </c>
      <c r="E11" t="n">
        <v>6</v>
      </c>
      <c r="F11" t="n">
        <v>0</v>
      </c>
      <c r="G11" t="n">
        <v>0</v>
      </c>
      <c r="H11" t="n">
        <v>8</v>
      </c>
      <c r="I11" t="n">
        <v>0</v>
      </c>
      <c r="J11" t="n">
        <v>3</v>
      </c>
      <c r="K11" t="n">
        <v>3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</row>
    <row r="12">
      <c r="A12" t="inlineStr">
        <is>
          <t>Koh Kong</t>
        </is>
      </c>
      <c r="B12" t="n">
        <v>0</v>
      </c>
      <c r="C12" t="n">
        <v>29</v>
      </c>
      <c r="D12" t="n">
        <v>137</v>
      </c>
      <c r="E12" t="n">
        <v>21</v>
      </c>
      <c r="F12" t="n">
        <v>1</v>
      </c>
      <c r="G12" t="n">
        <v>0</v>
      </c>
      <c r="H12" t="n">
        <v>0</v>
      </c>
      <c r="I12" t="n">
        <v>16</v>
      </c>
      <c r="J12" t="n">
        <v>76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2</v>
      </c>
      <c r="R12" t="n">
        <v>0</v>
      </c>
      <c r="S12" t="n">
        <v>0</v>
      </c>
    </row>
    <row r="13">
      <c r="A13" t="inlineStr">
        <is>
          <t>Kratie</t>
        </is>
      </c>
      <c r="B13" t="n">
        <v>0</v>
      </c>
      <c r="C13" t="n">
        <v>1</v>
      </c>
      <c r="D13" t="n">
        <v>4</v>
      </c>
      <c r="E13" t="n">
        <v>8</v>
      </c>
      <c r="F13" t="n">
        <v>1</v>
      </c>
      <c r="G13" t="n">
        <v>0</v>
      </c>
      <c r="H13" t="n">
        <v>0</v>
      </c>
      <c r="I13" t="n">
        <v>1</v>
      </c>
      <c r="J13" t="n">
        <v>3</v>
      </c>
      <c r="K13" t="n">
        <v>8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Mondul Kiri</t>
        </is>
      </c>
      <c r="B14" t="n">
        <v>0</v>
      </c>
      <c r="C14" t="n">
        <v>6</v>
      </c>
      <c r="D14" t="n">
        <v>7</v>
      </c>
      <c r="E14" t="n">
        <v>6</v>
      </c>
      <c r="F14" t="n">
        <v>1</v>
      </c>
      <c r="G14" t="n">
        <v>0</v>
      </c>
      <c r="H14" t="n">
        <v>0</v>
      </c>
      <c r="I14" t="n">
        <v>6</v>
      </c>
      <c r="J14" t="n">
        <v>7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Otdar Meanchey</t>
        </is>
      </c>
      <c r="B15" t="n">
        <v>1</v>
      </c>
      <c r="C15" t="n">
        <v>4</v>
      </c>
      <c r="D15" t="n">
        <v>28</v>
      </c>
      <c r="E15" t="n">
        <v>2</v>
      </c>
      <c r="F15" t="n">
        <v>0</v>
      </c>
      <c r="G15" t="n">
        <v>0</v>
      </c>
      <c r="H15" t="n">
        <v>1</v>
      </c>
      <c r="I15" t="n">
        <v>4</v>
      </c>
      <c r="J15" t="n">
        <v>19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</row>
    <row r="16">
      <c r="A16" t="inlineStr">
        <is>
          <t>Pailin</t>
        </is>
      </c>
      <c r="B16" t="n">
        <v>0</v>
      </c>
      <c r="C16" t="n">
        <v>11</v>
      </c>
      <c r="D16" t="n">
        <v>50</v>
      </c>
      <c r="E16" t="n">
        <v>88</v>
      </c>
      <c r="F16" t="n">
        <v>2</v>
      </c>
      <c r="G16" t="n">
        <v>0</v>
      </c>
      <c r="H16" t="n">
        <v>0</v>
      </c>
      <c r="I16" t="n">
        <v>10</v>
      </c>
      <c r="J16" t="n">
        <v>38</v>
      </c>
      <c r="K16" t="n">
        <v>65</v>
      </c>
      <c r="L16" t="n">
        <v>0</v>
      </c>
      <c r="M16" t="n">
        <v>0</v>
      </c>
      <c r="N16" t="n">
        <v>0</v>
      </c>
      <c r="O16" t="n">
        <v>1</v>
      </c>
      <c r="P16" t="n">
        <v>8</v>
      </c>
      <c r="Q16" t="n">
        <v>5</v>
      </c>
      <c r="R16" t="n">
        <v>0</v>
      </c>
      <c r="S16" t="n">
        <v>0</v>
      </c>
    </row>
    <row r="17">
      <c r="A17" t="inlineStr">
        <is>
          <t>Phnom Penh</t>
        </is>
      </c>
      <c r="B17" t="n">
        <v>102</v>
      </c>
      <c r="C17" t="n">
        <v>380</v>
      </c>
      <c r="D17" t="n">
        <v>1485</v>
      </c>
      <c r="E17" t="n">
        <v>4146</v>
      </c>
      <c r="F17" t="n">
        <v>367</v>
      </c>
      <c r="G17" t="n">
        <v>8</v>
      </c>
      <c r="H17" t="n">
        <v>79</v>
      </c>
      <c r="I17" t="n">
        <v>271</v>
      </c>
      <c r="J17" t="n">
        <v>1050</v>
      </c>
      <c r="K17" t="n">
        <v>2367</v>
      </c>
      <c r="L17" t="n">
        <v>141</v>
      </c>
      <c r="M17" t="n">
        <v>2</v>
      </c>
      <c r="N17" t="n">
        <v>0</v>
      </c>
      <c r="O17" t="n">
        <v>9</v>
      </c>
      <c r="P17" t="n">
        <v>91</v>
      </c>
      <c r="Q17" t="n">
        <v>426</v>
      </c>
      <c r="R17" t="n">
        <v>19</v>
      </c>
      <c r="S17" t="n">
        <v>0</v>
      </c>
    </row>
    <row r="18">
      <c r="A18" t="inlineStr">
        <is>
          <t>Preah Sihanouk</t>
        </is>
      </c>
      <c r="B18" t="n">
        <v>4</v>
      </c>
      <c r="C18" t="n">
        <v>15</v>
      </c>
      <c r="D18" t="n">
        <v>166</v>
      </c>
      <c r="E18" t="n">
        <v>320</v>
      </c>
      <c r="F18" t="n">
        <v>16</v>
      </c>
      <c r="G18" t="n">
        <v>0</v>
      </c>
      <c r="H18" t="n">
        <v>4</v>
      </c>
      <c r="I18" t="n">
        <v>11</v>
      </c>
      <c r="J18" t="n">
        <v>88</v>
      </c>
      <c r="K18" t="n">
        <v>168</v>
      </c>
      <c r="L18" t="n">
        <v>3</v>
      </c>
      <c r="M18" t="n">
        <v>0</v>
      </c>
      <c r="N18" t="n">
        <v>0</v>
      </c>
      <c r="O18" t="n">
        <v>0</v>
      </c>
      <c r="P18" t="n">
        <v>21</v>
      </c>
      <c r="Q18" t="n">
        <v>13</v>
      </c>
      <c r="R18" t="n">
        <v>0</v>
      </c>
      <c r="S18" t="n">
        <v>0</v>
      </c>
    </row>
    <row r="19">
      <c r="A19" t="inlineStr">
        <is>
          <t>Preah Vihear</t>
        </is>
      </c>
      <c r="B19" t="n">
        <v>1</v>
      </c>
      <c r="C19" t="n">
        <v>0</v>
      </c>
      <c r="D19" t="n">
        <v>15</v>
      </c>
      <c r="E19" t="n">
        <v>3</v>
      </c>
      <c r="F19" t="n">
        <v>0</v>
      </c>
      <c r="G19" t="n">
        <v>0</v>
      </c>
      <c r="H19" t="n">
        <v>1</v>
      </c>
      <c r="I19" t="n">
        <v>0</v>
      </c>
      <c r="J19" t="n">
        <v>13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</row>
    <row r="20">
      <c r="A20" t="inlineStr">
        <is>
          <t>Prey Veng</t>
        </is>
      </c>
      <c r="B20" t="n">
        <v>0</v>
      </c>
      <c r="C20" t="n">
        <v>7</v>
      </c>
      <c r="D20" t="n">
        <v>6</v>
      </c>
      <c r="E20" t="n">
        <v>26</v>
      </c>
      <c r="F20" t="n">
        <v>3</v>
      </c>
      <c r="G20" t="n">
        <v>0</v>
      </c>
      <c r="H20" t="n">
        <v>0</v>
      </c>
      <c r="I20" t="n">
        <v>7</v>
      </c>
      <c r="J20" t="n">
        <v>6</v>
      </c>
      <c r="K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Pursat</t>
        </is>
      </c>
      <c r="B21" t="n">
        <v>0</v>
      </c>
      <c r="C21" t="n">
        <v>0</v>
      </c>
      <c r="D21" t="n">
        <v>22</v>
      </c>
      <c r="E21" t="n">
        <v>46</v>
      </c>
      <c r="F21" t="n">
        <v>1</v>
      </c>
      <c r="G21" t="n">
        <v>0</v>
      </c>
      <c r="H21" t="n">
        <v>0</v>
      </c>
      <c r="I21" t="n">
        <v>0</v>
      </c>
      <c r="J21" t="n">
        <v>22</v>
      </c>
      <c r="K21" t="n">
        <v>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Ratanak Kiri</t>
        </is>
      </c>
      <c r="B22" t="n">
        <v>0</v>
      </c>
      <c r="C22" t="n">
        <v>3</v>
      </c>
      <c r="D22" t="n">
        <v>83</v>
      </c>
      <c r="E22" t="n">
        <v>89</v>
      </c>
      <c r="F22" t="n">
        <v>0</v>
      </c>
      <c r="G22" t="n">
        <v>0</v>
      </c>
      <c r="H22" t="n">
        <v>0</v>
      </c>
      <c r="I22" t="n">
        <v>3</v>
      </c>
      <c r="J22" t="n">
        <v>62</v>
      </c>
      <c r="K22" t="n">
        <v>44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</row>
    <row r="23">
      <c r="A23" t="inlineStr">
        <is>
          <t>Siemreap</t>
        </is>
      </c>
      <c r="B23" t="n">
        <v>5</v>
      </c>
      <c r="C23" t="n">
        <v>53</v>
      </c>
      <c r="D23" t="n">
        <v>322</v>
      </c>
      <c r="E23" t="n">
        <v>583</v>
      </c>
      <c r="F23" t="n">
        <v>74</v>
      </c>
      <c r="G23" t="n">
        <v>0</v>
      </c>
      <c r="H23" t="n">
        <v>5</v>
      </c>
      <c r="I23" t="n">
        <v>36</v>
      </c>
      <c r="J23" t="n">
        <v>246</v>
      </c>
      <c r="K23" t="n">
        <v>372</v>
      </c>
      <c r="L23" t="n">
        <v>40</v>
      </c>
      <c r="M23" t="n">
        <v>0</v>
      </c>
      <c r="N23" t="n">
        <v>1</v>
      </c>
      <c r="O23" t="n">
        <v>4</v>
      </c>
      <c r="P23" t="n">
        <v>25</v>
      </c>
      <c r="Q23" t="n">
        <v>25</v>
      </c>
      <c r="R23" t="n">
        <v>1</v>
      </c>
      <c r="S23" t="n">
        <v>0</v>
      </c>
    </row>
    <row r="24">
      <c r="A24" t="inlineStr">
        <is>
          <t>Stung Treng</t>
        </is>
      </c>
      <c r="B24" t="n">
        <v>0</v>
      </c>
      <c r="C24" t="n">
        <v>3</v>
      </c>
      <c r="D24" t="n">
        <v>10</v>
      </c>
      <c r="E24" t="n">
        <v>4</v>
      </c>
      <c r="F24" t="n">
        <v>0</v>
      </c>
      <c r="G24" t="n">
        <v>0</v>
      </c>
      <c r="H24" t="n">
        <v>0</v>
      </c>
      <c r="I24" t="n">
        <v>3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</row>
    <row r="25">
      <c r="A25" t="inlineStr">
        <is>
          <t>Svay Rieng</t>
        </is>
      </c>
      <c r="B25" t="n">
        <v>0</v>
      </c>
      <c r="C25" t="n">
        <v>3</v>
      </c>
      <c r="D25" t="n">
        <v>6</v>
      </c>
      <c r="E25" t="n">
        <v>21</v>
      </c>
      <c r="F25" t="n">
        <v>0</v>
      </c>
      <c r="G25" t="n">
        <v>0</v>
      </c>
      <c r="H25" t="n">
        <v>0</v>
      </c>
      <c r="I25" t="n">
        <v>3</v>
      </c>
      <c r="J25" t="n">
        <v>4</v>
      </c>
      <c r="K25" t="n">
        <v>21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</row>
    <row r="26">
      <c r="A26" t="inlineStr">
        <is>
          <t>Takeo</t>
        </is>
      </c>
      <c r="B26" t="n">
        <v>2</v>
      </c>
      <c r="C26" t="n">
        <v>13</v>
      </c>
      <c r="D26" t="n">
        <v>78</v>
      </c>
      <c r="E26" t="n">
        <v>116</v>
      </c>
      <c r="F26" t="n">
        <v>32</v>
      </c>
      <c r="G26" t="n">
        <v>0</v>
      </c>
      <c r="H26" t="n">
        <v>2</v>
      </c>
      <c r="I26" t="n">
        <v>5</v>
      </c>
      <c r="J26" t="n">
        <v>34</v>
      </c>
      <c r="K26" t="n">
        <v>49</v>
      </c>
      <c r="L26" t="n">
        <v>9</v>
      </c>
      <c r="M26" t="n">
        <v>0</v>
      </c>
      <c r="N26" t="n">
        <v>0</v>
      </c>
      <c r="O26" t="n">
        <v>1</v>
      </c>
      <c r="P26" t="n">
        <v>7</v>
      </c>
      <c r="Q26" t="n">
        <v>13</v>
      </c>
      <c r="R26" t="n">
        <v>0</v>
      </c>
      <c r="S26" t="n">
        <v>0</v>
      </c>
    </row>
    <row r="27">
      <c r="A27" t="inlineStr">
        <is>
          <t>Tbaung Khmum</t>
        </is>
      </c>
      <c r="B27" t="n">
        <v>3</v>
      </c>
      <c r="C27" t="n">
        <v>5</v>
      </c>
      <c r="D27" t="n">
        <v>79</v>
      </c>
      <c r="E27" t="n">
        <v>139</v>
      </c>
      <c r="F27" t="n">
        <v>6</v>
      </c>
      <c r="G27" t="n">
        <v>0</v>
      </c>
      <c r="H27" t="n">
        <v>3</v>
      </c>
      <c r="I27" t="n">
        <v>2</v>
      </c>
      <c r="J27" t="n">
        <v>59</v>
      </c>
      <c r="K27" t="n">
        <v>71</v>
      </c>
      <c r="L27" t="n">
        <v>0</v>
      </c>
      <c r="M27" t="n">
        <v>0</v>
      </c>
      <c r="N27" t="n">
        <v>0</v>
      </c>
      <c r="O27" t="n">
        <v>0</v>
      </c>
      <c r="P27" t="n">
        <v>10</v>
      </c>
      <c r="Q27" t="n">
        <v>42</v>
      </c>
      <c r="R27" t="n">
        <v>0</v>
      </c>
      <c r="S27" t="n">
        <v>0</v>
      </c>
    </row>
    <row r="28">
      <c r="A28" t="inlineStr">
        <is>
          <t>Whole Kingdom</t>
        </is>
      </c>
      <c r="B28" t="n">
        <v>186</v>
      </c>
      <c r="C28" t="n">
        <v>815</v>
      </c>
      <c r="D28" t="n">
        <v>3941</v>
      </c>
      <c r="E28" t="n">
        <v>7877</v>
      </c>
      <c r="F28" t="n">
        <v>662</v>
      </c>
      <c r="G28" t="n">
        <v>15</v>
      </c>
      <c r="H28" t="n">
        <v>134</v>
      </c>
      <c r="I28" t="n">
        <v>585</v>
      </c>
      <c r="J28" t="n">
        <v>2718</v>
      </c>
      <c r="K28" t="n">
        <v>4460</v>
      </c>
      <c r="L28" t="n">
        <v>241</v>
      </c>
      <c r="M28" t="n">
        <v>5</v>
      </c>
      <c r="N28" t="n">
        <v>14</v>
      </c>
      <c r="O28" t="n">
        <v>35</v>
      </c>
      <c r="P28" t="n">
        <v>261</v>
      </c>
      <c r="Q28" t="n">
        <v>658</v>
      </c>
      <c r="R28" t="n">
        <v>22</v>
      </c>
      <c r="S28" t="n">
        <v>0</v>
      </c>
    </row>
    <row r="29">
      <c r="A29" t="inlineStr">
        <is>
          <t>- Urban Area</t>
        </is>
      </c>
      <c r="B29" t="n">
        <v>126</v>
      </c>
      <c r="C29" t="n">
        <v>641</v>
      </c>
      <c r="D29" t="n">
        <v>3286</v>
      </c>
      <c r="E29" t="n">
        <v>6875</v>
      </c>
      <c r="F29" t="n">
        <v>612</v>
      </c>
      <c r="G29" t="n">
        <v>9</v>
      </c>
      <c r="H29" t="n">
        <v>103</v>
      </c>
      <c r="I29" t="n">
        <v>472</v>
      </c>
      <c r="J29" t="n">
        <v>2287</v>
      </c>
      <c r="K29" t="n">
        <v>3959</v>
      </c>
      <c r="L29" t="n">
        <v>226</v>
      </c>
      <c r="M29" t="n">
        <v>2</v>
      </c>
      <c r="N29" t="n">
        <v>1</v>
      </c>
      <c r="O29" t="n">
        <v>25</v>
      </c>
      <c r="P29" t="n">
        <v>210</v>
      </c>
      <c r="Q29" t="n">
        <v>553</v>
      </c>
      <c r="R29" t="n">
        <v>20</v>
      </c>
      <c r="S29" t="n">
        <v>0</v>
      </c>
    </row>
    <row r="30">
      <c r="A30" t="inlineStr">
        <is>
          <t>- Rural Area</t>
        </is>
      </c>
      <c r="B30" t="n">
        <v>60</v>
      </c>
      <c r="C30" t="n">
        <v>174</v>
      </c>
      <c r="D30" t="n">
        <v>655</v>
      </c>
      <c r="E30" t="n">
        <v>1002</v>
      </c>
      <c r="F30" t="n">
        <v>50</v>
      </c>
      <c r="G30" t="n">
        <v>6</v>
      </c>
      <c r="H30" t="n">
        <v>31</v>
      </c>
      <c r="I30" t="n">
        <v>113</v>
      </c>
      <c r="J30" t="n">
        <v>431</v>
      </c>
      <c r="K30" t="n">
        <v>501</v>
      </c>
      <c r="L30" t="n">
        <v>15</v>
      </c>
      <c r="M30" t="n">
        <v>3</v>
      </c>
      <c r="N30" t="n">
        <v>13</v>
      </c>
      <c r="O30" t="n">
        <v>10</v>
      </c>
      <c r="P30" t="n">
        <v>51</v>
      </c>
      <c r="Q30" t="n">
        <v>105</v>
      </c>
      <c r="R30" t="n">
        <v>2</v>
      </c>
      <c r="S30" t="n">
        <v>0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A9D18E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4" customWidth="1" min="1" max="1"/>
    <col width="13.33203125" customWidth="1" min="2" max="2"/>
    <col width="15.5" customWidth="1" min="7" max="7"/>
    <col width="15.33203125" customWidth="1" min="8" max="8"/>
    <col width="13.33203125" customWidth="1" min="9" max="9"/>
    <col width="14.5" customWidth="1" min="10" max="10"/>
    <col width="12.83203125" customWidth="1" min="11" max="11"/>
  </cols>
  <sheetData>
    <row r="1">
      <c r="A1" t="inlineStr">
        <is>
          <t>Table 1: Schools, Classes, Students and Staff</t>
        </is>
      </c>
      <c r="B1" t="inlineStr">
        <is>
          <t>Number of School having</t>
        </is>
      </c>
    </row>
    <row r="2">
      <c r="B2" t="inlineStr">
        <is>
          <t>Computer</t>
        </is>
      </c>
      <c r="C2" t="inlineStr">
        <is>
          <t>Printer</t>
        </is>
      </c>
      <c r="D2" t="inlineStr">
        <is>
          <t>LCD Projector</t>
        </is>
      </c>
      <c r="E2" t="inlineStr">
        <is>
          <t>Photocopy</t>
        </is>
      </c>
      <c r="F2" t="inlineStr">
        <is>
          <t>Library</t>
        </is>
      </c>
      <c r="G2" t="inlineStr">
        <is>
          <t>Home Economic</t>
        </is>
      </c>
      <c r="H2" t="inlineStr">
        <is>
          <t>Resource Center</t>
        </is>
      </c>
      <c r="I2" t="inlineStr">
        <is>
          <t>Workshop</t>
        </is>
      </c>
      <c r="J2" t="inlineStr">
        <is>
          <t>Drinking Water</t>
        </is>
      </c>
      <c r="K2" t="inlineStr">
        <is>
          <t>Toilet</t>
        </is>
      </c>
    </row>
    <row r="3">
      <c r="A3" t="inlineStr">
        <is>
          <t>Banteay Meanchey</t>
        </is>
      </c>
      <c r="B3" t="n">
        <v>88</v>
      </c>
      <c r="C3" t="n">
        <v>82</v>
      </c>
      <c r="D3" t="n">
        <v>52</v>
      </c>
      <c r="E3" t="n">
        <v>67</v>
      </c>
      <c r="F3" t="n">
        <v>51</v>
      </c>
      <c r="G3" t="n">
        <v>24</v>
      </c>
      <c r="H3" t="n">
        <v>25</v>
      </c>
      <c r="I3" t="n">
        <v>14</v>
      </c>
      <c r="J3" t="n">
        <v>87</v>
      </c>
      <c r="K3" t="n">
        <v>107</v>
      </c>
    </row>
    <row r="4">
      <c r="A4" t="inlineStr">
        <is>
          <t>Battambang</t>
        </is>
      </c>
      <c r="B4" t="n">
        <v>36</v>
      </c>
      <c r="C4" t="n">
        <v>32</v>
      </c>
      <c r="D4" t="n">
        <v>28</v>
      </c>
      <c r="E4" t="n">
        <v>27</v>
      </c>
      <c r="F4" t="n">
        <v>36</v>
      </c>
      <c r="G4" t="n">
        <v>13</v>
      </c>
      <c r="H4" t="n">
        <v>16</v>
      </c>
      <c r="I4" t="n">
        <v>4</v>
      </c>
      <c r="J4" t="n">
        <v>42</v>
      </c>
      <c r="K4" t="n">
        <v>44</v>
      </c>
    </row>
    <row r="5">
      <c r="A5" t="inlineStr">
        <is>
          <t>Kampong Cham</t>
        </is>
      </c>
      <c r="B5" t="n">
        <v>15</v>
      </c>
      <c r="C5" t="n">
        <v>11</v>
      </c>
      <c r="D5" t="n">
        <v>4</v>
      </c>
      <c r="E5" t="n">
        <v>9</v>
      </c>
      <c r="F5" t="n">
        <v>8</v>
      </c>
      <c r="G5" t="n">
        <v>0</v>
      </c>
      <c r="H5" t="n">
        <v>6</v>
      </c>
      <c r="I5" t="n">
        <v>2</v>
      </c>
      <c r="J5" t="n">
        <v>17</v>
      </c>
      <c r="K5" t="n">
        <v>22</v>
      </c>
    </row>
    <row r="6">
      <c r="A6" t="inlineStr">
        <is>
          <t>Kampong Chhnang</t>
        </is>
      </c>
      <c r="B6" t="n">
        <v>19</v>
      </c>
      <c r="C6" t="n">
        <v>17</v>
      </c>
      <c r="D6" t="n">
        <v>15</v>
      </c>
      <c r="E6" t="n">
        <v>15</v>
      </c>
      <c r="F6" t="n">
        <v>11</v>
      </c>
      <c r="G6" t="n">
        <v>4</v>
      </c>
      <c r="H6" t="n">
        <v>4</v>
      </c>
      <c r="I6" t="n">
        <v>4</v>
      </c>
      <c r="J6" t="n">
        <v>24</v>
      </c>
      <c r="K6" t="n">
        <v>24</v>
      </c>
    </row>
    <row r="7">
      <c r="A7" t="inlineStr">
        <is>
          <t>Kampong Speu</t>
        </is>
      </c>
      <c r="B7" t="n">
        <v>39</v>
      </c>
      <c r="C7" t="n">
        <v>28</v>
      </c>
      <c r="D7" t="n">
        <v>22</v>
      </c>
      <c r="E7" t="n">
        <v>29</v>
      </c>
      <c r="F7" t="n">
        <v>30</v>
      </c>
      <c r="G7" t="n">
        <v>12</v>
      </c>
      <c r="H7" t="n">
        <v>2</v>
      </c>
      <c r="I7" t="n">
        <v>8</v>
      </c>
      <c r="J7" t="n">
        <v>45</v>
      </c>
      <c r="K7" t="n">
        <v>50</v>
      </c>
    </row>
    <row r="8">
      <c r="A8" t="inlineStr">
        <is>
          <t>Kampong Thom</t>
        </is>
      </c>
      <c r="B8" t="n">
        <v>12</v>
      </c>
      <c r="C8" t="n">
        <v>10</v>
      </c>
      <c r="D8" t="n">
        <v>9</v>
      </c>
      <c r="E8" t="n">
        <v>9</v>
      </c>
      <c r="F8" t="n">
        <v>9</v>
      </c>
      <c r="G8" t="n">
        <v>6</v>
      </c>
      <c r="H8" t="n">
        <v>1</v>
      </c>
      <c r="I8" t="n">
        <v>1</v>
      </c>
      <c r="J8" t="n">
        <v>14</v>
      </c>
      <c r="K8" t="n">
        <v>15</v>
      </c>
    </row>
    <row r="9">
      <c r="A9" t="inlineStr">
        <is>
          <t>Kampot</t>
        </is>
      </c>
      <c r="B9" t="n">
        <v>38</v>
      </c>
      <c r="C9" t="n">
        <v>33</v>
      </c>
      <c r="D9" t="n">
        <v>19</v>
      </c>
      <c r="E9" t="n">
        <v>26</v>
      </c>
      <c r="F9" t="n">
        <v>29</v>
      </c>
      <c r="G9" t="n">
        <v>7</v>
      </c>
      <c r="H9" t="n">
        <v>5</v>
      </c>
      <c r="I9" t="n">
        <v>0</v>
      </c>
      <c r="J9" t="n">
        <v>34</v>
      </c>
      <c r="K9" t="n">
        <v>47</v>
      </c>
    </row>
    <row r="10">
      <c r="A10" t="inlineStr">
        <is>
          <t>Kandal</t>
        </is>
      </c>
      <c r="B10" t="n">
        <v>44</v>
      </c>
      <c r="C10" t="n">
        <v>39</v>
      </c>
      <c r="D10" t="n">
        <v>28</v>
      </c>
      <c r="E10" t="n">
        <v>40</v>
      </c>
      <c r="F10" t="n">
        <v>26</v>
      </c>
      <c r="G10" t="n">
        <v>15</v>
      </c>
      <c r="H10" t="n">
        <v>16</v>
      </c>
      <c r="I10" t="n">
        <v>3</v>
      </c>
      <c r="J10" t="n">
        <v>55</v>
      </c>
      <c r="K10" t="n">
        <v>60</v>
      </c>
    </row>
    <row r="11">
      <c r="A11" t="inlineStr">
        <is>
          <t>Kep</t>
        </is>
      </c>
      <c r="B11" t="n">
        <v>1</v>
      </c>
      <c r="C11" t="n">
        <v>0</v>
      </c>
      <c r="D11" t="n">
        <v>1</v>
      </c>
      <c r="E11" t="n">
        <v>1</v>
      </c>
      <c r="F11" t="n">
        <v>4</v>
      </c>
      <c r="G11" t="n">
        <v>0</v>
      </c>
      <c r="H11" t="n">
        <v>1</v>
      </c>
      <c r="I11" t="n">
        <v>0</v>
      </c>
      <c r="J11" t="n">
        <v>4</v>
      </c>
      <c r="K11" t="n">
        <v>4</v>
      </c>
    </row>
    <row r="12">
      <c r="A12" t="inlineStr">
        <is>
          <t>Koh Kong</t>
        </is>
      </c>
      <c r="B12" t="n">
        <v>12</v>
      </c>
      <c r="C12" t="n">
        <v>11</v>
      </c>
      <c r="D12" t="n">
        <v>4</v>
      </c>
      <c r="E12" t="n">
        <v>5</v>
      </c>
      <c r="F12" t="n">
        <v>9</v>
      </c>
      <c r="G12" t="n">
        <v>1</v>
      </c>
      <c r="H12" t="n">
        <v>0</v>
      </c>
      <c r="I12" t="n">
        <v>0</v>
      </c>
      <c r="J12" t="n">
        <v>10</v>
      </c>
      <c r="K12" t="n">
        <v>16</v>
      </c>
    </row>
    <row r="13">
      <c r="A13" t="inlineStr">
        <is>
          <t>Kratie</t>
        </is>
      </c>
      <c r="B13" t="n">
        <v>3</v>
      </c>
      <c r="C13" t="n">
        <v>3</v>
      </c>
      <c r="D13" t="n">
        <v>1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t="inlineStr">
        <is>
          <t>Mondul Kiri</t>
        </is>
      </c>
      <c r="B14" t="n">
        <v>4</v>
      </c>
      <c r="C14" t="n">
        <v>4</v>
      </c>
      <c r="D14" t="n">
        <v>2</v>
      </c>
      <c r="E14" t="n">
        <v>4</v>
      </c>
      <c r="F14" t="n">
        <v>5</v>
      </c>
      <c r="G14" t="n">
        <v>0</v>
      </c>
      <c r="H14" t="n">
        <v>0</v>
      </c>
      <c r="I14" t="n">
        <v>0</v>
      </c>
      <c r="J14" t="n">
        <v>5</v>
      </c>
      <c r="K14" t="n">
        <v>5</v>
      </c>
    </row>
    <row r="15">
      <c r="A15" t="inlineStr">
        <is>
          <t>Otdar Meanchey</t>
        </is>
      </c>
      <c r="B15" t="n">
        <v>4</v>
      </c>
      <c r="C15" t="n">
        <v>2</v>
      </c>
      <c r="D15" t="n">
        <v>2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6</v>
      </c>
    </row>
    <row r="16">
      <c r="A16" t="inlineStr">
        <is>
          <t>Pailin</t>
        </is>
      </c>
      <c r="B16" t="n">
        <v>15</v>
      </c>
      <c r="C16" t="n">
        <v>13</v>
      </c>
      <c r="D16" t="n">
        <v>2</v>
      </c>
      <c r="E16" t="n">
        <v>13</v>
      </c>
      <c r="F16" t="n">
        <v>4</v>
      </c>
      <c r="G16" t="n">
        <v>0</v>
      </c>
      <c r="H16" t="n">
        <v>0</v>
      </c>
      <c r="I16" t="n">
        <v>0</v>
      </c>
      <c r="J16" t="n">
        <v>16</v>
      </c>
      <c r="K16" t="n">
        <v>18</v>
      </c>
    </row>
    <row r="17">
      <c r="A17" t="inlineStr">
        <is>
          <t>Phnom Penh</t>
        </is>
      </c>
      <c r="B17" t="n">
        <v>390</v>
      </c>
      <c r="C17" t="n">
        <v>345</v>
      </c>
      <c r="D17" t="n">
        <v>286</v>
      </c>
      <c r="E17" t="n">
        <v>338</v>
      </c>
      <c r="F17" t="n">
        <v>418</v>
      </c>
      <c r="G17" t="n">
        <v>155</v>
      </c>
      <c r="H17" t="n">
        <v>192</v>
      </c>
      <c r="I17" t="n">
        <v>97</v>
      </c>
      <c r="J17" t="n">
        <v>492</v>
      </c>
      <c r="K17" t="n">
        <v>513</v>
      </c>
    </row>
    <row r="18">
      <c r="A18" t="inlineStr">
        <is>
          <t>Preah Sihanouk</t>
        </is>
      </c>
      <c r="B18" t="n">
        <v>40</v>
      </c>
      <c r="C18" t="n">
        <v>35</v>
      </c>
      <c r="D18" t="n">
        <v>28</v>
      </c>
      <c r="E18" t="n">
        <v>33</v>
      </c>
      <c r="F18" t="n">
        <v>32</v>
      </c>
      <c r="G18" t="n">
        <v>6</v>
      </c>
      <c r="H18" t="n">
        <v>10</v>
      </c>
      <c r="I18" t="n">
        <v>7</v>
      </c>
      <c r="J18" t="n">
        <v>42</v>
      </c>
      <c r="K18" t="n">
        <v>45</v>
      </c>
    </row>
    <row r="19">
      <c r="A19" t="inlineStr">
        <is>
          <t>Preah Vihear</t>
        </is>
      </c>
      <c r="B19" t="n">
        <v>4</v>
      </c>
      <c r="C19" t="n">
        <v>4</v>
      </c>
      <c r="D19" t="n">
        <v>2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4</v>
      </c>
    </row>
    <row r="20">
      <c r="A20" t="inlineStr">
        <is>
          <t>Prey Veng</t>
        </is>
      </c>
      <c r="B20" t="n">
        <v>3</v>
      </c>
      <c r="C20" t="n">
        <v>2</v>
      </c>
      <c r="D20" t="n">
        <v>1</v>
      </c>
      <c r="E20" t="n">
        <v>2</v>
      </c>
      <c r="F20" t="n">
        <v>7</v>
      </c>
      <c r="G20" t="n">
        <v>0</v>
      </c>
      <c r="H20" t="n">
        <v>1</v>
      </c>
      <c r="I20" t="n">
        <v>0</v>
      </c>
      <c r="J20" t="n">
        <v>7</v>
      </c>
      <c r="K20" t="n">
        <v>7</v>
      </c>
    </row>
    <row r="21">
      <c r="A21" t="inlineStr">
        <is>
          <t>Pursat</t>
        </is>
      </c>
      <c r="B21" t="n">
        <v>5</v>
      </c>
      <c r="C21" t="n">
        <v>5</v>
      </c>
      <c r="D21" t="n">
        <v>4</v>
      </c>
      <c r="E21" t="n">
        <v>3</v>
      </c>
      <c r="F21" t="n">
        <v>2</v>
      </c>
      <c r="G21" t="n">
        <v>0</v>
      </c>
      <c r="H21" t="n">
        <v>0</v>
      </c>
      <c r="I21" t="n">
        <v>0</v>
      </c>
      <c r="J21" t="n">
        <v>4</v>
      </c>
      <c r="K21" t="n">
        <v>7</v>
      </c>
    </row>
    <row r="22">
      <c r="A22" t="inlineStr">
        <is>
          <t>Ratanak Kiri</t>
        </is>
      </c>
      <c r="B22" t="n">
        <v>12</v>
      </c>
      <c r="C22" t="n">
        <v>12</v>
      </c>
      <c r="D22" t="n">
        <v>7</v>
      </c>
      <c r="E22" t="n">
        <v>10</v>
      </c>
      <c r="F22" t="n">
        <v>10</v>
      </c>
      <c r="G22" t="n">
        <v>1</v>
      </c>
      <c r="H22" t="n">
        <v>5</v>
      </c>
      <c r="I22" t="n">
        <v>0</v>
      </c>
      <c r="J22" t="n">
        <v>14</v>
      </c>
      <c r="K22" t="n">
        <v>14</v>
      </c>
    </row>
    <row r="23">
      <c r="A23" t="inlineStr">
        <is>
          <t>Siemreap</t>
        </is>
      </c>
      <c r="B23" t="n">
        <v>68</v>
      </c>
      <c r="C23" t="n">
        <v>60</v>
      </c>
      <c r="D23" t="n">
        <v>48</v>
      </c>
      <c r="E23" t="n">
        <v>64</v>
      </c>
      <c r="F23" t="n">
        <v>65</v>
      </c>
      <c r="G23" t="n">
        <v>21</v>
      </c>
      <c r="H23" t="n">
        <v>21</v>
      </c>
      <c r="I23" t="n">
        <v>17</v>
      </c>
      <c r="J23" t="n">
        <v>77</v>
      </c>
      <c r="K23" t="n">
        <v>83</v>
      </c>
    </row>
    <row r="24">
      <c r="A24" t="inlineStr">
        <is>
          <t>Stung Treng</t>
        </is>
      </c>
      <c r="B24" t="n">
        <v>2</v>
      </c>
      <c r="C24" t="n">
        <v>2</v>
      </c>
      <c r="D24" t="n">
        <v>2</v>
      </c>
      <c r="E24" t="n">
        <v>2</v>
      </c>
      <c r="F24" t="n">
        <v>4</v>
      </c>
      <c r="G24" t="n">
        <v>0</v>
      </c>
      <c r="H24" t="n">
        <v>0</v>
      </c>
      <c r="I24" t="n">
        <v>0</v>
      </c>
      <c r="J24" t="n">
        <v>3</v>
      </c>
      <c r="K24" t="n">
        <v>4</v>
      </c>
    </row>
    <row r="25">
      <c r="A25" t="inlineStr">
        <is>
          <t>Svay Rieng</t>
        </is>
      </c>
      <c r="B25" t="n">
        <v>4</v>
      </c>
      <c r="C25" t="n">
        <v>2</v>
      </c>
      <c r="D25" t="n">
        <v>0</v>
      </c>
      <c r="E25" t="n">
        <v>2</v>
      </c>
      <c r="F25" t="n">
        <v>1</v>
      </c>
      <c r="G25" t="n">
        <v>3</v>
      </c>
      <c r="H25" t="n">
        <v>0</v>
      </c>
      <c r="I25" t="n">
        <v>0</v>
      </c>
      <c r="J25" t="n">
        <v>4</v>
      </c>
      <c r="K25" t="n">
        <v>4</v>
      </c>
    </row>
    <row r="26">
      <c r="A26" t="inlineStr">
        <is>
          <t>Takeo</t>
        </is>
      </c>
      <c r="B26" t="n">
        <v>18</v>
      </c>
      <c r="C26" t="n">
        <v>15</v>
      </c>
      <c r="D26" t="n">
        <v>14</v>
      </c>
      <c r="E26" t="n">
        <v>16</v>
      </c>
      <c r="F26" t="n">
        <v>16</v>
      </c>
      <c r="G26" t="n">
        <v>2</v>
      </c>
      <c r="H26" t="n">
        <v>3</v>
      </c>
      <c r="I26" t="n">
        <v>2</v>
      </c>
      <c r="J26" t="n">
        <v>19</v>
      </c>
      <c r="K26" t="n">
        <v>21</v>
      </c>
    </row>
    <row r="27">
      <c r="A27" t="inlineStr">
        <is>
          <t>Tbaung Khmum</t>
        </is>
      </c>
      <c r="B27" t="n">
        <v>18</v>
      </c>
      <c r="C27" t="n">
        <v>19</v>
      </c>
      <c r="D27" t="n">
        <v>14</v>
      </c>
      <c r="E27" t="n">
        <v>14</v>
      </c>
      <c r="F27" t="n">
        <v>12</v>
      </c>
      <c r="G27" t="n">
        <v>3</v>
      </c>
      <c r="H27" t="n">
        <v>5</v>
      </c>
      <c r="I27" t="n">
        <v>3</v>
      </c>
      <c r="J27" t="n">
        <v>24</v>
      </c>
      <c r="K27" t="n">
        <v>26</v>
      </c>
    </row>
    <row r="28">
      <c r="A28" t="inlineStr">
        <is>
          <t>Whole Kingdom</t>
        </is>
      </c>
      <c r="B28" t="n">
        <v>894</v>
      </c>
      <c r="C28" t="n">
        <v>786</v>
      </c>
      <c r="D28" t="n">
        <v>595</v>
      </c>
      <c r="E28" t="n">
        <v>739</v>
      </c>
      <c r="F28" t="n">
        <v>789</v>
      </c>
      <c r="G28" t="n">
        <v>273</v>
      </c>
      <c r="H28" t="n">
        <v>313</v>
      </c>
      <c r="I28" t="n">
        <v>162</v>
      </c>
      <c r="J28" t="n">
        <v>1046</v>
      </c>
      <c r="K28" t="n">
        <v>1147</v>
      </c>
    </row>
    <row r="29">
      <c r="A29" t="inlineStr">
        <is>
          <t>- Urban Area</t>
        </is>
      </c>
      <c r="B29" t="n">
        <v>734</v>
      </c>
      <c r="C29" t="n">
        <v>653</v>
      </c>
      <c r="D29" t="n">
        <v>511</v>
      </c>
      <c r="E29" t="n">
        <v>612</v>
      </c>
      <c r="F29" t="n">
        <v>687</v>
      </c>
      <c r="G29" t="n">
        <v>247</v>
      </c>
      <c r="H29" t="n">
        <v>300</v>
      </c>
      <c r="I29" t="n">
        <v>140</v>
      </c>
      <c r="J29" t="n">
        <v>863</v>
      </c>
      <c r="K29" t="n">
        <v>931</v>
      </c>
    </row>
    <row r="30">
      <c r="A30" t="inlineStr">
        <is>
          <t>- Rural Area</t>
        </is>
      </c>
      <c r="B30" t="n">
        <v>160</v>
      </c>
      <c r="C30" t="n">
        <v>133</v>
      </c>
      <c r="D30" t="n">
        <v>84</v>
      </c>
      <c r="E30" t="n">
        <v>127</v>
      </c>
      <c r="F30" t="n">
        <v>102</v>
      </c>
      <c r="G30" t="n">
        <v>26</v>
      </c>
      <c r="H30" t="n">
        <v>13</v>
      </c>
      <c r="I30" t="n">
        <v>22</v>
      </c>
      <c r="J30" t="n">
        <v>183</v>
      </c>
      <c r="K30" t="n">
        <v>216</v>
      </c>
    </row>
  </sheetData>
  <mergeCells count="2">
    <mergeCell ref="B1:K1"/>
    <mergeCell ref="A1:A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A9D18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9.33203125" customWidth="1" min="1" max="1"/>
    <col width="18.6640625" customWidth="1" min="2" max="2"/>
    <col width="18.1640625" customWidth="1" min="3" max="3"/>
    <col width="18.6640625" customWidth="1" min="4" max="4"/>
    <col width="18.1640625" customWidth="1" min="7" max="7"/>
    <col width="18.6640625" customWidth="1" min="8" max="8"/>
  </cols>
  <sheetData>
    <row r="1">
      <c r="A1" t="inlineStr">
        <is>
          <t>Table 1: Schools, Classes, Students and Staff</t>
        </is>
      </c>
      <c r="B1" t="inlineStr">
        <is>
          <t>Total Number of</t>
        </is>
      </c>
      <c r="E1" t="inlineStr">
        <is>
          <t>Concrete/ Brick Structure</t>
        </is>
      </c>
      <c r="G1" t="inlineStr">
        <is>
          <t>Wooden Structure</t>
        </is>
      </c>
    </row>
    <row r="2">
      <c r="B2" t="inlineStr">
        <is>
          <t>Buildings</t>
        </is>
      </c>
      <c r="C2" t="inlineStr">
        <is>
          <t>Rooms</t>
        </is>
      </c>
      <c r="D2" t="inlineStr">
        <is>
          <t>Classrooms</t>
        </is>
      </c>
      <c r="E2" t="inlineStr">
        <is>
          <t>Buildings</t>
        </is>
      </c>
      <c r="F2" t="inlineStr">
        <is>
          <t>Rooms</t>
        </is>
      </c>
      <c r="G2" t="inlineStr">
        <is>
          <t>Buildings</t>
        </is>
      </c>
      <c r="H2" t="inlineStr">
        <is>
          <t>Rooms</t>
        </is>
      </c>
    </row>
    <row r="3">
      <c r="A3" t="inlineStr">
        <is>
          <t>Banteay Meanchey</t>
        </is>
      </c>
      <c r="B3" t="n">
        <v>132</v>
      </c>
      <c r="C3" t="n">
        <v>1382</v>
      </c>
      <c r="D3" t="n">
        <v>703</v>
      </c>
      <c r="E3" t="n">
        <v>122</v>
      </c>
      <c r="F3" t="n">
        <v>1357</v>
      </c>
      <c r="G3" t="n">
        <v>10</v>
      </c>
      <c r="H3" t="n">
        <v>25</v>
      </c>
    </row>
    <row r="4">
      <c r="A4" t="inlineStr">
        <is>
          <t>Battambang</t>
        </is>
      </c>
      <c r="B4" t="n">
        <v>57</v>
      </c>
      <c r="C4" t="n">
        <v>632</v>
      </c>
      <c r="D4" t="n">
        <v>361</v>
      </c>
      <c r="E4" t="n">
        <v>52</v>
      </c>
      <c r="F4" t="n">
        <v>614</v>
      </c>
      <c r="G4" t="n">
        <v>5</v>
      </c>
      <c r="H4" t="n">
        <v>18</v>
      </c>
    </row>
    <row r="5">
      <c r="A5" t="inlineStr">
        <is>
          <t>Kampong Cham</t>
        </is>
      </c>
      <c r="B5" t="n">
        <v>52</v>
      </c>
      <c r="C5" t="n">
        <v>295</v>
      </c>
      <c r="D5" t="n">
        <v>140</v>
      </c>
      <c r="E5" t="n">
        <v>46</v>
      </c>
      <c r="F5" t="n">
        <v>272</v>
      </c>
      <c r="G5" t="n">
        <v>6</v>
      </c>
      <c r="H5" t="n">
        <v>23</v>
      </c>
    </row>
    <row r="6">
      <c r="A6" t="inlineStr">
        <is>
          <t>Kampong Chhnang</t>
        </is>
      </c>
      <c r="B6" t="n">
        <v>51</v>
      </c>
      <c r="C6" t="n">
        <v>326</v>
      </c>
      <c r="D6" t="n">
        <v>183</v>
      </c>
      <c r="E6" t="n">
        <v>34</v>
      </c>
      <c r="F6" t="n">
        <v>272</v>
      </c>
      <c r="G6" t="n">
        <v>17</v>
      </c>
      <c r="H6" t="n">
        <v>54</v>
      </c>
    </row>
    <row r="7">
      <c r="A7" t="inlineStr">
        <is>
          <t>Kampong Speu</t>
        </is>
      </c>
      <c r="B7" t="n">
        <v>67</v>
      </c>
      <c r="C7" t="n">
        <v>517</v>
      </c>
      <c r="D7" t="n">
        <v>296</v>
      </c>
      <c r="E7" t="n">
        <v>63</v>
      </c>
      <c r="F7" t="n">
        <v>498</v>
      </c>
      <c r="G7" t="n">
        <v>4</v>
      </c>
      <c r="H7" t="n">
        <v>19</v>
      </c>
    </row>
    <row r="8">
      <c r="A8" t="inlineStr">
        <is>
          <t>Kampong Thom</t>
        </is>
      </c>
      <c r="B8" t="n">
        <v>38</v>
      </c>
      <c r="C8" t="n">
        <v>166</v>
      </c>
      <c r="D8" t="n">
        <v>58</v>
      </c>
      <c r="E8" t="n">
        <v>31</v>
      </c>
      <c r="F8" t="n">
        <v>156</v>
      </c>
      <c r="G8" t="n">
        <v>7</v>
      </c>
      <c r="H8" t="n">
        <v>10</v>
      </c>
    </row>
    <row r="9">
      <c r="A9" t="inlineStr">
        <is>
          <t>Kampot</t>
        </is>
      </c>
      <c r="B9" t="n">
        <v>69</v>
      </c>
      <c r="C9" t="n">
        <v>465</v>
      </c>
      <c r="D9" t="n">
        <v>287</v>
      </c>
      <c r="E9" t="n">
        <v>65</v>
      </c>
      <c r="F9" t="n">
        <v>452</v>
      </c>
      <c r="G9" t="n">
        <v>4</v>
      </c>
      <c r="H9" t="n">
        <v>13</v>
      </c>
    </row>
    <row r="10">
      <c r="A10" t="inlineStr">
        <is>
          <t>Kandal</t>
        </is>
      </c>
      <c r="B10" t="n">
        <v>79</v>
      </c>
      <c r="C10" t="n">
        <v>1129</v>
      </c>
      <c r="D10" t="n">
        <v>362</v>
      </c>
      <c r="E10" t="n">
        <v>78</v>
      </c>
      <c r="F10" t="n">
        <v>1127</v>
      </c>
      <c r="G10" t="n">
        <v>1</v>
      </c>
      <c r="H10" t="n">
        <v>2</v>
      </c>
    </row>
    <row r="11">
      <c r="A11" t="inlineStr">
        <is>
          <t>Kep</t>
        </is>
      </c>
      <c r="B11" t="n">
        <v>8</v>
      </c>
      <c r="C11" t="n">
        <v>20</v>
      </c>
      <c r="D11" t="n">
        <v>18</v>
      </c>
      <c r="E11" t="n">
        <v>7</v>
      </c>
      <c r="F11" t="n">
        <v>19</v>
      </c>
      <c r="G11" t="n">
        <v>1</v>
      </c>
      <c r="H11" t="n">
        <v>1</v>
      </c>
    </row>
    <row r="12">
      <c r="A12" t="inlineStr">
        <is>
          <t>Koh Kong</t>
        </is>
      </c>
      <c r="B12" t="n">
        <v>39</v>
      </c>
      <c r="C12" t="n">
        <v>186</v>
      </c>
      <c r="D12" t="n">
        <v>105</v>
      </c>
      <c r="E12" t="n">
        <v>35</v>
      </c>
      <c r="F12" t="n">
        <v>168</v>
      </c>
      <c r="G12" t="n">
        <v>4</v>
      </c>
      <c r="H12" t="n">
        <v>18</v>
      </c>
    </row>
    <row r="13">
      <c r="A13" t="inlineStr">
        <is>
          <t>Kratie</t>
        </is>
      </c>
      <c r="B13" t="n">
        <v>3</v>
      </c>
      <c r="C13" t="n">
        <v>9</v>
      </c>
      <c r="D13" t="n">
        <v>44</v>
      </c>
      <c r="E13" t="n">
        <v>3</v>
      </c>
      <c r="F13" t="n">
        <v>9</v>
      </c>
      <c r="G13" t="n">
        <v>0</v>
      </c>
      <c r="H13" t="n">
        <v>0</v>
      </c>
    </row>
    <row r="14">
      <c r="A14" t="inlineStr">
        <is>
          <t>Mondul Kiri</t>
        </is>
      </c>
      <c r="B14" t="n">
        <v>4</v>
      </c>
      <c r="C14" t="n">
        <v>23</v>
      </c>
      <c r="D14" t="n">
        <v>17</v>
      </c>
      <c r="E14" t="n">
        <v>3</v>
      </c>
      <c r="F14" t="n">
        <v>19</v>
      </c>
      <c r="G14" t="n">
        <v>1</v>
      </c>
      <c r="H14" t="n">
        <v>4</v>
      </c>
    </row>
    <row r="15">
      <c r="A15" t="inlineStr">
        <is>
          <t>Otdar Meanchey</t>
        </is>
      </c>
      <c r="B15" t="n">
        <v>9</v>
      </c>
      <c r="C15" t="n">
        <v>37</v>
      </c>
      <c r="D15" t="n">
        <v>29</v>
      </c>
      <c r="E15" t="n">
        <v>6</v>
      </c>
      <c r="F15" t="n">
        <v>33</v>
      </c>
      <c r="G15" t="n">
        <v>3</v>
      </c>
      <c r="H15" t="n">
        <v>4</v>
      </c>
    </row>
    <row r="16">
      <c r="A16" t="inlineStr">
        <is>
          <t>Pailin</t>
        </is>
      </c>
      <c r="B16" t="n">
        <v>36</v>
      </c>
      <c r="C16" t="n">
        <v>234</v>
      </c>
      <c r="D16" t="n">
        <v>93</v>
      </c>
      <c r="E16" t="n">
        <v>33</v>
      </c>
      <c r="F16" t="n">
        <v>227</v>
      </c>
      <c r="G16" t="n">
        <v>3</v>
      </c>
      <c r="H16" t="n">
        <v>7</v>
      </c>
    </row>
    <row r="17">
      <c r="A17" t="inlineStr">
        <is>
          <t>Phnom Penh</t>
        </is>
      </c>
      <c r="B17" t="n">
        <v>581</v>
      </c>
      <c r="C17" t="n">
        <v>9040</v>
      </c>
      <c r="D17" t="n">
        <v>3500</v>
      </c>
      <c r="E17" t="n">
        <v>567</v>
      </c>
      <c r="F17" t="n">
        <v>8990</v>
      </c>
      <c r="G17" t="n">
        <v>14</v>
      </c>
      <c r="H17" t="n">
        <v>50</v>
      </c>
    </row>
    <row r="18">
      <c r="A18" t="inlineStr">
        <is>
          <t>Preah Sihanouk</t>
        </is>
      </c>
      <c r="B18" t="n">
        <v>56</v>
      </c>
      <c r="C18" t="n">
        <v>663</v>
      </c>
      <c r="D18" t="n">
        <v>314</v>
      </c>
      <c r="E18" t="n">
        <v>50</v>
      </c>
      <c r="F18" t="n">
        <v>652</v>
      </c>
      <c r="G18" t="n">
        <v>6</v>
      </c>
      <c r="H18" t="n">
        <v>11</v>
      </c>
    </row>
    <row r="19">
      <c r="A19" t="inlineStr">
        <is>
          <t>Preah Vihear</t>
        </is>
      </c>
      <c r="B19" t="n">
        <v>4</v>
      </c>
      <c r="C19" t="n">
        <v>41</v>
      </c>
      <c r="D19" t="n">
        <v>5</v>
      </c>
      <c r="E19" t="n">
        <v>4</v>
      </c>
      <c r="F19" t="n">
        <v>37</v>
      </c>
      <c r="G19" t="n">
        <v>0</v>
      </c>
      <c r="H19" t="n">
        <v>4</v>
      </c>
    </row>
    <row r="20">
      <c r="A20" t="inlineStr">
        <is>
          <t>Prey Veng</t>
        </is>
      </c>
      <c r="B20" t="n">
        <v>7</v>
      </c>
      <c r="C20" t="n">
        <v>31</v>
      </c>
      <c r="D20" t="n">
        <v>16</v>
      </c>
      <c r="E20" t="n">
        <v>7</v>
      </c>
      <c r="F20" t="n">
        <v>31</v>
      </c>
      <c r="G20" t="n">
        <v>0</v>
      </c>
      <c r="H20" t="n">
        <v>0</v>
      </c>
    </row>
    <row r="21">
      <c r="A21" t="inlineStr">
        <is>
          <t>Pursat</t>
        </is>
      </c>
      <c r="B21" t="n">
        <v>9</v>
      </c>
      <c r="C21" t="n">
        <v>93</v>
      </c>
      <c r="D21" t="n">
        <v>55</v>
      </c>
      <c r="E21" t="n">
        <v>9</v>
      </c>
      <c r="F21" t="n">
        <v>89</v>
      </c>
      <c r="G21" t="n">
        <v>0</v>
      </c>
      <c r="H21" t="n">
        <v>4</v>
      </c>
    </row>
    <row r="22">
      <c r="A22" t="inlineStr">
        <is>
          <t>Ratanak Kiri</t>
        </is>
      </c>
      <c r="B22" t="n">
        <v>39</v>
      </c>
      <c r="C22" t="n">
        <v>383</v>
      </c>
      <c r="D22" t="n">
        <v>116</v>
      </c>
      <c r="E22" t="n">
        <v>33</v>
      </c>
      <c r="F22" t="n">
        <v>329</v>
      </c>
      <c r="G22" t="n">
        <v>6</v>
      </c>
      <c r="H22" t="n">
        <v>54</v>
      </c>
    </row>
    <row r="23">
      <c r="A23" t="inlineStr">
        <is>
          <t>Siemreap</t>
        </is>
      </c>
      <c r="B23" t="n">
        <v>98</v>
      </c>
      <c r="C23" t="n">
        <v>1136</v>
      </c>
      <c r="D23" t="n">
        <v>571</v>
      </c>
      <c r="E23" t="n">
        <v>94</v>
      </c>
      <c r="F23" t="n">
        <v>1096</v>
      </c>
      <c r="G23" t="n">
        <v>4</v>
      </c>
      <c r="H23" t="n">
        <v>40</v>
      </c>
    </row>
    <row r="24">
      <c r="A24" t="inlineStr">
        <is>
          <t>Stung Treng</t>
        </is>
      </c>
      <c r="B24" t="n">
        <v>5</v>
      </c>
      <c r="C24" t="n">
        <v>16</v>
      </c>
      <c r="D24" t="n">
        <v>15</v>
      </c>
      <c r="E24" t="n">
        <v>5</v>
      </c>
      <c r="F24" t="n">
        <v>16</v>
      </c>
      <c r="G24" t="n">
        <v>0</v>
      </c>
      <c r="H24" t="n">
        <v>0</v>
      </c>
    </row>
    <row r="25">
      <c r="A25" t="inlineStr">
        <is>
          <t>Svay Rieng</t>
        </is>
      </c>
      <c r="B25" t="n">
        <v>7</v>
      </c>
      <c r="C25" t="n">
        <v>74</v>
      </c>
      <c r="D25" t="n">
        <v>13</v>
      </c>
      <c r="E25" t="n">
        <v>7</v>
      </c>
      <c r="F25" t="n">
        <v>74</v>
      </c>
      <c r="G25" t="n">
        <v>0</v>
      </c>
      <c r="H25" t="n">
        <v>0</v>
      </c>
    </row>
    <row r="26">
      <c r="A26" t="inlineStr">
        <is>
          <t>Takeo</t>
        </is>
      </c>
      <c r="B26" t="n">
        <v>39</v>
      </c>
      <c r="C26" t="n">
        <v>272</v>
      </c>
      <c r="D26" t="n">
        <v>119</v>
      </c>
      <c r="E26" t="n">
        <v>34</v>
      </c>
      <c r="F26" t="n">
        <v>245</v>
      </c>
      <c r="G26" t="n">
        <v>5</v>
      </c>
      <c r="H26" t="n">
        <v>27</v>
      </c>
    </row>
    <row r="27">
      <c r="A27" t="inlineStr">
        <is>
          <t>Tbaung Khmum</t>
        </is>
      </c>
      <c r="B27" t="n">
        <v>38</v>
      </c>
      <c r="C27" t="n">
        <v>297</v>
      </c>
      <c r="D27" t="n">
        <v>122</v>
      </c>
      <c r="E27" t="n">
        <v>38</v>
      </c>
      <c r="F27" t="n">
        <v>297</v>
      </c>
      <c r="G27" t="n">
        <v>0</v>
      </c>
      <c r="H27" t="n">
        <v>0</v>
      </c>
    </row>
    <row r="28">
      <c r="A28" t="inlineStr">
        <is>
          <t>Whole Kingdom</t>
        </is>
      </c>
      <c r="B28" t="n">
        <v>1527</v>
      </c>
      <c r="C28" t="n">
        <v>17467</v>
      </c>
      <c r="D28" t="n">
        <v>7542</v>
      </c>
      <c r="E28" t="n">
        <v>1426</v>
      </c>
      <c r="F28" t="n">
        <v>17079</v>
      </c>
      <c r="G28" t="n">
        <v>101</v>
      </c>
      <c r="H28" t="n">
        <v>388</v>
      </c>
    </row>
    <row r="29">
      <c r="A29" t="inlineStr">
        <is>
          <t>- Urban Area</t>
        </is>
      </c>
      <c r="B29" t="n">
        <v>1144</v>
      </c>
      <c r="C29" t="n">
        <v>15259</v>
      </c>
      <c r="D29" t="n">
        <v>6362</v>
      </c>
      <c r="E29" t="n">
        <v>1077</v>
      </c>
      <c r="F29" t="n">
        <v>14997</v>
      </c>
      <c r="G29" t="n">
        <v>67</v>
      </c>
      <c r="H29" t="n">
        <v>262</v>
      </c>
    </row>
    <row r="30">
      <c r="A30" t="inlineStr">
        <is>
          <t>- Rural Area</t>
        </is>
      </c>
      <c r="B30" t="n">
        <v>383</v>
      </c>
      <c r="C30" t="n">
        <v>2208</v>
      </c>
      <c r="D30" t="n">
        <v>1180</v>
      </c>
      <c r="E30" t="n">
        <v>349</v>
      </c>
      <c r="F30" t="n">
        <v>2082</v>
      </c>
      <c r="G30" t="n">
        <v>34</v>
      </c>
      <c r="H30" t="n">
        <v>126</v>
      </c>
    </row>
  </sheetData>
  <mergeCells count="4">
    <mergeCell ref="B1:D1"/>
    <mergeCell ref="G1:H1"/>
    <mergeCell ref="E1:F1"/>
    <mergeCell ref="A1: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A9D18E"/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0.83203125" customWidth="1" min="1" max="1"/>
    <col width="14.1640625" customWidth="1" min="2" max="2"/>
    <col width="14.5" customWidth="1" min="3" max="3"/>
    <col width="13.33203125" customWidth="1" min="4" max="4"/>
    <col width="16.5" customWidth="1" min="5" max="5"/>
    <col width="12" customWidth="1" min="6" max="6"/>
    <col width="12.1640625" customWidth="1" min="9" max="9"/>
    <col width="12" customWidth="1" min="10" max="10"/>
  </cols>
  <sheetData>
    <row r="1">
      <c r="A1" t="inlineStr">
        <is>
          <t>Table 1: Schools, Classes, Students and Staff</t>
        </is>
      </c>
      <c r="B1" t="inlineStr">
        <is>
          <t>School Area (m2)</t>
        </is>
      </c>
      <c r="D1" t="inlineStr">
        <is>
          <t>Cl.room Area
per Student</t>
        </is>
      </c>
      <c r="E1" t="inlineStr">
        <is>
          <t>Pre-School with
Sport Facility</t>
        </is>
      </c>
      <c r="F1" t="inlineStr">
        <is>
          <t>Schools with Sport Ground, Equipment and Teams / Player for</t>
        </is>
      </c>
    </row>
    <row r="2">
      <c r="B2" t="inlineStr">
        <is>
          <t>Land</t>
        </is>
      </c>
      <c r="C2" t="inlineStr">
        <is>
          <t>Playground</t>
        </is>
      </c>
      <c r="F2" t="inlineStr">
        <is>
          <t>Volleyball</t>
        </is>
      </c>
      <c r="G2" t="inlineStr">
        <is>
          <t>Football</t>
        </is>
      </c>
      <c r="H2" t="inlineStr">
        <is>
          <t>Basketball</t>
        </is>
      </c>
      <c r="I2" t="inlineStr">
        <is>
          <t>Shotput</t>
        </is>
      </c>
      <c r="J2" t="inlineStr">
        <is>
          <t>High Jump</t>
        </is>
      </c>
      <c r="K2" t="inlineStr">
        <is>
          <t>Long Jump</t>
        </is>
      </c>
      <c r="L2" t="inlineStr">
        <is>
          <t>Long Run</t>
        </is>
      </c>
    </row>
    <row r="3">
      <c r="A3" t="inlineStr">
        <is>
          <t>Banteay Meanchey</t>
        </is>
      </c>
      <c r="B3" t="n">
        <v>3831</v>
      </c>
      <c r="C3" t="n">
        <v>1887</v>
      </c>
      <c r="D3" t="n">
        <v>0.6</v>
      </c>
      <c r="E3" t="n">
        <v>5</v>
      </c>
      <c r="F3" t="n">
        <v>21</v>
      </c>
      <c r="G3" t="n">
        <v>44</v>
      </c>
      <c r="H3" t="n">
        <v>12</v>
      </c>
      <c r="I3" t="n">
        <v>2</v>
      </c>
      <c r="J3" t="n">
        <v>16</v>
      </c>
      <c r="K3" t="n">
        <v>5</v>
      </c>
      <c r="L3" t="n">
        <v>16</v>
      </c>
    </row>
    <row r="4">
      <c r="A4" t="inlineStr">
        <is>
          <t>Battambang</t>
        </is>
      </c>
      <c r="B4" t="n">
        <v>4674</v>
      </c>
      <c r="C4" t="n">
        <v>1861</v>
      </c>
      <c r="D4" t="n">
        <v>0.6</v>
      </c>
      <c r="E4" t="n">
        <v>13</v>
      </c>
      <c r="F4" t="n">
        <v>12</v>
      </c>
      <c r="G4" t="n">
        <v>18</v>
      </c>
      <c r="H4" t="n">
        <v>9</v>
      </c>
      <c r="I4" t="n">
        <v>1</v>
      </c>
      <c r="J4" t="n">
        <v>8</v>
      </c>
      <c r="K4" t="n">
        <v>3</v>
      </c>
      <c r="L4" t="n">
        <v>3</v>
      </c>
    </row>
    <row r="5">
      <c r="A5" t="inlineStr">
        <is>
          <t>Kampong Cham</t>
        </is>
      </c>
      <c r="B5" t="n">
        <v>15902</v>
      </c>
      <c r="C5" t="n">
        <v>3091</v>
      </c>
      <c r="D5" t="n">
        <v>0.7</v>
      </c>
      <c r="E5" t="n">
        <v>4</v>
      </c>
      <c r="F5" t="n">
        <v>1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Kampong Chhnang</t>
        </is>
      </c>
      <c r="B6" t="n">
        <v>15221</v>
      </c>
      <c r="C6" t="n">
        <v>2188</v>
      </c>
      <c r="D6" t="n">
        <v>0.4</v>
      </c>
      <c r="E6" t="n">
        <v>8</v>
      </c>
      <c r="F6" t="n">
        <v>8</v>
      </c>
      <c r="G6" t="n">
        <v>11</v>
      </c>
      <c r="H6" t="n">
        <v>7</v>
      </c>
      <c r="I6" t="n">
        <v>0</v>
      </c>
      <c r="J6" t="n">
        <v>4</v>
      </c>
      <c r="K6" t="n">
        <v>0</v>
      </c>
      <c r="L6" t="n">
        <v>7</v>
      </c>
    </row>
    <row r="7">
      <c r="A7" t="inlineStr">
        <is>
          <t>Kampong Speu</t>
        </is>
      </c>
      <c r="B7" t="n">
        <v>82171</v>
      </c>
      <c r="C7" t="n">
        <v>21427</v>
      </c>
      <c r="D7" t="n">
        <v>0.6</v>
      </c>
      <c r="E7" t="n">
        <v>10</v>
      </c>
      <c r="F7" t="n">
        <v>7</v>
      </c>
      <c r="G7" t="n">
        <v>15</v>
      </c>
      <c r="H7" t="n">
        <v>6</v>
      </c>
      <c r="I7" t="n">
        <v>4</v>
      </c>
      <c r="J7" t="n">
        <v>6</v>
      </c>
      <c r="K7" t="n">
        <v>4</v>
      </c>
      <c r="L7" t="n">
        <v>7</v>
      </c>
    </row>
    <row r="8">
      <c r="A8" t="inlineStr">
        <is>
          <t>Kampong Thom</t>
        </is>
      </c>
      <c r="B8" t="n">
        <v>64136</v>
      </c>
      <c r="C8" t="n">
        <v>9860</v>
      </c>
      <c r="D8" t="n">
        <v>0.4</v>
      </c>
      <c r="E8" t="n">
        <v>8</v>
      </c>
      <c r="F8" t="n">
        <v>5</v>
      </c>
      <c r="G8" t="n">
        <v>7</v>
      </c>
      <c r="H8" t="n">
        <v>5</v>
      </c>
      <c r="I8" t="n">
        <v>4</v>
      </c>
      <c r="J8" t="n">
        <v>4</v>
      </c>
      <c r="K8" t="n">
        <v>0</v>
      </c>
      <c r="L8" t="n">
        <v>2</v>
      </c>
    </row>
    <row r="9">
      <c r="A9" t="inlineStr">
        <is>
          <t>Kampot</t>
        </is>
      </c>
      <c r="B9" t="n">
        <v>4780</v>
      </c>
      <c r="C9" t="n">
        <v>4131</v>
      </c>
      <c r="D9" t="n">
        <v>0.4</v>
      </c>
      <c r="E9" t="n">
        <v>13</v>
      </c>
      <c r="F9" t="n">
        <v>15</v>
      </c>
      <c r="G9" t="n">
        <v>15</v>
      </c>
      <c r="H9" t="n">
        <v>10</v>
      </c>
      <c r="I9" t="n">
        <v>0</v>
      </c>
      <c r="J9" t="n">
        <v>7</v>
      </c>
      <c r="K9" t="n">
        <v>1</v>
      </c>
      <c r="L9" t="n">
        <v>7</v>
      </c>
    </row>
    <row r="10">
      <c r="A10" t="inlineStr">
        <is>
          <t>Kandal</t>
        </is>
      </c>
      <c r="B10" t="n">
        <v>3505</v>
      </c>
      <c r="C10" t="n">
        <v>929</v>
      </c>
      <c r="D10" t="n">
        <v>0.5</v>
      </c>
      <c r="E10" t="n">
        <v>7</v>
      </c>
      <c r="F10" t="n">
        <v>11</v>
      </c>
      <c r="G10" t="n">
        <v>21</v>
      </c>
      <c r="H10" t="n">
        <v>11</v>
      </c>
      <c r="I10" t="n">
        <v>2</v>
      </c>
      <c r="J10" t="n">
        <v>5</v>
      </c>
      <c r="K10" t="n">
        <v>1</v>
      </c>
      <c r="L10" t="n">
        <v>6</v>
      </c>
    </row>
    <row r="11">
      <c r="A11" t="inlineStr">
        <is>
          <t>Kep</t>
        </is>
      </c>
      <c r="B11" t="n">
        <v>32000</v>
      </c>
      <c r="C11" t="n">
        <v>250</v>
      </c>
      <c r="D11" t="n">
        <v>0.8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Koh Kong</t>
        </is>
      </c>
      <c r="B12" t="n">
        <v>4069</v>
      </c>
      <c r="C12" t="n">
        <v>1072</v>
      </c>
      <c r="D12" t="n">
        <v>0.6</v>
      </c>
      <c r="E12" t="n">
        <v>0</v>
      </c>
      <c r="F12" t="n">
        <v>2</v>
      </c>
      <c r="G12" t="n">
        <v>6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Kratie</t>
        </is>
      </c>
      <c r="B13" t="n">
        <v>1071</v>
      </c>
      <c r="C13" t="n">
        <v>460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Mondul Kiri</t>
        </is>
      </c>
      <c r="B14" t="n">
        <v>5336</v>
      </c>
      <c r="C14" t="n">
        <v>4094</v>
      </c>
      <c r="D14" t="n">
        <v>0.1</v>
      </c>
      <c r="E14" t="n">
        <v>2</v>
      </c>
      <c r="F14" t="n">
        <v>2</v>
      </c>
      <c r="G14" t="n">
        <v>3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Otdar Meanchey</t>
        </is>
      </c>
      <c r="B15" t="n">
        <v>2345</v>
      </c>
      <c r="C15" t="n">
        <v>1939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Pailin</t>
        </is>
      </c>
      <c r="B16" t="n">
        <v>1897</v>
      </c>
      <c r="C16" t="n">
        <v>932</v>
      </c>
      <c r="D16" t="n">
        <v>0.6</v>
      </c>
      <c r="E16" t="n">
        <v>0</v>
      </c>
      <c r="F16" t="n">
        <v>0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Phnom Penh</t>
        </is>
      </c>
      <c r="B17" t="n">
        <v>2856</v>
      </c>
      <c r="C17" t="n">
        <v>854</v>
      </c>
      <c r="D17" t="n">
        <v>0.5</v>
      </c>
      <c r="E17" t="n">
        <v>90</v>
      </c>
      <c r="F17" t="n">
        <v>100</v>
      </c>
      <c r="G17" t="n">
        <v>207</v>
      </c>
      <c r="H17" t="n">
        <v>136</v>
      </c>
      <c r="I17" t="n">
        <v>25</v>
      </c>
      <c r="J17" t="n">
        <v>67</v>
      </c>
      <c r="K17" t="n">
        <v>27</v>
      </c>
      <c r="L17" t="n">
        <v>55</v>
      </c>
    </row>
    <row r="18">
      <c r="A18" t="inlineStr">
        <is>
          <t>Preah Sihanouk</t>
        </is>
      </c>
      <c r="B18" t="n">
        <v>8664</v>
      </c>
      <c r="C18" t="n">
        <v>3157</v>
      </c>
      <c r="D18" t="n">
        <v>0.6</v>
      </c>
      <c r="E18" t="n">
        <v>6</v>
      </c>
      <c r="F18" t="n">
        <v>6</v>
      </c>
      <c r="G18" t="n">
        <v>17</v>
      </c>
      <c r="H18" t="n">
        <v>3</v>
      </c>
      <c r="I18" t="n">
        <v>7</v>
      </c>
      <c r="J18" t="n">
        <v>7</v>
      </c>
      <c r="K18" t="n">
        <v>0</v>
      </c>
      <c r="L18" t="n">
        <v>4</v>
      </c>
    </row>
    <row r="19">
      <c r="A19" t="inlineStr">
        <is>
          <t>Preah Vihear</t>
        </is>
      </c>
      <c r="B19" t="n">
        <v>3240</v>
      </c>
      <c r="C19" t="n">
        <v>500</v>
      </c>
      <c r="D19" t="n">
        <v>0.3</v>
      </c>
      <c r="E19" t="n">
        <v>1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Prey Veng</t>
        </is>
      </c>
      <c r="B20" t="n">
        <v>2015</v>
      </c>
      <c r="C20" t="n">
        <v>1112</v>
      </c>
      <c r="D20" t="n">
        <v>0.4</v>
      </c>
      <c r="E20" t="n">
        <v>4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Pursat</t>
        </is>
      </c>
      <c r="B21" t="n">
        <v>1339</v>
      </c>
      <c r="C21" t="n">
        <v>1019</v>
      </c>
      <c r="D21" t="n">
        <v>0.7</v>
      </c>
      <c r="E21" t="n">
        <v>4</v>
      </c>
      <c r="F21" t="n">
        <v>0</v>
      </c>
      <c r="G21" t="n">
        <v>2</v>
      </c>
      <c r="H21" t="n">
        <v>0</v>
      </c>
      <c r="I21" t="n">
        <v>0</v>
      </c>
      <c r="J21" t="n">
        <v>2</v>
      </c>
      <c r="K21" t="n">
        <v>0</v>
      </c>
      <c r="L21" t="n">
        <v>2</v>
      </c>
    </row>
    <row r="22">
      <c r="A22" t="inlineStr">
        <is>
          <t>Ratanak Kiri</t>
        </is>
      </c>
      <c r="B22" t="n">
        <v>8718</v>
      </c>
      <c r="C22" t="n">
        <v>1459</v>
      </c>
      <c r="D22" t="n">
        <v>0.7</v>
      </c>
      <c r="E22" t="n">
        <v>6</v>
      </c>
      <c r="F22" t="n">
        <v>2</v>
      </c>
      <c r="G22" t="n">
        <v>9</v>
      </c>
      <c r="H22" t="n">
        <v>3</v>
      </c>
      <c r="I22" t="n">
        <v>0</v>
      </c>
      <c r="J22" t="n">
        <v>2</v>
      </c>
      <c r="K22" t="n">
        <v>0</v>
      </c>
      <c r="L22" t="n">
        <v>2</v>
      </c>
    </row>
    <row r="23">
      <c r="A23" t="inlineStr">
        <is>
          <t>Siemreap</t>
        </is>
      </c>
      <c r="B23" t="n">
        <v>6305</v>
      </c>
      <c r="C23" t="n">
        <v>1747</v>
      </c>
      <c r="D23" t="n">
        <v>0.6</v>
      </c>
      <c r="E23" t="n">
        <v>30</v>
      </c>
      <c r="F23" t="n">
        <v>20</v>
      </c>
      <c r="G23" t="n">
        <v>30</v>
      </c>
      <c r="H23" t="n">
        <v>22</v>
      </c>
      <c r="I23" t="n">
        <v>6</v>
      </c>
      <c r="J23" t="n">
        <v>10</v>
      </c>
      <c r="K23" t="n">
        <v>13</v>
      </c>
      <c r="L23" t="n">
        <v>19</v>
      </c>
    </row>
    <row r="24">
      <c r="A24" t="inlineStr">
        <is>
          <t>Stung Treng</t>
        </is>
      </c>
      <c r="B24" t="n">
        <v>1893</v>
      </c>
      <c r="C24" t="n">
        <v>569</v>
      </c>
      <c r="D24" t="n">
        <v>0.5</v>
      </c>
      <c r="E24" t="n">
        <v>0</v>
      </c>
      <c r="F24" t="n">
        <v>0</v>
      </c>
      <c r="G24" t="n">
        <v>3</v>
      </c>
      <c r="H24" t="n">
        <v>3</v>
      </c>
      <c r="I24" t="n">
        <v>0</v>
      </c>
      <c r="J24" t="n">
        <v>1</v>
      </c>
      <c r="K24" t="n">
        <v>0</v>
      </c>
      <c r="L24" t="n">
        <v>0</v>
      </c>
    </row>
    <row r="25">
      <c r="A25" t="inlineStr">
        <is>
          <t>Svay Rieng</t>
        </is>
      </c>
      <c r="B25" t="n">
        <v>786</v>
      </c>
      <c r="C25" t="n">
        <v>549</v>
      </c>
      <c r="D25" t="n">
        <v>0.4</v>
      </c>
      <c r="E25" t="n">
        <v>3</v>
      </c>
      <c r="F25" t="n">
        <v>2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Takeo</t>
        </is>
      </c>
      <c r="B26" t="n">
        <v>3223</v>
      </c>
      <c r="C26" t="n">
        <v>2360</v>
      </c>
      <c r="D26" t="n">
        <v>0.5</v>
      </c>
      <c r="E26" t="n">
        <v>0</v>
      </c>
      <c r="F26" t="n">
        <v>3</v>
      </c>
      <c r="G26" t="n">
        <v>4</v>
      </c>
      <c r="H26" t="n">
        <v>6</v>
      </c>
      <c r="I26" t="n">
        <v>0</v>
      </c>
      <c r="J26" t="n">
        <v>2</v>
      </c>
      <c r="K26" t="n">
        <v>4</v>
      </c>
      <c r="L26" t="n">
        <v>3</v>
      </c>
    </row>
    <row r="27">
      <c r="A27" t="inlineStr">
        <is>
          <t>Tbaung Khmum</t>
        </is>
      </c>
      <c r="B27" t="n">
        <v>3023</v>
      </c>
      <c r="C27" t="n">
        <v>1276</v>
      </c>
      <c r="D27" t="n">
        <v>0.7</v>
      </c>
      <c r="E27" t="n">
        <v>10</v>
      </c>
      <c r="F27" t="n">
        <v>7</v>
      </c>
      <c r="G27" t="n">
        <v>6</v>
      </c>
      <c r="H27" t="n">
        <v>6</v>
      </c>
      <c r="I27" t="n">
        <v>3</v>
      </c>
      <c r="J27" t="n">
        <v>6</v>
      </c>
      <c r="K27" t="n">
        <v>3</v>
      </c>
      <c r="L27" t="n">
        <v>4</v>
      </c>
    </row>
    <row r="28">
      <c r="A28" t="inlineStr">
        <is>
          <t>Whole Kingdom</t>
        </is>
      </c>
      <c r="B28" t="n">
        <v>8859</v>
      </c>
      <c r="C28" t="n">
        <v>2428</v>
      </c>
      <c r="D28" t="n">
        <v>0.5</v>
      </c>
      <c r="E28" t="n">
        <v>226</v>
      </c>
      <c r="F28" t="n">
        <v>227</v>
      </c>
      <c r="G28" t="n">
        <v>432</v>
      </c>
      <c r="H28" t="n">
        <v>247</v>
      </c>
      <c r="I28" t="n">
        <v>54</v>
      </c>
      <c r="J28" t="n">
        <v>148</v>
      </c>
      <c r="K28" t="n">
        <v>63</v>
      </c>
      <c r="L28" t="n">
        <v>139</v>
      </c>
    </row>
    <row r="29">
      <c r="A29" t="inlineStr">
        <is>
          <t>- Urban Area</t>
        </is>
      </c>
      <c r="B29" t="n">
        <v>3434</v>
      </c>
      <c r="C29" t="n">
        <v>1186</v>
      </c>
      <c r="D29" t="n">
        <v>0.5</v>
      </c>
      <c r="E29" t="n">
        <v>177</v>
      </c>
      <c r="F29" t="n">
        <v>185</v>
      </c>
      <c r="G29" t="n">
        <v>359</v>
      </c>
      <c r="H29" t="n">
        <v>213</v>
      </c>
      <c r="I29" t="n">
        <v>48</v>
      </c>
      <c r="J29" t="n">
        <v>116</v>
      </c>
      <c r="K29" t="n">
        <v>55</v>
      </c>
      <c r="L29" t="n">
        <v>110</v>
      </c>
    </row>
    <row r="30">
      <c r="A30" t="inlineStr">
        <is>
          <t>- Rural Area</t>
        </is>
      </c>
      <c r="B30" t="n">
        <v>31081</v>
      </c>
      <c r="C30" t="n">
        <v>7776</v>
      </c>
      <c r="D30" t="n">
        <v>0.5</v>
      </c>
      <c r="E30" t="n">
        <v>49</v>
      </c>
      <c r="F30" t="n">
        <v>42</v>
      </c>
      <c r="G30" t="n">
        <v>73</v>
      </c>
      <c r="H30" t="n">
        <v>34</v>
      </c>
      <c r="I30" t="n">
        <v>6</v>
      </c>
      <c r="J30" t="n">
        <v>32</v>
      </c>
      <c r="K30" t="n">
        <v>8</v>
      </c>
      <c r="L30" t="n">
        <v>29</v>
      </c>
    </row>
  </sheetData>
  <mergeCells count="5">
    <mergeCell ref="F1:L1"/>
    <mergeCell ref="D1:D2"/>
    <mergeCell ref="E1:E2"/>
    <mergeCell ref="B1:C1"/>
    <mergeCell ref="A1:A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0000"/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4" customWidth="1" min="1" max="1"/>
    <col width="17.1640625" customWidth="1" min="2" max="2"/>
    <col width="18" customWidth="1" min="6" max="6"/>
    <col width="17.83203125" customWidth="1" min="7" max="7"/>
  </cols>
  <sheetData>
    <row r="1">
      <c r="A1" t="inlineStr">
        <is>
          <t>Table 1: Schools, Classes, Students and Staff</t>
        </is>
      </c>
      <c r="B1" t="inlineStr">
        <is>
          <t>School Fees Per Student in a Year (Currency US Dollar)</t>
        </is>
      </c>
    </row>
    <row r="2">
      <c r="B2" t="inlineStr">
        <is>
          <t>Lowest Step</t>
        </is>
      </c>
      <c r="D2" t="inlineStr">
        <is>
          <t>Medium Step</t>
        </is>
      </c>
      <c r="F2" t="inlineStr">
        <is>
          <t>Highest Step</t>
        </is>
      </c>
      <c r="H2" t="inlineStr">
        <is>
          <t>Mixed Step</t>
        </is>
      </c>
    </row>
    <row r="3">
      <c r="B3" t="inlineStr">
        <is>
          <t>Minimum</t>
        </is>
      </c>
      <c r="C3" t="inlineStr">
        <is>
          <t>Maximum</t>
        </is>
      </c>
      <c r="D3" t="inlineStr">
        <is>
          <t>Minimum</t>
        </is>
      </c>
      <c r="E3" t="inlineStr">
        <is>
          <t>Maximum</t>
        </is>
      </c>
      <c r="F3" t="inlineStr">
        <is>
          <t>Minimum</t>
        </is>
      </c>
      <c r="G3" t="inlineStr">
        <is>
          <t>Maximum</t>
        </is>
      </c>
      <c r="H3" t="inlineStr">
        <is>
          <t>Minimum</t>
        </is>
      </c>
      <c r="I3" t="inlineStr">
        <is>
          <t>Maximum</t>
        </is>
      </c>
    </row>
    <row r="4">
      <c r="A4" t="inlineStr">
        <is>
          <t>Banteay Meanchey</t>
        </is>
      </c>
      <c r="B4" t="n">
        <v>40</v>
      </c>
      <c r="C4" t="n">
        <v>376</v>
      </c>
      <c r="D4" t="n">
        <v>40</v>
      </c>
      <c r="E4" t="n">
        <v>376</v>
      </c>
      <c r="F4" t="n">
        <v>50</v>
      </c>
      <c r="G4" t="n">
        <v>376</v>
      </c>
      <c r="H4" t="n">
        <v>5</v>
      </c>
      <c r="I4" t="n">
        <v>1080</v>
      </c>
    </row>
    <row r="5">
      <c r="A5" t="inlineStr">
        <is>
          <t>Battambang</t>
        </is>
      </c>
      <c r="B5" t="n">
        <v>60</v>
      </c>
      <c r="C5" t="n">
        <v>1525</v>
      </c>
      <c r="D5" t="n">
        <v>60</v>
      </c>
      <c r="E5" t="n">
        <v>1230</v>
      </c>
      <c r="F5" t="n">
        <v>1</v>
      </c>
      <c r="G5" t="n">
        <v>1230</v>
      </c>
      <c r="H5" t="n">
        <v>6</v>
      </c>
      <c r="I5" t="n">
        <v>645</v>
      </c>
    </row>
    <row r="6">
      <c r="A6" t="inlineStr">
        <is>
          <t>Kampong Cham</t>
        </is>
      </c>
      <c r="B6" t="n">
        <v>130</v>
      </c>
      <c r="C6" t="n">
        <v>200</v>
      </c>
      <c r="D6" t="n">
        <v>130</v>
      </c>
      <c r="E6" t="n">
        <v>200</v>
      </c>
      <c r="F6" t="n">
        <v>130</v>
      </c>
      <c r="G6" t="n">
        <v>360</v>
      </c>
      <c r="H6" t="n">
        <v>150</v>
      </c>
      <c r="I6" t="n">
        <v>450</v>
      </c>
    </row>
    <row r="7">
      <c r="A7" t="inlineStr">
        <is>
          <t>Kampong Chhnang</t>
        </is>
      </c>
      <c r="B7" t="n">
        <v>8</v>
      </c>
      <c r="C7" t="n">
        <v>196</v>
      </c>
      <c r="D7" t="n">
        <v>8</v>
      </c>
      <c r="E7" t="n">
        <v>216</v>
      </c>
      <c r="F7" t="n">
        <v>8</v>
      </c>
      <c r="G7" t="n">
        <v>232</v>
      </c>
      <c r="H7" t="n">
        <v>8</v>
      </c>
      <c r="I7" t="n">
        <v>8</v>
      </c>
    </row>
    <row r="8">
      <c r="A8" t="inlineStr">
        <is>
          <t>Kampong Speu</t>
        </is>
      </c>
      <c r="B8" t="n">
        <v>6</v>
      </c>
      <c r="C8" t="n">
        <v>370</v>
      </c>
      <c r="D8" t="n">
        <v>6</v>
      </c>
      <c r="E8" t="n">
        <v>370</v>
      </c>
      <c r="F8" t="n">
        <v>6</v>
      </c>
      <c r="G8" t="n">
        <v>1440</v>
      </c>
      <c r="H8" t="n">
        <v>8</v>
      </c>
      <c r="I8" t="n">
        <v>370</v>
      </c>
    </row>
    <row r="9">
      <c r="A9" t="inlineStr">
        <is>
          <t>Kampong Thom</t>
        </is>
      </c>
      <c r="B9" t="n">
        <v>30</v>
      </c>
      <c r="C9" t="n">
        <v>269</v>
      </c>
      <c r="D9" t="n">
        <v>30</v>
      </c>
      <c r="E9" t="n">
        <v>269</v>
      </c>
      <c r="F9" t="n">
        <v>30</v>
      </c>
      <c r="G9" t="n">
        <v>420</v>
      </c>
      <c r="H9" t="n">
        <v>0</v>
      </c>
      <c r="I9" t="n">
        <v>0</v>
      </c>
    </row>
    <row r="10">
      <c r="A10" t="inlineStr">
        <is>
          <t>Kampot</t>
        </is>
      </c>
      <c r="B10" t="n">
        <v>80</v>
      </c>
      <c r="C10" t="n">
        <v>600</v>
      </c>
      <c r="D10" t="n">
        <v>50</v>
      </c>
      <c r="E10" t="n">
        <v>600</v>
      </c>
      <c r="F10" t="n">
        <v>50</v>
      </c>
      <c r="G10" t="n">
        <v>259</v>
      </c>
      <c r="H10" t="n">
        <v>80</v>
      </c>
      <c r="I10" t="n">
        <v>125</v>
      </c>
    </row>
    <row r="11">
      <c r="A11" t="inlineStr">
        <is>
          <t>Kandal</t>
        </is>
      </c>
      <c r="B11" t="n">
        <v>16</v>
      </c>
      <c r="C11" t="n">
        <v>1690</v>
      </c>
      <c r="D11" t="n">
        <v>16</v>
      </c>
      <c r="E11" t="n">
        <v>1690</v>
      </c>
      <c r="F11" t="n">
        <v>30</v>
      </c>
      <c r="G11" t="n">
        <v>1790</v>
      </c>
      <c r="H11" t="n">
        <v>10</v>
      </c>
      <c r="I11" t="n">
        <v>430</v>
      </c>
    </row>
    <row r="12">
      <c r="A12" t="inlineStr">
        <is>
          <t>Koh Kong</t>
        </is>
      </c>
      <c r="B12" t="n">
        <v>30</v>
      </c>
      <c r="C12" t="n">
        <v>80</v>
      </c>
      <c r="D12" t="n">
        <v>40</v>
      </c>
      <c r="E12" t="n">
        <v>40</v>
      </c>
      <c r="F12" t="n">
        <v>50</v>
      </c>
      <c r="G12" t="n">
        <v>50</v>
      </c>
      <c r="H12" t="n">
        <v>0</v>
      </c>
      <c r="I12" t="n">
        <v>0</v>
      </c>
    </row>
    <row r="13">
      <c r="A13" t="inlineStr">
        <is>
          <t>Kratie</t>
        </is>
      </c>
      <c r="B13" t="n">
        <v>150</v>
      </c>
      <c r="C13" t="n">
        <v>300</v>
      </c>
      <c r="D13" t="n">
        <v>150</v>
      </c>
      <c r="E13" t="n">
        <v>300</v>
      </c>
      <c r="F13" t="n">
        <v>150</v>
      </c>
      <c r="G13" t="n">
        <v>150</v>
      </c>
      <c r="H13" t="n">
        <v>0</v>
      </c>
      <c r="I13" t="n">
        <v>0</v>
      </c>
    </row>
    <row r="14">
      <c r="A14" t="inlineStr">
        <is>
          <t>Mondul Kiri</t>
        </is>
      </c>
      <c r="B14" t="n">
        <v>286</v>
      </c>
      <c r="C14" t="n">
        <v>286</v>
      </c>
      <c r="D14" t="n">
        <v>286</v>
      </c>
      <c r="E14" t="n">
        <v>286</v>
      </c>
      <c r="F14" t="n">
        <v>286</v>
      </c>
      <c r="G14" t="n">
        <v>350</v>
      </c>
      <c r="H14" t="n">
        <v>600</v>
      </c>
      <c r="I14" t="n">
        <v>600</v>
      </c>
    </row>
    <row r="15">
      <c r="A15" t="inlineStr">
        <is>
          <t>Phnom Penh</t>
        </is>
      </c>
      <c r="B15" t="n">
        <v>10</v>
      </c>
      <c r="C15" t="n">
        <v>42402</v>
      </c>
      <c r="D15" t="n">
        <v>10</v>
      </c>
      <c r="E15" t="n">
        <v>6479</v>
      </c>
      <c r="F15" t="n">
        <v>10</v>
      </c>
      <c r="G15" t="n">
        <v>6932</v>
      </c>
      <c r="H15" t="n">
        <v>10</v>
      </c>
      <c r="I15" t="n">
        <v>6000</v>
      </c>
    </row>
    <row r="16">
      <c r="A16" t="inlineStr">
        <is>
          <t>Preah Vihear</t>
        </is>
      </c>
      <c r="B16" t="n">
        <v>160</v>
      </c>
      <c r="C16" t="n">
        <v>220</v>
      </c>
      <c r="D16" t="n">
        <v>170</v>
      </c>
      <c r="E16" t="n">
        <v>170</v>
      </c>
      <c r="F16" t="n">
        <v>180</v>
      </c>
      <c r="G16" t="n">
        <v>220</v>
      </c>
      <c r="H16" t="n">
        <v>0</v>
      </c>
      <c r="I16" t="n">
        <v>0</v>
      </c>
    </row>
    <row r="17">
      <c r="A17" t="inlineStr">
        <is>
          <t>Prey Veng</t>
        </is>
      </c>
      <c r="B17" t="n">
        <v>12</v>
      </c>
      <c r="C17" t="n">
        <v>130</v>
      </c>
      <c r="D17" t="n">
        <v>12</v>
      </c>
      <c r="E17" t="n">
        <v>130</v>
      </c>
      <c r="F17" t="n">
        <v>12</v>
      </c>
      <c r="G17" t="n">
        <v>130</v>
      </c>
      <c r="H17" t="n">
        <v>130</v>
      </c>
      <c r="I17" t="n">
        <v>130</v>
      </c>
    </row>
    <row r="18">
      <c r="A18" t="inlineStr">
        <is>
          <t>Pursat</t>
        </is>
      </c>
      <c r="B18" t="n">
        <v>87</v>
      </c>
      <c r="C18" t="n">
        <v>152</v>
      </c>
      <c r="D18" t="n">
        <v>87</v>
      </c>
      <c r="E18" t="n">
        <v>164</v>
      </c>
      <c r="F18" t="n">
        <v>100</v>
      </c>
      <c r="G18" t="n">
        <v>176</v>
      </c>
      <c r="H18" t="n">
        <v>8</v>
      </c>
      <c r="I18" t="n">
        <v>188</v>
      </c>
    </row>
    <row r="19">
      <c r="A19" t="inlineStr">
        <is>
          <t>Ratanak Kiri</t>
        </is>
      </c>
      <c r="B19" t="n">
        <v>234</v>
      </c>
      <c r="C19" t="n">
        <v>400</v>
      </c>
      <c r="D19" t="n">
        <v>240</v>
      </c>
      <c r="E19" t="n">
        <v>400</v>
      </c>
      <c r="F19" t="n">
        <v>234</v>
      </c>
      <c r="G19" t="n">
        <v>400</v>
      </c>
      <c r="H19" t="n">
        <v>400</v>
      </c>
      <c r="I19" t="n">
        <v>400</v>
      </c>
    </row>
    <row r="20">
      <c r="A20" t="inlineStr">
        <is>
          <t>Siemreap</t>
        </is>
      </c>
      <c r="B20" t="n">
        <v>10</v>
      </c>
      <c r="C20" t="n">
        <v>1180</v>
      </c>
      <c r="D20" t="n">
        <v>20</v>
      </c>
      <c r="E20" t="n">
        <v>1180</v>
      </c>
      <c r="F20" t="n">
        <v>7</v>
      </c>
      <c r="G20" t="n">
        <v>1180</v>
      </c>
      <c r="H20" t="n">
        <v>10</v>
      </c>
      <c r="I20" t="n">
        <v>5380</v>
      </c>
    </row>
    <row r="21">
      <c r="A21" t="inlineStr">
        <is>
          <t>Preah Sihanouk</t>
        </is>
      </c>
      <c r="B21" t="n">
        <v>30</v>
      </c>
      <c r="C21" t="n">
        <v>1440</v>
      </c>
      <c r="D21" t="n">
        <v>15</v>
      </c>
      <c r="E21" t="n">
        <v>1440</v>
      </c>
      <c r="F21" t="n">
        <v>15</v>
      </c>
      <c r="G21" t="n">
        <v>1440</v>
      </c>
      <c r="H21" t="n">
        <v>5</v>
      </c>
      <c r="I21" t="n">
        <v>1440</v>
      </c>
    </row>
    <row r="22">
      <c r="A22" t="inlineStr">
        <is>
          <t>Stung Treng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75</v>
      </c>
      <c r="I22" t="n">
        <v>75</v>
      </c>
    </row>
    <row r="23">
      <c r="A23" t="inlineStr">
        <is>
          <t>Svay Rieng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168</v>
      </c>
      <c r="H23" t="n">
        <v>160</v>
      </c>
      <c r="I23" t="n">
        <v>160</v>
      </c>
    </row>
    <row r="24">
      <c r="A24" t="inlineStr">
        <is>
          <t>Takeo</t>
        </is>
      </c>
      <c r="B24" t="n">
        <v>108</v>
      </c>
      <c r="C24" t="n">
        <v>420</v>
      </c>
      <c r="D24" t="n">
        <v>120</v>
      </c>
      <c r="E24" t="n">
        <v>420</v>
      </c>
      <c r="F24" t="n">
        <v>120</v>
      </c>
      <c r="G24" t="n">
        <v>420</v>
      </c>
      <c r="H24" t="n">
        <v>80</v>
      </c>
      <c r="I24" t="n">
        <v>420</v>
      </c>
    </row>
    <row r="25">
      <c r="A25" t="inlineStr">
        <is>
          <t>Kep</t>
        </is>
      </c>
      <c r="B25" t="n">
        <v>1</v>
      </c>
      <c r="C25" t="n">
        <v>1</v>
      </c>
      <c r="D25" t="n">
        <v>1</v>
      </c>
      <c r="E25" t="n">
        <v>1320</v>
      </c>
      <c r="F25" t="n">
        <v>1320</v>
      </c>
      <c r="G25" t="n">
        <v>1320</v>
      </c>
      <c r="H25" t="n">
        <v>20</v>
      </c>
      <c r="I25" t="n">
        <v>440</v>
      </c>
    </row>
    <row r="26">
      <c r="A26" t="inlineStr">
        <is>
          <t>Pailin</t>
        </is>
      </c>
      <c r="B26" t="n">
        <v>80</v>
      </c>
      <c r="C26" t="n">
        <v>117</v>
      </c>
      <c r="D26" t="n">
        <v>84</v>
      </c>
      <c r="E26" t="n">
        <v>150</v>
      </c>
      <c r="F26" t="n">
        <v>84</v>
      </c>
      <c r="G26" t="n">
        <v>150</v>
      </c>
      <c r="H26" t="n">
        <v>84</v>
      </c>
      <c r="I26" t="n">
        <v>110</v>
      </c>
    </row>
    <row r="27">
      <c r="A27" t="inlineStr">
        <is>
          <t>Otdar Meanchey</t>
        </is>
      </c>
      <c r="B27" t="n">
        <v>84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84</v>
      </c>
      <c r="I27" t="n">
        <v>100</v>
      </c>
    </row>
    <row r="28">
      <c r="A28" t="inlineStr">
        <is>
          <t>Tbaung Khmum</t>
        </is>
      </c>
      <c r="B28" t="n">
        <v>160</v>
      </c>
      <c r="C28" t="n">
        <v>168</v>
      </c>
      <c r="D28" t="n">
        <v>12</v>
      </c>
      <c r="E28" t="n">
        <v>220</v>
      </c>
      <c r="F28" t="n">
        <v>12</v>
      </c>
      <c r="G28" t="n">
        <v>220</v>
      </c>
      <c r="H28" t="n">
        <v>30</v>
      </c>
      <c r="I28" t="n">
        <v>204</v>
      </c>
    </row>
    <row r="29">
      <c r="A29" t="inlineStr">
        <is>
          <t>Whole Kingdom</t>
        </is>
      </c>
      <c r="B29" t="n">
        <v>1</v>
      </c>
      <c r="C29" t="n">
        <v>42402</v>
      </c>
      <c r="D29" t="n">
        <v>1</v>
      </c>
      <c r="E29" t="n">
        <v>6479</v>
      </c>
      <c r="F29" t="n">
        <v>1</v>
      </c>
      <c r="G29" t="n">
        <v>6932</v>
      </c>
      <c r="H29" t="n">
        <v>5</v>
      </c>
      <c r="I29" t="n">
        <v>6000</v>
      </c>
    </row>
  </sheetData>
  <mergeCells count="6">
    <mergeCell ref="A1:A3"/>
    <mergeCell ref="F2:G2"/>
    <mergeCell ref="B2:C2"/>
    <mergeCell ref="H2:I2"/>
    <mergeCell ref="D2:E2"/>
    <mergeCell ref="B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F0000"/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21.33203125" customWidth="1" min="1" max="1"/>
    <col width="11.5" customWidth="1" min="2" max="2"/>
    <col width="11.83203125" customWidth="1" min="3" max="3"/>
    <col width="11.5" customWidth="1" min="4" max="4"/>
  </cols>
  <sheetData>
    <row r="1">
      <c r="A1" t="inlineStr">
        <is>
          <t>Table 1: Schools, Classes, Students and Staff</t>
        </is>
      </c>
      <c r="B1" t="inlineStr">
        <is>
          <t>School Fees Per Student in a Year (Currency US Dollar)</t>
        </is>
      </c>
    </row>
    <row r="2">
      <c r="B2" t="inlineStr">
        <is>
          <t>Grade 1</t>
        </is>
      </c>
      <c r="D2" t="inlineStr">
        <is>
          <t>Grade 2</t>
        </is>
      </c>
      <c r="F2" t="inlineStr">
        <is>
          <t>Grade 3</t>
        </is>
      </c>
      <c r="H2" t="inlineStr">
        <is>
          <t>Grade 4</t>
        </is>
      </c>
      <c r="J2" t="inlineStr">
        <is>
          <t>Grade 5</t>
        </is>
      </c>
      <c r="L2" t="inlineStr">
        <is>
          <t>Grade 6</t>
        </is>
      </c>
    </row>
    <row r="3">
      <c r="B3" t="inlineStr">
        <is>
          <t>Minimum</t>
        </is>
      </c>
      <c r="C3" t="inlineStr">
        <is>
          <t>Maximum</t>
        </is>
      </c>
      <c r="D3" t="inlineStr">
        <is>
          <t>Minimum</t>
        </is>
      </c>
      <c r="E3" t="inlineStr">
        <is>
          <t>Maximum</t>
        </is>
      </c>
      <c r="F3" t="inlineStr">
        <is>
          <t>Minimum</t>
        </is>
      </c>
      <c r="G3" t="inlineStr">
        <is>
          <t>Maximum</t>
        </is>
      </c>
      <c r="H3" t="inlineStr">
        <is>
          <t>Minimum</t>
        </is>
      </c>
      <c r="I3" t="inlineStr">
        <is>
          <t>Maximum</t>
        </is>
      </c>
      <c r="J3" t="inlineStr">
        <is>
          <t>Minimum</t>
        </is>
      </c>
      <c r="K3" t="inlineStr">
        <is>
          <t>Maximum</t>
        </is>
      </c>
      <c r="L3" t="inlineStr">
        <is>
          <t>Minimum</t>
        </is>
      </c>
      <c r="M3" t="inlineStr">
        <is>
          <t>Maximum</t>
        </is>
      </c>
    </row>
    <row r="4">
      <c r="A4" t="inlineStr">
        <is>
          <t>Banteay Meanchey</t>
        </is>
      </c>
      <c r="B4" t="n">
        <v>5</v>
      </c>
      <c r="C4" t="n">
        <v>1670</v>
      </c>
      <c r="D4" t="n">
        <v>5</v>
      </c>
      <c r="E4" t="n">
        <v>1670</v>
      </c>
      <c r="F4" t="n">
        <v>5</v>
      </c>
      <c r="G4" t="n">
        <v>1670</v>
      </c>
      <c r="H4" t="n">
        <v>5</v>
      </c>
      <c r="I4" t="n">
        <v>1670</v>
      </c>
      <c r="J4" t="n">
        <v>5</v>
      </c>
      <c r="K4" t="n">
        <v>1670</v>
      </c>
      <c r="L4" t="n">
        <v>5</v>
      </c>
      <c r="M4" t="n">
        <v>1670</v>
      </c>
    </row>
    <row r="5">
      <c r="A5" t="inlineStr">
        <is>
          <t>Battambang</t>
        </is>
      </c>
      <c r="B5" t="n">
        <v>20</v>
      </c>
      <c r="C5" t="n">
        <v>3450</v>
      </c>
      <c r="D5" t="n">
        <v>15</v>
      </c>
      <c r="E5" t="n">
        <v>3450</v>
      </c>
      <c r="F5" t="n">
        <v>15</v>
      </c>
      <c r="G5" t="n">
        <v>3450</v>
      </c>
      <c r="H5" t="n">
        <v>15</v>
      </c>
      <c r="I5" t="n">
        <v>3450</v>
      </c>
      <c r="J5" t="n">
        <v>15</v>
      </c>
      <c r="K5" t="n">
        <v>3450</v>
      </c>
      <c r="L5" t="n">
        <v>15</v>
      </c>
      <c r="M5" t="n">
        <v>3450</v>
      </c>
    </row>
    <row r="6">
      <c r="A6" t="inlineStr">
        <is>
          <t>Kampong Cham</t>
        </is>
      </c>
      <c r="B6" t="n">
        <v>30</v>
      </c>
      <c r="C6" t="n">
        <v>530</v>
      </c>
      <c r="D6" t="n">
        <v>33</v>
      </c>
      <c r="E6" t="n">
        <v>530</v>
      </c>
      <c r="F6" t="n">
        <v>36</v>
      </c>
      <c r="G6" t="n">
        <v>530</v>
      </c>
      <c r="H6" t="n">
        <v>42</v>
      </c>
      <c r="I6" t="n">
        <v>530</v>
      </c>
      <c r="J6" t="n">
        <v>48</v>
      </c>
      <c r="K6" t="n">
        <v>530</v>
      </c>
      <c r="L6" t="n">
        <v>60</v>
      </c>
      <c r="M6" t="n">
        <v>530</v>
      </c>
    </row>
    <row r="7">
      <c r="A7" t="inlineStr">
        <is>
          <t>Kampong Chhnang</t>
        </is>
      </c>
      <c r="B7" t="n">
        <v>27</v>
      </c>
      <c r="C7" t="n">
        <v>220</v>
      </c>
      <c r="D7" t="n">
        <v>27</v>
      </c>
      <c r="E7" t="n">
        <v>220</v>
      </c>
      <c r="F7" t="n">
        <v>33</v>
      </c>
      <c r="G7" t="n">
        <v>220</v>
      </c>
      <c r="H7" t="n">
        <v>35</v>
      </c>
      <c r="I7" t="n">
        <v>220</v>
      </c>
      <c r="J7" t="n">
        <v>35</v>
      </c>
      <c r="K7" t="n">
        <v>231</v>
      </c>
      <c r="L7" t="n">
        <v>35</v>
      </c>
      <c r="M7" t="n">
        <v>231</v>
      </c>
    </row>
    <row r="8">
      <c r="A8" t="inlineStr">
        <is>
          <t>Kampong Speu</t>
        </is>
      </c>
      <c r="B8" t="n">
        <v>8</v>
      </c>
      <c r="C8" t="n">
        <v>1620</v>
      </c>
      <c r="D8" t="n">
        <v>8</v>
      </c>
      <c r="E8" t="n">
        <v>1620</v>
      </c>
      <c r="F8" t="n">
        <v>8</v>
      </c>
      <c r="G8" t="n">
        <v>1620</v>
      </c>
      <c r="H8" t="n">
        <v>8</v>
      </c>
      <c r="I8" t="n">
        <v>1620</v>
      </c>
      <c r="J8" t="n">
        <v>8</v>
      </c>
      <c r="K8" t="n">
        <v>1860</v>
      </c>
      <c r="L8" t="n">
        <v>8</v>
      </c>
      <c r="M8" t="n">
        <v>1900</v>
      </c>
    </row>
    <row r="9">
      <c r="A9" t="inlineStr">
        <is>
          <t>Kampong Thom</t>
        </is>
      </c>
      <c r="B9" t="n">
        <v>111</v>
      </c>
      <c r="C9" t="n">
        <v>309</v>
      </c>
      <c r="D9" t="n">
        <v>111</v>
      </c>
      <c r="E9" t="n">
        <v>309</v>
      </c>
      <c r="F9" t="n">
        <v>111</v>
      </c>
      <c r="G9" t="n">
        <v>309</v>
      </c>
      <c r="H9" t="n">
        <v>131</v>
      </c>
      <c r="I9" t="n">
        <v>409</v>
      </c>
      <c r="J9" t="n">
        <v>131</v>
      </c>
      <c r="K9" t="n">
        <v>409</v>
      </c>
      <c r="L9" t="n">
        <v>146</v>
      </c>
      <c r="M9" t="n">
        <v>409</v>
      </c>
    </row>
    <row r="10">
      <c r="A10" t="inlineStr">
        <is>
          <t>Kampot</t>
        </is>
      </c>
      <c r="B10" t="n">
        <v>75</v>
      </c>
      <c r="C10" t="n">
        <v>700</v>
      </c>
      <c r="D10" t="n">
        <v>75</v>
      </c>
      <c r="E10" t="n">
        <v>700</v>
      </c>
      <c r="F10" t="n">
        <v>75</v>
      </c>
      <c r="G10" t="n">
        <v>700</v>
      </c>
      <c r="H10" t="n">
        <v>90</v>
      </c>
      <c r="I10" t="n">
        <v>700</v>
      </c>
      <c r="J10" t="n">
        <v>10</v>
      </c>
      <c r="K10" t="n">
        <v>700</v>
      </c>
      <c r="L10" t="n">
        <v>115</v>
      </c>
      <c r="M10" t="n">
        <v>700</v>
      </c>
    </row>
    <row r="11">
      <c r="A11" t="inlineStr">
        <is>
          <t>Kandal</t>
        </is>
      </c>
      <c r="B11" t="n">
        <v>12</v>
      </c>
      <c r="C11" t="n">
        <v>1590</v>
      </c>
      <c r="D11" t="n">
        <v>12</v>
      </c>
      <c r="E11" t="n">
        <v>1590</v>
      </c>
      <c r="F11" t="n">
        <v>12</v>
      </c>
      <c r="G11" t="n">
        <v>1590</v>
      </c>
      <c r="H11" t="n">
        <v>12</v>
      </c>
      <c r="I11" t="n">
        <v>1690</v>
      </c>
      <c r="J11" t="n">
        <v>12</v>
      </c>
      <c r="K11" t="n">
        <v>1690</v>
      </c>
      <c r="L11" t="n">
        <v>12</v>
      </c>
      <c r="M11" t="n">
        <v>1790</v>
      </c>
    </row>
    <row r="12">
      <c r="A12" t="inlineStr">
        <is>
          <t>Koh Kong</t>
        </is>
      </c>
      <c r="B12" t="n">
        <v>7</v>
      </c>
      <c r="C12" t="n">
        <v>174</v>
      </c>
      <c r="D12" t="n">
        <v>7</v>
      </c>
      <c r="E12" t="n">
        <v>186</v>
      </c>
      <c r="F12" t="n">
        <v>7</v>
      </c>
      <c r="G12" t="n">
        <v>198</v>
      </c>
      <c r="H12" t="n">
        <v>8</v>
      </c>
      <c r="I12" t="n">
        <v>210</v>
      </c>
      <c r="J12" t="n">
        <v>8</v>
      </c>
      <c r="K12" t="n">
        <v>222</v>
      </c>
      <c r="L12" t="n">
        <v>8</v>
      </c>
      <c r="M12" t="n">
        <v>246</v>
      </c>
    </row>
    <row r="13">
      <c r="A13" t="inlineStr">
        <is>
          <t>Kratie</t>
        </is>
      </c>
      <c r="B13" t="n">
        <v>35</v>
      </c>
      <c r="C13" t="n">
        <v>35</v>
      </c>
      <c r="D13" t="n">
        <v>35</v>
      </c>
      <c r="E13" t="n">
        <v>35</v>
      </c>
      <c r="F13" t="n">
        <v>40</v>
      </c>
      <c r="G13" t="n">
        <v>40</v>
      </c>
      <c r="H13" t="n">
        <v>40</v>
      </c>
      <c r="I13" t="n">
        <v>40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Mondul Kiri</t>
        </is>
      </c>
      <c r="B14" t="n">
        <v>280</v>
      </c>
      <c r="C14" t="n">
        <v>350</v>
      </c>
      <c r="D14" t="n">
        <v>280</v>
      </c>
      <c r="E14" t="n">
        <v>350</v>
      </c>
      <c r="F14" t="n">
        <v>280</v>
      </c>
      <c r="G14" t="n">
        <v>350</v>
      </c>
      <c r="H14" t="n">
        <v>280</v>
      </c>
      <c r="I14" t="n">
        <v>380</v>
      </c>
      <c r="J14" t="n">
        <v>280</v>
      </c>
      <c r="K14" t="n">
        <v>380</v>
      </c>
      <c r="L14" t="n">
        <v>280</v>
      </c>
      <c r="M14" t="n">
        <v>280</v>
      </c>
    </row>
    <row r="15">
      <c r="A15" t="inlineStr">
        <is>
          <t>Phnom Penh</t>
        </is>
      </c>
      <c r="B15" t="n">
        <v>5</v>
      </c>
      <c r="C15" t="n">
        <v>8480</v>
      </c>
      <c r="D15" t="n">
        <v>5</v>
      </c>
      <c r="E15" t="n">
        <v>8480</v>
      </c>
      <c r="F15" t="n">
        <v>5</v>
      </c>
      <c r="G15" t="n">
        <v>8480</v>
      </c>
      <c r="H15" t="n">
        <v>5</v>
      </c>
      <c r="I15" t="n">
        <v>8745</v>
      </c>
      <c r="J15" t="n">
        <v>5</v>
      </c>
      <c r="K15" t="n">
        <v>9198</v>
      </c>
      <c r="L15" t="n">
        <v>5</v>
      </c>
      <c r="M15" t="n">
        <v>9651</v>
      </c>
    </row>
    <row r="16">
      <c r="A16" t="inlineStr">
        <is>
          <t>Preah Vihear</t>
        </is>
      </c>
      <c r="B16" t="n">
        <v>220</v>
      </c>
      <c r="C16" t="n">
        <v>220</v>
      </c>
      <c r="D16" t="n">
        <v>220</v>
      </c>
      <c r="E16" t="n">
        <v>230</v>
      </c>
      <c r="F16" t="n">
        <v>220</v>
      </c>
      <c r="G16" t="n">
        <v>240</v>
      </c>
      <c r="H16" t="n">
        <v>220</v>
      </c>
      <c r="I16" t="n">
        <v>250</v>
      </c>
      <c r="J16" t="n">
        <v>220</v>
      </c>
      <c r="K16" t="n">
        <v>260</v>
      </c>
      <c r="L16" t="n">
        <v>220</v>
      </c>
      <c r="M16" t="n">
        <v>270</v>
      </c>
    </row>
    <row r="17">
      <c r="A17" t="inlineStr">
        <is>
          <t>Prey Veng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125</v>
      </c>
      <c r="M17" t="n">
        <v>125</v>
      </c>
    </row>
    <row r="18">
      <c r="A18" t="inlineStr">
        <is>
          <t>Pursat</t>
        </is>
      </c>
      <c r="B18" t="n">
        <v>100</v>
      </c>
      <c r="C18" t="n">
        <v>151</v>
      </c>
      <c r="D18" t="n">
        <v>100</v>
      </c>
      <c r="E18" t="n">
        <v>151</v>
      </c>
      <c r="F18" t="n">
        <v>100</v>
      </c>
      <c r="G18" t="n">
        <v>151</v>
      </c>
      <c r="H18" t="n">
        <v>110</v>
      </c>
      <c r="I18" t="n">
        <v>151</v>
      </c>
      <c r="J18" t="n">
        <v>110</v>
      </c>
      <c r="K18" t="n">
        <v>151</v>
      </c>
      <c r="L18" t="n">
        <v>110</v>
      </c>
      <c r="M18" t="n">
        <v>151</v>
      </c>
    </row>
    <row r="19">
      <c r="A19" t="inlineStr">
        <is>
          <t>Ratanak Kiri</t>
        </is>
      </c>
      <c r="B19" t="n">
        <v>234</v>
      </c>
      <c r="C19" t="n">
        <v>556</v>
      </c>
      <c r="D19" t="n">
        <v>234</v>
      </c>
      <c r="E19" t="n">
        <v>556</v>
      </c>
      <c r="F19" t="n">
        <v>240</v>
      </c>
      <c r="G19" t="n">
        <v>596</v>
      </c>
      <c r="H19" t="n">
        <v>246</v>
      </c>
      <c r="I19" t="n">
        <v>596</v>
      </c>
      <c r="J19" t="n">
        <v>270</v>
      </c>
      <c r="K19" t="n">
        <v>636</v>
      </c>
      <c r="L19" t="n">
        <v>270</v>
      </c>
      <c r="M19" t="n">
        <v>636</v>
      </c>
    </row>
    <row r="20">
      <c r="A20" t="inlineStr">
        <is>
          <t>Siemreap</t>
        </is>
      </c>
      <c r="B20" t="n">
        <v>10</v>
      </c>
      <c r="C20" t="n">
        <v>5380</v>
      </c>
      <c r="D20" t="n">
        <v>15</v>
      </c>
      <c r="E20" t="n">
        <v>5380</v>
      </c>
      <c r="F20" t="n">
        <v>25</v>
      </c>
      <c r="G20" t="n">
        <v>5380</v>
      </c>
      <c r="H20" t="n">
        <v>20</v>
      </c>
      <c r="I20" t="n">
        <v>5380</v>
      </c>
      <c r="J20" t="n">
        <v>25</v>
      </c>
      <c r="K20" t="n">
        <v>5380</v>
      </c>
      <c r="L20" t="n">
        <v>20</v>
      </c>
      <c r="M20" t="n">
        <v>5930</v>
      </c>
    </row>
    <row r="21">
      <c r="A21" t="inlineStr">
        <is>
          <t>Preah Sihanouk</t>
        </is>
      </c>
      <c r="B21" t="n">
        <v>6</v>
      </c>
      <c r="C21" t="n">
        <v>1560</v>
      </c>
      <c r="D21" t="n">
        <v>6</v>
      </c>
      <c r="E21" t="n">
        <v>1560</v>
      </c>
      <c r="F21" t="n">
        <v>6</v>
      </c>
      <c r="G21" t="n">
        <v>1560</v>
      </c>
      <c r="H21" t="n">
        <v>6</v>
      </c>
      <c r="I21" t="n">
        <v>2040</v>
      </c>
      <c r="J21" t="n">
        <v>6</v>
      </c>
      <c r="K21" t="n">
        <v>2040</v>
      </c>
      <c r="L21" t="n">
        <v>6</v>
      </c>
      <c r="M21" t="n">
        <v>2040</v>
      </c>
    </row>
    <row r="22">
      <c r="A22" t="inlineStr">
        <is>
          <t>Stung Treng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Svay Rieng</t>
        </is>
      </c>
      <c r="B23" t="n">
        <v>120</v>
      </c>
      <c r="C23" t="n">
        <v>220</v>
      </c>
      <c r="D23" t="n">
        <v>180</v>
      </c>
      <c r="E23" t="n">
        <v>220</v>
      </c>
      <c r="F23" t="n">
        <v>192</v>
      </c>
      <c r="G23" t="n">
        <v>220</v>
      </c>
      <c r="H23" t="n">
        <v>250</v>
      </c>
      <c r="I23" t="n">
        <v>250</v>
      </c>
      <c r="J23" t="n">
        <v>250</v>
      </c>
      <c r="K23" t="n">
        <v>250</v>
      </c>
      <c r="L23" t="n">
        <v>250</v>
      </c>
      <c r="M23" t="n">
        <v>250</v>
      </c>
    </row>
    <row r="24">
      <c r="A24" t="inlineStr">
        <is>
          <t>Takeo</t>
        </is>
      </c>
      <c r="B24" t="n">
        <v>102</v>
      </c>
      <c r="C24" t="n">
        <v>380</v>
      </c>
      <c r="D24" t="n">
        <v>114</v>
      </c>
      <c r="E24" t="n">
        <v>380</v>
      </c>
      <c r="F24" t="n">
        <v>126</v>
      </c>
      <c r="G24" t="n">
        <v>380</v>
      </c>
      <c r="H24" t="n">
        <v>138</v>
      </c>
      <c r="I24" t="n">
        <v>380</v>
      </c>
      <c r="J24" t="n">
        <v>150</v>
      </c>
      <c r="K24" t="n">
        <v>380</v>
      </c>
      <c r="L24" t="n">
        <v>150</v>
      </c>
      <c r="M24" t="n">
        <v>380</v>
      </c>
    </row>
    <row r="25">
      <c r="A25" t="inlineStr">
        <is>
          <t>Kep</t>
        </is>
      </c>
      <c r="B25" t="n">
        <v>35</v>
      </c>
      <c r="C25" t="n">
        <v>35</v>
      </c>
      <c r="D25" t="n">
        <v>42</v>
      </c>
      <c r="E25" t="n">
        <v>42</v>
      </c>
      <c r="F25" t="n">
        <v>40</v>
      </c>
      <c r="G25" t="n">
        <v>40</v>
      </c>
      <c r="H25" t="n">
        <v>45</v>
      </c>
      <c r="I25" t="n">
        <v>45</v>
      </c>
      <c r="J25" t="n">
        <v>45</v>
      </c>
      <c r="K25" t="n">
        <v>45</v>
      </c>
      <c r="L25" t="n">
        <v>47</v>
      </c>
      <c r="M25" t="n">
        <v>47</v>
      </c>
    </row>
    <row r="26">
      <c r="A26" t="inlineStr">
        <is>
          <t>Pailin</t>
        </is>
      </c>
      <c r="B26" t="n">
        <v>84</v>
      </c>
      <c r="C26" t="n">
        <v>140</v>
      </c>
      <c r="D26" t="n">
        <v>84</v>
      </c>
      <c r="E26" t="n">
        <v>140</v>
      </c>
      <c r="F26" t="n">
        <v>84</v>
      </c>
      <c r="G26" t="n">
        <v>140</v>
      </c>
      <c r="H26" t="n">
        <v>84</v>
      </c>
      <c r="I26" t="n">
        <v>164</v>
      </c>
      <c r="J26" t="n">
        <v>84</v>
      </c>
      <c r="K26" t="n">
        <v>164</v>
      </c>
      <c r="L26" t="n">
        <v>114</v>
      </c>
      <c r="M26" t="n">
        <v>164</v>
      </c>
    </row>
    <row r="27">
      <c r="A27" t="inlineStr">
        <is>
          <t>Otdar Meanchey</t>
        </is>
      </c>
      <c r="B27" t="n">
        <v>84</v>
      </c>
      <c r="C27" t="n">
        <v>100</v>
      </c>
      <c r="D27" t="n">
        <v>84</v>
      </c>
      <c r="E27" t="n">
        <v>100</v>
      </c>
      <c r="F27" t="n">
        <v>84</v>
      </c>
      <c r="G27" t="n">
        <v>100</v>
      </c>
      <c r="H27" t="n">
        <v>84</v>
      </c>
      <c r="I27" t="n">
        <v>100</v>
      </c>
      <c r="J27" t="n">
        <v>84</v>
      </c>
      <c r="K27" t="n">
        <v>100</v>
      </c>
      <c r="L27" t="n">
        <v>84</v>
      </c>
      <c r="M27" t="n">
        <v>100</v>
      </c>
    </row>
    <row r="28">
      <c r="A28" t="inlineStr">
        <is>
          <t>Tbaung Khmum</t>
        </is>
      </c>
      <c r="B28" t="n">
        <v>20</v>
      </c>
      <c r="C28" t="n">
        <v>430</v>
      </c>
      <c r="D28" t="n">
        <v>20</v>
      </c>
      <c r="E28" t="n">
        <v>430</v>
      </c>
      <c r="F28" t="n">
        <v>20</v>
      </c>
      <c r="G28" t="n">
        <v>430</v>
      </c>
      <c r="H28" t="n">
        <v>20</v>
      </c>
      <c r="I28" t="n">
        <v>390</v>
      </c>
      <c r="J28" t="n">
        <v>20</v>
      </c>
      <c r="K28" t="n">
        <v>390</v>
      </c>
      <c r="L28" t="n">
        <v>20</v>
      </c>
      <c r="M28" t="n">
        <v>390</v>
      </c>
    </row>
    <row r="29">
      <c r="A29" t="inlineStr">
        <is>
          <t>Whole Kingdom</t>
        </is>
      </c>
      <c r="B29" t="n">
        <v>5</v>
      </c>
      <c r="C29" t="n">
        <v>8480</v>
      </c>
      <c r="D29" t="n">
        <v>5</v>
      </c>
      <c r="E29" t="n">
        <v>8480</v>
      </c>
      <c r="F29" t="n">
        <v>5</v>
      </c>
      <c r="G29" t="n">
        <v>8480</v>
      </c>
      <c r="H29" t="n">
        <v>5</v>
      </c>
      <c r="I29" t="n">
        <v>8745</v>
      </c>
      <c r="J29" t="n">
        <v>5</v>
      </c>
      <c r="K29" t="n">
        <v>9198</v>
      </c>
      <c r="L29" t="n">
        <v>5</v>
      </c>
      <c r="M29" t="n">
        <v>9651</v>
      </c>
    </row>
  </sheetData>
  <mergeCells count="8">
    <mergeCell ref="L2:M2"/>
    <mergeCell ref="A1:A3"/>
    <mergeCell ref="F2:G2"/>
    <mergeCell ref="B2:C2"/>
    <mergeCell ref="H2:I2"/>
    <mergeCell ref="D2:E2"/>
    <mergeCell ref="J2:K2"/>
    <mergeCell ref="B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FF0000"/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21.1640625" customWidth="1" min="1" max="1"/>
    <col width="11.83203125" customWidth="1" min="2" max="2"/>
    <col width="11.5" customWidth="1" min="3" max="3"/>
    <col width="11.83203125" customWidth="1" min="4" max="4"/>
    <col width="11.5" customWidth="1" min="8" max="8"/>
    <col width="11.83203125" customWidth="1" min="9" max="9"/>
    <col width="11.5" customWidth="1" min="12" max="12"/>
    <col width="11.83203125" customWidth="1" min="13" max="13"/>
  </cols>
  <sheetData>
    <row r="1">
      <c r="A1" t="inlineStr">
        <is>
          <t>Table 1: Schools, Classes, Students and Staff</t>
        </is>
      </c>
      <c r="B1" t="inlineStr">
        <is>
          <t>School Fees Per Student in a Year (Currency US Dollar)</t>
        </is>
      </c>
    </row>
    <row r="2">
      <c r="B2" t="inlineStr">
        <is>
          <t>Grade 7</t>
        </is>
      </c>
      <c r="D2" t="inlineStr">
        <is>
          <t>Grade 8</t>
        </is>
      </c>
      <c r="F2" t="inlineStr">
        <is>
          <t>Grade 9</t>
        </is>
      </c>
      <c r="H2" t="inlineStr">
        <is>
          <t>Grade 10</t>
        </is>
      </c>
      <c r="J2" t="inlineStr">
        <is>
          <t>Grade 11</t>
        </is>
      </c>
      <c r="L2" t="inlineStr">
        <is>
          <t>Grade 12</t>
        </is>
      </c>
    </row>
    <row r="3">
      <c r="B3" t="inlineStr">
        <is>
          <t>Minimum</t>
        </is>
      </c>
      <c r="C3" t="inlineStr">
        <is>
          <t>Maximum</t>
        </is>
      </c>
      <c r="D3" t="inlineStr">
        <is>
          <t>Minimum</t>
        </is>
      </c>
      <c r="E3" t="inlineStr">
        <is>
          <t>Maximum</t>
        </is>
      </c>
      <c r="F3" t="inlineStr">
        <is>
          <t>Minimum</t>
        </is>
      </c>
      <c r="G3" t="inlineStr">
        <is>
          <t>Maximum</t>
        </is>
      </c>
      <c r="H3" t="inlineStr">
        <is>
          <t>Minimum</t>
        </is>
      </c>
      <c r="I3" t="inlineStr">
        <is>
          <t>Maximum</t>
        </is>
      </c>
      <c r="J3" t="inlineStr">
        <is>
          <t>Minimum</t>
        </is>
      </c>
      <c r="K3" t="inlineStr">
        <is>
          <t>Maximum</t>
        </is>
      </c>
      <c r="L3" t="inlineStr">
        <is>
          <t>Minimum</t>
        </is>
      </c>
      <c r="M3" t="inlineStr">
        <is>
          <t>Maximum</t>
        </is>
      </c>
    </row>
    <row r="4">
      <c r="A4" t="inlineStr">
        <is>
          <t>Banteay Meanchey</t>
        </is>
      </c>
      <c r="B4" t="n">
        <v>100</v>
      </c>
      <c r="C4" t="n">
        <v>1500</v>
      </c>
      <c r="D4" t="n">
        <v>120</v>
      </c>
      <c r="E4" t="n">
        <v>955</v>
      </c>
      <c r="F4" t="n">
        <v>120</v>
      </c>
      <c r="G4" t="n">
        <v>955</v>
      </c>
      <c r="H4" t="n">
        <v>300</v>
      </c>
      <c r="I4" t="n">
        <v>1014</v>
      </c>
      <c r="J4" t="n">
        <v>315</v>
      </c>
      <c r="K4" t="n">
        <v>1014</v>
      </c>
      <c r="L4" t="n">
        <v>325</v>
      </c>
      <c r="M4" t="n">
        <v>1014</v>
      </c>
    </row>
    <row r="5">
      <c r="A5" t="inlineStr">
        <is>
          <t>Battambang</t>
        </is>
      </c>
      <c r="B5" t="n">
        <v>200</v>
      </c>
      <c r="C5" t="n">
        <v>938</v>
      </c>
      <c r="D5" t="n">
        <v>200</v>
      </c>
      <c r="E5" t="n">
        <v>938</v>
      </c>
      <c r="F5" t="n">
        <v>200</v>
      </c>
      <c r="G5" t="n">
        <v>938</v>
      </c>
      <c r="H5" t="n">
        <v>220</v>
      </c>
      <c r="I5" t="n">
        <v>1015</v>
      </c>
      <c r="J5" t="n">
        <v>220</v>
      </c>
      <c r="K5" t="n">
        <v>1015</v>
      </c>
      <c r="L5" t="n">
        <v>220</v>
      </c>
      <c r="M5" t="n">
        <v>1015</v>
      </c>
    </row>
    <row r="6">
      <c r="A6" t="inlineStr">
        <is>
          <t>Kampong Cham</t>
        </is>
      </c>
      <c r="B6" t="n">
        <v>200</v>
      </c>
      <c r="C6" t="n">
        <v>550</v>
      </c>
      <c r="D6" t="n">
        <v>200</v>
      </c>
      <c r="E6" t="n">
        <v>550</v>
      </c>
      <c r="F6" t="n">
        <v>200</v>
      </c>
      <c r="G6" t="n">
        <v>550</v>
      </c>
      <c r="H6" t="n">
        <v>200</v>
      </c>
      <c r="I6" t="n">
        <v>600</v>
      </c>
      <c r="J6" t="n">
        <v>200</v>
      </c>
      <c r="K6" t="n">
        <v>600</v>
      </c>
      <c r="L6" t="n">
        <v>200</v>
      </c>
      <c r="M6" t="n">
        <v>600</v>
      </c>
    </row>
    <row r="7">
      <c r="A7" t="inlineStr">
        <is>
          <t>Kampong Chhnang</t>
        </is>
      </c>
      <c r="B7" t="n">
        <v>45</v>
      </c>
      <c r="C7" t="n">
        <v>405</v>
      </c>
      <c r="D7" t="n">
        <v>45</v>
      </c>
      <c r="E7" t="n">
        <v>405</v>
      </c>
      <c r="F7" t="n">
        <v>45</v>
      </c>
      <c r="G7" t="n">
        <v>405</v>
      </c>
      <c r="H7" t="n">
        <v>385</v>
      </c>
      <c r="I7" t="n">
        <v>520</v>
      </c>
      <c r="J7" t="n">
        <v>385</v>
      </c>
      <c r="K7" t="n">
        <v>520</v>
      </c>
      <c r="L7" t="n">
        <v>385</v>
      </c>
      <c r="M7" t="n">
        <v>520</v>
      </c>
    </row>
    <row r="8">
      <c r="A8" t="inlineStr">
        <is>
          <t>Kampong Speu</t>
        </is>
      </c>
      <c r="B8" t="n">
        <v>11</v>
      </c>
      <c r="C8" t="n">
        <v>625</v>
      </c>
      <c r="D8" t="n">
        <v>11</v>
      </c>
      <c r="E8" t="n">
        <v>665</v>
      </c>
      <c r="F8" t="n">
        <v>11</v>
      </c>
      <c r="G8" t="n">
        <v>705</v>
      </c>
      <c r="H8" t="n">
        <v>14</v>
      </c>
      <c r="I8" t="n">
        <v>825</v>
      </c>
      <c r="J8" t="n">
        <v>150</v>
      </c>
      <c r="K8" t="n">
        <v>945</v>
      </c>
      <c r="L8" t="n">
        <v>150</v>
      </c>
      <c r="M8" t="n">
        <v>1068</v>
      </c>
    </row>
    <row r="9">
      <c r="A9" t="inlineStr">
        <is>
          <t>Kampong Thom</t>
        </is>
      </c>
      <c r="B9" t="n">
        <v>200</v>
      </c>
      <c r="C9" t="n">
        <v>499</v>
      </c>
      <c r="D9" t="n">
        <v>200</v>
      </c>
      <c r="E9" t="n">
        <v>200</v>
      </c>
      <c r="F9" t="n">
        <v>225</v>
      </c>
      <c r="G9" t="n">
        <v>499</v>
      </c>
      <c r="H9" t="n">
        <v>225</v>
      </c>
      <c r="I9" t="n">
        <v>225</v>
      </c>
      <c r="J9" t="n">
        <v>225</v>
      </c>
      <c r="K9" t="n">
        <v>225</v>
      </c>
      <c r="L9" t="n">
        <v>225</v>
      </c>
      <c r="M9" t="n">
        <v>225</v>
      </c>
    </row>
    <row r="10">
      <c r="A10" t="inlineStr">
        <is>
          <t>Kampot</t>
        </is>
      </c>
      <c r="B10" t="n">
        <v>150</v>
      </c>
      <c r="C10" t="n">
        <v>390</v>
      </c>
      <c r="D10" t="n">
        <v>150</v>
      </c>
      <c r="E10" t="n">
        <v>390</v>
      </c>
      <c r="F10" t="n">
        <v>150</v>
      </c>
      <c r="G10" t="n">
        <v>470</v>
      </c>
      <c r="H10" t="n">
        <v>170</v>
      </c>
      <c r="I10" t="n">
        <v>470</v>
      </c>
      <c r="J10" t="n">
        <v>170</v>
      </c>
      <c r="K10" t="n">
        <v>510</v>
      </c>
      <c r="L10" t="n">
        <v>170</v>
      </c>
      <c r="M10" t="n">
        <v>510</v>
      </c>
    </row>
    <row r="11">
      <c r="A11" t="inlineStr">
        <is>
          <t>Kandal</t>
        </is>
      </c>
      <c r="B11" t="n">
        <v>100</v>
      </c>
      <c r="C11" t="n">
        <v>710</v>
      </c>
      <c r="D11" t="n">
        <v>100</v>
      </c>
      <c r="E11" t="n">
        <v>710</v>
      </c>
      <c r="F11" t="n">
        <v>100</v>
      </c>
      <c r="G11" t="n">
        <v>750</v>
      </c>
      <c r="H11" t="n">
        <v>195</v>
      </c>
      <c r="I11" t="n">
        <v>750</v>
      </c>
      <c r="J11" t="n">
        <v>195</v>
      </c>
      <c r="K11" t="n">
        <v>750</v>
      </c>
      <c r="L11" t="n">
        <v>195</v>
      </c>
      <c r="M11" t="n">
        <v>750</v>
      </c>
    </row>
    <row r="12">
      <c r="A12" t="inlineStr">
        <is>
          <t>Koh Kong</t>
        </is>
      </c>
      <c r="B12" t="n">
        <v>15</v>
      </c>
      <c r="C12" t="n">
        <v>195</v>
      </c>
      <c r="D12" t="n">
        <v>15</v>
      </c>
      <c r="E12" t="n">
        <v>195</v>
      </c>
      <c r="F12" t="n">
        <v>15</v>
      </c>
      <c r="G12" t="n">
        <v>195</v>
      </c>
      <c r="H12" t="n">
        <v>225</v>
      </c>
      <c r="I12" t="n">
        <v>225</v>
      </c>
      <c r="J12" t="n">
        <v>225</v>
      </c>
      <c r="K12" t="n">
        <v>225</v>
      </c>
      <c r="L12" t="n">
        <v>0</v>
      </c>
      <c r="M12" t="n">
        <v>0</v>
      </c>
    </row>
    <row r="13">
      <c r="A13" t="inlineStr">
        <is>
          <t>Kratie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Mondul Kiri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Phnom Penh</t>
        </is>
      </c>
      <c r="B15" t="n">
        <v>17</v>
      </c>
      <c r="C15" t="n">
        <v>10104</v>
      </c>
      <c r="D15" t="n">
        <v>17</v>
      </c>
      <c r="E15" t="n">
        <v>10558</v>
      </c>
      <c r="F15" t="n">
        <v>17</v>
      </c>
      <c r="G15" t="n">
        <v>11690</v>
      </c>
      <c r="H15" t="n">
        <v>17</v>
      </c>
      <c r="I15" t="n">
        <v>11690</v>
      </c>
      <c r="J15" t="n">
        <v>17</v>
      </c>
      <c r="K15" t="n">
        <v>12320</v>
      </c>
      <c r="L15" t="n">
        <v>17</v>
      </c>
      <c r="M15" t="n">
        <v>12320</v>
      </c>
    </row>
    <row r="16">
      <c r="A16" t="inlineStr">
        <is>
          <t>Preah Vihear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Prey Veng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Pursat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Ratanak Kiri</t>
        </is>
      </c>
      <c r="B19" t="n">
        <v>325</v>
      </c>
      <c r="C19" t="n">
        <v>676</v>
      </c>
      <c r="D19" t="n">
        <v>325</v>
      </c>
      <c r="E19" t="n">
        <v>676</v>
      </c>
      <c r="F19" t="n">
        <v>325</v>
      </c>
      <c r="G19" t="n">
        <v>716</v>
      </c>
      <c r="H19" t="n">
        <v>560</v>
      </c>
      <c r="I19" t="n">
        <v>756</v>
      </c>
      <c r="J19" t="n">
        <v>560</v>
      </c>
      <c r="K19" t="n">
        <v>796</v>
      </c>
      <c r="L19" t="n">
        <v>600</v>
      </c>
      <c r="M19" t="n">
        <v>836</v>
      </c>
    </row>
    <row r="20">
      <c r="A20" t="inlineStr">
        <is>
          <t>Siemreap</t>
        </is>
      </c>
      <c r="B20" t="n">
        <v>100</v>
      </c>
      <c r="C20" t="n">
        <v>8900</v>
      </c>
      <c r="D20" t="n">
        <v>100</v>
      </c>
      <c r="E20" t="n">
        <v>8900</v>
      </c>
      <c r="F20" t="n">
        <v>150</v>
      </c>
      <c r="G20" t="n">
        <v>1480</v>
      </c>
      <c r="H20" t="n">
        <v>150</v>
      </c>
      <c r="I20" t="n">
        <v>760</v>
      </c>
      <c r="J20" t="n">
        <v>150</v>
      </c>
      <c r="K20" t="n">
        <v>760</v>
      </c>
      <c r="L20" t="n">
        <v>150</v>
      </c>
      <c r="M20" t="n">
        <v>890</v>
      </c>
    </row>
    <row r="21">
      <c r="A21" t="inlineStr">
        <is>
          <t>Preah Sihanouk</t>
        </is>
      </c>
      <c r="B21" t="n">
        <v>58</v>
      </c>
      <c r="C21" t="n">
        <v>2640</v>
      </c>
      <c r="D21" t="n">
        <v>58</v>
      </c>
      <c r="E21" t="n">
        <v>2640</v>
      </c>
      <c r="F21" t="n">
        <v>58</v>
      </c>
      <c r="G21" t="n">
        <v>2640</v>
      </c>
      <c r="H21" t="n">
        <v>58</v>
      </c>
      <c r="I21" t="n">
        <v>3840</v>
      </c>
      <c r="J21" t="n">
        <v>58</v>
      </c>
      <c r="K21" t="n">
        <v>3840</v>
      </c>
      <c r="L21" t="n">
        <v>58</v>
      </c>
      <c r="M21" t="n">
        <v>3840</v>
      </c>
    </row>
    <row r="22">
      <c r="A22" t="inlineStr">
        <is>
          <t>Stung Treng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Svay Rieng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Takeo</t>
        </is>
      </c>
      <c r="B24" t="n">
        <v>100</v>
      </c>
      <c r="C24" t="n">
        <v>400</v>
      </c>
      <c r="D24" t="n">
        <v>100</v>
      </c>
      <c r="E24" t="n">
        <v>400</v>
      </c>
      <c r="F24" t="n">
        <v>100</v>
      </c>
      <c r="G24" t="n">
        <v>430</v>
      </c>
      <c r="H24" t="n">
        <v>150</v>
      </c>
      <c r="I24" t="n">
        <v>430</v>
      </c>
      <c r="J24" t="n">
        <v>150</v>
      </c>
      <c r="K24" t="n">
        <v>460</v>
      </c>
      <c r="L24" t="n">
        <v>150</v>
      </c>
      <c r="M24" t="n">
        <v>460</v>
      </c>
    </row>
    <row r="25">
      <c r="A25" t="inlineStr">
        <is>
          <t>Kep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Pailin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Otdar Meanchey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Tbaung Khmum</t>
        </is>
      </c>
      <c r="B28" t="n">
        <v>25</v>
      </c>
      <c r="C28" t="n">
        <v>642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</row>
    <row r="29">
      <c r="A29" t="inlineStr">
        <is>
          <t>Whole Kingdom</t>
        </is>
      </c>
      <c r="B29" t="n">
        <v>11</v>
      </c>
      <c r="C29" t="n">
        <v>10104</v>
      </c>
      <c r="D29" t="n">
        <v>11</v>
      </c>
      <c r="E29" t="n">
        <v>10558</v>
      </c>
      <c r="F29" t="n">
        <v>11</v>
      </c>
      <c r="G29" t="n">
        <v>11690</v>
      </c>
      <c r="H29" t="n">
        <v>14</v>
      </c>
      <c r="I29" t="n">
        <v>11690</v>
      </c>
      <c r="J29" t="n">
        <v>17</v>
      </c>
      <c r="K29" t="n">
        <v>12320</v>
      </c>
      <c r="L29" t="n">
        <v>17</v>
      </c>
      <c r="M29" t="n">
        <v>12320</v>
      </c>
    </row>
  </sheetData>
  <mergeCells count="8">
    <mergeCell ref="L2:M2"/>
    <mergeCell ref="A1:A3"/>
    <mergeCell ref="F2:G2"/>
    <mergeCell ref="B2:C2"/>
    <mergeCell ref="H2:I2"/>
    <mergeCell ref="D2:E2"/>
    <mergeCell ref="J2:K2"/>
    <mergeCell ref="B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030A0"/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6.1640625" customWidth="1" min="4" max="4"/>
    <col width="6" customWidth="1" min="5" max="5"/>
    <col width="6.1640625" customWidth="1" min="9" max="9"/>
    <col width="6" customWidth="1" min="10" max="10"/>
    <col width="6.1640625" customWidth="1" min="14" max="14"/>
    <col width="6" customWidth="1" min="15" max="15"/>
    <col width="6.1640625" customWidth="1" min="19" max="19"/>
    <col width="6" customWidth="1" min="20" max="20"/>
    <col width="6.1640625" customWidth="1" min="24" max="24"/>
    <col width="6" customWidth="1" min="25" max="25"/>
  </cols>
  <sheetData>
    <row r="1">
      <c r="A1" t="inlineStr">
        <is>
          <t>Table 1: Schools, Classes, Students and Staff</t>
        </is>
      </c>
      <c r="B1" t="inlineStr">
        <is>
          <t>Grooss Admission Rate(GAR)</t>
        </is>
      </c>
      <c r="E1" t="inlineStr">
        <is>
          <t>Net Admission Rate(NAR)</t>
        </is>
      </c>
      <c r="H1" t="inlineStr">
        <is>
          <t>Gross Enrollment Rate (GER)</t>
        </is>
      </c>
      <c r="Q1" t="inlineStr">
        <is>
          <t>Net Enrollment Rate (NER)</t>
        </is>
      </c>
    </row>
    <row r="2">
      <c r="H2" t="inlineStr">
        <is>
          <t>Total</t>
        </is>
      </c>
      <c r="K2" t="inlineStr">
        <is>
          <t>Girl</t>
        </is>
      </c>
      <c r="N2" t="inlineStr">
        <is>
          <t>Boy</t>
        </is>
      </c>
      <c r="Q2" t="inlineStr">
        <is>
          <t>Total</t>
        </is>
      </c>
      <c r="T2" t="inlineStr">
        <is>
          <t>Girl</t>
        </is>
      </c>
      <c r="W2" t="inlineStr">
        <is>
          <t>Boy</t>
        </is>
      </c>
    </row>
    <row r="3">
      <c r="B3" t="inlineStr">
        <is>
          <t>Total</t>
        </is>
      </c>
      <c r="C3" t="inlineStr">
        <is>
          <t>Girl</t>
        </is>
      </c>
      <c r="D3" t="inlineStr">
        <is>
          <t>Boy</t>
        </is>
      </c>
      <c r="E3" t="inlineStr">
        <is>
          <t>Total</t>
        </is>
      </c>
      <c r="F3" t="inlineStr">
        <is>
          <t>Girl</t>
        </is>
      </c>
      <c r="G3" t="inlineStr">
        <is>
          <t>Boy</t>
        </is>
      </c>
      <c r="H3" t="inlineStr">
        <is>
          <t>Pri</t>
        </is>
      </c>
      <c r="I3" t="inlineStr">
        <is>
          <t>L.Sec</t>
        </is>
      </c>
      <c r="J3" t="inlineStr">
        <is>
          <t>U.Sec</t>
        </is>
      </c>
      <c r="K3" t="inlineStr">
        <is>
          <t>Pri</t>
        </is>
      </c>
      <c r="L3" t="inlineStr">
        <is>
          <t>L.Sec</t>
        </is>
      </c>
      <c r="M3" t="inlineStr">
        <is>
          <t>U.Sec</t>
        </is>
      </c>
      <c r="N3" t="inlineStr">
        <is>
          <t>Pri</t>
        </is>
      </c>
      <c r="O3" t="inlineStr">
        <is>
          <t>L.Sec</t>
        </is>
      </c>
      <c r="P3" t="inlineStr">
        <is>
          <t>U.Sec</t>
        </is>
      </c>
      <c r="Q3" t="inlineStr">
        <is>
          <t>Pri</t>
        </is>
      </c>
      <c r="R3" t="inlineStr">
        <is>
          <t>L.Sec</t>
        </is>
      </c>
      <c r="S3" t="inlineStr">
        <is>
          <t>U.Sec</t>
        </is>
      </c>
      <c r="T3" t="inlineStr">
        <is>
          <t>Pri</t>
        </is>
      </c>
      <c r="U3" t="inlineStr">
        <is>
          <t>L.Sec</t>
        </is>
      </c>
      <c r="V3" t="inlineStr">
        <is>
          <t>U.Sec</t>
        </is>
      </c>
      <c r="W3" t="inlineStr">
        <is>
          <t>Pri</t>
        </is>
      </c>
      <c r="X3" t="inlineStr">
        <is>
          <t>L.Sec</t>
        </is>
      </c>
      <c r="Y3" t="inlineStr">
        <is>
          <t>U.Sec</t>
        </is>
      </c>
    </row>
    <row r="4">
      <c r="A4" t="inlineStr">
        <is>
          <t>Banteay Meanchey</t>
        </is>
      </c>
      <c r="B4" t="n">
        <v>19.2</v>
      </c>
      <c r="C4" t="n">
        <v>18.4</v>
      </c>
      <c r="D4" t="n">
        <v>20.1</v>
      </c>
      <c r="E4" t="n">
        <v>12.1</v>
      </c>
      <c r="F4" t="n">
        <v>11.9</v>
      </c>
      <c r="G4" t="n">
        <v>12.2</v>
      </c>
      <c r="H4" t="n">
        <v>14.1</v>
      </c>
      <c r="I4" t="n">
        <v>5.1</v>
      </c>
      <c r="J4" t="n">
        <v>2.1</v>
      </c>
      <c r="K4" t="n">
        <v>13.9</v>
      </c>
      <c r="L4" t="n">
        <v>5.1</v>
      </c>
      <c r="M4" t="n">
        <v>2.2</v>
      </c>
      <c r="N4" t="n">
        <v>14.2</v>
      </c>
      <c r="O4" t="n">
        <v>5</v>
      </c>
      <c r="P4" t="n">
        <v>2</v>
      </c>
      <c r="Q4" t="n">
        <v>12.6</v>
      </c>
      <c r="R4" t="n">
        <v>4.1</v>
      </c>
      <c r="S4" t="n">
        <v>1.8</v>
      </c>
      <c r="T4" t="n">
        <v>12.5</v>
      </c>
      <c r="U4" t="n">
        <v>4.3</v>
      </c>
      <c r="V4" t="n">
        <v>2</v>
      </c>
      <c r="W4" t="n">
        <v>12.7</v>
      </c>
      <c r="X4" t="n">
        <v>4</v>
      </c>
      <c r="Y4" t="n">
        <v>1.6</v>
      </c>
    </row>
    <row r="5">
      <c r="A5" t="inlineStr">
        <is>
          <t>Battambang</t>
        </is>
      </c>
      <c r="B5" t="n">
        <v>4.2</v>
      </c>
      <c r="C5" t="n">
        <v>4.2</v>
      </c>
      <c r="D5" t="n">
        <v>4.3</v>
      </c>
      <c r="E5" t="n">
        <v>2.4</v>
      </c>
      <c r="F5" t="n">
        <v>2.4</v>
      </c>
      <c r="G5" t="n">
        <v>2.3</v>
      </c>
      <c r="H5" t="n">
        <v>2.8</v>
      </c>
      <c r="I5" t="n">
        <v>1.9</v>
      </c>
      <c r="J5" t="n">
        <v>1.6</v>
      </c>
      <c r="K5" t="n">
        <v>2.9</v>
      </c>
      <c r="L5" t="n">
        <v>1.9</v>
      </c>
      <c r="M5" t="n">
        <v>1.7</v>
      </c>
      <c r="N5" t="n">
        <v>2.8</v>
      </c>
      <c r="O5" t="n">
        <v>1.8</v>
      </c>
      <c r="P5" t="n">
        <v>1.4</v>
      </c>
      <c r="Q5" t="n">
        <v>2.4</v>
      </c>
      <c r="R5" t="n">
        <v>1.5</v>
      </c>
      <c r="S5" t="n">
        <v>1.3</v>
      </c>
      <c r="T5" t="n">
        <v>2.5</v>
      </c>
      <c r="U5" t="n">
        <v>1.6</v>
      </c>
      <c r="V5" t="n">
        <v>1.5</v>
      </c>
      <c r="W5" t="n">
        <v>2.4</v>
      </c>
      <c r="X5" t="n">
        <v>1.5</v>
      </c>
      <c r="Y5" t="n">
        <v>1.1</v>
      </c>
    </row>
    <row r="6">
      <c r="A6" t="inlineStr">
        <is>
          <t>Kampong Cham</t>
        </is>
      </c>
      <c r="B6" t="n">
        <v>2.7</v>
      </c>
      <c r="C6" t="n">
        <v>2.9</v>
      </c>
      <c r="D6" t="n">
        <v>2.5</v>
      </c>
      <c r="E6" t="n">
        <v>1.3</v>
      </c>
      <c r="F6" t="n">
        <v>1.3</v>
      </c>
      <c r="G6" t="n">
        <v>1.3</v>
      </c>
      <c r="H6" t="n">
        <v>2.1</v>
      </c>
      <c r="I6" t="n">
        <v>0.6</v>
      </c>
      <c r="J6" t="n">
        <v>0.3</v>
      </c>
      <c r="K6" t="n">
        <v>2.1</v>
      </c>
      <c r="L6" t="n">
        <v>0.6</v>
      </c>
      <c r="M6" t="n">
        <v>0.3</v>
      </c>
      <c r="N6" t="n">
        <v>2.1</v>
      </c>
      <c r="O6" t="n">
        <v>0.6</v>
      </c>
      <c r="P6" t="n">
        <v>0.3</v>
      </c>
      <c r="Q6" t="n">
        <v>1.5</v>
      </c>
      <c r="R6" t="n">
        <v>0.5</v>
      </c>
      <c r="S6" t="n">
        <v>0.3</v>
      </c>
      <c r="T6" t="n">
        <v>1.5</v>
      </c>
      <c r="U6" t="n">
        <v>0.5</v>
      </c>
      <c r="V6" t="n">
        <v>0.3</v>
      </c>
      <c r="W6" t="n">
        <v>1.6</v>
      </c>
      <c r="X6" t="n">
        <v>0.5</v>
      </c>
      <c r="Y6" t="n">
        <v>0.3</v>
      </c>
    </row>
    <row r="7">
      <c r="A7" t="inlineStr">
        <is>
          <t>Kampong Chhnang</t>
        </is>
      </c>
      <c r="B7" t="n">
        <v>4.3</v>
      </c>
      <c r="C7" t="n">
        <v>4.6</v>
      </c>
      <c r="D7" t="n">
        <v>4</v>
      </c>
      <c r="E7" t="n">
        <v>4</v>
      </c>
      <c r="F7" t="n">
        <v>4.3</v>
      </c>
      <c r="G7" t="n">
        <v>3.7</v>
      </c>
      <c r="H7" t="n">
        <v>2.6</v>
      </c>
      <c r="I7" t="n">
        <v>1.5</v>
      </c>
      <c r="J7" t="n">
        <v>1.1</v>
      </c>
      <c r="K7" t="n">
        <v>2.6</v>
      </c>
      <c r="L7" t="n">
        <v>1.2</v>
      </c>
      <c r="M7" t="n">
        <v>0.9</v>
      </c>
      <c r="N7" t="n">
        <v>2.7</v>
      </c>
      <c r="O7" t="n">
        <v>1.8</v>
      </c>
      <c r="P7" t="n">
        <v>1.3</v>
      </c>
      <c r="Q7" t="n">
        <v>2.5</v>
      </c>
      <c r="R7" t="n">
        <v>1.1</v>
      </c>
      <c r="S7" t="n">
        <v>0.9</v>
      </c>
      <c r="T7" t="n">
        <v>2.5</v>
      </c>
      <c r="U7" t="n">
        <v>0.9</v>
      </c>
      <c r="V7" t="n">
        <v>0.8</v>
      </c>
      <c r="W7" t="n">
        <v>2.6</v>
      </c>
      <c r="X7" t="n">
        <v>1.3</v>
      </c>
      <c r="Y7" t="n">
        <v>1</v>
      </c>
    </row>
    <row r="8">
      <c r="A8" t="inlineStr">
        <is>
          <t>Kampong Speu</t>
        </is>
      </c>
      <c r="B8" t="n">
        <v>6.2</v>
      </c>
      <c r="C8" t="n">
        <v>6.4</v>
      </c>
      <c r="D8" t="n">
        <v>6</v>
      </c>
      <c r="E8" t="n">
        <v>3.9</v>
      </c>
      <c r="F8" t="n">
        <v>3.9</v>
      </c>
      <c r="G8" t="n">
        <v>3.8</v>
      </c>
      <c r="H8" t="n">
        <v>3.9</v>
      </c>
      <c r="I8" t="n">
        <v>1.2</v>
      </c>
      <c r="J8" t="n">
        <v>0.3</v>
      </c>
      <c r="K8" t="n">
        <v>4.1</v>
      </c>
      <c r="L8" t="n">
        <v>1.2</v>
      </c>
      <c r="M8" t="n">
        <v>0.4</v>
      </c>
      <c r="N8" t="n">
        <v>3.7</v>
      </c>
      <c r="O8" t="n">
        <v>1.2</v>
      </c>
      <c r="P8" t="n">
        <v>0.3</v>
      </c>
      <c r="Q8" t="n">
        <v>3.1</v>
      </c>
      <c r="R8" t="n">
        <v>0.9</v>
      </c>
      <c r="S8" t="n">
        <v>0.3</v>
      </c>
      <c r="T8" t="n">
        <v>3.2</v>
      </c>
      <c r="U8" t="n">
        <v>0.9</v>
      </c>
      <c r="V8" t="n">
        <v>0.3</v>
      </c>
      <c r="W8" t="n">
        <v>3</v>
      </c>
      <c r="X8" t="n">
        <v>0.8</v>
      </c>
      <c r="Y8" t="n">
        <v>0.3</v>
      </c>
    </row>
    <row r="9">
      <c r="A9" t="inlineStr">
        <is>
          <t>Kampong Thom</t>
        </is>
      </c>
      <c r="B9" t="n">
        <v>1.6</v>
      </c>
      <c r="C9" t="n">
        <v>1.3</v>
      </c>
      <c r="D9" t="n">
        <v>1.8</v>
      </c>
      <c r="E9" t="n">
        <v>0.8</v>
      </c>
      <c r="F9" t="n">
        <v>0.5</v>
      </c>
      <c r="G9" t="n">
        <v>1.1</v>
      </c>
      <c r="H9" t="n">
        <v>1.1</v>
      </c>
      <c r="I9" t="n">
        <v>0.4</v>
      </c>
      <c r="J9" t="n">
        <v>0.2</v>
      </c>
      <c r="K9" t="n">
        <v>1</v>
      </c>
      <c r="L9" t="n">
        <v>0.3</v>
      </c>
      <c r="M9" t="n">
        <v>0.2</v>
      </c>
      <c r="N9" t="n">
        <v>1.2</v>
      </c>
      <c r="O9" t="n">
        <v>0.4</v>
      </c>
      <c r="P9" t="n">
        <v>0.2</v>
      </c>
      <c r="Q9" t="n">
        <v>0.9</v>
      </c>
      <c r="R9" t="n">
        <v>0.2</v>
      </c>
      <c r="S9" t="n">
        <v>0.1</v>
      </c>
      <c r="T9" t="n">
        <v>0.8</v>
      </c>
      <c r="U9" t="n">
        <v>0.2</v>
      </c>
      <c r="V9" t="n">
        <v>0.1</v>
      </c>
      <c r="W9" t="n">
        <v>1</v>
      </c>
      <c r="X9" t="n">
        <v>0.2</v>
      </c>
      <c r="Y9" t="n">
        <v>0.1</v>
      </c>
    </row>
    <row r="10">
      <c r="A10" t="inlineStr">
        <is>
          <t>Kampot</t>
        </is>
      </c>
      <c r="B10" t="n">
        <v>15.9</v>
      </c>
      <c r="C10" t="n">
        <v>17</v>
      </c>
      <c r="D10" t="n">
        <v>14.8</v>
      </c>
      <c r="E10" t="n">
        <v>3.7</v>
      </c>
      <c r="F10" t="n">
        <v>3.5</v>
      </c>
      <c r="G10" t="n">
        <v>3.9</v>
      </c>
      <c r="H10" t="n">
        <v>7.4</v>
      </c>
      <c r="I10" t="n">
        <v>2.8</v>
      </c>
      <c r="J10" t="n">
        <v>2.1</v>
      </c>
      <c r="K10" t="n">
        <v>8.1</v>
      </c>
      <c r="L10" t="n">
        <v>3.1</v>
      </c>
      <c r="M10" t="n">
        <v>2.2</v>
      </c>
      <c r="N10" t="n">
        <v>6.8</v>
      </c>
      <c r="O10" t="n">
        <v>2.4</v>
      </c>
      <c r="P10" t="n">
        <v>2</v>
      </c>
      <c r="Q10" t="n">
        <v>4.4</v>
      </c>
      <c r="R10" t="n">
        <v>2</v>
      </c>
      <c r="S10" t="n">
        <v>1.8</v>
      </c>
      <c r="T10" t="n">
        <v>4.6</v>
      </c>
      <c r="U10" t="n">
        <v>2.3</v>
      </c>
      <c r="V10" t="n">
        <v>1.9</v>
      </c>
      <c r="W10" t="n">
        <v>4.2</v>
      </c>
      <c r="X10" t="n">
        <v>1.8</v>
      </c>
      <c r="Y10" t="n">
        <v>1.7</v>
      </c>
    </row>
    <row r="11">
      <c r="A11" t="inlineStr">
        <is>
          <t>Kandal</t>
        </is>
      </c>
      <c r="B11" t="n">
        <v>6.6</v>
      </c>
      <c r="C11" t="n">
        <v>7.1</v>
      </c>
      <c r="D11" t="n">
        <v>6.1</v>
      </c>
      <c r="E11" t="n">
        <v>2.9</v>
      </c>
      <c r="F11" t="n">
        <v>2.7</v>
      </c>
      <c r="G11" t="n">
        <v>3.1</v>
      </c>
      <c r="H11" t="n">
        <v>4.1</v>
      </c>
      <c r="I11" t="n">
        <v>2.3</v>
      </c>
      <c r="J11" t="n">
        <v>1.2</v>
      </c>
      <c r="K11" t="n">
        <v>4.2</v>
      </c>
      <c r="L11" t="n">
        <v>1.9</v>
      </c>
      <c r="M11" t="n">
        <v>1.2</v>
      </c>
      <c r="N11" t="n">
        <v>3.9</v>
      </c>
      <c r="O11" t="n">
        <v>2.6</v>
      </c>
      <c r="P11" t="n">
        <v>1.2</v>
      </c>
      <c r="Q11" t="n">
        <v>3.2</v>
      </c>
      <c r="R11" t="n">
        <v>1.9</v>
      </c>
      <c r="S11" t="n">
        <v>1</v>
      </c>
      <c r="T11" t="n">
        <v>3.3</v>
      </c>
      <c r="U11" t="n">
        <v>1.6</v>
      </c>
      <c r="V11" t="n">
        <v>1.1</v>
      </c>
      <c r="W11" t="n">
        <v>3.2</v>
      </c>
      <c r="X11" t="n">
        <v>2.1</v>
      </c>
      <c r="Y11" t="n">
        <v>1</v>
      </c>
    </row>
    <row r="12">
      <c r="A12" t="inlineStr">
        <is>
          <t>Kep</t>
        </is>
      </c>
      <c r="B12" t="n">
        <v>27.3</v>
      </c>
      <c r="C12" t="n">
        <v>28.3</v>
      </c>
      <c r="D12" t="n">
        <v>26.4</v>
      </c>
      <c r="E12" t="n">
        <v>0</v>
      </c>
      <c r="F12" t="n">
        <v>0</v>
      </c>
      <c r="G12" t="n">
        <v>0</v>
      </c>
      <c r="H12" t="n">
        <v>10.2</v>
      </c>
      <c r="I12" t="n">
        <v>0</v>
      </c>
      <c r="J12" t="n">
        <v>0</v>
      </c>
      <c r="K12" t="n">
        <v>11.6</v>
      </c>
      <c r="L12" t="n">
        <v>0</v>
      </c>
      <c r="M12" t="n">
        <v>0</v>
      </c>
      <c r="N12" t="n">
        <v>9</v>
      </c>
      <c r="O12" t="n">
        <v>0</v>
      </c>
      <c r="P12" t="n">
        <v>0</v>
      </c>
      <c r="Q12" t="n">
        <v>1.7</v>
      </c>
      <c r="R12" t="n">
        <v>0</v>
      </c>
      <c r="S12" t="n">
        <v>0</v>
      </c>
      <c r="T12" t="n">
        <v>1.8</v>
      </c>
      <c r="U12" t="n">
        <v>0</v>
      </c>
      <c r="V12" t="n">
        <v>0</v>
      </c>
      <c r="W12" t="n">
        <v>1.6</v>
      </c>
      <c r="X12" t="n">
        <v>0</v>
      </c>
      <c r="Y12" t="n">
        <v>0</v>
      </c>
    </row>
    <row r="13">
      <c r="A13" t="inlineStr">
        <is>
          <t>Koh Kong</t>
        </is>
      </c>
      <c r="B13" t="n">
        <v>21.9</v>
      </c>
      <c r="C13" t="n">
        <v>22.9</v>
      </c>
      <c r="D13" t="n">
        <v>20.9</v>
      </c>
      <c r="E13" t="n">
        <v>8.699999999999999</v>
      </c>
      <c r="F13" t="n">
        <v>9.699999999999999</v>
      </c>
      <c r="G13" t="n">
        <v>7.8</v>
      </c>
      <c r="H13" t="n">
        <v>12.5</v>
      </c>
      <c r="I13" t="n">
        <v>2.9</v>
      </c>
      <c r="J13" t="n">
        <v>0.1</v>
      </c>
      <c r="K13" t="n">
        <v>13.4</v>
      </c>
      <c r="L13" t="n">
        <v>2.6</v>
      </c>
      <c r="M13" t="n">
        <v>0.1</v>
      </c>
      <c r="N13" t="n">
        <v>11.7</v>
      </c>
      <c r="O13" t="n">
        <v>3.1</v>
      </c>
      <c r="P13" t="n">
        <v>0.2</v>
      </c>
      <c r="Q13" t="n">
        <v>9.699999999999999</v>
      </c>
      <c r="R13" t="n">
        <v>2.4</v>
      </c>
      <c r="S13" t="n">
        <v>0.1</v>
      </c>
      <c r="T13" t="n">
        <v>10.3</v>
      </c>
      <c r="U13" t="n">
        <v>2.3</v>
      </c>
      <c r="V13" t="n">
        <v>0.1</v>
      </c>
      <c r="W13" t="n">
        <v>9.1</v>
      </c>
      <c r="X13" t="n">
        <v>2.6</v>
      </c>
      <c r="Y13" t="n">
        <v>0.2</v>
      </c>
    </row>
    <row r="14">
      <c r="A14" t="inlineStr">
        <is>
          <t>Kratie</t>
        </is>
      </c>
      <c r="B14" t="n">
        <v>8.4</v>
      </c>
      <c r="C14" t="n">
        <v>10.3</v>
      </c>
      <c r="D14" t="n">
        <v>6.5</v>
      </c>
      <c r="E14" t="n">
        <v>0.4</v>
      </c>
      <c r="F14" t="n">
        <v>0.3</v>
      </c>
      <c r="G14" t="n">
        <v>0.5</v>
      </c>
      <c r="H14" t="n">
        <v>2.4</v>
      </c>
      <c r="I14" t="n">
        <v>0</v>
      </c>
      <c r="J14" t="n">
        <v>0</v>
      </c>
      <c r="K14" t="n">
        <v>2.9</v>
      </c>
      <c r="L14" t="n">
        <v>0</v>
      </c>
      <c r="M14" t="n">
        <v>0</v>
      </c>
      <c r="N14" t="n">
        <v>1.9</v>
      </c>
      <c r="O14" t="n">
        <v>0</v>
      </c>
      <c r="P14" t="n">
        <v>0</v>
      </c>
      <c r="Q14" t="n">
        <v>0.5</v>
      </c>
      <c r="R14" t="n">
        <v>0</v>
      </c>
      <c r="S14" t="n">
        <v>0</v>
      </c>
      <c r="T14" t="n">
        <v>0.5</v>
      </c>
      <c r="U14" t="n">
        <v>0</v>
      </c>
      <c r="V14" t="n">
        <v>0</v>
      </c>
      <c r="W14" t="n">
        <v>0.5</v>
      </c>
      <c r="X14" t="n">
        <v>0</v>
      </c>
      <c r="Y14" t="n">
        <v>0</v>
      </c>
    </row>
    <row r="15">
      <c r="A15" t="inlineStr">
        <is>
          <t>Mondul Kiri</t>
        </is>
      </c>
      <c r="B15" t="n">
        <v>3</v>
      </c>
      <c r="C15" t="n">
        <v>1.8</v>
      </c>
      <c r="D15" t="n">
        <v>4.2</v>
      </c>
      <c r="E15" t="n">
        <v>1.6</v>
      </c>
      <c r="F15" t="n">
        <v>1.2</v>
      </c>
      <c r="G15" t="n">
        <v>1.9</v>
      </c>
      <c r="H15" t="n">
        <v>1.6</v>
      </c>
      <c r="I15" t="n">
        <v>0</v>
      </c>
      <c r="J15" t="n">
        <v>0</v>
      </c>
      <c r="K15" t="n">
        <v>1.2</v>
      </c>
      <c r="L15" t="n">
        <v>0</v>
      </c>
      <c r="M15" t="n">
        <v>0</v>
      </c>
      <c r="N15" t="n">
        <v>1.9</v>
      </c>
      <c r="O15" t="n">
        <v>0</v>
      </c>
      <c r="P15" t="n">
        <v>0</v>
      </c>
      <c r="Q15" t="n">
        <v>1.3</v>
      </c>
      <c r="R15" t="n">
        <v>0</v>
      </c>
      <c r="S15" t="n">
        <v>0</v>
      </c>
      <c r="T15" t="n">
        <v>1.1</v>
      </c>
      <c r="U15" t="n">
        <v>0</v>
      </c>
      <c r="V15" t="n">
        <v>0</v>
      </c>
      <c r="W15" t="n">
        <v>1.5</v>
      </c>
      <c r="X15" t="n">
        <v>0</v>
      </c>
      <c r="Y15" t="n">
        <v>0</v>
      </c>
    </row>
    <row r="16">
      <c r="A16" t="inlineStr">
        <is>
          <t>Otdar Meanchey</t>
        </is>
      </c>
      <c r="B16" t="n">
        <v>5.1</v>
      </c>
      <c r="C16" t="n">
        <v>4.3</v>
      </c>
      <c r="D16" t="n">
        <v>5.8</v>
      </c>
      <c r="E16" t="n">
        <v>3.9</v>
      </c>
      <c r="F16" t="n">
        <v>3.5</v>
      </c>
      <c r="G16" t="n">
        <v>4.3</v>
      </c>
      <c r="H16" t="n">
        <v>3.1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3.3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2.9</v>
      </c>
      <c r="U16" t="n">
        <v>0</v>
      </c>
      <c r="V16" t="n">
        <v>0</v>
      </c>
      <c r="W16" t="n">
        <v>3.1</v>
      </c>
      <c r="X16" t="n">
        <v>0</v>
      </c>
      <c r="Y16" t="n">
        <v>0</v>
      </c>
    </row>
    <row r="17">
      <c r="A17" t="inlineStr">
        <is>
          <t>Pailin</t>
        </is>
      </c>
      <c r="B17" t="n">
        <v>18.3</v>
      </c>
      <c r="C17" t="n">
        <v>17.5</v>
      </c>
      <c r="D17" t="n">
        <v>19</v>
      </c>
      <c r="E17" t="n">
        <v>13.2</v>
      </c>
      <c r="F17" t="n">
        <v>14.1</v>
      </c>
      <c r="G17" t="n">
        <v>12.4</v>
      </c>
      <c r="H17" t="n">
        <v>11.2</v>
      </c>
      <c r="I17" t="n">
        <v>0</v>
      </c>
      <c r="J17" t="n">
        <v>0</v>
      </c>
      <c r="K17" t="n">
        <v>11.7</v>
      </c>
      <c r="L17" t="n">
        <v>0</v>
      </c>
      <c r="M17" t="n">
        <v>0</v>
      </c>
      <c r="N17" t="n">
        <v>10.8</v>
      </c>
      <c r="O17" t="n">
        <v>0</v>
      </c>
      <c r="P17" t="n">
        <v>0</v>
      </c>
      <c r="Q17" t="n">
        <v>10.4</v>
      </c>
      <c r="R17" t="n">
        <v>0</v>
      </c>
      <c r="S17" t="n">
        <v>0</v>
      </c>
      <c r="T17" t="n">
        <v>10.9</v>
      </c>
      <c r="U17" t="n">
        <v>0</v>
      </c>
      <c r="V17" t="n">
        <v>0</v>
      </c>
      <c r="W17" t="n">
        <v>9.800000000000001</v>
      </c>
      <c r="X17" t="n">
        <v>0</v>
      </c>
      <c r="Y17" t="n">
        <v>0</v>
      </c>
    </row>
    <row r="18">
      <c r="A18" t="inlineStr">
        <is>
          <t>Phnom Penh</t>
        </is>
      </c>
      <c r="B18" t="n">
        <v>46.6</v>
      </c>
      <c r="C18" t="n">
        <v>48.5</v>
      </c>
      <c r="D18" t="n">
        <v>44.9</v>
      </c>
      <c r="E18" t="n">
        <v>35.1</v>
      </c>
      <c r="F18" t="n">
        <v>36.4</v>
      </c>
      <c r="G18" t="n">
        <v>33.9</v>
      </c>
      <c r="H18" t="n">
        <v>37.7</v>
      </c>
      <c r="I18" t="n">
        <v>15.4</v>
      </c>
      <c r="J18" t="n">
        <v>8.9</v>
      </c>
      <c r="K18" t="n">
        <v>39.7</v>
      </c>
      <c r="L18" t="n">
        <v>15.8</v>
      </c>
      <c r="M18" t="n">
        <v>8.5</v>
      </c>
      <c r="N18" t="n">
        <v>35.9</v>
      </c>
      <c r="O18" t="n">
        <v>15.1</v>
      </c>
      <c r="P18" t="n">
        <v>9.4</v>
      </c>
      <c r="Q18" t="n">
        <v>34.7</v>
      </c>
      <c r="R18" t="n">
        <v>13.6</v>
      </c>
      <c r="S18" t="n">
        <v>7.9</v>
      </c>
      <c r="T18" t="n">
        <v>36.8</v>
      </c>
      <c r="U18" t="n">
        <v>14</v>
      </c>
      <c r="V18" t="n">
        <v>7.6</v>
      </c>
      <c r="W18" t="n">
        <v>32.9</v>
      </c>
      <c r="X18" t="n">
        <v>13.2</v>
      </c>
      <c r="Y18" t="n">
        <v>8.199999999999999</v>
      </c>
    </row>
    <row r="19">
      <c r="A19" t="inlineStr">
        <is>
          <t>Preah Sihanouk</t>
        </is>
      </c>
      <c r="B19" t="n">
        <v>18.5</v>
      </c>
      <c r="C19" t="n">
        <v>18.8</v>
      </c>
      <c r="D19" t="n">
        <v>18.2</v>
      </c>
      <c r="E19" t="n">
        <v>8.4</v>
      </c>
      <c r="F19" t="n">
        <v>8.5</v>
      </c>
      <c r="G19" t="n">
        <v>8.300000000000001</v>
      </c>
      <c r="H19" t="n">
        <v>13.4</v>
      </c>
      <c r="I19" t="n">
        <v>7.1</v>
      </c>
      <c r="J19" t="n">
        <v>4</v>
      </c>
      <c r="K19" t="n">
        <v>13.3</v>
      </c>
      <c r="L19" t="n">
        <v>7</v>
      </c>
      <c r="M19" t="n">
        <v>3.7</v>
      </c>
      <c r="N19" t="n">
        <v>13.4</v>
      </c>
      <c r="O19" t="n">
        <v>7.1</v>
      </c>
      <c r="P19" t="n">
        <v>4.2</v>
      </c>
      <c r="Q19" t="n">
        <v>11.2</v>
      </c>
      <c r="R19" t="n">
        <v>5.9</v>
      </c>
      <c r="S19" t="n">
        <v>3.3</v>
      </c>
      <c r="T19" t="n">
        <v>11.2</v>
      </c>
      <c r="U19" t="n">
        <v>6</v>
      </c>
      <c r="V19" t="n">
        <v>3.2</v>
      </c>
      <c r="W19" t="n">
        <v>11.3</v>
      </c>
      <c r="X19" t="n">
        <v>5.8</v>
      </c>
      <c r="Y19" t="n">
        <v>3.5</v>
      </c>
    </row>
    <row r="20">
      <c r="A20" t="inlineStr">
        <is>
          <t>Preah Vihear</t>
        </is>
      </c>
      <c r="B20" t="n">
        <v>1.3</v>
      </c>
      <c r="C20" t="n">
        <v>1</v>
      </c>
      <c r="D20" t="n">
        <v>1.6</v>
      </c>
      <c r="E20" t="n">
        <v>0.9</v>
      </c>
      <c r="F20" t="n">
        <v>0.5</v>
      </c>
      <c r="G20" t="n">
        <v>1.2</v>
      </c>
      <c r="H20" t="n">
        <v>0.6</v>
      </c>
      <c r="I20" t="n">
        <v>0</v>
      </c>
      <c r="J20" t="n">
        <v>0</v>
      </c>
      <c r="K20" t="n">
        <v>0.5</v>
      </c>
      <c r="L20" t="n">
        <v>0</v>
      </c>
      <c r="M20" t="n">
        <v>0</v>
      </c>
      <c r="N20" t="n">
        <v>0.7</v>
      </c>
      <c r="O20" t="n">
        <v>0</v>
      </c>
      <c r="P20" t="n">
        <v>0</v>
      </c>
      <c r="Q20" t="n">
        <v>0.5</v>
      </c>
      <c r="R20" t="n">
        <v>0</v>
      </c>
      <c r="S20" t="n">
        <v>0</v>
      </c>
      <c r="T20" t="n">
        <v>0.4</v>
      </c>
      <c r="U20" t="n">
        <v>0</v>
      </c>
      <c r="V20" t="n">
        <v>0</v>
      </c>
      <c r="W20" t="n">
        <v>0.6</v>
      </c>
      <c r="X20" t="n">
        <v>0</v>
      </c>
      <c r="Y20" t="n">
        <v>0</v>
      </c>
    </row>
    <row r="21">
      <c r="A21" t="inlineStr">
        <is>
          <t>Prey Veng</t>
        </is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</v>
      </c>
      <c r="H21" t="n">
        <v>0.1</v>
      </c>
      <c r="I21" t="n">
        <v>0</v>
      </c>
      <c r="J21" t="n">
        <v>0.2</v>
      </c>
      <c r="K21" t="n">
        <v>0.1</v>
      </c>
      <c r="L21" t="n">
        <v>0</v>
      </c>
      <c r="M21" t="n">
        <v>0.2</v>
      </c>
      <c r="N21" t="n">
        <v>0</v>
      </c>
      <c r="O21" t="n">
        <v>0</v>
      </c>
      <c r="P21" t="n">
        <v>0.1</v>
      </c>
      <c r="Q21" t="n">
        <v>0.1</v>
      </c>
      <c r="R21" t="n">
        <v>0</v>
      </c>
      <c r="S21" t="n">
        <v>0.1</v>
      </c>
      <c r="T21" t="n">
        <v>0.1</v>
      </c>
      <c r="U21" t="n">
        <v>0</v>
      </c>
      <c r="V21" t="n">
        <v>0.2</v>
      </c>
      <c r="W21" t="n">
        <v>0</v>
      </c>
      <c r="X21" t="n">
        <v>0</v>
      </c>
      <c r="Y21" t="n">
        <v>0.1</v>
      </c>
    </row>
    <row r="22">
      <c r="A22" t="inlineStr">
        <is>
          <t>Pursat</t>
        </is>
      </c>
      <c r="B22" t="n">
        <v>4.7</v>
      </c>
      <c r="C22" t="n">
        <v>5.4</v>
      </c>
      <c r="D22" t="n">
        <v>4.1</v>
      </c>
      <c r="E22" t="n">
        <v>1.4</v>
      </c>
      <c r="F22" t="n">
        <v>1.4</v>
      </c>
      <c r="G22" t="n">
        <v>1.4</v>
      </c>
      <c r="H22" t="n">
        <v>1.7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1.5</v>
      </c>
      <c r="O22" t="n">
        <v>0</v>
      </c>
      <c r="P22" t="n">
        <v>0</v>
      </c>
      <c r="Q22" t="n">
        <v>1.3</v>
      </c>
      <c r="R22" t="n">
        <v>0</v>
      </c>
      <c r="S22" t="n">
        <v>0</v>
      </c>
      <c r="T22" t="n">
        <v>1.5</v>
      </c>
      <c r="U22" t="n">
        <v>0</v>
      </c>
      <c r="V22" t="n">
        <v>0</v>
      </c>
      <c r="W22" t="n">
        <v>1.2</v>
      </c>
      <c r="X22" t="n">
        <v>0</v>
      </c>
      <c r="Y22" t="n">
        <v>0</v>
      </c>
    </row>
    <row r="23">
      <c r="A23" t="inlineStr">
        <is>
          <t>Ratanak Kiri</t>
        </is>
      </c>
      <c r="B23" t="n">
        <v>9</v>
      </c>
      <c r="C23" t="n">
        <v>8.300000000000001</v>
      </c>
      <c r="D23" t="n">
        <v>9.699999999999999</v>
      </c>
      <c r="E23" t="n">
        <v>7.5</v>
      </c>
      <c r="F23" t="n">
        <v>7.2</v>
      </c>
      <c r="G23" t="n">
        <v>7.9</v>
      </c>
      <c r="H23" t="n">
        <v>5.9</v>
      </c>
      <c r="I23" t="n">
        <v>2.2</v>
      </c>
      <c r="J23" t="n">
        <v>1.1</v>
      </c>
      <c r="K23" t="n">
        <v>5.7</v>
      </c>
      <c r="L23" t="n">
        <v>1.8</v>
      </c>
      <c r="M23" t="n">
        <v>1.1</v>
      </c>
      <c r="N23" t="n">
        <v>6.2</v>
      </c>
      <c r="O23" t="n">
        <v>2.5</v>
      </c>
      <c r="P23" t="n">
        <v>1</v>
      </c>
      <c r="Q23" t="n">
        <v>5.7</v>
      </c>
      <c r="R23" t="n">
        <v>1.9</v>
      </c>
      <c r="S23" t="n">
        <v>1</v>
      </c>
      <c r="T23" t="n">
        <v>5.6</v>
      </c>
      <c r="U23" t="n">
        <v>1.7</v>
      </c>
      <c r="V23" t="n">
        <v>1.1</v>
      </c>
      <c r="W23" t="n">
        <v>5.8</v>
      </c>
      <c r="X23" t="n">
        <v>2</v>
      </c>
      <c r="Y23" t="n">
        <v>1</v>
      </c>
    </row>
    <row r="24">
      <c r="A24" t="inlineStr">
        <is>
          <t>Siemreap</t>
        </is>
      </c>
      <c r="B24" t="n">
        <v>6.4</v>
      </c>
      <c r="C24" t="n">
        <v>6.2</v>
      </c>
      <c r="D24" t="n">
        <v>6.5</v>
      </c>
      <c r="E24" t="n">
        <v>4.1</v>
      </c>
      <c r="F24" t="n">
        <v>4</v>
      </c>
      <c r="G24" t="n">
        <v>4.3</v>
      </c>
      <c r="H24" t="n">
        <v>4.1</v>
      </c>
      <c r="I24" t="n">
        <v>1.9</v>
      </c>
      <c r="J24" t="n">
        <v>1.1</v>
      </c>
      <c r="K24" t="n">
        <v>4.1</v>
      </c>
      <c r="L24" t="n">
        <v>2</v>
      </c>
      <c r="M24" t="n">
        <v>1.1</v>
      </c>
      <c r="N24" t="n">
        <v>4.2</v>
      </c>
      <c r="O24" t="n">
        <v>1.9</v>
      </c>
      <c r="P24" t="n">
        <v>1.1</v>
      </c>
      <c r="Q24" t="n">
        <v>3.7</v>
      </c>
      <c r="R24" t="n">
        <v>1.6</v>
      </c>
      <c r="S24" t="n">
        <v>0.9</v>
      </c>
      <c r="T24" t="n">
        <v>3.7</v>
      </c>
      <c r="U24" t="n">
        <v>1.7</v>
      </c>
      <c r="V24" t="n">
        <v>0.9</v>
      </c>
      <c r="W24" t="n">
        <v>3.7</v>
      </c>
      <c r="X24" t="n">
        <v>1.5</v>
      </c>
      <c r="Y24" t="n">
        <v>0.9</v>
      </c>
    </row>
    <row r="25">
      <c r="A25" t="inlineStr">
        <is>
          <t>Stung Treng</t>
        </is>
      </c>
      <c r="B25" t="n">
        <v>1.3</v>
      </c>
      <c r="C25" t="n">
        <v>1.2</v>
      </c>
      <c r="D25" t="n">
        <v>1.3</v>
      </c>
      <c r="E25" t="n">
        <v>0.7</v>
      </c>
      <c r="F25" t="n">
        <v>0.7</v>
      </c>
      <c r="G25" t="n">
        <v>0.7</v>
      </c>
      <c r="H25" t="n">
        <v>0.8</v>
      </c>
      <c r="I25" t="n">
        <v>0.1</v>
      </c>
      <c r="J25" t="n">
        <v>0.1</v>
      </c>
      <c r="K25" t="n">
        <v>0.6</v>
      </c>
      <c r="L25" t="n">
        <v>0.1</v>
      </c>
      <c r="M25" t="n">
        <v>0.1</v>
      </c>
      <c r="N25" t="n">
        <v>0.9</v>
      </c>
      <c r="O25" t="n">
        <v>0.1</v>
      </c>
      <c r="P25" t="n">
        <v>0.1</v>
      </c>
      <c r="Q25" t="n">
        <v>0.7</v>
      </c>
      <c r="R25" t="n">
        <v>0.1</v>
      </c>
      <c r="S25" t="n">
        <v>0.1</v>
      </c>
      <c r="T25" t="n">
        <v>0.6</v>
      </c>
      <c r="U25" t="n">
        <v>0.1</v>
      </c>
      <c r="V25" t="n">
        <v>0.1</v>
      </c>
      <c r="W25" t="n">
        <v>0.8</v>
      </c>
      <c r="X25" t="n">
        <v>0.1</v>
      </c>
      <c r="Y25" t="n">
        <v>0.1</v>
      </c>
    </row>
    <row r="26">
      <c r="A26" t="inlineStr">
        <is>
          <t>Svay Rieng</t>
        </is>
      </c>
      <c r="B26" t="n">
        <v>0.8</v>
      </c>
      <c r="C26" t="n">
        <v>0.7</v>
      </c>
      <c r="D26" t="n">
        <v>0.8</v>
      </c>
      <c r="E26" t="n">
        <v>0.6</v>
      </c>
      <c r="F26" t="n">
        <v>0.6</v>
      </c>
      <c r="G26" t="n">
        <v>0.6</v>
      </c>
      <c r="H26" t="n">
        <v>0.3</v>
      </c>
      <c r="I26" t="n">
        <v>0</v>
      </c>
      <c r="J26" t="n">
        <v>0</v>
      </c>
      <c r="K26" t="n">
        <v>0.3</v>
      </c>
      <c r="L26" t="n">
        <v>0</v>
      </c>
      <c r="M26" t="n">
        <v>0</v>
      </c>
      <c r="N26" t="n">
        <v>0.3</v>
      </c>
      <c r="O26" t="n">
        <v>0</v>
      </c>
      <c r="P26" t="n">
        <v>0</v>
      </c>
      <c r="Q26" t="n">
        <v>0.3</v>
      </c>
      <c r="R26" t="n">
        <v>0</v>
      </c>
      <c r="S26" t="n">
        <v>0</v>
      </c>
      <c r="T26" t="n">
        <v>0.3</v>
      </c>
      <c r="U26" t="n">
        <v>0</v>
      </c>
      <c r="V26" t="n">
        <v>0</v>
      </c>
      <c r="W26" t="n">
        <v>0.3</v>
      </c>
      <c r="X26" t="n">
        <v>0</v>
      </c>
      <c r="Y26" t="n">
        <v>0</v>
      </c>
    </row>
    <row r="27">
      <c r="A27" t="inlineStr">
        <is>
          <t>Takeo</t>
        </is>
      </c>
      <c r="B27" t="n">
        <v>2.7</v>
      </c>
      <c r="C27" t="n">
        <v>2.8</v>
      </c>
      <c r="D27" t="n">
        <v>2.6</v>
      </c>
      <c r="E27" t="n">
        <v>2</v>
      </c>
      <c r="F27" t="n">
        <v>2.1</v>
      </c>
      <c r="G27" t="n">
        <v>1.9</v>
      </c>
      <c r="H27" t="n">
        <v>1.4</v>
      </c>
      <c r="I27" t="n">
        <v>0.6</v>
      </c>
      <c r="J27" t="n">
        <v>0.3</v>
      </c>
      <c r="K27" t="n">
        <v>1.4</v>
      </c>
      <c r="L27" t="n">
        <v>0.5</v>
      </c>
      <c r="M27" t="n">
        <v>0.4</v>
      </c>
      <c r="N27" t="n">
        <v>1.5</v>
      </c>
      <c r="O27" t="n">
        <v>0.6</v>
      </c>
      <c r="P27" t="n">
        <v>0.3</v>
      </c>
      <c r="Q27" t="n">
        <v>1.4</v>
      </c>
      <c r="R27" t="n">
        <v>0.5</v>
      </c>
      <c r="S27" t="n">
        <v>0.3</v>
      </c>
      <c r="T27" t="n">
        <v>1.3</v>
      </c>
      <c r="U27" t="n">
        <v>0.5</v>
      </c>
      <c r="V27" t="n">
        <v>0.4</v>
      </c>
      <c r="W27" t="n">
        <v>1.4</v>
      </c>
      <c r="X27" t="n">
        <v>0.6</v>
      </c>
      <c r="Y27" t="n">
        <v>0.3</v>
      </c>
    </row>
    <row r="28">
      <c r="A28" t="inlineStr">
        <is>
          <t>Tbaung Khmum</t>
        </is>
      </c>
      <c r="B28" t="n">
        <v>2.8</v>
      </c>
      <c r="C28" t="n">
        <v>3</v>
      </c>
      <c r="D28" t="n">
        <v>2.6</v>
      </c>
      <c r="E28" t="n">
        <v>1.4</v>
      </c>
      <c r="F28" t="n">
        <v>1.6</v>
      </c>
      <c r="G28" t="n">
        <v>1.3</v>
      </c>
      <c r="H28" t="n">
        <v>2</v>
      </c>
      <c r="I28" t="n">
        <v>1.6</v>
      </c>
      <c r="J28" t="n">
        <v>0.6</v>
      </c>
      <c r="K28" t="n">
        <v>2.2</v>
      </c>
      <c r="L28" t="n">
        <v>2.6</v>
      </c>
      <c r="M28" t="n">
        <v>1</v>
      </c>
      <c r="N28" t="n">
        <v>1.7</v>
      </c>
      <c r="O28" t="n">
        <v>0.7</v>
      </c>
      <c r="P28" t="n">
        <v>0.3</v>
      </c>
      <c r="Q28" t="n">
        <v>1.5</v>
      </c>
      <c r="R28" t="n">
        <v>1.1</v>
      </c>
      <c r="S28" t="n">
        <v>0.3</v>
      </c>
      <c r="T28" t="n">
        <v>1.6</v>
      </c>
      <c r="U28" t="n">
        <v>1.9</v>
      </c>
      <c r="V28" t="n">
        <v>0.6</v>
      </c>
      <c r="W28" t="n">
        <v>1.3</v>
      </c>
      <c r="X28" t="n">
        <v>0.4</v>
      </c>
      <c r="Y28" t="n">
        <v>0.1</v>
      </c>
    </row>
    <row r="29">
      <c r="A29" t="inlineStr">
        <is>
          <t>Whole Kingdom</t>
        </is>
      </c>
      <c r="B29" t="n">
        <v>9.800000000000001</v>
      </c>
      <c r="C29" t="n">
        <v>10</v>
      </c>
      <c r="D29" t="n">
        <v>9.5</v>
      </c>
      <c r="E29" t="n">
        <v>6</v>
      </c>
      <c r="F29" t="n">
        <v>6</v>
      </c>
      <c r="G29" t="n">
        <v>5.9</v>
      </c>
      <c r="H29" t="n">
        <v>6.4</v>
      </c>
      <c r="I29" t="n">
        <v>2.6</v>
      </c>
      <c r="J29" t="n">
        <v>1.6</v>
      </c>
      <c r="K29" t="n">
        <v>6.6</v>
      </c>
      <c r="L29" t="n">
        <v>2.7</v>
      </c>
      <c r="M29" t="n">
        <v>1.7</v>
      </c>
      <c r="N29" t="n">
        <v>6.3</v>
      </c>
      <c r="O29" t="n">
        <v>2.6</v>
      </c>
      <c r="P29" t="n">
        <v>1.5</v>
      </c>
      <c r="Q29" t="n">
        <v>5.6</v>
      </c>
      <c r="R29" t="n">
        <v>2.2</v>
      </c>
      <c r="S29" t="n">
        <v>1.4</v>
      </c>
      <c r="T29" t="n">
        <v>5.7</v>
      </c>
      <c r="U29" t="n">
        <v>2.3</v>
      </c>
      <c r="V29" t="n">
        <v>1.5</v>
      </c>
      <c r="W29" t="n">
        <v>5.4</v>
      </c>
      <c r="X29" t="n">
        <v>2.1</v>
      </c>
      <c r="Y29" t="n">
        <v>1.3</v>
      </c>
    </row>
    <row r="30">
      <c r="A30" t="inlineStr">
        <is>
          <t>- Urban Area</t>
        </is>
      </c>
      <c r="B30" t="n">
        <v>38</v>
      </c>
      <c r="C30" t="n">
        <v>38.8</v>
      </c>
      <c r="D30" t="n">
        <v>37.2</v>
      </c>
      <c r="E30" t="n">
        <v>26</v>
      </c>
      <c r="F30" t="n">
        <v>26.4</v>
      </c>
      <c r="G30" t="n">
        <v>25.6</v>
      </c>
      <c r="H30" t="n">
        <v>27.5</v>
      </c>
      <c r="I30" t="n">
        <v>11.5</v>
      </c>
      <c r="J30" t="n">
        <v>7.1</v>
      </c>
      <c r="K30" t="n">
        <v>28.4</v>
      </c>
      <c r="L30" t="n">
        <v>11.8</v>
      </c>
      <c r="M30" t="n">
        <v>7.2</v>
      </c>
      <c r="N30" t="n">
        <v>26.7</v>
      </c>
      <c r="O30" t="n">
        <v>11.2</v>
      </c>
      <c r="P30" t="n">
        <v>6.9</v>
      </c>
      <c r="Q30" t="n">
        <v>24.8</v>
      </c>
      <c r="R30" t="n">
        <v>9.9</v>
      </c>
      <c r="S30" t="n">
        <v>6.2</v>
      </c>
      <c r="T30" t="n">
        <v>25.7</v>
      </c>
      <c r="U30" t="n">
        <v>10.3</v>
      </c>
      <c r="V30" t="n">
        <v>6.4</v>
      </c>
      <c r="W30" t="n">
        <v>24</v>
      </c>
      <c r="X30" t="n">
        <v>9.5</v>
      </c>
      <c r="Y30" t="n">
        <v>6</v>
      </c>
    </row>
    <row r="31">
      <c r="A31" t="inlineStr">
        <is>
          <t>- Rural Area</t>
        </is>
      </c>
      <c r="B31" t="n">
        <v>2.7</v>
      </c>
      <c r="C31" t="n">
        <v>2.8</v>
      </c>
      <c r="D31" t="n">
        <v>2.5</v>
      </c>
      <c r="E31" t="n">
        <v>1</v>
      </c>
      <c r="F31" t="n">
        <v>1</v>
      </c>
      <c r="G31" t="n">
        <v>0.9</v>
      </c>
      <c r="H31" t="n">
        <v>1.5</v>
      </c>
      <c r="I31" t="n">
        <v>0.5</v>
      </c>
      <c r="J31" t="n">
        <v>0.2</v>
      </c>
      <c r="K31" t="n">
        <v>1.5</v>
      </c>
      <c r="L31" t="n">
        <v>0.5</v>
      </c>
      <c r="M31" t="n">
        <v>0.2</v>
      </c>
      <c r="N31" t="n">
        <v>1.4</v>
      </c>
      <c r="O31" t="n">
        <v>0.5</v>
      </c>
      <c r="P31" t="n">
        <v>0.2</v>
      </c>
      <c r="Q31" t="n">
        <v>1</v>
      </c>
      <c r="R31" t="n">
        <v>0.3</v>
      </c>
      <c r="S31" t="n">
        <v>0.1</v>
      </c>
      <c r="T31" t="n">
        <v>1</v>
      </c>
      <c r="U31" t="n">
        <v>0.4</v>
      </c>
      <c r="V31" t="n">
        <v>0.1</v>
      </c>
      <c r="W31" t="n">
        <v>1</v>
      </c>
      <c r="X31" t="n">
        <v>0.3</v>
      </c>
      <c r="Y31" t="n">
        <v>0.1</v>
      </c>
    </row>
  </sheetData>
  <mergeCells count="11">
    <mergeCell ref="T2:V2"/>
    <mergeCell ref="E1:G2"/>
    <mergeCell ref="A1:A3"/>
    <mergeCell ref="Q1:Y1"/>
    <mergeCell ref="K2:M2"/>
    <mergeCell ref="B1:D2"/>
    <mergeCell ref="N2:P2"/>
    <mergeCell ref="H1:P1"/>
    <mergeCell ref="H2:J2"/>
    <mergeCell ref="Q2:S2"/>
    <mergeCell ref="W2:Y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00B0F0"/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8.1640625" customWidth="1" min="1" max="1"/>
    <col width="14.6640625" customWidth="1" min="2" max="2"/>
    <col width="14.83203125" customWidth="1" min="9" max="9"/>
    <col width="14.6640625" customWidth="1" min="10" max="10"/>
  </cols>
  <sheetData>
    <row r="1">
      <c r="A1" t="inlineStr">
        <is>
          <t>s</t>
        </is>
      </c>
      <c r="B1" t="inlineStr">
        <is>
          <t>Primary</t>
        </is>
      </c>
      <c r="E1" t="inlineStr">
        <is>
          <t>Lower Secondary</t>
        </is>
      </c>
      <c r="H1" t="inlineStr">
        <is>
          <t>Upper Secondary</t>
        </is>
      </c>
    </row>
    <row r="2">
      <c r="B2" t="inlineStr">
        <is>
          <t>Total</t>
        </is>
      </c>
      <c r="C2" t="inlineStr">
        <is>
          <t>Girl</t>
        </is>
      </c>
      <c r="D2" t="inlineStr">
        <is>
          <t>Boy</t>
        </is>
      </c>
      <c r="E2" t="inlineStr">
        <is>
          <t>Total</t>
        </is>
      </c>
      <c r="F2" t="inlineStr">
        <is>
          <t>Girl</t>
        </is>
      </c>
      <c r="G2" t="inlineStr">
        <is>
          <t>Boy</t>
        </is>
      </c>
      <c r="H2" t="inlineStr">
        <is>
          <t>Total</t>
        </is>
      </c>
      <c r="I2" t="inlineStr">
        <is>
          <t>Girl</t>
        </is>
      </c>
      <c r="J2" t="inlineStr">
        <is>
          <t>Boy</t>
        </is>
      </c>
    </row>
    <row r="3">
      <c r="A3" t="inlineStr">
        <is>
          <t>Banteay Meanchey</t>
        </is>
      </c>
      <c r="B3" t="n">
        <v>8.199999999999999</v>
      </c>
      <c r="C3" t="n">
        <v>8.800000000000001</v>
      </c>
      <c r="D3" t="n">
        <v>7.7</v>
      </c>
      <c r="E3" t="n">
        <v>3.9</v>
      </c>
      <c r="F3" t="n">
        <v>4.2</v>
      </c>
      <c r="G3" t="n">
        <v>3.7</v>
      </c>
      <c r="H3" t="n">
        <v>1.7</v>
      </c>
      <c r="I3" t="n">
        <v>1.7</v>
      </c>
      <c r="J3" t="n">
        <v>1.7</v>
      </c>
    </row>
    <row r="4">
      <c r="A4" t="inlineStr">
        <is>
          <t>Battambang</t>
        </is>
      </c>
      <c r="B4" t="n">
        <v>2</v>
      </c>
      <c r="C4" t="n">
        <v>2.1</v>
      </c>
      <c r="D4" t="n">
        <v>2</v>
      </c>
      <c r="E4" t="n">
        <v>1.8</v>
      </c>
      <c r="F4" t="n">
        <v>1.9</v>
      </c>
      <c r="G4" t="n">
        <v>1.7</v>
      </c>
      <c r="H4" t="n">
        <v>1.3</v>
      </c>
      <c r="I4" t="n">
        <v>1.5</v>
      </c>
      <c r="J4" t="n">
        <v>1.2</v>
      </c>
    </row>
    <row r="5">
      <c r="A5" t="inlineStr">
        <is>
          <t>Kampong Cham</t>
        </is>
      </c>
      <c r="B5" t="n">
        <v>1.3</v>
      </c>
      <c r="C5" t="n">
        <v>1.3</v>
      </c>
      <c r="D5" t="n">
        <v>1.3</v>
      </c>
      <c r="E5" t="n">
        <v>0.5</v>
      </c>
      <c r="F5" t="n">
        <v>0.5</v>
      </c>
      <c r="G5" t="n">
        <v>0.4</v>
      </c>
      <c r="H5" t="n">
        <v>0.2</v>
      </c>
      <c r="I5" t="n">
        <v>0.3</v>
      </c>
      <c r="J5" t="n">
        <v>0.2</v>
      </c>
    </row>
    <row r="6">
      <c r="A6" t="inlineStr">
        <is>
          <t>Kampong Chhnang</t>
        </is>
      </c>
      <c r="B6" t="n">
        <v>1.5</v>
      </c>
      <c r="C6" t="n">
        <v>1.4</v>
      </c>
      <c r="D6" t="n">
        <v>1.7</v>
      </c>
      <c r="E6" t="n">
        <v>1.5</v>
      </c>
      <c r="F6" t="n">
        <v>1.2</v>
      </c>
      <c r="G6" t="n">
        <v>1.8</v>
      </c>
      <c r="H6" t="n">
        <v>1.3</v>
      </c>
      <c r="I6" t="n">
        <v>1.1</v>
      </c>
      <c r="J6" t="n">
        <v>1.4</v>
      </c>
    </row>
    <row r="7">
      <c r="A7" t="inlineStr">
        <is>
          <t>Kampong Speu</t>
        </is>
      </c>
      <c r="B7" t="n">
        <v>2.4</v>
      </c>
      <c r="C7" t="n">
        <v>2.7</v>
      </c>
      <c r="D7" t="n">
        <v>2.1</v>
      </c>
      <c r="E7" t="n">
        <v>1</v>
      </c>
      <c r="F7" t="n">
        <v>1.2</v>
      </c>
      <c r="G7" t="n">
        <v>0.8</v>
      </c>
      <c r="H7" t="n">
        <v>0.2</v>
      </c>
      <c r="I7" t="n">
        <v>0.2</v>
      </c>
      <c r="J7" t="n">
        <v>0.2</v>
      </c>
    </row>
    <row r="8">
      <c r="A8" t="inlineStr">
        <is>
          <t>Kampong Thom</t>
        </is>
      </c>
      <c r="B8" t="n">
        <v>0.7</v>
      </c>
      <c r="C8" t="n">
        <v>0.7</v>
      </c>
      <c r="D8" t="n">
        <v>0.7</v>
      </c>
      <c r="E8" t="n">
        <v>0.3</v>
      </c>
      <c r="F8" t="n">
        <v>0.2</v>
      </c>
      <c r="G8" t="n">
        <v>0.3</v>
      </c>
      <c r="H8" t="n">
        <v>0.1</v>
      </c>
      <c r="I8" t="n">
        <v>0.1</v>
      </c>
      <c r="J8" t="n">
        <v>0.1</v>
      </c>
    </row>
    <row r="9">
      <c r="A9" t="inlineStr">
        <is>
          <t>Kampot</t>
        </is>
      </c>
      <c r="B9" t="n">
        <v>3.6</v>
      </c>
      <c r="C9" t="n">
        <v>4</v>
      </c>
      <c r="D9" t="n">
        <v>3.3</v>
      </c>
      <c r="E9" t="n">
        <v>2.3</v>
      </c>
      <c r="F9" t="n">
        <v>2.6</v>
      </c>
      <c r="G9" t="n">
        <v>2.1</v>
      </c>
      <c r="H9" t="n">
        <v>2</v>
      </c>
      <c r="I9" t="n">
        <v>2.1</v>
      </c>
      <c r="J9" t="n">
        <v>1.9</v>
      </c>
    </row>
    <row r="10">
      <c r="A10" t="inlineStr">
        <is>
          <t>Kandal</t>
        </is>
      </c>
      <c r="B10" t="n">
        <v>2.2</v>
      </c>
      <c r="C10" t="n">
        <v>2.4</v>
      </c>
      <c r="D10" t="n">
        <v>2</v>
      </c>
      <c r="E10" t="n">
        <v>1.8</v>
      </c>
      <c r="F10" t="n">
        <v>1.7</v>
      </c>
      <c r="G10" t="n">
        <v>1.9</v>
      </c>
      <c r="H10" t="n">
        <v>1.1</v>
      </c>
      <c r="I10" t="n">
        <v>1.1</v>
      </c>
      <c r="J10" t="n">
        <v>1</v>
      </c>
    </row>
    <row r="11">
      <c r="A11" t="inlineStr">
        <is>
          <t>Kep</t>
        </is>
      </c>
      <c r="B11" t="n">
        <v>3.7</v>
      </c>
      <c r="C11" t="n">
        <v>3.4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Koh Kong</t>
        </is>
      </c>
      <c r="B12" t="n">
        <v>6.4</v>
      </c>
      <c r="C12" t="n">
        <v>8.1</v>
      </c>
      <c r="D12" t="n">
        <v>4.8</v>
      </c>
      <c r="E12" t="n">
        <v>2</v>
      </c>
      <c r="F12" t="n">
        <v>1.8</v>
      </c>
      <c r="G12" t="n">
        <v>2.2</v>
      </c>
      <c r="H12" t="n">
        <v>0</v>
      </c>
      <c r="I12" t="n">
        <v>0</v>
      </c>
      <c r="J12" t="n">
        <v>0</v>
      </c>
    </row>
    <row r="13">
      <c r="A13" t="inlineStr">
        <is>
          <t>Kratie</t>
        </is>
      </c>
      <c r="B13" t="n">
        <v>0.2</v>
      </c>
      <c r="C13" t="n">
        <v>0.1</v>
      </c>
      <c r="D13" t="n">
        <v>0.2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Mondul Kiri</t>
        </is>
      </c>
      <c r="B14" t="n">
        <v>0.6</v>
      </c>
      <c r="C14" t="n">
        <v>0.6</v>
      </c>
      <c r="D14" t="n">
        <v>0.7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Otdar Meanchey</t>
        </is>
      </c>
      <c r="B15" t="n">
        <v>1.6</v>
      </c>
      <c r="C15" t="n">
        <v>1.6</v>
      </c>
      <c r="D15" t="n">
        <v>1.6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Pailin</t>
        </is>
      </c>
      <c r="B16" t="n">
        <v>6.3</v>
      </c>
      <c r="C16" t="n">
        <v>7.4</v>
      </c>
      <c r="D16" t="n">
        <v>5.2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Phnom Penh</t>
        </is>
      </c>
      <c r="B17" t="n">
        <v>26.9</v>
      </c>
      <c r="C17" t="n">
        <v>29.3</v>
      </c>
      <c r="D17" t="n">
        <v>24.7</v>
      </c>
      <c r="E17" t="n">
        <v>13.3</v>
      </c>
      <c r="F17" t="n">
        <v>13.5</v>
      </c>
      <c r="G17" t="n">
        <v>13.2</v>
      </c>
      <c r="H17" t="n">
        <v>7.2</v>
      </c>
      <c r="I17" t="n">
        <v>7.1</v>
      </c>
      <c r="J17" t="n">
        <v>7.4</v>
      </c>
    </row>
    <row r="18">
      <c r="A18" t="inlineStr">
        <is>
          <t>Preah Sihanouk</t>
        </is>
      </c>
      <c r="B18" t="n">
        <v>8.300000000000001</v>
      </c>
      <c r="C18" t="n">
        <v>8</v>
      </c>
      <c r="D18" t="n">
        <v>8.5</v>
      </c>
      <c r="E18" t="n">
        <v>6</v>
      </c>
      <c r="F18" t="n">
        <v>5.9</v>
      </c>
      <c r="G18" t="n">
        <v>6.1</v>
      </c>
      <c r="H18" t="n">
        <v>3.5</v>
      </c>
      <c r="I18" t="n">
        <v>3.3</v>
      </c>
      <c r="J18" t="n">
        <v>3.8</v>
      </c>
    </row>
    <row r="19">
      <c r="A19" t="inlineStr">
        <is>
          <t>Preah Vihear</t>
        </is>
      </c>
      <c r="B19" t="n">
        <v>0.3</v>
      </c>
      <c r="C19" t="n">
        <v>0.3</v>
      </c>
      <c r="D19" t="n">
        <v>0.3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Prey Veng</t>
        </is>
      </c>
      <c r="B20" t="n">
        <v>0</v>
      </c>
      <c r="C20" t="n">
        <v>0.1</v>
      </c>
      <c r="D20" t="n">
        <v>0</v>
      </c>
      <c r="E20" t="n">
        <v>0</v>
      </c>
      <c r="F20" t="n">
        <v>0</v>
      </c>
      <c r="G20" t="n">
        <v>0</v>
      </c>
      <c r="H20" t="n">
        <v>0.2</v>
      </c>
      <c r="I20" t="n">
        <v>0.2</v>
      </c>
      <c r="J20" t="n">
        <v>0.1</v>
      </c>
    </row>
    <row r="21">
      <c r="A21" t="inlineStr">
        <is>
          <t>Pursat</t>
        </is>
      </c>
      <c r="B21" t="n">
        <v>1.4</v>
      </c>
      <c r="C21" t="n">
        <v>1.5</v>
      </c>
      <c r="D21" t="n">
        <v>1.4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Ratanak Kiri</t>
        </is>
      </c>
      <c r="B22" t="n">
        <v>2.9</v>
      </c>
      <c r="C22" t="n">
        <v>2.8</v>
      </c>
      <c r="D22" t="n">
        <v>3</v>
      </c>
      <c r="E22" t="n">
        <v>2.1</v>
      </c>
      <c r="F22" t="n">
        <v>1.7</v>
      </c>
      <c r="G22" t="n">
        <v>2.5</v>
      </c>
      <c r="H22" t="n">
        <v>1</v>
      </c>
      <c r="I22" t="n">
        <v>1</v>
      </c>
      <c r="J22" t="n">
        <v>1.1</v>
      </c>
    </row>
    <row r="23">
      <c r="A23" t="inlineStr">
        <is>
          <t>Siemreap</t>
        </is>
      </c>
      <c r="B23" t="n">
        <v>2.9</v>
      </c>
      <c r="C23" t="n">
        <v>2.9</v>
      </c>
      <c r="D23" t="n">
        <v>3</v>
      </c>
      <c r="E23" t="n">
        <v>1.6</v>
      </c>
      <c r="F23" t="n">
        <v>1.6</v>
      </c>
      <c r="G23" t="n">
        <v>1.6</v>
      </c>
      <c r="H23" t="n">
        <v>0.9</v>
      </c>
      <c r="I23" t="n">
        <v>0.9</v>
      </c>
      <c r="J23" t="n">
        <v>0.9</v>
      </c>
    </row>
    <row r="24">
      <c r="A24" t="inlineStr">
        <is>
          <t>Stung Treng</t>
        </is>
      </c>
      <c r="B24" t="n">
        <v>0.4</v>
      </c>
      <c r="C24" t="n">
        <v>0.4</v>
      </c>
      <c r="D24" t="n">
        <v>0.4</v>
      </c>
      <c r="E24" t="n">
        <v>0</v>
      </c>
      <c r="F24" t="n">
        <v>0.1</v>
      </c>
      <c r="G24" t="n">
        <v>0</v>
      </c>
      <c r="H24" t="n">
        <v>0.1</v>
      </c>
      <c r="I24" t="n">
        <v>0.1</v>
      </c>
      <c r="J24" t="n">
        <v>0.2</v>
      </c>
    </row>
    <row r="25">
      <c r="A25" t="inlineStr">
        <is>
          <t>Svay Rieng</t>
        </is>
      </c>
      <c r="B25" t="n">
        <v>0.2</v>
      </c>
      <c r="C25" t="n">
        <v>0.2</v>
      </c>
      <c r="D25" t="n">
        <v>0.1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Takeo</t>
        </is>
      </c>
      <c r="B26" t="n">
        <v>0.5</v>
      </c>
      <c r="C26" t="n">
        <v>0.4</v>
      </c>
      <c r="D26" t="n">
        <v>0.6</v>
      </c>
      <c r="E26" t="n">
        <v>0.4</v>
      </c>
      <c r="F26" t="n">
        <v>0.4</v>
      </c>
      <c r="G26" t="n">
        <v>0.5</v>
      </c>
      <c r="H26" t="n">
        <v>0.3</v>
      </c>
      <c r="I26" t="n">
        <v>0.4</v>
      </c>
      <c r="J26" t="n">
        <v>0.2</v>
      </c>
    </row>
    <row r="27">
      <c r="A27" t="inlineStr">
        <is>
          <t>Tbaung Khmum</t>
        </is>
      </c>
      <c r="B27" t="n">
        <v>1.3</v>
      </c>
      <c r="C27" t="n">
        <v>1.6</v>
      </c>
      <c r="D27" t="n">
        <v>1</v>
      </c>
      <c r="E27" t="n">
        <v>1</v>
      </c>
      <c r="F27" t="n">
        <v>1.7</v>
      </c>
      <c r="G27" t="n">
        <v>0.3</v>
      </c>
      <c r="H27" t="n">
        <v>0.5</v>
      </c>
      <c r="I27" t="n">
        <v>0.7</v>
      </c>
      <c r="J27" t="n">
        <v>0.3</v>
      </c>
    </row>
    <row r="28">
      <c r="A28" t="inlineStr">
        <is>
          <t>Whole Kingdom</t>
        </is>
      </c>
      <c r="B28" t="n">
        <v>4</v>
      </c>
      <c r="C28" t="n">
        <v>4.3</v>
      </c>
      <c r="D28" t="n">
        <v>3.8</v>
      </c>
      <c r="E28" t="n">
        <v>2.3</v>
      </c>
      <c r="F28" t="n">
        <v>2.4</v>
      </c>
      <c r="G28" t="n">
        <v>2.2</v>
      </c>
      <c r="H28" t="n">
        <v>1.4</v>
      </c>
      <c r="I28" t="n">
        <v>1.5</v>
      </c>
      <c r="J28" t="n">
        <v>1.3</v>
      </c>
    </row>
    <row r="29">
      <c r="A29" t="inlineStr">
        <is>
          <t>- Urban Area</t>
        </is>
      </c>
      <c r="B29" t="n">
        <v>17.4</v>
      </c>
      <c r="C29" t="n">
        <v>18.7</v>
      </c>
      <c r="D29" t="n">
        <v>16.2</v>
      </c>
      <c r="E29" t="n">
        <v>9.6</v>
      </c>
      <c r="F29" t="n">
        <v>10</v>
      </c>
      <c r="G29" t="n">
        <v>9.199999999999999</v>
      </c>
      <c r="H29" t="n">
        <v>5.8</v>
      </c>
      <c r="I29" t="n">
        <v>5.9</v>
      </c>
      <c r="J29" t="n">
        <v>5.6</v>
      </c>
    </row>
    <row r="30">
      <c r="A30" t="inlineStr">
        <is>
          <t>- Rural Area</t>
        </is>
      </c>
      <c r="B30" t="n">
        <v>0.8</v>
      </c>
      <c r="C30" t="n">
        <v>0.8</v>
      </c>
      <c r="D30" t="n">
        <v>0.8</v>
      </c>
      <c r="E30" t="n">
        <v>0.4</v>
      </c>
      <c r="F30" t="n">
        <v>0.4</v>
      </c>
      <c r="G30" t="n">
        <v>0.3</v>
      </c>
      <c r="H30" t="n">
        <v>0.1</v>
      </c>
      <c r="I30" t="n">
        <v>0.2</v>
      </c>
      <c r="J30" t="n">
        <v>0.1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FF66CC"/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7.33203125" customWidth="1" min="1" max="1"/>
    <col width="16.83203125" customWidth="1" min="2" max="2"/>
    <col width="17.1640625" customWidth="1" min="4" max="4"/>
    <col width="16.83203125" customWidth="1" min="5" max="5"/>
    <col width="17.1640625" customWidth="1" min="7" max="7"/>
    <col width="16.83203125" customWidth="1" min="8" max="8"/>
  </cols>
  <sheetData>
    <row r="1">
      <c r="A1" t="inlineStr">
        <is>
          <t>Table 1: Schools, Classes, Students and Staff</t>
        </is>
      </c>
      <c r="B1" t="inlineStr">
        <is>
          <t>GPI for GAR</t>
        </is>
      </c>
      <c r="C1" t="inlineStr">
        <is>
          <t>GPI for NAR</t>
        </is>
      </c>
      <c r="D1" t="inlineStr">
        <is>
          <t>GPI for GER</t>
        </is>
      </c>
      <c r="G1" t="inlineStr">
        <is>
          <t>GPI for NER</t>
        </is>
      </c>
    </row>
    <row r="2">
      <c r="D2" t="inlineStr">
        <is>
          <t>Primary</t>
        </is>
      </c>
      <c r="E2" t="inlineStr">
        <is>
          <t>Lower Sec.</t>
        </is>
      </c>
      <c r="F2" t="inlineStr">
        <is>
          <t>Upper Sec.</t>
        </is>
      </c>
      <c r="G2" t="inlineStr">
        <is>
          <t>Primary</t>
        </is>
      </c>
      <c r="H2" t="inlineStr">
        <is>
          <t>Lower Sec.</t>
        </is>
      </c>
      <c r="I2" t="inlineStr">
        <is>
          <t>Upper Sec.</t>
        </is>
      </c>
    </row>
    <row r="3">
      <c r="A3" t="inlineStr">
        <is>
          <t>Banteay Meanchey</t>
        </is>
      </c>
      <c r="B3" t="n">
        <v>0.9</v>
      </c>
      <c r="C3" t="n">
        <v>1</v>
      </c>
      <c r="D3" t="n">
        <v>1</v>
      </c>
      <c r="E3" t="n">
        <v>1</v>
      </c>
      <c r="F3" t="n">
        <v>1.1</v>
      </c>
      <c r="G3" t="n">
        <v>1</v>
      </c>
      <c r="H3" t="n">
        <v>1.1</v>
      </c>
      <c r="I3" t="n">
        <v>1.2</v>
      </c>
    </row>
    <row r="4">
      <c r="A4" t="inlineStr">
        <is>
          <t>Battambang</t>
        </is>
      </c>
      <c r="B4" t="n">
        <v>1</v>
      </c>
      <c r="C4" t="n">
        <v>1</v>
      </c>
      <c r="D4" t="n">
        <v>1</v>
      </c>
      <c r="E4" t="n">
        <v>1</v>
      </c>
      <c r="F4" t="n">
        <v>1.2</v>
      </c>
      <c r="G4" t="n">
        <v>1.1</v>
      </c>
      <c r="H4" t="n">
        <v>1.1</v>
      </c>
      <c r="I4" t="n">
        <v>1.3</v>
      </c>
    </row>
    <row r="5">
      <c r="A5" t="inlineStr">
        <is>
          <t>Kampong Cham</t>
        </is>
      </c>
      <c r="B5" t="n">
        <v>1.2</v>
      </c>
      <c r="C5" t="n">
        <v>1</v>
      </c>
      <c r="D5" t="n">
        <v>1</v>
      </c>
      <c r="E5" t="n">
        <v>1</v>
      </c>
      <c r="F5" t="n">
        <v>1.1</v>
      </c>
      <c r="G5" t="n">
        <v>0.9</v>
      </c>
      <c r="H5" t="n">
        <v>0.9</v>
      </c>
      <c r="I5" t="n">
        <v>1.1</v>
      </c>
    </row>
    <row r="6">
      <c r="A6" t="inlineStr">
        <is>
          <t>Kampong Chhnang</t>
        </is>
      </c>
      <c r="B6" t="n">
        <v>1.2</v>
      </c>
      <c r="C6" t="n">
        <v>1.2</v>
      </c>
      <c r="D6" t="n">
        <v>1</v>
      </c>
      <c r="E6" t="n">
        <v>0.6</v>
      </c>
      <c r="F6" t="n">
        <v>0.7</v>
      </c>
      <c r="G6" t="n">
        <v>1</v>
      </c>
      <c r="H6" t="n">
        <v>0.7</v>
      </c>
      <c r="I6" t="n">
        <v>0.8</v>
      </c>
    </row>
    <row r="7">
      <c r="A7" t="inlineStr">
        <is>
          <t>Kampong Speu</t>
        </is>
      </c>
      <c r="B7" t="n">
        <v>1.1</v>
      </c>
      <c r="C7" t="n">
        <v>1</v>
      </c>
      <c r="D7" t="n">
        <v>1.1</v>
      </c>
      <c r="E7" t="n">
        <v>1.1</v>
      </c>
      <c r="F7" t="n">
        <v>1.2</v>
      </c>
      <c r="G7" t="n">
        <v>1</v>
      </c>
      <c r="H7" t="n">
        <v>1.1</v>
      </c>
      <c r="I7" t="n">
        <v>1.3</v>
      </c>
    </row>
    <row r="8">
      <c r="A8" t="inlineStr">
        <is>
          <t>Kampong Thom</t>
        </is>
      </c>
      <c r="B8" t="n">
        <v>0.7</v>
      </c>
      <c r="C8" t="n">
        <v>0.5</v>
      </c>
      <c r="D8" t="n">
        <v>0.9</v>
      </c>
      <c r="E8" t="n">
        <v>0.8</v>
      </c>
      <c r="F8" t="n">
        <v>1.2</v>
      </c>
      <c r="G8" t="n">
        <v>0.8</v>
      </c>
      <c r="H8" t="n">
        <v>0.8</v>
      </c>
      <c r="I8" t="n">
        <v>1.1</v>
      </c>
    </row>
    <row r="9">
      <c r="A9" t="inlineStr">
        <is>
          <t>Kampot</t>
        </is>
      </c>
      <c r="B9" t="n">
        <v>1.1</v>
      </c>
      <c r="C9" t="n">
        <v>0.9</v>
      </c>
      <c r="D9" t="n">
        <v>1.2</v>
      </c>
      <c r="E9" t="n">
        <v>1.3</v>
      </c>
      <c r="F9" t="n">
        <v>1.1</v>
      </c>
      <c r="G9" t="n">
        <v>1.1</v>
      </c>
      <c r="H9" t="n">
        <v>1.3</v>
      </c>
      <c r="I9" t="n">
        <v>1.1</v>
      </c>
    </row>
    <row r="10">
      <c r="A10" t="inlineStr">
        <is>
          <t>Kandal</t>
        </is>
      </c>
      <c r="B10" t="n">
        <v>1.2</v>
      </c>
      <c r="C10" t="n">
        <v>0.9</v>
      </c>
      <c r="D10" t="n">
        <v>1.1</v>
      </c>
      <c r="E10" t="n">
        <v>0.8</v>
      </c>
      <c r="F10" t="n">
        <v>1</v>
      </c>
      <c r="G10" t="n">
        <v>1</v>
      </c>
      <c r="H10" t="n">
        <v>0.7</v>
      </c>
      <c r="I10" t="n">
        <v>1.1</v>
      </c>
    </row>
    <row r="11">
      <c r="A11" t="inlineStr">
        <is>
          <t>Kep</t>
        </is>
      </c>
      <c r="B11" t="n">
        <v>1.1</v>
      </c>
      <c r="C11" t="n">
        <v>0</v>
      </c>
      <c r="D11" t="n">
        <v>1.3</v>
      </c>
      <c r="E11" t="n">
        <v>0</v>
      </c>
      <c r="F11" t="n">
        <v>0</v>
      </c>
      <c r="G11" t="n">
        <v>1.1</v>
      </c>
      <c r="H11" t="n">
        <v>0</v>
      </c>
      <c r="I11" t="n">
        <v>0</v>
      </c>
    </row>
    <row r="12">
      <c r="A12" t="inlineStr">
        <is>
          <t>Koh Kong</t>
        </is>
      </c>
      <c r="B12" t="n">
        <v>1.1</v>
      </c>
      <c r="C12" t="n">
        <v>1.2</v>
      </c>
      <c r="D12" t="n">
        <v>1.1</v>
      </c>
      <c r="E12" t="n">
        <v>0.8</v>
      </c>
      <c r="F12" t="n">
        <v>0.7</v>
      </c>
      <c r="G12" t="n">
        <v>1.1</v>
      </c>
      <c r="H12" t="n">
        <v>0.9</v>
      </c>
      <c r="I12" t="n">
        <v>0.7</v>
      </c>
    </row>
    <row r="13">
      <c r="A13" t="inlineStr">
        <is>
          <t>Kratie</t>
        </is>
      </c>
      <c r="B13" t="n">
        <v>1.6</v>
      </c>
      <c r="C13" t="n">
        <v>0.7</v>
      </c>
      <c r="D13" t="n">
        <v>1.5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Mondul Kiri</t>
        </is>
      </c>
      <c r="B14" t="n">
        <v>0.4</v>
      </c>
      <c r="C14" t="n">
        <v>0.7</v>
      </c>
      <c r="D14" t="n">
        <v>0.6</v>
      </c>
      <c r="E14" t="n">
        <v>0</v>
      </c>
      <c r="F14" t="n">
        <v>0</v>
      </c>
      <c r="G14" t="n">
        <v>0.7</v>
      </c>
      <c r="H14" t="n">
        <v>0</v>
      </c>
      <c r="I14" t="n">
        <v>0</v>
      </c>
    </row>
    <row r="15">
      <c r="A15" t="inlineStr">
        <is>
          <t>Otdar Meanchey</t>
        </is>
      </c>
      <c r="B15" t="n">
        <v>0.7</v>
      </c>
      <c r="C15" t="n">
        <v>0.8</v>
      </c>
      <c r="D15" t="n">
        <v>0.9</v>
      </c>
      <c r="E15" t="n">
        <v>0</v>
      </c>
      <c r="F15" t="n">
        <v>0</v>
      </c>
      <c r="G15" t="n">
        <v>0.9</v>
      </c>
      <c r="H15" t="n">
        <v>0</v>
      </c>
      <c r="I15" t="n">
        <v>0</v>
      </c>
    </row>
    <row r="16">
      <c r="A16" t="inlineStr">
        <is>
          <t>Pailin</t>
        </is>
      </c>
      <c r="B16" t="n">
        <v>0.9</v>
      </c>
      <c r="C16" t="n">
        <v>1.1</v>
      </c>
      <c r="D16" t="n">
        <v>1.1</v>
      </c>
      <c r="E16" t="n">
        <v>0</v>
      </c>
      <c r="F16" t="n">
        <v>0</v>
      </c>
      <c r="G16" t="n">
        <v>1.1</v>
      </c>
      <c r="H16" t="n">
        <v>0</v>
      </c>
      <c r="I16" t="n">
        <v>0</v>
      </c>
    </row>
    <row r="17">
      <c r="A17" t="inlineStr">
        <is>
          <t>Phnom Penh</t>
        </is>
      </c>
      <c r="B17" t="n">
        <v>1.1</v>
      </c>
      <c r="C17" t="n">
        <v>1.1</v>
      </c>
      <c r="D17" t="n">
        <v>1.1</v>
      </c>
      <c r="E17" t="n">
        <v>1</v>
      </c>
      <c r="F17" t="n">
        <v>0.9</v>
      </c>
      <c r="G17" t="n">
        <v>1.1</v>
      </c>
      <c r="H17" t="n">
        <v>1.1</v>
      </c>
      <c r="I17" t="n">
        <v>0.9</v>
      </c>
    </row>
    <row r="18">
      <c r="A18" t="inlineStr">
        <is>
          <t>Preah Sihanouk</t>
        </is>
      </c>
      <c r="B18" t="n">
        <v>1</v>
      </c>
      <c r="C18" t="n">
        <v>1</v>
      </c>
      <c r="D18" t="n">
        <v>1</v>
      </c>
      <c r="E18" t="n">
        <v>1</v>
      </c>
      <c r="F18" t="n">
        <v>0.9</v>
      </c>
      <c r="G18" t="n">
        <v>1</v>
      </c>
      <c r="H18" t="n">
        <v>1</v>
      </c>
      <c r="I18" t="n">
        <v>0.9</v>
      </c>
    </row>
    <row r="19">
      <c r="A19" t="inlineStr">
        <is>
          <t>Preah Vihear</t>
        </is>
      </c>
      <c r="B19" t="n">
        <v>0.6</v>
      </c>
      <c r="C19" t="n">
        <v>0.4</v>
      </c>
      <c r="D19" t="n">
        <v>0.7</v>
      </c>
      <c r="E19" t="n">
        <v>0</v>
      </c>
      <c r="F19" t="n">
        <v>0</v>
      </c>
      <c r="G19" t="n">
        <v>0.7</v>
      </c>
      <c r="H19" t="n">
        <v>0</v>
      </c>
      <c r="I19" t="n">
        <v>0</v>
      </c>
    </row>
    <row r="20">
      <c r="A20" t="inlineStr">
        <is>
          <t>Prey Veng</t>
        </is>
      </c>
      <c r="B20" t="n">
        <v>1.6</v>
      </c>
      <c r="C20" t="n">
        <v>2.1</v>
      </c>
      <c r="D20" t="n">
        <v>1.6</v>
      </c>
      <c r="E20" t="n">
        <v>0</v>
      </c>
      <c r="F20" t="n">
        <v>1.7</v>
      </c>
      <c r="G20" t="n">
        <v>1.5</v>
      </c>
      <c r="H20" t="n">
        <v>0</v>
      </c>
      <c r="I20" t="n">
        <v>1.6</v>
      </c>
    </row>
    <row r="21">
      <c r="A21" t="inlineStr">
        <is>
          <t>Pursat</t>
        </is>
      </c>
      <c r="B21" t="n">
        <v>1.3</v>
      </c>
      <c r="C21" t="n">
        <v>1</v>
      </c>
      <c r="D21" t="n">
        <v>1.3</v>
      </c>
      <c r="E21" t="n">
        <v>0</v>
      </c>
      <c r="F21" t="n">
        <v>0</v>
      </c>
      <c r="G21" t="n">
        <v>1.2</v>
      </c>
      <c r="H21" t="n">
        <v>0</v>
      </c>
      <c r="I21" t="n">
        <v>0</v>
      </c>
    </row>
    <row r="22">
      <c r="A22" t="inlineStr">
        <is>
          <t>Ratanak Kiri</t>
        </is>
      </c>
      <c r="B22" t="n">
        <v>0.9</v>
      </c>
      <c r="C22" t="n">
        <v>0.9</v>
      </c>
      <c r="D22" t="n">
        <v>0.9</v>
      </c>
      <c r="E22" t="n">
        <v>0.7</v>
      </c>
      <c r="F22" t="n">
        <v>1.1</v>
      </c>
      <c r="G22" t="n">
        <v>1</v>
      </c>
      <c r="H22" t="n">
        <v>0.8</v>
      </c>
      <c r="I22" t="n">
        <v>1</v>
      </c>
    </row>
    <row r="23">
      <c r="A23" t="inlineStr">
        <is>
          <t>Siemreap</t>
        </is>
      </c>
      <c r="B23" t="n">
        <v>1</v>
      </c>
      <c r="C23" t="n">
        <v>0.9</v>
      </c>
      <c r="D23" t="n">
        <v>1</v>
      </c>
      <c r="E23" t="n">
        <v>1</v>
      </c>
      <c r="F23" t="n">
        <v>1</v>
      </c>
      <c r="G23" t="n">
        <v>1</v>
      </c>
      <c r="H23" t="n">
        <v>1.1</v>
      </c>
      <c r="I23" t="n">
        <v>1</v>
      </c>
    </row>
    <row r="24">
      <c r="A24" t="inlineStr">
        <is>
          <t>Stung Treng</t>
        </is>
      </c>
      <c r="B24" t="n">
        <v>0.9</v>
      </c>
      <c r="C24" t="n">
        <v>0.9</v>
      </c>
      <c r="D24" t="n">
        <v>0.7</v>
      </c>
      <c r="E24" t="n">
        <v>0.6</v>
      </c>
      <c r="F24" t="n">
        <v>1.2</v>
      </c>
      <c r="G24" t="n">
        <v>0.7</v>
      </c>
      <c r="H24" t="n">
        <v>0.6</v>
      </c>
      <c r="I24" t="n">
        <v>1.7</v>
      </c>
    </row>
    <row r="25">
      <c r="A25" t="inlineStr">
        <is>
          <t>Svay Rieng</t>
        </is>
      </c>
      <c r="B25" t="n">
        <v>0.9</v>
      </c>
      <c r="C25" t="n">
        <v>1.1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Takeo</t>
        </is>
      </c>
      <c r="B26" t="n">
        <v>1.1</v>
      </c>
      <c r="C26" t="n">
        <v>1.1</v>
      </c>
      <c r="D26" t="n">
        <v>0.9</v>
      </c>
      <c r="E26" t="n">
        <v>0.7</v>
      </c>
      <c r="F26" t="n">
        <v>1.3</v>
      </c>
      <c r="G26" t="n">
        <v>1</v>
      </c>
      <c r="H26" t="n">
        <v>0.8</v>
      </c>
      <c r="I26" t="n">
        <v>1.3</v>
      </c>
    </row>
    <row r="27">
      <c r="A27" t="inlineStr">
        <is>
          <t>Tbaung Khmum</t>
        </is>
      </c>
      <c r="B27" t="n">
        <v>1.2</v>
      </c>
      <c r="C27" t="n">
        <v>1.2</v>
      </c>
      <c r="D27" t="n">
        <v>1.3</v>
      </c>
      <c r="E27" t="n">
        <v>3.7</v>
      </c>
      <c r="F27" t="n">
        <v>3.5</v>
      </c>
      <c r="G27" t="n">
        <v>1.3</v>
      </c>
      <c r="H27" t="n">
        <v>4.7</v>
      </c>
      <c r="I27" t="n">
        <v>6.4</v>
      </c>
    </row>
    <row r="28">
      <c r="A28" t="inlineStr">
        <is>
          <t>Whole Kingdom</t>
        </is>
      </c>
      <c r="B28" t="n">
        <v>1.1</v>
      </c>
      <c r="C28" t="n">
        <v>1</v>
      </c>
      <c r="D28" t="n">
        <v>1.1</v>
      </c>
      <c r="E28" t="n">
        <v>1.1</v>
      </c>
      <c r="F28" t="n">
        <v>1.1</v>
      </c>
      <c r="G28" t="n">
        <v>1</v>
      </c>
      <c r="H28" t="n">
        <v>1.1</v>
      </c>
      <c r="I28" t="n">
        <v>1.1</v>
      </c>
    </row>
    <row r="29">
      <c r="A29" t="inlineStr">
        <is>
          <t>- Urban Area</t>
        </is>
      </c>
      <c r="B29" t="n">
        <v>1</v>
      </c>
      <c r="C29" t="n">
        <v>1</v>
      </c>
      <c r="D29" t="n">
        <v>1.1</v>
      </c>
      <c r="E29" t="n">
        <v>1.1</v>
      </c>
      <c r="F29" t="n">
        <v>1</v>
      </c>
      <c r="G29" t="n">
        <v>1.1</v>
      </c>
      <c r="H29" t="n">
        <v>1.1</v>
      </c>
      <c r="I29" t="n">
        <v>1.1</v>
      </c>
    </row>
    <row r="30">
      <c r="A30" t="inlineStr">
        <is>
          <t>- Rural Area</t>
        </is>
      </c>
      <c r="B30" t="n">
        <v>1.1</v>
      </c>
      <c r="C30" t="n">
        <v>1</v>
      </c>
      <c r="D30" t="n">
        <v>1.1</v>
      </c>
      <c r="E30" t="n">
        <v>1.1</v>
      </c>
      <c r="F30" t="n">
        <v>1.1</v>
      </c>
      <c r="G30" t="n">
        <v>1</v>
      </c>
      <c r="H30" t="n">
        <v>1.1</v>
      </c>
      <c r="I30" t="n">
        <v>1.2</v>
      </c>
    </row>
  </sheetData>
  <mergeCells count="5">
    <mergeCell ref="C1:C2"/>
    <mergeCell ref="B1:B2"/>
    <mergeCell ref="D1:F1"/>
    <mergeCell ref="G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2026-03-11T06:53:36Z</dcterms:created>
  <dcterms:modified xmlns:dcterms="http://purl.org/dc/terms/" xmlns:xsi="http://www.w3.org/2001/XMLSchema-instance" xsi:type="dcterms:W3CDTF">2026-03-11T06:53:37Z</dcterms:modified>
</cp:coreProperties>
</file>