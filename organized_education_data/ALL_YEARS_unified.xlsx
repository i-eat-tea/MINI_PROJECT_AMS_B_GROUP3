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organized_education_data\"/>
    </mc:Choice>
  </mc:AlternateContent>
  <xr:revisionPtr revIDLastSave="0" documentId="13_ncr:1_{499D684F-9173-4FD0-B38D-812CC776E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📋 Index" sheetId="1" r:id="rId1"/>
    <sheet name="National Summary - Schools, Cla" sheetId="2" r:id="rId2"/>
    <sheet name="Schools, Classes &amp; Staff by Pro" sheetId="3" r:id="rId3"/>
    <sheet name="All Lycees by Province -Pub 201" sheetId="4" r:id="rId4"/>
    <sheet name="Colleges by Province -Pub 2017-" sheetId="5" r:id="rId5"/>
    <sheet name="Lycees (Gr 10-12 only) by Provi" sheetId="6" r:id="rId6"/>
    <sheet name="Pre-Schools by Province -Pub 20" sheetId="7" r:id="rId7"/>
    <sheet name="Primary Schools by Province -Pu" sheetId="8" r:id="rId8"/>
    <sheet name="Secondary Schools by Province -" sheetId="9" r:id="rId9"/>
    <sheet name="Classes by Grade &amp; Education Le" sheetId="10" r:id="rId10"/>
    <sheet name="Cluster Schools &amp; Schools in Pa" sheetId="11" r:id="rId11"/>
    <sheet name="School Characteristics &amp; Princi" sheetId="12" r:id="rId12"/>
    <sheet name="Schools by Highest Grade Taught" sheetId="13" r:id="rId13"/>
    <sheet name="Enrollment &amp; Repeaters by Grade" sheetId="14" r:id="rId14"/>
    <sheet name="Enrollment by Level 2016-2017 -" sheetId="15" r:id="rId15"/>
    <sheet name="Enrollment by Level 2017-2018 -" sheetId="16" r:id="rId16"/>
    <sheet name="New Intake &amp; Enrollment by Age " sheetId="17" r:id="rId17"/>
    <sheet name="New Intake &amp; Enrollment by Ag 1" sheetId="18" r:id="rId18"/>
    <sheet name="Pre-School Enrollment by Step -" sheetId="19" r:id="rId19"/>
    <sheet name="Provincial &amp; District Education" sheetId="20" r:id="rId20"/>
    <sheet name="School Staff - Special Function" sheetId="21" r:id="rId21"/>
    <sheet name="School Staff by Education Level" sheetId="22" r:id="rId22"/>
    <sheet name="Teaching Staff - Pedagogical Tr" sheetId="23" r:id="rId23"/>
    <sheet name="Classroom Conditions &amp; Office-L" sheetId="24" r:id="rId24"/>
    <sheet name="Community Participation &amp; Finan" sheetId="25" r:id="rId25"/>
    <sheet name="School Building Conditions -Pub" sheetId="26" r:id="rId26"/>
    <sheet name="School Space &amp; Sports Facilitie" sheetId="27" r:id="rId27"/>
    <sheet name="Access &amp; Enrollment Ratios for " sheetId="28" r:id="rId28"/>
    <sheet name="Access &amp; Equity Indicators - by" sheetId="29" r:id="rId29"/>
    <sheet name="Enrollment Indicators - by Prov" sheetId="30" r:id="rId30"/>
    <sheet name="Gross &amp; Net Enrollment Ratios -" sheetId="31" r:id="rId31"/>
    <sheet name="Indicators on Primary Schools -" sheetId="32" r:id="rId32"/>
    <sheet name="Indicators on Schools - Nationa" sheetId="33" r:id="rId33"/>
    <sheet name="Indicators on Schools - by Prov" sheetId="34" r:id="rId34"/>
    <sheet name="Indicators on Secondary Schools" sheetId="35" r:id="rId35"/>
    <sheet name="Primary Student &amp; Staff Indicat" sheetId="36" r:id="rId36"/>
    <sheet name="School-Going Age Population &amp; S" sheetId="37" r:id="rId37"/>
    <sheet name="Secondary Student &amp; Staff Indic" sheetId="38" r:id="rId38"/>
    <sheet name="Student &amp; Staff Indicators - Na" sheetId="39" r:id="rId39"/>
    <sheet name="Student &amp; Staff Indicators - by" sheetId="40" r:id="rId40"/>
    <sheet name="Completion Rate 2017-2018 -Pub " sheetId="41" r:id="rId41"/>
    <sheet name="Flow Rates &amp; Graduates by Level" sheetId="42" r:id="rId42"/>
    <sheet name="Flow Rates &amp; Graduates by Lev 1" sheetId="43" r:id="rId43"/>
    <sheet name="Flow Rates &amp; Graduates by Lev 2" sheetId="44" r:id="rId44"/>
    <sheet name="Student Flow Rates (Both) 2017-" sheetId="45" r:id="rId45"/>
    <sheet name="Student Flow Rates (Female) 201" sheetId="46" r:id="rId46"/>
    <sheet name="Student Flow Rates (Male) 2016-" sheetId="47" r:id="rId47"/>
    <sheet name="Gender Parity Index 2017-2018 -" sheetId="48" r:id="rId48"/>
    <sheet name="Appendix - Historical Data 1979" sheetId="49" r:id="rId49"/>
    <sheet name="National Summary - Schools, C 1" sheetId="50" r:id="rId50"/>
    <sheet name="Schools, Classes &amp; Staff by P 1" sheetId="51" r:id="rId51"/>
    <sheet name="Colleges by Province -Pri 2018-" sheetId="52" r:id="rId52"/>
    <sheet name="Lycees by Province -Pri 2018-20" sheetId="53" r:id="rId53"/>
    <sheet name="Pre-Schools by Province -Pri 20" sheetId="54" r:id="rId54"/>
    <sheet name="Primary Schools by Province -Pr" sheetId="55" r:id="rId55"/>
    <sheet name="Secondary Schools by Province 1" sheetId="56" r:id="rId56"/>
    <sheet name="School Characteristics &amp; Prin 1" sheetId="57" r:id="rId57"/>
    <sheet name="Schools by Highest Grade Taug 1" sheetId="58" r:id="rId58"/>
    <sheet name="Enrollment &amp; Repeaters by Gra 1" sheetId="59" r:id="rId59"/>
    <sheet name="Enrollment by Level 2017-2018 1" sheetId="60" r:id="rId60"/>
    <sheet name="Enrollment by Level 2018-2019 -" sheetId="61" r:id="rId61"/>
    <sheet name="New Intake &amp; Enrollment by Ag 2" sheetId="62" r:id="rId62"/>
    <sheet name="New Intake &amp; Enrollment by Ag 3" sheetId="63" r:id="rId63"/>
    <sheet name="Pre-School Enrollment Rate by A" sheetId="64" r:id="rId64"/>
    <sheet name="Pre-School Enrollment by Age (3" sheetId="65" r:id="rId65"/>
    <sheet name="Pre-School Enrollment by Step 1" sheetId="66" r:id="rId66"/>
    <sheet name="Non-Teaching Staff by Education" sheetId="67" r:id="rId67"/>
    <sheet name="Teaching Staff by Education Lev" sheetId="68" r:id="rId68"/>
    <sheet name="Learning Facilities (Computers," sheetId="69" r:id="rId69"/>
    <sheet name="School Building Conditions -Pri" sheetId="70" r:id="rId70"/>
    <sheet name="School Space &amp; Sports Facilit 1" sheetId="71" r:id="rId71"/>
    <sheet name="School Fees - Pre-School (by St" sheetId="72" r:id="rId72"/>
    <sheet name="School Fees - Primary (by Grade" sheetId="73" r:id="rId73"/>
    <sheet name="School Fees - Secondary (by Gra" sheetId="74" r:id="rId74"/>
    <sheet name="Access &amp; Admission Rate Indicat" sheetId="75" r:id="rId75"/>
    <sheet name="Completion Rate 2018-2019 -Pri " sheetId="76" r:id="rId76"/>
    <sheet name="Gender Parity Index 2018-2019 -" sheetId="77" r:id="rId77"/>
    <sheet name="National Summary - Schools, C 2" sheetId="78" r:id="rId78"/>
    <sheet name="Schools, Classes &amp; Staff by P 2" sheetId="79" r:id="rId79"/>
    <sheet name="Colleges by Province -Pri 2019-" sheetId="80" r:id="rId80"/>
    <sheet name="Lycees by Province -Pri 2019-20" sheetId="81" r:id="rId81"/>
    <sheet name="Pre-Schools by Province -Pri  1" sheetId="82" r:id="rId82"/>
    <sheet name="Primary Schools by Province - 1" sheetId="83" r:id="rId83"/>
    <sheet name="Secondary Schools by Province 2" sheetId="84" r:id="rId84"/>
    <sheet name="Schools by Highest Grade Taug 2" sheetId="85" r:id="rId85"/>
    <sheet name="Enrollment &amp; Repeaters by Gra 2" sheetId="86" r:id="rId86"/>
    <sheet name="Enrollment by Level 2018-2019 1" sheetId="87" r:id="rId87"/>
    <sheet name="Enrollment by Level 2019-2020 -" sheetId="88" r:id="rId88"/>
    <sheet name="New Intake &amp; Enrollment by Ag 4" sheetId="89" r:id="rId89"/>
    <sheet name="New Intake &amp; Enrollment by Ag 5" sheetId="90" r:id="rId90"/>
    <sheet name="Pre-School Enrollment Rate by 1" sheetId="91" r:id="rId91"/>
    <sheet name="Pre-School Enrollment by Age  1" sheetId="92" r:id="rId92"/>
    <sheet name="Pre-School Enrollment by Step 2" sheetId="93" r:id="rId93"/>
    <sheet name="Non-Teaching Staff by Educati 1" sheetId="94" r:id="rId94"/>
    <sheet name="Teaching Staff by Education L 1" sheetId="95" r:id="rId95"/>
    <sheet name="Learning Facilities (Computer 1" sheetId="96" r:id="rId96"/>
    <sheet name="School Building Conditions -P 1" sheetId="97" r:id="rId97"/>
    <sheet name="School Space &amp; Sports Facilit 2" sheetId="98" r:id="rId98"/>
    <sheet name="School Fees - Pre-School (by  1" sheetId="99" r:id="rId99"/>
    <sheet name="School Fees - Primary (by Gra 1" sheetId="100" r:id="rId100"/>
    <sheet name="School Fees - Secondary (by G 1" sheetId="101" r:id="rId101"/>
    <sheet name="Access &amp; Admission Rate Indic 1" sheetId="102" r:id="rId102"/>
    <sheet name="Completion Rate 2019-2020 -Pri " sheetId="103" r:id="rId103"/>
    <sheet name="Gender Parity Index 2019-2020 -" sheetId="104" r:id="rId104"/>
    <sheet name="National Summary - Schools, C 3" sheetId="105" r:id="rId105"/>
    <sheet name="Schools, Classes &amp; Staff by P 3" sheetId="106" r:id="rId106"/>
    <sheet name="All Lycees by Province -Pub 2 1" sheetId="107" r:id="rId107"/>
    <sheet name="Colleges by Province -Pub 2019-" sheetId="108" r:id="rId108"/>
    <sheet name="Lycees (Gr 10-12 only) by Pro 1" sheetId="109" r:id="rId109"/>
    <sheet name="Pre-Schools by Province -Pub  1" sheetId="110" r:id="rId110"/>
    <sheet name="Primary Schools by Province - 2" sheetId="111" r:id="rId111"/>
    <sheet name="Secondary Schools by Province 3" sheetId="112" r:id="rId112"/>
    <sheet name="Classes by Grade &amp; Education  1" sheetId="113" r:id="rId113"/>
    <sheet name="Cluster Schools &amp; Schools in  1" sheetId="114" r:id="rId114"/>
    <sheet name="School Characteristics &amp; Prin 2" sheetId="115" r:id="rId115"/>
    <sheet name="Schools by Highest Grade Taug 3" sheetId="116" r:id="rId116"/>
    <sheet name="Enrollment &amp; Repeaters by Gra 3" sheetId="117" r:id="rId117"/>
    <sheet name="Enrollment by Level 2019-2020 1" sheetId="118" r:id="rId118"/>
    <sheet name="New Intake &amp; Enrollment by Ag 6" sheetId="119" r:id="rId119"/>
    <sheet name="New Intake &amp; Enrollment by Ag 7" sheetId="120" r:id="rId120"/>
    <sheet name="Pre-School Enrollment by Age  2" sheetId="121" r:id="rId121"/>
    <sheet name="Pre-School Enrollment by Step 3" sheetId="122" r:id="rId122"/>
    <sheet name="Provincial &amp; District Educati 1" sheetId="123" r:id="rId123"/>
    <sheet name="School Staff - Special Functi 1" sheetId="124" r:id="rId124"/>
    <sheet name="School Staff by Education Lev 1" sheetId="125" r:id="rId125"/>
    <sheet name="Teaching Staff - Pedagogical  1" sheetId="126" r:id="rId126"/>
    <sheet name="Classroom Conditions &amp; Office 1" sheetId="127" r:id="rId127"/>
    <sheet name="Community Participation &amp; Fin 1" sheetId="128" r:id="rId128"/>
    <sheet name="School Building Conditions -P 2" sheetId="129" r:id="rId129"/>
    <sheet name="School Space &amp; Sports Facilit 3" sheetId="130" r:id="rId130"/>
    <sheet name="Access &amp; Enrollment Ratios fo 1" sheetId="131" r:id="rId131"/>
    <sheet name="Access &amp; Equity Indicators -  1" sheetId="132" r:id="rId132"/>
    <sheet name="Enrollment Indicators - by Pr 1" sheetId="133" r:id="rId133"/>
    <sheet name="Gross &amp; Net Enrollment Ratios 1" sheetId="134" r:id="rId134"/>
    <sheet name="Indicators on Primary Schools 1" sheetId="135" r:id="rId135"/>
    <sheet name="Indicators on Schools - Natio 1" sheetId="136" r:id="rId136"/>
    <sheet name="Indicators on Schools - by Pr 1" sheetId="137" r:id="rId137"/>
    <sheet name="Indicators on Secondary Schoo 1" sheetId="138" r:id="rId138"/>
    <sheet name="Primary Student &amp; Staff Indic 1" sheetId="139" r:id="rId139"/>
    <sheet name="School-Going Age Population &amp; 1" sheetId="140" r:id="rId140"/>
    <sheet name="Secondary Student &amp; Staff Ind 1" sheetId="141" r:id="rId141"/>
    <sheet name="Student &amp; Staff Indicators -  1" sheetId="142" r:id="rId142"/>
    <sheet name="Student &amp; Staff Indicators -  2" sheetId="143" r:id="rId143"/>
    <sheet name="Flow Rates &amp; Graduates by Lev 3" sheetId="144" r:id="rId144"/>
    <sheet name="Flow Rates &amp; Graduates by Lev 4" sheetId="145" r:id="rId145"/>
    <sheet name="Flow Rates &amp; Graduates by Lev 5" sheetId="146" r:id="rId146"/>
    <sheet name="Student Flow Rates (Both) 2018-" sheetId="147" r:id="rId147"/>
    <sheet name="Student Flow Rates (Male) 2018-" sheetId="148" r:id="rId148"/>
    <sheet name="Student Flow Rates by Grade 201" sheetId="149" r:id="rId149"/>
    <sheet name="Survival &amp; Completion Rates 201" sheetId="150" r:id="rId150"/>
    <sheet name="Gender Parity Index 2019-2020 1" sheetId="151" r:id="rId151"/>
    <sheet name="Appendix - Historical Data 19 1" sheetId="152" r:id="rId152"/>
    <sheet name="National Summary - Schools, C 4" sheetId="153" r:id="rId153"/>
    <sheet name="Schools, Classes &amp; Staff by P 4" sheetId="154" r:id="rId154"/>
    <sheet name="Colleges by Province -Pri 2020-" sheetId="155" r:id="rId155"/>
    <sheet name="Lycees by Province -Pri 2020-20" sheetId="156" r:id="rId156"/>
    <sheet name="Pre-Schools by Province -Pri  2" sheetId="157" r:id="rId157"/>
    <sheet name="Primary Schools by Province - 3" sheetId="158" r:id="rId158"/>
    <sheet name="Secondary Schools by Province 4" sheetId="159" r:id="rId159"/>
    <sheet name="Schools by Highest Grade Taug 4" sheetId="160" r:id="rId160"/>
    <sheet name="Enrollment &amp; Repeaters by Gra 4" sheetId="161" r:id="rId161"/>
    <sheet name="Enrollment by Level (incl. Priv" sheetId="162" r:id="rId162"/>
    <sheet name="Enrollment by Level 2020-2021 -" sheetId="163" r:id="rId163"/>
    <sheet name="New Intake &amp; Enrollment by Ag 8" sheetId="164" r:id="rId164"/>
    <sheet name="New Intake &amp; Enrollment by Ag 9" sheetId="165" r:id="rId165"/>
    <sheet name="Pre-School Enrollment by Age  3" sheetId="166" r:id="rId166"/>
    <sheet name="Pre-School Enrollment by Step 4" sheetId="167" r:id="rId167"/>
    <sheet name="Non-Teaching Staff by Educati 2" sheetId="168" r:id="rId168"/>
    <sheet name="Teaching Staff by Education L 2" sheetId="169" r:id="rId169"/>
    <sheet name="Learning Facilities (Computer 2" sheetId="170" r:id="rId170"/>
    <sheet name="School Building Conditions -P 3" sheetId="171" r:id="rId171"/>
    <sheet name="School Space &amp; Sports Facilit 4" sheetId="172" r:id="rId172"/>
    <sheet name="School Fees - Pre-School (by  2" sheetId="173" r:id="rId173"/>
    <sheet name="School Fees - Primary (by Gra 2" sheetId="174" r:id="rId174"/>
    <sheet name="School Fees - Secondary (by G 2" sheetId="175" r:id="rId175"/>
    <sheet name="Access &amp; Admission Rate Indic 2" sheetId="176" r:id="rId176"/>
    <sheet name="Completion Rate 2021-2022 -Pri " sheetId="177" r:id="rId177"/>
    <sheet name="Gender Parity Index 2020-2021 -" sheetId="178" r:id="rId178"/>
    <sheet name="National Summary - Schools, C 5" sheetId="179" r:id="rId179"/>
    <sheet name="Schools, Classes &amp; Staff by P 5" sheetId="180" r:id="rId180"/>
    <sheet name="All Lycees by Province -Pub 202" sheetId="181" r:id="rId181"/>
    <sheet name="Colleges by Province -Pub 2020-" sheetId="182" r:id="rId182"/>
    <sheet name="Lycees (Gr 10-12 only) by Pro 2" sheetId="183" r:id="rId183"/>
    <sheet name="Pre-Schools by Province -Pub  2" sheetId="184" r:id="rId184"/>
    <sheet name="Primary Schools by Province - 4" sheetId="185" r:id="rId185"/>
    <sheet name="Secondary Schools by Province 5" sheetId="186" r:id="rId186"/>
    <sheet name="Classes by Grade &amp; Education  2" sheetId="187" r:id="rId187"/>
    <sheet name="Cluster Schools &amp; Schools in  2" sheetId="188" r:id="rId188"/>
    <sheet name="School Characteristics &amp; Prin 3" sheetId="189" r:id="rId189"/>
    <sheet name="Schools by Highest Grade Taug 5" sheetId="190" r:id="rId190"/>
    <sheet name="Enrollment &amp; Repeaters by Gra 5" sheetId="191" r:id="rId191"/>
    <sheet name="Enrollment by Level 2020-2021 1" sheetId="192" r:id="rId192"/>
    <sheet name="Enrollment by Level 2021-2022 -" sheetId="193" r:id="rId193"/>
    <sheet name="New Intake &amp; Enrollment by A 10" sheetId="194" r:id="rId194"/>
    <sheet name="New Intake &amp; Enrollment by A 11" sheetId="195" r:id="rId195"/>
    <sheet name="Pre-School Enrollment by Step 5" sheetId="196" r:id="rId196"/>
    <sheet name="Provincial &amp; District Educati 2" sheetId="197" r:id="rId197"/>
    <sheet name="School Staff - Special Functi 2" sheetId="198" r:id="rId198"/>
    <sheet name="School Staff by Education Lev 2" sheetId="199" r:id="rId199"/>
    <sheet name="Teaching Staff - Pedagogical  2" sheetId="200" r:id="rId200"/>
    <sheet name="Classroom Conditions &amp; Office 2" sheetId="201" r:id="rId201"/>
    <sheet name="Community Participation &amp; Fin 2" sheetId="202" r:id="rId202"/>
    <sheet name="School Building Conditions -P 4" sheetId="203" r:id="rId203"/>
    <sheet name="School Space &amp; Sports Facilit 5" sheetId="204" r:id="rId204"/>
    <sheet name="Access &amp; Enrollment Ratios fo 2" sheetId="205" r:id="rId205"/>
    <sheet name="Access &amp; Equity Indicators -  2" sheetId="206" r:id="rId206"/>
    <sheet name="Enrollment Indicators - by Pr 2" sheetId="207" r:id="rId207"/>
    <sheet name="Gross &amp; Net Enrollment Ratios 2" sheetId="208" r:id="rId208"/>
    <sheet name="Indicators on Primary Schools 2" sheetId="209" r:id="rId209"/>
    <sheet name="Indicators on Schools - Natio 2" sheetId="210" r:id="rId210"/>
    <sheet name="Indicators on Schools - by Pr 2" sheetId="211" r:id="rId211"/>
    <sheet name="Indicators on Secondary Schoo 2" sheetId="212" r:id="rId212"/>
    <sheet name="Primary Student &amp; Staff Indic 2" sheetId="213" r:id="rId213"/>
    <sheet name="School-Going Age Population &amp; 2" sheetId="214" r:id="rId214"/>
    <sheet name="Secondary Student &amp; Staff Ind 2" sheetId="215" r:id="rId215"/>
    <sheet name="Student &amp; Staff Indicators -  3" sheetId="216" r:id="rId216"/>
    <sheet name="Student &amp; Staff Indicators -  4" sheetId="217" r:id="rId217"/>
    <sheet name="Flow Rates &amp; Graduates by Lev 6" sheetId="218" r:id="rId218"/>
    <sheet name="Flow Rates &amp; Graduates by Lev 7" sheetId="219" r:id="rId219"/>
    <sheet name="Flow Rates &amp; Graduates by Lev 8" sheetId="220" r:id="rId220"/>
    <sheet name="Student Flow Rates (Both) 2020-" sheetId="221" r:id="rId221"/>
    <sheet name="Student Flow Rates (Female) 202" sheetId="222" r:id="rId222"/>
    <sheet name="Student Flow Rates (Male) 2020-" sheetId="223" r:id="rId223"/>
    <sheet name="Survival &amp; Completion Rates 202" sheetId="224" r:id="rId224"/>
    <sheet name="Gender Parity Index 2021-2022 -" sheetId="225" r:id="rId225"/>
    <sheet name="Appendix - Historical Data 19 2" sheetId="226" r:id="rId226"/>
  </sheets>
  <calcPr calcId="181029"/>
</workbook>
</file>

<file path=xl/calcChain.xml><?xml version="1.0" encoding="utf-8"?>
<calcChain xmlns="http://schemas.openxmlformats.org/spreadsheetml/2006/main">
  <c r="D240" i="1" l="1"/>
  <c r="D239" i="1"/>
  <c r="D238" i="1"/>
  <c r="D236" i="1"/>
  <c r="D235" i="1"/>
  <c r="D234" i="1"/>
  <c r="D233" i="1"/>
  <c r="D232" i="1"/>
  <c r="D231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1" i="1"/>
  <c r="D160" i="1"/>
  <c r="D159" i="1"/>
  <c r="D158" i="1"/>
  <c r="D157" i="1"/>
  <c r="D156" i="1"/>
  <c r="D155" i="1"/>
  <c r="D154" i="1"/>
  <c r="D153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7" i="1"/>
  <c r="D16" i="1"/>
  <c r="D15" i="1"/>
  <c r="D14" i="1"/>
  <c r="D13" i="1"/>
  <c r="D12" i="1"/>
  <c r="D11" i="1"/>
  <c r="D10" i="1"/>
  <c r="D9" i="1"/>
  <c r="D8" i="1"/>
  <c r="D7" i="1"/>
  <c r="D6" i="1"/>
</calcChain>
</file>

<file path=xl/sharedStrings.xml><?xml version="1.0" encoding="utf-8"?>
<sst xmlns="http://schemas.openxmlformats.org/spreadsheetml/2006/main" count="12058" uniqueCount="835">
  <si>
    <t>Cambodia Education Statistics — All Years Unified</t>
  </si>
  <si>
    <t>Category</t>
  </si>
  <si>
    <t>Sheet Description</t>
  </si>
  <si>
    <t>Open Sheet →</t>
  </si>
  <si>
    <t xml:space="preserve">  ▸  Overview</t>
  </si>
  <si>
    <t>Overview</t>
  </si>
  <si>
    <t>National Summary - Schools, Classes &amp; Staff [Pri 2018-2019]</t>
  </si>
  <si>
    <t>National Summary - Schools, Classes &amp; Staff [Pri 2019-2020]</t>
  </si>
  <si>
    <t>National Summary - Schools, Classes &amp; Staff [Pri 2020-2021]</t>
  </si>
  <si>
    <t>National Summary - Schools, Classes &amp; Staff [Pub 2017-2018]</t>
  </si>
  <si>
    <t>National Summary - Schools, Classes &amp; Staff [Pub 2019-2020]</t>
  </si>
  <si>
    <t>National Summary - Schools, Classes &amp; Staff [Pub 2020-2021]</t>
  </si>
  <si>
    <t>Schools, Classes &amp; Staff by Province [Pri 2018-2019]</t>
  </si>
  <si>
    <t>Schools, Classes &amp; Staff by Province [Pri 2019-2020]</t>
  </si>
  <si>
    <t>Schools, Classes &amp; Staff by Province [Pri 2020-2021]</t>
  </si>
  <si>
    <t>Schools, Classes &amp; Staff by Province [Pub 2017-2018]</t>
  </si>
  <si>
    <t>Schools, Classes &amp; Staff by Province [Pub 2019-2020]</t>
  </si>
  <si>
    <t>Schools, Classes &amp; Staff by Province [Pub 2020-2021]</t>
  </si>
  <si>
    <t xml:space="preserve">  ▸  School Types</t>
  </si>
  <si>
    <t>School Types</t>
  </si>
  <si>
    <t>All Lycees by Province [Pub 2017-2018]</t>
  </si>
  <si>
    <t>All Lycees by Province [Pub 2019-2020]</t>
  </si>
  <si>
    <t>All Lycees by Province [Pub 2020-2021]</t>
  </si>
  <si>
    <t>Colleges by Province [Pri 2018-2019]</t>
  </si>
  <si>
    <t>Colleges by Province [Pri 2019-2020]</t>
  </si>
  <si>
    <t>Colleges by Province [Pri 2020-2021]</t>
  </si>
  <si>
    <t>Colleges by Province [Pub 2017-2018]</t>
  </si>
  <si>
    <t>Colleges by Province [Pub 2019-2020]</t>
  </si>
  <si>
    <t>Colleges by Province [Pub 2020-2021]</t>
  </si>
  <si>
    <t>Lycees (Gr 10-12 only) by Province [Pub 2017-2018]</t>
  </si>
  <si>
    <t>Lycees (Gr 10-12 only) by Province [Pub 2019-2020]</t>
  </si>
  <si>
    <t>Lycees (Gr 10-12 only) by Province [Pub 2020-2021]</t>
  </si>
  <si>
    <t>Lycees by Province [Pri 2018-2019]</t>
  </si>
  <si>
    <t>Lycees by Province [Pri 2019-2020]</t>
  </si>
  <si>
    <t>Lycees by Province [Pri 2020-2021]</t>
  </si>
  <si>
    <t>Pre-Schools by Province [Pri 2018-2019]</t>
  </si>
  <si>
    <t>Pre-Schools by Province [Pri 2019-2020]</t>
  </si>
  <si>
    <t>Pre-Schools by Province [Pri 2020-2021]</t>
  </si>
  <si>
    <t>Pre-Schools by Province [Pub 2017-2018]</t>
  </si>
  <si>
    <t>Pre-Schools by Province [Pub 2019-2020]</t>
  </si>
  <si>
    <t>Pre-Schools by Province [Pub 2020-2021]</t>
  </si>
  <si>
    <t>Primary Schools by Province [Pri 2018-2019]</t>
  </si>
  <si>
    <t>Primary Schools by Province [Pri 2019-2020]</t>
  </si>
  <si>
    <t>Primary Schools by Province [Pri 2020-2021]</t>
  </si>
  <si>
    <t>Primary Schools by Province [Pub 2017-2018]</t>
  </si>
  <si>
    <t>Primary Schools by Province [Pub 2019-2020]</t>
  </si>
  <si>
    <t>Primary Schools by Province [Pub 2020-2021]</t>
  </si>
  <si>
    <t>Secondary Schools by Province [Pri 2018-2019]</t>
  </si>
  <si>
    <t>Secondary Schools by Province [Pri 2019-2020]</t>
  </si>
  <si>
    <t>Secondary Schools by Province [Pri 2020-2021]</t>
  </si>
  <si>
    <t>Secondary Schools by Province [Pub 2017-2018]</t>
  </si>
  <si>
    <t>Secondary Schools by Province [Pub 2019-2020]</t>
  </si>
  <si>
    <t>Secondary Schools by Province [Pub 2020-2021]</t>
  </si>
  <si>
    <t xml:space="preserve">  ▸  School Info</t>
  </si>
  <si>
    <t>School Info</t>
  </si>
  <si>
    <t>Classes by Grade &amp; Education Level [Pub 2017-2018]</t>
  </si>
  <si>
    <t>Classes by Grade &amp; Education Level [Pub 2019-2020]</t>
  </si>
  <si>
    <t>Classes by Grade &amp; Education Level [Pub 2020-2021]</t>
  </si>
  <si>
    <t>Cluster Schools &amp; Schools in Pagoda [Pub 2017-2018]</t>
  </si>
  <si>
    <t>Cluster Schools &amp; Schools in Pagoda [Pub 2019-2020]</t>
  </si>
  <si>
    <t>Cluster Schools &amp; Schools in Pagoda [Pub 2020-2021]</t>
  </si>
  <si>
    <t>School Characteristics &amp; Principals [Pri 2018-2019]</t>
  </si>
  <si>
    <t>School Characteristics &amp; Principals [Pub 2017-2018]</t>
  </si>
  <si>
    <t>School Characteristics &amp; Principals [Pub 2019-2020]</t>
  </si>
  <si>
    <t>School Characteristics &amp; Principals [Pub 2020-2021]</t>
  </si>
  <si>
    <t>Schools by Highest Grade Taught [Pri 2018-2019]</t>
  </si>
  <si>
    <t>Schools by Highest Grade Taught [Pri 2019-2020]</t>
  </si>
  <si>
    <t>Schools by Highest Grade Taught [Pri 2020-2021]</t>
  </si>
  <si>
    <t>Schools by Highest Grade Taught [Pub 2017-2018]</t>
  </si>
  <si>
    <t>Schools by Highest Grade Taught [Pub 2019-2020]</t>
  </si>
  <si>
    <t>Schools by Highest Grade Taught [Pub 2020-2021]</t>
  </si>
  <si>
    <t xml:space="preserve">  ▸  Enrollment</t>
  </si>
  <si>
    <t>Enrollment</t>
  </si>
  <si>
    <t>Enrollment &amp; Repeaters by Grade [Pri 2018-2019]</t>
  </si>
  <si>
    <t>Enrollment &amp; Repeaters by Grade [Pri 2019-2020]</t>
  </si>
  <si>
    <t>Enrollment &amp; Repeaters by Grade [Pri 2020-2021]</t>
  </si>
  <si>
    <t>Enrollment &amp; Repeaters by Grade [Pub 2017-2018]</t>
  </si>
  <si>
    <t>Enrollment &amp; Repeaters by Grade [Pub 2019-2020]</t>
  </si>
  <si>
    <t>Enrollment &amp; Repeaters by Grade [Pub 2020-2021]</t>
  </si>
  <si>
    <t>Enrollment by Level (incl. Private) [Pri 2020-2021]</t>
  </si>
  <si>
    <t>Enrollment by Level 2016-2017 [Pub 2017-2018]</t>
  </si>
  <si>
    <t>Enrollment by Level 2017-2018 [Pri 2018-2019]</t>
  </si>
  <si>
    <t>Enrollment by Level 2017-2018 [Pub 2017-2018]</t>
  </si>
  <si>
    <t>Enrollment by Level 2018-2019 [Pri 2018-2019]</t>
  </si>
  <si>
    <t>Enrollment by Level 2018-2019 [Pri 2019-2020]</t>
  </si>
  <si>
    <t>Enrollment by Level 2019-2020 [Pri 2019-2020]</t>
  </si>
  <si>
    <t>Enrollment by Level 2019-2020 [Pub 2019-2020]</t>
  </si>
  <si>
    <t>Enrollment by Level 2020-2021 [Pri 2020-2021]</t>
  </si>
  <si>
    <t>Enrollment by Level 2020-2021 [Pub 2020-2021]</t>
  </si>
  <si>
    <t>Enrollment by Level 2021-2022 [Pub 2020-2021]</t>
  </si>
  <si>
    <t>New Intake &amp; Enrollment by Age (Both) [Pri 2018-2019]</t>
  </si>
  <si>
    <t>New Intake &amp; Enrollment by Age (Both) [Pri 2019-2020]</t>
  </si>
  <si>
    <t>New Intake &amp; Enrollment by Age (Both) [Pri 2020-2021]</t>
  </si>
  <si>
    <t>New Intake &amp; Enrollment by Age (Both) [Pub 2017-2018]</t>
  </si>
  <si>
    <t>New Intake &amp; Enrollment by Age (Both) [Pub 2019-2020]</t>
  </si>
  <si>
    <t>New Intake &amp; Enrollment by Age (Both) [Pub 2020-2021]</t>
  </si>
  <si>
    <t>New Intake &amp; Enrollment by Age (Female) [Pri 2018-2019]</t>
  </si>
  <si>
    <t>New Intake &amp; Enrollment by Age (Female) [Pri 2019-2020]</t>
  </si>
  <si>
    <t>New Intake &amp; Enrollment by Age (Female) [Pri 2020-2021]</t>
  </si>
  <si>
    <t>New Intake &amp; Enrollment by Age (Female) [Pub 2017-2018]</t>
  </si>
  <si>
    <t>New Intake &amp; Enrollment by Age (Female) [Pub 2019-2020]</t>
  </si>
  <si>
    <t>New Intake &amp; Enrollment by Age (Female) [Pub 2020-2021]</t>
  </si>
  <si>
    <t>Pre-School Enrollment Rate by Age (3-5 yrs) [Pri 2018-2019]</t>
  </si>
  <si>
    <t>Pre-School Enrollment Rate by Age (3-5 yrs) [Pri 2019-2020]</t>
  </si>
  <si>
    <t>Pre-School Enrollment by Age (3-5 yrs) [Pri 2018-2019]</t>
  </si>
  <si>
    <t>Pre-School Enrollment by Age (3-5 yrs) [Pri 2019-2020]</t>
  </si>
  <si>
    <t>Pre-School Enrollment by Age (3-5 yrs) [Pri 2020-2021]</t>
  </si>
  <si>
    <t>Pre-School Enrollment by Age (3-5 yrs) [Pub 2019-2020]</t>
  </si>
  <si>
    <t>Pre-School Enrollment by Step [Pri 2018-2019]</t>
  </si>
  <si>
    <t>Pre-School Enrollment by Step [Pri 2019-2020]</t>
  </si>
  <si>
    <t>Pre-School Enrollment by Step [Pri 2020-2021]</t>
  </si>
  <si>
    <t>Pre-School Enrollment by Step [Pub 2017-2018]</t>
  </si>
  <si>
    <t>Pre-School Enrollment by Step [Pub 2019-2020]</t>
  </si>
  <si>
    <t>Pre-School Enrollment by Step [Pub 2020-2021]</t>
  </si>
  <si>
    <t xml:space="preserve">  ▸  Staff</t>
  </si>
  <si>
    <t>Staff</t>
  </si>
  <si>
    <t>Non-Teaching Staff by Education Level [Pri 2018-2019]</t>
  </si>
  <si>
    <t>Non-Teaching Staff by Education Level [Pri 2019-2020]</t>
  </si>
  <si>
    <t>Non-Teaching Staff by Education Level [Pri 2020-2021]</t>
  </si>
  <si>
    <t>Provincial &amp; District Educational Staff [Pub 2017-2018]</t>
  </si>
  <si>
    <t>Provincial &amp; District Educational Staff [Pub 2019-2020]</t>
  </si>
  <si>
    <t>Provincial &amp; District Educational Staff [Pub 2020-2021]</t>
  </si>
  <si>
    <t>School Staff - Special Functions [Pub 2017-2018]</t>
  </si>
  <si>
    <t>School Staff - Special Functions [Pub 2019-2020]</t>
  </si>
  <si>
    <t>School Staff - Special Functions [Pub 2020-2021]</t>
  </si>
  <si>
    <t>School Staff by Education Level [Pub 2017-2018]</t>
  </si>
  <si>
    <t>School Staff by Education Level [Pub 2019-2020]</t>
  </si>
  <si>
    <t>School Staff by Education Level [Pub 2020-2021]</t>
  </si>
  <si>
    <t>Teaching Staff - Pedagogical Training [Pub 2017-2018]</t>
  </si>
  <si>
    <t>Teaching Staff - Pedagogical Training [Pub 2019-2020]</t>
  </si>
  <si>
    <t>Teaching Staff - Pedagogical Training [Pub 2020-2021]</t>
  </si>
  <si>
    <t>Teaching Staff by Education Level [Pri 2018-2019]</t>
  </si>
  <si>
    <t>Teaching Staff by Education Level [Pri 2019-2020]</t>
  </si>
  <si>
    <t>Teaching Staff by Education Level [Pri 2020-2021]</t>
  </si>
  <si>
    <t xml:space="preserve">  ▸  Facilities</t>
  </si>
  <si>
    <t>Facilities</t>
  </si>
  <si>
    <t>Classroom Conditions &amp; Office/Library [Pub 2017-2018]</t>
  </si>
  <si>
    <t>Classroom Conditions &amp; Office/Library [Pub 2019-2020]</t>
  </si>
  <si>
    <t>Classroom Conditions &amp; Office/Library [Pub 2020-2021]</t>
  </si>
  <si>
    <t>Community Participation &amp; Financing [Pub 2017-2018]</t>
  </si>
  <si>
    <t>Community Participation &amp; Financing [Pub 2019-2020]</t>
  </si>
  <si>
    <t>Community Participation &amp; Financing [Pub 2020-2021]</t>
  </si>
  <si>
    <t>Learning Facilities (Computers, Library etc.) [Pri 2018-2019]</t>
  </si>
  <si>
    <t>Learning Facilities (Computers, Library etc.) [Pri 2019-2020]</t>
  </si>
  <si>
    <t>Learning Facilities (Computers, Library etc.) [Pri 2020-2021]</t>
  </si>
  <si>
    <t>School Building Conditions [Pri 2018-2019]</t>
  </si>
  <si>
    <t>School Building Conditions [Pri 2019-2020]</t>
  </si>
  <si>
    <t>School Building Conditions [Pri 2020-2021]</t>
  </si>
  <si>
    <t>School Building Conditions [Pub 2017-2018]</t>
  </si>
  <si>
    <t>School Building Conditions [Pub 2019-2020]</t>
  </si>
  <si>
    <t>School Building Conditions [Pub 2020-2021]</t>
  </si>
  <si>
    <t>School Space &amp; Sports Facilities [Pri 2018-2019]</t>
  </si>
  <si>
    <t>School Space &amp; Sports Facilities [Pri 2019-2020]</t>
  </si>
  <si>
    <t>School Space &amp; Sports Facilities [Pri 2020-2021]</t>
  </si>
  <si>
    <t>School Space &amp; Sports Facilities [Pub 2017-2018]</t>
  </si>
  <si>
    <t>School Space &amp; Sports Facilities [Pub 2019-2020]</t>
  </si>
  <si>
    <t>School Space &amp; Sports Facilities [Pub 2020-2021]</t>
  </si>
  <si>
    <t xml:space="preserve">  ▸  Fees</t>
  </si>
  <si>
    <t>Fees</t>
  </si>
  <si>
    <t>School Fees - Pre-School (by Step) [Pri 2018-2019]</t>
  </si>
  <si>
    <t>School Fees - Pre-School (by Step) [Pri 2019-2020]</t>
  </si>
  <si>
    <t>School Fees - Pre-School (by Step) [Pri 2020-2021]</t>
  </si>
  <si>
    <t>School Fees - Primary (by Grade) [Pri 2018-2019]</t>
  </si>
  <si>
    <t>School Fees - Primary (by Grade) [Pri 2019-2020]</t>
  </si>
  <si>
    <t>School Fees - Primary (by Grade) [Pri 2020-2021]</t>
  </si>
  <si>
    <t>School Fees - Secondary (by Grade) [Pri 2018-2019]</t>
  </si>
  <si>
    <t>School Fees - Secondary (by Grade) [Pri 2019-2020]</t>
  </si>
  <si>
    <t>School Fees - Secondary (by Grade) [Pri 2020-2021]</t>
  </si>
  <si>
    <t xml:space="preserve">  ▸  Indicators</t>
  </si>
  <si>
    <t>Indicators</t>
  </si>
  <si>
    <t>Access &amp; Admission Rate Indicators [Pri 2018-2019]</t>
  </si>
  <si>
    <t>Access &amp; Admission Rate Indicators [Pri 2019-2020]</t>
  </si>
  <si>
    <t>Access &amp; Admission Rate Indicators [Pri 2020-2021]</t>
  </si>
  <si>
    <t>Access &amp; Enrollment Ratios for Male - by Province [Pub 2017-2018]</t>
  </si>
  <si>
    <t>Access &amp; Enrollment Ratios for Male - by Province [Pub 2019-2020]</t>
  </si>
  <si>
    <t>Access &amp; Enrollment Ratios for Male - by Province [Pub 2020-2021]</t>
  </si>
  <si>
    <t>Access &amp; Equity Indicators - by Province [Pub 2017-2018]</t>
  </si>
  <si>
    <t>Access &amp; Equity Indicators - by Province [Pub 2019-2020]</t>
  </si>
  <si>
    <t>Access &amp; Equity Indicators - by Province [Pub 2020-2021]</t>
  </si>
  <si>
    <t>Enrollment Indicators - by Province [Pub 2017-2018]</t>
  </si>
  <si>
    <t>Enrollment Indicators - by Province [Pub 2019-2020]</t>
  </si>
  <si>
    <t>Enrollment Indicators - by Province [Pub 2020-2021]</t>
  </si>
  <si>
    <t>Gross &amp; Net Enrollment Ratios - by Province [Pub 2017-2018]</t>
  </si>
  <si>
    <t>Gross &amp; Net Enrollment Ratios - by Province [Pub 2019-2020]</t>
  </si>
  <si>
    <t>Gross &amp; Net Enrollment Ratios - by Province [Pub 2020-2021]</t>
  </si>
  <si>
    <t>Indicators on Primary Schools - by Province [Pub 2017-2018]</t>
  </si>
  <si>
    <t>Indicators on Primary Schools - by Province [Pub 2019-2020]</t>
  </si>
  <si>
    <t>Indicators on Primary Schools - by Province [Pub 2020-2021]</t>
  </si>
  <si>
    <t>Indicators on Schools - National [Pub 2017-2018]</t>
  </si>
  <si>
    <t>Indicators on Schools - National [Pub 2019-2020]</t>
  </si>
  <si>
    <t>Indicators on Schools - National [Pub 2020-2021]</t>
  </si>
  <si>
    <t>Indicators on Schools - by Province [Pub 2017-2018]</t>
  </si>
  <si>
    <t>Indicators on Schools - by Province [Pub 2019-2020]</t>
  </si>
  <si>
    <t>Indicators on Schools - by Province [Pub 2020-2021]</t>
  </si>
  <si>
    <t>Indicators on Secondary Schools - by Province [Pub 2017-2018]</t>
  </si>
  <si>
    <t>Indicators on Secondary Schools - by Province [Pub 2019-2020]</t>
  </si>
  <si>
    <t>Indicators on Secondary Schools - by Province [Pub 2020-2021]</t>
  </si>
  <si>
    <t>Primary Student &amp; Staff Indicators - by Province [Pub 2017-2018]</t>
  </si>
  <si>
    <t>Primary Student &amp; Staff Indicators - by Province [Pub 2019-2020]</t>
  </si>
  <si>
    <t>Primary Student &amp; Staff Indicators - by Province [Pub 2020-2021]</t>
  </si>
  <si>
    <t>School-Going Age Population &amp; Sex Ratios [Pub 2017-2018]</t>
  </si>
  <si>
    <t>School-Going Age Population &amp; Sex Ratios [Pub 2019-2020]</t>
  </si>
  <si>
    <t>School-Going Age Population &amp; Sex Ratios [Pub 2020-2021]</t>
  </si>
  <si>
    <t>Secondary Student &amp; Staff Indicators - by Province [Pub 2017-2018]</t>
  </si>
  <si>
    <t>Secondary Student &amp; Staff Indicators - by Province [Pub 2019-2020]</t>
  </si>
  <si>
    <t>Secondary Student &amp; Staff Indicators - by Province [Pub 2020-2021]</t>
  </si>
  <si>
    <t>Student &amp; Staff Indicators - National [Pub 2017-2018]</t>
  </si>
  <si>
    <t>Student &amp; Staff Indicators - National [Pub 2019-2020]</t>
  </si>
  <si>
    <t>Student &amp; Staff Indicators - National [Pub 2020-2021]</t>
  </si>
  <si>
    <t>Student &amp; Staff Indicators - by Province [Pub 2017-2018]</t>
  </si>
  <si>
    <t>Student &amp; Staff Indicators - by Province [Pub 2019-2020]</t>
  </si>
  <si>
    <t>Student &amp; Staff Indicators - by Province [Pub 2020-2021]</t>
  </si>
  <si>
    <t xml:space="preserve">  ▸  Student Flow</t>
  </si>
  <si>
    <t>Student Flow</t>
  </si>
  <si>
    <t>Completion Rate 2017-2018 [Pub 2017-2018]</t>
  </si>
  <si>
    <t>Completion Rate 2018-2019 [Pri 2018-2019]</t>
  </si>
  <si>
    <t>Completion Rate 2019-2020 [Pri 2019-2020]</t>
  </si>
  <si>
    <t>Completion Rate 2021-2022 [Pri 2020-2021]</t>
  </si>
  <si>
    <t>Flow Rates &amp; Graduates by Level (Both) 2016-2017 [Pub 2017-2018]</t>
  </si>
  <si>
    <t>Flow Rates &amp; Graduates by Level (Both) 2018-2019 [Pub 2019-2020]</t>
  </si>
  <si>
    <t>Flow Rates &amp; Graduates by Level (Both) 2019-2020 [Pub 2019-2020]</t>
  </si>
  <si>
    <t>Flow Rates &amp; Graduates by Level (Both) 2020-2021 [Pub 2020-2021]</t>
  </si>
  <si>
    <t>Flow Rates &amp; Graduates by Level (Female) 2016-2017 [Pub 2017-2018]</t>
  </si>
  <si>
    <t>Flow Rates &amp; Graduates by Level (Female) 2020-2021 [Pub 2020-2021]</t>
  </si>
  <si>
    <t>Flow Rates &amp; Graduates by Level (Male) 2016-2017 [Pub 2017-2018]</t>
  </si>
  <si>
    <t>Flow Rates &amp; Graduates by Level (Male) 2018-2019 [Pub 2019-2020]</t>
  </si>
  <si>
    <t>Flow Rates &amp; Graduates by Level (Male) 2020-2021 [Pub 2020-2021]</t>
  </si>
  <si>
    <t>Student Flow Rates (Both) 2017-2018 [Pub 2017-2018]</t>
  </si>
  <si>
    <t>Student Flow Rates (Both) 2018-2019 [Pub 2019-2020]</t>
  </si>
  <si>
    <t>Student Flow Rates (Both) 2020-2021 [Pub 2020-2021]</t>
  </si>
  <si>
    <t>Student Flow Rates (Female) 2016-2017 [Pub 2017-2018]</t>
  </si>
  <si>
    <t>Student Flow Rates (Female) 2020-2021 [Pub 2020-2021]</t>
  </si>
  <si>
    <t>Student Flow Rates (Male) 2016-2017 [Pub 2017-2018]</t>
  </si>
  <si>
    <t>Student Flow Rates (Male) 2018-2019 [Pub 2019-2020]</t>
  </si>
  <si>
    <t>Student Flow Rates (Male) 2020-2021 [Pub 2020-2021]</t>
  </si>
  <si>
    <t>Student Flow Rates by Grade 2019-2020 [Pub 2019-2020]</t>
  </si>
  <si>
    <t>Survival &amp; Completion Rates 2019-2020 [Pub 2019-2020]</t>
  </si>
  <si>
    <t>Survival &amp; Completion Rates 2020-2021 [Pub 2020-2021]</t>
  </si>
  <si>
    <t xml:space="preserve">  ▸  Gender &amp; Equity</t>
  </si>
  <si>
    <t>Gender &amp; Equity</t>
  </si>
  <si>
    <t>Gender Parity Index 2017-2018 [Pub 2017-2018]</t>
  </si>
  <si>
    <t>Gender Parity Index 2018-2019 [Pri 2018-2019]</t>
  </si>
  <si>
    <t>Gender Parity Index 2019-2020 [Pri 2019-2020]</t>
  </si>
  <si>
    <t>Gender Parity Index 2019-2020 [Pub 2019-2020]</t>
  </si>
  <si>
    <t>Gender Parity Index 2020-2021 [Pri 2020-2021]</t>
  </si>
  <si>
    <t>Gender Parity Index 2021-2022 [Pub 2020-2021]</t>
  </si>
  <si>
    <t xml:space="preserve">  ▸  Reference</t>
  </si>
  <si>
    <t>Reference</t>
  </si>
  <si>
    <t>Appendix - Historical Data 1979 to 2018 [Pub 2017-2018]</t>
  </si>
  <si>
    <t>Appendix - Historical Data 1979 to 2020 [Pub 2019-2020]</t>
  </si>
  <si>
    <t>Appendix - Historical Data 1979 to 2021 [Pub 2020-2021]</t>
  </si>
  <si>
    <t>Kingdom of Cambodia</t>
  </si>
  <si>
    <t>Table 1: Schools, Classes, Students and Staff</t>
  </si>
  <si>
    <t>Particulars</t>
  </si>
  <si>
    <t>Number of</t>
  </si>
  <si>
    <t>Disadv.</t>
  </si>
  <si>
    <t>Classes</t>
  </si>
  <si>
    <t>Repeaters</t>
  </si>
  <si>
    <t>Teaching Staff</t>
  </si>
  <si>
    <t>Non-Teaching Staff</t>
  </si>
  <si>
    <t>Total Staff</t>
  </si>
  <si>
    <t>Schools</t>
  </si>
  <si>
    <t>in Pagoda</t>
  </si>
  <si>
    <t>Total</t>
  </si>
  <si>
    <t>Girl</t>
  </si>
  <si>
    <t>Female</t>
  </si>
  <si>
    <t>Whole Kingdom</t>
  </si>
  <si>
    <t>By Area of Location:
-    Urban Area</t>
  </si>
  <si>
    <t>-    Rural Area</t>
  </si>
  <si>
    <t>By Type of School &amp; Edn. Level :
-    Pre-School</t>
  </si>
  <si>
    <t>-    Primary School</t>
  </si>
  <si>
    <t>-    College (Grade 7-9)</t>
  </si>
  <si>
    <t>-    Lycee (Grade 10-12)</t>
  </si>
  <si>
    <t>-    Lycee (Grade 7-12)</t>
  </si>
  <si>
    <t>-    Lower Secondary Level  (Grade 7-9)</t>
  </si>
  <si>
    <t>-    Upper Secondary Level  (Grade 10-12)</t>
  </si>
  <si>
    <t>Characteristics of Primary Schools:
-    Cluster - core school</t>
  </si>
  <si>
    <t>-    Cluster - satellite school</t>
  </si>
  <si>
    <t>-    School not in cluster</t>
  </si>
  <si>
    <t>-    Annex school</t>
  </si>
  <si>
    <t>-    School in Pagoda</t>
  </si>
  <si>
    <t>Disadvantaged school (All Level)</t>
  </si>
  <si>
    <t>Table 2: Schools, Classes, Students and Staff by Province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</si>
  <si>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</si>
  <si>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</si>
  <si>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</si>
  <si>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</si>
  <si>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</si>
  <si>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</si>
  <si>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</si>
  <si>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</si>
  <si>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</si>
  <si>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</si>
  <si>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</si>
  <si>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</si>
  <si>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</si>
  <si>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</si>
  <si>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</si>
  <si>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</si>
  <si>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</si>
  <si>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</si>
  <si>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</si>
  <si>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</si>
  <si>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</si>
  <si>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</si>
  <si>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</si>
  <si>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</si>
  <si>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</si>
  <si>
    <t>-  Urban Area</t>
  </si>
  <si>
    <t>-  Rural Area</t>
  </si>
  <si>
    <t>Table 6: All Lycees, Classes, Students and Staff by Province</t>
  </si>
  <si>
    <t>Total  Staff</t>
  </si>
  <si>
    <t>School</t>
  </si>
  <si>
    <t>Classrooms</t>
  </si>
  <si>
    <t>Table 5: Colleges, Classes, Students and Staff by Province</t>
  </si>
  <si>
    <t>Table 7: Lycees with grade 10-12 only, Classes, Students and Staff by Province</t>
  </si>
  <si>
    <t>Number of School</t>
  </si>
  <si>
    <t>G.10-12</t>
  </si>
  <si>
    <t>Whole Province</t>
  </si>
  <si>
    <t>Table 3: Pre- Schools, Classes, Students and Staff by Province</t>
  </si>
  <si>
    <t>Seperated</t>
  </si>
  <si>
    <t>Teaching Staff with out trainning</t>
  </si>
  <si>
    <t>Pre-Schools</t>
  </si>
  <si>
    <t>Table 4: Primary Schools, Classes, Students and Staff by Province</t>
  </si>
  <si>
    <t>Table 8: Secondary Schools, Classes, Students and Staff by Province</t>
  </si>
  <si>
    <t>Table 12: Number of Classes by Grade and Education level</t>
  </si>
  <si>
    <t>Pre-school</t>
  </si>
  <si>
    <t>Primary School</t>
  </si>
  <si>
    <t>Lower Secondary</t>
  </si>
  <si>
    <t>Upper Secondary</t>
  </si>
  <si>
    <t>Low</t>
  </si>
  <si>
    <t>Med</t>
  </si>
  <si>
    <t>High</t>
  </si>
  <si>
    <t>Mix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</si>
  <si>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</si>
  <si>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</si>
  <si>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</si>
  <si>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</si>
  <si>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</si>
  <si>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</si>
  <si>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</si>
  <si>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</si>
  <si>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</si>
  <si>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</si>
  <si>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</si>
  <si>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</si>
  <si>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Primary</t>
  </si>
  <si>
    <t>L.Sec</t>
  </si>
  <si>
    <t>U.Sec</t>
  </si>
  <si>
    <t>Table 10: Number of Cluster schools and Schools in Pagoda</t>
  </si>
  <si>
    <t>Number of Primary Schools</t>
  </si>
  <si>
    <t>Number of Cluster Schools</t>
  </si>
  <si>
    <t>Satelite School</t>
  </si>
  <si>
    <t>Number of schools in Pagoda</t>
  </si>
  <si>
    <t>Pre school</t>
  </si>
  <si>
    <t>Junior high school</t>
  </si>
  <si>
    <t>Senior high school</t>
  </si>
  <si>
    <t>Table 9: Characteristics of Schools and School Principals</t>
  </si>
  <si>
    <t>Number of Schools</t>
  </si>
  <si>
    <t>2 - Shift</t>
  </si>
  <si>
    <t>Floating</t>
  </si>
  <si>
    <t>Attached</t>
  </si>
  <si>
    <t>Schools Without</t>
  </si>
  <si>
    <t>Characteristics of School Principals (Incharge)</t>
  </si>
  <si>
    <t>Pre-Sch.</t>
  </si>
  <si>
    <t>College</t>
  </si>
  <si>
    <t>Lycee</t>
  </si>
  <si>
    <t>Water Sup.</t>
  </si>
  <si>
    <t>Latrine</t>
  </si>
  <si>
    <t>Avg. Age</t>
  </si>
  <si>
    <t>Avg.Service</t>
  </si>
  <si>
    <t>U.Sec+ Ed.</t>
  </si>
  <si>
    <t>Table 11: Number of Schools by Highest Grade Taught</t>
  </si>
  <si>
    <t>Mixed Step</t>
  </si>
  <si>
    <t>Table 16: Enrollment and Repeaters by Grade</t>
  </si>
  <si>
    <t>Enrollment in Grade 1</t>
  </si>
  <si>
    <t>Repeaters in Grade 1</t>
  </si>
  <si>
    <t>Enrollment in Grade 2</t>
  </si>
  <si>
    <t>Repeaters in Grade 2</t>
  </si>
  <si>
    <t>Enrollment in Grade 3</t>
  </si>
  <si>
    <t>Repeaters in Grade 3</t>
  </si>
  <si>
    <t>Enrollment in Grade 4</t>
  </si>
  <si>
    <t>Repeaters in Grade 4</t>
  </si>
  <si>
    <t>Enrollment in Grade 5</t>
  </si>
  <si>
    <t>Repeaters in Grade 5</t>
  </si>
  <si>
    <t>Enrollment in Grade 6</t>
  </si>
  <si>
    <t>Repeaters in Grade 6</t>
  </si>
  <si>
    <t>Enrollment in Grade 7</t>
  </si>
  <si>
    <t>Repeaters in Grade 7</t>
  </si>
  <si>
    <t>Enrollment in Grade 8</t>
  </si>
  <si>
    <t>Repeaters in Grade 8</t>
  </si>
  <si>
    <t>Enrollment in Grade 9</t>
  </si>
  <si>
    <t>Repeaters in Grade 9</t>
  </si>
  <si>
    <t>Enrollment in Grade 10</t>
  </si>
  <si>
    <t>Repeaters in Grade 10</t>
  </si>
  <si>
    <t>Enrollment in Grade 11</t>
  </si>
  <si>
    <t>Repeaters in Grade 11</t>
  </si>
  <si>
    <t>Enrollment in Grade 12</t>
  </si>
  <si>
    <t>Repeaters in Grade 12</t>
  </si>
  <si>
    <t>Table 13: Enrollment by Level of Education, 2016/2017</t>
  </si>
  <si>
    <t>Lower Sec.</t>
  </si>
  <si>
    <t>Upper Sec.</t>
  </si>
  <si>
    <t>% Female</t>
  </si>
  <si>
    <t>All Level</t>
  </si>
  <si>
    <t>Table 14: Enrollment by Level of Education, 2017/2018</t>
  </si>
  <si>
    <t>Table 17: New Intake and Enrollment by Level and Age (Both Sexes)</t>
  </si>
  <si>
    <t>Grade 1 Intake</t>
  </si>
  <si>
    <t>Primary Enrollment</t>
  </si>
  <si>
    <t>Grade 7 Intake</t>
  </si>
  <si>
    <t>L. Sec. Enrollment</t>
  </si>
  <si>
    <t>Grade 10 Intake</t>
  </si>
  <si>
    <t>U. Sec. Enrollment</t>
  </si>
  <si>
    <t>% Over-age Enrollment in</t>
  </si>
  <si>
    <t>Aged 6</t>
  </si>
  <si>
    <t>Aged 11+</t>
  </si>
  <si>
    <t>Aged 12</t>
  </si>
  <si>
    <t>Aged 14+</t>
  </si>
  <si>
    <t>Aged 15</t>
  </si>
  <si>
    <t>Aged 17+</t>
  </si>
  <si>
    <t>L. Sec.</t>
  </si>
  <si>
    <t>U. Sec.</t>
  </si>
  <si>
    <t>Table 18: New Intake and Enrollment by Level and Age (Female)</t>
  </si>
  <si>
    <t>Table 15: Pre-School Enrollment</t>
  </si>
  <si>
    <t>Lowest Step</t>
  </si>
  <si>
    <t>Medium Step</t>
  </si>
  <si>
    <t>Highest Step</t>
  </si>
  <si>
    <t>Pre-School</t>
  </si>
  <si>
    <t>Table 26: Educational Staff in Province and District Offices and Schools</t>
  </si>
  <si>
    <t>Director of the</t>
  </si>
  <si>
    <t>Provincial Edn. Service</t>
  </si>
  <si>
    <t>District Edn. Office</t>
  </si>
  <si>
    <t>Teaching Staff at Schools</t>
  </si>
  <si>
    <t>Non-Tch. Staff at Schools</t>
  </si>
  <si>
    <t>Provincial Education Service</t>
  </si>
  <si>
    <t>SDOEUNG TONGHOEUNG</t>
  </si>
  <si>
    <t>NGY SET</t>
  </si>
  <si>
    <t>LY MENGSAN</t>
  </si>
  <si>
    <t>NHEM SAVAT</t>
  </si>
  <si>
    <t>THAN THARIN</t>
  </si>
  <si>
    <t>CHOU VUNTHY</t>
  </si>
  <si>
    <t>TAK HAP</t>
  </si>
  <si>
    <t>CHENG SAM UL</t>
  </si>
  <si>
    <t>NGOUN CHANSOCHEATA</t>
  </si>
  <si>
    <t>NGET LEOUNG</t>
  </si>
  <si>
    <t>LAY BORA</t>
  </si>
  <si>
    <t>TIM SANGVAT</t>
  </si>
  <si>
    <t>PECH RATANA</t>
  </si>
  <si>
    <t>TANG THEARA</t>
  </si>
  <si>
    <t>HEM SINARETH</t>
  </si>
  <si>
    <t>KEO LAY</t>
  </si>
  <si>
    <t>CHENG LIMHORN</t>
  </si>
  <si>
    <t>CHHUN SOPHAL</t>
  </si>
  <si>
    <t>LY SOKUNTHY</t>
  </si>
  <si>
    <t>KHATH SAMAL</t>
  </si>
  <si>
    <t>SAY TITYAVONG</t>
  </si>
  <si>
    <t>HEANG POLY</t>
  </si>
  <si>
    <t>KHIEV SAM OL</t>
  </si>
  <si>
    <t>LOR VIRITH</t>
  </si>
  <si>
    <t>IN POUVSAMBATH</t>
  </si>
  <si>
    <t>- Urban Area</t>
  </si>
  <si>
    <t>- Rural Area</t>
  </si>
  <si>
    <t>Table 20: School Staff with Special Functions</t>
  </si>
  <si>
    <t>Number of Schools with</t>
  </si>
  <si>
    <t>Literacy</t>
  </si>
  <si>
    <t>Contracted</t>
  </si>
  <si>
    <t>Secretary</t>
  </si>
  <si>
    <t>Librarian</t>
  </si>
  <si>
    <t>Home.Eco.</t>
  </si>
  <si>
    <t>Arts</t>
  </si>
  <si>
    <t>Agri.</t>
  </si>
  <si>
    <t>Sports</t>
  </si>
  <si>
    <t>ICT</t>
  </si>
  <si>
    <t>Account</t>
  </si>
  <si>
    <t>Laboratory</t>
  </si>
  <si>
    <t>Youth</t>
  </si>
  <si>
    <t>Teachers</t>
  </si>
  <si>
    <t>Table 19: School Staff by Education and Pedagogical Training</t>
  </si>
  <si>
    <t>Education Level of Teaching Staff</t>
  </si>
  <si>
    <t>Education Level of Non-Teaching Staff</t>
  </si>
  <si>
    <t>Teaching Staff without Pedagogy Training</t>
  </si>
  <si>
    <t>L.Sec.</t>
  </si>
  <si>
    <t>U.Sec.</t>
  </si>
  <si>
    <t>Graduate</t>
  </si>
  <si>
    <t>Post
Gaduate</t>
  </si>
  <si>
    <t>PhD</t>
  </si>
  <si>
    <t>Post
Graduate</t>
  </si>
  <si>
    <t>Table 21: Teaching Staff and Pedagogical Trainning</t>
  </si>
  <si>
    <t>Preschool Level</t>
  </si>
  <si>
    <t>Primary Level</t>
  </si>
  <si>
    <t>Secondary Level</t>
  </si>
  <si>
    <t>w/o Pedag.</t>
  </si>
  <si>
    <t>Training</t>
  </si>
  <si>
    <t>Table 23: Condition of Classrooms and Existence of Separate School Office and Library</t>
  </si>
  <si>
    <t>Number of Classrooms</t>
  </si>
  <si>
    <t>Classrooms Without Good</t>
  </si>
  <si>
    <t>Schools with Separate</t>
  </si>
  <si>
    <t>New Repaired</t>
  </si>
  <si>
    <t>New Constr.</t>
  </si>
  <si>
    <t>Floor</t>
  </si>
  <si>
    <t>Roof</t>
  </si>
  <si>
    <t>Wall</t>
  </si>
  <si>
    <t>Office</t>
  </si>
  <si>
    <t>Library</t>
  </si>
  <si>
    <t>Table 25: Community Participation and Financing</t>
  </si>
  <si>
    <t>Parent Association</t>
  </si>
  <si>
    <t>Commu.</t>
  </si>
  <si>
    <t>Teaching</t>
  </si>
  <si>
    <t>PB Fund (Riel)</t>
  </si>
  <si>
    <t>Number of Schools Obtaining Funds from</t>
  </si>
  <si>
    <t>Exists</t>
  </si>
  <si>
    <t>Held Meet.</t>
  </si>
  <si>
    <t>Monks</t>
  </si>
  <si>
    <t>per Student</t>
  </si>
  <si>
    <t>per School</t>
  </si>
  <si>
    <t>Sch. Income</t>
  </si>
  <si>
    <t>Community</t>
  </si>
  <si>
    <t>Gvt. For building</t>
  </si>
  <si>
    <t>Abroad</t>
  </si>
  <si>
    <t>IOs/NGOs</t>
  </si>
  <si>
    <t>Table 22: Condition of School Buildings</t>
  </si>
  <si>
    <t>Total Number of</t>
  </si>
  <si>
    <t>Concrete/Brick Structure</t>
  </si>
  <si>
    <t>Wooden Structure</t>
  </si>
  <si>
    <t>Bamboo Structure</t>
  </si>
  <si>
    <t>New Buildings</t>
  </si>
  <si>
    <t>Buildings Without Good</t>
  </si>
  <si>
    <t>Buildings</t>
  </si>
  <si>
    <t>Rooms</t>
  </si>
  <si>
    <t>Repaired</t>
  </si>
  <si>
    <t>Constructed</t>
  </si>
  <si>
    <t>Table 24: School Space and Sports Facilities</t>
  </si>
  <si>
    <t>School Area (m2)</t>
  </si>
  <si>
    <t>Cl.room Area</t>
  </si>
  <si>
    <t>Pre-School with</t>
  </si>
  <si>
    <t>Schools with Sport Ground, Equipment and Teams / Player for</t>
  </si>
  <si>
    <t>Land</t>
  </si>
  <si>
    <t>Playground</t>
  </si>
  <si>
    <t>Sport Facility</t>
  </si>
  <si>
    <t>Volleyball</t>
  </si>
  <si>
    <t>Football</t>
  </si>
  <si>
    <t>Basketball</t>
  </si>
  <si>
    <t>Climb.Ropes</t>
  </si>
  <si>
    <t>Shotput</t>
  </si>
  <si>
    <t>High Jump</t>
  </si>
  <si>
    <t>Long Jump</t>
  </si>
  <si>
    <t>Running</t>
  </si>
  <si>
    <t>Table12: Indicators on Access, Gross and Net Enrolment Ratios by Province for Male</t>
  </si>
  <si>
    <t>Gross Admission</t>
  </si>
  <si>
    <t>Net Admission</t>
  </si>
  <si>
    <t>% Over-age (6+)</t>
  </si>
  <si>
    <t>Transition Rate</t>
  </si>
  <si>
    <t>Gross Enrollment Rate</t>
  </si>
  <si>
    <t>Net Enrollment Rate</t>
  </si>
  <si>
    <t>Rate</t>
  </si>
  <si>
    <t>Admission</t>
  </si>
  <si>
    <t>to Lower Sec.
2016/2017</t>
  </si>
  <si>
    <t>to Upper Sec.
2016/2017</t>
  </si>
  <si>
    <t>Table 10: Indicators on Access and Equity by Province</t>
  </si>
  <si>
    <t>Gross Admission Rate</t>
  </si>
  <si>
    <t>Net Admission Rate</t>
  </si>
  <si>
    <t>% Over-age (6+) Admission</t>
  </si>
  <si>
    <t>Transition Rate to Lower Sec.
2016/2017</t>
  </si>
  <si>
    <t>Transition Rate to Upper Sec.
2016/2017</t>
  </si>
  <si>
    <t>Table 9: Indicators on Enrollment by Province</t>
  </si>
  <si>
    <t>% Repeaters (Total)</t>
  </si>
  <si>
    <t>% Over-age Enrollment (Total)</t>
  </si>
  <si>
    <t>% Repeaters (Girl)</t>
  </si>
  <si>
    <t>% Over-age Enrollment  (Girl)</t>
  </si>
  <si>
    <t>Table 11: Gross and Net Enrollment Ratios by Province</t>
  </si>
  <si>
    <t>Gross Enrollment Rate (Total)</t>
  </si>
  <si>
    <t>Net Enrollment Rate (Total)</t>
  </si>
  <si>
    <t>Gross Enrollment Rate (Girl)</t>
  </si>
  <si>
    <t>Net Enrollment Rate (Girl)</t>
  </si>
  <si>
    <t>Table 3:  Indicators on Primary Schools by Province</t>
  </si>
  <si>
    <t>Pupils</t>
  </si>
  <si>
    <t>Percentage of Schools</t>
  </si>
  <si>
    <t>per</t>
  </si>
  <si>
    <t>2 - shift</t>
  </si>
  <si>
    <t>w/o Water</t>
  </si>
  <si>
    <t>w/o Latrine</t>
  </si>
  <si>
    <t>Table 1: Indicators on Schools</t>
  </si>
  <si>
    <t>-    College</t>
  </si>
  <si>
    <t>-    Lycee</t>
  </si>
  <si>
    <t>-    Lower Secondary Level</t>
  </si>
  <si>
    <t>-    Upper Secondary Level</t>
  </si>
  <si>
    <t>Table 2:  Indicators on Schools by Province</t>
  </si>
  <si>
    <t>w/o Toilet</t>
  </si>
  <si>
    <t>Table 4:  Indicators on Secondary Schools by Province</t>
  </si>
  <si>
    <t>Table 7: Indicators on Primary Students and Staff by Province</t>
  </si>
  <si>
    <t>Pupil</t>
  </si>
  <si>
    <t>Classroom</t>
  </si>
  <si>
    <t>Percentage of</t>
  </si>
  <si>
    <t>Percentage of Female in</t>
  </si>
  <si>
    <t>Teacher</t>
  </si>
  <si>
    <t>Class</t>
  </si>
  <si>
    <t>Area (m2)</t>
  </si>
  <si>
    <t>Non-teaching</t>
  </si>
  <si>
    <t>Ratio</t>
  </si>
  <si>
    <t>per Pupil</t>
  </si>
  <si>
    <t>Table 27: School-Going Age Population and Respective Sex-Ratios</t>
  </si>
  <si>
    <t>Aged 6-11</t>
  </si>
  <si>
    <t>Aged 12-14</t>
  </si>
  <si>
    <t>Aged 15-17</t>
  </si>
  <si>
    <t>Sex-Ratio of Population</t>
  </si>
  <si>
    <t>6-11</t>
  </si>
  <si>
    <t>12-14</t>
  </si>
  <si>
    <t>15-17</t>
  </si>
  <si>
    <t>Table 8: Indicators on Secondary Students and Staff by Province</t>
  </si>
  <si>
    <t>Table 5:  Indicators on Students and Staff</t>
  </si>
  <si>
    <t>Table 6: Indicators on Students and Staff by Province</t>
  </si>
  <si>
    <t>Percentage of Total Students in</t>
  </si>
  <si>
    <t>Lower</t>
  </si>
  <si>
    <t>Upper</t>
  </si>
  <si>
    <t>Non-tching</t>
  </si>
  <si>
    <t>Secondary</t>
  </si>
  <si>
    <t>Table 25:  Completion Rate 2017/2018</t>
  </si>
  <si>
    <t>Lower secondary</t>
  </si>
  <si>
    <t>Upper secondary</t>
  </si>
  <si>
    <t>Boy</t>
  </si>
  <si>
    <t>Table 16: Student Flow Rates and Graduates by level for Both Sex 2016/2017</t>
  </si>
  <si>
    <t>Primary Level (Grades 1-6)</t>
  </si>
  <si>
    <t>Lower Secondary Level (Grades 7-9)</t>
  </si>
  <si>
    <t>Upper Secondary Level (Grades 10-12)</t>
  </si>
  <si>
    <t>Successful Candidates</t>
  </si>
  <si>
    <t>Promotion</t>
  </si>
  <si>
    <t>Repetition</t>
  </si>
  <si>
    <t>Dropout</t>
  </si>
  <si>
    <t>Table 20: Student Flow Rates and graduates by Level for Female 2016/2017</t>
  </si>
  <si>
    <t>Table 24: Student Flow Rates and Graduates by level for Male 2016/2017</t>
  </si>
  <si>
    <t>N/A</t>
  </si>
  <si>
    <t>Table 13: Student Flow Rates (Grade 1-4) for Both Sex  2016/2017</t>
  </si>
  <si>
    <t>Table 17: Student Flow Rates (Grade 1-4) for Female 2016/2017</t>
  </si>
  <si>
    <t>Table 21: Student Flow Rates (Grade 1-4) for Male 2016/2017</t>
  </si>
  <si>
    <t>Table 26 : Gender Parity Index in Education Indicators 2017/2018</t>
  </si>
  <si>
    <t>GPI for GAR</t>
  </si>
  <si>
    <t>GPI for NAR</t>
  </si>
  <si>
    <t>GPI for Gross Enrolment rate in</t>
  </si>
  <si>
    <t>GPI for Net Enrolment rate in</t>
  </si>
  <si>
    <t>GPI for Teaching Staff in</t>
  </si>
  <si>
    <t>Primary
school</t>
  </si>
  <si>
    <t>Lower Sec.
Edu</t>
  </si>
  <si>
    <t>Upper Sec.
Edu</t>
  </si>
  <si>
    <t>Primary school</t>
  </si>
  <si>
    <t>Presch</t>
  </si>
  <si>
    <t>Primary
schools</t>
  </si>
  <si>
    <t>Junior high
schools</t>
  </si>
  <si>
    <t>Senior high
schools</t>
  </si>
  <si>
    <t>Secondary
schools</t>
  </si>
  <si>
    <t>n.a.</t>
  </si>
  <si>
    <t>APPENDIX: EDUCATION STATISTICS, 1979-1980 to 2017-2018</t>
  </si>
  <si>
    <t>Students</t>
  </si>
  <si>
    <t>Pre</t>
  </si>
  <si>
    <t>Pri</t>
  </si>
  <si>
    <t>1979-80</t>
  </si>
  <si>
    <t>n.a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</si>
  <si>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</si>
  <si>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</si>
  <si>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</si>
  <si>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</si>
  <si>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</si>
  <si>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</si>
  <si>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</si>
  <si>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</si>
  <si>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</si>
  <si>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</si>
  <si>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</si>
  <si>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</si>
  <si>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</si>
  <si>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</si>
  <si>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</si>
  <si>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</si>
  <si>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</si>
  <si>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</si>
  <si>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</si>
  <si>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</si>
  <si>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</si>
  <si>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</si>
  <si>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</si>
  <si>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</si>
  <si>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</si>
  <si>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</si>
  <si>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</si>
  <si>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</si>
  <si>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</si>
  <si>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</si>
  <si>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</si>
  <si>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</si>
  <si>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</si>
  <si>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</si>
  <si>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</si>
  <si>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</si>
  <si>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</si>
  <si>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</si>
  <si>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Number of Classes</t>
  </si>
  <si>
    <t>Govern. staff</t>
  </si>
  <si>
    <t>Foreigner Teaching Staff</t>
  </si>
  <si>
    <t>Khmer</t>
  </si>
  <si>
    <t>Chinesse</t>
  </si>
  <si>
    <t>Muslim</t>
  </si>
  <si>
    <t>French</t>
  </si>
  <si>
    <t>English</t>
  </si>
  <si>
    <t>Vietnamese</t>
  </si>
  <si>
    <t>Other</t>
  </si>
  <si>
    <t>Pre School</t>
  </si>
  <si>
    <t>College (Grade7-9)</t>
  </si>
  <si>
    <t>Lycee (Grade10-12)</t>
  </si>
  <si>
    <t>Lycee (Grade7-12)</t>
  </si>
  <si>
    <t>Lower Secondary (Grade7-9)</t>
  </si>
  <si>
    <t>Upper Secondary (Grade10-12)</t>
  </si>
  <si>
    <t>Province</t>
  </si>
  <si>
    <t>Number of
Schools</t>
  </si>
  <si>
    <t>Number of
Classes</t>
  </si>
  <si>
    <t>d</t>
  </si>
  <si>
    <t>2 - Shift
Schools</t>
  </si>
  <si>
    <t>Characteristics of School Principals</t>
  </si>
  <si>
    <t>Pre- School</t>
  </si>
  <si>
    <t>Average Age</t>
  </si>
  <si>
    <t>Avg. Service</t>
  </si>
  <si>
    <t>Primary Education</t>
  </si>
  <si>
    <t>Secondary Education</t>
  </si>
  <si>
    <t>%Female</t>
  </si>
  <si>
    <t>New Grade 7</t>
  </si>
  <si>
    <t>L.Sec. Enrollment</t>
  </si>
  <si>
    <t>New Grade 10</t>
  </si>
  <si>
    <t>%Over-age Enrollment in</t>
  </si>
  <si>
    <t>Age 17+</t>
  </si>
  <si>
    <t>U.sec.</t>
  </si>
  <si>
    <t>3 year</t>
  </si>
  <si>
    <t>4 Year</t>
  </si>
  <si>
    <t>5 Year</t>
  </si>
  <si>
    <t>3 - 5 Year</t>
  </si>
  <si>
    <t>&lt; 3 Year</t>
  </si>
  <si>
    <t>Age 3</t>
  </si>
  <si>
    <t>Age 4</t>
  </si>
  <si>
    <t>Age 5</t>
  </si>
  <si>
    <t>Age 6</t>
  </si>
  <si>
    <t>Education Level of Non-Teaching Staff: Total</t>
  </si>
  <si>
    <t>Education Level of Non-Teaching Staff: Female</t>
  </si>
  <si>
    <t>Non-Teaching Staff Without Pedagogical Training</t>
  </si>
  <si>
    <t>L.sec.</t>
  </si>
  <si>
    <t>Post Graduate</t>
  </si>
  <si>
    <t>Ph_D</t>
  </si>
  <si>
    <t>Education Level of Teaching Staff: Total</t>
  </si>
  <si>
    <t>Education Level of Teaching Staff: Female</t>
  </si>
  <si>
    <t>Teaching Staff Without Pedagogical Training</t>
  </si>
  <si>
    <t>Number of School having</t>
  </si>
  <si>
    <t>Computer</t>
  </si>
  <si>
    <t>Printer</t>
  </si>
  <si>
    <t>LCD Projector</t>
  </si>
  <si>
    <t>Photocopy</t>
  </si>
  <si>
    <t>Home Economic</t>
  </si>
  <si>
    <t>Resource Center</t>
  </si>
  <si>
    <t>Workshop</t>
  </si>
  <si>
    <t>Drinking Water</t>
  </si>
  <si>
    <t>Toilet</t>
  </si>
  <si>
    <t>Concrete/ Brick Structure</t>
  </si>
  <si>
    <t>Cl.room Area
per Student</t>
  </si>
  <si>
    <t>Pre-School with
Sport Facility</t>
  </si>
  <si>
    <t>Long Run</t>
  </si>
  <si>
    <t>School Fees Per Student in a Year (Currency US Dollar)</t>
  </si>
  <si>
    <t>Minimum</t>
  </si>
  <si>
    <t>Maximum</t>
  </si>
  <si>
    <t>Grooss Admission Rate(GAR)</t>
  </si>
  <si>
    <t>Net Admission Rate(NAR)</t>
  </si>
  <si>
    <t>Gross Enrollment Rate (GER)</t>
  </si>
  <si>
    <t>Net Enrollment Rate (NER)</t>
  </si>
  <si>
    <t>s</t>
  </si>
  <si>
    <t>GPI for GER</t>
  </si>
  <si>
    <t>GPI for NER</t>
  </si>
  <si>
    <t>Gov. staff</t>
  </si>
  <si>
    <t>khmer</t>
  </si>
  <si>
    <t>College(Grade7-9)</t>
  </si>
  <si>
    <t>Lycee(Grade10-12)</t>
  </si>
  <si>
    <t>Lycee(Grade7-12)</t>
  </si>
  <si>
    <t>Lower Secondary(Grade7-9)</t>
  </si>
  <si>
    <t>Upper Secondary(Grade10-12</t>
  </si>
  <si>
    <t>Page 1 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  Summary Statistics, 2019-2020</t>
  </si>
  <si>
    <t>Education Level of non-teaching Staff: Total</t>
  </si>
  <si>
    <t>Education Level of non-teaching Staff: Female</t>
  </si>
  <si>
    <t>Non-teaching Staff Without Pedagogical Training</t>
  </si>
  <si>
    <t>CHHOU BUNROEURNG</t>
  </si>
  <si>
    <t>YI SONGKY</t>
  </si>
  <si>
    <t>SIM PREM</t>
  </si>
  <si>
    <t>TAN BUNHONG</t>
  </si>
  <si>
    <t>OUCH SOPHEA</t>
  </si>
  <si>
    <t>PAV SOTHY</t>
  </si>
  <si>
    <t>######</t>
  </si>
  <si>
    <t>to Lower Sec.
2018/2019</t>
  </si>
  <si>
    <t>to Upper Sec.
2018/2019</t>
  </si>
  <si>
    <t>Transition Rate to Lower Sec.
2018/2019</t>
  </si>
  <si>
    <t>Transition Rate to Upper Sec.
2018/2019</t>
  </si>
  <si>
    <t>Table 25:  Servival Rate And Completion Rate</t>
  </si>
  <si>
    <t>Servival Rate   2018/2019</t>
  </si>
  <si>
    <t>Completion rate 2019/2020</t>
  </si>
  <si>
    <t>Grade5</t>
  </si>
  <si>
    <t>Table 26 : Gender Parity Index in Education Indicators 2019 - 2020</t>
  </si>
  <si>
    <t>APPENDIX: EDUCATION STATISTICS, 1979/1980 to 2019/2020</t>
  </si>
  <si>
    <t>Academic   Year</t>
  </si>
  <si>
    <t>2018-19</t>
  </si>
  <si>
    <t>2019-20</t>
  </si>
  <si>
    <t>Foreigner
Teaching Staff</t>
  </si>
  <si>
    <t>Korean</t>
  </si>
  <si>
    <t>Japanese</t>
  </si>
  <si>
    <t>- Pre School</t>
  </si>
  <si>
    <t>- Primary School</t>
  </si>
  <si>
    <t>- Collage</t>
  </si>
  <si>
    <t>- Lycee 10-12</t>
  </si>
  <si>
    <t>- Lycee 7-12</t>
  </si>
  <si>
    <t>- Lower secondary</t>
  </si>
  <si>
    <t>- Upper secondary</t>
  </si>
  <si>
    <t>Page 1                                                                                                                                                           Whole Kingdom                                                                                                                    Summary Statistics, 2021-2022</t>
  </si>
  <si>
    <t xml:space="preserve">       :                    </t>
  </si>
  <si>
    <t>pre school education</t>
  </si>
  <si>
    <t>Health room</t>
  </si>
  <si>
    <t>Computer room</t>
  </si>
  <si>
    <t>Table 13: Enrollment by Level of Education, 2020 - 2021</t>
  </si>
  <si>
    <t>Table 14: Enrollment by Level of Education, 2021 - 2022</t>
  </si>
  <si>
    <t>Post
Graduat</t>
  </si>
  <si>
    <t>to Lower Sec.
2020/2021</t>
  </si>
  <si>
    <t>to Upper Sec.
2020/2021</t>
  </si>
  <si>
    <t>Transition Rate to Lower Sec.
2020/2021</t>
  </si>
  <si>
    <t>Transition Rate to Upper Sec.
2020/2021</t>
  </si>
  <si>
    <t xml:space="preserve"> </t>
  </si>
  <si>
    <t>Table 16: Student Flow Rates and Graduates by level for Both Sex 2020 - 2021</t>
  </si>
  <si>
    <t>Table 20: Student Flow Rates and graduates by Level for Female 2020 - 2021</t>
  </si>
  <si>
    <t>Table 24: Student Flow Rates and Graduates by level for Male 2020 - 2021</t>
  </si>
  <si>
    <t>Table 13: Student Flow Rates for Both Sex  2020 - 2021</t>
  </si>
  <si>
    <t>Table 17: Student Flow Rates for Female 2020 - 2021</t>
  </si>
  <si>
    <t>Table 21: Student Flow Rates (Grade 1-4) for Male 2020 - 2021</t>
  </si>
  <si>
    <t>Servival Rate  2020/2021</t>
  </si>
  <si>
    <t>Completion rate 2021/2022</t>
  </si>
  <si>
    <t>Table 26 : Gender Parity Index in Education Indicators 2021 - 2022</t>
  </si>
  <si>
    <t>APPENDIX: EDUCATION STATISTICS, 1979/1980 to 2021/2022</t>
  </si>
  <si>
    <t>2020-21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</si>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</sst>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FF0000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FF66CC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9" borderId="1" xfId="0" applyFont="1" applyFill="1" applyBorder="1" applyAlignment="1">
      <alignment horizontal="left" vertic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styles" Target="style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calcChain" Target="calcChain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D240"/>
  <sheetViews>
    <sheetView tabSelected="1" workbookViewId="0">
      <pane xSplit="1" ySplit="4" topLeftCell="B155" activePane="bottomRight" state="frozen"/>
      <selection pane="topRight"/>
      <selection pane="bottomLeft"/>
      <selection pane="bottomRight" activeCell="C134" sqref="C134"/>
    </sheetView>
  </sheetViews>
  <sheetFormatPr defaultColWidth="92.7109375" defaultRowHeight="15" x14ac:dyDescent="0.25"/>
  <cols>
    <col min="1" max="1" width="2.42578125" customWidth="1"/>
    <col min="2" max="2" width="13.7109375" bestFit="1" customWidth="1"/>
    <col min="3" max="3" width="61.42578125" bestFit="1" customWidth="1"/>
    <col min="4" max="4" width="75.42578125" customWidth="1"/>
  </cols>
  <sheetData>
    <row r="2" spans="2:4" ht="32.1" customHeight="1" x14ac:dyDescent="0.25">
      <c r="B2" s="28" t="s">
        <v>0</v>
      </c>
      <c r="C2" s="29"/>
      <c r="D2" s="29"/>
    </row>
    <row r="4" spans="2:4" ht="20.100000000000001" customHeight="1" x14ac:dyDescent="0.25">
      <c r="B4" s="1" t="s">
        <v>1</v>
      </c>
      <c r="C4" s="1" t="s">
        <v>2</v>
      </c>
      <c r="D4" s="1" t="s">
        <v>3</v>
      </c>
    </row>
    <row r="5" spans="2:4" ht="17.100000000000001" customHeight="1" x14ac:dyDescent="0.25">
      <c r="B5" s="10" t="s">
        <v>4</v>
      </c>
      <c r="C5" s="11"/>
      <c r="D5" s="11"/>
    </row>
    <row r="6" spans="2:4" ht="15" customHeight="1" x14ac:dyDescent="0.25">
      <c r="B6" s="2" t="s">
        <v>5</v>
      </c>
      <c r="C6" s="3" t="s">
        <v>6</v>
      </c>
      <c r="D6" s="4" t="str">
        <f>HYPERLINK("#'National Summary - Schools, C 1'!A1","National Summary - Schools, C 1")</f>
        <v>National Summary - Schools, C 1</v>
      </c>
    </row>
    <row r="7" spans="2:4" ht="15" customHeight="1" x14ac:dyDescent="0.25">
      <c r="B7" s="5" t="s">
        <v>5</v>
      </c>
      <c r="C7" s="6" t="s">
        <v>7</v>
      </c>
      <c r="D7" s="7" t="str">
        <f>HYPERLINK("#'National Summary - Schools, C 2'!A1","National Summary - Schools, C 2")</f>
        <v>National Summary - Schools, C 2</v>
      </c>
    </row>
    <row r="8" spans="2:4" ht="15" customHeight="1" x14ac:dyDescent="0.25">
      <c r="B8" s="2" t="s">
        <v>5</v>
      </c>
      <c r="C8" s="3" t="s">
        <v>8</v>
      </c>
      <c r="D8" s="4" t="str">
        <f>HYPERLINK("#'National Summary - Schools, C 4'!A1","National Summary - Schools, C 4")</f>
        <v>National Summary - Schools, C 4</v>
      </c>
    </row>
    <row r="9" spans="2:4" ht="15" customHeight="1" x14ac:dyDescent="0.25">
      <c r="B9" s="5" t="s">
        <v>5</v>
      </c>
      <c r="C9" s="6" t="s">
        <v>9</v>
      </c>
      <c r="D9" s="7" t="str">
        <f>HYPERLINK("#'National Summary - Schools, Cla'!A1","National Summary - Schools, Cla")</f>
        <v>National Summary - Schools, Cla</v>
      </c>
    </row>
    <row r="10" spans="2:4" ht="15" customHeight="1" x14ac:dyDescent="0.25">
      <c r="B10" s="2" t="s">
        <v>5</v>
      </c>
      <c r="C10" s="3" t="s">
        <v>10</v>
      </c>
      <c r="D10" s="4" t="str">
        <f>HYPERLINK("#'National Summary - Schools, C 3'!A1","National Summary - Schools, C 3")</f>
        <v>National Summary - Schools, C 3</v>
      </c>
    </row>
    <row r="11" spans="2:4" ht="15" customHeight="1" x14ac:dyDescent="0.25">
      <c r="B11" s="5" t="s">
        <v>5</v>
      </c>
      <c r="C11" s="6" t="s">
        <v>11</v>
      </c>
      <c r="D11" s="7" t="str">
        <f>HYPERLINK("#'National Summary - Schools, C 5'!A1","National Summary - Schools, C 5")</f>
        <v>National Summary - Schools, C 5</v>
      </c>
    </row>
    <row r="12" spans="2:4" ht="15" customHeight="1" x14ac:dyDescent="0.25">
      <c r="B12" s="2" t="s">
        <v>5</v>
      </c>
      <c r="C12" s="3" t="s">
        <v>12</v>
      </c>
      <c r="D12" s="4" t="str">
        <f>HYPERLINK("#'Schools, Classes &amp; Staff by P 1'!A1","Schools, Classes &amp; Staff by P 1")</f>
        <v>Schools, Classes &amp; Staff by P 1</v>
      </c>
    </row>
    <row r="13" spans="2:4" ht="15" customHeight="1" x14ac:dyDescent="0.25">
      <c r="B13" s="5" t="s">
        <v>5</v>
      </c>
      <c r="C13" s="6" t="s">
        <v>13</v>
      </c>
      <c r="D13" s="7" t="str">
        <f>HYPERLINK("#'Schools, Classes &amp; Staff by P 2'!A1","Schools, Classes &amp; Staff by P 2")</f>
        <v>Schools, Classes &amp; Staff by P 2</v>
      </c>
    </row>
    <row r="14" spans="2:4" ht="15" customHeight="1" x14ac:dyDescent="0.25">
      <c r="B14" s="2" t="s">
        <v>5</v>
      </c>
      <c r="C14" s="3" t="s">
        <v>14</v>
      </c>
      <c r="D14" s="4" t="str">
        <f>HYPERLINK("#'Schools, Classes &amp; Staff by P 4'!A1","Schools, Classes &amp; Staff by P 4")</f>
        <v>Schools, Classes &amp; Staff by P 4</v>
      </c>
    </row>
    <row r="15" spans="2:4" ht="15" customHeight="1" x14ac:dyDescent="0.25">
      <c r="B15" s="5" t="s">
        <v>5</v>
      </c>
      <c r="C15" s="6" t="s">
        <v>15</v>
      </c>
      <c r="D15" s="7" t="str">
        <f>HYPERLINK("#'Schools, Classes &amp; Staff by Pro'!A1","Schools, Classes &amp; Staff by Pro")</f>
        <v>Schools, Classes &amp; Staff by Pro</v>
      </c>
    </row>
    <row r="16" spans="2:4" ht="15" customHeight="1" x14ac:dyDescent="0.25">
      <c r="B16" s="2" t="s">
        <v>5</v>
      </c>
      <c r="C16" s="3" t="s">
        <v>16</v>
      </c>
      <c r="D16" s="4" t="str">
        <f>HYPERLINK("#'Schools, Classes &amp; Staff by P 3'!A1","Schools, Classes &amp; Staff by P 3")</f>
        <v>Schools, Classes &amp; Staff by P 3</v>
      </c>
    </row>
    <row r="17" spans="2:4" ht="15" customHeight="1" x14ac:dyDescent="0.25">
      <c r="B17" s="5" t="s">
        <v>5</v>
      </c>
      <c r="C17" s="6" t="s">
        <v>17</v>
      </c>
      <c r="D17" s="7" t="str">
        <f>HYPERLINK("#'Schools, Classes &amp; Staff by P 5'!A1","Schools, Classes &amp; Staff by P 5")</f>
        <v>Schools, Classes &amp; Staff by P 5</v>
      </c>
    </row>
    <row r="18" spans="2:4" ht="17.100000000000001" customHeight="1" x14ac:dyDescent="0.25">
      <c r="B18" s="16" t="s">
        <v>18</v>
      </c>
      <c r="C18" s="17"/>
      <c r="D18" s="17"/>
    </row>
    <row r="19" spans="2:4" ht="15" customHeight="1" x14ac:dyDescent="0.25">
      <c r="B19" s="5" t="s">
        <v>19</v>
      </c>
      <c r="C19" s="6" t="s">
        <v>20</v>
      </c>
      <c r="D19" s="7" t="str">
        <f>HYPERLINK("#'All Lycees by Province -Pub 201'!A1","All Lycees by Province -Pub 201")</f>
        <v>All Lycees by Province -Pub 201</v>
      </c>
    </row>
    <row r="20" spans="2:4" ht="15" customHeight="1" x14ac:dyDescent="0.25">
      <c r="B20" s="2" t="s">
        <v>19</v>
      </c>
      <c r="C20" s="3" t="s">
        <v>21</v>
      </c>
      <c r="D20" s="4" t="str">
        <f>HYPERLINK("#'All Lycees by Province -Pub 2 1'!A1","All Lycees by Province -Pub 2 1")</f>
        <v>All Lycees by Province -Pub 2 1</v>
      </c>
    </row>
    <row r="21" spans="2:4" ht="15" customHeight="1" x14ac:dyDescent="0.25">
      <c r="B21" s="5" t="s">
        <v>19</v>
      </c>
      <c r="C21" s="6" t="s">
        <v>22</v>
      </c>
      <c r="D21" s="7" t="str">
        <f>HYPERLINK("#'All Lycees by Province -Pub 202'!A1","All Lycees by Province -Pub 202")</f>
        <v>All Lycees by Province -Pub 202</v>
      </c>
    </row>
    <row r="22" spans="2:4" ht="15" customHeight="1" x14ac:dyDescent="0.25">
      <c r="B22" s="2" t="s">
        <v>19</v>
      </c>
      <c r="C22" s="3" t="s">
        <v>23</v>
      </c>
      <c r="D22" s="4" t="str">
        <f>HYPERLINK("#'Colleges by Province -Pri 2018-'!A1","Colleges by Province -Pri 2018-")</f>
        <v>Colleges by Province -Pri 2018-</v>
      </c>
    </row>
    <row r="23" spans="2:4" ht="15" customHeight="1" x14ac:dyDescent="0.25">
      <c r="B23" s="5" t="s">
        <v>19</v>
      </c>
      <c r="C23" s="6" t="s">
        <v>24</v>
      </c>
      <c r="D23" s="7" t="str">
        <f>HYPERLINK("#'Colleges by Province -Pri 2019-'!A1","Colleges by Province -Pri 2019-")</f>
        <v>Colleges by Province -Pri 2019-</v>
      </c>
    </row>
    <row r="24" spans="2:4" ht="15" customHeight="1" x14ac:dyDescent="0.25">
      <c r="B24" s="2" t="s">
        <v>19</v>
      </c>
      <c r="C24" s="3" t="s">
        <v>25</v>
      </c>
      <c r="D24" s="4" t="str">
        <f>HYPERLINK("#'Colleges by Province -Pri 2020-'!A1","Colleges by Province -Pri 2020-")</f>
        <v>Colleges by Province -Pri 2020-</v>
      </c>
    </row>
    <row r="25" spans="2:4" ht="15" customHeight="1" x14ac:dyDescent="0.25">
      <c r="B25" s="5" t="s">
        <v>19</v>
      </c>
      <c r="C25" s="6" t="s">
        <v>26</v>
      </c>
      <c r="D25" s="7" t="str">
        <f>HYPERLINK("#'Colleges by Province -Pub 2017-'!A1","Colleges by Province -Pub 2017-")</f>
        <v>Colleges by Province -Pub 2017-</v>
      </c>
    </row>
    <row r="26" spans="2:4" ht="15" customHeight="1" x14ac:dyDescent="0.25">
      <c r="B26" s="2" t="s">
        <v>19</v>
      </c>
      <c r="C26" s="3" t="s">
        <v>27</v>
      </c>
      <c r="D26" s="4" t="str">
        <f>HYPERLINK("#'Colleges by Province -Pub 2019-'!A1","Colleges by Province -Pub 2019-")</f>
        <v>Colleges by Province -Pub 2019-</v>
      </c>
    </row>
    <row r="27" spans="2:4" ht="15" customHeight="1" x14ac:dyDescent="0.25">
      <c r="B27" s="5" t="s">
        <v>19</v>
      </c>
      <c r="C27" s="6" t="s">
        <v>28</v>
      </c>
      <c r="D27" s="7" t="str">
        <f>HYPERLINK("#'Colleges by Province -Pub 2020-'!A1","Colleges by Province -Pub 2020-")</f>
        <v>Colleges by Province -Pub 2020-</v>
      </c>
    </row>
    <row r="28" spans="2:4" ht="15" customHeight="1" x14ac:dyDescent="0.25">
      <c r="B28" s="2" t="s">
        <v>19</v>
      </c>
      <c r="C28" s="3" t="s">
        <v>29</v>
      </c>
      <c r="D28" s="4" t="str">
        <f>HYPERLINK("#'Lycees (Gr 10-12 only) by Provi'!A1","Lycees (Gr 10-12 only) by Provi")</f>
        <v>Lycees (Gr 10-12 only) by Provi</v>
      </c>
    </row>
    <row r="29" spans="2:4" ht="15" customHeight="1" x14ac:dyDescent="0.25">
      <c r="B29" s="5" t="s">
        <v>19</v>
      </c>
      <c r="C29" s="6" t="s">
        <v>30</v>
      </c>
      <c r="D29" s="7" t="str">
        <f>HYPERLINK("#'Lycees (Gr 10-12 only) by Pro 1'!A1","Lycees (Gr 10-12 only) by Pro 1")</f>
        <v>Lycees (Gr 10-12 only) by Pro 1</v>
      </c>
    </row>
    <row r="30" spans="2:4" ht="15" customHeight="1" x14ac:dyDescent="0.25">
      <c r="B30" s="2" t="s">
        <v>19</v>
      </c>
      <c r="C30" s="3" t="s">
        <v>31</v>
      </c>
      <c r="D30" s="4" t="str">
        <f>HYPERLINK("#'Lycees (Gr 10-12 only) by Pro 2'!A1","Lycees (Gr 10-12 only) by Pro 2")</f>
        <v>Lycees (Gr 10-12 only) by Pro 2</v>
      </c>
    </row>
    <row r="31" spans="2:4" ht="15" customHeight="1" x14ac:dyDescent="0.25">
      <c r="B31" s="5" t="s">
        <v>19</v>
      </c>
      <c r="C31" s="6" t="s">
        <v>32</v>
      </c>
      <c r="D31" s="7" t="str">
        <f>HYPERLINK("#'Lycees by Province -Pri 2018-20'!A1","Lycees by Province -Pri 2018-20")</f>
        <v>Lycees by Province -Pri 2018-20</v>
      </c>
    </row>
    <row r="32" spans="2:4" ht="15" customHeight="1" x14ac:dyDescent="0.25">
      <c r="B32" s="2" t="s">
        <v>19</v>
      </c>
      <c r="C32" s="3" t="s">
        <v>33</v>
      </c>
      <c r="D32" s="4" t="str">
        <f>HYPERLINK("#'Lycees by Province -Pri 2019-20'!A1","Lycees by Province -Pri 2019-20")</f>
        <v>Lycees by Province -Pri 2019-20</v>
      </c>
    </row>
    <row r="33" spans="2:4" ht="15" customHeight="1" x14ac:dyDescent="0.25">
      <c r="B33" s="5" t="s">
        <v>19</v>
      </c>
      <c r="C33" s="6" t="s">
        <v>34</v>
      </c>
      <c r="D33" s="7" t="str">
        <f>HYPERLINK("#'Lycees by Province -Pri 2020-20'!A1","Lycees by Province -Pri 2020-20")</f>
        <v>Lycees by Province -Pri 2020-20</v>
      </c>
    </row>
    <row r="34" spans="2:4" ht="15" customHeight="1" x14ac:dyDescent="0.25">
      <c r="B34" s="2" t="s">
        <v>19</v>
      </c>
      <c r="C34" s="3" t="s">
        <v>35</v>
      </c>
      <c r="D34" s="4" t="str">
        <f>HYPERLINK("#'Pre-Schools by Province -Pri 20'!A1","Pre-Schools by Province -Pri 20")</f>
        <v>Pre-Schools by Province -Pri 20</v>
      </c>
    </row>
    <row r="35" spans="2:4" ht="15" customHeight="1" x14ac:dyDescent="0.25">
      <c r="B35" s="5" t="s">
        <v>19</v>
      </c>
      <c r="C35" s="6" t="s">
        <v>36</v>
      </c>
      <c r="D35" s="7" t="str">
        <f>HYPERLINK("#'Pre-Schools by Province -Pri  1'!A1","Pre-Schools by Province -Pri  1")</f>
        <v>Pre-Schools by Province -Pri  1</v>
      </c>
    </row>
    <row r="36" spans="2:4" ht="15" customHeight="1" x14ac:dyDescent="0.25">
      <c r="B36" s="2" t="s">
        <v>19</v>
      </c>
      <c r="C36" s="3" t="s">
        <v>37</v>
      </c>
      <c r="D36" s="4" t="str">
        <f>HYPERLINK("#'Pre-Schools by Province -Pri  2'!A1","Pre-Schools by Province -Pri  2")</f>
        <v>Pre-Schools by Province -Pri  2</v>
      </c>
    </row>
    <row r="37" spans="2:4" ht="15" customHeight="1" x14ac:dyDescent="0.25">
      <c r="B37" s="5" t="s">
        <v>19</v>
      </c>
      <c r="C37" s="6" t="s">
        <v>38</v>
      </c>
      <c r="D37" s="7" t="str">
        <f>HYPERLINK("#'Pre-Schools by Province -Pub 20'!A1","Pre-Schools by Province -Pub 20")</f>
        <v>Pre-Schools by Province -Pub 20</v>
      </c>
    </row>
    <row r="38" spans="2:4" ht="15" customHeight="1" x14ac:dyDescent="0.25">
      <c r="B38" s="2" t="s">
        <v>19</v>
      </c>
      <c r="C38" s="3" t="s">
        <v>39</v>
      </c>
      <c r="D38" s="4" t="str">
        <f>HYPERLINK("#'Pre-Schools by Province -Pub  1'!A1","Pre-Schools by Province -Pub  1")</f>
        <v>Pre-Schools by Province -Pub  1</v>
      </c>
    </row>
    <row r="39" spans="2:4" ht="15" customHeight="1" x14ac:dyDescent="0.25">
      <c r="B39" s="5" t="s">
        <v>19</v>
      </c>
      <c r="C39" s="6" t="s">
        <v>40</v>
      </c>
      <c r="D39" s="7" t="str">
        <f>HYPERLINK("#'Pre-Schools by Province -Pub  2'!A1","Pre-Schools by Province -Pub  2")</f>
        <v>Pre-Schools by Province -Pub  2</v>
      </c>
    </row>
    <row r="40" spans="2:4" ht="15" customHeight="1" x14ac:dyDescent="0.25">
      <c r="B40" s="2" t="s">
        <v>19</v>
      </c>
      <c r="C40" s="3" t="s">
        <v>41</v>
      </c>
      <c r="D40" s="4" t="str">
        <f>HYPERLINK("#'Primary Schools by Province -Pr'!A1","Primary Schools by Province -Pr")</f>
        <v>Primary Schools by Province -Pr</v>
      </c>
    </row>
    <row r="41" spans="2:4" ht="15" customHeight="1" x14ac:dyDescent="0.25">
      <c r="B41" s="5" t="s">
        <v>19</v>
      </c>
      <c r="C41" s="6" t="s">
        <v>42</v>
      </c>
      <c r="D41" s="7" t="str">
        <f>HYPERLINK("#'Primary Schools by Province - 1'!A1","Primary Schools by Province - 1")</f>
        <v>Primary Schools by Province - 1</v>
      </c>
    </row>
    <row r="42" spans="2:4" ht="15" customHeight="1" x14ac:dyDescent="0.25">
      <c r="B42" s="2" t="s">
        <v>19</v>
      </c>
      <c r="C42" s="3" t="s">
        <v>43</v>
      </c>
      <c r="D42" s="4" t="str">
        <f>HYPERLINK("#'Primary Schools by Province - 3'!A1","Primary Schools by Province - 3")</f>
        <v>Primary Schools by Province - 3</v>
      </c>
    </row>
    <row r="43" spans="2:4" ht="15" customHeight="1" x14ac:dyDescent="0.25">
      <c r="B43" s="5" t="s">
        <v>19</v>
      </c>
      <c r="C43" s="6" t="s">
        <v>44</v>
      </c>
      <c r="D43" s="7" t="str">
        <f>HYPERLINK("#'Primary Schools by Province -Pu'!A1","Primary Schools by Province -Pu")</f>
        <v>Primary Schools by Province -Pu</v>
      </c>
    </row>
    <row r="44" spans="2:4" ht="15" customHeight="1" x14ac:dyDescent="0.25">
      <c r="B44" s="2" t="s">
        <v>19</v>
      </c>
      <c r="C44" s="3" t="s">
        <v>45</v>
      </c>
      <c r="D44" s="4" t="str">
        <f>HYPERLINK("#'Primary Schools by Province - 2'!A1","Primary Schools by Province - 2")</f>
        <v>Primary Schools by Province - 2</v>
      </c>
    </row>
    <row r="45" spans="2:4" ht="15" customHeight="1" x14ac:dyDescent="0.25">
      <c r="B45" s="5" t="s">
        <v>19</v>
      </c>
      <c r="C45" s="6" t="s">
        <v>46</v>
      </c>
      <c r="D45" s="7" t="str">
        <f>HYPERLINK("#'Primary Schools by Province - 4'!A1","Primary Schools by Province - 4")</f>
        <v>Primary Schools by Province - 4</v>
      </c>
    </row>
    <row r="46" spans="2:4" ht="15" customHeight="1" x14ac:dyDescent="0.25">
      <c r="B46" s="2" t="s">
        <v>19</v>
      </c>
      <c r="C46" s="3" t="s">
        <v>47</v>
      </c>
      <c r="D46" s="4" t="str">
        <f>HYPERLINK("#'Secondary Schools by Province 1'!A1","Secondary Schools by Province 1")</f>
        <v>Secondary Schools by Province 1</v>
      </c>
    </row>
    <row r="47" spans="2:4" ht="15" customHeight="1" x14ac:dyDescent="0.25">
      <c r="B47" s="5" t="s">
        <v>19</v>
      </c>
      <c r="C47" s="6" t="s">
        <v>48</v>
      </c>
      <c r="D47" s="7" t="str">
        <f>HYPERLINK("#'Secondary Schools by Province 2'!A1","Secondary Schools by Province 2")</f>
        <v>Secondary Schools by Province 2</v>
      </c>
    </row>
    <row r="48" spans="2:4" ht="15" customHeight="1" x14ac:dyDescent="0.25">
      <c r="B48" s="2" t="s">
        <v>19</v>
      </c>
      <c r="C48" s="3" t="s">
        <v>49</v>
      </c>
      <c r="D48" s="4" t="str">
        <f>HYPERLINK("#'Secondary Schools by Province 4'!A1","Secondary Schools by Province 4")</f>
        <v>Secondary Schools by Province 4</v>
      </c>
    </row>
    <row r="49" spans="2:4" ht="15" customHeight="1" x14ac:dyDescent="0.25">
      <c r="B49" s="5" t="s">
        <v>19</v>
      </c>
      <c r="C49" s="6" t="s">
        <v>50</v>
      </c>
      <c r="D49" s="7" t="str">
        <f>HYPERLINK("#'Secondary Schools by Province -'!A1","Secondary Schools by Province -")</f>
        <v>Secondary Schools by Province -</v>
      </c>
    </row>
    <row r="50" spans="2:4" ht="15" customHeight="1" x14ac:dyDescent="0.25">
      <c r="B50" s="2" t="s">
        <v>19</v>
      </c>
      <c r="C50" s="3" t="s">
        <v>51</v>
      </c>
      <c r="D50" s="4" t="str">
        <f>HYPERLINK("#'Secondary Schools by Province 3'!A1","Secondary Schools by Province 3")</f>
        <v>Secondary Schools by Province 3</v>
      </c>
    </row>
    <row r="51" spans="2:4" ht="15" customHeight="1" x14ac:dyDescent="0.25">
      <c r="B51" s="5" t="s">
        <v>19</v>
      </c>
      <c r="C51" s="6" t="s">
        <v>52</v>
      </c>
      <c r="D51" s="7" t="str">
        <f>HYPERLINK("#'Secondary Schools by Province 5'!A1","Secondary Schools by Province 5")</f>
        <v>Secondary Schools by Province 5</v>
      </c>
    </row>
    <row r="52" spans="2:4" ht="17.100000000000001" customHeight="1" x14ac:dyDescent="0.25">
      <c r="B52" s="18" t="s">
        <v>53</v>
      </c>
      <c r="C52" s="19"/>
      <c r="D52" s="19"/>
    </row>
    <row r="53" spans="2:4" ht="15" customHeight="1" x14ac:dyDescent="0.25">
      <c r="B53" s="5" t="s">
        <v>54</v>
      </c>
      <c r="C53" s="6" t="s">
        <v>55</v>
      </c>
      <c r="D53" s="7" t="str">
        <f>HYPERLINK("#'Classes by Grade &amp; Education Le'!A1","Classes by Grade &amp; Education Le")</f>
        <v>Classes by Grade &amp; Education Le</v>
      </c>
    </row>
    <row r="54" spans="2:4" ht="15" customHeight="1" x14ac:dyDescent="0.25">
      <c r="B54" s="2" t="s">
        <v>54</v>
      </c>
      <c r="C54" s="3" t="s">
        <v>56</v>
      </c>
      <c r="D54" s="4" t="str">
        <f>HYPERLINK("#'Classes by Grade &amp; Education  1'!A1","Classes by Grade &amp; Education  1")</f>
        <v>Classes by Grade &amp; Education  1</v>
      </c>
    </row>
    <row r="55" spans="2:4" ht="15" customHeight="1" x14ac:dyDescent="0.25">
      <c r="B55" s="5" t="s">
        <v>54</v>
      </c>
      <c r="C55" s="6" t="s">
        <v>57</v>
      </c>
      <c r="D55" s="7" t="str">
        <f>HYPERLINK("#'Classes by Grade &amp; Education  2'!A1","Classes by Grade &amp; Education  2")</f>
        <v>Classes by Grade &amp; Education  2</v>
      </c>
    </row>
    <row r="56" spans="2:4" ht="15" customHeight="1" x14ac:dyDescent="0.25">
      <c r="B56" s="2" t="s">
        <v>54</v>
      </c>
      <c r="C56" s="3" t="s">
        <v>58</v>
      </c>
      <c r="D56" s="4" t="str">
        <f>HYPERLINK("#'Cluster Schools &amp; Schools in Pa'!A1","Cluster Schools &amp; Schools in Pa")</f>
        <v>Cluster Schools &amp; Schools in Pa</v>
      </c>
    </row>
    <row r="57" spans="2:4" ht="15" customHeight="1" x14ac:dyDescent="0.25">
      <c r="B57" s="5" t="s">
        <v>54</v>
      </c>
      <c r="C57" s="6" t="s">
        <v>59</v>
      </c>
      <c r="D57" s="7" t="str">
        <f>HYPERLINK("#'Cluster Schools &amp; Schools in  1'!A1","Cluster Schools &amp; Schools in  1")</f>
        <v>Cluster Schools &amp; Schools in  1</v>
      </c>
    </row>
    <row r="58" spans="2:4" ht="15" customHeight="1" x14ac:dyDescent="0.25">
      <c r="B58" s="2" t="s">
        <v>54</v>
      </c>
      <c r="C58" s="3" t="s">
        <v>60</v>
      </c>
      <c r="D58" s="4" t="str">
        <f>HYPERLINK("#'Cluster Schools &amp; Schools in  2'!A1","Cluster Schools &amp; Schools in  2")</f>
        <v>Cluster Schools &amp; Schools in  2</v>
      </c>
    </row>
    <row r="59" spans="2:4" ht="15" customHeight="1" x14ac:dyDescent="0.25">
      <c r="B59" s="5" t="s">
        <v>54</v>
      </c>
      <c r="C59" s="6" t="s">
        <v>61</v>
      </c>
      <c r="D59" s="7" t="str">
        <f>HYPERLINK("#'School Characteristics &amp; Prin 1'!A1","School Characteristics &amp; Prin 1")</f>
        <v>School Characteristics &amp; Prin 1</v>
      </c>
    </row>
    <row r="60" spans="2:4" ht="15" customHeight="1" x14ac:dyDescent="0.25">
      <c r="B60" s="2" t="s">
        <v>54</v>
      </c>
      <c r="C60" s="3" t="s">
        <v>62</v>
      </c>
      <c r="D60" s="4" t="str">
        <f>HYPERLINK("#'School Characteristics &amp; Princi'!A1","School Characteristics &amp; Princi")</f>
        <v>School Characteristics &amp; Princi</v>
      </c>
    </row>
    <row r="61" spans="2:4" ht="15" customHeight="1" x14ac:dyDescent="0.25">
      <c r="B61" s="5" t="s">
        <v>54</v>
      </c>
      <c r="C61" s="6" t="s">
        <v>63</v>
      </c>
      <c r="D61" s="7" t="str">
        <f>HYPERLINK("#'School Characteristics &amp; Prin 2'!A1","School Characteristics &amp; Prin 2")</f>
        <v>School Characteristics &amp; Prin 2</v>
      </c>
    </row>
    <row r="62" spans="2:4" ht="15" customHeight="1" x14ac:dyDescent="0.25">
      <c r="B62" s="2" t="s">
        <v>54</v>
      </c>
      <c r="C62" s="3" t="s">
        <v>64</v>
      </c>
      <c r="D62" s="4" t="str">
        <f>HYPERLINK("#'School Characteristics &amp; Prin 3'!A1","School Characteristics &amp; Prin 3")</f>
        <v>School Characteristics &amp; Prin 3</v>
      </c>
    </row>
    <row r="63" spans="2:4" ht="15" customHeight="1" x14ac:dyDescent="0.25">
      <c r="B63" s="5" t="s">
        <v>54</v>
      </c>
      <c r="C63" s="6" t="s">
        <v>65</v>
      </c>
      <c r="D63" s="7" t="str">
        <f>HYPERLINK("#'Schools by Highest Grade Taug 1'!A1","Schools by Highest Grade Taug 1")</f>
        <v>Schools by Highest Grade Taug 1</v>
      </c>
    </row>
    <row r="64" spans="2:4" ht="15" customHeight="1" x14ac:dyDescent="0.25">
      <c r="B64" s="2" t="s">
        <v>54</v>
      </c>
      <c r="C64" s="3" t="s">
        <v>66</v>
      </c>
      <c r="D64" s="4" t="str">
        <f>HYPERLINK("#'Schools by Highest Grade Taug 2'!A1","Schools by Highest Grade Taug 2")</f>
        <v>Schools by Highest Grade Taug 2</v>
      </c>
    </row>
    <row r="65" spans="2:4" ht="15" customHeight="1" x14ac:dyDescent="0.25">
      <c r="B65" s="5" t="s">
        <v>54</v>
      </c>
      <c r="C65" s="6" t="s">
        <v>67</v>
      </c>
      <c r="D65" s="7" t="str">
        <f>HYPERLINK("#'Schools by Highest Grade Taug 4'!A1","Schools by Highest Grade Taug 4")</f>
        <v>Schools by Highest Grade Taug 4</v>
      </c>
    </row>
    <row r="66" spans="2:4" ht="15" customHeight="1" x14ac:dyDescent="0.25">
      <c r="B66" s="2" t="s">
        <v>54</v>
      </c>
      <c r="C66" s="3" t="s">
        <v>68</v>
      </c>
      <c r="D66" s="4" t="str">
        <f>HYPERLINK("#'Schools by Highest Grade Taught'!A1","Schools by Highest Grade Taught")</f>
        <v>Schools by Highest Grade Taught</v>
      </c>
    </row>
    <row r="67" spans="2:4" ht="15" customHeight="1" x14ac:dyDescent="0.25">
      <c r="B67" s="5" t="s">
        <v>54</v>
      </c>
      <c r="C67" s="6" t="s">
        <v>69</v>
      </c>
      <c r="D67" s="7" t="str">
        <f>HYPERLINK("#'Schools by Highest Grade Taug 3'!A1","Schools by Highest Grade Taug 3")</f>
        <v>Schools by Highest Grade Taug 3</v>
      </c>
    </row>
    <row r="68" spans="2:4" ht="15" customHeight="1" x14ac:dyDescent="0.25">
      <c r="B68" s="2" t="s">
        <v>54</v>
      </c>
      <c r="C68" s="3" t="s">
        <v>70</v>
      </c>
      <c r="D68" s="4" t="str">
        <f>HYPERLINK("#'Schools by Highest Grade Taug 5'!A1","Schools by Highest Grade Taug 5")</f>
        <v>Schools by Highest Grade Taug 5</v>
      </c>
    </row>
    <row r="69" spans="2:4" ht="17.100000000000001" customHeight="1" x14ac:dyDescent="0.25">
      <c r="B69" s="26" t="s">
        <v>71</v>
      </c>
      <c r="C69" s="27"/>
      <c r="D69" s="27"/>
    </row>
    <row r="70" spans="2:4" ht="15" customHeight="1" x14ac:dyDescent="0.25">
      <c r="B70" s="2" t="s">
        <v>72</v>
      </c>
      <c r="C70" s="3" t="s">
        <v>73</v>
      </c>
      <c r="D70" s="4" t="str">
        <f>HYPERLINK("#'Enrollment &amp; Repeaters by Gra 1'!A1","Enrollment &amp; Repeaters by Gra 1")</f>
        <v>Enrollment &amp; Repeaters by Gra 1</v>
      </c>
    </row>
    <row r="71" spans="2:4" ht="15" customHeight="1" x14ac:dyDescent="0.25">
      <c r="B71" s="5" t="s">
        <v>72</v>
      </c>
      <c r="C71" s="6" t="s">
        <v>74</v>
      </c>
      <c r="D71" s="7" t="str">
        <f>HYPERLINK("#'Enrollment &amp; Repeaters by Gra 2'!A1","Enrollment &amp; Repeaters by Gra 2")</f>
        <v>Enrollment &amp; Repeaters by Gra 2</v>
      </c>
    </row>
    <row r="72" spans="2:4" ht="15" customHeight="1" x14ac:dyDescent="0.25">
      <c r="B72" s="2" t="s">
        <v>72</v>
      </c>
      <c r="C72" s="3" t="s">
        <v>75</v>
      </c>
      <c r="D72" s="4" t="str">
        <f>HYPERLINK("#'Enrollment &amp; Repeaters by Gra 4'!A1","Enrollment &amp; Repeaters by Gra 4")</f>
        <v>Enrollment &amp; Repeaters by Gra 4</v>
      </c>
    </row>
    <row r="73" spans="2:4" ht="15" customHeight="1" x14ac:dyDescent="0.25">
      <c r="B73" s="5" t="s">
        <v>72</v>
      </c>
      <c r="C73" s="6" t="s">
        <v>76</v>
      </c>
      <c r="D73" s="7" t="str">
        <f>HYPERLINK("#'Enrollment &amp; Repeaters by Grade'!A1","Enrollment &amp; Repeaters by Grade")</f>
        <v>Enrollment &amp; Repeaters by Grade</v>
      </c>
    </row>
    <row r="74" spans="2:4" ht="15" customHeight="1" x14ac:dyDescent="0.25">
      <c r="B74" s="2" t="s">
        <v>72</v>
      </c>
      <c r="C74" s="3" t="s">
        <v>77</v>
      </c>
      <c r="D74" s="4" t="str">
        <f>HYPERLINK("#'Enrollment &amp; Repeaters by Gra 3'!A1","Enrollment &amp; Repeaters by Gra 3")</f>
        <v>Enrollment &amp; Repeaters by Gra 3</v>
      </c>
    </row>
    <row r="75" spans="2:4" ht="15" customHeight="1" x14ac:dyDescent="0.25">
      <c r="B75" s="5" t="s">
        <v>72</v>
      </c>
      <c r="C75" s="6" t="s">
        <v>78</v>
      </c>
      <c r="D75" s="7" t="str">
        <f>HYPERLINK("#'Enrollment &amp; Repeaters by Gra 5'!A1","Enrollment &amp; Repeaters by Gra 5")</f>
        <v>Enrollment &amp; Repeaters by Gra 5</v>
      </c>
    </row>
    <row r="76" spans="2:4" ht="15" customHeight="1" x14ac:dyDescent="0.25">
      <c r="B76" s="2" t="s">
        <v>72</v>
      </c>
      <c r="C76" s="3" t="s">
        <v>79</v>
      </c>
      <c r="D76" s="4" t="str">
        <f>HYPERLINK("#'Enrollment by Level (incl. Priv'!A1","Enrollment by Level (incl. Priv")</f>
        <v>Enrollment by Level (incl. Priv</v>
      </c>
    </row>
    <row r="77" spans="2:4" ht="15" customHeight="1" x14ac:dyDescent="0.25">
      <c r="B77" s="5" t="s">
        <v>72</v>
      </c>
      <c r="C77" s="6" t="s">
        <v>80</v>
      </c>
      <c r="D77" s="7" t="str">
        <f>HYPERLINK("#'Enrollment by Level 2016-2017 -'!A1","Enrollment by Level 2016-2017 -")</f>
        <v>Enrollment by Level 2016-2017 -</v>
      </c>
    </row>
    <row r="78" spans="2:4" ht="15" customHeight="1" x14ac:dyDescent="0.25">
      <c r="B78" s="2" t="s">
        <v>72</v>
      </c>
      <c r="C78" s="3" t="s">
        <v>81</v>
      </c>
      <c r="D78" s="4" t="str">
        <f>HYPERLINK("#'Enrollment by Level 2017-2018 1'!A1","Enrollment by Level 2017-2018 1")</f>
        <v>Enrollment by Level 2017-2018 1</v>
      </c>
    </row>
    <row r="79" spans="2:4" ht="15" customHeight="1" x14ac:dyDescent="0.25">
      <c r="B79" s="5" t="s">
        <v>72</v>
      </c>
      <c r="C79" s="6" t="s">
        <v>82</v>
      </c>
      <c r="D79" s="7" t="str">
        <f>HYPERLINK("#'Enrollment by Level 2017-2018 -'!A1","Enrollment by Level 2017-2018 -")</f>
        <v>Enrollment by Level 2017-2018 -</v>
      </c>
    </row>
    <row r="80" spans="2:4" ht="15" customHeight="1" x14ac:dyDescent="0.25">
      <c r="B80" s="2" t="s">
        <v>72</v>
      </c>
      <c r="C80" s="3" t="s">
        <v>83</v>
      </c>
      <c r="D80" s="4" t="str">
        <f>HYPERLINK("#'Enrollment by Level 2018-2019 -'!A1","Enrollment by Level 2018-2019 -")</f>
        <v>Enrollment by Level 2018-2019 -</v>
      </c>
    </row>
    <row r="81" spans="2:4" ht="15" customHeight="1" x14ac:dyDescent="0.25">
      <c r="B81" s="5" t="s">
        <v>72</v>
      </c>
      <c r="C81" s="6" t="s">
        <v>84</v>
      </c>
      <c r="D81" s="7" t="str">
        <f>HYPERLINK("#'Enrollment by Level 2018-2019 1'!A1","Enrollment by Level 2018-2019 1")</f>
        <v>Enrollment by Level 2018-2019 1</v>
      </c>
    </row>
    <row r="82" spans="2:4" ht="15" customHeight="1" x14ac:dyDescent="0.25">
      <c r="B82" s="2" t="s">
        <v>72</v>
      </c>
      <c r="C82" s="3" t="s">
        <v>85</v>
      </c>
      <c r="D82" s="4" t="str">
        <f>HYPERLINK("#'Enrollment by Level 2019-2020 -'!A1","Enrollment by Level 2019-2020 -")</f>
        <v>Enrollment by Level 2019-2020 -</v>
      </c>
    </row>
    <row r="83" spans="2:4" ht="15" customHeight="1" x14ac:dyDescent="0.25">
      <c r="B83" s="5" t="s">
        <v>72</v>
      </c>
      <c r="C83" s="6" t="s">
        <v>86</v>
      </c>
      <c r="D83" s="7" t="str">
        <f>HYPERLINK("#'Enrollment by Level 2019-2020 1'!A1","Enrollment by Level 2019-2020 1")</f>
        <v>Enrollment by Level 2019-2020 1</v>
      </c>
    </row>
    <row r="84" spans="2:4" ht="15" customHeight="1" x14ac:dyDescent="0.25">
      <c r="B84" s="2" t="s">
        <v>72</v>
      </c>
      <c r="C84" s="3" t="s">
        <v>87</v>
      </c>
      <c r="D84" s="4" t="str">
        <f>HYPERLINK("#'Enrollment by Level 2020-2021 -'!A1","Enrollment by Level 2020-2021 -")</f>
        <v>Enrollment by Level 2020-2021 -</v>
      </c>
    </row>
    <row r="85" spans="2:4" ht="15" customHeight="1" x14ac:dyDescent="0.25">
      <c r="B85" s="5" t="s">
        <v>72</v>
      </c>
      <c r="C85" s="6" t="s">
        <v>88</v>
      </c>
      <c r="D85" s="7" t="str">
        <f>HYPERLINK("#'Enrollment by Level 2020-2021 1'!A1","Enrollment by Level 2020-2021 1")</f>
        <v>Enrollment by Level 2020-2021 1</v>
      </c>
    </row>
    <row r="86" spans="2:4" ht="15" customHeight="1" x14ac:dyDescent="0.25">
      <c r="B86" s="2" t="s">
        <v>72</v>
      </c>
      <c r="C86" s="3" t="s">
        <v>89</v>
      </c>
      <c r="D86" s="4" t="str">
        <f>HYPERLINK("#'Enrollment by Level 2021-2022 -'!A1","Enrollment by Level 2021-2022 -")</f>
        <v>Enrollment by Level 2021-2022 -</v>
      </c>
    </row>
    <row r="87" spans="2:4" ht="15" customHeight="1" x14ac:dyDescent="0.25">
      <c r="B87" s="5" t="s">
        <v>72</v>
      </c>
      <c r="C87" s="6" t="s">
        <v>90</v>
      </c>
      <c r="D87" s="7" t="str">
        <f>HYPERLINK("#'New Intake &amp; Enrollment by Ag 2'!A1","New Intake &amp; Enrollment by Ag 2")</f>
        <v>New Intake &amp; Enrollment by Ag 2</v>
      </c>
    </row>
    <row r="88" spans="2:4" ht="15" customHeight="1" x14ac:dyDescent="0.25">
      <c r="B88" s="2" t="s">
        <v>72</v>
      </c>
      <c r="C88" s="3" t="s">
        <v>91</v>
      </c>
      <c r="D88" s="4" t="str">
        <f>HYPERLINK("#'New Intake &amp; Enrollment by Ag 4'!A1","New Intake &amp; Enrollment by Ag 4")</f>
        <v>New Intake &amp; Enrollment by Ag 4</v>
      </c>
    </row>
    <row r="89" spans="2:4" ht="15" customHeight="1" x14ac:dyDescent="0.25">
      <c r="B89" s="5" t="s">
        <v>72</v>
      </c>
      <c r="C89" s="6" t="s">
        <v>92</v>
      </c>
      <c r="D89" s="7" t="str">
        <f>HYPERLINK("#'New Intake &amp; Enrollment by Ag 8'!A1","New Intake &amp; Enrollment by Ag 8")</f>
        <v>New Intake &amp; Enrollment by Ag 8</v>
      </c>
    </row>
    <row r="90" spans="2:4" ht="15" customHeight="1" x14ac:dyDescent="0.25">
      <c r="B90" s="2" t="s">
        <v>72</v>
      </c>
      <c r="C90" s="3" t="s">
        <v>93</v>
      </c>
      <c r="D90" s="4" t="str">
        <f>HYPERLINK("#'New Intake &amp; Enrollment by Age '!A1","New Intake &amp; Enrollment by Age ")</f>
        <v xml:space="preserve">New Intake &amp; Enrollment by Age </v>
      </c>
    </row>
    <row r="91" spans="2:4" ht="15" customHeight="1" x14ac:dyDescent="0.25">
      <c r="B91" s="5" t="s">
        <v>72</v>
      </c>
      <c r="C91" s="6" t="s">
        <v>94</v>
      </c>
      <c r="D91" s="7" t="str">
        <f>HYPERLINK("#'New Intake &amp; Enrollment by Ag 6'!A1","New Intake &amp; Enrollment by Ag 6")</f>
        <v>New Intake &amp; Enrollment by Ag 6</v>
      </c>
    </row>
    <row r="92" spans="2:4" ht="15" customHeight="1" x14ac:dyDescent="0.25">
      <c r="B92" s="2" t="s">
        <v>72</v>
      </c>
      <c r="C92" s="3" t="s">
        <v>95</v>
      </c>
      <c r="D92" s="4" t="str">
        <f>HYPERLINK("#'New Intake &amp; Enrollment by A 10'!A1","New Intake &amp; Enrollment by A 10")</f>
        <v>New Intake &amp; Enrollment by A 10</v>
      </c>
    </row>
    <row r="93" spans="2:4" ht="15" customHeight="1" x14ac:dyDescent="0.25">
      <c r="B93" s="5" t="s">
        <v>72</v>
      </c>
      <c r="C93" s="6" t="s">
        <v>96</v>
      </c>
      <c r="D93" s="7" t="str">
        <f>HYPERLINK("#'New Intake &amp; Enrollment by Ag 3'!A1","New Intake &amp; Enrollment by Ag 3")</f>
        <v>New Intake &amp; Enrollment by Ag 3</v>
      </c>
    </row>
    <row r="94" spans="2:4" ht="15" customHeight="1" x14ac:dyDescent="0.25">
      <c r="B94" s="2" t="s">
        <v>72</v>
      </c>
      <c r="C94" s="3" t="s">
        <v>97</v>
      </c>
      <c r="D94" s="4" t="str">
        <f>HYPERLINK("#'New Intake &amp; Enrollment by Ag 5'!A1","New Intake &amp; Enrollment by Ag 5")</f>
        <v>New Intake &amp; Enrollment by Ag 5</v>
      </c>
    </row>
    <row r="95" spans="2:4" ht="15" customHeight="1" x14ac:dyDescent="0.25">
      <c r="B95" s="5" t="s">
        <v>72</v>
      </c>
      <c r="C95" s="6" t="s">
        <v>98</v>
      </c>
      <c r="D95" s="7" t="str">
        <f>HYPERLINK("#'New Intake &amp; Enrollment by Ag 9'!A1","New Intake &amp; Enrollment by Ag 9")</f>
        <v>New Intake &amp; Enrollment by Ag 9</v>
      </c>
    </row>
    <row r="96" spans="2:4" ht="15" customHeight="1" x14ac:dyDescent="0.25">
      <c r="B96" s="2" t="s">
        <v>72</v>
      </c>
      <c r="C96" s="3" t="s">
        <v>99</v>
      </c>
      <c r="D96" s="4" t="str">
        <f>HYPERLINK("#'New Intake &amp; Enrollment by Ag 1'!A1","New Intake &amp; Enrollment by Ag 1")</f>
        <v>New Intake &amp; Enrollment by Ag 1</v>
      </c>
    </row>
    <row r="97" spans="2:4" ht="15" customHeight="1" x14ac:dyDescent="0.25">
      <c r="B97" s="5" t="s">
        <v>72</v>
      </c>
      <c r="C97" s="6" t="s">
        <v>100</v>
      </c>
      <c r="D97" s="7" t="str">
        <f>HYPERLINK("#'New Intake &amp; Enrollment by Ag 7'!A1","New Intake &amp; Enrollment by Ag 7")</f>
        <v>New Intake &amp; Enrollment by Ag 7</v>
      </c>
    </row>
    <row r="98" spans="2:4" ht="15" customHeight="1" x14ac:dyDescent="0.25">
      <c r="B98" s="2" t="s">
        <v>72</v>
      </c>
      <c r="C98" s="3" t="s">
        <v>101</v>
      </c>
      <c r="D98" s="4" t="str">
        <f>HYPERLINK("#'New Intake &amp; Enrollment by A 11'!A1","New Intake &amp; Enrollment by A 11")</f>
        <v>New Intake &amp; Enrollment by A 11</v>
      </c>
    </row>
    <row r="99" spans="2:4" ht="15" customHeight="1" x14ac:dyDescent="0.25">
      <c r="B99" s="5" t="s">
        <v>72</v>
      </c>
      <c r="C99" s="6" t="s">
        <v>102</v>
      </c>
      <c r="D99" s="7" t="str">
        <f>HYPERLINK("#'Pre-School Enrollment Rate by A'!A1","Pre-School Enrollment Rate by A")</f>
        <v>Pre-School Enrollment Rate by A</v>
      </c>
    </row>
    <row r="100" spans="2:4" ht="15" customHeight="1" x14ac:dyDescent="0.25">
      <c r="B100" s="2" t="s">
        <v>72</v>
      </c>
      <c r="C100" s="3" t="s">
        <v>103</v>
      </c>
      <c r="D100" s="4" t="str">
        <f>HYPERLINK("#'Pre-School Enrollment Rate by 1'!A1","Pre-School Enrollment Rate by 1")</f>
        <v>Pre-School Enrollment Rate by 1</v>
      </c>
    </row>
    <row r="101" spans="2:4" ht="15" customHeight="1" x14ac:dyDescent="0.25">
      <c r="B101" s="5" t="s">
        <v>72</v>
      </c>
      <c r="C101" s="6" t="s">
        <v>104</v>
      </c>
      <c r="D101" s="7" t="str">
        <f>HYPERLINK("#'Pre-School Enrollment by Age (3'!A1","Pre-School Enrollment by Age (3")</f>
        <v>Pre-School Enrollment by Age (3</v>
      </c>
    </row>
    <row r="102" spans="2:4" ht="15" customHeight="1" x14ac:dyDescent="0.25">
      <c r="B102" s="2" t="s">
        <v>72</v>
      </c>
      <c r="C102" s="3" t="s">
        <v>105</v>
      </c>
      <c r="D102" s="4" t="str">
        <f>HYPERLINK("#'Pre-School Enrollment by Age  1'!A1","Pre-School Enrollment by Age  1")</f>
        <v>Pre-School Enrollment by Age  1</v>
      </c>
    </row>
    <row r="103" spans="2:4" ht="15" customHeight="1" x14ac:dyDescent="0.25">
      <c r="B103" s="5" t="s">
        <v>72</v>
      </c>
      <c r="C103" s="6" t="s">
        <v>106</v>
      </c>
      <c r="D103" s="7" t="str">
        <f>HYPERLINK("#'Pre-School Enrollment by Age  3'!A1","Pre-School Enrollment by Age  3")</f>
        <v>Pre-School Enrollment by Age  3</v>
      </c>
    </row>
    <row r="104" spans="2:4" ht="15" customHeight="1" x14ac:dyDescent="0.25">
      <c r="B104" s="2" t="s">
        <v>72</v>
      </c>
      <c r="C104" s="3" t="s">
        <v>107</v>
      </c>
      <c r="D104" s="4" t="str">
        <f>HYPERLINK("#'Pre-School Enrollment by Age  2'!A1","Pre-School Enrollment by Age  2")</f>
        <v>Pre-School Enrollment by Age  2</v>
      </c>
    </row>
    <row r="105" spans="2:4" ht="15" customHeight="1" x14ac:dyDescent="0.25">
      <c r="B105" s="5" t="s">
        <v>72</v>
      </c>
      <c r="C105" s="6" t="s">
        <v>108</v>
      </c>
      <c r="D105" s="7" t="str">
        <f>HYPERLINK("#'Pre-School Enrollment by Step 1'!A1","Pre-School Enrollment by Step 1")</f>
        <v>Pre-School Enrollment by Step 1</v>
      </c>
    </row>
    <row r="106" spans="2:4" ht="15" customHeight="1" x14ac:dyDescent="0.25">
      <c r="B106" s="2" t="s">
        <v>72</v>
      </c>
      <c r="C106" s="3" t="s">
        <v>109</v>
      </c>
      <c r="D106" s="4" t="str">
        <f>HYPERLINK("#'Pre-School Enrollment by Step 2'!A1","Pre-School Enrollment by Step 2")</f>
        <v>Pre-School Enrollment by Step 2</v>
      </c>
    </row>
    <row r="107" spans="2:4" ht="15" customHeight="1" x14ac:dyDescent="0.25">
      <c r="B107" s="5" t="s">
        <v>72</v>
      </c>
      <c r="C107" s="6" t="s">
        <v>110</v>
      </c>
      <c r="D107" s="7" t="str">
        <f>HYPERLINK("#'Pre-School Enrollment by Step 4'!A1","Pre-School Enrollment by Step 4")</f>
        <v>Pre-School Enrollment by Step 4</v>
      </c>
    </row>
    <row r="108" spans="2:4" ht="15" customHeight="1" x14ac:dyDescent="0.25">
      <c r="B108" s="2" t="s">
        <v>72</v>
      </c>
      <c r="C108" s="3" t="s">
        <v>111</v>
      </c>
      <c r="D108" s="4" t="str">
        <f>HYPERLINK("#'Pre-School Enrollment by Step -'!A1","Pre-School Enrollment by Step -")</f>
        <v>Pre-School Enrollment by Step -</v>
      </c>
    </row>
    <row r="109" spans="2:4" ht="15" customHeight="1" x14ac:dyDescent="0.25">
      <c r="B109" s="5" t="s">
        <v>72</v>
      </c>
      <c r="C109" s="6" t="s">
        <v>112</v>
      </c>
      <c r="D109" s="7" t="str">
        <f>HYPERLINK("#'Pre-School Enrollment by Step 3'!A1","Pre-School Enrollment by Step 3")</f>
        <v>Pre-School Enrollment by Step 3</v>
      </c>
    </row>
    <row r="110" spans="2:4" ht="15" customHeight="1" x14ac:dyDescent="0.25">
      <c r="B110" s="2" t="s">
        <v>72</v>
      </c>
      <c r="C110" s="3" t="s">
        <v>113</v>
      </c>
      <c r="D110" s="4" t="str">
        <f>HYPERLINK("#'Pre-School Enrollment by Step 5'!A1","Pre-School Enrollment by Step 5")</f>
        <v>Pre-School Enrollment by Step 5</v>
      </c>
    </row>
    <row r="111" spans="2:4" ht="17.100000000000001" customHeight="1" x14ac:dyDescent="0.25">
      <c r="B111" s="30" t="s">
        <v>114</v>
      </c>
      <c r="C111" s="31"/>
      <c r="D111" s="31"/>
    </row>
    <row r="112" spans="2:4" ht="15" customHeight="1" x14ac:dyDescent="0.25">
      <c r="B112" s="2" t="s">
        <v>115</v>
      </c>
      <c r="C112" s="3" t="s">
        <v>116</v>
      </c>
      <c r="D112" s="4" t="str">
        <f>HYPERLINK("#'Non-Teaching Staff by Education'!A1","Non-Teaching Staff by Education")</f>
        <v>Non-Teaching Staff by Education</v>
      </c>
    </row>
    <row r="113" spans="2:4" ht="15" customHeight="1" x14ac:dyDescent="0.25">
      <c r="B113" s="5" t="s">
        <v>115</v>
      </c>
      <c r="C113" s="6" t="s">
        <v>117</v>
      </c>
      <c r="D113" s="7" t="str">
        <f>HYPERLINK("#'Non-Teaching Staff by Educati 1'!A1","Non-Teaching Staff by Educati 1")</f>
        <v>Non-Teaching Staff by Educati 1</v>
      </c>
    </row>
    <row r="114" spans="2:4" ht="15" customHeight="1" x14ac:dyDescent="0.25">
      <c r="B114" s="2" t="s">
        <v>115</v>
      </c>
      <c r="C114" s="3" t="s">
        <v>118</v>
      </c>
      <c r="D114" s="4" t="str">
        <f>HYPERLINK("#'Non-Teaching Staff by Educati 2'!A1","Non-Teaching Staff by Educati 2")</f>
        <v>Non-Teaching Staff by Educati 2</v>
      </c>
    </row>
    <row r="115" spans="2:4" ht="15" customHeight="1" x14ac:dyDescent="0.25">
      <c r="B115" s="5" t="s">
        <v>115</v>
      </c>
      <c r="C115" s="6" t="s">
        <v>119</v>
      </c>
      <c r="D115" s="7" t="str">
        <f>HYPERLINK("#'Provincial &amp; District Education'!A1","Provincial &amp; District Education")</f>
        <v>Provincial &amp; District Education</v>
      </c>
    </row>
    <row r="116" spans="2:4" ht="15" customHeight="1" x14ac:dyDescent="0.25">
      <c r="B116" s="2" t="s">
        <v>115</v>
      </c>
      <c r="C116" s="3" t="s">
        <v>120</v>
      </c>
      <c r="D116" s="4" t="str">
        <f>HYPERLINK("#'Provincial &amp; District Educati 1'!A1","Provincial &amp; District Educati 1")</f>
        <v>Provincial &amp; District Educati 1</v>
      </c>
    </row>
    <row r="117" spans="2:4" ht="15" customHeight="1" x14ac:dyDescent="0.25">
      <c r="B117" s="5" t="s">
        <v>115</v>
      </c>
      <c r="C117" s="6" t="s">
        <v>121</v>
      </c>
      <c r="D117" s="7" t="str">
        <f>HYPERLINK("#'Provincial &amp; District Educati 2'!A1","Provincial &amp; District Educati 2")</f>
        <v>Provincial &amp; District Educati 2</v>
      </c>
    </row>
    <row r="118" spans="2:4" ht="15" customHeight="1" x14ac:dyDescent="0.25">
      <c r="B118" s="2" t="s">
        <v>115</v>
      </c>
      <c r="C118" s="3" t="s">
        <v>122</v>
      </c>
      <c r="D118" s="4" t="str">
        <f>HYPERLINK("#'School Staff - Special Function'!A1","School Staff - Special Function")</f>
        <v>School Staff - Special Function</v>
      </c>
    </row>
    <row r="119" spans="2:4" ht="15" customHeight="1" x14ac:dyDescent="0.25">
      <c r="B119" s="5" t="s">
        <v>115</v>
      </c>
      <c r="C119" s="6" t="s">
        <v>123</v>
      </c>
      <c r="D119" s="7" t="str">
        <f>HYPERLINK("#'School Staff - Special Functi 1'!A1","School Staff - Special Functi 1")</f>
        <v>School Staff - Special Functi 1</v>
      </c>
    </row>
    <row r="120" spans="2:4" ht="15" customHeight="1" x14ac:dyDescent="0.25">
      <c r="B120" s="2" t="s">
        <v>115</v>
      </c>
      <c r="C120" s="3" t="s">
        <v>124</v>
      </c>
      <c r="D120" s="4" t="str">
        <f>HYPERLINK("#'School Staff - Special Functi 2'!A1","School Staff - Special Functi 2")</f>
        <v>School Staff - Special Functi 2</v>
      </c>
    </row>
    <row r="121" spans="2:4" ht="15" customHeight="1" x14ac:dyDescent="0.25">
      <c r="B121" s="5" t="s">
        <v>115</v>
      </c>
      <c r="C121" s="6" t="s">
        <v>125</v>
      </c>
      <c r="D121" s="7" t="str">
        <f>HYPERLINK("#'School Staff by Education Level'!A1","School Staff by Education Level")</f>
        <v>School Staff by Education Level</v>
      </c>
    </row>
    <row r="122" spans="2:4" ht="15" customHeight="1" x14ac:dyDescent="0.25">
      <c r="B122" s="2" t="s">
        <v>115</v>
      </c>
      <c r="C122" s="3" t="s">
        <v>126</v>
      </c>
      <c r="D122" s="4" t="str">
        <f>HYPERLINK("#'School Staff by Education Lev 1'!A1","School Staff by Education Lev 1")</f>
        <v>School Staff by Education Lev 1</v>
      </c>
    </row>
    <row r="123" spans="2:4" ht="15" customHeight="1" x14ac:dyDescent="0.25">
      <c r="B123" s="5" t="s">
        <v>115</v>
      </c>
      <c r="C123" s="6" t="s">
        <v>127</v>
      </c>
      <c r="D123" s="7" t="str">
        <f>HYPERLINK("#'School Staff by Education Lev 2'!A1","School Staff by Education Lev 2")</f>
        <v>School Staff by Education Lev 2</v>
      </c>
    </row>
    <row r="124" spans="2:4" ht="15" customHeight="1" x14ac:dyDescent="0.25">
      <c r="B124" s="2" t="s">
        <v>115</v>
      </c>
      <c r="C124" s="3" t="s">
        <v>128</v>
      </c>
      <c r="D124" s="4" t="str">
        <f>HYPERLINK("#'Teaching Staff - Pedagogical Tr'!A1","Teaching Staff - Pedagogical Tr")</f>
        <v>Teaching Staff - Pedagogical Tr</v>
      </c>
    </row>
    <row r="125" spans="2:4" ht="15" customHeight="1" x14ac:dyDescent="0.25">
      <c r="B125" s="5" t="s">
        <v>115</v>
      </c>
      <c r="C125" s="6" t="s">
        <v>129</v>
      </c>
      <c r="D125" s="7" t="str">
        <f>HYPERLINK("#'Teaching Staff - Pedagogical  1'!A1","Teaching Staff - Pedagogical  1")</f>
        <v>Teaching Staff - Pedagogical  1</v>
      </c>
    </row>
    <row r="126" spans="2:4" ht="15" customHeight="1" x14ac:dyDescent="0.25">
      <c r="B126" s="2" t="s">
        <v>115</v>
      </c>
      <c r="C126" s="3" t="s">
        <v>130</v>
      </c>
      <c r="D126" s="4" t="str">
        <f>HYPERLINK("#'Teaching Staff - Pedagogical  2'!A1","Teaching Staff - Pedagogical  2")</f>
        <v>Teaching Staff - Pedagogical  2</v>
      </c>
    </row>
    <row r="127" spans="2:4" ht="15" customHeight="1" x14ac:dyDescent="0.25">
      <c r="B127" s="5" t="s">
        <v>115</v>
      </c>
      <c r="C127" s="6" t="s">
        <v>131</v>
      </c>
      <c r="D127" s="7" t="str">
        <f>HYPERLINK("#'Teaching Staff by Education Lev'!A1","Teaching Staff by Education Lev")</f>
        <v>Teaching Staff by Education Lev</v>
      </c>
    </row>
    <row r="128" spans="2:4" ht="15" customHeight="1" x14ac:dyDescent="0.25">
      <c r="B128" s="2" t="s">
        <v>115</v>
      </c>
      <c r="C128" s="3" t="s">
        <v>132</v>
      </c>
      <c r="D128" s="4" t="str">
        <f>HYPERLINK("#'Teaching Staff by Education L 1'!A1","Teaching Staff by Education L 1")</f>
        <v>Teaching Staff by Education L 1</v>
      </c>
    </row>
    <row r="129" spans="2:4" ht="15" customHeight="1" x14ac:dyDescent="0.25">
      <c r="B129" s="5" t="s">
        <v>115</v>
      </c>
      <c r="C129" s="6" t="s">
        <v>133</v>
      </c>
      <c r="D129" s="7" t="str">
        <f>HYPERLINK("#'Teaching Staff by Education L 2'!A1","Teaching Staff by Education L 2")</f>
        <v>Teaching Staff by Education L 2</v>
      </c>
    </row>
    <row r="130" spans="2:4" ht="17.100000000000001" customHeight="1" x14ac:dyDescent="0.25">
      <c r="B130" s="22" t="s">
        <v>134</v>
      </c>
      <c r="C130" s="23"/>
      <c r="D130" s="23"/>
    </row>
    <row r="131" spans="2:4" ht="15" customHeight="1" x14ac:dyDescent="0.25">
      <c r="B131" s="5" t="s">
        <v>135</v>
      </c>
      <c r="C131" s="6" t="s">
        <v>136</v>
      </c>
      <c r="D131" s="7" t="str">
        <f>HYPERLINK("#'Classroom Conditions &amp; Office-L'!A1","Classroom Conditions &amp; Office-L")</f>
        <v>Classroom Conditions &amp; Office-L</v>
      </c>
    </row>
    <row r="132" spans="2:4" ht="15" customHeight="1" x14ac:dyDescent="0.25">
      <c r="B132" s="2" t="s">
        <v>135</v>
      </c>
      <c r="C132" s="3" t="s">
        <v>137</v>
      </c>
      <c r="D132" s="4" t="str">
        <f>HYPERLINK("#'Classroom Conditions &amp; Office 1'!A1","Classroom Conditions &amp; Office 1")</f>
        <v>Classroom Conditions &amp; Office 1</v>
      </c>
    </row>
    <row r="133" spans="2:4" ht="15" customHeight="1" x14ac:dyDescent="0.25">
      <c r="B133" s="5" t="s">
        <v>135</v>
      </c>
      <c r="C133" s="6" t="s">
        <v>138</v>
      </c>
      <c r="D133" s="7" t="str">
        <f>HYPERLINK("#'Classroom Conditions &amp; Office 2'!A1","Classroom Conditions &amp; Office 2")</f>
        <v>Classroom Conditions &amp; Office 2</v>
      </c>
    </row>
    <row r="134" spans="2:4" ht="15" customHeight="1" x14ac:dyDescent="0.25">
      <c r="B134" s="2" t="s">
        <v>135</v>
      </c>
      <c r="C134" s="3" t="s">
        <v>139</v>
      </c>
      <c r="D134" s="4" t="str">
        <f>HYPERLINK("#'Community Participation &amp; Finan'!A1","Community Participation &amp; Finan")</f>
        <v>Community Participation &amp; Finan</v>
      </c>
    </row>
    <row r="135" spans="2:4" ht="15" customHeight="1" x14ac:dyDescent="0.25">
      <c r="B135" s="5" t="s">
        <v>135</v>
      </c>
      <c r="C135" s="6" t="s">
        <v>140</v>
      </c>
      <c r="D135" s="7" t="str">
        <f>HYPERLINK("#'Community Participation &amp; Fin 1'!A1","Community Participation &amp; Fin 1")</f>
        <v>Community Participation &amp; Fin 1</v>
      </c>
    </row>
    <row r="136" spans="2:4" ht="15" customHeight="1" x14ac:dyDescent="0.25">
      <c r="B136" s="2" t="s">
        <v>135</v>
      </c>
      <c r="C136" s="3" t="s">
        <v>141</v>
      </c>
      <c r="D136" s="4" t="str">
        <f>HYPERLINK("#'Community Participation &amp; Fin 2'!A1","Community Participation &amp; Fin 2")</f>
        <v>Community Participation &amp; Fin 2</v>
      </c>
    </row>
    <row r="137" spans="2:4" ht="15" customHeight="1" x14ac:dyDescent="0.25">
      <c r="B137" s="5" t="s">
        <v>135</v>
      </c>
      <c r="C137" s="6" t="s">
        <v>142</v>
      </c>
      <c r="D137" s="7" t="str">
        <f>HYPERLINK("#'Learning Facilities (Computers,'!A1","Learning Facilities (Computers,")</f>
        <v>Learning Facilities (Computers,</v>
      </c>
    </row>
    <row r="138" spans="2:4" ht="15" customHeight="1" x14ac:dyDescent="0.25">
      <c r="B138" s="2" t="s">
        <v>135</v>
      </c>
      <c r="C138" s="3" t="s">
        <v>143</v>
      </c>
      <c r="D138" s="4" t="str">
        <f>HYPERLINK("#'Learning Facilities (Computer 1'!A1","Learning Facilities (Computer 1")</f>
        <v>Learning Facilities (Computer 1</v>
      </c>
    </row>
    <row r="139" spans="2:4" ht="15" customHeight="1" x14ac:dyDescent="0.25">
      <c r="B139" s="5" t="s">
        <v>135</v>
      </c>
      <c r="C139" s="6" t="s">
        <v>144</v>
      </c>
      <c r="D139" s="7" t="str">
        <f>HYPERLINK("#'Learning Facilities (Computer 2'!A1","Learning Facilities (Computer 2")</f>
        <v>Learning Facilities (Computer 2</v>
      </c>
    </row>
    <row r="140" spans="2:4" ht="15" customHeight="1" x14ac:dyDescent="0.25">
      <c r="B140" s="2" t="s">
        <v>135</v>
      </c>
      <c r="C140" s="3" t="s">
        <v>145</v>
      </c>
      <c r="D140" s="4" t="str">
        <f>HYPERLINK("#'School Building Conditions -Pri'!A1","School Building Conditions -Pri")</f>
        <v>School Building Conditions -Pri</v>
      </c>
    </row>
    <row r="141" spans="2:4" ht="15" customHeight="1" x14ac:dyDescent="0.25">
      <c r="B141" s="5" t="s">
        <v>135</v>
      </c>
      <c r="C141" s="6" t="s">
        <v>146</v>
      </c>
      <c r="D141" s="7" t="str">
        <f>HYPERLINK("#'School Building Conditions -P 1'!A1","School Building Conditions -P 1")</f>
        <v>School Building Conditions -P 1</v>
      </c>
    </row>
    <row r="142" spans="2:4" ht="15" customHeight="1" x14ac:dyDescent="0.25">
      <c r="B142" s="2" t="s">
        <v>135</v>
      </c>
      <c r="C142" s="3" t="s">
        <v>147</v>
      </c>
      <c r="D142" s="4" t="str">
        <f>HYPERLINK("#'School Building Conditions -P 3'!A1","School Building Conditions -P 3")</f>
        <v>School Building Conditions -P 3</v>
      </c>
    </row>
    <row r="143" spans="2:4" ht="15" customHeight="1" x14ac:dyDescent="0.25">
      <c r="B143" s="5" t="s">
        <v>135</v>
      </c>
      <c r="C143" s="6" t="s">
        <v>148</v>
      </c>
      <c r="D143" s="7" t="str">
        <f>HYPERLINK("#'School Building Conditions -Pub'!A1","School Building Conditions -Pub")</f>
        <v>School Building Conditions -Pub</v>
      </c>
    </row>
    <row r="144" spans="2:4" ht="15" customHeight="1" x14ac:dyDescent="0.25">
      <c r="B144" s="2" t="s">
        <v>135</v>
      </c>
      <c r="C144" s="3" t="s">
        <v>149</v>
      </c>
      <c r="D144" s="4" t="str">
        <f>HYPERLINK("#'School Building Conditions -P 2'!A1","School Building Conditions -P 2")</f>
        <v>School Building Conditions -P 2</v>
      </c>
    </row>
    <row r="145" spans="2:4" ht="15" customHeight="1" x14ac:dyDescent="0.25">
      <c r="B145" s="5" t="s">
        <v>135</v>
      </c>
      <c r="C145" s="6" t="s">
        <v>150</v>
      </c>
      <c r="D145" s="7" t="str">
        <f>HYPERLINK("#'School Building Conditions -P 4'!A1","School Building Conditions -P 4")</f>
        <v>School Building Conditions -P 4</v>
      </c>
    </row>
    <row r="146" spans="2:4" ht="15" customHeight="1" x14ac:dyDescent="0.25">
      <c r="B146" s="2" t="s">
        <v>135</v>
      </c>
      <c r="C146" s="3" t="s">
        <v>151</v>
      </c>
      <c r="D146" s="4" t="str">
        <f>HYPERLINK("#'School Space &amp; Sports Facilit 1'!A1","School Space &amp; Sports Facilit 1")</f>
        <v>School Space &amp; Sports Facilit 1</v>
      </c>
    </row>
    <row r="147" spans="2:4" ht="15" customHeight="1" x14ac:dyDescent="0.25">
      <c r="B147" s="5" t="s">
        <v>135</v>
      </c>
      <c r="C147" s="6" t="s">
        <v>152</v>
      </c>
      <c r="D147" s="7" t="str">
        <f>HYPERLINK("#'School Space &amp; Sports Facilit 2'!A1","School Space &amp; Sports Facilit 2")</f>
        <v>School Space &amp; Sports Facilit 2</v>
      </c>
    </row>
    <row r="148" spans="2:4" ht="15" customHeight="1" x14ac:dyDescent="0.25">
      <c r="B148" s="2" t="s">
        <v>135</v>
      </c>
      <c r="C148" s="3" t="s">
        <v>153</v>
      </c>
      <c r="D148" s="4" t="str">
        <f>HYPERLINK("#'School Space &amp; Sports Facilit 4'!A1","School Space &amp; Sports Facilit 4")</f>
        <v>School Space &amp; Sports Facilit 4</v>
      </c>
    </row>
    <row r="149" spans="2:4" ht="15" customHeight="1" x14ac:dyDescent="0.25">
      <c r="B149" s="5" t="s">
        <v>135</v>
      </c>
      <c r="C149" s="6" t="s">
        <v>154</v>
      </c>
      <c r="D149" s="7" t="str">
        <f>HYPERLINK("#'School Space &amp; Sports Facilitie'!A1","School Space &amp; Sports Facilitie")</f>
        <v>School Space &amp; Sports Facilitie</v>
      </c>
    </row>
    <row r="150" spans="2:4" ht="15" customHeight="1" x14ac:dyDescent="0.25">
      <c r="B150" s="2" t="s">
        <v>135</v>
      </c>
      <c r="C150" s="3" t="s">
        <v>155</v>
      </c>
      <c r="D150" s="4" t="str">
        <f>HYPERLINK("#'School Space &amp; Sports Facilit 3'!A1","School Space &amp; Sports Facilit 3")</f>
        <v>School Space &amp; Sports Facilit 3</v>
      </c>
    </row>
    <row r="151" spans="2:4" ht="15" customHeight="1" x14ac:dyDescent="0.25">
      <c r="B151" s="5" t="s">
        <v>135</v>
      </c>
      <c r="C151" s="6" t="s">
        <v>156</v>
      </c>
      <c r="D151" s="7" t="str">
        <f>HYPERLINK("#'School Space &amp; Sports Facilit 5'!A1","School Space &amp; Sports Facilit 5")</f>
        <v>School Space &amp; Sports Facilit 5</v>
      </c>
    </row>
    <row r="152" spans="2:4" ht="17.100000000000001" customHeight="1" x14ac:dyDescent="0.25">
      <c r="B152" s="24" t="s">
        <v>157</v>
      </c>
      <c r="C152" s="25"/>
      <c r="D152" s="25"/>
    </row>
    <row r="153" spans="2:4" ht="15" customHeight="1" x14ac:dyDescent="0.25">
      <c r="B153" s="5" t="s">
        <v>158</v>
      </c>
      <c r="C153" s="6" t="s">
        <v>159</v>
      </c>
      <c r="D153" s="7" t="str">
        <f>HYPERLINK("#'School Fees - Pre-School (by St'!A1","School Fees - Pre-School (by St")</f>
        <v>School Fees - Pre-School (by St</v>
      </c>
    </row>
    <row r="154" spans="2:4" ht="15" customHeight="1" x14ac:dyDescent="0.25">
      <c r="B154" s="2" t="s">
        <v>158</v>
      </c>
      <c r="C154" s="3" t="s">
        <v>160</v>
      </c>
      <c r="D154" s="4" t="str">
        <f>HYPERLINK("#'School Fees - Pre-School (by  1'!A1","School Fees - Pre-School (by  1")</f>
        <v>School Fees - Pre-School (by  1</v>
      </c>
    </row>
    <row r="155" spans="2:4" ht="15" customHeight="1" x14ac:dyDescent="0.25">
      <c r="B155" s="5" t="s">
        <v>158</v>
      </c>
      <c r="C155" s="6" t="s">
        <v>161</v>
      </c>
      <c r="D155" s="7" t="str">
        <f>HYPERLINK("#'School Fees - Pre-School (by  2'!A1","School Fees - Pre-School (by  2")</f>
        <v>School Fees - Pre-School (by  2</v>
      </c>
    </row>
    <row r="156" spans="2:4" ht="15" customHeight="1" x14ac:dyDescent="0.25">
      <c r="B156" s="2" t="s">
        <v>158</v>
      </c>
      <c r="C156" s="3" t="s">
        <v>162</v>
      </c>
      <c r="D156" s="4" t="str">
        <f>HYPERLINK("#'School Fees - Primary (by Grade'!A1","School Fees - Primary (by Grade")</f>
        <v>School Fees - Primary (by Grade</v>
      </c>
    </row>
    <row r="157" spans="2:4" ht="15" customHeight="1" x14ac:dyDescent="0.25">
      <c r="B157" s="5" t="s">
        <v>158</v>
      </c>
      <c r="C157" s="6" t="s">
        <v>163</v>
      </c>
      <c r="D157" s="7" t="str">
        <f>HYPERLINK("#'School Fees - Primary (by Gra 1'!A1","School Fees - Primary (by Gra 1")</f>
        <v>School Fees - Primary (by Gra 1</v>
      </c>
    </row>
    <row r="158" spans="2:4" ht="15" customHeight="1" x14ac:dyDescent="0.25">
      <c r="B158" s="2" t="s">
        <v>158</v>
      </c>
      <c r="C158" s="3" t="s">
        <v>164</v>
      </c>
      <c r="D158" s="4" t="str">
        <f>HYPERLINK("#'School Fees - Primary (by Gra 2'!A1","School Fees - Primary (by Gra 2")</f>
        <v>School Fees - Primary (by Gra 2</v>
      </c>
    </row>
    <row r="159" spans="2:4" ht="15" customHeight="1" x14ac:dyDescent="0.25">
      <c r="B159" s="5" t="s">
        <v>158</v>
      </c>
      <c r="C159" s="6" t="s">
        <v>165</v>
      </c>
      <c r="D159" s="7" t="str">
        <f>HYPERLINK("#'School Fees - Secondary (by Gra'!A1","School Fees - Secondary (by Gra")</f>
        <v>School Fees - Secondary (by Gra</v>
      </c>
    </row>
    <row r="160" spans="2:4" ht="15" customHeight="1" x14ac:dyDescent="0.25">
      <c r="B160" s="2" t="s">
        <v>158</v>
      </c>
      <c r="C160" s="3" t="s">
        <v>166</v>
      </c>
      <c r="D160" s="4" t="str">
        <f>HYPERLINK("#'School Fees - Secondary (by G 1'!A1","School Fees - Secondary (by G 1")</f>
        <v>School Fees - Secondary (by G 1</v>
      </c>
    </row>
    <row r="161" spans="2:4" ht="15" customHeight="1" x14ac:dyDescent="0.25">
      <c r="B161" s="5" t="s">
        <v>158</v>
      </c>
      <c r="C161" s="6" t="s">
        <v>167</v>
      </c>
      <c r="D161" s="7" t="str">
        <f>HYPERLINK("#'School Fees - Secondary (by G 2'!A1","School Fees - Secondary (by G 2")</f>
        <v>School Fees - Secondary (by G 2</v>
      </c>
    </row>
    <row r="162" spans="2:4" ht="17.100000000000001" customHeight="1" x14ac:dyDescent="0.25">
      <c r="B162" s="14" t="s">
        <v>168</v>
      </c>
      <c r="C162" s="15"/>
      <c r="D162" s="15"/>
    </row>
    <row r="163" spans="2:4" ht="15" customHeight="1" x14ac:dyDescent="0.25">
      <c r="B163" s="5" t="s">
        <v>169</v>
      </c>
      <c r="C163" s="6" t="s">
        <v>170</v>
      </c>
      <c r="D163" s="7" t="str">
        <f>HYPERLINK("#'Access &amp; Admission Rate Indicat'!A1","Access &amp; Admission Rate Indicat")</f>
        <v>Access &amp; Admission Rate Indicat</v>
      </c>
    </row>
    <row r="164" spans="2:4" ht="15" customHeight="1" x14ac:dyDescent="0.25">
      <c r="B164" s="2" t="s">
        <v>169</v>
      </c>
      <c r="C164" s="3" t="s">
        <v>171</v>
      </c>
      <c r="D164" s="4" t="str">
        <f>HYPERLINK("#'Access &amp; Admission Rate Indic 1'!A1","Access &amp; Admission Rate Indic 1")</f>
        <v>Access &amp; Admission Rate Indic 1</v>
      </c>
    </row>
    <row r="165" spans="2:4" ht="15" customHeight="1" x14ac:dyDescent="0.25">
      <c r="B165" s="5" t="s">
        <v>169</v>
      </c>
      <c r="C165" s="6" t="s">
        <v>172</v>
      </c>
      <c r="D165" s="7" t="str">
        <f>HYPERLINK("#'Access &amp; Admission Rate Indic 2'!A1","Access &amp; Admission Rate Indic 2")</f>
        <v>Access &amp; Admission Rate Indic 2</v>
      </c>
    </row>
    <row r="166" spans="2:4" ht="15" customHeight="1" x14ac:dyDescent="0.25">
      <c r="B166" s="2" t="s">
        <v>169</v>
      </c>
      <c r="C166" s="3" t="s">
        <v>173</v>
      </c>
      <c r="D166" s="4" t="str">
        <f>HYPERLINK("#'Access &amp; Enrollment Ratios for '!A1","Access &amp; Enrollment Ratios for ")</f>
        <v xml:space="preserve">Access &amp; Enrollment Ratios for </v>
      </c>
    </row>
    <row r="167" spans="2:4" ht="15" customHeight="1" x14ac:dyDescent="0.25">
      <c r="B167" s="5" t="s">
        <v>169</v>
      </c>
      <c r="C167" s="6" t="s">
        <v>174</v>
      </c>
      <c r="D167" s="7" t="str">
        <f>HYPERLINK("#'Access &amp; Enrollment Ratios fo 1'!A1","Access &amp; Enrollment Ratios fo 1")</f>
        <v>Access &amp; Enrollment Ratios fo 1</v>
      </c>
    </row>
    <row r="168" spans="2:4" ht="15" customHeight="1" x14ac:dyDescent="0.25">
      <c r="B168" s="2" t="s">
        <v>169</v>
      </c>
      <c r="C168" s="3" t="s">
        <v>175</v>
      </c>
      <c r="D168" s="4" t="str">
        <f>HYPERLINK("#'Access &amp; Enrollment Ratios fo 2'!A1","Access &amp; Enrollment Ratios fo 2")</f>
        <v>Access &amp; Enrollment Ratios fo 2</v>
      </c>
    </row>
    <row r="169" spans="2:4" ht="15" customHeight="1" x14ac:dyDescent="0.25">
      <c r="B169" s="5" t="s">
        <v>169</v>
      </c>
      <c r="C169" s="6" t="s">
        <v>176</v>
      </c>
      <c r="D169" s="7" t="str">
        <f>HYPERLINK("#'Access &amp; Equity Indicators - by'!A1","Access &amp; Equity Indicators - by")</f>
        <v>Access &amp; Equity Indicators - by</v>
      </c>
    </row>
    <row r="170" spans="2:4" ht="15" customHeight="1" x14ac:dyDescent="0.25">
      <c r="B170" s="2" t="s">
        <v>169</v>
      </c>
      <c r="C170" s="3" t="s">
        <v>177</v>
      </c>
      <c r="D170" s="4" t="str">
        <f>HYPERLINK("#'Access &amp; Equity Indicators -  1'!A1","Access &amp; Equity Indicators -  1")</f>
        <v>Access &amp; Equity Indicators -  1</v>
      </c>
    </row>
    <row r="171" spans="2:4" ht="15" customHeight="1" x14ac:dyDescent="0.25">
      <c r="B171" s="5" t="s">
        <v>169</v>
      </c>
      <c r="C171" s="6" t="s">
        <v>178</v>
      </c>
      <c r="D171" s="7" t="str">
        <f>HYPERLINK("#'Access &amp; Equity Indicators -  2'!A1","Access &amp; Equity Indicators -  2")</f>
        <v>Access &amp; Equity Indicators -  2</v>
      </c>
    </row>
    <row r="172" spans="2:4" ht="15" customHeight="1" x14ac:dyDescent="0.25">
      <c r="B172" s="2" t="s">
        <v>169</v>
      </c>
      <c r="C172" s="3" t="s">
        <v>179</v>
      </c>
      <c r="D172" s="4" t="str">
        <f>HYPERLINK("#'Enrollment Indicators - by Prov'!A1","Enrollment Indicators - by Prov")</f>
        <v>Enrollment Indicators - by Prov</v>
      </c>
    </row>
    <row r="173" spans="2:4" ht="15" customHeight="1" x14ac:dyDescent="0.25">
      <c r="B173" s="5" t="s">
        <v>169</v>
      </c>
      <c r="C173" s="6" t="s">
        <v>180</v>
      </c>
      <c r="D173" s="7" t="str">
        <f>HYPERLINK("#'Enrollment Indicators - by Pr 1'!A1","Enrollment Indicators - by Pr 1")</f>
        <v>Enrollment Indicators - by Pr 1</v>
      </c>
    </row>
    <row r="174" spans="2:4" ht="15" customHeight="1" x14ac:dyDescent="0.25">
      <c r="B174" s="2" t="s">
        <v>169</v>
      </c>
      <c r="C174" s="3" t="s">
        <v>181</v>
      </c>
      <c r="D174" s="4" t="str">
        <f>HYPERLINK("#'Enrollment Indicators - by Pr 2'!A1","Enrollment Indicators - by Pr 2")</f>
        <v>Enrollment Indicators - by Pr 2</v>
      </c>
    </row>
    <row r="175" spans="2:4" ht="15" customHeight="1" x14ac:dyDescent="0.25">
      <c r="B175" s="5" t="s">
        <v>169</v>
      </c>
      <c r="C175" s="6" t="s">
        <v>182</v>
      </c>
      <c r="D175" s="7" t="str">
        <f>HYPERLINK("#'Gross &amp; Net Enrollment Ratios -'!A1","Gross &amp; Net Enrollment Ratios -")</f>
        <v>Gross &amp; Net Enrollment Ratios -</v>
      </c>
    </row>
    <row r="176" spans="2:4" ht="15" customHeight="1" x14ac:dyDescent="0.25">
      <c r="B176" s="2" t="s">
        <v>169</v>
      </c>
      <c r="C176" s="3" t="s">
        <v>183</v>
      </c>
      <c r="D176" s="4" t="str">
        <f>HYPERLINK("#'Gross &amp; Net Enrollment Ratios 1'!A1","Gross &amp; Net Enrollment Ratios 1")</f>
        <v>Gross &amp; Net Enrollment Ratios 1</v>
      </c>
    </row>
    <row r="177" spans="2:4" ht="15" customHeight="1" x14ac:dyDescent="0.25">
      <c r="B177" s="5" t="s">
        <v>169</v>
      </c>
      <c r="C177" s="6" t="s">
        <v>184</v>
      </c>
      <c r="D177" s="7" t="str">
        <f>HYPERLINK("#'Gross &amp; Net Enrollment Ratios 2'!A1","Gross &amp; Net Enrollment Ratios 2")</f>
        <v>Gross &amp; Net Enrollment Ratios 2</v>
      </c>
    </row>
    <row r="178" spans="2:4" ht="15" customHeight="1" x14ac:dyDescent="0.25">
      <c r="B178" s="2" t="s">
        <v>169</v>
      </c>
      <c r="C178" s="3" t="s">
        <v>185</v>
      </c>
      <c r="D178" s="4" t="str">
        <f>HYPERLINK("#'Indicators on Primary Schools -'!A1","Indicators on Primary Schools -")</f>
        <v>Indicators on Primary Schools -</v>
      </c>
    </row>
    <row r="179" spans="2:4" ht="15" customHeight="1" x14ac:dyDescent="0.25">
      <c r="B179" s="5" t="s">
        <v>169</v>
      </c>
      <c r="C179" s="6" t="s">
        <v>186</v>
      </c>
      <c r="D179" s="7" t="str">
        <f>HYPERLINK("#'Indicators on Primary Schools 1'!A1","Indicators on Primary Schools 1")</f>
        <v>Indicators on Primary Schools 1</v>
      </c>
    </row>
    <row r="180" spans="2:4" ht="15" customHeight="1" x14ac:dyDescent="0.25">
      <c r="B180" s="2" t="s">
        <v>169</v>
      </c>
      <c r="C180" s="3" t="s">
        <v>187</v>
      </c>
      <c r="D180" s="4" t="str">
        <f>HYPERLINK("#'Indicators on Primary Schools 2'!A1","Indicators on Primary Schools 2")</f>
        <v>Indicators on Primary Schools 2</v>
      </c>
    </row>
    <row r="181" spans="2:4" ht="15" customHeight="1" x14ac:dyDescent="0.25">
      <c r="B181" s="5" t="s">
        <v>169</v>
      </c>
      <c r="C181" s="6" t="s">
        <v>188</v>
      </c>
      <c r="D181" s="7" t="str">
        <f>HYPERLINK("#'Indicators on Schools - Nationa'!A1","Indicators on Schools - Nationa")</f>
        <v>Indicators on Schools - Nationa</v>
      </c>
    </row>
    <row r="182" spans="2:4" ht="15" customHeight="1" x14ac:dyDescent="0.25">
      <c r="B182" s="2" t="s">
        <v>169</v>
      </c>
      <c r="C182" s="3" t="s">
        <v>189</v>
      </c>
      <c r="D182" s="4" t="str">
        <f>HYPERLINK("#'Indicators on Schools - Natio 1'!A1","Indicators on Schools - Natio 1")</f>
        <v>Indicators on Schools - Natio 1</v>
      </c>
    </row>
    <row r="183" spans="2:4" ht="15" customHeight="1" x14ac:dyDescent="0.25">
      <c r="B183" s="5" t="s">
        <v>169</v>
      </c>
      <c r="C183" s="6" t="s">
        <v>190</v>
      </c>
      <c r="D183" s="7" t="str">
        <f>HYPERLINK("#'Indicators on Schools - Natio 2'!A1","Indicators on Schools - Natio 2")</f>
        <v>Indicators on Schools - Natio 2</v>
      </c>
    </row>
    <row r="184" spans="2:4" ht="15" customHeight="1" x14ac:dyDescent="0.25">
      <c r="B184" s="2" t="s">
        <v>169</v>
      </c>
      <c r="C184" s="3" t="s">
        <v>191</v>
      </c>
      <c r="D184" s="4" t="str">
        <f>HYPERLINK("#'Indicators on Schools - by Prov'!A1","Indicators on Schools - by Prov")</f>
        <v>Indicators on Schools - by Prov</v>
      </c>
    </row>
    <row r="185" spans="2:4" ht="15" customHeight="1" x14ac:dyDescent="0.25">
      <c r="B185" s="5" t="s">
        <v>169</v>
      </c>
      <c r="C185" s="6" t="s">
        <v>192</v>
      </c>
      <c r="D185" s="7" t="str">
        <f>HYPERLINK("#'Indicators on Schools - by Pr 1'!A1","Indicators on Schools - by Pr 1")</f>
        <v>Indicators on Schools - by Pr 1</v>
      </c>
    </row>
    <row r="186" spans="2:4" ht="15" customHeight="1" x14ac:dyDescent="0.25">
      <c r="B186" s="2" t="s">
        <v>169</v>
      </c>
      <c r="C186" s="3" t="s">
        <v>193</v>
      </c>
      <c r="D186" s="4" t="str">
        <f>HYPERLINK("#'Indicators on Schools - by Pr 2'!A1","Indicators on Schools - by Pr 2")</f>
        <v>Indicators on Schools - by Pr 2</v>
      </c>
    </row>
    <row r="187" spans="2:4" ht="15" customHeight="1" x14ac:dyDescent="0.25">
      <c r="B187" s="5" t="s">
        <v>169</v>
      </c>
      <c r="C187" s="6" t="s">
        <v>194</v>
      </c>
      <c r="D187" s="7" t="str">
        <f>HYPERLINK("#'Indicators on Secondary Schools'!A1","Indicators on Secondary Schools")</f>
        <v>Indicators on Secondary Schools</v>
      </c>
    </row>
    <row r="188" spans="2:4" ht="15" customHeight="1" x14ac:dyDescent="0.25">
      <c r="B188" s="2" t="s">
        <v>169</v>
      </c>
      <c r="C188" s="3" t="s">
        <v>195</v>
      </c>
      <c r="D188" s="4" t="str">
        <f>HYPERLINK("#'Indicators on Secondary Schoo 1'!A1","Indicators on Secondary Schoo 1")</f>
        <v>Indicators on Secondary Schoo 1</v>
      </c>
    </row>
    <row r="189" spans="2:4" ht="15" customHeight="1" x14ac:dyDescent="0.25">
      <c r="B189" s="5" t="s">
        <v>169</v>
      </c>
      <c r="C189" s="6" t="s">
        <v>196</v>
      </c>
      <c r="D189" s="7" t="str">
        <f>HYPERLINK("#'Indicators on Secondary Schoo 2'!A1","Indicators on Secondary Schoo 2")</f>
        <v>Indicators on Secondary Schoo 2</v>
      </c>
    </row>
    <row r="190" spans="2:4" ht="15" customHeight="1" x14ac:dyDescent="0.25">
      <c r="B190" s="2" t="s">
        <v>169</v>
      </c>
      <c r="C190" s="3" t="s">
        <v>197</v>
      </c>
      <c r="D190" s="4" t="str">
        <f>HYPERLINK("#'Primary Student &amp; Staff Indicat'!A1","Primary Student &amp; Staff Indicat")</f>
        <v>Primary Student &amp; Staff Indicat</v>
      </c>
    </row>
    <row r="191" spans="2:4" ht="15" customHeight="1" x14ac:dyDescent="0.25">
      <c r="B191" s="5" t="s">
        <v>169</v>
      </c>
      <c r="C191" s="6" t="s">
        <v>198</v>
      </c>
      <c r="D191" s="7" t="str">
        <f>HYPERLINK("#'Primary Student &amp; Staff Indic 1'!A1","Primary Student &amp; Staff Indic 1")</f>
        <v>Primary Student &amp; Staff Indic 1</v>
      </c>
    </row>
    <row r="192" spans="2:4" ht="15" customHeight="1" x14ac:dyDescent="0.25">
      <c r="B192" s="2" t="s">
        <v>169</v>
      </c>
      <c r="C192" s="3" t="s">
        <v>199</v>
      </c>
      <c r="D192" s="4" t="str">
        <f>HYPERLINK("#'Primary Student &amp; Staff Indic 2'!A1","Primary Student &amp; Staff Indic 2")</f>
        <v>Primary Student &amp; Staff Indic 2</v>
      </c>
    </row>
    <row r="193" spans="2:4" ht="15" customHeight="1" x14ac:dyDescent="0.25">
      <c r="B193" s="5" t="s">
        <v>169</v>
      </c>
      <c r="C193" s="6" t="s">
        <v>200</v>
      </c>
      <c r="D193" s="7" t="str">
        <f>HYPERLINK("#'School-Going Age Population &amp; S'!A1","School-Going Age Population &amp; S")</f>
        <v>School-Going Age Population &amp; S</v>
      </c>
    </row>
    <row r="194" spans="2:4" ht="15" customHeight="1" x14ac:dyDescent="0.25">
      <c r="B194" s="2" t="s">
        <v>169</v>
      </c>
      <c r="C194" s="3" t="s">
        <v>201</v>
      </c>
      <c r="D194" s="4" t="str">
        <f>HYPERLINK("#'School-Going Age Population &amp; 1'!A1","School-Going Age Population &amp; 1")</f>
        <v>School-Going Age Population &amp; 1</v>
      </c>
    </row>
    <row r="195" spans="2:4" ht="15" customHeight="1" x14ac:dyDescent="0.25">
      <c r="B195" s="5" t="s">
        <v>169</v>
      </c>
      <c r="C195" s="6" t="s">
        <v>202</v>
      </c>
      <c r="D195" s="7" t="str">
        <f>HYPERLINK("#'School-Going Age Population &amp; 2'!A1","School-Going Age Population &amp; 2")</f>
        <v>School-Going Age Population &amp; 2</v>
      </c>
    </row>
    <row r="196" spans="2:4" ht="15" customHeight="1" x14ac:dyDescent="0.25">
      <c r="B196" s="2" t="s">
        <v>169</v>
      </c>
      <c r="C196" s="3" t="s">
        <v>203</v>
      </c>
      <c r="D196" s="4" t="str">
        <f>HYPERLINK("#'Secondary Student &amp; Staff Indic'!A1","Secondary Student &amp; Staff Indic")</f>
        <v>Secondary Student &amp; Staff Indic</v>
      </c>
    </row>
    <row r="197" spans="2:4" ht="15" customHeight="1" x14ac:dyDescent="0.25">
      <c r="B197" s="5" t="s">
        <v>169</v>
      </c>
      <c r="C197" s="6" t="s">
        <v>204</v>
      </c>
      <c r="D197" s="7" t="str">
        <f>HYPERLINK("#'Secondary Student &amp; Staff Ind 1'!A1","Secondary Student &amp; Staff Ind 1")</f>
        <v>Secondary Student &amp; Staff Ind 1</v>
      </c>
    </row>
    <row r="198" spans="2:4" ht="15" customHeight="1" x14ac:dyDescent="0.25">
      <c r="B198" s="2" t="s">
        <v>169</v>
      </c>
      <c r="C198" s="3" t="s">
        <v>205</v>
      </c>
      <c r="D198" s="4" t="str">
        <f>HYPERLINK("#'Secondary Student &amp; Staff Ind 2'!A1","Secondary Student &amp; Staff Ind 2")</f>
        <v>Secondary Student &amp; Staff Ind 2</v>
      </c>
    </row>
    <row r="199" spans="2:4" ht="15" customHeight="1" x14ac:dyDescent="0.25">
      <c r="B199" s="5" t="s">
        <v>169</v>
      </c>
      <c r="C199" s="6" t="s">
        <v>206</v>
      </c>
      <c r="D199" s="7" t="str">
        <f>HYPERLINK("#'Student &amp; Staff Indicators - Na'!A1","Student &amp; Staff Indicators - Na")</f>
        <v>Student &amp; Staff Indicators - Na</v>
      </c>
    </row>
    <row r="200" spans="2:4" ht="15" customHeight="1" x14ac:dyDescent="0.25">
      <c r="B200" s="2" t="s">
        <v>169</v>
      </c>
      <c r="C200" s="3" t="s">
        <v>207</v>
      </c>
      <c r="D200" s="4" t="str">
        <f>HYPERLINK("#'Student &amp; Staff Indicators -  1'!A1","Student &amp; Staff Indicators -  1")</f>
        <v>Student &amp; Staff Indicators -  1</v>
      </c>
    </row>
    <row r="201" spans="2:4" ht="15" customHeight="1" x14ac:dyDescent="0.25">
      <c r="B201" s="5" t="s">
        <v>169</v>
      </c>
      <c r="C201" s="6" t="s">
        <v>208</v>
      </c>
      <c r="D201" s="7" t="str">
        <f>HYPERLINK("#'Student &amp; Staff Indicators -  3'!A1","Student &amp; Staff Indicators -  3")</f>
        <v>Student &amp; Staff Indicators -  3</v>
      </c>
    </row>
    <row r="202" spans="2:4" ht="15" customHeight="1" x14ac:dyDescent="0.25">
      <c r="B202" s="2" t="s">
        <v>169</v>
      </c>
      <c r="C202" s="3" t="s">
        <v>209</v>
      </c>
      <c r="D202" s="4" t="str">
        <f>HYPERLINK("#'Student &amp; Staff Indicators - by'!A1","Student &amp; Staff Indicators - by")</f>
        <v>Student &amp; Staff Indicators - by</v>
      </c>
    </row>
    <row r="203" spans="2:4" ht="15" customHeight="1" x14ac:dyDescent="0.25">
      <c r="B203" s="5" t="s">
        <v>169</v>
      </c>
      <c r="C203" s="6" t="s">
        <v>210</v>
      </c>
      <c r="D203" s="7" t="str">
        <f>HYPERLINK("#'Student &amp; Staff Indicators -  2'!A1","Student &amp; Staff Indicators -  2")</f>
        <v>Student &amp; Staff Indicators -  2</v>
      </c>
    </row>
    <row r="204" spans="2:4" ht="15" customHeight="1" x14ac:dyDescent="0.25">
      <c r="B204" s="2" t="s">
        <v>169</v>
      </c>
      <c r="C204" s="3" t="s">
        <v>211</v>
      </c>
      <c r="D204" s="4" t="str">
        <f>HYPERLINK("#'Student &amp; Staff Indicators -  4'!A1","Student &amp; Staff Indicators -  4")</f>
        <v>Student &amp; Staff Indicators -  4</v>
      </c>
    </row>
    <row r="205" spans="2:4" ht="17.100000000000001" customHeight="1" x14ac:dyDescent="0.25">
      <c r="B205" s="8" t="s">
        <v>212</v>
      </c>
      <c r="C205" s="9"/>
      <c r="D205" s="9"/>
    </row>
    <row r="206" spans="2:4" ht="15" customHeight="1" x14ac:dyDescent="0.25">
      <c r="B206" s="2" t="s">
        <v>213</v>
      </c>
      <c r="C206" s="3" t="s">
        <v>214</v>
      </c>
      <c r="D206" s="4" t="str">
        <f>HYPERLINK("#'Completion Rate 2017-2018 -Pub '!A1","Completion Rate 2017-2018 -Pub ")</f>
        <v xml:space="preserve">Completion Rate 2017-2018 -Pub </v>
      </c>
    </row>
    <row r="207" spans="2:4" ht="15" customHeight="1" x14ac:dyDescent="0.25">
      <c r="B207" s="5" t="s">
        <v>213</v>
      </c>
      <c r="C207" s="6" t="s">
        <v>215</v>
      </c>
      <c r="D207" s="7" t="str">
        <f>HYPERLINK("#'Completion Rate 2018-2019 -Pri '!A1","Completion Rate 2018-2019 -Pri ")</f>
        <v xml:space="preserve">Completion Rate 2018-2019 -Pri </v>
      </c>
    </row>
    <row r="208" spans="2:4" ht="15" customHeight="1" x14ac:dyDescent="0.25">
      <c r="B208" s="2" t="s">
        <v>213</v>
      </c>
      <c r="C208" s="3" t="s">
        <v>216</v>
      </c>
      <c r="D208" s="4" t="str">
        <f>HYPERLINK("#'Completion Rate 2019-2020 -Pri '!A1","Completion Rate 2019-2020 -Pri ")</f>
        <v xml:space="preserve">Completion Rate 2019-2020 -Pri </v>
      </c>
    </row>
    <row r="209" spans="2:4" ht="15" customHeight="1" x14ac:dyDescent="0.25">
      <c r="B209" s="5" t="s">
        <v>213</v>
      </c>
      <c r="C209" s="6" t="s">
        <v>217</v>
      </c>
      <c r="D209" s="7" t="str">
        <f>HYPERLINK("#'Completion Rate 2021-2022 -Pri '!A1","Completion Rate 2021-2022 -Pri ")</f>
        <v xml:space="preserve">Completion Rate 2021-2022 -Pri </v>
      </c>
    </row>
    <row r="210" spans="2:4" ht="15" customHeight="1" x14ac:dyDescent="0.25">
      <c r="B210" s="2" t="s">
        <v>213</v>
      </c>
      <c r="C210" s="3" t="s">
        <v>218</v>
      </c>
      <c r="D210" s="4" t="str">
        <f>HYPERLINK("#'Flow Rates &amp; Graduates by Level'!A1","Flow Rates &amp; Graduates by Level")</f>
        <v>Flow Rates &amp; Graduates by Level</v>
      </c>
    </row>
    <row r="211" spans="2:4" ht="15" customHeight="1" x14ac:dyDescent="0.25">
      <c r="B211" s="5" t="s">
        <v>213</v>
      </c>
      <c r="C211" s="6" t="s">
        <v>219</v>
      </c>
      <c r="D211" s="7" t="str">
        <f>HYPERLINK("#'Flow Rates &amp; Graduates by Lev 3'!A1","Flow Rates &amp; Graduates by Lev 3")</f>
        <v>Flow Rates &amp; Graduates by Lev 3</v>
      </c>
    </row>
    <row r="212" spans="2:4" ht="15" customHeight="1" x14ac:dyDescent="0.25">
      <c r="B212" s="2" t="s">
        <v>213</v>
      </c>
      <c r="C212" s="3" t="s">
        <v>220</v>
      </c>
      <c r="D212" s="4" t="str">
        <f>HYPERLINK("#'Flow Rates &amp; Graduates by Lev 4'!A1","Flow Rates &amp; Graduates by Lev 4")</f>
        <v>Flow Rates &amp; Graduates by Lev 4</v>
      </c>
    </row>
    <row r="213" spans="2:4" ht="15" customHeight="1" x14ac:dyDescent="0.25">
      <c r="B213" s="5" t="s">
        <v>213</v>
      </c>
      <c r="C213" s="6" t="s">
        <v>221</v>
      </c>
      <c r="D213" s="7" t="str">
        <f>HYPERLINK("#'Flow Rates &amp; Graduates by Lev 6'!A1","Flow Rates &amp; Graduates by Lev 6")</f>
        <v>Flow Rates &amp; Graduates by Lev 6</v>
      </c>
    </row>
    <row r="214" spans="2:4" ht="15" customHeight="1" x14ac:dyDescent="0.25">
      <c r="B214" s="2" t="s">
        <v>213</v>
      </c>
      <c r="C214" s="3" t="s">
        <v>222</v>
      </c>
      <c r="D214" s="4" t="str">
        <f>HYPERLINK("#'Flow Rates &amp; Graduates by Lev 1'!A1","Flow Rates &amp; Graduates by Lev 1")</f>
        <v>Flow Rates &amp; Graduates by Lev 1</v>
      </c>
    </row>
    <row r="215" spans="2:4" ht="15" customHeight="1" x14ac:dyDescent="0.25">
      <c r="B215" s="5" t="s">
        <v>213</v>
      </c>
      <c r="C215" s="6" t="s">
        <v>223</v>
      </c>
      <c r="D215" s="7" t="str">
        <f>HYPERLINK("#'Flow Rates &amp; Graduates by Lev 7'!A1","Flow Rates &amp; Graduates by Lev 7")</f>
        <v>Flow Rates &amp; Graduates by Lev 7</v>
      </c>
    </row>
    <row r="216" spans="2:4" ht="15" customHeight="1" x14ac:dyDescent="0.25">
      <c r="B216" s="2" t="s">
        <v>213</v>
      </c>
      <c r="C216" s="3" t="s">
        <v>224</v>
      </c>
      <c r="D216" s="4" t="str">
        <f>HYPERLINK("#'Flow Rates &amp; Graduates by Lev 2'!A1","Flow Rates &amp; Graduates by Lev 2")</f>
        <v>Flow Rates &amp; Graduates by Lev 2</v>
      </c>
    </row>
    <row r="217" spans="2:4" ht="15" customHeight="1" x14ac:dyDescent="0.25">
      <c r="B217" s="5" t="s">
        <v>213</v>
      </c>
      <c r="C217" s="6" t="s">
        <v>225</v>
      </c>
      <c r="D217" s="7" t="str">
        <f>HYPERLINK("#'Flow Rates &amp; Graduates by Lev 5'!A1","Flow Rates &amp; Graduates by Lev 5")</f>
        <v>Flow Rates &amp; Graduates by Lev 5</v>
      </c>
    </row>
    <row r="218" spans="2:4" ht="15" customHeight="1" x14ac:dyDescent="0.25">
      <c r="B218" s="2" t="s">
        <v>213</v>
      </c>
      <c r="C218" s="3" t="s">
        <v>226</v>
      </c>
      <c r="D218" s="4" t="str">
        <f>HYPERLINK("#'Flow Rates &amp; Graduates by Lev 8'!A1","Flow Rates &amp; Graduates by Lev 8")</f>
        <v>Flow Rates &amp; Graduates by Lev 8</v>
      </c>
    </row>
    <row r="219" spans="2:4" ht="15" customHeight="1" x14ac:dyDescent="0.25">
      <c r="B219" s="5" t="s">
        <v>213</v>
      </c>
      <c r="C219" s="6" t="s">
        <v>227</v>
      </c>
      <c r="D219" s="7" t="str">
        <f>HYPERLINK("#'Student Flow Rates (Both) 2017-'!A1","Student Flow Rates (Both) 2017-")</f>
        <v>Student Flow Rates (Both) 2017-</v>
      </c>
    </row>
    <row r="220" spans="2:4" ht="15" customHeight="1" x14ac:dyDescent="0.25">
      <c r="B220" s="2" t="s">
        <v>213</v>
      </c>
      <c r="C220" s="3" t="s">
        <v>228</v>
      </c>
      <c r="D220" s="4" t="str">
        <f>HYPERLINK("#'Student Flow Rates (Both) 2018-'!A1","Student Flow Rates (Both) 2018-")</f>
        <v>Student Flow Rates (Both) 2018-</v>
      </c>
    </row>
    <row r="221" spans="2:4" ht="15" customHeight="1" x14ac:dyDescent="0.25">
      <c r="B221" s="5" t="s">
        <v>213</v>
      </c>
      <c r="C221" s="6" t="s">
        <v>229</v>
      </c>
      <c r="D221" s="7" t="str">
        <f>HYPERLINK("#'Student Flow Rates (Both) 2020-'!A1","Student Flow Rates (Both) 2020-")</f>
        <v>Student Flow Rates (Both) 2020-</v>
      </c>
    </row>
    <row r="222" spans="2:4" ht="15" customHeight="1" x14ac:dyDescent="0.25">
      <c r="B222" s="2" t="s">
        <v>213</v>
      </c>
      <c r="C222" s="3" t="s">
        <v>230</v>
      </c>
      <c r="D222" s="4" t="str">
        <f>HYPERLINK("#'Student Flow Rates (Female) 201'!A1","Student Flow Rates (Female) 201")</f>
        <v>Student Flow Rates (Female) 201</v>
      </c>
    </row>
    <row r="223" spans="2:4" ht="15" customHeight="1" x14ac:dyDescent="0.25">
      <c r="B223" s="5" t="s">
        <v>213</v>
      </c>
      <c r="C223" s="6" t="s">
        <v>231</v>
      </c>
      <c r="D223" s="7" t="str">
        <f>HYPERLINK("#'Student Flow Rates (Female) 202'!A1","Student Flow Rates (Female) 202")</f>
        <v>Student Flow Rates (Female) 202</v>
      </c>
    </row>
    <row r="224" spans="2:4" ht="15" customHeight="1" x14ac:dyDescent="0.25">
      <c r="B224" s="2" t="s">
        <v>213</v>
      </c>
      <c r="C224" s="3" t="s">
        <v>232</v>
      </c>
      <c r="D224" s="4" t="str">
        <f>HYPERLINK("#'Student Flow Rates (Male) 2016-'!A1","Student Flow Rates (Male) 2016-")</f>
        <v>Student Flow Rates (Male) 2016-</v>
      </c>
    </row>
    <row r="225" spans="2:4" ht="15" customHeight="1" x14ac:dyDescent="0.25">
      <c r="B225" s="5" t="s">
        <v>213</v>
      </c>
      <c r="C225" s="6" t="s">
        <v>233</v>
      </c>
      <c r="D225" s="7" t="str">
        <f>HYPERLINK("#'Student Flow Rates (Male) 2018-'!A1","Student Flow Rates (Male) 2018-")</f>
        <v>Student Flow Rates (Male) 2018-</v>
      </c>
    </row>
    <row r="226" spans="2:4" ht="15" customHeight="1" x14ac:dyDescent="0.25">
      <c r="B226" s="2" t="s">
        <v>213</v>
      </c>
      <c r="C226" s="3" t="s">
        <v>234</v>
      </c>
      <c r="D226" s="4" t="str">
        <f>HYPERLINK("#'Student Flow Rates (Male) 2020-'!A1","Student Flow Rates (Male) 2020-")</f>
        <v>Student Flow Rates (Male) 2020-</v>
      </c>
    </row>
    <row r="227" spans="2:4" ht="15" customHeight="1" x14ac:dyDescent="0.25">
      <c r="B227" s="5" t="s">
        <v>213</v>
      </c>
      <c r="C227" s="6" t="s">
        <v>235</v>
      </c>
      <c r="D227" s="7" t="str">
        <f>HYPERLINK("#'Student Flow Rates by Grade 201'!A1","Student Flow Rates by Grade 201")</f>
        <v>Student Flow Rates by Grade 201</v>
      </c>
    </row>
    <row r="228" spans="2:4" ht="15" customHeight="1" x14ac:dyDescent="0.25">
      <c r="B228" s="2" t="s">
        <v>213</v>
      </c>
      <c r="C228" s="3" t="s">
        <v>236</v>
      </c>
      <c r="D228" s="4" t="str">
        <f>HYPERLINK("#'Survival &amp; Completion Rates 201'!A1","Survival &amp; Completion Rates 201")</f>
        <v>Survival &amp; Completion Rates 201</v>
      </c>
    </row>
    <row r="229" spans="2:4" ht="15" customHeight="1" x14ac:dyDescent="0.25">
      <c r="B229" s="5" t="s">
        <v>213</v>
      </c>
      <c r="C229" s="6" t="s">
        <v>237</v>
      </c>
      <c r="D229" s="7" t="str">
        <f>HYPERLINK("#'Survival &amp; Completion Rates 202'!A1","Survival &amp; Completion Rates 202")</f>
        <v>Survival &amp; Completion Rates 202</v>
      </c>
    </row>
    <row r="230" spans="2:4" ht="17.100000000000001" customHeight="1" x14ac:dyDescent="0.25">
      <c r="B230" s="12" t="s">
        <v>238</v>
      </c>
      <c r="C230" s="13"/>
      <c r="D230" s="13"/>
    </row>
    <row r="231" spans="2:4" ht="15" customHeight="1" x14ac:dyDescent="0.25">
      <c r="B231" s="5" t="s">
        <v>239</v>
      </c>
      <c r="C231" s="6" t="s">
        <v>240</v>
      </c>
      <c r="D231" s="7" t="str">
        <f>HYPERLINK("#'Gender Parity Index 2017-2018 -'!A1","Gender Parity Index 2017-2018 -")</f>
        <v>Gender Parity Index 2017-2018 -</v>
      </c>
    </row>
    <row r="232" spans="2:4" ht="15" customHeight="1" x14ac:dyDescent="0.25">
      <c r="B232" s="2" t="s">
        <v>239</v>
      </c>
      <c r="C232" s="3" t="s">
        <v>241</v>
      </c>
      <c r="D232" s="4" t="str">
        <f>HYPERLINK("#'Gender Parity Index 2018-2019 -'!A1","Gender Parity Index 2018-2019 -")</f>
        <v>Gender Parity Index 2018-2019 -</v>
      </c>
    </row>
    <row r="233" spans="2:4" ht="15" customHeight="1" x14ac:dyDescent="0.25">
      <c r="B233" s="5" t="s">
        <v>239</v>
      </c>
      <c r="C233" s="6" t="s">
        <v>242</v>
      </c>
      <c r="D233" s="7" t="str">
        <f>HYPERLINK("#'Gender Parity Index 2019-2020 -'!A1","Gender Parity Index 2019-2020 -")</f>
        <v>Gender Parity Index 2019-2020 -</v>
      </c>
    </row>
    <row r="234" spans="2:4" ht="15" customHeight="1" x14ac:dyDescent="0.25">
      <c r="B234" s="2" t="s">
        <v>239</v>
      </c>
      <c r="C234" s="3" t="s">
        <v>243</v>
      </c>
      <c r="D234" s="4" t="str">
        <f>HYPERLINK("#'Gender Parity Index 2019-2020 1'!A1","Gender Parity Index 2019-2020 1")</f>
        <v>Gender Parity Index 2019-2020 1</v>
      </c>
    </row>
    <row r="235" spans="2:4" ht="15" customHeight="1" x14ac:dyDescent="0.25">
      <c r="B235" s="5" t="s">
        <v>239</v>
      </c>
      <c r="C235" s="6" t="s">
        <v>244</v>
      </c>
      <c r="D235" s="7" t="str">
        <f>HYPERLINK("#'Gender Parity Index 2020-2021 -'!A1","Gender Parity Index 2020-2021 -")</f>
        <v>Gender Parity Index 2020-2021 -</v>
      </c>
    </row>
    <row r="236" spans="2:4" ht="15" customHeight="1" x14ac:dyDescent="0.25">
      <c r="B236" s="2" t="s">
        <v>239</v>
      </c>
      <c r="C236" s="3" t="s">
        <v>245</v>
      </c>
      <c r="D236" s="4" t="str">
        <f>HYPERLINK("#'Gender Parity Index 2021-2022 -'!A1","Gender Parity Index 2021-2022 -")</f>
        <v>Gender Parity Index 2021-2022 -</v>
      </c>
    </row>
    <row r="237" spans="2:4" ht="17.100000000000001" customHeight="1" x14ac:dyDescent="0.25">
      <c r="B237" s="20" t="s">
        <v>246</v>
      </c>
      <c r="C237" s="21"/>
      <c r="D237" s="21"/>
    </row>
    <row r="238" spans="2:4" ht="15" customHeight="1" x14ac:dyDescent="0.25">
      <c r="B238" s="2" t="s">
        <v>247</v>
      </c>
      <c r="C238" s="3" t="s">
        <v>248</v>
      </c>
      <c r="D238" s="4" t="str">
        <f>HYPERLINK("#'Appendix - Historical Data 1979'!A1","Appendix - Historical Data 1979")</f>
        <v>Appendix - Historical Data 1979</v>
      </c>
    </row>
    <row r="239" spans="2:4" ht="15" customHeight="1" x14ac:dyDescent="0.25">
      <c r="B239" s="5" t="s">
        <v>247</v>
      </c>
      <c r="C239" s="6" t="s">
        <v>249</v>
      </c>
      <c r="D239" s="7" t="str">
        <f>HYPERLINK("#'Appendix - Historical Data 19 1'!A1","Appendix - Historical Data 19 1")</f>
        <v>Appendix - Historical Data 19 1</v>
      </c>
    </row>
    <row r="240" spans="2:4" ht="15" customHeight="1" x14ac:dyDescent="0.25">
      <c r="B240" s="2" t="s">
        <v>247</v>
      </c>
      <c r="C240" s="3" t="s">
        <v>250</v>
      </c>
      <c r="D240" s="4" t="str">
        <f>HYPERLINK("#'Appendix - Historical Data 19 2'!A1","Appendix - Historical Data 19 2")</f>
        <v>Appendix - Historical Data 19 2</v>
      </c>
    </row>
  </sheetData>
  <mergeCells count="12">
    <mergeCell ref="B237:D237"/>
    <mergeCell ref="B130:D130"/>
    <mergeCell ref="B152:D152"/>
    <mergeCell ref="B69:D69"/>
    <mergeCell ref="B2:D2"/>
    <mergeCell ref="B111:D111"/>
    <mergeCell ref="B205:D205"/>
    <mergeCell ref="B5:D5"/>
    <mergeCell ref="B230:D230"/>
    <mergeCell ref="B162:D162"/>
    <mergeCell ref="B18:D18"/>
    <mergeCell ref="B52:D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20"/>
  <sheetViews>
    <sheetView workbookViewId="0">
      <selection activeCell="A7" sqref="A6:P7"/>
    </sheetView>
  </sheetViews>
  <sheetFormatPr defaultRowHeight="15" x14ac:dyDescent="0.25"/>
  <cols>
    <col min="1" max="1" width="33.85546875" customWidth="1"/>
    <col min="2" max="2" width="9.42578125" customWidth="1"/>
    <col min="3" max="3" width="8.85546875" customWidth="1"/>
    <col min="4" max="4" width="9.28515625" customWidth="1"/>
    <col min="5" max="5" width="8.85546875" customWidth="1"/>
    <col min="6" max="6" width="10" customWidth="1"/>
    <col min="8" max="8" width="9.85546875" customWidth="1"/>
    <col min="9" max="9" width="9.42578125" customWidth="1"/>
    <col min="10" max="10" width="8.85546875" customWidth="1"/>
    <col min="11" max="11" width="9.28515625" customWidth="1"/>
    <col min="12" max="12" width="10" customWidth="1"/>
    <col min="13" max="13" width="8.85546875" customWidth="1"/>
    <col min="14" max="14" width="10.140625" customWidth="1"/>
    <col min="15" max="15" width="9.28515625" customWidth="1"/>
  </cols>
  <sheetData>
    <row r="1" spans="1:15" x14ac:dyDescent="0.25">
      <c r="A1" s="29" t="s">
        <v>251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29" t="s">
        <v>253</v>
      </c>
      <c r="B3" t="s">
        <v>254</v>
      </c>
      <c r="C3" t="s">
        <v>255</v>
      </c>
      <c r="D3" t="s">
        <v>254</v>
      </c>
      <c r="E3" t="s">
        <v>256</v>
      </c>
      <c r="F3" s="29" t="s">
        <v>72</v>
      </c>
      <c r="G3" s="29"/>
      <c r="H3" s="29" t="s">
        <v>257</v>
      </c>
      <c r="I3" s="29"/>
      <c r="J3" s="29" t="s">
        <v>258</v>
      </c>
      <c r="K3" s="29"/>
      <c r="L3" s="29" t="s">
        <v>259</v>
      </c>
      <c r="M3" s="29"/>
      <c r="N3" s="29" t="s">
        <v>260</v>
      </c>
      <c r="O3" s="29"/>
    </row>
    <row r="4" spans="1:15" x14ac:dyDescent="0.25">
      <c r="A4" s="29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13113</v>
      </c>
      <c r="C5">
        <v>231</v>
      </c>
      <c r="D5">
        <v>88363</v>
      </c>
      <c r="E5">
        <v>543</v>
      </c>
      <c r="F5">
        <v>3143252</v>
      </c>
      <c r="G5">
        <v>1551990</v>
      </c>
      <c r="H5">
        <v>153436</v>
      </c>
      <c r="I5">
        <v>55249</v>
      </c>
      <c r="J5">
        <v>92835</v>
      </c>
      <c r="K5">
        <v>48008</v>
      </c>
      <c r="L5">
        <v>18835</v>
      </c>
      <c r="M5">
        <v>5360</v>
      </c>
      <c r="N5">
        <v>111670</v>
      </c>
      <c r="O5">
        <v>53368</v>
      </c>
    </row>
    <row r="6" spans="1:15" x14ac:dyDescent="0.25">
      <c r="A6" t="s">
        <v>267</v>
      </c>
      <c r="B6">
        <v>1404</v>
      </c>
      <c r="C6">
        <v>10</v>
      </c>
      <c r="D6">
        <v>14865</v>
      </c>
      <c r="E6">
        <v>79</v>
      </c>
      <c r="F6">
        <v>585189</v>
      </c>
      <c r="G6">
        <v>287220</v>
      </c>
      <c r="H6">
        <v>20626</v>
      </c>
      <c r="I6">
        <v>7296</v>
      </c>
      <c r="J6">
        <v>23420</v>
      </c>
      <c r="K6">
        <v>13542</v>
      </c>
      <c r="L6">
        <v>3404</v>
      </c>
      <c r="M6">
        <v>1354</v>
      </c>
      <c r="N6">
        <v>26824</v>
      </c>
      <c r="O6">
        <v>14896</v>
      </c>
    </row>
    <row r="7" spans="1:15" x14ac:dyDescent="0.25">
      <c r="A7" t="s">
        <v>268</v>
      </c>
      <c r="B7">
        <v>11709</v>
      </c>
      <c r="C7">
        <v>221</v>
      </c>
      <c r="D7">
        <v>73498</v>
      </c>
      <c r="E7">
        <v>464</v>
      </c>
      <c r="F7">
        <v>2558063</v>
      </c>
      <c r="G7">
        <v>1264770</v>
      </c>
      <c r="H7">
        <v>132810</v>
      </c>
      <c r="I7">
        <v>47953</v>
      </c>
      <c r="J7">
        <v>69415</v>
      </c>
      <c r="K7">
        <v>34466</v>
      </c>
      <c r="L7">
        <v>15431</v>
      </c>
      <c r="M7">
        <v>4006</v>
      </c>
      <c r="N7">
        <v>84846</v>
      </c>
      <c r="O7">
        <v>38472</v>
      </c>
    </row>
    <row r="8" spans="1:15" x14ac:dyDescent="0.25">
      <c r="A8" t="s">
        <v>269</v>
      </c>
      <c r="B8">
        <v>4176</v>
      </c>
      <c r="C8">
        <v>161</v>
      </c>
      <c r="D8">
        <v>6825</v>
      </c>
      <c r="E8">
        <v>78</v>
      </c>
      <c r="F8">
        <v>205492</v>
      </c>
      <c r="G8">
        <v>102539</v>
      </c>
      <c r="H8">
        <v>0</v>
      </c>
      <c r="I8">
        <v>0</v>
      </c>
      <c r="J8">
        <v>5164</v>
      </c>
      <c r="K8">
        <v>4923</v>
      </c>
      <c r="L8">
        <v>234</v>
      </c>
      <c r="M8">
        <v>219</v>
      </c>
      <c r="N8">
        <v>5398</v>
      </c>
      <c r="O8">
        <v>5142</v>
      </c>
    </row>
    <row r="9" spans="1:15" x14ac:dyDescent="0.25">
      <c r="A9" t="s">
        <v>270</v>
      </c>
      <c r="B9">
        <v>7189</v>
      </c>
      <c r="C9">
        <v>58</v>
      </c>
      <c r="D9">
        <v>61635</v>
      </c>
      <c r="E9">
        <v>331</v>
      </c>
      <c r="F9">
        <v>2028694</v>
      </c>
      <c r="G9">
        <v>975563</v>
      </c>
      <c r="H9">
        <v>131763</v>
      </c>
      <c r="I9">
        <v>47892</v>
      </c>
      <c r="J9">
        <v>46157</v>
      </c>
      <c r="K9">
        <v>26037</v>
      </c>
      <c r="L9">
        <v>11758</v>
      </c>
      <c r="M9">
        <v>3387</v>
      </c>
      <c r="N9">
        <v>57915</v>
      </c>
      <c r="O9">
        <v>29424</v>
      </c>
    </row>
    <row r="10" spans="1:15" x14ac:dyDescent="0.25">
      <c r="A10" t="s">
        <v>271</v>
      </c>
      <c r="B10">
        <v>1237</v>
      </c>
      <c r="C10">
        <v>12</v>
      </c>
      <c r="D10">
        <v>7357</v>
      </c>
      <c r="E10">
        <v>90</v>
      </c>
      <c r="F10">
        <v>327638</v>
      </c>
      <c r="G10">
        <v>171900</v>
      </c>
      <c r="H10">
        <v>6325</v>
      </c>
      <c r="I10">
        <v>1893</v>
      </c>
      <c r="J10">
        <v>14656</v>
      </c>
      <c r="K10">
        <v>6423</v>
      </c>
      <c r="L10">
        <v>2864</v>
      </c>
      <c r="M10">
        <v>646</v>
      </c>
      <c r="N10">
        <v>17520</v>
      </c>
      <c r="O10">
        <v>7069</v>
      </c>
    </row>
    <row r="11" spans="1:15" x14ac:dyDescent="0.25">
      <c r="A11" t="s">
        <v>272</v>
      </c>
      <c r="B11">
        <v>32</v>
      </c>
      <c r="C11">
        <v>0</v>
      </c>
      <c r="D11">
        <v>433</v>
      </c>
      <c r="E11">
        <v>0</v>
      </c>
      <c r="F11">
        <v>19089</v>
      </c>
      <c r="G11">
        <v>9730</v>
      </c>
      <c r="H11">
        <v>252</v>
      </c>
      <c r="I11">
        <v>105</v>
      </c>
      <c r="J11">
        <v>895</v>
      </c>
      <c r="K11">
        <v>268</v>
      </c>
      <c r="L11">
        <v>121</v>
      </c>
      <c r="M11">
        <v>28</v>
      </c>
      <c r="N11">
        <v>1016</v>
      </c>
      <c r="O11">
        <v>296</v>
      </c>
    </row>
    <row r="12" spans="1:15" x14ac:dyDescent="0.25">
      <c r="A12" t="s">
        <v>273</v>
      </c>
      <c r="B12">
        <v>479</v>
      </c>
      <c r="C12">
        <v>0</v>
      </c>
      <c r="D12">
        <v>12113</v>
      </c>
      <c r="E12">
        <v>44</v>
      </c>
      <c r="F12">
        <v>562339</v>
      </c>
      <c r="G12">
        <v>292258</v>
      </c>
      <c r="H12">
        <v>15096</v>
      </c>
      <c r="I12">
        <v>5359</v>
      </c>
      <c r="J12">
        <v>25963</v>
      </c>
      <c r="K12">
        <v>10357</v>
      </c>
      <c r="L12">
        <v>3858</v>
      </c>
      <c r="M12">
        <v>1080</v>
      </c>
      <c r="N12">
        <v>29821</v>
      </c>
      <c r="O12">
        <v>11437</v>
      </c>
    </row>
    <row r="13" spans="1:15" x14ac:dyDescent="0.25">
      <c r="A13" t="s">
        <v>274</v>
      </c>
      <c r="B13">
        <v>1716</v>
      </c>
      <c r="C13">
        <v>12</v>
      </c>
      <c r="D13">
        <v>13218</v>
      </c>
      <c r="E13">
        <v>90</v>
      </c>
      <c r="F13">
        <v>605173</v>
      </c>
      <c r="G13">
        <v>314713</v>
      </c>
      <c r="H13">
        <v>14982</v>
      </c>
      <c r="I13">
        <v>4579</v>
      </c>
      <c r="J13">
        <v>28291</v>
      </c>
      <c r="K13">
        <v>12809</v>
      </c>
      <c r="L13">
        <v>4890</v>
      </c>
      <c r="M13">
        <v>1213</v>
      </c>
      <c r="N13">
        <v>33181</v>
      </c>
      <c r="O13">
        <v>14022</v>
      </c>
    </row>
    <row r="14" spans="1:15" x14ac:dyDescent="0.25">
      <c r="A14" t="s">
        <v>275</v>
      </c>
      <c r="B14">
        <v>511</v>
      </c>
      <c r="C14">
        <v>0</v>
      </c>
      <c r="D14">
        <v>6685</v>
      </c>
      <c r="E14">
        <v>44</v>
      </c>
      <c r="F14">
        <v>303893</v>
      </c>
      <c r="G14">
        <v>159175</v>
      </c>
      <c r="H14">
        <v>6691</v>
      </c>
      <c r="I14">
        <v>2778</v>
      </c>
      <c r="J14">
        <v>13223</v>
      </c>
      <c r="K14">
        <v>4239</v>
      </c>
      <c r="L14">
        <v>1953</v>
      </c>
      <c r="M14">
        <v>541</v>
      </c>
      <c r="N14">
        <v>15176</v>
      </c>
      <c r="O14">
        <v>4780</v>
      </c>
    </row>
    <row r="15" spans="1:15" x14ac:dyDescent="0.25">
      <c r="A15" t="s">
        <v>276</v>
      </c>
      <c r="B15">
        <v>1255</v>
      </c>
      <c r="C15">
        <v>4</v>
      </c>
      <c r="D15">
        <v>16507</v>
      </c>
      <c r="E15">
        <v>57</v>
      </c>
      <c r="F15">
        <v>632913</v>
      </c>
      <c r="G15">
        <v>305269</v>
      </c>
      <c r="H15">
        <v>37060</v>
      </c>
      <c r="I15">
        <v>12919</v>
      </c>
      <c r="J15">
        <v>14268</v>
      </c>
      <c r="K15">
        <v>9021</v>
      </c>
      <c r="L15">
        <v>3858</v>
      </c>
      <c r="M15">
        <v>1220</v>
      </c>
      <c r="N15">
        <v>18126</v>
      </c>
      <c r="O15">
        <v>10241</v>
      </c>
    </row>
    <row r="16" spans="1:15" x14ac:dyDescent="0.25">
      <c r="A16" t="s">
        <v>277</v>
      </c>
      <c r="B16">
        <v>5934</v>
      </c>
      <c r="C16">
        <v>54</v>
      </c>
      <c r="D16">
        <v>45128</v>
      </c>
      <c r="E16">
        <v>274</v>
      </c>
      <c r="F16">
        <v>1395781</v>
      </c>
      <c r="G16">
        <v>670294</v>
      </c>
      <c r="H16">
        <v>94703</v>
      </c>
      <c r="I16">
        <v>34973</v>
      </c>
      <c r="J16">
        <v>31889</v>
      </c>
      <c r="K16">
        <v>17016</v>
      </c>
      <c r="L16">
        <v>7900</v>
      </c>
      <c r="M16">
        <v>2167</v>
      </c>
      <c r="N16">
        <v>39789</v>
      </c>
      <c r="O16">
        <v>19183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668</v>
      </c>
      <c r="C18">
        <v>20</v>
      </c>
      <c r="D18">
        <v>4289</v>
      </c>
      <c r="E18">
        <v>50</v>
      </c>
      <c r="F18">
        <v>118472</v>
      </c>
      <c r="G18">
        <v>56805</v>
      </c>
      <c r="H18">
        <v>7904</v>
      </c>
      <c r="I18">
        <v>3028</v>
      </c>
      <c r="J18">
        <v>2978</v>
      </c>
      <c r="K18">
        <v>1524</v>
      </c>
      <c r="L18">
        <v>602</v>
      </c>
      <c r="M18">
        <v>190</v>
      </c>
      <c r="N18">
        <v>3580</v>
      </c>
      <c r="O18">
        <v>1714</v>
      </c>
    </row>
    <row r="19" spans="1:15" x14ac:dyDescent="0.25">
      <c r="A19" t="s">
        <v>280</v>
      </c>
      <c r="B19">
        <v>1002</v>
      </c>
      <c r="C19">
        <v>8</v>
      </c>
      <c r="D19">
        <v>8775</v>
      </c>
      <c r="E19">
        <v>0</v>
      </c>
      <c r="F19">
        <v>293101</v>
      </c>
      <c r="G19">
        <v>140232</v>
      </c>
      <c r="H19">
        <v>19298</v>
      </c>
      <c r="I19">
        <v>6759</v>
      </c>
      <c r="J19">
        <v>6826</v>
      </c>
      <c r="K19">
        <v>3722</v>
      </c>
      <c r="L19">
        <v>1914</v>
      </c>
      <c r="M19">
        <v>517</v>
      </c>
      <c r="N19">
        <v>8740</v>
      </c>
      <c r="O19">
        <v>4239</v>
      </c>
    </row>
    <row r="20" spans="1:15" x14ac:dyDescent="0.25">
      <c r="A20" t="s">
        <v>281</v>
      </c>
      <c r="B20">
        <v>231</v>
      </c>
      <c r="C20">
        <v>231</v>
      </c>
      <c r="D20">
        <v>602</v>
      </c>
      <c r="E20">
        <v>10</v>
      </c>
      <c r="F20">
        <v>16707</v>
      </c>
      <c r="G20">
        <v>8183</v>
      </c>
      <c r="H20">
        <v>574</v>
      </c>
      <c r="I20">
        <v>202</v>
      </c>
      <c r="J20">
        <v>372</v>
      </c>
      <c r="K20">
        <v>225</v>
      </c>
      <c r="L20">
        <v>42</v>
      </c>
      <c r="M20">
        <v>12</v>
      </c>
      <c r="N20">
        <v>414</v>
      </c>
      <c r="O20">
        <v>237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O31"/>
  <sheetViews>
    <sheetView workbookViewId="0"/>
  </sheetViews>
  <sheetFormatPr defaultRowHeight="15" x14ac:dyDescent="0.25"/>
  <cols>
    <col min="1" max="1" width="24.42578125" customWidth="1"/>
    <col min="2" max="2" width="10.42578125" customWidth="1"/>
    <col min="3" max="3" width="10.140625" customWidth="1"/>
    <col min="5" max="5" width="10.42578125" customWidth="1"/>
    <col min="6" max="6" width="12.140625" customWidth="1"/>
    <col min="7" max="7" width="12" customWidth="1"/>
    <col min="8" max="8" width="9.42578125" customWidth="1"/>
    <col min="9" max="9" width="8.42578125" customWidth="1"/>
    <col min="10" max="10" width="9.28515625" customWidth="1"/>
    <col min="11" max="11" width="9.42578125" customWidth="1"/>
    <col min="15" max="15" width="9.28515625" customWidth="1"/>
  </cols>
  <sheetData>
    <row r="1" spans="1:15" x14ac:dyDescent="0.25">
      <c r="A1" s="29" t="s">
        <v>282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t="s">
        <v>254</v>
      </c>
      <c r="C2" t="s">
        <v>255</v>
      </c>
      <c r="D2" t="s">
        <v>254</v>
      </c>
      <c r="E2" t="s">
        <v>256</v>
      </c>
      <c r="F2" s="29" t="s">
        <v>72</v>
      </c>
      <c r="G2" s="29"/>
      <c r="H2" s="29" t="s">
        <v>257</v>
      </c>
      <c r="I2" s="29"/>
      <c r="J2" s="29" t="s">
        <v>258</v>
      </c>
      <c r="K2" s="29"/>
      <c r="L2" s="29" t="s">
        <v>259</v>
      </c>
      <c r="M2" s="29"/>
      <c r="N2" s="29" t="s">
        <v>260</v>
      </c>
      <c r="O2" s="29"/>
    </row>
    <row r="3" spans="1:15" x14ac:dyDescent="0.25">
      <c r="A3" s="29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5" x14ac:dyDescent="0.25">
      <c r="A4" t="s">
        <v>283</v>
      </c>
      <c r="B4">
        <v>812</v>
      </c>
      <c r="C4">
        <v>5</v>
      </c>
      <c r="D4">
        <v>4513</v>
      </c>
      <c r="E4">
        <v>21</v>
      </c>
      <c r="F4">
        <v>147692</v>
      </c>
      <c r="G4">
        <v>73756</v>
      </c>
      <c r="H4">
        <v>4081</v>
      </c>
      <c r="I4">
        <v>1324</v>
      </c>
      <c r="J4">
        <v>4699</v>
      </c>
      <c r="K4">
        <v>2370</v>
      </c>
      <c r="L4">
        <v>916</v>
      </c>
      <c r="M4">
        <v>215</v>
      </c>
      <c r="N4">
        <v>5615</v>
      </c>
      <c r="O4">
        <v>2585</v>
      </c>
    </row>
    <row r="5" spans="1:15" x14ac:dyDescent="0.25">
      <c r="A5" t="s">
        <v>284</v>
      </c>
      <c r="B5">
        <v>1112</v>
      </c>
      <c r="C5">
        <v>7</v>
      </c>
      <c r="D5">
        <v>7379</v>
      </c>
      <c r="E5">
        <v>11</v>
      </c>
      <c r="F5">
        <v>247650</v>
      </c>
      <c r="G5">
        <v>122323</v>
      </c>
      <c r="H5">
        <v>12135</v>
      </c>
      <c r="I5">
        <v>4458</v>
      </c>
      <c r="J5">
        <v>6924</v>
      </c>
      <c r="K5">
        <v>4112</v>
      </c>
      <c r="L5">
        <v>1823</v>
      </c>
      <c r="M5">
        <v>677</v>
      </c>
      <c r="N5">
        <v>8747</v>
      </c>
      <c r="O5">
        <v>4789</v>
      </c>
    </row>
    <row r="6" spans="1:15" x14ac:dyDescent="0.25">
      <c r="A6" t="s">
        <v>285</v>
      </c>
      <c r="B6">
        <v>798</v>
      </c>
      <c r="C6">
        <v>32</v>
      </c>
      <c r="D6">
        <v>5792</v>
      </c>
      <c r="E6">
        <v>118</v>
      </c>
      <c r="F6">
        <v>220990</v>
      </c>
      <c r="G6">
        <v>109761</v>
      </c>
      <c r="H6">
        <v>15147</v>
      </c>
      <c r="I6">
        <v>5467</v>
      </c>
      <c r="J6">
        <v>5768</v>
      </c>
      <c r="K6">
        <v>3347</v>
      </c>
      <c r="L6">
        <v>1702</v>
      </c>
      <c r="M6">
        <v>622</v>
      </c>
      <c r="N6">
        <v>7470</v>
      </c>
      <c r="O6">
        <v>3969</v>
      </c>
    </row>
    <row r="7" spans="1:15" x14ac:dyDescent="0.25">
      <c r="A7" t="s">
        <v>286</v>
      </c>
      <c r="B7">
        <v>461</v>
      </c>
      <c r="C7">
        <v>0</v>
      </c>
      <c r="D7">
        <v>3195</v>
      </c>
      <c r="E7">
        <v>6</v>
      </c>
      <c r="F7">
        <v>117345</v>
      </c>
      <c r="G7">
        <v>59120</v>
      </c>
      <c r="H7">
        <v>5256</v>
      </c>
      <c r="I7">
        <v>1809</v>
      </c>
      <c r="J7">
        <v>3502</v>
      </c>
      <c r="K7">
        <v>1665</v>
      </c>
      <c r="L7">
        <v>672</v>
      </c>
      <c r="M7">
        <v>176</v>
      </c>
      <c r="N7">
        <v>4174</v>
      </c>
      <c r="O7">
        <v>1841</v>
      </c>
    </row>
    <row r="8" spans="1:15" x14ac:dyDescent="0.25">
      <c r="A8" t="s">
        <v>287</v>
      </c>
      <c r="B8">
        <v>586</v>
      </c>
      <c r="C8">
        <v>4</v>
      </c>
      <c r="D8">
        <v>4117</v>
      </c>
      <c r="E8">
        <v>8</v>
      </c>
      <c r="F8">
        <v>170154</v>
      </c>
      <c r="G8">
        <v>83710</v>
      </c>
      <c r="H8">
        <v>5890</v>
      </c>
      <c r="I8">
        <v>2188</v>
      </c>
      <c r="J8">
        <v>4431</v>
      </c>
      <c r="K8">
        <v>1924</v>
      </c>
      <c r="L8">
        <v>770</v>
      </c>
      <c r="M8">
        <v>146</v>
      </c>
      <c r="N8">
        <v>5201</v>
      </c>
      <c r="O8">
        <v>2070</v>
      </c>
    </row>
    <row r="9" spans="1:15" x14ac:dyDescent="0.25">
      <c r="A9" t="s">
        <v>288</v>
      </c>
      <c r="B9">
        <v>770</v>
      </c>
      <c r="C9">
        <v>1</v>
      </c>
      <c r="D9">
        <v>4519</v>
      </c>
      <c r="E9">
        <v>13</v>
      </c>
      <c r="F9">
        <v>153399</v>
      </c>
      <c r="G9">
        <v>77313</v>
      </c>
      <c r="H9">
        <v>9279</v>
      </c>
      <c r="I9">
        <v>3385</v>
      </c>
      <c r="J9">
        <v>4407</v>
      </c>
      <c r="K9">
        <v>2379</v>
      </c>
      <c r="L9">
        <v>727</v>
      </c>
      <c r="M9">
        <v>192</v>
      </c>
      <c r="N9">
        <v>5134</v>
      </c>
      <c r="O9">
        <v>2571</v>
      </c>
    </row>
    <row r="10" spans="1:15" x14ac:dyDescent="0.25">
      <c r="A10" t="s">
        <v>289</v>
      </c>
      <c r="B10">
        <v>600</v>
      </c>
      <c r="C10">
        <v>1</v>
      </c>
      <c r="D10">
        <v>3701</v>
      </c>
      <c r="E10">
        <v>5</v>
      </c>
      <c r="F10">
        <v>131891</v>
      </c>
      <c r="G10">
        <v>64666</v>
      </c>
      <c r="H10">
        <v>4482</v>
      </c>
      <c r="I10">
        <v>1444</v>
      </c>
      <c r="J10">
        <v>4715</v>
      </c>
      <c r="K10">
        <v>2298</v>
      </c>
      <c r="L10">
        <v>931</v>
      </c>
      <c r="M10">
        <v>176</v>
      </c>
      <c r="N10">
        <v>5646</v>
      </c>
      <c r="O10">
        <v>2474</v>
      </c>
    </row>
    <row r="11" spans="1:15" x14ac:dyDescent="0.25">
      <c r="A11" t="s">
        <v>290</v>
      </c>
      <c r="B11">
        <v>743</v>
      </c>
      <c r="C11">
        <v>21</v>
      </c>
      <c r="D11">
        <v>6569</v>
      </c>
      <c r="E11">
        <v>36</v>
      </c>
      <c r="F11">
        <v>246514</v>
      </c>
      <c r="G11">
        <v>120584</v>
      </c>
      <c r="H11">
        <v>16008</v>
      </c>
      <c r="I11">
        <v>5525</v>
      </c>
      <c r="J11">
        <v>7195</v>
      </c>
      <c r="K11">
        <v>3992</v>
      </c>
      <c r="L11">
        <v>1491</v>
      </c>
      <c r="M11">
        <v>405</v>
      </c>
      <c r="N11">
        <v>8686</v>
      </c>
      <c r="O11">
        <v>4397</v>
      </c>
    </row>
    <row r="12" spans="1:15" x14ac:dyDescent="0.25">
      <c r="A12" t="s">
        <v>291</v>
      </c>
      <c r="B12">
        <v>50</v>
      </c>
      <c r="C12">
        <v>0</v>
      </c>
      <c r="D12">
        <v>283</v>
      </c>
      <c r="E12">
        <v>7</v>
      </c>
      <c r="F12">
        <v>8615</v>
      </c>
      <c r="G12">
        <v>4253</v>
      </c>
      <c r="H12">
        <v>282</v>
      </c>
      <c r="I12">
        <v>99</v>
      </c>
      <c r="J12">
        <v>452</v>
      </c>
      <c r="K12">
        <v>234</v>
      </c>
      <c r="L12">
        <v>90</v>
      </c>
      <c r="M12">
        <v>17</v>
      </c>
      <c r="N12">
        <v>542</v>
      </c>
      <c r="O12">
        <v>251</v>
      </c>
    </row>
    <row r="13" spans="1:15" x14ac:dyDescent="0.25">
      <c r="A13" t="s">
        <v>292</v>
      </c>
      <c r="B13">
        <v>215</v>
      </c>
      <c r="C13">
        <v>17</v>
      </c>
      <c r="D13">
        <v>1049</v>
      </c>
      <c r="E13">
        <v>0</v>
      </c>
      <c r="F13">
        <v>25969</v>
      </c>
      <c r="G13">
        <v>12705</v>
      </c>
      <c r="H13">
        <v>897</v>
      </c>
      <c r="I13">
        <v>349</v>
      </c>
      <c r="J13">
        <v>996</v>
      </c>
      <c r="K13">
        <v>442</v>
      </c>
      <c r="L13">
        <v>149</v>
      </c>
      <c r="M13">
        <v>33</v>
      </c>
      <c r="N13">
        <v>1145</v>
      </c>
      <c r="O13">
        <v>475</v>
      </c>
    </row>
    <row r="14" spans="1:15" x14ac:dyDescent="0.25">
      <c r="A14" t="s">
        <v>293</v>
      </c>
      <c r="B14">
        <v>410</v>
      </c>
      <c r="C14">
        <v>9</v>
      </c>
      <c r="D14">
        <v>2620</v>
      </c>
      <c r="E14">
        <v>54</v>
      </c>
      <c r="F14">
        <v>84462</v>
      </c>
      <c r="G14">
        <v>41910</v>
      </c>
      <c r="H14">
        <v>5348</v>
      </c>
      <c r="I14">
        <v>2015</v>
      </c>
      <c r="J14">
        <v>2532</v>
      </c>
      <c r="K14">
        <v>1567</v>
      </c>
      <c r="L14">
        <v>333</v>
      </c>
      <c r="M14">
        <v>99</v>
      </c>
      <c r="N14">
        <v>2865</v>
      </c>
      <c r="O14">
        <v>1666</v>
      </c>
    </row>
    <row r="15" spans="1:15" x14ac:dyDescent="0.25">
      <c r="A15" t="s">
        <v>294</v>
      </c>
      <c r="B15">
        <v>125</v>
      </c>
      <c r="C15">
        <v>0</v>
      </c>
      <c r="D15">
        <v>763</v>
      </c>
      <c r="E15">
        <v>2</v>
      </c>
      <c r="F15">
        <v>19229</v>
      </c>
      <c r="G15">
        <v>9690</v>
      </c>
      <c r="H15">
        <v>735</v>
      </c>
      <c r="I15">
        <v>271</v>
      </c>
      <c r="J15">
        <v>799</v>
      </c>
      <c r="K15">
        <v>374</v>
      </c>
      <c r="L15">
        <v>38</v>
      </c>
      <c r="M15">
        <v>8</v>
      </c>
      <c r="N15">
        <v>837</v>
      </c>
      <c r="O15">
        <v>382</v>
      </c>
    </row>
    <row r="16" spans="1:15" x14ac:dyDescent="0.25">
      <c r="A16" t="s">
        <v>295</v>
      </c>
      <c r="B16">
        <v>348</v>
      </c>
      <c r="C16">
        <v>6</v>
      </c>
      <c r="D16">
        <v>1874</v>
      </c>
      <c r="E16">
        <v>15</v>
      </c>
      <c r="F16">
        <v>52932</v>
      </c>
      <c r="G16">
        <v>25832</v>
      </c>
      <c r="H16">
        <v>3110</v>
      </c>
      <c r="I16">
        <v>1106</v>
      </c>
      <c r="J16">
        <v>1583</v>
      </c>
      <c r="K16">
        <v>675</v>
      </c>
      <c r="L16">
        <v>252</v>
      </c>
      <c r="M16">
        <v>55</v>
      </c>
      <c r="N16">
        <v>1835</v>
      </c>
      <c r="O16">
        <v>730</v>
      </c>
    </row>
    <row r="17" spans="1:15" x14ac:dyDescent="0.25">
      <c r="A17" t="s">
        <v>296</v>
      </c>
      <c r="B17">
        <v>83</v>
      </c>
      <c r="C17">
        <v>2</v>
      </c>
      <c r="D17">
        <v>489</v>
      </c>
      <c r="E17">
        <v>0</v>
      </c>
      <c r="F17">
        <v>15529</v>
      </c>
      <c r="G17">
        <v>7585</v>
      </c>
      <c r="H17">
        <v>812</v>
      </c>
      <c r="I17">
        <v>266</v>
      </c>
      <c r="J17">
        <v>611</v>
      </c>
      <c r="K17">
        <v>298</v>
      </c>
      <c r="L17">
        <v>73</v>
      </c>
      <c r="M17">
        <v>23</v>
      </c>
      <c r="N17">
        <v>684</v>
      </c>
      <c r="O17">
        <v>321</v>
      </c>
    </row>
    <row r="18" spans="1:15" x14ac:dyDescent="0.25">
      <c r="A18" t="s">
        <v>297</v>
      </c>
      <c r="B18">
        <v>375</v>
      </c>
      <c r="C18">
        <v>2</v>
      </c>
      <c r="D18">
        <v>5509</v>
      </c>
      <c r="E18">
        <v>18</v>
      </c>
      <c r="F18">
        <v>234174</v>
      </c>
      <c r="G18">
        <v>113762</v>
      </c>
      <c r="H18">
        <v>6286</v>
      </c>
      <c r="I18">
        <v>2244</v>
      </c>
      <c r="J18">
        <v>9864</v>
      </c>
      <c r="K18">
        <v>5802</v>
      </c>
      <c r="L18">
        <v>1004</v>
      </c>
      <c r="M18">
        <v>385</v>
      </c>
      <c r="N18">
        <v>10868</v>
      </c>
      <c r="O18">
        <v>6187</v>
      </c>
    </row>
    <row r="19" spans="1:15" x14ac:dyDescent="0.25">
      <c r="A19" t="s">
        <v>298</v>
      </c>
      <c r="B19">
        <v>153</v>
      </c>
      <c r="C19">
        <v>1</v>
      </c>
      <c r="D19">
        <v>1171</v>
      </c>
      <c r="E19">
        <v>0</v>
      </c>
      <c r="F19">
        <v>40764</v>
      </c>
      <c r="G19">
        <v>20012</v>
      </c>
      <c r="H19">
        <v>1097</v>
      </c>
      <c r="I19">
        <v>408</v>
      </c>
      <c r="J19">
        <v>1568</v>
      </c>
      <c r="K19">
        <v>749</v>
      </c>
      <c r="L19">
        <v>241</v>
      </c>
      <c r="M19">
        <v>69</v>
      </c>
      <c r="N19">
        <v>1809</v>
      </c>
      <c r="O19">
        <v>818</v>
      </c>
    </row>
    <row r="20" spans="1:15" x14ac:dyDescent="0.25">
      <c r="A20" t="s">
        <v>299</v>
      </c>
      <c r="B20">
        <v>391</v>
      </c>
      <c r="C20">
        <v>8</v>
      </c>
      <c r="D20">
        <v>1966</v>
      </c>
      <c r="E20">
        <v>4</v>
      </c>
      <c r="F20">
        <v>54110</v>
      </c>
      <c r="G20">
        <v>27338</v>
      </c>
      <c r="H20">
        <v>3616</v>
      </c>
      <c r="I20">
        <v>1500</v>
      </c>
      <c r="J20">
        <v>1950</v>
      </c>
      <c r="K20">
        <v>963</v>
      </c>
      <c r="L20">
        <v>242</v>
      </c>
      <c r="M20">
        <v>62</v>
      </c>
      <c r="N20">
        <v>2192</v>
      </c>
      <c r="O20">
        <v>1025</v>
      </c>
    </row>
    <row r="21" spans="1:15" x14ac:dyDescent="0.25">
      <c r="A21" t="s">
        <v>300</v>
      </c>
      <c r="B21">
        <v>1013</v>
      </c>
      <c r="C21">
        <v>30</v>
      </c>
      <c r="D21">
        <v>6512</v>
      </c>
      <c r="E21">
        <v>12</v>
      </c>
      <c r="F21">
        <v>232692</v>
      </c>
      <c r="G21">
        <v>113380</v>
      </c>
      <c r="H21">
        <v>11473</v>
      </c>
      <c r="I21">
        <v>4084</v>
      </c>
      <c r="J21">
        <v>5691</v>
      </c>
      <c r="K21">
        <v>2618</v>
      </c>
      <c r="L21">
        <v>1753</v>
      </c>
      <c r="M21">
        <v>437</v>
      </c>
      <c r="N21">
        <v>7444</v>
      </c>
      <c r="O21">
        <v>3055</v>
      </c>
    </row>
    <row r="22" spans="1:15" x14ac:dyDescent="0.25">
      <c r="A22" t="s">
        <v>301</v>
      </c>
      <c r="B22">
        <v>529</v>
      </c>
      <c r="C22">
        <v>5</v>
      </c>
      <c r="D22">
        <v>3110</v>
      </c>
      <c r="E22">
        <v>4</v>
      </c>
      <c r="F22">
        <v>102358</v>
      </c>
      <c r="G22">
        <v>50821</v>
      </c>
      <c r="H22">
        <v>5974</v>
      </c>
      <c r="I22">
        <v>2264</v>
      </c>
      <c r="J22">
        <v>3190</v>
      </c>
      <c r="K22">
        <v>1523</v>
      </c>
      <c r="L22">
        <v>610</v>
      </c>
      <c r="M22">
        <v>158</v>
      </c>
      <c r="N22">
        <v>3800</v>
      </c>
      <c r="O22">
        <v>1681</v>
      </c>
    </row>
    <row r="23" spans="1:15" x14ac:dyDescent="0.25">
      <c r="A23" t="s">
        <v>302</v>
      </c>
      <c r="B23">
        <v>292</v>
      </c>
      <c r="C23">
        <v>6</v>
      </c>
      <c r="D23">
        <v>1604</v>
      </c>
      <c r="E23">
        <v>0</v>
      </c>
      <c r="F23">
        <v>51820</v>
      </c>
      <c r="G23">
        <v>25156</v>
      </c>
      <c r="H23">
        <v>1833</v>
      </c>
      <c r="I23">
        <v>806</v>
      </c>
      <c r="J23">
        <v>1225</v>
      </c>
      <c r="K23">
        <v>571</v>
      </c>
      <c r="L23">
        <v>122</v>
      </c>
      <c r="M23">
        <v>27</v>
      </c>
      <c r="N23">
        <v>1347</v>
      </c>
      <c r="O23">
        <v>598</v>
      </c>
    </row>
    <row r="24" spans="1:15" x14ac:dyDescent="0.25">
      <c r="A24" t="s">
        <v>303</v>
      </c>
      <c r="B24">
        <v>1052</v>
      </c>
      <c r="C24">
        <v>57</v>
      </c>
      <c r="D24">
        <v>6664</v>
      </c>
      <c r="E24">
        <v>87</v>
      </c>
      <c r="F24">
        <v>256730</v>
      </c>
      <c r="G24">
        <v>128940</v>
      </c>
      <c r="H24">
        <v>14802</v>
      </c>
      <c r="I24">
        <v>5286</v>
      </c>
      <c r="J24">
        <v>5807</v>
      </c>
      <c r="K24">
        <v>3604</v>
      </c>
      <c r="L24">
        <v>1425</v>
      </c>
      <c r="M24">
        <v>518</v>
      </c>
      <c r="N24">
        <v>7232</v>
      </c>
      <c r="O24">
        <v>4122</v>
      </c>
    </row>
    <row r="25" spans="1:15" x14ac:dyDescent="0.25">
      <c r="A25" t="s">
        <v>304</v>
      </c>
      <c r="B25">
        <v>208</v>
      </c>
      <c r="C25">
        <v>2</v>
      </c>
      <c r="D25">
        <v>1305</v>
      </c>
      <c r="E25">
        <v>2</v>
      </c>
      <c r="F25">
        <v>32320</v>
      </c>
      <c r="G25">
        <v>16100</v>
      </c>
      <c r="H25">
        <v>2807</v>
      </c>
      <c r="I25">
        <v>1193</v>
      </c>
      <c r="J25">
        <v>1234</v>
      </c>
      <c r="K25">
        <v>659</v>
      </c>
      <c r="L25">
        <v>151</v>
      </c>
      <c r="M25">
        <v>47</v>
      </c>
      <c r="N25">
        <v>1385</v>
      </c>
      <c r="O25">
        <v>706</v>
      </c>
    </row>
    <row r="26" spans="1:15" x14ac:dyDescent="0.25">
      <c r="A26" t="s">
        <v>305</v>
      </c>
      <c r="B26">
        <v>506</v>
      </c>
      <c r="C26">
        <v>0</v>
      </c>
      <c r="D26">
        <v>3304</v>
      </c>
      <c r="E26">
        <v>9</v>
      </c>
      <c r="F26">
        <v>116841</v>
      </c>
      <c r="G26">
        <v>57208</v>
      </c>
      <c r="H26">
        <v>3965</v>
      </c>
      <c r="I26">
        <v>1264</v>
      </c>
      <c r="J26">
        <v>3650</v>
      </c>
      <c r="K26">
        <v>1356</v>
      </c>
      <c r="L26">
        <v>962</v>
      </c>
      <c r="M26">
        <v>208</v>
      </c>
      <c r="N26">
        <v>4612</v>
      </c>
      <c r="O26">
        <v>1564</v>
      </c>
    </row>
    <row r="27" spans="1:15" x14ac:dyDescent="0.25">
      <c r="A27" t="s">
        <v>306</v>
      </c>
      <c r="B27">
        <v>779</v>
      </c>
      <c r="C27">
        <v>6</v>
      </c>
      <c r="D27">
        <v>5796</v>
      </c>
      <c r="E27">
        <v>87</v>
      </c>
      <c r="F27">
        <v>208976</v>
      </c>
      <c r="G27">
        <v>101506</v>
      </c>
      <c r="H27">
        <v>9728</v>
      </c>
      <c r="I27">
        <v>3306</v>
      </c>
      <c r="J27">
        <v>6406</v>
      </c>
      <c r="K27">
        <v>2551</v>
      </c>
      <c r="L27">
        <v>1689</v>
      </c>
      <c r="M27">
        <v>400</v>
      </c>
      <c r="N27">
        <v>8095</v>
      </c>
      <c r="O27">
        <v>2951</v>
      </c>
    </row>
    <row r="28" spans="1:15" x14ac:dyDescent="0.25">
      <c r="A28" t="s">
        <v>307</v>
      </c>
      <c r="B28">
        <v>702</v>
      </c>
      <c r="C28">
        <v>9</v>
      </c>
      <c r="D28">
        <v>4559</v>
      </c>
      <c r="E28">
        <v>24</v>
      </c>
      <c r="F28">
        <v>170096</v>
      </c>
      <c r="G28">
        <v>84559</v>
      </c>
      <c r="H28">
        <v>8393</v>
      </c>
      <c r="I28">
        <v>3188</v>
      </c>
      <c r="J28">
        <v>3636</v>
      </c>
      <c r="K28">
        <v>1935</v>
      </c>
      <c r="L28">
        <v>669</v>
      </c>
      <c r="M28">
        <v>205</v>
      </c>
      <c r="N28">
        <v>4305</v>
      </c>
      <c r="O28">
        <v>2140</v>
      </c>
    </row>
    <row r="29" spans="1:15" x14ac:dyDescent="0.25">
      <c r="A29" t="s">
        <v>266</v>
      </c>
      <c r="B29">
        <v>13113</v>
      </c>
      <c r="C29">
        <v>231</v>
      </c>
      <c r="D29">
        <v>88363</v>
      </c>
      <c r="E29">
        <v>543</v>
      </c>
      <c r="F29">
        <v>3143252</v>
      </c>
      <c r="G29">
        <v>1551990</v>
      </c>
      <c r="H29">
        <v>153436</v>
      </c>
      <c r="I29">
        <v>55249</v>
      </c>
      <c r="J29">
        <v>92835</v>
      </c>
      <c r="K29">
        <v>48008</v>
      </c>
      <c r="L29">
        <v>18835</v>
      </c>
      <c r="M29">
        <v>5360</v>
      </c>
      <c r="N29">
        <v>111670</v>
      </c>
      <c r="O29">
        <v>53368</v>
      </c>
    </row>
    <row r="30" spans="1:15" x14ac:dyDescent="0.25">
      <c r="A30" t="s">
        <v>308</v>
      </c>
      <c r="B30">
        <v>1404</v>
      </c>
      <c r="C30">
        <v>10</v>
      </c>
      <c r="D30">
        <v>14865</v>
      </c>
      <c r="E30">
        <v>79</v>
      </c>
      <c r="F30">
        <v>585189</v>
      </c>
      <c r="G30">
        <v>287220</v>
      </c>
      <c r="H30">
        <v>20626</v>
      </c>
      <c r="I30">
        <v>7296</v>
      </c>
      <c r="J30">
        <v>23420</v>
      </c>
      <c r="K30">
        <v>13542</v>
      </c>
      <c r="L30">
        <v>3404</v>
      </c>
      <c r="M30">
        <v>1354</v>
      </c>
      <c r="N30">
        <v>26824</v>
      </c>
      <c r="O30">
        <v>14896</v>
      </c>
    </row>
    <row r="31" spans="1:15" x14ac:dyDescent="0.25">
      <c r="A31" t="s">
        <v>309</v>
      </c>
      <c r="B31">
        <v>11709</v>
      </c>
      <c r="C31">
        <v>221</v>
      </c>
      <c r="D31">
        <v>73498</v>
      </c>
      <c r="E31">
        <v>464</v>
      </c>
      <c r="F31">
        <v>2558063</v>
      </c>
      <c r="G31">
        <v>1264770</v>
      </c>
      <c r="H31">
        <v>132810</v>
      </c>
      <c r="I31">
        <v>47953</v>
      </c>
      <c r="J31">
        <v>69415</v>
      </c>
      <c r="K31">
        <v>34466</v>
      </c>
      <c r="L31">
        <v>15431</v>
      </c>
      <c r="M31">
        <v>4006</v>
      </c>
      <c r="N31">
        <v>84846</v>
      </c>
      <c r="O31">
        <v>38472</v>
      </c>
    </row>
  </sheetData>
  <mergeCells count="7">
    <mergeCell ref="A1:O1"/>
    <mergeCell ref="A2:A3"/>
    <mergeCell ref="L2:M2"/>
    <mergeCell ref="F2:G2"/>
    <mergeCell ref="H2:I2"/>
    <mergeCell ref="J2:K2"/>
    <mergeCell ref="N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31"/>
  <sheetViews>
    <sheetView workbookViewId="0"/>
  </sheetViews>
  <sheetFormatPr defaultRowHeight="15" x14ac:dyDescent="0.25"/>
  <cols>
    <col min="1" max="1" width="22.140625" customWidth="1"/>
    <col min="2" max="2" width="11.28515625" customWidth="1"/>
    <col min="3" max="3" width="9.28515625" customWidth="1"/>
    <col min="7" max="7" width="11.28515625" customWidth="1"/>
    <col min="8" max="8" width="11.42578125" customWidth="1"/>
    <col min="9" max="9" width="9.28515625" customWidth="1"/>
    <col min="11" max="11" width="8.85546875" customWidth="1"/>
    <col min="12" max="12" width="9.28515625" customWidth="1"/>
  </cols>
  <sheetData>
    <row r="1" spans="1:16" x14ac:dyDescent="0.25">
      <c r="A1" s="29" t="s">
        <v>310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6" x14ac:dyDescent="0.25">
      <c r="A3" s="29"/>
      <c r="B3" t="s">
        <v>312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28</v>
      </c>
      <c r="C4">
        <v>0</v>
      </c>
      <c r="D4">
        <v>531</v>
      </c>
      <c r="E4">
        <v>509</v>
      </c>
      <c r="F4">
        <v>0</v>
      </c>
      <c r="G4">
        <v>24140</v>
      </c>
      <c r="H4">
        <v>12786</v>
      </c>
      <c r="I4">
        <v>466</v>
      </c>
      <c r="J4">
        <v>155</v>
      </c>
      <c r="K4">
        <v>1196</v>
      </c>
      <c r="L4">
        <v>462</v>
      </c>
      <c r="M4">
        <v>189</v>
      </c>
      <c r="N4">
        <v>58</v>
      </c>
      <c r="O4">
        <v>1385</v>
      </c>
      <c r="P4">
        <v>520</v>
      </c>
    </row>
    <row r="5" spans="1:16" x14ac:dyDescent="0.25">
      <c r="A5" t="s">
        <v>284</v>
      </c>
      <c r="B5">
        <v>26</v>
      </c>
      <c r="C5">
        <v>0</v>
      </c>
      <c r="D5">
        <v>652</v>
      </c>
      <c r="E5">
        <v>613</v>
      </c>
      <c r="F5">
        <v>0</v>
      </c>
      <c r="G5">
        <v>32255</v>
      </c>
      <c r="H5">
        <v>17351</v>
      </c>
      <c r="I5">
        <v>1044</v>
      </c>
      <c r="J5">
        <v>403</v>
      </c>
      <c r="K5">
        <v>1312</v>
      </c>
      <c r="L5">
        <v>581</v>
      </c>
      <c r="M5">
        <v>221</v>
      </c>
      <c r="N5">
        <v>80</v>
      </c>
      <c r="O5">
        <v>1533</v>
      </c>
      <c r="P5">
        <v>661</v>
      </c>
    </row>
    <row r="6" spans="1:16" x14ac:dyDescent="0.25">
      <c r="A6" t="s">
        <v>285</v>
      </c>
      <c r="B6">
        <v>42</v>
      </c>
      <c r="C6">
        <v>0</v>
      </c>
      <c r="D6">
        <v>986</v>
      </c>
      <c r="E6">
        <v>922</v>
      </c>
      <c r="F6">
        <v>0</v>
      </c>
      <c r="G6">
        <v>43483</v>
      </c>
      <c r="H6">
        <v>23460</v>
      </c>
      <c r="I6">
        <v>1372</v>
      </c>
      <c r="J6">
        <v>496</v>
      </c>
      <c r="K6">
        <v>1994</v>
      </c>
      <c r="L6">
        <v>936</v>
      </c>
      <c r="M6">
        <v>402</v>
      </c>
      <c r="N6">
        <v>152</v>
      </c>
      <c r="O6">
        <v>2396</v>
      </c>
      <c r="P6">
        <v>1088</v>
      </c>
    </row>
    <row r="7" spans="1:16" x14ac:dyDescent="0.25">
      <c r="A7" t="s">
        <v>286</v>
      </c>
      <c r="B7">
        <v>16</v>
      </c>
      <c r="C7">
        <v>0</v>
      </c>
      <c r="D7">
        <v>439</v>
      </c>
      <c r="E7">
        <v>407</v>
      </c>
      <c r="F7">
        <v>0</v>
      </c>
      <c r="G7">
        <v>21353</v>
      </c>
      <c r="H7">
        <v>11501</v>
      </c>
      <c r="I7">
        <v>511</v>
      </c>
      <c r="J7">
        <v>151</v>
      </c>
      <c r="K7">
        <v>982</v>
      </c>
      <c r="L7">
        <v>359</v>
      </c>
      <c r="M7">
        <v>152</v>
      </c>
      <c r="N7">
        <v>40</v>
      </c>
      <c r="O7">
        <v>1134</v>
      </c>
      <c r="P7">
        <v>399</v>
      </c>
    </row>
    <row r="8" spans="1:16" x14ac:dyDescent="0.25">
      <c r="A8" t="s">
        <v>287</v>
      </c>
      <c r="B8">
        <v>24</v>
      </c>
      <c r="C8">
        <v>0</v>
      </c>
      <c r="D8">
        <v>543</v>
      </c>
      <c r="E8">
        <v>472</v>
      </c>
      <c r="F8">
        <v>0</v>
      </c>
      <c r="G8">
        <v>28132</v>
      </c>
      <c r="H8">
        <v>14279</v>
      </c>
      <c r="I8">
        <v>282</v>
      </c>
      <c r="J8">
        <v>78</v>
      </c>
      <c r="K8">
        <v>1005</v>
      </c>
      <c r="L8">
        <v>329</v>
      </c>
      <c r="M8">
        <v>176</v>
      </c>
      <c r="N8">
        <v>38</v>
      </c>
      <c r="O8">
        <v>1181</v>
      </c>
      <c r="P8">
        <v>367</v>
      </c>
    </row>
    <row r="9" spans="1:16" x14ac:dyDescent="0.25">
      <c r="A9" t="s">
        <v>288</v>
      </c>
      <c r="B9">
        <v>25</v>
      </c>
      <c r="C9">
        <v>0</v>
      </c>
      <c r="D9">
        <v>567</v>
      </c>
      <c r="E9">
        <v>542</v>
      </c>
      <c r="F9">
        <v>0</v>
      </c>
      <c r="G9">
        <v>26510</v>
      </c>
      <c r="H9">
        <v>14330</v>
      </c>
      <c r="I9">
        <v>617</v>
      </c>
      <c r="J9">
        <v>226</v>
      </c>
      <c r="K9">
        <v>1071</v>
      </c>
      <c r="L9">
        <v>482</v>
      </c>
      <c r="M9">
        <v>160</v>
      </c>
      <c r="N9">
        <v>29</v>
      </c>
      <c r="O9">
        <v>1231</v>
      </c>
      <c r="P9">
        <v>511</v>
      </c>
    </row>
    <row r="10" spans="1:16" x14ac:dyDescent="0.25">
      <c r="A10" t="s">
        <v>289</v>
      </c>
      <c r="B10">
        <v>23</v>
      </c>
      <c r="C10">
        <v>0</v>
      </c>
      <c r="D10">
        <v>550</v>
      </c>
      <c r="E10">
        <v>498</v>
      </c>
      <c r="F10">
        <v>2</v>
      </c>
      <c r="G10">
        <v>26195</v>
      </c>
      <c r="H10">
        <v>13269</v>
      </c>
      <c r="I10">
        <v>687</v>
      </c>
      <c r="J10">
        <v>205</v>
      </c>
      <c r="K10">
        <v>1163</v>
      </c>
      <c r="L10">
        <v>447</v>
      </c>
      <c r="M10">
        <v>178</v>
      </c>
      <c r="N10">
        <v>41</v>
      </c>
      <c r="O10">
        <v>1341</v>
      </c>
      <c r="P10">
        <v>488</v>
      </c>
    </row>
    <row r="11" spans="1:16" x14ac:dyDescent="0.25">
      <c r="A11" t="s">
        <v>290</v>
      </c>
      <c r="B11">
        <v>38</v>
      </c>
      <c r="C11">
        <v>0</v>
      </c>
      <c r="D11">
        <v>1015</v>
      </c>
      <c r="E11">
        <v>925</v>
      </c>
      <c r="F11">
        <v>15</v>
      </c>
      <c r="G11">
        <v>44407</v>
      </c>
      <c r="H11">
        <v>23576</v>
      </c>
      <c r="I11">
        <v>1684</v>
      </c>
      <c r="J11">
        <v>614</v>
      </c>
      <c r="K11">
        <v>2598</v>
      </c>
      <c r="L11">
        <v>1131</v>
      </c>
      <c r="M11">
        <v>324</v>
      </c>
      <c r="N11">
        <v>70</v>
      </c>
      <c r="O11">
        <v>2922</v>
      </c>
      <c r="P11">
        <v>1201</v>
      </c>
    </row>
    <row r="12" spans="1:16" x14ac:dyDescent="0.25">
      <c r="A12" t="s">
        <v>291</v>
      </c>
      <c r="B12">
        <v>2</v>
      </c>
      <c r="C12">
        <v>0</v>
      </c>
      <c r="D12">
        <v>46</v>
      </c>
      <c r="E12">
        <v>46</v>
      </c>
      <c r="F12">
        <v>0</v>
      </c>
      <c r="G12">
        <v>1791</v>
      </c>
      <c r="H12">
        <v>930</v>
      </c>
      <c r="I12">
        <v>68</v>
      </c>
      <c r="J12">
        <v>22</v>
      </c>
      <c r="K12">
        <v>126</v>
      </c>
      <c r="L12">
        <v>56</v>
      </c>
      <c r="M12">
        <v>13</v>
      </c>
      <c r="N12">
        <v>4</v>
      </c>
      <c r="O12">
        <v>139</v>
      </c>
      <c r="P12">
        <v>60</v>
      </c>
    </row>
    <row r="13" spans="1:16" x14ac:dyDescent="0.25">
      <c r="A13" t="s">
        <v>292</v>
      </c>
      <c r="B13">
        <v>8</v>
      </c>
      <c r="C13">
        <v>0</v>
      </c>
      <c r="D13">
        <v>110</v>
      </c>
      <c r="E13">
        <v>102</v>
      </c>
      <c r="F13">
        <v>0</v>
      </c>
      <c r="G13">
        <v>4769</v>
      </c>
      <c r="H13">
        <v>2340</v>
      </c>
      <c r="I13">
        <v>115</v>
      </c>
      <c r="J13">
        <v>52</v>
      </c>
      <c r="K13">
        <v>215</v>
      </c>
      <c r="L13">
        <v>75</v>
      </c>
      <c r="M13">
        <v>45</v>
      </c>
      <c r="N13">
        <v>10</v>
      </c>
      <c r="O13">
        <v>260</v>
      </c>
      <c r="P13">
        <v>85</v>
      </c>
    </row>
    <row r="14" spans="1:16" x14ac:dyDescent="0.25">
      <c r="A14" t="s">
        <v>293</v>
      </c>
      <c r="B14">
        <v>11</v>
      </c>
      <c r="C14">
        <v>0</v>
      </c>
      <c r="D14">
        <v>208</v>
      </c>
      <c r="E14">
        <v>211</v>
      </c>
      <c r="F14">
        <v>27</v>
      </c>
      <c r="G14">
        <v>9468</v>
      </c>
      <c r="H14">
        <v>5011</v>
      </c>
      <c r="I14">
        <v>283</v>
      </c>
      <c r="J14">
        <v>108</v>
      </c>
      <c r="K14">
        <v>461</v>
      </c>
      <c r="L14">
        <v>216</v>
      </c>
      <c r="M14">
        <v>45</v>
      </c>
      <c r="N14">
        <v>8</v>
      </c>
      <c r="O14">
        <v>506</v>
      </c>
      <c r="P14">
        <v>224</v>
      </c>
    </row>
    <row r="15" spans="1:16" x14ac:dyDescent="0.25">
      <c r="A15" t="s">
        <v>294</v>
      </c>
      <c r="B15">
        <v>5</v>
      </c>
      <c r="C15">
        <v>0</v>
      </c>
      <c r="D15">
        <v>63</v>
      </c>
      <c r="E15">
        <v>53</v>
      </c>
      <c r="F15">
        <v>0</v>
      </c>
      <c r="G15">
        <v>2925</v>
      </c>
      <c r="H15">
        <v>1570</v>
      </c>
      <c r="I15">
        <v>63</v>
      </c>
      <c r="J15">
        <v>17</v>
      </c>
      <c r="K15">
        <v>155</v>
      </c>
      <c r="L15">
        <v>52</v>
      </c>
      <c r="M15">
        <v>8</v>
      </c>
      <c r="N15">
        <v>0</v>
      </c>
      <c r="O15">
        <v>163</v>
      </c>
      <c r="P15">
        <v>52</v>
      </c>
    </row>
    <row r="16" spans="1:16" x14ac:dyDescent="0.25">
      <c r="A16" t="s">
        <v>295</v>
      </c>
      <c r="B16">
        <v>9</v>
      </c>
      <c r="C16">
        <v>0</v>
      </c>
      <c r="D16">
        <v>162</v>
      </c>
      <c r="E16">
        <v>160</v>
      </c>
      <c r="F16">
        <v>0</v>
      </c>
      <c r="G16">
        <v>7381</v>
      </c>
      <c r="H16">
        <v>3760</v>
      </c>
      <c r="I16">
        <v>245</v>
      </c>
      <c r="J16">
        <v>90</v>
      </c>
      <c r="K16">
        <v>253</v>
      </c>
      <c r="L16">
        <v>81</v>
      </c>
      <c r="M16">
        <v>44</v>
      </c>
      <c r="N16">
        <v>10</v>
      </c>
      <c r="O16">
        <v>297</v>
      </c>
      <c r="P16">
        <v>91</v>
      </c>
    </row>
    <row r="17" spans="1:16" x14ac:dyDescent="0.25">
      <c r="A17" t="s">
        <v>296</v>
      </c>
      <c r="B17">
        <v>2</v>
      </c>
      <c r="C17">
        <v>0</v>
      </c>
      <c r="D17">
        <v>57</v>
      </c>
      <c r="E17">
        <v>55</v>
      </c>
      <c r="F17">
        <v>0</v>
      </c>
      <c r="G17">
        <v>2556</v>
      </c>
      <c r="H17">
        <v>1325</v>
      </c>
      <c r="I17">
        <v>112</v>
      </c>
      <c r="J17">
        <v>36</v>
      </c>
      <c r="K17">
        <v>142</v>
      </c>
      <c r="L17">
        <v>51</v>
      </c>
      <c r="M17">
        <v>16</v>
      </c>
      <c r="N17">
        <v>6</v>
      </c>
      <c r="O17">
        <v>158</v>
      </c>
      <c r="P17">
        <v>57</v>
      </c>
    </row>
    <row r="18" spans="1:16" x14ac:dyDescent="0.25">
      <c r="A18" t="s">
        <v>297</v>
      </c>
      <c r="B18">
        <v>36</v>
      </c>
      <c r="C18">
        <v>0</v>
      </c>
      <c r="D18">
        <v>1591</v>
      </c>
      <c r="E18">
        <v>1120</v>
      </c>
      <c r="F18">
        <v>0</v>
      </c>
      <c r="G18">
        <v>74076</v>
      </c>
      <c r="H18">
        <v>36638</v>
      </c>
      <c r="I18">
        <v>1967</v>
      </c>
      <c r="J18">
        <v>772</v>
      </c>
      <c r="K18">
        <v>4863</v>
      </c>
      <c r="L18">
        <v>2184</v>
      </c>
      <c r="M18">
        <v>377</v>
      </c>
      <c r="N18">
        <v>120</v>
      </c>
      <c r="O18">
        <v>5240</v>
      </c>
      <c r="P18">
        <v>2304</v>
      </c>
    </row>
    <row r="19" spans="1:16" x14ac:dyDescent="0.25">
      <c r="A19" t="s">
        <v>298</v>
      </c>
      <c r="B19">
        <v>8</v>
      </c>
      <c r="C19">
        <v>0</v>
      </c>
      <c r="D19">
        <v>163</v>
      </c>
      <c r="E19">
        <v>166</v>
      </c>
      <c r="F19">
        <v>0</v>
      </c>
      <c r="G19">
        <v>7353</v>
      </c>
      <c r="H19">
        <v>3667</v>
      </c>
      <c r="I19">
        <v>150</v>
      </c>
      <c r="J19">
        <v>53</v>
      </c>
      <c r="K19">
        <v>391</v>
      </c>
      <c r="L19">
        <v>120</v>
      </c>
      <c r="M19">
        <v>48</v>
      </c>
      <c r="N19">
        <v>9</v>
      </c>
      <c r="O19">
        <v>439</v>
      </c>
      <c r="P19">
        <v>129</v>
      </c>
    </row>
    <row r="20" spans="1:16" x14ac:dyDescent="0.25">
      <c r="A20" t="s">
        <v>299</v>
      </c>
      <c r="B20">
        <v>16</v>
      </c>
      <c r="C20">
        <v>0</v>
      </c>
      <c r="D20">
        <v>151</v>
      </c>
      <c r="E20">
        <v>147</v>
      </c>
      <c r="F20">
        <v>0</v>
      </c>
      <c r="G20">
        <v>6078</v>
      </c>
      <c r="H20">
        <v>3113</v>
      </c>
      <c r="I20">
        <v>67</v>
      </c>
      <c r="J20">
        <v>31</v>
      </c>
      <c r="K20">
        <v>288</v>
      </c>
      <c r="L20">
        <v>111</v>
      </c>
      <c r="M20">
        <v>32</v>
      </c>
      <c r="N20">
        <v>11</v>
      </c>
      <c r="O20">
        <v>320</v>
      </c>
      <c r="P20">
        <v>122</v>
      </c>
    </row>
    <row r="21" spans="1:16" x14ac:dyDescent="0.25">
      <c r="A21" t="s">
        <v>300</v>
      </c>
      <c r="B21">
        <v>31</v>
      </c>
      <c r="C21">
        <v>0</v>
      </c>
      <c r="D21">
        <v>878</v>
      </c>
      <c r="E21">
        <v>829</v>
      </c>
      <c r="F21">
        <v>0</v>
      </c>
      <c r="G21">
        <v>41121</v>
      </c>
      <c r="H21">
        <v>21197</v>
      </c>
      <c r="I21">
        <v>695</v>
      </c>
      <c r="J21">
        <v>240</v>
      </c>
      <c r="K21">
        <v>1533</v>
      </c>
      <c r="L21">
        <v>531</v>
      </c>
      <c r="M21">
        <v>300</v>
      </c>
      <c r="N21">
        <v>71</v>
      </c>
      <c r="O21">
        <v>1833</v>
      </c>
      <c r="P21">
        <v>602</v>
      </c>
    </row>
    <row r="22" spans="1:16" x14ac:dyDescent="0.25">
      <c r="A22" t="s">
        <v>301</v>
      </c>
      <c r="B22">
        <v>15</v>
      </c>
      <c r="C22">
        <v>0</v>
      </c>
      <c r="D22">
        <v>316</v>
      </c>
      <c r="E22">
        <v>309</v>
      </c>
      <c r="F22">
        <v>0</v>
      </c>
      <c r="G22">
        <v>14036</v>
      </c>
      <c r="H22">
        <v>7290</v>
      </c>
      <c r="I22">
        <v>299</v>
      </c>
      <c r="J22">
        <v>106</v>
      </c>
      <c r="K22">
        <v>713</v>
      </c>
      <c r="L22">
        <v>236</v>
      </c>
      <c r="M22">
        <v>112</v>
      </c>
      <c r="N22">
        <v>25</v>
      </c>
      <c r="O22">
        <v>825</v>
      </c>
      <c r="P22">
        <v>261</v>
      </c>
    </row>
    <row r="23" spans="1:16" x14ac:dyDescent="0.25">
      <c r="A23" t="s">
        <v>302</v>
      </c>
      <c r="B23">
        <v>9</v>
      </c>
      <c r="C23">
        <v>0</v>
      </c>
      <c r="D23">
        <v>123</v>
      </c>
      <c r="E23">
        <v>98</v>
      </c>
      <c r="F23">
        <v>0</v>
      </c>
      <c r="G23">
        <v>5783</v>
      </c>
      <c r="H23">
        <v>2808</v>
      </c>
      <c r="I23">
        <v>64</v>
      </c>
      <c r="J23">
        <v>27</v>
      </c>
      <c r="K23">
        <v>254</v>
      </c>
      <c r="L23">
        <v>102</v>
      </c>
      <c r="M23">
        <v>30</v>
      </c>
      <c r="N23">
        <v>7</v>
      </c>
      <c r="O23">
        <v>284</v>
      </c>
      <c r="P23">
        <v>109</v>
      </c>
    </row>
    <row r="24" spans="1:16" x14ac:dyDescent="0.25">
      <c r="A24" t="s">
        <v>303</v>
      </c>
      <c r="B24">
        <v>35</v>
      </c>
      <c r="C24">
        <v>0</v>
      </c>
      <c r="D24">
        <v>866</v>
      </c>
      <c r="E24">
        <v>803</v>
      </c>
      <c r="F24">
        <v>0</v>
      </c>
      <c r="G24">
        <v>44358</v>
      </c>
      <c r="H24">
        <v>24441</v>
      </c>
      <c r="I24">
        <v>1330</v>
      </c>
      <c r="J24">
        <v>460</v>
      </c>
      <c r="K24">
        <v>1591</v>
      </c>
      <c r="L24">
        <v>676</v>
      </c>
      <c r="M24">
        <v>243</v>
      </c>
      <c r="N24">
        <v>81</v>
      </c>
      <c r="O24">
        <v>1834</v>
      </c>
      <c r="P24">
        <v>757</v>
      </c>
    </row>
    <row r="25" spans="1:16" x14ac:dyDescent="0.25">
      <c r="A25" t="s">
        <v>304</v>
      </c>
      <c r="B25">
        <v>9</v>
      </c>
      <c r="C25">
        <v>0</v>
      </c>
      <c r="D25">
        <v>86</v>
      </c>
      <c r="E25">
        <v>86</v>
      </c>
      <c r="F25">
        <v>0</v>
      </c>
      <c r="G25">
        <v>3597</v>
      </c>
      <c r="H25">
        <v>1780</v>
      </c>
      <c r="I25">
        <v>13</v>
      </c>
      <c r="J25">
        <v>1</v>
      </c>
      <c r="K25">
        <v>231</v>
      </c>
      <c r="L25">
        <v>84</v>
      </c>
      <c r="M25">
        <v>25</v>
      </c>
      <c r="N25">
        <v>5</v>
      </c>
      <c r="O25">
        <v>256</v>
      </c>
      <c r="P25">
        <v>89</v>
      </c>
    </row>
    <row r="26" spans="1:16" x14ac:dyDescent="0.25">
      <c r="A26" t="s">
        <v>305</v>
      </c>
      <c r="B26">
        <v>19</v>
      </c>
      <c r="C26">
        <v>0</v>
      </c>
      <c r="D26">
        <v>544</v>
      </c>
      <c r="E26">
        <v>507</v>
      </c>
      <c r="F26">
        <v>0</v>
      </c>
      <c r="G26">
        <v>24197</v>
      </c>
      <c r="H26">
        <v>11959</v>
      </c>
      <c r="I26">
        <v>509</v>
      </c>
      <c r="J26">
        <v>123</v>
      </c>
      <c r="K26">
        <v>1160</v>
      </c>
      <c r="L26">
        <v>333</v>
      </c>
      <c r="M26">
        <v>212</v>
      </c>
      <c r="N26">
        <v>64</v>
      </c>
      <c r="O26">
        <v>1372</v>
      </c>
      <c r="P26">
        <v>397</v>
      </c>
    </row>
    <row r="27" spans="1:16" x14ac:dyDescent="0.25">
      <c r="A27" t="s">
        <v>306</v>
      </c>
      <c r="B27">
        <v>50</v>
      </c>
      <c r="C27">
        <v>0</v>
      </c>
      <c r="D27">
        <v>1327</v>
      </c>
      <c r="E27">
        <v>1285</v>
      </c>
      <c r="F27">
        <v>0</v>
      </c>
      <c r="G27">
        <v>58091</v>
      </c>
      <c r="H27">
        <v>28947</v>
      </c>
      <c r="I27">
        <v>1799</v>
      </c>
      <c r="J27">
        <v>685</v>
      </c>
      <c r="K27">
        <v>2299</v>
      </c>
      <c r="L27">
        <v>664</v>
      </c>
      <c r="M27">
        <v>482</v>
      </c>
      <c r="N27">
        <v>124</v>
      </c>
      <c r="O27">
        <v>2781</v>
      </c>
      <c r="P27">
        <v>788</v>
      </c>
    </row>
    <row r="28" spans="1:16" x14ac:dyDescent="0.25">
      <c r="A28" t="s">
        <v>307</v>
      </c>
      <c r="B28">
        <v>24</v>
      </c>
      <c r="C28">
        <v>0</v>
      </c>
      <c r="D28">
        <v>572</v>
      </c>
      <c r="E28">
        <v>510</v>
      </c>
      <c r="F28">
        <v>0</v>
      </c>
      <c r="G28">
        <v>27373</v>
      </c>
      <c r="H28">
        <v>14660</v>
      </c>
      <c r="I28">
        <v>906</v>
      </c>
      <c r="J28">
        <v>313</v>
      </c>
      <c r="K28">
        <v>862</v>
      </c>
      <c r="L28">
        <v>326</v>
      </c>
      <c r="M28">
        <v>145</v>
      </c>
      <c r="N28">
        <v>45</v>
      </c>
      <c r="O28">
        <v>1007</v>
      </c>
      <c r="P28">
        <v>371</v>
      </c>
    </row>
    <row r="29" spans="1:16" x14ac:dyDescent="0.25">
      <c r="A29" t="s">
        <v>266</v>
      </c>
      <c r="B29">
        <v>511</v>
      </c>
      <c r="C29">
        <v>0</v>
      </c>
      <c r="D29">
        <v>12546</v>
      </c>
      <c r="E29">
        <v>11375</v>
      </c>
      <c r="F29">
        <v>44</v>
      </c>
      <c r="G29">
        <v>581428</v>
      </c>
      <c r="H29">
        <v>301988</v>
      </c>
      <c r="I29">
        <v>15348</v>
      </c>
      <c r="J29">
        <v>5464</v>
      </c>
      <c r="K29">
        <v>26858</v>
      </c>
      <c r="L29">
        <v>10625</v>
      </c>
      <c r="M29">
        <v>3979</v>
      </c>
      <c r="N29">
        <v>1108</v>
      </c>
      <c r="O29">
        <v>30837</v>
      </c>
      <c r="P29">
        <v>11733</v>
      </c>
    </row>
    <row r="30" spans="1:16" x14ac:dyDescent="0.25">
      <c r="A30" t="s">
        <v>308</v>
      </c>
      <c r="B30">
        <v>104</v>
      </c>
      <c r="C30">
        <v>0</v>
      </c>
      <c r="D30">
        <v>3731</v>
      </c>
      <c r="E30">
        <v>3154</v>
      </c>
      <c r="F30">
        <v>0</v>
      </c>
      <c r="G30">
        <v>173304</v>
      </c>
      <c r="H30">
        <v>87761</v>
      </c>
      <c r="I30">
        <v>4836</v>
      </c>
      <c r="J30">
        <v>1852</v>
      </c>
      <c r="K30">
        <v>9925</v>
      </c>
      <c r="L30">
        <v>4328</v>
      </c>
      <c r="M30">
        <v>1072</v>
      </c>
      <c r="N30">
        <v>360</v>
      </c>
      <c r="O30">
        <v>10997</v>
      </c>
      <c r="P30">
        <v>4688</v>
      </c>
    </row>
    <row r="31" spans="1:16" x14ac:dyDescent="0.25">
      <c r="A31" t="s">
        <v>309</v>
      </c>
      <c r="B31">
        <v>407</v>
      </c>
      <c r="C31">
        <v>0</v>
      </c>
      <c r="D31">
        <v>8815</v>
      </c>
      <c r="E31">
        <v>8221</v>
      </c>
      <c r="F31">
        <v>44</v>
      </c>
      <c r="G31">
        <v>408124</v>
      </c>
      <c r="H31">
        <v>214227</v>
      </c>
      <c r="I31">
        <v>10512</v>
      </c>
      <c r="J31">
        <v>3612</v>
      </c>
      <c r="K31">
        <v>16933</v>
      </c>
      <c r="L31">
        <v>6297</v>
      </c>
      <c r="M31">
        <v>2907</v>
      </c>
      <c r="N31">
        <v>748</v>
      </c>
      <c r="O31">
        <v>19840</v>
      </c>
      <c r="P31">
        <v>7045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5.28515625" customWidth="1"/>
    <col min="2" max="2" width="9.85546875" customWidth="1"/>
    <col min="9" max="9" width="9.28515625" customWidth="1"/>
    <col min="10" max="10" width="8.85546875" customWidth="1"/>
    <col min="11" max="11" width="9.28515625" customWidth="1"/>
    <col min="12" max="12" width="8.85546875" customWidth="1"/>
    <col min="13" max="13" width="9.28515625" customWidth="1"/>
    <col min="14" max="14" width="8.85546875" customWidth="1"/>
    <col min="15" max="15" width="9.28515625" customWidth="1"/>
    <col min="16" max="16" width="8.85546875" customWidth="1"/>
  </cols>
  <sheetData>
    <row r="1" spans="1:16" x14ac:dyDescent="0.25">
      <c r="A1" s="29" t="s">
        <v>314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6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55</v>
      </c>
      <c r="C4">
        <v>0</v>
      </c>
      <c r="D4">
        <v>283</v>
      </c>
      <c r="E4">
        <v>279</v>
      </c>
      <c r="F4">
        <v>2</v>
      </c>
      <c r="G4">
        <v>13080</v>
      </c>
      <c r="H4">
        <v>6852</v>
      </c>
      <c r="I4">
        <v>151</v>
      </c>
      <c r="J4">
        <v>38</v>
      </c>
      <c r="K4">
        <v>539</v>
      </c>
      <c r="L4">
        <v>230</v>
      </c>
      <c r="M4">
        <v>140</v>
      </c>
      <c r="N4">
        <v>45</v>
      </c>
      <c r="O4">
        <v>679</v>
      </c>
      <c r="P4">
        <v>275</v>
      </c>
    </row>
    <row r="5" spans="1:16" x14ac:dyDescent="0.25">
      <c r="A5" t="s">
        <v>284</v>
      </c>
      <c r="B5">
        <v>93</v>
      </c>
      <c r="C5">
        <v>1</v>
      </c>
      <c r="D5">
        <v>702</v>
      </c>
      <c r="E5">
        <v>596</v>
      </c>
      <c r="F5">
        <v>0</v>
      </c>
      <c r="G5">
        <v>28384</v>
      </c>
      <c r="H5">
        <v>15024</v>
      </c>
      <c r="I5">
        <v>620</v>
      </c>
      <c r="J5">
        <v>195</v>
      </c>
      <c r="K5">
        <v>1351</v>
      </c>
      <c r="L5">
        <v>653</v>
      </c>
      <c r="M5">
        <v>292</v>
      </c>
      <c r="N5">
        <v>92</v>
      </c>
      <c r="O5">
        <v>1643</v>
      </c>
      <c r="P5">
        <v>745</v>
      </c>
    </row>
    <row r="6" spans="1:16" x14ac:dyDescent="0.25">
      <c r="A6" t="s">
        <v>285</v>
      </c>
      <c r="B6">
        <v>80</v>
      </c>
      <c r="C6">
        <v>2</v>
      </c>
      <c r="D6">
        <v>457</v>
      </c>
      <c r="E6">
        <v>396</v>
      </c>
      <c r="F6">
        <v>3</v>
      </c>
      <c r="G6">
        <v>20162</v>
      </c>
      <c r="H6">
        <v>10950</v>
      </c>
      <c r="I6">
        <v>604</v>
      </c>
      <c r="J6">
        <v>179</v>
      </c>
      <c r="K6">
        <v>837</v>
      </c>
      <c r="L6">
        <v>436</v>
      </c>
      <c r="M6">
        <v>215</v>
      </c>
      <c r="N6">
        <v>54</v>
      </c>
      <c r="O6">
        <v>1052</v>
      </c>
      <c r="P6">
        <v>490</v>
      </c>
    </row>
    <row r="7" spans="1:16" x14ac:dyDescent="0.25">
      <c r="A7" t="s">
        <v>286</v>
      </c>
      <c r="B7">
        <v>60</v>
      </c>
      <c r="C7">
        <v>0</v>
      </c>
      <c r="D7">
        <v>327</v>
      </c>
      <c r="E7">
        <v>302</v>
      </c>
      <c r="F7">
        <v>1</v>
      </c>
      <c r="G7">
        <v>15342</v>
      </c>
      <c r="H7">
        <v>8170</v>
      </c>
      <c r="I7">
        <v>236</v>
      </c>
      <c r="J7">
        <v>49</v>
      </c>
      <c r="K7">
        <v>575</v>
      </c>
      <c r="L7">
        <v>269</v>
      </c>
      <c r="M7">
        <v>92</v>
      </c>
      <c r="N7">
        <v>20</v>
      </c>
      <c r="O7">
        <v>667</v>
      </c>
      <c r="P7">
        <v>289</v>
      </c>
    </row>
    <row r="8" spans="1:16" x14ac:dyDescent="0.25">
      <c r="A8" t="s">
        <v>287</v>
      </c>
      <c r="B8">
        <v>70</v>
      </c>
      <c r="C8">
        <v>0</v>
      </c>
      <c r="D8">
        <v>410</v>
      </c>
      <c r="E8">
        <v>359</v>
      </c>
      <c r="F8">
        <v>0</v>
      </c>
      <c r="G8">
        <v>21720</v>
      </c>
      <c r="H8">
        <v>11348</v>
      </c>
      <c r="I8">
        <v>231</v>
      </c>
      <c r="J8">
        <v>75</v>
      </c>
      <c r="K8">
        <v>920</v>
      </c>
      <c r="L8">
        <v>330</v>
      </c>
      <c r="M8">
        <v>123</v>
      </c>
      <c r="N8">
        <v>13</v>
      </c>
      <c r="O8">
        <v>1043</v>
      </c>
      <c r="P8">
        <v>343</v>
      </c>
    </row>
    <row r="9" spans="1:16" x14ac:dyDescent="0.25">
      <c r="A9" t="s">
        <v>288</v>
      </c>
      <c r="B9">
        <v>66</v>
      </c>
      <c r="C9">
        <v>0</v>
      </c>
      <c r="D9">
        <v>371</v>
      </c>
      <c r="E9">
        <v>344</v>
      </c>
      <c r="F9">
        <v>0</v>
      </c>
      <c r="G9">
        <v>16585</v>
      </c>
      <c r="H9">
        <v>9081</v>
      </c>
      <c r="I9">
        <v>389</v>
      </c>
      <c r="J9">
        <v>110</v>
      </c>
      <c r="K9">
        <v>652</v>
      </c>
      <c r="L9">
        <v>306</v>
      </c>
      <c r="M9">
        <v>154</v>
      </c>
      <c r="N9">
        <v>39</v>
      </c>
      <c r="O9">
        <v>806</v>
      </c>
      <c r="P9">
        <v>345</v>
      </c>
    </row>
    <row r="10" spans="1:16" x14ac:dyDescent="0.25">
      <c r="A10" t="s">
        <v>289</v>
      </c>
      <c r="B10">
        <v>76</v>
      </c>
      <c r="C10">
        <v>0</v>
      </c>
      <c r="D10">
        <v>447</v>
      </c>
      <c r="E10">
        <v>404</v>
      </c>
      <c r="F10">
        <v>1</v>
      </c>
      <c r="G10">
        <v>19595</v>
      </c>
      <c r="H10">
        <v>9924</v>
      </c>
      <c r="I10">
        <v>419</v>
      </c>
      <c r="J10">
        <v>93</v>
      </c>
      <c r="K10">
        <v>971</v>
      </c>
      <c r="L10">
        <v>426</v>
      </c>
      <c r="M10">
        <v>231</v>
      </c>
      <c r="N10">
        <v>46</v>
      </c>
      <c r="O10">
        <v>1202</v>
      </c>
      <c r="P10">
        <v>472</v>
      </c>
    </row>
    <row r="11" spans="1:16" x14ac:dyDescent="0.25">
      <c r="A11" t="s">
        <v>290</v>
      </c>
      <c r="B11">
        <v>102</v>
      </c>
      <c r="C11">
        <v>1</v>
      </c>
      <c r="D11">
        <v>692</v>
      </c>
      <c r="E11">
        <v>649</v>
      </c>
      <c r="F11">
        <v>12</v>
      </c>
      <c r="G11">
        <v>29228</v>
      </c>
      <c r="H11">
        <v>15168</v>
      </c>
      <c r="I11">
        <v>772</v>
      </c>
      <c r="J11">
        <v>251</v>
      </c>
      <c r="K11">
        <v>1603</v>
      </c>
      <c r="L11">
        <v>802</v>
      </c>
      <c r="M11">
        <v>287</v>
      </c>
      <c r="N11">
        <v>68</v>
      </c>
      <c r="O11">
        <v>1890</v>
      </c>
      <c r="P11">
        <v>870</v>
      </c>
    </row>
    <row r="12" spans="1:16" x14ac:dyDescent="0.25">
      <c r="A12" t="s">
        <v>291</v>
      </c>
      <c r="B12">
        <v>4</v>
      </c>
      <c r="C12">
        <v>0</v>
      </c>
      <c r="D12">
        <v>30</v>
      </c>
      <c r="E12">
        <v>30</v>
      </c>
      <c r="F12">
        <v>0</v>
      </c>
      <c r="G12">
        <v>1008</v>
      </c>
      <c r="H12">
        <v>468</v>
      </c>
      <c r="I12">
        <v>26</v>
      </c>
      <c r="J12">
        <v>7</v>
      </c>
      <c r="K12">
        <v>88</v>
      </c>
      <c r="L12">
        <v>32</v>
      </c>
      <c r="M12">
        <v>17</v>
      </c>
      <c r="N12">
        <v>1</v>
      </c>
      <c r="O12">
        <v>105</v>
      </c>
      <c r="P12">
        <v>33</v>
      </c>
    </row>
    <row r="13" spans="1:16" x14ac:dyDescent="0.25">
      <c r="A13" t="s">
        <v>292</v>
      </c>
      <c r="B13">
        <v>21</v>
      </c>
      <c r="C13">
        <v>1</v>
      </c>
      <c r="D13">
        <v>71</v>
      </c>
      <c r="E13">
        <v>74</v>
      </c>
      <c r="F13">
        <v>0</v>
      </c>
      <c r="G13">
        <v>2340</v>
      </c>
      <c r="H13">
        <v>1174</v>
      </c>
      <c r="I13">
        <v>51</v>
      </c>
      <c r="J13">
        <v>16</v>
      </c>
      <c r="K13">
        <v>156</v>
      </c>
      <c r="L13">
        <v>41</v>
      </c>
      <c r="M13">
        <v>11</v>
      </c>
      <c r="N13">
        <v>1</v>
      </c>
      <c r="O13">
        <v>167</v>
      </c>
      <c r="P13">
        <v>42</v>
      </c>
    </row>
    <row r="14" spans="1:16" x14ac:dyDescent="0.25">
      <c r="A14" t="s">
        <v>293</v>
      </c>
      <c r="B14">
        <v>41</v>
      </c>
      <c r="C14">
        <v>1</v>
      </c>
      <c r="D14">
        <v>200</v>
      </c>
      <c r="E14">
        <v>238</v>
      </c>
      <c r="F14">
        <v>3</v>
      </c>
      <c r="G14">
        <v>9286</v>
      </c>
      <c r="H14">
        <v>5055</v>
      </c>
      <c r="I14">
        <v>126</v>
      </c>
      <c r="J14">
        <v>43</v>
      </c>
      <c r="K14">
        <v>492</v>
      </c>
      <c r="L14">
        <v>267</v>
      </c>
      <c r="M14">
        <v>73</v>
      </c>
      <c r="N14">
        <v>17</v>
      </c>
      <c r="O14">
        <v>565</v>
      </c>
      <c r="P14">
        <v>284</v>
      </c>
    </row>
    <row r="15" spans="1:16" x14ac:dyDescent="0.25">
      <c r="A15" t="s">
        <v>294</v>
      </c>
      <c r="B15">
        <v>9</v>
      </c>
      <c r="C15">
        <v>0</v>
      </c>
      <c r="D15">
        <v>31</v>
      </c>
      <c r="E15">
        <v>31</v>
      </c>
      <c r="F15">
        <v>0</v>
      </c>
      <c r="G15">
        <v>1246</v>
      </c>
      <c r="H15">
        <v>638</v>
      </c>
      <c r="I15">
        <v>37</v>
      </c>
      <c r="J15">
        <v>10</v>
      </c>
      <c r="K15">
        <v>68</v>
      </c>
      <c r="L15">
        <v>25</v>
      </c>
      <c r="M15">
        <v>0</v>
      </c>
      <c r="N15">
        <v>0</v>
      </c>
      <c r="O15">
        <v>68</v>
      </c>
      <c r="P15">
        <v>25</v>
      </c>
    </row>
    <row r="16" spans="1:16" x14ac:dyDescent="0.25">
      <c r="A16" t="s">
        <v>295</v>
      </c>
      <c r="B16">
        <v>28</v>
      </c>
      <c r="C16">
        <v>1</v>
      </c>
      <c r="D16">
        <v>117</v>
      </c>
      <c r="E16">
        <v>112</v>
      </c>
      <c r="F16">
        <v>0</v>
      </c>
      <c r="G16">
        <v>5229</v>
      </c>
      <c r="H16">
        <v>2647</v>
      </c>
      <c r="I16">
        <v>112</v>
      </c>
      <c r="J16">
        <v>35</v>
      </c>
      <c r="K16">
        <v>216</v>
      </c>
      <c r="L16">
        <v>73</v>
      </c>
      <c r="M16">
        <v>23</v>
      </c>
      <c r="N16">
        <v>1</v>
      </c>
      <c r="O16">
        <v>239</v>
      </c>
      <c r="P16">
        <v>74</v>
      </c>
    </row>
    <row r="17" spans="1:16" x14ac:dyDescent="0.25">
      <c r="A17" t="s">
        <v>296</v>
      </c>
      <c r="B17">
        <v>7</v>
      </c>
      <c r="C17">
        <v>0</v>
      </c>
      <c r="D17">
        <v>41</v>
      </c>
      <c r="E17">
        <v>41</v>
      </c>
      <c r="F17">
        <v>0</v>
      </c>
      <c r="G17">
        <v>1735</v>
      </c>
      <c r="H17">
        <v>868</v>
      </c>
      <c r="I17">
        <v>47</v>
      </c>
      <c r="J17">
        <v>12</v>
      </c>
      <c r="K17">
        <v>149</v>
      </c>
      <c r="L17">
        <v>59</v>
      </c>
      <c r="M17">
        <v>20</v>
      </c>
      <c r="N17">
        <v>4</v>
      </c>
      <c r="O17">
        <v>169</v>
      </c>
      <c r="P17">
        <v>63</v>
      </c>
    </row>
    <row r="18" spans="1:16" x14ac:dyDescent="0.25">
      <c r="A18" t="s">
        <v>297</v>
      </c>
      <c r="B18">
        <v>30</v>
      </c>
      <c r="C18">
        <v>0</v>
      </c>
      <c r="D18">
        <v>299</v>
      </c>
      <c r="E18">
        <v>212</v>
      </c>
      <c r="F18">
        <v>0</v>
      </c>
      <c r="G18">
        <v>12331</v>
      </c>
      <c r="H18">
        <v>6102</v>
      </c>
      <c r="I18">
        <v>407</v>
      </c>
      <c r="J18">
        <v>133</v>
      </c>
      <c r="K18">
        <v>954</v>
      </c>
      <c r="L18">
        <v>489</v>
      </c>
      <c r="M18">
        <v>107</v>
      </c>
      <c r="N18">
        <v>24</v>
      </c>
      <c r="O18">
        <v>1061</v>
      </c>
      <c r="P18">
        <v>513</v>
      </c>
    </row>
    <row r="19" spans="1:16" x14ac:dyDescent="0.25">
      <c r="A19" t="s">
        <v>298</v>
      </c>
      <c r="B19">
        <v>19</v>
      </c>
      <c r="C19">
        <v>0</v>
      </c>
      <c r="D19">
        <v>116</v>
      </c>
      <c r="E19">
        <v>144</v>
      </c>
      <c r="F19">
        <v>0</v>
      </c>
      <c r="G19">
        <v>4812</v>
      </c>
      <c r="H19">
        <v>2412</v>
      </c>
      <c r="I19">
        <v>122</v>
      </c>
      <c r="J19">
        <v>46</v>
      </c>
      <c r="K19">
        <v>289</v>
      </c>
      <c r="L19">
        <v>114</v>
      </c>
      <c r="M19">
        <v>46</v>
      </c>
      <c r="N19">
        <v>11</v>
      </c>
      <c r="O19">
        <v>335</v>
      </c>
      <c r="P19">
        <v>125</v>
      </c>
    </row>
    <row r="20" spans="1:16" x14ac:dyDescent="0.25">
      <c r="A20" t="s">
        <v>299</v>
      </c>
      <c r="B20">
        <v>47</v>
      </c>
      <c r="C20">
        <v>2</v>
      </c>
      <c r="D20">
        <v>183</v>
      </c>
      <c r="E20">
        <v>178</v>
      </c>
      <c r="F20">
        <v>0</v>
      </c>
      <c r="G20">
        <v>7426</v>
      </c>
      <c r="H20">
        <v>4094</v>
      </c>
      <c r="I20">
        <v>63</v>
      </c>
      <c r="J20">
        <v>24</v>
      </c>
      <c r="K20">
        <v>410</v>
      </c>
      <c r="L20">
        <v>152</v>
      </c>
      <c r="M20">
        <v>29</v>
      </c>
      <c r="N20">
        <v>10</v>
      </c>
      <c r="O20">
        <v>439</v>
      </c>
      <c r="P20">
        <v>162</v>
      </c>
    </row>
    <row r="21" spans="1:16" x14ac:dyDescent="0.25">
      <c r="A21" t="s">
        <v>300</v>
      </c>
      <c r="B21">
        <v>92</v>
      </c>
      <c r="C21">
        <v>3</v>
      </c>
      <c r="D21">
        <v>594</v>
      </c>
      <c r="E21">
        <v>552</v>
      </c>
      <c r="F21">
        <v>0</v>
      </c>
      <c r="G21">
        <v>28118</v>
      </c>
      <c r="H21">
        <v>14624</v>
      </c>
      <c r="I21">
        <v>105</v>
      </c>
      <c r="J21">
        <v>28</v>
      </c>
      <c r="K21">
        <v>881</v>
      </c>
      <c r="L21">
        <v>339</v>
      </c>
      <c r="M21">
        <v>278</v>
      </c>
      <c r="N21">
        <v>51</v>
      </c>
      <c r="O21">
        <v>1159</v>
      </c>
      <c r="P21">
        <v>390</v>
      </c>
    </row>
    <row r="22" spans="1:16" x14ac:dyDescent="0.25">
      <c r="A22" t="s">
        <v>301</v>
      </c>
      <c r="B22">
        <v>44</v>
      </c>
      <c r="C22">
        <v>0</v>
      </c>
      <c r="D22">
        <v>290</v>
      </c>
      <c r="E22">
        <v>277</v>
      </c>
      <c r="F22">
        <v>4</v>
      </c>
      <c r="G22">
        <v>12050</v>
      </c>
      <c r="H22">
        <v>6339</v>
      </c>
      <c r="I22">
        <v>223</v>
      </c>
      <c r="J22">
        <v>69</v>
      </c>
      <c r="K22">
        <v>704</v>
      </c>
      <c r="L22">
        <v>282</v>
      </c>
      <c r="M22">
        <v>109</v>
      </c>
      <c r="N22">
        <v>23</v>
      </c>
      <c r="O22">
        <v>813</v>
      </c>
      <c r="P22">
        <v>305</v>
      </c>
    </row>
    <row r="23" spans="1:16" x14ac:dyDescent="0.25">
      <c r="A23" t="s">
        <v>302</v>
      </c>
      <c r="B23">
        <v>12</v>
      </c>
      <c r="C23">
        <v>0</v>
      </c>
      <c r="D23">
        <v>69</v>
      </c>
      <c r="E23">
        <v>59</v>
      </c>
      <c r="F23">
        <v>0</v>
      </c>
      <c r="G23">
        <v>3512</v>
      </c>
      <c r="H23">
        <v>1642</v>
      </c>
      <c r="I23">
        <v>40</v>
      </c>
      <c r="J23">
        <v>11</v>
      </c>
      <c r="K23">
        <v>134</v>
      </c>
      <c r="L23">
        <v>59</v>
      </c>
      <c r="M23">
        <v>11</v>
      </c>
      <c r="N23">
        <v>2</v>
      </c>
      <c r="O23">
        <v>145</v>
      </c>
      <c r="P23">
        <v>61</v>
      </c>
    </row>
    <row r="24" spans="1:16" x14ac:dyDescent="0.25">
      <c r="A24" t="s">
        <v>303</v>
      </c>
      <c r="B24">
        <v>84</v>
      </c>
      <c r="C24">
        <v>0</v>
      </c>
      <c r="D24">
        <v>521</v>
      </c>
      <c r="E24">
        <v>447</v>
      </c>
      <c r="F24">
        <v>55</v>
      </c>
      <c r="G24">
        <v>25145</v>
      </c>
      <c r="H24">
        <v>13937</v>
      </c>
      <c r="I24">
        <v>790</v>
      </c>
      <c r="J24">
        <v>262</v>
      </c>
      <c r="K24">
        <v>719</v>
      </c>
      <c r="L24">
        <v>402</v>
      </c>
      <c r="M24">
        <v>152</v>
      </c>
      <c r="N24">
        <v>50</v>
      </c>
      <c r="O24">
        <v>871</v>
      </c>
      <c r="P24">
        <v>452</v>
      </c>
    </row>
    <row r="25" spans="1:16" x14ac:dyDescent="0.25">
      <c r="A25" t="s">
        <v>304</v>
      </c>
      <c r="B25">
        <v>19</v>
      </c>
      <c r="C25">
        <v>0</v>
      </c>
      <c r="D25">
        <v>82</v>
      </c>
      <c r="E25">
        <v>82</v>
      </c>
      <c r="F25">
        <v>0</v>
      </c>
      <c r="G25">
        <v>2659</v>
      </c>
      <c r="H25">
        <v>1399</v>
      </c>
      <c r="I25">
        <v>21</v>
      </c>
      <c r="J25">
        <v>3</v>
      </c>
      <c r="K25">
        <v>194</v>
      </c>
      <c r="L25">
        <v>78</v>
      </c>
      <c r="M25">
        <v>21</v>
      </c>
      <c r="N25">
        <v>3</v>
      </c>
      <c r="O25">
        <v>215</v>
      </c>
      <c r="P25">
        <v>81</v>
      </c>
    </row>
    <row r="26" spans="1:16" x14ac:dyDescent="0.25">
      <c r="A26" t="s">
        <v>305</v>
      </c>
      <c r="B26">
        <v>55</v>
      </c>
      <c r="C26">
        <v>0</v>
      </c>
      <c r="D26">
        <v>305</v>
      </c>
      <c r="E26">
        <v>294</v>
      </c>
      <c r="F26">
        <v>0</v>
      </c>
      <c r="G26">
        <v>13271</v>
      </c>
      <c r="H26">
        <v>6670</v>
      </c>
      <c r="I26">
        <v>175</v>
      </c>
      <c r="J26">
        <v>36</v>
      </c>
      <c r="K26">
        <v>631</v>
      </c>
      <c r="L26">
        <v>172</v>
      </c>
      <c r="M26">
        <v>153</v>
      </c>
      <c r="N26">
        <v>20</v>
      </c>
      <c r="O26">
        <v>784</v>
      </c>
      <c r="P26">
        <v>192</v>
      </c>
    </row>
    <row r="27" spans="1:16" x14ac:dyDescent="0.25">
      <c r="A27" t="s">
        <v>306</v>
      </c>
      <c r="B27">
        <v>69</v>
      </c>
      <c r="C27">
        <v>0</v>
      </c>
      <c r="D27">
        <v>444</v>
      </c>
      <c r="E27">
        <v>435</v>
      </c>
      <c r="F27">
        <v>9</v>
      </c>
      <c r="G27">
        <v>19096</v>
      </c>
      <c r="H27">
        <v>9544</v>
      </c>
      <c r="I27">
        <v>249</v>
      </c>
      <c r="J27">
        <v>52</v>
      </c>
      <c r="K27">
        <v>732</v>
      </c>
      <c r="L27">
        <v>224</v>
      </c>
      <c r="M27">
        <v>226</v>
      </c>
      <c r="N27">
        <v>41</v>
      </c>
      <c r="O27">
        <v>958</v>
      </c>
      <c r="P27">
        <v>265</v>
      </c>
    </row>
    <row r="28" spans="1:16" x14ac:dyDescent="0.25">
      <c r="A28" t="s">
        <v>307</v>
      </c>
      <c r="B28">
        <v>54</v>
      </c>
      <c r="C28">
        <v>0</v>
      </c>
      <c r="D28">
        <v>275</v>
      </c>
      <c r="E28">
        <v>264</v>
      </c>
      <c r="F28">
        <v>0</v>
      </c>
      <c r="G28">
        <v>14278</v>
      </c>
      <c r="H28">
        <v>7770</v>
      </c>
      <c r="I28">
        <v>309</v>
      </c>
      <c r="J28">
        <v>116</v>
      </c>
      <c r="K28">
        <v>391</v>
      </c>
      <c r="L28">
        <v>163</v>
      </c>
      <c r="M28">
        <v>54</v>
      </c>
      <c r="N28">
        <v>10</v>
      </c>
      <c r="O28">
        <v>445</v>
      </c>
      <c r="P28">
        <v>173</v>
      </c>
    </row>
    <row r="29" spans="1:16" x14ac:dyDescent="0.25">
      <c r="A29" t="s">
        <v>266</v>
      </c>
      <c r="B29">
        <v>1237</v>
      </c>
      <c r="C29">
        <v>12</v>
      </c>
      <c r="D29">
        <v>7357</v>
      </c>
      <c r="E29">
        <v>6799</v>
      </c>
      <c r="F29">
        <v>90</v>
      </c>
      <c r="G29">
        <v>327638</v>
      </c>
      <c r="H29">
        <v>171900</v>
      </c>
      <c r="I29">
        <v>6325</v>
      </c>
      <c r="J29">
        <v>1893</v>
      </c>
      <c r="K29">
        <v>14656</v>
      </c>
      <c r="L29">
        <v>6423</v>
      </c>
      <c r="M29">
        <v>2864</v>
      </c>
      <c r="N29">
        <v>646</v>
      </c>
      <c r="O29">
        <v>17520</v>
      </c>
      <c r="P29">
        <v>7069</v>
      </c>
    </row>
    <row r="30" spans="1:16" x14ac:dyDescent="0.25">
      <c r="A30" t="s">
        <v>308</v>
      </c>
      <c r="B30">
        <v>123</v>
      </c>
      <c r="C30">
        <v>0</v>
      </c>
      <c r="D30">
        <v>989</v>
      </c>
      <c r="E30">
        <v>884</v>
      </c>
      <c r="F30">
        <v>22</v>
      </c>
      <c r="G30">
        <v>40814</v>
      </c>
      <c r="H30">
        <v>20687</v>
      </c>
      <c r="I30">
        <v>1175</v>
      </c>
      <c r="J30">
        <v>352</v>
      </c>
      <c r="K30">
        <v>2769</v>
      </c>
      <c r="L30">
        <v>1415</v>
      </c>
      <c r="M30">
        <v>428</v>
      </c>
      <c r="N30">
        <v>135</v>
      </c>
      <c r="O30">
        <v>3197</v>
      </c>
      <c r="P30">
        <v>1550</v>
      </c>
    </row>
    <row r="31" spans="1:16" x14ac:dyDescent="0.25">
      <c r="A31" t="s">
        <v>309</v>
      </c>
      <c r="B31">
        <v>1114</v>
      </c>
      <c r="C31">
        <v>12</v>
      </c>
      <c r="D31">
        <v>6368</v>
      </c>
      <c r="E31">
        <v>5915</v>
      </c>
      <c r="F31">
        <v>68</v>
      </c>
      <c r="G31">
        <v>286824</v>
      </c>
      <c r="H31">
        <v>151213</v>
      </c>
      <c r="I31">
        <v>5150</v>
      </c>
      <c r="J31">
        <v>1541</v>
      </c>
      <c r="K31">
        <v>11887</v>
      </c>
      <c r="L31">
        <v>5008</v>
      </c>
      <c r="M31">
        <v>2436</v>
      </c>
      <c r="N31">
        <v>511</v>
      </c>
      <c r="O31">
        <v>14323</v>
      </c>
      <c r="P31">
        <v>5519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P19"/>
  <sheetViews>
    <sheetView workbookViewId="0">
      <selection sqref="A1:P1"/>
    </sheetView>
  </sheetViews>
  <sheetFormatPr defaultRowHeight="15" x14ac:dyDescent="0.25"/>
  <cols>
    <col min="1" max="1" width="23.28515625" customWidth="1"/>
    <col min="2" max="2" width="11.85546875" customWidth="1"/>
    <col min="3" max="3" width="10.42578125" customWidth="1"/>
    <col min="7" max="7" width="10.7109375" customWidth="1"/>
    <col min="8" max="8" width="10.85546875" customWidth="1"/>
    <col min="9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5" max="15" width="8.7109375" customWidth="1"/>
    <col min="16" max="16" width="8.42578125" customWidth="1"/>
  </cols>
  <sheetData>
    <row r="1" spans="1:16" x14ac:dyDescent="0.25">
      <c r="A1" s="29" t="s">
        <v>315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316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6" x14ac:dyDescent="0.25">
      <c r="A3" s="29"/>
      <c r="B3" t="s">
        <v>317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284</v>
      </c>
      <c r="B4">
        <v>2</v>
      </c>
      <c r="C4">
        <v>0</v>
      </c>
      <c r="D4">
        <v>43</v>
      </c>
      <c r="E4">
        <v>43</v>
      </c>
      <c r="F4">
        <v>0</v>
      </c>
      <c r="G4">
        <v>2365</v>
      </c>
      <c r="H4">
        <v>1262</v>
      </c>
      <c r="I4">
        <v>19</v>
      </c>
      <c r="J4">
        <v>8</v>
      </c>
      <c r="K4">
        <v>69</v>
      </c>
      <c r="L4">
        <v>23</v>
      </c>
      <c r="M4">
        <v>10</v>
      </c>
      <c r="N4">
        <v>3</v>
      </c>
      <c r="O4">
        <v>79</v>
      </c>
      <c r="P4">
        <v>26</v>
      </c>
    </row>
    <row r="5" spans="1:16" x14ac:dyDescent="0.25">
      <c r="A5" t="s">
        <v>287</v>
      </c>
      <c r="B5">
        <v>2</v>
      </c>
      <c r="C5">
        <v>0</v>
      </c>
      <c r="D5">
        <v>47</v>
      </c>
      <c r="E5">
        <v>41</v>
      </c>
      <c r="F5">
        <v>0</v>
      </c>
      <c r="G5">
        <v>2819</v>
      </c>
      <c r="H5">
        <v>1418</v>
      </c>
      <c r="I5">
        <v>16</v>
      </c>
      <c r="J5">
        <v>8</v>
      </c>
      <c r="K5">
        <v>91</v>
      </c>
      <c r="L5">
        <v>26</v>
      </c>
      <c r="M5">
        <v>12</v>
      </c>
      <c r="N5">
        <v>2</v>
      </c>
      <c r="O5">
        <v>103</v>
      </c>
      <c r="P5">
        <v>28</v>
      </c>
    </row>
    <row r="6" spans="1:16" x14ac:dyDescent="0.25">
      <c r="A6" t="s">
        <v>288</v>
      </c>
      <c r="B6">
        <v>1</v>
      </c>
      <c r="C6">
        <v>0</v>
      </c>
      <c r="D6">
        <v>28</v>
      </c>
      <c r="E6">
        <v>28</v>
      </c>
      <c r="F6">
        <v>0</v>
      </c>
      <c r="G6">
        <v>983</v>
      </c>
      <c r="H6">
        <v>505</v>
      </c>
      <c r="I6">
        <v>7</v>
      </c>
      <c r="J6">
        <v>4</v>
      </c>
      <c r="K6">
        <v>42</v>
      </c>
      <c r="L6">
        <v>15</v>
      </c>
      <c r="M6">
        <v>5</v>
      </c>
      <c r="N6">
        <v>1</v>
      </c>
      <c r="O6">
        <v>47</v>
      </c>
      <c r="P6">
        <v>16</v>
      </c>
    </row>
    <row r="7" spans="1:16" x14ac:dyDescent="0.25">
      <c r="A7" t="s">
        <v>289</v>
      </c>
      <c r="B7">
        <v>2</v>
      </c>
      <c r="C7">
        <v>0</v>
      </c>
      <c r="D7">
        <v>23</v>
      </c>
      <c r="E7">
        <v>23</v>
      </c>
      <c r="F7">
        <v>0</v>
      </c>
      <c r="G7">
        <v>983</v>
      </c>
      <c r="H7">
        <v>496</v>
      </c>
      <c r="I7">
        <v>30</v>
      </c>
      <c r="J7">
        <v>16</v>
      </c>
      <c r="K7">
        <v>52</v>
      </c>
      <c r="L7">
        <v>15</v>
      </c>
      <c r="M7">
        <v>7</v>
      </c>
      <c r="N7">
        <v>1</v>
      </c>
      <c r="O7">
        <v>59</v>
      </c>
      <c r="P7">
        <v>16</v>
      </c>
    </row>
    <row r="8" spans="1:16" x14ac:dyDescent="0.25">
      <c r="A8" t="s">
        <v>290</v>
      </c>
      <c r="B8">
        <v>2</v>
      </c>
      <c r="C8">
        <v>0</v>
      </c>
      <c r="D8">
        <v>57</v>
      </c>
      <c r="E8">
        <v>57</v>
      </c>
      <c r="F8">
        <v>0</v>
      </c>
      <c r="G8">
        <v>2515</v>
      </c>
      <c r="H8">
        <v>1256</v>
      </c>
      <c r="I8">
        <v>27</v>
      </c>
      <c r="J8">
        <v>5</v>
      </c>
      <c r="K8">
        <v>149</v>
      </c>
      <c r="L8">
        <v>41</v>
      </c>
      <c r="M8">
        <v>19</v>
      </c>
      <c r="N8">
        <v>4</v>
      </c>
      <c r="O8">
        <v>168</v>
      </c>
      <c r="P8">
        <v>45</v>
      </c>
    </row>
    <row r="9" spans="1:16" x14ac:dyDescent="0.25">
      <c r="A9" t="s">
        <v>293</v>
      </c>
      <c r="B9">
        <v>1</v>
      </c>
      <c r="C9">
        <v>0</v>
      </c>
      <c r="D9">
        <v>16</v>
      </c>
      <c r="E9">
        <v>16</v>
      </c>
      <c r="F9">
        <v>0</v>
      </c>
      <c r="G9">
        <v>736</v>
      </c>
      <c r="H9">
        <v>354</v>
      </c>
      <c r="I9">
        <v>24</v>
      </c>
      <c r="J9">
        <v>11</v>
      </c>
      <c r="K9">
        <v>43</v>
      </c>
      <c r="L9">
        <v>18</v>
      </c>
      <c r="M9">
        <v>2</v>
      </c>
      <c r="N9">
        <v>0</v>
      </c>
      <c r="O9">
        <v>45</v>
      </c>
      <c r="P9">
        <v>18</v>
      </c>
    </row>
    <row r="10" spans="1:16" x14ac:dyDescent="0.25">
      <c r="A10" t="s">
        <v>295</v>
      </c>
      <c r="B10">
        <v>2</v>
      </c>
      <c r="C10">
        <v>0</v>
      </c>
      <c r="D10">
        <v>39</v>
      </c>
      <c r="E10">
        <v>39</v>
      </c>
      <c r="F10">
        <v>0</v>
      </c>
      <c r="G10">
        <v>1613</v>
      </c>
      <c r="H10">
        <v>831</v>
      </c>
      <c r="I10">
        <v>9</v>
      </c>
      <c r="J10">
        <v>4</v>
      </c>
      <c r="K10">
        <v>48</v>
      </c>
      <c r="L10">
        <v>10</v>
      </c>
      <c r="M10">
        <v>13</v>
      </c>
      <c r="N10">
        <v>5</v>
      </c>
      <c r="O10">
        <v>61</v>
      </c>
      <c r="P10">
        <v>15</v>
      </c>
    </row>
    <row r="11" spans="1:16" x14ac:dyDescent="0.25">
      <c r="A11" t="s">
        <v>298</v>
      </c>
      <c r="B11">
        <v>1</v>
      </c>
      <c r="C11">
        <v>0</v>
      </c>
      <c r="D11">
        <v>30</v>
      </c>
      <c r="E11">
        <v>30</v>
      </c>
      <c r="F11">
        <v>0</v>
      </c>
      <c r="G11">
        <v>1126</v>
      </c>
      <c r="H11">
        <v>548</v>
      </c>
      <c r="I11">
        <v>0</v>
      </c>
      <c r="J11">
        <v>0</v>
      </c>
      <c r="K11">
        <v>81</v>
      </c>
      <c r="L11">
        <v>20</v>
      </c>
      <c r="M11">
        <v>12</v>
      </c>
      <c r="N11">
        <v>5</v>
      </c>
      <c r="O11">
        <v>93</v>
      </c>
      <c r="P11">
        <v>25</v>
      </c>
    </row>
    <row r="12" spans="1:16" x14ac:dyDescent="0.25">
      <c r="A12" t="s">
        <v>299</v>
      </c>
      <c r="B12">
        <v>8</v>
      </c>
      <c r="C12">
        <v>0</v>
      </c>
      <c r="D12">
        <v>39</v>
      </c>
      <c r="E12">
        <v>35</v>
      </c>
      <c r="F12">
        <v>0</v>
      </c>
      <c r="G12">
        <v>1386</v>
      </c>
      <c r="H12">
        <v>691</v>
      </c>
      <c r="I12">
        <v>12</v>
      </c>
      <c r="J12">
        <v>9</v>
      </c>
      <c r="K12">
        <v>74</v>
      </c>
      <c r="L12">
        <v>22</v>
      </c>
      <c r="M12">
        <v>10</v>
      </c>
      <c r="N12">
        <v>0</v>
      </c>
      <c r="O12">
        <v>84</v>
      </c>
      <c r="P12">
        <v>22</v>
      </c>
    </row>
    <row r="13" spans="1:16" x14ac:dyDescent="0.25">
      <c r="A13" t="s">
        <v>301</v>
      </c>
      <c r="B13">
        <v>3</v>
      </c>
      <c r="C13">
        <v>0</v>
      </c>
      <c r="D13">
        <v>76</v>
      </c>
      <c r="E13">
        <v>76</v>
      </c>
      <c r="F13">
        <v>0</v>
      </c>
      <c r="G13">
        <v>3262</v>
      </c>
      <c r="H13">
        <v>1706</v>
      </c>
      <c r="I13">
        <v>102</v>
      </c>
      <c r="J13">
        <v>39</v>
      </c>
      <c r="K13">
        <v>184</v>
      </c>
      <c r="L13">
        <v>67</v>
      </c>
      <c r="M13">
        <v>24</v>
      </c>
      <c r="N13">
        <v>6</v>
      </c>
      <c r="O13">
        <v>208</v>
      </c>
      <c r="P13">
        <v>73</v>
      </c>
    </row>
    <row r="14" spans="1:16" x14ac:dyDescent="0.25">
      <c r="A14" t="s">
        <v>302</v>
      </c>
      <c r="B14">
        <v>2</v>
      </c>
      <c r="C14">
        <v>0</v>
      </c>
      <c r="D14">
        <v>9</v>
      </c>
      <c r="E14">
        <v>9</v>
      </c>
      <c r="F14">
        <v>0</v>
      </c>
      <c r="G14">
        <v>405</v>
      </c>
      <c r="H14">
        <v>176</v>
      </c>
      <c r="I14">
        <v>0</v>
      </c>
      <c r="J14">
        <v>0</v>
      </c>
      <c r="K14">
        <v>17</v>
      </c>
      <c r="L14">
        <v>1</v>
      </c>
      <c r="M14">
        <v>0</v>
      </c>
      <c r="N14">
        <v>0</v>
      </c>
      <c r="O14">
        <v>17</v>
      </c>
      <c r="P14">
        <v>1</v>
      </c>
    </row>
    <row r="15" spans="1:16" x14ac:dyDescent="0.25">
      <c r="A15" t="s">
        <v>303</v>
      </c>
      <c r="B15">
        <v>2</v>
      </c>
      <c r="C15">
        <v>0</v>
      </c>
      <c r="D15">
        <v>9</v>
      </c>
      <c r="E15">
        <v>13</v>
      </c>
      <c r="F15">
        <v>0</v>
      </c>
      <c r="G15">
        <v>358</v>
      </c>
      <c r="H15">
        <v>207</v>
      </c>
      <c r="I15">
        <v>5</v>
      </c>
      <c r="J15">
        <v>1</v>
      </c>
      <c r="K15">
        <v>15</v>
      </c>
      <c r="L15">
        <v>6</v>
      </c>
      <c r="M15">
        <v>3</v>
      </c>
      <c r="N15">
        <v>1</v>
      </c>
      <c r="O15">
        <v>18</v>
      </c>
      <c r="P15">
        <v>7</v>
      </c>
    </row>
    <row r="16" spans="1:16" x14ac:dyDescent="0.25">
      <c r="A16" t="s">
        <v>304</v>
      </c>
      <c r="B16">
        <v>4</v>
      </c>
      <c r="C16">
        <v>0</v>
      </c>
      <c r="D16">
        <v>17</v>
      </c>
      <c r="E16">
        <v>17</v>
      </c>
      <c r="F16">
        <v>0</v>
      </c>
      <c r="G16">
        <v>538</v>
      </c>
      <c r="H16">
        <v>280</v>
      </c>
      <c r="I16">
        <v>1</v>
      </c>
      <c r="J16">
        <v>0</v>
      </c>
      <c r="K16">
        <v>30</v>
      </c>
      <c r="L16">
        <v>4</v>
      </c>
      <c r="M16">
        <v>4</v>
      </c>
      <c r="N16">
        <v>0</v>
      </c>
      <c r="O16">
        <v>34</v>
      </c>
      <c r="P16">
        <v>4</v>
      </c>
    </row>
    <row r="17" spans="1:16" x14ac:dyDescent="0.25">
      <c r="A17" t="s">
        <v>318</v>
      </c>
      <c r="B17">
        <v>32</v>
      </c>
      <c r="C17">
        <v>0</v>
      </c>
      <c r="D17">
        <v>433</v>
      </c>
      <c r="E17">
        <v>427</v>
      </c>
      <c r="F17">
        <v>0</v>
      </c>
      <c r="G17">
        <v>19089</v>
      </c>
      <c r="H17">
        <v>9730</v>
      </c>
      <c r="I17">
        <v>252</v>
      </c>
      <c r="J17">
        <v>105</v>
      </c>
      <c r="K17">
        <v>895</v>
      </c>
      <c r="L17">
        <v>268</v>
      </c>
      <c r="M17">
        <v>121</v>
      </c>
      <c r="N17">
        <v>28</v>
      </c>
      <c r="O17">
        <v>1016</v>
      </c>
      <c r="P17">
        <v>296</v>
      </c>
    </row>
    <row r="18" spans="1:16" x14ac:dyDescent="0.25">
      <c r="A18" t="s">
        <v>308</v>
      </c>
      <c r="B18">
        <v>6</v>
      </c>
      <c r="C18">
        <v>0</v>
      </c>
      <c r="D18">
        <v>140</v>
      </c>
      <c r="E18">
        <v>138</v>
      </c>
      <c r="F18">
        <v>0</v>
      </c>
      <c r="G18">
        <v>6268</v>
      </c>
      <c r="H18">
        <v>3300</v>
      </c>
      <c r="I18">
        <v>62</v>
      </c>
      <c r="J18">
        <v>28</v>
      </c>
      <c r="K18">
        <v>284</v>
      </c>
      <c r="L18">
        <v>84</v>
      </c>
      <c r="M18">
        <v>37</v>
      </c>
      <c r="N18">
        <v>12</v>
      </c>
      <c r="O18">
        <v>321</v>
      </c>
      <c r="P18">
        <v>96</v>
      </c>
    </row>
    <row r="19" spans="1:16" x14ac:dyDescent="0.25">
      <c r="A19" t="s">
        <v>309</v>
      </c>
      <c r="B19">
        <v>26</v>
      </c>
      <c r="C19">
        <v>0</v>
      </c>
      <c r="D19">
        <v>293</v>
      </c>
      <c r="E19">
        <v>289</v>
      </c>
      <c r="F19">
        <v>0</v>
      </c>
      <c r="G19">
        <v>12821</v>
      </c>
      <c r="H19">
        <v>6430</v>
      </c>
      <c r="I19">
        <v>190</v>
      </c>
      <c r="J19">
        <v>77</v>
      </c>
      <c r="K19">
        <v>611</v>
      </c>
      <c r="L19">
        <v>184</v>
      </c>
      <c r="M19">
        <v>84</v>
      </c>
      <c r="N19">
        <v>16</v>
      </c>
      <c r="O19">
        <v>695</v>
      </c>
      <c r="P19">
        <v>200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0.42578125" customWidth="1"/>
    <col min="2" max="2" width="10.140625" customWidth="1"/>
    <col min="8" max="8" width="10" customWidth="1"/>
    <col min="10" max="10" width="8.85546875" customWidth="1"/>
    <col min="12" max="12" width="9.28515625" customWidth="1"/>
    <col min="13" max="13" width="8.85546875" customWidth="1"/>
    <col min="14" max="14" width="8.7109375" customWidth="1"/>
    <col min="15" max="15" width="8.42578125" customWidth="1"/>
    <col min="16" max="16" width="12.42578125" customWidth="1"/>
  </cols>
  <sheetData>
    <row r="1" spans="1:16" x14ac:dyDescent="0.25">
      <c r="A1" s="29" t="s">
        <v>319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254</v>
      </c>
      <c r="C2" t="s">
        <v>320</v>
      </c>
      <c r="D2" t="s">
        <v>255</v>
      </c>
      <c r="E2" t="s">
        <v>254</v>
      </c>
      <c r="F2" t="s">
        <v>254</v>
      </c>
      <c r="G2" t="s">
        <v>256</v>
      </c>
      <c r="H2" s="29" t="s">
        <v>72</v>
      </c>
      <c r="I2" s="29"/>
      <c r="J2" s="29" t="s">
        <v>258</v>
      </c>
      <c r="K2" s="29"/>
      <c r="L2" s="29" t="s">
        <v>259</v>
      </c>
      <c r="M2" s="29"/>
      <c r="N2" s="29" t="s">
        <v>311</v>
      </c>
      <c r="O2" s="29"/>
      <c r="P2" s="29" t="s">
        <v>321</v>
      </c>
    </row>
    <row r="3" spans="1:16" x14ac:dyDescent="0.25">
      <c r="A3" s="29"/>
      <c r="B3" t="s">
        <v>261</v>
      </c>
      <c r="C3" t="s">
        <v>322</v>
      </c>
      <c r="D3" t="s">
        <v>261</v>
      </c>
      <c r="E3" t="s">
        <v>256</v>
      </c>
      <c r="F3" t="s">
        <v>313</v>
      </c>
      <c r="G3" t="s">
        <v>262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265</v>
      </c>
      <c r="N3" t="s">
        <v>263</v>
      </c>
      <c r="O3" t="s">
        <v>265</v>
      </c>
      <c r="P3" s="29"/>
    </row>
    <row r="4" spans="1:16" x14ac:dyDescent="0.25">
      <c r="A4" t="s">
        <v>283</v>
      </c>
      <c r="B4">
        <v>319</v>
      </c>
      <c r="C4">
        <v>17</v>
      </c>
      <c r="D4">
        <v>2</v>
      </c>
      <c r="E4">
        <v>522</v>
      </c>
      <c r="F4">
        <v>502</v>
      </c>
      <c r="G4">
        <v>7</v>
      </c>
      <c r="H4">
        <v>15557</v>
      </c>
      <c r="I4">
        <v>7918</v>
      </c>
      <c r="J4">
        <v>71</v>
      </c>
      <c r="K4">
        <v>71</v>
      </c>
      <c r="L4">
        <v>18</v>
      </c>
      <c r="M4">
        <v>18</v>
      </c>
      <c r="N4">
        <v>89</v>
      </c>
      <c r="O4">
        <v>89</v>
      </c>
      <c r="P4">
        <v>1</v>
      </c>
    </row>
    <row r="5" spans="1:16" x14ac:dyDescent="0.25">
      <c r="A5" t="s">
        <v>284</v>
      </c>
      <c r="B5">
        <v>356</v>
      </c>
      <c r="C5">
        <v>17</v>
      </c>
      <c r="D5">
        <v>6</v>
      </c>
      <c r="E5">
        <v>583</v>
      </c>
      <c r="F5">
        <v>539</v>
      </c>
      <c r="G5">
        <v>7</v>
      </c>
      <c r="H5">
        <v>17632</v>
      </c>
      <c r="I5">
        <v>8861</v>
      </c>
      <c r="J5">
        <v>561</v>
      </c>
      <c r="K5">
        <v>524</v>
      </c>
      <c r="L5">
        <v>21</v>
      </c>
      <c r="M5">
        <v>21</v>
      </c>
      <c r="N5">
        <v>582</v>
      </c>
      <c r="O5">
        <v>545</v>
      </c>
      <c r="P5">
        <v>17</v>
      </c>
    </row>
    <row r="6" spans="1:16" x14ac:dyDescent="0.25">
      <c r="A6" t="s">
        <v>285</v>
      </c>
      <c r="B6">
        <v>270</v>
      </c>
      <c r="C6">
        <v>6</v>
      </c>
      <c r="D6">
        <v>27</v>
      </c>
      <c r="E6">
        <v>481</v>
      </c>
      <c r="F6">
        <v>357</v>
      </c>
      <c r="G6">
        <v>11</v>
      </c>
      <c r="H6">
        <v>15352</v>
      </c>
      <c r="I6">
        <v>7500</v>
      </c>
      <c r="J6">
        <v>338</v>
      </c>
      <c r="K6">
        <v>312</v>
      </c>
      <c r="L6">
        <v>16</v>
      </c>
      <c r="M6">
        <v>14</v>
      </c>
      <c r="N6">
        <v>354</v>
      </c>
      <c r="O6">
        <v>326</v>
      </c>
      <c r="P6">
        <v>8</v>
      </c>
    </row>
    <row r="7" spans="1:16" x14ac:dyDescent="0.25">
      <c r="A7" t="s">
        <v>286</v>
      </c>
      <c r="B7">
        <v>110</v>
      </c>
      <c r="C7">
        <v>18</v>
      </c>
      <c r="D7">
        <v>0</v>
      </c>
      <c r="E7">
        <v>212</v>
      </c>
      <c r="F7">
        <v>207</v>
      </c>
      <c r="G7">
        <v>2</v>
      </c>
      <c r="H7">
        <v>6536</v>
      </c>
      <c r="I7">
        <v>3273</v>
      </c>
      <c r="J7">
        <v>145</v>
      </c>
      <c r="K7">
        <v>145</v>
      </c>
      <c r="L7">
        <v>11</v>
      </c>
      <c r="M7">
        <v>11</v>
      </c>
      <c r="N7">
        <v>156</v>
      </c>
      <c r="O7">
        <v>156</v>
      </c>
      <c r="P7">
        <v>0</v>
      </c>
    </row>
    <row r="8" spans="1:16" x14ac:dyDescent="0.25">
      <c r="A8" t="s">
        <v>287</v>
      </c>
      <c r="B8">
        <v>179</v>
      </c>
      <c r="C8">
        <v>3</v>
      </c>
      <c r="D8">
        <v>3</v>
      </c>
      <c r="E8">
        <v>274</v>
      </c>
      <c r="F8">
        <v>268</v>
      </c>
      <c r="G8">
        <v>0</v>
      </c>
      <c r="H8">
        <v>8915</v>
      </c>
      <c r="I8">
        <v>4510</v>
      </c>
      <c r="J8">
        <v>268</v>
      </c>
      <c r="K8">
        <v>251</v>
      </c>
      <c r="L8">
        <v>8</v>
      </c>
      <c r="M8">
        <v>8</v>
      </c>
      <c r="N8">
        <v>276</v>
      </c>
      <c r="O8">
        <v>259</v>
      </c>
      <c r="P8">
        <v>2</v>
      </c>
    </row>
    <row r="9" spans="1:16" x14ac:dyDescent="0.25">
      <c r="A9" t="s">
        <v>288</v>
      </c>
      <c r="B9">
        <v>196</v>
      </c>
      <c r="C9">
        <v>0</v>
      </c>
      <c r="D9">
        <v>0</v>
      </c>
      <c r="E9">
        <v>289</v>
      </c>
      <c r="F9">
        <v>259</v>
      </c>
      <c r="G9">
        <v>1</v>
      </c>
      <c r="H9">
        <v>9460</v>
      </c>
      <c r="I9">
        <v>4722</v>
      </c>
      <c r="J9">
        <v>271</v>
      </c>
      <c r="K9">
        <v>265</v>
      </c>
      <c r="L9">
        <v>13</v>
      </c>
      <c r="M9">
        <v>10</v>
      </c>
      <c r="N9">
        <v>284</v>
      </c>
      <c r="O9">
        <v>275</v>
      </c>
      <c r="P9">
        <v>1</v>
      </c>
    </row>
    <row r="10" spans="1:16" x14ac:dyDescent="0.25">
      <c r="A10" t="s">
        <v>289</v>
      </c>
      <c r="B10">
        <v>192</v>
      </c>
      <c r="C10">
        <v>5</v>
      </c>
      <c r="D10">
        <v>1</v>
      </c>
      <c r="E10">
        <v>251</v>
      </c>
      <c r="F10">
        <v>249</v>
      </c>
      <c r="G10">
        <v>0</v>
      </c>
      <c r="H10">
        <v>6840</v>
      </c>
      <c r="I10">
        <v>3322</v>
      </c>
      <c r="J10">
        <v>249</v>
      </c>
      <c r="K10">
        <v>239</v>
      </c>
      <c r="L10">
        <v>1</v>
      </c>
      <c r="M10">
        <v>1</v>
      </c>
      <c r="N10">
        <v>250</v>
      </c>
      <c r="O10">
        <v>240</v>
      </c>
      <c r="P10">
        <v>4</v>
      </c>
    </row>
    <row r="11" spans="1:16" x14ac:dyDescent="0.25">
      <c r="A11" t="s">
        <v>290</v>
      </c>
      <c r="B11">
        <v>229</v>
      </c>
      <c r="C11">
        <v>25</v>
      </c>
      <c r="D11">
        <v>17</v>
      </c>
      <c r="E11">
        <v>475</v>
      </c>
      <c r="F11">
        <v>406</v>
      </c>
      <c r="G11">
        <v>4</v>
      </c>
      <c r="H11">
        <v>14874</v>
      </c>
      <c r="I11">
        <v>7385</v>
      </c>
      <c r="J11">
        <v>472</v>
      </c>
      <c r="K11">
        <v>452</v>
      </c>
      <c r="L11">
        <v>22</v>
      </c>
      <c r="M11">
        <v>21</v>
      </c>
      <c r="N11">
        <v>494</v>
      </c>
      <c r="O11">
        <v>473</v>
      </c>
      <c r="P11">
        <v>20</v>
      </c>
    </row>
    <row r="12" spans="1:16" x14ac:dyDescent="0.25">
      <c r="A12" t="s">
        <v>291</v>
      </c>
      <c r="B12">
        <v>22</v>
      </c>
      <c r="C12">
        <v>0</v>
      </c>
      <c r="D12">
        <v>0</v>
      </c>
      <c r="E12">
        <v>30</v>
      </c>
      <c r="F12">
        <v>30</v>
      </c>
      <c r="G12">
        <v>0</v>
      </c>
      <c r="H12">
        <v>898</v>
      </c>
      <c r="I12">
        <v>447</v>
      </c>
      <c r="J12">
        <v>30</v>
      </c>
      <c r="K12">
        <v>29</v>
      </c>
      <c r="L12">
        <v>0</v>
      </c>
      <c r="M12">
        <v>0</v>
      </c>
      <c r="N12">
        <v>30</v>
      </c>
      <c r="O12">
        <v>29</v>
      </c>
      <c r="P12">
        <v>0</v>
      </c>
    </row>
    <row r="13" spans="1:16" x14ac:dyDescent="0.25">
      <c r="A13" t="s">
        <v>292</v>
      </c>
      <c r="B13">
        <v>65</v>
      </c>
      <c r="C13">
        <v>0</v>
      </c>
      <c r="D13">
        <v>8</v>
      </c>
      <c r="E13">
        <v>78</v>
      </c>
      <c r="F13">
        <v>71</v>
      </c>
      <c r="G13">
        <v>0</v>
      </c>
      <c r="H13">
        <v>2105</v>
      </c>
      <c r="I13">
        <v>1037</v>
      </c>
      <c r="J13">
        <v>35</v>
      </c>
      <c r="K13">
        <v>31</v>
      </c>
      <c r="L13">
        <v>1</v>
      </c>
      <c r="M13">
        <v>1</v>
      </c>
      <c r="N13">
        <v>36</v>
      </c>
      <c r="O13">
        <v>32</v>
      </c>
      <c r="P13">
        <v>1</v>
      </c>
    </row>
    <row r="14" spans="1:16" x14ac:dyDescent="0.25">
      <c r="A14" t="s">
        <v>293</v>
      </c>
      <c r="B14">
        <v>86</v>
      </c>
      <c r="C14">
        <v>1</v>
      </c>
      <c r="D14">
        <v>0</v>
      </c>
      <c r="E14">
        <v>129</v>
      </c>
      <c r="F14">
        <v>130</v>
      </c>
      <c r="G14">
        <v>17</v>
      </c>
      <c r="H14">
        <v>3782</v>
      </c>
      <c r="I14">
        <v>1950</v>
      </c>
      <c r="J14">
        <v>134</v>
      </c>
      <c r="K14">
        <v>133</v>
      </c>
      <c r="L14">
        <v>6</v>
      </c>
      <c r="M14">
        <v>5</v>
      </c>
      <c r="N14">
        <v>140</v>
      </c>
      <c r="O14">
        <v>138</v>
      </c>
      <c r="P14">
        <v>4</v>
      </c>
    </row>
    <row r="15" spans="1:16" x14ac:dyDescent="0.25">
      <c r="A15" t="s">
        <v>294</v>
      </c>
      <c r="B15">
        <v>21</v>
      </c>
      <c r="C15">
        <v>3</v>
      </c>
      <c r="D15">
        <v>0</v>
      </c>
      <c r="E15">
        <v>27</v>
      </c>
      <c r="F15">
        <v>27</v>
      </c>
      <c r="G15">
        <v>0</v>
      </c>
      <c r="H15">
        <v>891</v>
      </c>
      <c r="I15">
        <v>466</v>
      </c>
      <c r="J15">
        <v>27</v>
      </c>
      <c r="K15">
        <v>26</v>
      </c>
      <c r="L15">
        <v>0</v>
      </c>
      <c r="M15">
        <v>0</v>
      </c>
      <c r="N15">
        <v>27</v>
      </c>
      <c r="O15">
        <v>26</v>
      </c>
      <c r="P15">
        <v>0</v>
      </c>
    </row>
    <row r="16" spans="1:16" x14ac:dyDescent="0.25">
      <c r="A16" t="s">
        <v>295</v>
      </c>
      <c r="B16">
        <v>97</v>
      </c>
      <c r="C16">
        <v>0</v>
      </c>
      <c r="D16">
        <v>3</v>
      </c>
      <c r="E16">
        <v>117</v>
      </c>
      <c r="F16">
        <v>112</v>
      </c>
      <c r="G16">
        <v>0</v>
      </c>
      <c r="H16">
        <v>3385</v>
      </c>
      <c r="I16">
        <v>1690</v>
      </c>
      <c r="J16">
        <v>83</v>
      </c>
      <c r="K16">
        <v>78</v>
      </c>
      <c r="L16">
        <v>0</v>
      </c>
      <c r="M16">
        <v>0</v>
      </c>
      <c r="N16">
        <v>83</v>
      </c>
      <c r="O16">
        <v>78</v>
      </c>
      <c r="P16">
        <v>5</v>
      </c>
    </row>
    <row r="17" spans="1:16" x14ac:dyDescent="0.25">
      <c r="A17" t="s">
        <v>296</v>
      </c>
      <c r="B17">
        <v>25</v>
      </c>
      <c r="C17">
        <v>2</v>
      </c>
      <c r="D17">
        <v>1</v>
      </c>
      <c r="E17">
        <v>36</v>
      </c>
      <c r="F17">
        <v>33</v>
      </c>
      <c r="G17">
        <v>0</v>
      </c>
      <c r="H17">
        <v>957</v>
      </c>
      <c r="I17">
        <v>501</v>
      </c>
      <c r="J17">
        <v>26</v>
      </c>
      <c r="K17">
        <v>26</v>
      </c>
      <c r="L17">
        <v>2</v>
      </c>
      <c r="M17">
        <v>2</v>
      </c>
      <c r="N17">
        <v>28</v>
      </c>
      <c r="O17">
        <v>28</v>
      </c>
      <c r="P17">
        <v>0</v>
      </c>
    </row>
    <row r="18" spans="1:16" x14ac:dyDescent="0.25">
      <c r="A18" t="s">
        <v>297</v>
      </c>
      <c r="B18">
        <v>145</v>
      </c>
      <c r="C18">
        <v>18</v>
      </c>
      <c r="D18">
        <v>2</v>
      </c>
      <c r="E18">
        <v>288</v>
      </c>
      <c r="F18">
        <v>251</v>
      </c>
      <c r="G18">
        <v>1</v>
      </c>
      <c r="H18">
        <v>10904</v>
      </c>
      <c r="I18">
        <v>5254</v>
      </c>
      <c r="J18">
        <v>331</v>
      </c>
      <c r="K18">
        <v>328</v>
      </c>
      <c r="L18">
        <v>39</v>
      </c>
      <c r="M18">
        <v>36</v>
      </c>
      <c r="N18">
        <v>370</v>
      </c>
      <c r="O18">
        <v>364</v>
      </c>
      <c r="P18">
        <v>4</v>
      </c>
    </row>
    <row r="19" spans="1:16" x14ac:dyDescent="0.25">
      <c r="A19" t="s">
        <v>298</v>
      </c>
      <c r="B19">
        <v>54</v>
      </c>
      <c r="C19">
        <v>1</v>
      </c>
      <c r="D19">
        <v>1</v>
      </c>
      <c r="E19">
        <v>81</v>
      </c>
      <c r="F19">
        <v>74</v>
      </c>
      <c r="G19">
        <v>0</v>
      </c>
      <c r="H19">
        <v>2107</v>
      </c>
      <c r="I19">
        <v>1066</v>
      </c>
      <c r="J19">
        <v>75</v>
      </c>
      <c r="K19">
        <v>74</v>
      </c>
      <c r="L19">
        <v>2</v>
      </c>
      <c r="M19">
        <v>2</v>
      </c>
      <c r="N19">
        <v>77</v>
      </c>
      <c r="O19">
        <v>76</v>
      </c>
      <c r="P19">
        <v>2</v>
      </c>
    </row>
    <row r="20" spans="1:16" x14ac:dyDescent="0.25">
      <c r="A20" t="s">
        <v>299</v>
      </c>
      <c r="B20">
        <v>103</v>
      </c>
      <c r="C20">
        <v>4</v>
      </c>
      <c r="D20">
        <v>3</v>
      </c>
      <c r="E20">
        <v>132</v>
      </c>
      <c r="F20">
        <v>120</v>
      </c>
      <c r="G20">
        <v>0</v>
      </c>
      <c r="H20">
        <v>3417</v>
      </c>
      <c r="I20">
        <v>1758</v>
      </c>
      <c r="J20">
        <v>81</v>
      </c>
      <c r="K20">
        <v>79</v>
      </c>
      <c r="L20">
        <v>1</v>
      </c>
      <c r="M20">
        <v>1</v>
      </c>
      <c r="N20">
        <v>82</v>
      </c>
      <c r="O20">
        <v>80</v>
      </c>
      <c r="P20">
        <v>1</v>
      </c>
    </row>
    <row r="21" spans="1:16" x14ac:dyDescent="0.25">
      <c r="A21" t="s">
        <v>300</v>
      </c>
      <c r="B21">
        <v>347</v>
      </c>
      <c r="C21">
        <v>10</v>
      </c>
      <c r="D21">
        <v>26</v>
      </c>
      <c r="E21">
        <v>509</v>
      </c>
      <c r="F21">
        <v>448</v>
      </c>
      <c r="G21">
        <v>0</v>
      </c>
      <c r="H21">
        <v>14331</v>
      </c>
      <c r="I21">
        <v>7153</v>
      </c>
      <c r="J21">
        <v>461</v>
      </c>
      <c r="K21">
        <v>427</v>
      </c>
      <c r="L21">
        <v>6</v>
      </c>
      <c r="M21">
        <v>6</v>
      </c>
      <c r="N21">
        <v>467</v>
      </c>
      <c r="O21">
        <v>433</v>
      </c>
      <c r="P21">
        <v>9</v>
      </c>
    </row>
    <row r="22" spans="1:16" x14ac:dyDescent="0.25">
      <c r="A22" t="s">
        <v>301</v>
      </c>
      <c r="B22">
        <v>169</v>
      </c>
      <c r="C22">
        <v>18</v>
      </c>
      <c r="D22">
        <v>0</v>
      </c>
      <c r="E22">
        <v>259</v>
      </c>
      <c r="F22">
        <v>250</v>
      </c>
      <c r="G22">
        <v>0</v>
      </c>
      <c r="H22">
        <v>7786</v>
      </c>
      <c r="I22">
        <v>4012</v>
      </c>
      <c r="J22">
        <v>184</v>
      </c>
      <c r="K22">
        <v>175</v>
      </c>
      <c r="L22">
        <v>13</v>
      </c>
      <c r="M22">
        <v>13</v>
      </c>
      <c r="N22">
        <v>197</v>
      </c>
      <c r="O22">
        <v>188</v>
      </c>
      <c r="P22">
        <v>0</v>
      </c>
    </row>
    <row r="23" spans="1:16" x14ac:dyDescent="0.25">
      <c r="A23" t="s">
        <v>302</v>
      </c>
      <c r="B23">
        <v>58</v>
      </c>
      <c r="C23">
        <v>6</v>
      </c>
      <c r="D23">
        <v>0</v>
      </c>
      <c r="E23">
        <v>83</v>
      </c>
      <c r="F23">
        <v>78</v>
      </c>
      <c r="G23">
        <v>0</v>
      </c>
      <c r="H23">
        <v>2141</v>
      </c>
      <c r="I23">
        <v>1066</v>
      </c>
      <c r="J23">
        <v>66</v>
      </c>
      <c r="K23">
        <v>61</v>
      </c>
      <c r="L23">
        <v>2</v>
      </c>
      <c r="M23">
        <v>2</v>
      </c>
      <c r="N23">
        <v>68</v>
      </c>
      <c r="O23">
        <v>63</v>
      </c>
      <c r="P23">
        <v>1</v>
      </c>
    </row>
    <row r="24" spans="1:16" x14ac:dyDescent="0.25">
      <c r="A24" t="s">
        <v>303</v>
      </c>
      <c r="B24">
        <v>431</v>
      </c>
      <c r="C24">
        <v>18</v>
      </c>
      <c r="D24">
        <v>55</v>
      </c>
      <c r="E24">
        <v>833</v>
      </c>
      <c r="F24">
        <v>603</v>
      </c>
      <c r="G24">
        <v>12</v>
      </c>
      <c r="H24">
        <v>24113</v>
      </c>
      <c r="I24">
        <v>12162</v>
      </c>
      <c r="J24">
        <v>422</v>
      </c>
      <c r="K24">
        <v>417</v>
      </c>
      <c r="L24">
        <v>23</v>
      </c>
      <c r="M24">
        <v>21</v>
      </c>
      <c r="N24">
        <v>445</v>
      </c>
      <c r="O24">
        <v>438</v>
      </c>
      <c r="P24">
        <v>19</v>
      </c>
    </row>
    <row r="25" spans="1:16" x14ac:dyDescent="0.25">
      <c r="A25" t="s">
        <v>304</v>
      </c>
      <c r="B25">
        <v>31</v>
      </c>
      <c r="C25">
        <v>1</v>
      </c>
      <c r="D25">
        <v>0</v>
      </c>
      <c r="E25">
        <v>38</v>
      </c>
      <c r="F25">
        <v>36</v>
      </c>
      <c r="G25">
        <v>0</v>
      </c>
      <c r="H25">
        <v>1017</v>
      </c>
      <c r="I25">
        <v>549</v>
      </c>
      <c r="J25">
        <v>43</v>
      </c>
      <c r="K25">
        <v>43</v>
      </c>
      <c r="L25">
        <v>5</v>
      </c>
      <c r="M25">
        <v>5</v>
      </c>
      <c r="N25">
        <v>48</v>
      </c>
      <c r="O25">
        <v>48</v>
      </c>
      <c r="P25">
        <v>0</v>
      </c>
    </row>
    <row r="26" spans="1:16" x14ac:dyDescent="0.25">
      <c r="A26" t="s">
        <v>305</v>
      </c>
      <c r="B26">
        <v>170</v>
      </c>
      <c r="C26">
        <v>6</v>
      </c>
      <c r="D26">
        <v>0</v>
      </c>
      <c r="E26">
        <v>245</v>
      </c>
      <c r="F26">
        <v>242</v>
      </c>
      <c r="G26">
        <v>2</v>
      </c>
      <c r="H26">
        <v>7467</v>
      </c>
      <c r="I26">
        <v>3713</v>
      </c>
      <c r="J26">
        <v>184</v>
      </c>
      <c r="K26">
        <v>178</v>
      </c>
      <c r="L26">
        <v>13</v>
      </c>
      <c r="M26">
        <v>11</v>
      </c>
      <c r="N26">
        <v>197</v>
      </c>
      <c r="O26">
        <v>189</v>
      </c>
      <c r="P26">
        <v>0</v>
      </c>
    </row>
    <row r="27" spans="1:16" x14ac:dyDescent="0.25">
      <c r="A27" t="s">
        <v>306</v>
      </c>
      <c r="B27">
        <v>278</v>
      </c>
      <c r="C27">
        <v>3</v>
      </c>
      <c r="D27">
        <v>4</v>
      </c>
      <c r="E27">
        <v>412</v>
      </c>
      <c r="F27">
        <v>399</v>
      </c>
      <c r="G27">
        <v>13</v>
      </c>
      <c r="H27">
        <v>12083</v>
      </c>
      <c r="I27">
        <v>5874</v>
      </c>
      <c r="J27">
        <v>416</v>
      </c>
      <c r="K27">
        <v>383</v>
      </c>
      <c r="L27">
        <v>8</v>
      </c>
      <c r="M27">
        <v>8</v>
      </c>
      <c r="N27">
        <v>424</v>
      </c>
      <c r="O27">
        <v>391</v>
      </c>
      <c r="P27">
        <v>12</v>
      </c>
    </row>
    <row r="28" spans="1:16" x14ac:dyDescent="0.25">
      <c r="A28" t="s">
        <v>307</v>
      </c>
      <c r="B28">
        <v>223</v>
      </c>
      <c r="C28">
        <v>4</v>
      </c>
      <c r="D28">
        <v>2</v>
      </c>
      <c r="E28">
        <v>441</v>
      </c>
      <c r="F28">
        <v>372</v>
      </c>
      <c r="G28">
        <v>1</v>
      </c>
      <c r="H28">
        <v>12942</v>
      </c>
      <c r="I28">
        <v>6350</v>
      </c>
      <c r="J28">
        <v>191</v>
      </c>
      <c r="K28">
        <v>176</v>
      </c>
      <c r="L28">
        <v>3</v>
      </c>
      <c r="M28">
        <v>2</v>
      </c>
      <c r="N28">
        <v>194</v>
      </c>
      <c r="O28">
        <v>178</v>
      </c>
      <c r="P28">
        <v>16</v>
      </c>
    </row>
    <row r="29" spans="1:16" x14ac:dyDescent="0.25">
      <c r="A29" t="s">
        <v>266</v>
      </c>
      <c r="B29">
        <v>4176</v>
      </c>
      <c r="C29">
        <v>186</v>
      </c>
      <c r="D29">
        <v>161</v>
      </c>
      <c r="E29">
        <v>6825</v>
      </c>
      <c r="F29">
        <v>6063</v>
      </c>
      <c r="G29">
        <v>78</v>
      </c>
      <c r="H29">
        <v>205492</v>
      </c>
      <c r="I29">
        <v>102539</v>
      </c>
      <c r="J29">
        <v>5164</v>
      </c>
      <c r="K29">
        <v>4923</v>
      </c>
      <c r="L29">
        <v>234</v>
      </c>
      <c r="M29">
        <v>219</v>
      </c>
      <c r="N29">
        <v>5398</v>
      </c>
      <c r="O29">
        <v>5142</v>
      </c>
      <c r="P29">
        <v>127</v>
      </c>
    </row>
    <row r="30" spans="1:16" x14ac:dyDescent="0.25">
      <c r="A30" t="s">
        <v>308</v>
      </c>
      <c r="B30">
        <v>505</v>
      </c>
      <c r="C30">
        <v>55</v>
      </c>
      <c r="D30">
        <v>10</v>
      </c>
      <c r="E30">
        <v>1071</v>
      </c>
      <c r="F30">
        <v>913</v>
      </c>
      <c r="G30">
        <v>4</v>
      </c>
      <c r="H30">
        <v>37229</v>
      </c>
      <c r="I30">
        <v>18357</v>
      </c>
      <c r="J30">
        <v>1024</v>
      </c>
      <c r="K30">
        <v>1014</v>
      </c>
      <c r="L30">
        <v>111</v>
      </c>
      <c r="M30">
        <v>105</v>
      </c>
      <c r="N30">
        <v>1135</v>
      </c>
      <c r="O30">
        <v>1119</v>
      </c>
      <c r="P30">
        <v>11</v>
      </c>
    </row>
    <row r="31" spans="1:16" x14ac:dyDescent="0.25">
      <c r="A31" t="s">
        <v>309</v>
      </c>
      <c r="B31">
        <v>3671</v>
      </c>
      <c r="C31">
        <v>131</v>
      </c>
      <c r="D31">
        <v>151</v>
      </c>
      <c r="E31">
        <v>5754</v>
      </c>
      <c r="F31">
        <v>5150</v>
      </c>
      <c r="G31">
        <v>74</v>
      </c>
      <c r="H31">
        <v>168263</v>
      </c>
      <c r="I31">
        <v>84182</v>
      </c>
      <c r="J31">
        <v>4140</v>
      </c>
      <c r="K31">
        <v>3909</v>
      </c>
      <c r="L31">
        <v>123</v>
      </c>
      <c r="M31">
        <v>114</v>
      </c>
      <c r="N31">
        <v>4263</v>
      </c>
      <c r="O31">
        <v>4023</v>
      </c>
      <c r="P31">
        <v>116</v>
      </c>
    </row>
  </sheetData>
  <mergeCells count="7">
    <mergeCell ref="L2:M2"/>
    <mergeCell ref="H2:I2"/>
    <mergeCell ref="A1:P1"/>
    <mergeCell ref="J2:K2"/>
    <mergeCell ref="N2:O2"/>
    <mergeCell ref="A2:A3"/>
    <mergeCell ref="P2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4" customWidth="1"/>
    <col min="2" max="2" width="9.28515625" customWidth="1"/>
    <col min="3" max="3" width="9.42578125" customWidth="1"/>
    <col min="7" max="7" width="11.28515625" customWidth="1"/>
    <col min="8" max="8" width="11.140625" customWidth="1"/>
    <col min="9" max="9" width="9.28515625" customWidth="1"/>
  </cols>
  <sheetData>
    <row r="1" spans="1:16" x14ac:dyDescent="0.25">
      <c r="A1" s="29" t="s">
        <v>323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6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410</v>
      </c>
      <c r="C4">
        <v>3</v>
      </c>
      <c r="D4">
        <v>3177</v>
      </c>
      <c r="E4">
        <v>2230</v>
      </c>
      <c r="F4">
        <v>12</v>
      </c>
      <c r="G4">
        <v>94915</v>
      </c>
      <c r="H4">
        <v>46200</v>
      </c>
      <c r="I4">
        <v>3464</v>
      </c>
      <c r="J4">
        <v>1131</v>
      </c>
      <c r="K4">
        <v>2893</v>
      </c>
      <c r="L4">
        <v>1607</v>
      </c>
      <c r="M4">
        <v>569</v>
      </c>
      <c r="N4">
        <v>94</v>
      </c>
      <c r="O4">
        <v>3462</v>
      </c>
      <c r="P4">
        <v>1701</v>
      </c>
    </row>
    <row r="5" spans="1:16" x14ac:dyDescent="0.25">
      <c r="A5" t="s">
        <v>284</v>
      </c>
      <c r="B5">
        <v>637</v>
      </c>
      <c r="C5">
        <v>0</v>
      </c>
      <c r="D5">
        <v>5442</v>
      </c>
      <c r="E5">
        <v>3624</v>
      </c>
      <c r="F5">
        <v>4</v>
      </c>
      <c r="G5">
        <v>169379</v>
      </c>
      <c r="H5">
        <v>81087</v>
      </c>
      <c r="I5">
        <v>10471</v>
      </c>
      <c r="J5">
        <v>3860</v>
      </c>
      <c r="K5">
        <v>3700</v>
      </c>
      <c r="L5">
        <v>2354</v>
      </c>
      <c r="M5">
        <v>1289</v>
      </c>
      <c r="N5">
        <v>484</v>
      </c>
      <c r="O5">
        <v>4989</v>
      </c>
      <c r="P5">
        <v>2838</v>
      </c>
    </row>
    <row r="6" spans="1:16" x14ac:dyDescent="0.25">
      <c r="A6" t="s">
        <v>285</v>
      </c>
      <c r="B6">
        <v>406</v>
      </c>
      <c r="C6">
        <v>3</v>
      </c>
      <c r="D6">
        <v>3868</v>
      </c>
      <c r="E6">
        <v>2866</v>
      </c>
      <c r="F6">
        <v>104</v>
      </c>
      <c r="G6">
        <v>141993</v>
      </c>
      <c r="H6">
        <v>67851</v>
      </c>
      <c r="I6">
        <v>13171</v>
      </c>
      <c r="J6">
        <v>4792</v>
      </c>
      <c r="K6">
        <v>2599</v>
      </c>
      <c r="L6">
        <v>1663</v>
      </c>
      <c r="M6">
        <v>1069</v>
      </c>
      <c r="N6">
        <v>402</v>
      </c>
      <c r="O6">
        <v>3668</v>
      </c>
      <c r="P6">
        <v>2065</v>
      </c>
    </row>
    <row r="7" spans="1:16" x14ac:dyDescent="0.25">
      <c r="A7" t="s">
        <v>286</v>
      </c>
      <c r="B7">
        <v>275</v>
      </c>
      <c r="C7">
        <v>0</v>
      </c>
      <c r="D7">
        <v>2217</v>
      </c>
      <c r="E7">
        <v>1499</v>
      </c>
      <c r="F7">
        <v>3</v>
      </c>
      <c r="G7">
        <v>74114</v>
      </c>
      <c r="H7">
        <v>36176</v>
      </c>
      <c r="I7">
        <v>4509</v>
      </c>
      <c r="J7">
        <v>1609</v>
      </c>
      <c r="K7">
        <v>1800</v>
      </c>
      <c r="L7">
        <v>892</v>
      </c>
      <c r="M7">
        <v>417</v>
      </c>
      <c r="N7">
        <v>105</v>
      </c>
      <c r="O7">
        <v>2217</v>
      </c>
      <c r="P7">
        <v>997</v>
      </c>
    </row>
    <row r="8" spans="1:16" x14ac:dyDescent="0.25">
      <c r="A8" t="s">
        <v>287</v>
      </c>
      <c r="B8">
        <v>313</v>
      </c>
      <c r="C8">
        <v>1</v>
      </c>
      <c r="D8">
        <v>2890</v>
      </c>
      <c r="E8">
        <v>2174</v>
      </c>
      <c r="F8">
        <v>8</v>
      </c>
      <c r="G8">
        <v>111387</v>
      </c>
      <c r="H8">
        <v>53573</v>
      </c>
      <c r="I8">
        <v>5377</v>
      </c>
      <c r="J8">
        <v>2035</v>
      </c>
      <c r="K8">
        <v>2238</v>
      </c>
      <c r="L8">
        <v>1014</v>
      </c>
      <c r="M8">
        <v>463</v>
      </c>
      <c r="N8">
        <v>87</v>
      </c>
      <c r="O8">
        <v>2701</v>
      </c>
      <c r="P8">
        <v>1101</v>
      </c>
    </row>
    <row r="9" spans="1:16" x14ac:dyDescent="0.25">
      <c r="A9" t="s">
        <v>288</v>
      </c>
      <c r="B9">
        <v>483</v>
      </c>
      <c r="C9">
        <v>1</v>
      </c>
      <c r="D9">
        <v>3292</v>
      </c>
      <c r="E9">
        <v>2358</v>
      </c>
      <c r="F9">
        <v>12</v>
      </c>
      <c r="G9">
        <v>100844</v>
      </c>
      <c r="H9">
        <v>49180</v>
      </c>
      <c r="I9">
        <v>8273</v>
      </c>
      <c r="J9">
        <v>3049</v>
      </c>
      <c r="K9">
        <v>2413</v>
      </c>
      <c r="L9">
        <v>1326</v>
      </c>
      <c r="M9">
        <v>400</v>
      </c>
      <c r="N9">
        <v>114</v>
      </c>
      <c r="O9">
        <v>2813</v>
      </c>
      <c r="P9">
        <v>1440</v>
      </c>
    </row>
    <row r="10" spans="1:16" x14ac:dyDescent="0.25">
      <c r="A10" t="s">
        <v>289</v>
      </c>
      <c r="B10">
        <v>309</v>
      </c>
      <c r="C10">
        <v>0</v>
      </c>
      <c r="D10">
        <v>2453</v>
      </c>
      <c r="E10">
        <v>1969</v>
      </c>
      <c r="F10">
        <v>2</v>
      </c>
      <c r="G10">
        <v>79261</v>
      </c>
      <c r="H10">
        <v>38151</v>
      </c>
      <c r="I10">
        <v>3376</v>
      </c>
      <c r="J10">
        <v>1146</v>
      </c>
      <c r="K10">
        <v>2332</v>
      </c>
      <c r="L10">
        <v>1186</v>
      </c>
      <c r="M10">
        <v>521</v>
      </c>
      <c r="N10">
        <v>88</v>
      </c>
      <c r="O10">
        <v>2853</v>
      </c>
      <c r="P10">
        <v>1274</v>
      </c>
    </row>
    <row r="11" spans="1:16" x14ac:dyDescent="0.25">
      <c r="A11" t="s">
        <v>290</v>
      </c>
      <c r="B11">
        <v>374</v>
      </c>
      <c r="C11">
        <v>3</v>
      </c>
      <c r="D11">
        <v>4387</v>
      </c>
      <c r="E11">
        <v>3071</v>
      </c>
      <c r="F11">
        <v>5</v>
      </c>
      <c r="G11">
        <v>158005</v>
      </c>
      <c r="H11">
        <v>74455</v>
      </c>
      <c r="I11">
        <v>13552</v>
      </c>
      <c r="J11">
        <v>4660</v>
      </c>
      <c r="K11">
        <v>2522</v>
      </c>
      <c r="L11">
        <v>1607</v>
      </c>
      <c r="M11">
        <v>858</v>
      </c>
      <c r="N11">
        <v>246</v>
      </c>
      <c r="O11">
        <v>3380</v>
      </c>
      <c r="P11">
        <v>1853</v>
      </c>
    </row>
    <row r="12" spans="1:16" x14ac:dyDescent="0.25">
      <c r="A12" t="s">
        <v>291</v>
      </c>
      <c r="B12">
        <v>22</v>
      </c>
      <c r="C12">
        <v>0</v>
      </c>
      <c r="D12">
        <v>177</v>
      </c>
      <c r="E12">
        <v>146</v>
      </c>
      <c r="F12">
        <v>7</v>
      </c>
      <c r="G12">
        <v>4918</v>
      </c>
      <c r="H12">
        <v>2408</v>
      </c>
      <c r="I12">
        <v>188</v>
      </c>
      <c r="J12">
        <v>70</v>
      </c>
      <c r="K12">
        <v>208</v>
      </c>
      <c r="L12">
        <v>117</v>
      </c>
      <c r="M12">
        <v>60</v>
      </c>
      <c r="N12">
        <v>12</v>
      </c>
      <c r="O12">
        <v>268</v>
      </c>
      <c r="P12">
        <v>129</v>
      </c>
    </row>
    <row r="13" spans="1:16" x14ac:dyDescent="0.25">
      <c r="A13" t="s">
        <v>292</v>
      </c>
      <c r="B13">
        <v>121</v>
      </c>
      <c r="C13">
        <v>8</v>
      </c>
      <c r="D13">
        <v>790</v>
      </c>
      <c r="E13">
        <v>479</v>
      </c>
      <c r="F13">
        <v>0</v>
      </c>
      <c r="G13">
        <v>16755</v>
      </c>
      <c r="H13">
        <v>8154</v>
      </c>
      <c r="I13">
        <v>731</v>
      </c>
      <c r="J13">
        <v>281</v>
      </c>
      <c r="K13">
        <v>590</v>
      </c>
      <c r="L13">
        <v>295</v>
      </c>
      <c r="M13">
        <v>92</v>
      </c>
      <c r="N13">
        <v>21</v>
      </c>
      <c r="O13">
        <v>682</v>
      </c>
      <c r="P13">
        <v>316</v>
      </c>
    </row>
    <row r="14" spans="1:16" x14ac:dyDescent="0.25">
      <c r="A14" t="s">
        <v>293</v>
      </c>
      <c r="B14">
        <v>272</v>
      </c>
      <c r="C14">
        <v>8</v>
      </c>
      <c r="D14">
        <v>2083</v>
      </c>
      <c r="E14">
        <v>1303</v>
      </c>
      <c r="F14">
        <v>7</v>
      </c>
      <c r="G14">
        <v>61926</v>
      </c>
      <c r="H14">
        <v>29894</v>
      </c>
      <c r="I14">
        <v>4939</v>
      </c>
      <c r="J14">
        <v>1864</v>
      </c>
      <c r="K14">
        <v>1445</v>
      </c>
      <c r="L14">
        <v>951</v>
      </c>
      <c r="M14">
        <v>209</v>
      </c>
      <c r="N14">
        <v>69</v>
      </c>
      <c r="O14">
        <v>1654</v>
      </c>
      <c r="P14">
        <v>1020</v>
      </c>
    </row>
    <row r="15" spans="1:16" x14ac:dyDescent="0.25">
      <c r="A15" t="s">
        <v>294</v>
      </c>
      <c r="B15">
        <v>90</v>
      </c>
      <c r="C15">
        <v>0</v>
      </c>
      <c r="D15">
        <v>642</v>
      </c>
      <c r="E15">
        <v>391</v>
      </c>
      <c r="F15">
        <v>2</v>
      </c>
      <c r="G15">
        <v>14167</v>
      </c>
      <c r="H15">
        <v>7016</v>
      </c>
      <c r="I15">
        <v>635</v>
      </c>
      <c r="J15">
        <v>244</v>
      </c>
      <c r="K15">
        <v>549</v>
      </c>
      <c r="L15">
        <v>271</v>
      </c>
      <c r="M15">
        <v>30</v>
      </c>
      <c r="N15">
        <v>8</v>
      </c>
      <c r="O15">
        <v>579</v>
      </c>
      <c r="P15">
        <v>279</v>
      </c>
    </row>
    <row r="16" spans="1:16" x14ac:dyDescent="0.25">
      <c r="A16" t="s">
        <v>295</v>
      </c>
      <c r="B16">
        <v>214</v>
      </c>
      <c r="C16">
        <v>2</v>
      </c>
      <c r="D16">
        <v>1478</v>
      </c>
      <c r="E16">
        <v>925</v>
      </c>
      <c r="F16">
        <v>15</v>
      </c>
      <c r="G16">
        <v>36937</v>
      </c>
      <c r="H16">
        <v>17735</v>
      </c>
      <c r="I16">
        <v>2753</v>
      </c>
      <c r="J16">
        <v>981</v>
      </c>
      <c r="K16">
        <v>1031</v>
      </c>
      <c r="L16">
        <v>443</v>
      </c>
      <c r="M16">
        <v>185</v>
      </c>
      <c r="N16">
        <v>44</v>
      </c>
      <c r="O16">
        <v>1216</v>
      </c>
      <c r="P16">
        <v>487</v>
      </c>
    </row>
    <row r="17" spans="1:16" x14ac:dyDescent="0.25">
      <c r="A17" t="s">
        <v>296</v>
      </c>
      <c r="B17">
        <v>49</v>
      </c>
      <c r="C17">
        <v>1</v>
      </c>
      <c r="D17">
        <v>355</v>
      </c>
      <c r="E17">
        <v>228</v>
      </c>
      <c r="F17">
        <v>0</v>
      </c>
      <c r="G17">
        <v>10281</v>
      </c>
      <c r="H17">
        <v>4891</v>
      </c>
      <c r="I17">
        <v>653</v>
      </c>
      <c r="J17">
        <v>218</v>
      </c>
      <c r="K17">
        <v>294</v>
      </c>
      <c r="L17">
        <v>162</v>
      </c>
      <c r="M17">
        <v>35</v>
      </c>
      <c r="N17">
        <v>11</v>
      </c>
      <c r="O17">
        <v>329</v>
      </c>
      <c r="P17">
        <v>173</v>
      </c>
    </row>
    <row r="18" spans="1:16" x14ac:dyDescent="0.25">
      <c r="A18" t="s">
        <v>297</v>
      </c>
      <c r="B18">
        <v>164</v>
      </c>
      <c r="C18">
        <v>0</v>
      </c>
      <c r="D18">
        <v>3331</v>
      </c>
      <c r="E18">
        <v>2242</v>
      </c>
      <c r="F18">
        <v>17</v>
      </c>
      <c r="G18">
        <v>136863</v>
      </c>
      <c r="H18">
        <v>65768</v>
      </c>
      <c r="I18">
        <v>3912</v>
      </c>
      <c r="J18">
        <v>1339</v>
      </c>
      <c r="K18">
        <v>3716</v>
      </c>
      <c r="L18">
        <v>2801</v>
      </c>
      <c r="M18">
        <v>481</v>
      </c>
      <c r="N18">
        <v>205</v>
      </c>
      <c r="O18">
        <v>4197</v>
      </c>
      <c r="P18">
        <v>3006</v>
      </c>
    </row>
    <row r="19" spans="1:16" x14ac:dyDescent="0.25">
      <c r="A19" t="s">
        <v>298</v>
      </c>
      <c r="B19">
        <v>72</v>
      </c>
      <c r="C19">
        <v>0</v>
      </c>
      <c r="D19">
        <v>811</v>
      </c>
      <c r="E19">
        <v>480</v>
      </c>
      <c r="F19">
        <v>0</v>
      </c>
      <c r="G19">
        <v>26492</v>
      </c>
      <c r="H19">
        <v>12867</v>
      </c>
      <c r="I19">
        <v>825</v>
      </c>
      <c r="J19">
        <v>309</v>
      </c>
      <c r="K19">
        <v>813</v>
      </c>
      <c r="L19">
        <v>441</v>
      </c>
      <c r="M19">
        <v>145</v>
      </c>
      <c r="N19">
        <v>47</v>
      </c>
      <c r="O19">
        <v>958</v>
      </c>
      <c r="P19">
        <v>488</v>
      </c>
    </row>
    <row r="20" spans="1:16" x14ac:dyDescent="0.25">
      <c r="A20" t="s">
        <v>299</v>
      </c>
      <c r="B20">
        <v>225</v>
      </c>
      <c r="C20">
        <v>3</v>
      </c>
      <c r="D20">
        <v>1500</v>
      </c>
      <c r="E20">
        <v>986</v>
      </c>
      <c r="F20">
        <v>4</v>
      </c>
      <c r="G20">
        <v>37189</v>
      </c>
      <c r="H20">
        <v>18373</v>
      </c>
      <c r="I20">
        <v>3486</v>
      </c>
      <c r="J20">
        <v>1445</v>
      </c>
      <c r="K20">
        <v>1171</v>
      </c>
      <c r="L20">
        <v>621</v>
      </c>
      <c r="M20">
        <v>180</v>
      </c>
      <c r="N20">
        <v>40</v>
      </c>
      <c r="O20">
        <v>1351</v>
      </c>
      <c r="P20">
        <v>661</v>
      </c>
    </row>
    <row r="21" spans="1:16" x14ac:dyDescent="0.25">
      <c r="A21" t="s">
        <v>300</v>
      </c>
      <c r="B21">
        <v>543</v>
      </c>
      <c r="C21">
        <v>1</v>
      </c>
      <c r="D21">
        <v>4531</v>
      </c>
      <c r="E21">
        <v>3407</v>
      </c>
      <c r="F21">
        <v>12</v>
      </c>
      <c r="G21">
        <v>149122</v>
      </c>
      <c r="H21">
        <v>70406</v>
      </c>
      <c r="I21">
        <v>10673</v>
      </c>
      <c r="J21">
        <v>3816</v>
      </c>
      <c r="K21">
        <v>2816</v>
      </c>
      <c r="L21">
        <v>1321</v>
      </c>
      <c r="M21">
        <v>1169</v>
      </c>
      <c r="N21">
        <v>309</v>
      </c>
      <c r="O21">
        <v>3985</v>
      </c>
      <c r="P21">
        <v>1630</v>
      </c>
    </row>
    <row r="22" spans="1:16" x14ac:dyDescent="0.25">
      <c r="A22" t="s">
        <v>301</v>
      </c>
      <c r="B22">
        <v>301</v>
      </c>
      <c r="C22">
        <v>5</v>
      </c>
      <c r="D22">
        <v>2245</v>
      </c>
      <c r="E22">
        <v>1472</v>
      </c>
      <c r="F22">
        <v>0</v>
      </c>
      <c r="G22">
        <v>68486</v>
      </c>
      <c r="H22">
        <v>33180</v>
      </c>
      <c r="I22">
        <v>5452</v>
      </c>
      <c r="J22">
        <v>2089</v>
      </c>
      <c r="K22">
        <v>1589</v>
      </c>
      <c r="L22">
        <v>830</v>
      </c>
      <c r="M22">
        <v>376</v>
      </c>
      <c r="N22">
        <v>97</v>
      </c>
      <c r="O22">
        <v>1965</v>
      </c>
      <c r="P22">
        <v>927</v>
      </c>
    </row>
    <row r="23" spans="1:16" x14ac:dyDescent="0.25">
      <c r="A23" t="s">
        <v>302</v>
      </c>
      <c r="B23">
        <v>213</v>
      </c>
      <c r="C23">
        <v>6</v>
      </c>
      <c r="D23">
        <v>1329</v>
      </c>
      <c r="E23">
        <v>847</v>
      </c>
      <c r="F23">
        <v>0</v>
      </c>
      <c r="G23">
        <v>40384</v>
      </c>
      <c r="H23">
        <v>19640</v>
      </c>
      <c r="I23">
        <v>1729</v>
      </c>
      <c r="J23">
        <v>768</v>
      </c>
      <c r="K23">
        <v>771</v>
      </c>
      <c r="L23">
        <v>349</v>
      </c>
      <c r="M23">
        <v>79</v>
      </c>
      <c r="N23">
        <v>16</v>
      </c>
      <c r="O23">
        <v>850</v>
      </c>
      <c r="P23">
        <v>365</v>
      </c>
    </row>
    <row r="24" spans="1:16" x14ac:dyDescent="0.25">
      <c r="A24" t="s">
        <v>303</v>
      </c>
      <c r="B24">
        <v>502</v>
      </c>
      <c r="C24">
        <v>2</v>
      </c>
      <c r="D24">
        <v>4444</v>
      </c>
      <c r="E24">
        <v>3080</v>
      </c>
      <c r="F24">
        <v>20</v>
      </c>
      <c r="G24">
        <v>163114</v>
      </c>
      <c r="H24">
        <v>78400</v>
      </c>
      <c r="I24">
        <v>12682</v>
      </c>
      <c r="J24">
        <v>4564</v>
      </c>
      <c r="K24">
        <v>3075</v>
      </c>
      <c r="L24">
        <v>2109</v>
      </c>
      <c r="M24">
        <v>1007</v>
      </c>
      <c r="N24">
        <v>366</v>
      </c>
      <c r="O24">
        <v>4082</v>
      </c>
      <c r="P24">
        <v>2475</v>
      </c>
    </row>
    <row r="25" spans="1:16" x14ac:dyDescent="0.25">
      <c r="A25" t="s">
        <v>304</v>
      </c>
      <c r="B25">
        <v>149</v>
      </c>
      <c r="C25">
        <v>2</v>
      </c>
      <c r="D25">
        <v>1099</v>
      </c>
      <c r="E25">
        <v>679</v>
      </c>
      <c r="F25">
        <v>2</v>
      </c>
      <c r="G25">
        <v>25047</v>
      </c>
      <c r="H25">
        <v>12372</v>
      </c>
      <c r="I25">
        <v>2773</v>
      </c>
      <c r="J25">
        <v>1189</v>
      </c>
      <c r="K25">
        <v>766</v>
      </c>
      <c r="L25">
        <v>454</v>
      </c>
      <c r="M25">
        <v>100</v>
      </c>
      <c r="N25">
        <v>34</v>
      </c>
      <c r="O25">
        <v>866</v>
      </c>
      <c r="P25">
        <v>488</v>
      </c>
    </row>
    <row r="26" spans="1:16" x14ac:dyDescent="0.25">
      <c r="A26" t="s">
        <v>305</v>
      </c>
      <c r="B26">
        <v>262</v>
      </c>
      <c r="C26">
        <v>0</v>
      </c>
      <c r="D26">
        <v>2210</v>
      </c>
      <c r="E26">
        <v>1751</v>
      </c>
      <c r="F26">
        <v>7</v>
      </c>
      <c r="G26">
        <v>71906</v>
      </c>
      <c r="H26">
        <v>34866</v>
      </c>
      <c r="I26">
        <v>3281</v>
      </c>
      <c r="J26">
        <v>1105</v>
      </c>
      <c r="K26">
        <v>1675</v>
      </c>
      <c r="L26">
        <v>673</v>
      </c>
      <c r="M26">
        <v>584</v>
      </c>
      <c r="N26">
        <v>113</v>
      </c>
      <c r="O26">
        <v>2259</v>
      </c>
      <c r="P26">
        <v>786</v>
      </c>
    </row>
    <row r="27" spans="1:16" x14ac:dyDescent="0.25">
      <c r="A27" t="s">
        <v>306</v>
      </c>
      <c r="B27">
        <v>382</v>
      </c>
      <c r="C27">
        <v>2</v>
      </c>
      <c r="D27">
        <v>3613</v>
      </c>
      <c r="E27">
        <v>3046</v>
      </c>
      <c r="F27">
        <v>65</v>
      </c>
      <c r="G27">
        <v>119706</v>
      </c>
      <c r="H27">
        <v>57141</v>
      </c>
      <c r="I27">
        <v>7680</v>
      </c>
      <c r="J27">
        <v>2569</v>
      </c>
      <c r="K27">
        <v>2959</v>
      </c>
      <c r="L27">
        <v>1280</v>
      </c>
      <c r="M27">
        <v>973</v>
      </c>
      <c r="N27">
        <v>227</v>
      </c>
      <c r="O27">
        <v>3932</v>
      </c>
      <c r="P27">
        <v>1507</v>
      </c>
    </row>
    <row r="28" spans="1:16" x14ac:dyDescent="0.25">
      <c r="A28" t="s">
        <v>307</v>
      </c>
      <c r="B28">
        <v>401</v>
      </c>
      <c r="C28">
        <v>7</v>
      </c>
      <c r="D28">
        <v>3271</v>
      </c>
      <c r="E28">
        <v>2304</v>
      </c>
      <c r="F28">
        <v>23</v>
      </c>
      <c r="G28">
        <v>115503</v>
      </c>
      <c r="H28">
        <v>55779</v>
      </c>
      <c r="I28">
        <v>7178</v>
      </c>
      <c r="J28">
        <v>2759</v>
      </c>
      <c r="K28">
        <v>2192</v>
      </c>
      <c r="L28">
        <v>1270</v>
      </c>
      <c r="M28">
        <v>467</v>
      </c>
      <c r="N28">
        <v>148</v>
      </c>
      <c r="O28">
        <v>2659</v>
      </c>
      <c r="P28">
        <v>1418</v>
      </c>
    </row>
    <row r="29" spans="1:16" x14ac:dyDescent="0.25">
      <c r="A29" t="s">
        <v>266</v>
      </c>
      <c r="B29">
        <v>7189</v>
      </c>
      <c r="C29">
        <v>58</v>
      </c>
      <c r="D29">
        <v>61635</v>
      </c>
      <c r="E29">
        <v>43557</v>
      </c>
      <c r="F29">
        <v>331</v>
      </c>
      <c r="G29">
        <v>2028694</v>
      </c>
      <c r="H29">
        <v>975563</v>
      </c>
      <c r="I29">
        <v>131763</v>
      </c>
      <c r="J29">
        <v>47892</v>
      </c>
      <c r="K29">
        <v>46157</v>
      </c>
      <c r="L29">
        <v>26037</v>
      </c>
      <c r="M29">
        <v>11758</v>
      </c>
      <c r="N29">
        <v>3387</v>
      </c>
      <c r="O29">
        <v>57915</v>
      </c>
      <c r="P29">
        <v>29424</v>
      </c>
    </row>
    <row r="30" spans="1:16" x14ac:dyDescent="0.25">
      <c r="A30" t="s">
        <v>308</v>
      </c>
      <c r="B30">
        <v>672</v>
      </c>
      <c r="C30">
        <v>0</v>
      </c>
      <c r="D30">
        <v>9074</v>
      </c>
      <c r="E30">
        <v>6338</v>
      </c>
      <c r="F30">
        <v>53</v>
      </c>
      <c r="G30">
        <v>333842</v>
      </c>
      <c r="H30">
        <v>160415</v>
      </c>
      <c r="I30">
        <v>14615</v>
      </c>
      <c r="J30">
        <v>5092</v>
      </c>
      <c r="K30">
        <v>9702</v>
      </c>
      <c r="L30">
        <v>6785</v>
      </c>
      <c r="M30">
        <v>1793</v>
      </c>
      <c r="N30">
        <v>754</v>
      </c>
      <c r="O30">
        <v>11495</v>
      </c>
      <c r="P30">
        <v>7539</v>
      </c>
    </row>
    <row r="31" spans="1:16" x14ac:dyDescent="0.25">
      <c r="A31" t="s">
        <v>309</v>
      </c>
      <c r="B31">
        <v>6517</v>
      </c>
      <c r="C31">
        <v>58</v>
      </c>
      <c r="D31">
        <v>52561</v>
      </c>
      <c r="E31">
        <v>37219</v>
      </c>
      <c r="F31">
        <v>278</v>
      </c>
      <c r="G31">
        <v>1694852</v>
      </c>
      <c r="H31">
        <v>815148</v>
      </c>
      <c r="I31">
        <v>117148</v>
      </c>
      <c r="J31">
        <v>42800</v>
      </c>
      <c r="K31">
        <v>36455</v>
      </c>
      <c r="L31">
        <v>19252</v>
      </c>
      <c r="M31">
        <v>9965</v>
      </c>
      <c r="N31">
        <v>2633</v>
      </c>
      <c r="O31">
        <v>46420</v>
      </c>
      <c r="P31">
        <v>21885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P31"/>
  <sheetViews>
    <sheetView workbookViewId="0">
      <selection sqref="A1:P1"/>
    </sheetView>
  </sheetViews>
  <sheetFormatPr defaultRowHeight="15" x14ac:dyDescent="0.25"/>
  <cols>
    <col min="1" max="1" width="24.140625" customWidth="1"/>
    <col min="2" max="2" width="9.42578125" customWidth="1"/>
    <col min="3" max="3" width="9.28515625" customWidth="1"/>
    <col min="4" max="4" width="9.42578125" customWidth="1"/>
    <col min="5" max="5" width="9.28515625" customWidth="1"/>
    <col min="6" max="6" width="9.42578125" customWidth="1"/>
    <col min="7" max="7" width="10.140625" customWidth="1"/>
    <col min="9" max="9" width="9.85546875" customWidth="1"/>
    <col min="10" max="10" width="9.42578125" customWidth="1"/>
    <col min="11" max="11" width="9.85546875" customWidth="1"/>
    <col min="13" max="13" width="9.42578125" customWidth="1"/>
    <col min="14" max="14" width="9.85546875" customWidth="1"/>
    <col min="15" max="15" width="8.85546875" customWidth="1"/>
    <col min="16" max="16" width="9.28515625" customWidth="1"/>
  </cols>
  <sheetData>
    <row r="1" spans="1:16" x14ac:dyDescent="0.25">
      <c r="A1" s="29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6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6" x14ac:dyDescent="0.25">
      <c r="A4" t="s">
        <v>283</v>
      </c>
      <c r="B4">
        <v>83</v>
      </c>
      <c r="C4">
        <v>0</v>
      </c>
      <c r="D4">
        <v>814</v>
      </c>
      <c r="E4">
        <v>788</v>
      </c>
      <c r="F4">
        <v>2</v>
      </c>
      <c r="G4">
        <v>37220</v>
      </c>
      <c r="H4">
        <v>19638</v>
      </c>
      <c r="I4">
        <v>617</v>
      </c>
      <c r="J4">
        <v>193</v>
      </c>
      <c r="K4">
        <v>1735</v>
      </c>
      <c r="L4">
        <v>692</v>
      </c>
      <c r="M4">
        <v>329</v>
      </c>
      <c r="N4">
        <v>103</v>
      </c>
      <c r="O4">
        <v>2064</v>
      </c>
      <c r="P4">
        <v>795</v>
      </c>
    </row>
    <row r="5" spans="1:16" x14ac:dyDescent="0.25">
      <c r="A5" t="s">
        <v>284</v>
      </c>
      <c r="B5">
        <v>119</v>
      </c>
      <c r="C5">
        <v>1</v>
      </c>
      <c r="D5">
        <v>1354</v>
      </c>
      <c r="E5">
        <v>1209</v>
      </c>
      <c r="F5">
        <v>0</v>
      </c>
      <c r="G5">
        <v>60639</v>
      </c>
      <c r="H5">
        <v>32375</v>
      </c>
      <c r="I5">
        <v>1664</v>
      </c>
      <c r="J5">
        <v>598</v>
      </c>
      <c r="K5">
        <v>2663</v>
      </c>
      <c r="L5">
        <v>1234</v>
      </c>
      <c r="M5">
        <v>513</v>
      </c>
      <c r="N5">
        <v>172</v>
      </c>
      <c r="O5">
        <v>3176</v>
      </c>
      <c r="P5">
        <v>1406</v>
      </c>
    </row>
    <row r="6" spans="1:16" x14ac:dyDescent="0.25">
      <c r="A6" t="s">
        <v>285</v>
      </c>
      <c r="B6">
        <v>122</v>
      </c>
      <c r="C6">
        <v>2</v>
      </c>
      <c r="D6">
        <v>1443</v>
      </c>
      <c r="E6">
        <v>1318</v>
      </c>
      <c r="F6">
        <v>3</v>
      </c>
      <c r="G6">
        <v>63645</v>
      </c>
      <c r="H6">
        <v>34410</v>
      </c>
      <c r="I6">
        <v>1976</v>
      </c>
      <c r="J6">
        <v>675</v>
      </c>
      <c r="K6">
        <v>2831</v>
      </c>
      <c r="L6">
        <v>1372</v>
      </c>
      <c r="M6">
        <v>617</v>
      </c>
      <c r="N6">
        <v>206</v>
      </c>
      <c r="O6">
        <v>3448</v>
      </c>
      <c r="P6">
        <v>1578</v>
      </c>
    </row>
    <row r="7" spans="1:16" x14ac:dyDescent="0.25">
      <c r="A7" t="s">
        <v>286</v>
      </c>
      <c r="B7">
        <v>76</v>
      </c>
      <c r="C7">
        <v>0</v>
      </c>
      <c r="D7">
        <v>766</v>
      </c>
      <c r="E7">
        <v>709</v>
      </c>
      <c r="F7">
        <v>1</v>
      </c>
      <c r="G7">
        <v>36695</v>
      </c>
      <c r="H7">
        <v>19671</v>
      </c>
      <c r="I7">
        <v>747</v>
      </c>
      <c r="J7">
        <v>200</v>
      </c>
      <c r="K7">
        <v>1557</v>
      </c>
      <c r="L7">
        <v>628</v>
      </c>
      <c r="M7">
        <v>244</v>
      </c>
      <c r="N7">
        <v>60</v>
      </c>
      <c r="O7">
        <v>1801</v>
      </c>
      <c r="P7">
        <v>688</v>
      </c>
    </row>
    <row r="8" spans="1:16" x14ac:dyDescent="0.25">
      <c r="A8" t="s">
        <v>287</v>
      </c>
      <c r="B8">
        <v>94</v>
      </c>
      <c r="C8">
        <v>0</v>
      </c>
      <c r="D8">
        <v>953</v>
      </c>
      <c r="E8">
        <v>831</v>
      </c>
      <c r="F8">
        <v>0</v>
      </c>
      <c r="G8">
        <v>49852</v>
      </c>
      <c r="H8">
        <v>25627</v>
      </c>
      <c r="I8">
        <v>513</v>
      </c>
      <c r="J8">
        <v>153</v>
      </c>
      <c r="K8">
        <v>1925</v>
      </c>
      <c r="L8">
        <v>659</v>
      </c>
      <c r="M8">
        <v>299</v>
      </c>
      <c r="N8">
        <v>51</v>
      </c>
      <c r="O8">
        <v>2224</v>
      </c>
      <c r="P8">
        <v>710</v>
      </c>
    </row>
    <row r="9" spans="1:16" x14ac:dyDescent="0.25">
      <c r="A9" t="s">
        <v>288</v>
      </c>
      <c r="B9">
        <v>91</v>
      </c>
      <c r="C9">
        <v>0</v>
      </c>
      <c r="D9">
        <v>938</v>
      </c>
      <c r="E9">
        <v>886</v>
      </c>
      <c r="F9">
        <v>0</v>
      </c>
      <c r="G9">
        <v>43095</v>
      </c>
      <c r="H9">
        <v>23411</v>
      </c>
      <c r="I9">
        <v>1006</v>
      </c>
      <c r="J9">
        <v>336</v>
      </c>
      <c r="K9">
        <v>1723</v>
      </c>
      <c r="L9">
        <v>788</v>
      </c>
      <c r="M9">
        <v>314</v>
      </c>
      <c r="N9">
        <v>68</v>
      </c>
      <c r="O9">
        <v>2037</v>
      </c>
      <c r="P9">
        <v>856</v>
      </c>
    </row>
    <row r="10" spans="1:16" x14ac:dyDescent="0.25">
      <c r="A10" t="s">
        <v>289</v>
      </c>
      <c r="B10">
        <v>99</v>
      </c>
      <c r="C10">
        <v>0</v>
      </c>
      <c r="D10">
        <v>997</v>
      </c>
      <c r="E10">
        <v>902</v>
      </c>
      <c r="F10">
        <v>3</v>
      </c>
      <c r="G10">
        <v>45790</v>
      </c>
      <c r="H10">
        <v>23193</v>
      </c>
      <c r="I10">
        <v>1106</v>
      </c>
      <c r="J10">
        <v>298</v>
      </c>
      <c r="K10">
        <v>2134</v>
      </c>
      <c r="L10">
        <v>873</v>
      </c>
      <c r="M10">
        <v>409</v>
      </c>
      <c r="N10">
        <v>87</v>
      </c>
      <c r="O10">
        <v>2543</v>
      </c>
      <c r="P10">
        <v>960</v>
      </c>
    </row>
    <row r="11" spans="1:16" x14ac:dyDescent="0.25">
      <c r="A11" t="s">
        <v>290</v>
      </c>
      <c r="B11">
        <v>140</v>
      </c>
      <c r="C11">
        <v>1</v>
      </c>
      <c r="D11">
        <v>1707</v>
      </c>
      <c r="E11">
        <v>1574</v>
      </c>
      <c r="F11">
        <v>27</v>
      </c>
      <c r="G11">
        <v>73635</v>
      </c>
      <c r="H11">
        <v>38744</v>
      </c>
      <c r="I11">
        <v>2456</v>
      </c>
      <c r="J11">
        <v>865</v>
      </c>
      <c r="K11">
        <v>4201</v>
      </c>
      <c r="L11">
        <v>1933</v>
      </c>
      <c r="M11">
        <v>611</v>
      </c>
      <c r="N11">
        <v>138</v>
      </c>
      <c r="O11">
        <v>4812</v>
      </c>
      <c r="P11">
        <v>2071</v>
      </c>
    </row>
    <row r="12" spans="1:16" x14ac:dyDescent="0.25">
      <c r="A12" t="s">
        <v>291</v>
      </c>
      <c r="B12">
        <v>6</v>
      </c>
      <c r="C12">
        <v>0</v>
      </c>
      <c r="D12">
        <v>76</v>
      </c>
      <c r="E12">
        <v>76</v>
      </c>
      <c r="F12">
        <v>0</v>
      </c>
      <c r="G12">
        <v>2799</v>
      </c>
      <c r="H12">
        <v>1398</v>
      </c>
      <c r="I12">
        <v>94</v>
      </c>
      <c r="J12">
        <v>29</v>
      </c>
      <c r="K12">
        <v>214</v>
      </c>
      <c r="L12">
        <v>88</v>
      </c>
      <c r="M12">
        <v>30</v>
      </c>
      <c r="N12">
        <v>5</v>
      </c>
      <c r="O12">
        <v>244</v>
      </c>
      <c r="P12">
        <v>93</v>
      </c>
    </row>
    <row r="13" spans="1:16" x14ac:dyDescent="0.25">
      <c r="A13" t="s">
        <v>292</v>
      </c>
      <c r="B13">
        <v>29</v>
      </c>
      <c r="C13">
        <v>1</v>
      </c>
      <c r="D13">
        <v>181</v>
      </c>
      <c r="E13">
        <v>176</v>
      </c>
      <c r="F13">
        <v>0</v>
      </c>
      <c r="G13">
        <v>7109</v>
      </c>
      <c r="H13">
        <v>3514</v>
      </c>
      <c r="I13">
        <v>166</v>
      </c>
      <c r="J13">
        <v>68</v>
      </c>
      <c r="K13">
        <v>371</v>
      </c>
      <c r="L13">
        <v>116</v>
      </c>
      <c r="M13">
        <v>56</v>
      </c>
      <c r="N13">
        <v>11</v>
      </c>
      <c r="O13">
        <v>427</v>
      </c>
      <c r="P13">
        <v>127</v>
      </c>
    </row>
    <row r="14" spans="1:16" x14ac:dyDescent="0.25">
      <c r="A14" t="s">
        <v>293</v>
      </c>
      <c r="B14">
        <v>52</v>
      </c>
      <c r="C14">
        <v>1</v>
      </c>
      <c r="D14">
        <v>408</v>
      </c>
      <c r="E14">
        <v>449</v>
      </c>
      <c r="F14">
        <v>30</v>
      </c>
      <c r="G14">
        <v>18754</v>
      </c>
      <c r="H14">
        <v>10066</v>
      </c>
      <c r="I14">
        <v>409</v>
      </c>
      <c r="J14">
        <v>151</v>
      </c>
      <c r="K14">
        <v>953</v>
      </c>
      <c r="L14">
        <v>483</v>
      </c>
      <c r="M14">
        <v>118</v>
      </c>
      <c r="N14">
        <v>25</v>
      </c>
      <c r="O14">
        <v>1071</v>
      </c>
      <c r="P14">
        <v>508</v>
      </c>
    </row>
    <row r="15" spans="1:16" x14ac:dyDescent="0.25">
      <c r="A15" t="s">
        <v>294</v>
      </c>
      <c r="B15">
        <v>14</v>
      </c>
      <c r="C15">
        <v>0</v>
      </c>
      <c r="D15">
        <v>94</v>
      </c>
      <c r="E15">
        <v>84</v>
      </c>
      <c r="F15">
        <v>0</v>
      </c>
      <c r="G15">
        <v>4171</v>
      </c>
      <c r="H15">
        <v>2208</v>
      </c>
      <c r="I15">
        <v>100</v>
      </c>
      <c r="J15">
        <v>27</v>
      </c>
      <c r="K15">
        <v>223</v>
      </c>
      <c r="L15">
        <v>77</v>
      </c>
      <c r="M15">
        <v>8</v>
      </c>
      <c r="N15">
        <v>0</v>
      </c>
      <c r="O15">
        <v>231</v>
      </c>
      <c r="P15">
        <v>77</v>
      </c>
    </row>
    <row r="16" spans="1:16" x14ac:dyDescent="0.25">
      <c r="A16" t="s">
        <v>295</v>
      </c>
      <c r="B16">
        <v>37</v>
      </c>
      <c r="C16">
        <v>1</v>
      </c>
      <c r="D16">
        <v>279</v>
      </c>
      <c r="E16">
        <v>272</v>
      </c>
      <c r="F16">
        <v>0</v>
      </c>
      <c r="G16">
        <v>12610</v>
      </c>
      <c r="H16">
        <v>6407</v>
      </c>
      <c r="I16">
        <v>357</v>
      </c>
      <c r="J16">
        <v>125</v>
      </c>
      <c r="K16">
        <v>469</v>
      </c>
      <c r="L16">
        <v>154</v>
      </c>
      <c r="M16">
        <v>67</v>
      </c>
      <c r="N16">
        <v>11</v>
      </c>
      <c r="O16">
        <v>536</v>
      </c>
      <c r="P16">
        <v>165</v>
      </c>
    </row>
    <row r="17" spans="1:16" x14ac:dyDescent="0.25">
      <c r="A17" t="s">
        <v>296</v>
      </c>
      <c r="B17">
        <v>9</v>
      </c>
      <c r="C17">
        <v>0</v>
      </c>
      <c r="D17">
        <v>98</v>
      </c>
      <c r="E17">
        <v>96</v>
      </c>
      <c r="F17">
        <v>0</v>
      </c>
      <c r="G17">
        <v>4291</v>
      </c>
      <c r="H17">
        <v>2193</v>
      </c>
      <c r="I17">
        <v>159</v>
      </c>
      <c r="J17">
        <v>48</v>
      </c>
      <c r="K17">
        <v>291</v>
      </c>
      <c r="L17">
        <v>110</v>
      </c>
      <c r="M17">
        <v>36</v>
      </c>
      <c r="N17">
        <v>10</v>
      </c>
      <c r="O17">
        <v>327</v>
      </c>
      <c r="P17">
        <v>120</v>
      </c>
    </row>
    <row r="18" spans="1:16" x14ac:dyDescent="0.25">
      <c r="A18" t="s">
        <v>297</v>
      </c>
      <c r="B18">
        <v>66</v>
      </c>
      <c r="C18">
        <v>0</v>
      </c>
      <c r="D18">
        <v>1890</v>
      </c>
      <c r="E18">
        <v>1332</v>
      </c>
      <c r="F18">
        <v>0</v>
      </c>
      <c r="G18">
        <v>86407</v>
      </c>
      <c r="H18">
        <v>42740</v>
      </c>
      <c r="I18">
        <v>2374</v>
      </c>
      <c r="J18">
        <v>905</v>
      </c>
      <c r="K18">
        <v>5817</v>
      </c>
      <c r="L18">
        <v>2673</v>
      </c>
      <c r="M18">
        <v>484</v>
      </c>
      <c r="N18">
        <v>144</v>
      </c>
      <c r="O18">
        <v>6301</v>
      </c>
      <c r="P18">
        <v>2817</v>
      </c>
    </row>
    <row r="19" spans="1:16" x14ac:dyDescent="0.25">
      <c r="A19" t="s">
        <v>298</v>
      </c>
      <c r="B19">
        <v>27</v>
      </c>
      <c r="C19">
        <v>0</v>
      </c>
      <c r="D19">
        <v>279</v>
      </c>
      <c r="E19">
        <v>310</v>
      </c>
      <c r="F19">
        <v>0</v>
      </c>
      <c r="G19">
        <v>12165</v>
      </c>
      <c r="H19">
        <v>6079</v>
      </c>
      <c r="I19">
        <v>272</v>
      </c>
      <c r="J19">
        <v>99</v>
      </c>
      <c r="K19">
        <v>680</v>
      </c>
      <c r="L19">
        <v>234</v>
      </c>
      <c r="M19">
        <v>94</v>
      </c>
      <c r="N19">
        <v>20</v>
      </c>
      <c r="O19">
        <v>774</v>
      </c>
      <c r="P19">
        <v>254</v>
      </c>
    </row>
    <row r="20" spans="1:16" x14ac:dyDescent="0.25">
      <c r="A20" t="s">
        <v>299</v>
      </c>
      <c r="B20">
        <v>63</v>
      </c>
      <c r="C20">
        <v>2</v>
      </c>
      <c r="D20">
        <v>334</v>
      </c>
      <c r="E20">
        <v>325</v>
      </c>
      <c r="F20">
        <v>0</v>
      </c>
      <c r="G20">
        <v>13504</v>
      </c>
      <c r="H20">
        <v>7207</v>
      </c>
      <c r="I20">
        <v>130</v>
      </c>
      <c r="J20">
        <v>55</v>
      </c>
      <c r="K20">
        <v>698</v>
      </c>
      <c r="L20">
        <v>263</v>
      </c>
      <c r="M20">
        <v>61</v>
      </c>
      <c r="N20">
        <v>21</v>
      </c>
      <c r="O20">
        <v>759</v>
      </c>
      <c r="P20">
        <v>284</v>
      </c>
    </row>
    <row r="21" spans="1:16" x14ac:dyDescent="0.25">
      <c r="A21" t="s">
        <v>300</v>
      </c>
      <c r="B21">
        <v>123</v>
      </c>
      <c r="C21">
        <v>3</v>
      </c>
      <c r="D21">
        <v>1472</v>
      </c>
      <c r="E21">
        <v>1381</v>
      </c>
      <c r="F21">
        <v>0</v>
      </c>
      <c r="G21">
        <v>69239</v>
      </c>
      <c r="H21">
        <v>35821</v>
      </c>
      <c r="I21">
        <v>800</v>
      </c>
      <c r="J21">
        <v>268</v>
      </c>
      <c r="K21">
        <v>2414</v>
      </c>
      <c r="L21">
        <v>870</v>
      </c>
      <c r="M21">
        <v>578</v>
      </c>
      <c r="N21">
        <v>122</v>
      </c>
      <c r="O21">
        <v>2992</v>
      </c>
      <c r="P21">
        <v>992</v>
      </c>
    </row>
    <row r="22" spans="1:16" x14ac:dyDescent="0.25">
      <c r="A22" t="s">
        <v>301</v>
      </c>
      <c r="B22">
        <v>59</v>
      </c>
      <c r="C22">
        <v>0</v>
      </c>
      <c r="D22">
        <v>606</v>
      </c>
      <c r="E22">
        <v>586</v>
      </c>
      <c r="F22">
        <v>4</v>
      </c>
      <c r="G22">
        <v>26086</v>
      </c>
      <c r="H22">
        <v>13629</v>
      </c>
      <c r="I22">
        <v>522</v>
      </c>
      <c r="J22">
        <v>175</v>
      </c>
      <c r="K22">
        <v>1417</v>
      </c>
      <c r="L22">
        <v>518</v>
      </c>
      <c r="M22">
        <v>221</v>
      </c>
      <c r="N22">
        <v>48</v>
      </c>
      <c r="O22">
        <v>1638</v>
      </c>
      <c r="P22">
        <v>566</v>
      </c>
    </row>
    <row r="23" spans="1:16" x14ac:dyDescent="0.25">
      <c r="A23" t="s">
        <v>302</v>
      </c>
      <c r="B23">
        <v>21</v>
      </c>
      <c r="C23">
        <v>0</v>
      </c>
      <c r="D23">
        <v>192</v>
      </c>
      <c r="E23">
        <v>157</v>
      </c>
      <c r="F23">
        <v>0</v>
      </c>
      <c r="G23">
        <v>9295</v>
      </c>
      <c r="H23">
        <v>4450</v>
      </c>
      <c r="I23">
        <v>104</v>
      </c>
      <c r="J23">
        <v>38</v>
      </c>
      <c r="K23">
        <v>388</v>
      </c>
      <c r="L23">
        <v>161</v>
      </c>
      <c r="M23">
        <v>41</v>
      </c>
      <c r="N23">
        <v>9</v>
      </c>
      <c r="O23">
        <v>429</v>
      </c>
      <c r="P23">
        <v>170</v>
      </c>
    </row>
    <row r="24" spans="1:16" x14ac:dyDescent="0.25">
      <c r="A24" t="s">
        <v>303</v>
      </c>
      <c r="B24">
        <v>119</v>
      </c>
      <c r="C24">
        <v>0</v>
      </c>
      <c r="D24">
        <v>1387</v>
      </c>
      <c r="E24">
        <v>1250</v>
      </c>
      <c r="F24">
        <v>55</v>
      </c>
      <c r="G24">
        <v>69503</v>
      </c>
      <c r="H24">
        <v>38378</v>
      </c>
      <c r="I24">
        <v>2120</v>
      </c>
      <c r="J24">
        <v>722</v>
      </c>
      <c r="K24">
        <v>2310</v>
      </c>
      <c r="L24">
        <v>1078</v>
      </c>
      <c r="M24">
        <v>395</v>
      </c>
      <c r="N24">
        <v>131</v>
      </c>
      <c r="O24">
        <v>2705</v>
      </c>
      <c r="P24">
        <v>1209</v>
      </c>
    </row>
    <row r="25" spans="1:16" x14ac:dyDescent="0.25">
      <c r="A25" t="s">
        <v>304</v>
      </c>
      <c r="B25">
        <v>28</v>
      </c>
      <c r="C25">
        <v>0</v>
      </c>
      <c r="D25">
        <v>168</v>
      </c>
      <c r="E25">
        <v>168</v>
      </c>
      <c r="F25">
        <v>0</v>
      </c>
      <c r="G25">
        <v>6256</v>
      </c>
      <c r="H25">
        <v>3179</v>
      </c>
      <c r="I25">
        <v>34</v>
      </c>
      <c r="J25">
        <v>4</v>
      </c>
      <c r="K25">
        <v>425</v>
      </c>
      <c r="L25">
        <v>162</v>
      </c>
      <c r="M25">
        <v>46</v>
      </c>
      <c r="N25">
        <v>8</v>
      </c>
      <c r="O25">
        <v>471</v>
      </c>
      <c r="P25">
        <v>170</v>
      </c>
    </row>
    <row r="26" spans="1:16" x14ac:dyDescent="0.25">
      <c r="A26" t="s">
        <v>305</v>
      </c>
      <c r="B26">
        <v>74</v>
      </c>
      <c r="C26">
        <v>0</v>
      </c>
      <c r="D26">
        <v>849</v>
      </c>
      <c r="E26">
        <v>801</v>
      </c>
      <c r="F26">
        <v>0</v>
      </c>
      <c r="G26">
        <v>37468</v>
      </c>
      <c r="H26">
        <v>18629</v>
      </c>
      <c r="I26">
        <v>684</v>
      </c>
      <c r="J26">
        <v>159</v>
      </c>
      <c r="K26">
        <v>1791</v>
      </c>
      <c r="L26">
        <v>505</v>
      </c>
      <c r="M26">
        <v>365</v>
      </c>
      <c r="N26">
        <v>84</v>
      </c>
      <c r="O26">
        <v>2156</v>
      </c>
      <c r="P26">
        <v>589</v>
      </c>
    </row>
    <row r="27" spans="1:16" x14ac:dyDescent="0.25">
      <c r="A27" t="s">
        <v>306</v>
      </c>
      <c r="B27">
        <v>119</v>
      </c>
      <c r="C27">
        <v>0</v>
      </c>
      <c r="D27">
        <v>1771</v>
      </c>
      <c r="E27">
        <v>1720</v>
      </c>
      <c r="F27">
        <v>9</v>
      </c>
      <c r="G27">
        <v>77187</v>
      </c>
      <c r="H27">
        <v>38491</v>
      </c>
      <c r="I27">
        <v>2048</v>
      </c>
      <c r="J27">
        <v>737</v>
      </c>
      <c r="K27">
        <v>3031</v>
      </c>
      <c r="L27">
        <v>888</v>
      </c>
      <c r="M27">
        <v>708</v>
      </c>
      <c r="N27">
        <v>165</v>
      </c>
      <c r="O27">
        <v>3739</v>
      </c>
      <c r="P27">
        <v>1053</v>
      </c>
    </row>
    <row r="28" spans="1:16" x14ac:dyDescent="0.25">
      <c r="A28" t="s">
        <v>307</v>
      </c>
      <c r="B28">
        <v>78</v>
      </c>
      <c r="C28">
        <v>0</v>
      </c>
      <c r="D28">
        <v>847</v>
      </c>
      <c r="E28">
        <v>774</v>
      </c>
      <c r="F28">
        <v>0</v>
      </c>
      <c r="G28">
        <v>41651</v>
      </c>
      <c r="H28">
        <v>22430</v>
      </c>
      <c r="I28">
        <v>1215</v>
      </c>
      <c r="J28">
        <v>429</v>
      </c>
      <c r="K28">
        <v>1253</v>
      </c>
      <c r="L28">
        <v>489</v>
      </c>
      <c r="M28">
        <v>199</v>
      </c>
      <c r="N28">
        <v>55</v>
      </c>
      <c r="O28">
        <v>1452</v>
      </c>
      <c r="P28">
        <v>544</v>
      </c>
    </row>
    <row r="29" spans="1:16" x14ac:dyDescent="0.25">
      <c r="A29" t="s">
        <v>266</v>
      </c>
      <c r="B29">
        <v>1748</v>
      </c>
      <c r="C29">
        <v>12</v>
      </c>
      <c r="D29">
        <v>19903</v>
      </c>
      <c r="E29">
        <v>18174</v>
      </c>
      <c r="F29">
        <v>134</v>
      </c>
      <c r="G29">
        <v>909066</v>
      </c>
      <c r="H29">
        <v>473888</v>
      </c>
      <c r="I29">
        <v>21673</v>
      </c>
      <c r="J29">
        <v>7357</v>
      </c>
      <c r="K29">
        <v>41514</v>
      </c>
      <c r="L29">
        <v>17048</v>
      </c>
      <c r="M29">
        <v>6843</v>
      </c>
      <c r="N29">
        <v>1754</v>
      </c>
      <c r="O29">
        <v>48357</v>
      </c>
      <c r="P29">
        <v>18802</v>
      </c>
    </row>
    <row r="30" spans="1:16" x14ac:dyDescent="0.25">
      <c r="A30" t="s">
        <v>308</v>
      </c>
      <c r="B30">
        <v>227</v>
      </c>
      <c r="C30">
        <v>0</v>
      </c>
      <c r="D30">
        <v>4720</v>
      </c>
      <c r="E30">
        <v>4038</v>
      </c>
      <c r="F30">
        <v>22</v>
      </c>
      <c r="G30">
        <v>214118</v>
      </c>
      <c r="H30">
        <v>108448</v>
      </c>
      <c r="I30">
        <v>6011</v>
      </c>
      <c r="J30">
        <v>2204</v>
      </c>
      <c r="K30">
        <v>12694</v>
      </c>
      <c r="L30">
        <v>5743</v>
      </c>
      <c r="M30">
        <v>1500</v>
      </c>
      <c r="N30">
        <v>495</v>
      </c>
      <c r="O30">
        <v>14194</v>
      </c>
      <c r="P30">
        <v>6238</v>
      </c>
    </row>
    <row r="31" spans="1:16" x14ac:dyDescent="0.25">
      <c r="A31" t="s">
        <v>309</v>
      </c>
      <c r="B31">
        <v>1521</v>
      </c>
      <c r="C31">
        <v>12</v>
      </c>
      <c r="D31">
        <v>15183</v>
      </c>
      <c r="E31">
        <v>14136</v>
      </c>
      <c r="F31">
        <v>112</v>
      </c>
      <c r="G31">
        <v>694948</v>
      </c>
      <c r="H31">
        <v>365440</v>
      </c>
      <c r="I31">
        <v>15662</v>
      </c>
      <c r="J31">
        <v>5153</v>
      </c>
      <c r="K31">
        <v>28820</v>
      </c>
      <c r="L31">
        <v>11305</v>
      </c>
      <c r="M31">
        <v>5343</v>
      </c>
      <c r="N31">
        <v>1259</v>
      </c>
      <c r="O31">
        <v>34163</v>
      </c>
      <c r="P31">
        <v>12564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V31"/>
  <sheetViews>
    <sheetView workbookViewId="0">
      <selection sqref="A1:V1"/>
    </sheetView>
  </sheetViews>
  <sheetFormatPr defaultRowHeight="15" x14ac:dyDescent="0.25"/>
  <cols>
    <col min="1" max="1" width="17.85546875" customWidth="1"/>
    <col min="2" max="2" width="5.85546875" customWidth="1"/>
    <col min="3" max="3" width="6.42578125" customWidth="1"/>
    <col min="5" max="5" width="6.7109375" customWidth="1"/>
    <col min="6" max="6" width="7.42578125" customWidth="1"/>
    <col min="8" max="8" width="7.85546875" customWidth="1"/>
    <col min="9" max="9" width="7.28515625" customWidth="1"/>
    <col min="10" max="10" width="6.7109375" customWidth="1"/>
    <col min="11" max="11" width="6.85546875" customWidth="1"/>
    <col min="13" max="13" width="6.7109375" customWidth="1"/>
    <col min="14" max="14" width="6.85546875" customWidth="1"/>
    <col min="16" max="16" width="6.7109375" customWidth="1"/>
    <col min="17" max="17" width="7.28515625" customWidth="1"/>
    <col min="18" max="18" width="8" customWidth="1"/>
    <col min="19" max="19" width="7.85546875" customWidth="1"/>
    <col min="20" max="20" width="7.42578125" customWidth="1"/>
    <col min="21" max="21" width="6.85546875" customWidth="1"/>
    <col min="22" max="22" width="7.42578125" customWidth="1"/>
  </cols>
  <sheetData>
    <row r="1" spans="1:22" x14ac:dyDescent="0.25">
      <c r="A1" s="29" t="s">
        <v>325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25">
      <c r="A2" s="29" t="s">
        <v>252</v>
      </c>
      <c r="B2" s="29" t="s">
        <v>326</v>
      </c>
      <c r="C2" s="29"/>
      <c r="D2" s="29"/>
      <c r="E2" s="29"/>
      <c r="F2" s="29" t="s">
        <v>327</v>
      </c>
      <c r="G2" s="29"/>
      <c r="H2" s="29"/>
      <c r="I2" s="29"/>
      <c r="J2" s="29"/>
      <c r="K2" s="29"/>
      <c r="L2" s="29" t="s">
        <v>328</v>
      </c>
      <c r="M2" s="29"/>
      <c r="N2" s="29"/>
      <c r="O2" s="29" t="s">
        <v>329</v>
      </c>
      <c r="P2" s="29"/>
      <c r="Q2" s="29"/>
      <c r="R2" s="29" t="s">
        <v>256</v>
      </c>
      <c r="S2" s="29"/>
      <c r="T2" s="29"/>
      <c r="U2" s="29"/>
      <c r="V2" s="29"/>
    </row>
    <row r="3" spans="1:22" x14ac:dyDescent="0.25">
      <c r="A3" s="29"/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326</v>
      </c>
      <c r="S3" t="s">
        <v>346</v>
      </c>
      <c r="T3" t="s">
        <v>347</v>
      </c>
      <c r="U3" t="s">
        <v>348</v>
      </c>
      <c r="V3" t="s">
        <v>263</v>
      </c>
    </row>
    <row r="4" spans="1:22" x14ac:dyDescent="0.25">
      <c r="A4" t="s">
        <v>283</v>
      </c>
      <c r="B4">
        <v>29</v>
      </c>
      <c r="C4">
        <v>88</v>
      </c>
      <c r="D4">
        <v>183</v>
      </c>
      <c r="E4">
        <v>222</v>
      </c>
      <c r="F4">
        <v>562</v>
      </c>
      <c r="G4">
        <v>576</v>
      </c>
      <c r="H4">
        <v>566</v>
      </c>
      <c r="I4">
        <v>529</v>
      </c>
      <c r="J4">
        <v>488</v>
      </c>
      <c r="K4">
        <v>456</v>
      </c>
      <c r="L4">
        <v>224</v>
      </c>
      <c r="M4">
        <v>188</v>
      </c>
      <c r="N4">
        <v>153</v>
      </c>
      <c r="O4">
        <v>101</v>
      </c>
      <c r="P4">
        <v>78</v>
      </c>
      <c r="Q4">
        <v>70</v>
      </c>
      <c r="R4">
        <v>522</v>
      </c>
      <c r="S4">
        <v>3177</v>
      </c>
      <c r="T4">
        <v>565</v>
      </c>
      <c r="U4">
        <v>249</v>
      </c>
      <c r="V4">
        <v>4513</v>
      </c>
    </row>
    <row r="5" spans="1:22" x14ac:dyDescent="0.25">
      <c r="A5" t="s">
        <v>284</v>
      </c>
      <c r="B5">
        <v>28</v>
      </c>
      <c r="C5">
        <v>105</v>
      </c>
      <c r="D5">
        <v>239</v>
      </c>
      <c r="E5">
        <v>211</v>
      </c>
      <c r="F5">
        <v>1031</v>
      </c>
      <c r="G5">
        <v>966</v>
      </c>
      <c r="H5">
        <v>949</v>
      </c>
      <c r="I5">
        <v>907</v>
      </c>
      <c r="J5">
        <v>822</v>
      </c>
      <c r="K5">
        <v>767</v>
      </c>
      <c r="L5">
        <v>449</v>
      </c>
      <c r="M5">
        <v>288</v>
      </c>
      <c r="N5">
        <v>237</v>
      </c>
      <c r="O5">
        <v>152</v>
      </c>
      <c r="P5">
        <v>115</v>
      </c>
      <c r="Q5">
        <v>113</v>
      </c>
      <c r="R5">
        <v>583</v>
      </c>
      <c r="S5">
        <v>5442</v>
      </c>
      <c r="T5">
        <v>974</v>
      </c>
      <c r="U5">
        <v>380</v>
      </c>
      <c r="V5">
        <v>7379</v>
      </c>
    </row>
    <row r="6" spans="1:22" x14ac:dyDescent="0.25">
      <c r="A6" t="s">
        <v>285</v>
      </c>
      <c r="B6">
        <v>12</v>
      </c>
      <c r="C6">
        <v>81</v>
      </c>
      <c r="D6">
        <v>347</v>
      </c>
      <c r="E6">
        <v>41</v>
      </c>
      <c r="F6">
        <v>726</v>
      </c>
      <c r="G6">
        <v>710</v>
      </c>
      <c r="H6">
        <v>669</v>
      </c>
      <c r="I6">
        <v>629</v>
      </c>
      <c r="J6">
        <v>588</v>
      </c>
      <c r="K6">
        <v>546</v>
      </c>
      <c r="L6">
        <v>363</v>
      </c>
      <c r="M6">
        <v>319</v>
      </c>
      <c r="N6">
        <v>263</v>
      </c>
      <c r="O6">
        <v>200</v>
      </c>
      <c r="P6">
        <v>155</v>
      </c>
      <c r="Q6">
        <v>143</v>
      </c>
      <c r="R6">
        <v>481</v>
      </c>
      <c r="S6">
        <v>3868</v>
      </c>
      <c r="T6">
        <v>945</v>
      </c>
      <c r="U6">
        <v>498</v>
      </c>
      <c r="V6">
        <v>5792</v>
      </c>
    </row>
    <row r="7" spans="1:22" x14ac:dyDescent="0.25">
      <c r="A7" t="s">
        <v>286</v>
      </c>
      <c r="B7">
        <v>18</v>
      </c>
      <c r="C7">
        <v>48</v>
      </c>
      <c r="D7">
        <v>113</v>
      </c>
      <c r="E7">
        <v>33</v>
      </c>
      <c r="F7">
        <v>393</v>
      </c>
      <c r="G7">
        <v>390</v>
      </c>
      <c r="H7">
        <v>389</v>
      </c>
      <c r="I7">
        <v>370</v>
      </c>
      <c r="J7">
        <v>344</v>
      </c>
      <c r="K7">
        <v>331</v>
      </c>
      <c r="L7">
        <v>194</v>
      </c>
      <c r="M7">
        <v>169</v>
      </c>
      <c r="N7">
        <v>150</v>
      </c>
      <c r="O7">
        <v>97</v>
      </c>
      <c r="P7">
        <v>82</v>
      </c>
      <c r="Q7">
        <v>74</v>
      </c>
      <c r="R7">
        <v>212</v>
      </c>
      <c r="S7">
        <v>2217</v>
      </c>
      <c r="T7">
        <v>513</v>
      </c>
      <c r="U7">
        <v>253</v>
      </c>
      <c r="V7">
        <v>3195</v>
      </c>
    </row>
    <row r="8" spans="1:22" x14ac:dyDescent="0.25">
      <c r="A8" t="s">
        <v>287</v>
      </c>
      <c r="B8">
        <v>12</v>
      </c>
      <c r="C8">
        <v>33</v>
      </c>
      <c r="D8">
        <v>169</v>
      </c>
      <c r="E8">
        <v>60</v>
      </c>
      <c r="F8">
        <v>489</v>
      </c>
      <c r="G8">
        <v>497</v>
      </c>
      <c r="H8">
        <v>517</v>
      </c>
      <c r="I8">
        <v>489</v>
      </c>
      <c r="J8">
        <v>470</v>
      </c>
      <c r="K8">
        <v>428</v>
      </c>
      <c r="L8">
        <v>264</v>
      </c>
      <c r="M8">
        <v>219</v>
      </c>
      <c r="N8">
        <v>182</v>
      </c>
      <c r="O8">
        <v>113</v>
      </c>
      <c r="P8">
        <v>91</v>
      </c>
      <c r="Q8">
        <v>84</v>
      </c>
      <c r="R8">
        <v>274</v>
      </c>
      <c r="S8">
        <v>2890</v>
      </c>
      <c r="T8">
        <v>665</v>
      </c>
      <c r="U8">
        <v>288</v>
      </c>
      <c r="V8">
        <v>4117</v>
      </c>
    </row>
    <row r="9" spans="1:22" x14ac:dyDescent="0.25">
      <c r="A9" t="s">
        <v>288</v>
      </c>
      <c r="B9">
        <v>16</v>
      </c>
      <c r="C9">
        <v>64</v>
      </c>
      <c r="D9">
        <v>138</v>
      </c>
      <c r="E9">
        <v>71</v>
      </c>
      <c r="F9">
        <v>594</v>
      </c>
      <c r="G9">
        <v>580</v>
      </c>
      <c r="H9">
        <v>557</v>
      </c>
      <c r="I9">
        <v>539</v>
      </c>
      <c r="J9">
        <v>515</v>
      </c>
      <c r="K9">
        <v>507</v>
      </c>
      <c r="L9">
        <v>255</v>
      </c>
      <c r="M9">
        <v>203</v>
      </c>
      <c r="N9">
        <v>173</v>
      </c>
      <c r="O9">
        <v>122</v>
      </c>
      <c r="P9">
        <v>98</v>
      </c>
      <c r="Q9">
        <v>87</v>
      </c>
      <c r="R9">
        <v>289</v>
      </c>
      <c r="S9">
        <v>3292</v>
      </c>
      <c r="T9">
        <v>631</v>
      </c>
      <c r="U9">
        <v>307</v>
      </c>
      <c r="V9">
        <v>4519</v>
      </c>
    </row>
    <row r="10" spans="1:22" x14ac:dyDescent="0.25">
      <c r="A10" t="s">
        <v>289</v>
      </c>
      <c r="B10">
        <v>9</v>
      </c>
      <c r="C10">
        <v>19</v>
      </c>
      <c r="D10">
        <v>205</v>
      </c>
      <c r="E10">
        <v>18</v>
      </c>
      <c r="F10">
        <v>422</v>
      </c>
      <c r="G10">
        <v>418</v>
      </c>
      <c r="H10">
        <v>421</v>
      </c>
      <c r="I10">
        <v>410</v>
      </c>
      <c r="J10">
        <v>405</v>
      </c>
      <c r="K10">
        <v>377</v>
      </c>
      <c r="L10">
        <v>246</v>
      </c>
      <c r="M10">
        <v>220</v>
      </c>
      <c r="N10">
        <v>198</v>
      </c>
      <c r="O10">
        <v>131</v>
      </c>
      <c r="P10">
        <v>107</v>
      </c>
      <c r="Q10">
        <v>95</v>
      </c>
      <c r="R10">
        <v>251</v>
      </c>
      <c r="S10">
        <v>2453</v>
      </c>
      <c r="T10">
        <v>664</v>
      </c>
      <c r="U10">
        <v>333</v>
      </c>
      <c r="V10">
        <v>3701</v>
      </c>
    </row>
    <row r="11" spans="1:22" x14ac:dyDescent="0.25">
      <c r="A11" t="s">
        <v>290</v>
      </c>
      <c r="B11">
        <v>36</v>
      </c>
      <c r="C11">
        <v>107</v>
      </c>
      <c r="D11">
        <v>318</v>
      </c>
      <c r="E11">
        <v>14</v>
      </c>
      <c r="F11">
        <v>812</v>
      </c>
      <c r="G11">
        <v>799</v>
      </c>
      <c r="H11">
        <v>798</v>
      </c>
      <c r="I11">
        <v>731</v>
      </c>
      <c r="J11">
        <v>655</v>
      </c>
      <c r="K11">
        <v>592</v>
      </c>
      <c r="L11">
        <v>430</v>
      </c>
      <c r="M11">
        <v>366</v>
      </c>
      <c r="N11">
        <v>318</v>
      </c>
      <c r="O11">
        <v>232</v>
      </c>
      <c r="P11">
        <v>186</v>
      </c>
      <c r="Q11">
        <v>175</v>
      </c>
      <c r="R11">
        <v>475</v>
      </c>
      <c r="S11">
        <v>4387</v>
      </c>
      <c r="T11">
        <v>1114</v>
      </c>
      <c r="U11">
        <v>593</v>
      </c>
      <c r="V11">
        <v>6569</v>
      </c>
    </row>
    <row r="12" spans="1:22" x14ac:dyDescent="0.25">
      <c r="A12" t="s">
        <v>291</v>
      </c>
      <c r="B12">
        <v>0</v>
      </c>
      <c r="C12">
        <v>6</v>
      </c>
      <c r="D12">
        <v>16</v>
      </c>
      <c r="E12">
        <v>8</v>
      </c>
      <c r="F12">
        <v>31</v>
      </c>
      <c r="G12">
        <v>30</v>
      </c>
      <c r="H12">
        <v>31</v>
      </c>
      <c r="I12">
        <v>29</v>
      </c>
      <c r="J12">
        <v>28</v>
      </c>
      <c r="K12">
        <v>28</v>
      </c>
      <c r="L12">
        <v>19</v>
      </c>
      <c r="M12">
        <v>16</v>
      </c>
      <c r="N12">
        <v>14</v>
      </c>
      <c r="O12">
        <v>10</v>
      </c>
      <c r="P12">
        <v>9</v>
      </c>
      <c r="Q12">
        <v>8</v>
      </c>
      <c r="R12">
        <v>30</v>
      </c>
      <c r="S12">
        <v>177</v>
      </c>
      <c r="T12">
        <v>49</v>
      </c>
      <c r="U12">
        <v>27</v>
      </c>
      <c r="V12">
        <v>283</v>
      </c>
    </row>
    <row r="13" spans="1:22" x14ac:dyDescent="0.25">
      <c r="A13" t="s">
        <v>292</v>
      </c>
      <c r="B13">
        <v>3</v>
      </c>
      <c r="C13">
        <v>10</v>
      </c>
      <c r="D13">
        <v>14</v>
      </c>
      <c r="E13">
        <v>51</v>
      </c>
      <c r="F13">
        <v>146</v>
      </c>
      <c r="G13">
        <v>145</v>
      </c>
      <c r="H13">
        <v>140</v>
      </c>
      <c r="I13">
        <v>129</v>
      </c>
      <c r="J13">
        <v>118</v>
      </c>
      <c r="K13">
        <v>112</v>
      </c>
      <c r="L13">
        <v>47</v>
      </c>
      <c r="M13">
        <v>42</v>
      </c>
      <c r="N13">
        <v>40</v>
      </c>
      <c r="O13">
        <v>21</v>
      </c>
      <c r="P13">
        <v>16</v>
      </c>
      <c r="Q13">
        <v>15</v>
      </c>
      <c r="R13">
        <v>78</v>
      </c>
      <c r="S13">
        <v>790</v>
      </c>
      <c r="T13">
        <v>129</v>
      </c>
      <c r="U13">
        <v>52</v>
      </c>
      <c r="V13">
        <v>1049</v>
      </c>
    </row>
    <row r="14" spans="1:22" x14ac:dyDescent="0.25">
      <c r="A14" t="s">
        <v>293</v>
      </c>
      <c r="B14">
        <v>6</v>
      </c>
      <c r="C14">
        <v>22</v>
      </c>
      <c r="D14">
        <v>83</v>
      </c>
      <c r="E14">
        <v>18</v>
      </c>
      <c r="F14">
        <v>412</v>
      </c>
      <c r="G14">
        <v>395</v>
      </c>
      <c r="H14">
        <v>373</v>
      </c>
      <c r="I14">
        <v>332</v>
      </c>
      <c r="J14">
        <v>301</v>
      </c>
      <c r="K14">
        <v>270</v>
      </c>
      <c r="L14">
        <v>111</v>
      </c>
      <c r="M14">
        <v>89</v>
      </c>
      <c r="N14">
        <v>79</v>
      </c>
      <c r="O14">
        <v>51</v>
      </c>
      <c r="P14">
        <v>40</v>
      </c>
      <c r="Q14">
        <v>38</v>
      </c>
      <c r="R14">
        <v>129</v>
      </c>
      <c r="S14">
        <v>2083</v>
      </c>
      <c r="T14">
        <v>279</v>
      </c>
      <c r="U14">
        <v>129</v>
      </c>
      <c r="V14">
        <v>2620</v>
      </c>
    </row>
    <row r="15" spans="1:22" x14ac:dyDescent="0.25">
      <c r="A15" t="s">
        <v>294</v>
      </c>
      <c r="B15">
        <v>2</v>
      </c>
      <c r="C15">
        <v>2</v>
      </c>
      <c r="D15">
        <v>4</v>
      </c>
      <c r="E15">
        <v>19</v>
      </c>
      <c r="F15">
        <v>121</v>
      </c>
      <c r="G15">
        <v>120</v>
      </c>
      <c r="H15">
        <v>112</v>
      </c>
      <c r="I15">
        <v>103</v>
      </c>
      <c r="J15">
        <v>96</v>
      </c>
      <c r="K15">
        <v>90</v>
      </c>
      <c r="L15">
        <v>26</v>
      </c>
      <c r="M15">
        <v>21</v>
      </c>
      <c r="N15">
        <v>19</v>
      </c>
      <c r="O15">
        <v>10</v>
      </c>
      <c r="P15">
        <v>9</v>
      </c>
      <c r="Q15">
        <v>9</v>
      </c>
      <c r="R15">
        <v>27</v>
      </c>
      <c r="S15">
        <v>642</v>
      </c>
      <c r="T15">
        <v>66</v>
      </c>
      <c r="U15">
        <v>28</v>
      </c>
      <c r="V15">
        <v>763</v>
      </c>
    </row>
    <row r="16" spans="1:22" x14ac:dyDescent="0.25">
      <c r="A16" t="s">
        <v>295</v>
      </c>
      <c r="B16">
        <v>4</v>
      </c>
      <c r="C16">
        <v>12</v>
      </c>
      <c r="D16">
        <v>41</v>
      </c>
      <c r="E16">
        <v>60</v>
      </c>
      <c r="F16">
        <v>266</v>
      </c>
      <c r="G16">
        <v>260</v>
      </c>
      <c r="H16">
        <v>256</v>
      </c>
      <c r="I16">
        <v>247</v>
      </c>
      <c r="J16">
        <v>230</v>
      </c>
      <c r="K16">
        <v>219</v>
      </c>
      <c r="L16">
        <v>80</v>
      </c>
      <c r="M16">
        <v>65</v>
      </c>
      <c r="N16">
        <v>52</v>
      </c>
      <c r="O16">
        <v>36</v>
      </c>
      <c r="P16">
        <v>25</v>
      </c>
      <c r="Q16">
        <v>21</v>
      </c>
      <c r="R16">
        <v>117</v>
      </c>
      <c r="S16">
        <v>1478</v>
      </c>
      <c r="T16">
        <v>197</v>
      </c>
      <c r="U16">
        <v>82</v>
      </c>
      <c r="V16">
        <v>1874</v>
      </c>
    </row>
    <row r="17" spans="1:22" x14ac:dyDescent="0.25">
      <c r="A17" t="s">
        <v>296</v>
      </c>
      <c r="B17">
        <v>2</v>
      </c>
      <c r="C17">
        <v>5</v>
      </c>
      <c r="D17">
        <v>11</v>
      </c>
      <c r="E17">
        <v>18</v>
      </c>
      <c r="F17">
        <v>63</v>
      </c>
      <c r="G17">
        <v>64</v>
      </c>
      <c r="H17">
        <v>64</v>
      </c>
      <c r="I17">
        <v>58</v>
      </c>
      <c r="J17">
        <v>53</v>
      </c>
      <c r="K17">
        <v>53</v>
      </c>
      <c r="L17">
        <v>27</v>
      </c>
      <c r="M17">
        <v>22</v>
      </c>
      <c r="N17">
        <v>20</v>
      </c>
      <c r="O17">
        <v>11</v>
      </c>
      <c r="P17">
        <v>9</v>
      </c>
      <c r="Q17">
        <v>9</v>
      </c>
      <c r="R17">
        <v>36</v>
      </c>
      <c r="S17">
        <v>355</v>
      </c>
      <c r="T17">
        <v>69</v>
      </c>
      <c r="U17">
        <v>29</v>
      </c>
      <c r="V17">
        <v>489</v>
      </c>
    </row>
    <row r="18" spans="1:22" x14ac:dyDescent="0.25">
      <c r="A18" t="s">
        <v>297</v>
      </c>
      <c r="B18">
        <v>22</v>
      </c>
      <c r="C18">
        <v>31</v>
      </c>
      <c r="D18">
        <v>234</v>
      </c>
      <c r="E18">
        <v>1</v>
      </c>
      <c r="F18">
        <v>566</v>
      </c>
      <c r="G18">
        <v>569</v>
      </c>
      <c r="H18">
        <v>598</v>
      </c>
      <c r="I18">
        <v>560</v>
      </c>
      <c r="J18">
        <v>544</v>
      </c>
      <c r="K18">
        <v>494</v>
      </c>
      <c r="L18">
        <v>387</v>
      </c>
      <c r="M18">
        <v>365</v>
      </c>
      <c r="N18">
        <v>335</v>
      </c>
      <c r="O18">
        <v>276</v>
      </c>
      <c r="P18">
        <v>259</v>
      </c>
      <c r="Q18">
        <v>268</v>
      </c>
      <c r="R18">
        <v>288</v>
      </c>
      <c r="S18">
        <v>3331</v>
      </c>
      <c r="T18">
        <v>1087</v>
      </c>
      <c r="U18">
        <v>803</v>
      </c>
      <c r="V18">
        <v>5509</v>
      </c>
    </row>
    <row r="19" spans="1:22" x14ac:dyDescent="0.25">
      <c r="A19" t="s">
        <v>298</v>
      </c>
      <c r="B19">
        <v>3</v>
      </c>
      <c r="C19">
        <v>6</v>
      </c>
      <c r="D19">
        <v>41</v>
      </c>
      <c r="E19">
        <v>31</v>
      </c>
      <c r="F19">
        <v>138</v>
      </c>
      <c r="G19">
        <v>139</v>
      </c>
      <c r="H19">
        <v>139</v>
      </c>
      <c r="I19">
        <v>139</v>
      </c>
      <c r="J19">
        <v>129</v>
      </c>
      <c r="K19">
        <v>127</v>
      </c>
      <c r="L19">
        <v>70</v>
      </c>
      <c r="M19">
        <v>58</v>
      </c>
      <c r="N19">
        <v>54</v>
      </c>
      <c r="O19">
        <v>34</v>
      </c>
      <c r="P19">
        <v>30</v>
      </c>
      <c r="Q19">
        <v>33</v>
      </c>
      <c r="R19">
        <v>81</v>
      </c>
      <c r="S19">
        <v>811</v>
      </c>
      <c r="T19">
        <v>182</v>
      </c>
      <c r="U19">
        <v>97</v>
      </c>
      <c r="V19">
        <v>1171</v>
      </c>
    </row>
    <row r="20" spans="1:22" x14ac:dyDescent="0.25">
      <c r="A20" t="s">
        <v>299</v>
      </c>
      <c r="B20">
        <v>6</v>
      </c>
      <c r="C20">
        <v>12</v>
      </c>
      <c r="D20">
        <v>28</v>
      </c>
      <c r="E20">
        <v>86</v>
      </c>
      <c r="F20">
        <v>271</v>
      </c>
      <c r="G20">
        <v>265</v>
      </c>
      <c r="H20">
        <v>259</v>
      </c>
      <c r="I20">
        <v>247</v>
      </c>
      <c r="J20">
        <v>237</v>
      </c>
      <c r="K20">
        <v>221</v>
      </c>
      <c r="L20">
        <v>86</v>
      </c>
      <c r="M20">
        <v>76</v>
      </c>
      <c r="N20">
        <v>66</v>
      </c>
      <c r="O20">
        <v>38</v>
      </c>
      <c r="P20">
        <v>35</v>
      </c>
      <c r="Q20">
        <v>33</v>
      </c>
      <c r="R20">
        <v>132</v>
      </c>
      <c r="S20">
        <v>1500</v>
      </c>
      <c r="T20">
        <v>228</v>
      </c>
      <c r="U20">
        <v>106</v>
      </c>
      <c r="V20">
        <v>1966</v>
      </c>
    </row>
    <row r="21" spans="1:22" x14ac:dyDescent="0.25">
      <c r="A21" t="s">
        <v>300</v>
      </c>
      <c r="B21">
        <v>11</v>
      </c>
      <c r="C21">
        <v>86</v>
      </c>
      <c r="D21">
        <v>401</v>
      </c>
      <c r="E21">
        <v>11</v>
      </c>
      <c r="F21">
        <v>806</v>
      </c>
      <c r="G21">
        <v>788</v>
      </c>
      <c r="H21">
        <v>786</v>
      </c>
      <c r="I21">
        <v>767</v>
      </c>
      <c r="J21">
        <v>710</v>
      </c>
      <c r="K21">
        <v>674</v>
      </c>
      <c r="L21">
        <v>386</v>
      </c>
      <c r="M21">
        <v>339</v>
      </c>
      <c r="N21">
        <v>284</v>
      </c>
      <c r="O21">
        <v>187</v>
      </c>
      <c r="P21">
        <v>142</v>
      </c>
      <c r="Q21">
        <v>134</v>
      </c>
      <c r="R21">
        <v>509</v>
      </c>
      <c r="S21">
        <v>4531</v>
      </c>
      <c r="T21">
        <v>1009</v>
      </c>
      <c r="U21">
        <v>463</v>
      </c>
      <c r="V21">
        <v>6512</v>
      </c>
    </row>
    <row r="22" spans="1:22" x14ac:dyDescent="0.25">
      <c r="A22" t="s">
        <v>301</v>
      </c>
      <c r="B22">
        <v>17</v>
      </c>
      <c r="C22">
        <v>48</v>
      </c>
      <c r="D22">
        <v>117</v>
      </c>
      <c r="E22">
        <v>77</v>
      </c>
      <c r="F22">
        <v>424</v>
      </c>
      <c r="G22">
        <v>410</v>
      </c>
      <c r="H22">
        <v>388</v>
      </c>
      <c r="I22">
        <v>370</v>
      </c>
      <c r="J22">
        <v>346</v>
      </c>
      <c r="K22">
        <v>307</v>
      </c>
      <c r="L22">
        <v>165</v>
      </c>
      <c r="M22">
        <v>135</v>
      </c>
      <c r="N22">
        <v>117</v>
      </c>
      <c r="O22">
        <v>75</v>
      </c>
      <c r="P22">
        <v>60</v>
      </c>
      <c r="Q22">
        <v>54</v>
      </c>
      <c r="R22">
        <v>259</v>
      </c>
      <c r="S22">
        <v>2245</v>
      </c>
      <c r="T22">
        <v>417</v>
      </c>
      <c r="U22">
        <v>189</v>
      </c>
      <c r="V22">
        <v>3110</v>
      </c>
    </row>
    <row r="23" spans="1:22" x14ac:dyDescent="0.25">
      <c r="A23" t="s">
        <v>302</v>
      </c>
      <c r="B23">
        <v>6</v>
      </c>
      <c r="C23">
        <v>15</v>
      </c>
      <c r="D23">
        <v>36</v>
      </c>
      <c r="E23">
        <v>26</v>
      </c>
      <c r="F23">
        <v>264</v>
      </c>
      <c r="G23">
        <v>261</v>
      </c>
      <c r="H23">
        <v>238</v>
      </c>
      <c r="I23">
        <v>221</v>
      </c>
      <c r="J23">
        <v>190</v>
      </c>
      <c r="K23">
        <v>155</v>
      </c>
      <c r="L23">
        <v>57</v>
      </c>
      <c r="M23">
        <v>43</v>
      </c>
      <c r="N23">
        <v>35</v>
      </c>
      <c r="O23">
        <v>23</v>
      </c>
      <c r="P23">
        <v>19</v>
      </c>
      <c r="Q23">
        <v>15</v>
      </c>
      <c r="R23">
        <v>83</v>
      </c>
      <c r="S23">
        <v>1329</v>
      </c>
      <c r="T23">
        <v>135</v>
      </c>
      <c r="U23">
        <v>57</v>
      </c>
      <c r="V23">
        <v>1604</v>
      </c>
    </row>
    <row r="24" spans="1:22" x14ac:dyDescent="0.25">
      <c r="A24" t="s">
        <v>303</v>
      </c>
      <c r="B24">
        <v>49</v>
      </c>
      <c r="C24">
        <v>195</v>
      </c>
      <c r="D24">
        <v>418</v>
      </c>
      <c r="E24">
        <v>171</v>
      </c>
      <c r="F24">
        <v>826</v>
      </c>
      <c r="G24">
        <v>802</v>
      </c>
      <c r="H24">
        <v>770</v>
      </c>
      <c r="I24">
        <v>722</v>
      </c>
      <c r="J24">
        <v>686</v>
      </c>
      <c r="K24">
        <v>638</v>
      </c>
      <c r="L24">
        <v>367</v>
      </c>
      <c r="M24">
        <v>307</v>
      </c>
      <c r="N24">
        <v>257</v>
      </c>
      <c r="O24">
        <v>183</v>
      </c>
      <c r="P24">
        <v>146</v>
      </c>
      <c r="Q24">
        <v>127</v>
      </c>
      <c r="R24">
        <v>833</v>
      </c>
      <c r="S24">
        <v>4444</v>
      </c>
      <c r="T24">
        <v>931</v>
      </c>
      <c r="U24">
        <v>456</v>
      </c>
      <c r="V24">
        <v>6664</v>
      </c>
    </row>
    <row r="25" spans="1:22" x14ac:dyDescent="0.25">
      <c r="A25" t="s">
        <v>304</v>
      </c>
      <c r="B25">
        <v>2</v>
      </c>
      <c r="C25">
        <v>5</v>
      </c>
      <c r="D25">
        <v>10</v>
      </c>
      <c r="E25">
        <v>21</v>
      </c>
      <c r="F25">
        <v>218</v>
      </c>
      <c r="G25">
        <v>200</v>
      </c>
      <c r="H25">
        <v>190</v>
      </c>
      <c r="I25">
        <v>176</v>
      </c>
      <c r="J25">
        <v>167</v>
      </c>
      <c r="K25">
        <v>148</v>
      </c>
      <c r="L25">
        <v>44</v>
      </c>
      <c r="M25">
        <v>39</v>
      </c>
      <c r="N25">
        <v>35</v>
      </c>
      <c r="O25">
        <v>18</v>
      </c>
      <c r="P25">
        <v>17</v>
      </c>
      <c r="Q25">
        <v>15</v>
      </c>
      <c r="R25">
        <v>38</v>
      </c>
      <c r="S25">
        <v>1099</v>
      </c>
      <c r="T25">
        <v>118</v>
      </c>
      <c r="U25">
        <v>50</v>
      </c>
      <c r="V25">
        <v>1305</v>
      </c>
    </row>
    <row r="26" spans="1:22" x14ac:dyDescent="0.25">
      <c r="A26" t="s">
        <v>305</v>
      </c>
      <c r="B26">
        <v>8</v>
      </c>
      <c r="C26">
        <v>37</v>
      </c>
      <c r="D26">
        <v>95</v>
      </c>
      <c r="E26">
        <v>105</v>
      </c>
      <c r="F26">
        <v>385</v>
      </c>
      <c r="G26">
        <v>387</v>
      </c>
      <c r="H26">
        <v>388</v>
      </c>
      <c r="I26">
        <v>366</v>
      </c>
      <c r="J26">
        <v>352</v>
      </c>
      <c r="K26">
        <v>332</v>
      </c>
      <c r="L26">
        <v>213</v>
      </c>
      <c r="M26">
        <v>191</v>
      </c>
      <c r="N26">
        <v>156</v>
      </c>
      <c r="O26">
        <v>115</v>
      </c>
      <c r="P26">
        <v>91</v>
      </c>
      <c r="Q26">
        <v>83</v>
      </c>
      <c r="R26">
        <v>245</v>
      </c>
      <c r="S26">
        <v>2210</v>
      </c>
      <c r="T26">
        <v>560</v>
      </c>
      <c r="U26">
        <v>289</v>
      </c>
      <c r="V26">
        <v>3304</v>
      </c>
    </row>
    <row r="27" spans="1:22" x14ac:dyDescent="0.25">
      <c r="A27" t="s">
        <v>306</v>
      </c>
      <c r="B27">
        <v>12</v>
      </c>
      <c r="C27">
        <v>61</v>
      </c>
      <c r="D27">
        <v>298</v>
      </c>
      <c r="E27">
        <v>41</v>
      </c>
      <c r="F27">
        <v>608</v>
      </c>
      <c r="G27">
        <v>626</v>
      </c>
      <c r="H27">
        <v>623</v>
      </c>
      <c r="I27">
        <v>615</v>
      </c>
      <c r="J27">
        <v>583</v>
      </c>
      <c r="K27">
        <v>558</v>
      </c>
      <c r="L27">
        <v>396</v>
      </c>
      <c r="M27">
        <v>374</v>
      </c>
      <c r="N27">
        <v>334</v>
      </c>
      <c r="O27">
        <v>245</v>
      </c>
      <c r="P27">
        <v>213</v>
      </c>
      <c r="Q27">
        <v>209</v>
      </c>
      <c r="R27">
        <v>412</v>
      </c>
      <c r="S27">
        <v>3613</v>
      </c>
      <c r="T27">
        <v>1104</v>
      </c>
      <c r="U27">
        <v>667</v>
      </c>
      <c r="V27">
        <v>5796</v>
      </c>
    </row>
    <row r="28" spans="1:22" x14ac:dyDescent="0.25">
      <c r="A28" t="s">
        <v>307</v>
      </c>
      <c r="B28">
        <v>14</v>
      </c>
      <c r="C28">
        <v>134</v>
      </c>
      <c r="D28">
        <v>242</v>
      </c>
      <c r="E28">
        <v>51</v>
      </c>
      <c r="F28">
        <v>607</v>
      </c>
      <c r="G28">
        <v>595</v>
      </c>
      <c r="H28">
        <v>576</v>
      </c>
      <c r="I28">
        <v>538</v>
      </c>
      <c r="J28">
        <v>492</v>
      </c>
      <c r="K28">
        <v>463</v>
      </c>
      <c r="L28">
        <v>243</v>
      </c>
      <c r="M28">
        <v>190</v>
      </c>
      <c r="N28">
        <v>154</v>
      </c>
      <c r="O28">
        <v>108</v>
      </c>
      <c r="P28">
        <v>79</v>
      </c>
      <c r="Q28">
        <v>73</v>
      </c>
      <c r="R28">
        <v>441</v>
      </c>
      <c r="S28">
        <v>3271</v>
      </c>
      <c r="T28">
        <v>587</v>
      </c>
      <c r="U28">
        <v>260</v>
      </c>
      <c r="V28">
        <v>4559</v>
      </c>
    </row>
    <row r="29" spans="1:22" x14ac:dyDescent="0.25">
      <c r="A29" t="s">
        <v>266</v>
      </c>
      <c r="B29">
        <v>327</v>
      </c>
      <c r="C29">
        <v>1232</v>
      </c>
      <c r="D29">
        <v>3801</v>
      </c>
      <c r="E29">
        <v>1465</v>
      </c>
      <c r="F29">
        <v>11181</v>
      </c>
      <c r="G29">
        <v>10992</v>
      </c>
      <c r="H29">
        <v>10797</v>
      </c>
      <c r="I29">
        <v>10223</v>
      </c>
      <c r="J29">
        <v>9549</v>
      </c>
      <c r="K29">
        <v>8893</v>
      </c>
      <c r="L29">
        <v>5149</v>
      </c>
      <c r="M29">
        <v>4344</v>
      </c>
      <c r="N29">
        <v>3725</v>
      </c>
      <c r="O29">
        <v>2589</v>
      </c>
      <c r="P29">
        <v>2111</v>
      </c>
      <c r="Q29">
        <v>1985</v>
      </c>
      <c r="R29">
        <v>6825</v>
      </c>
      <c r="S29">
        <v>61635</v>
      </c>
      <c r="T29">
        <v>13218</v>
      </c>
      <c r="U29">
        <v>6685</v>
      </c>
      <c r="V29">
        <v>88363</v>
      </c>
    </row>
    <row r="30" spans="1:22" x14ac:dyDescent="0.25">
      <c r="A30" t="s">
        <v>308</v>
      </c>
      <c r="B30">
        <v>100</v>
      </c>
      <c r="C30">
        <v>228</v>
      </c>
      <c r="D30">
        <v>607</v>
      </c>
      <c r="E30">
        <v>136</v>
      </c>
      <c r="F30">
        <v>1609</v>
      </c>
      <c r="G30">
        <v>1601</v>
      </c>
      <c r="H30">
        <v>1607</v>
      </c>
      <c r="I30">
        <v>1511</v>
      </c>
      <c r="J30">
        <v>1430</v>
      </c>
      <c r="K30">
        <v>1316</v>
      </c>
      <c r="L30">
        <v>982</v>
      </c>
      <c r="M30">
        <v>879</v>
      </c>
      <c r="N30">
        <v>806</v>
      </c>
      <c r="O30">
        <v>732</v>
      </c>
      <c r="P30">
        <v>656</v>
      </c>
      <c r="Q30">
        <v>665</v>
      </c>
      <c r="R30">
        <v>1071</v>
      </c>
      <c r="S30">
        <v>9074</v>
      </c>
      <c r="T30">
        <v>2667</v>
      </c>
      <c r="U30">
        <v>2053</v>
      </c>
      <c r="V30">
        <v>14865</v>
      </c>
    </row>
    <row r="31" spans="1:22" x14ac:dyDescent="0.25">
      <c r="A31" t="s">
        <v>309</v>
      </c>
      <c r="B31">
        <v>227</v>
      </c>
      <c r="C31">
        <v>1004</v>
      </c>
      <c r="D31">
        <v>3194</v>
      </c>
      <c r="E31">
        <v>1329</v>
      </c>
      <c r="F31">
        <v>9572</v>
      </c>
      <c r="G31">
        <v>9391</v>
      </c>
      <c r="H31">
        <v>9190</v>
      </c>
      <c r="I31">
        <v>8712</v>
      </c>
      <c r="J31">
        <v>8119</v>
      </c>
      <c r="K31">
        <v>7577</v>
      </c>
      <c r="L31">
        <v>4167</v>
      </c>
      <c r="M31">
        <v>3465</v>
      </c>
      <c r="N31">
        <v>2919</v>
      </c>
      <c r="O31">
        <v>1857</v>
      </c>
      <c r="P31">
        <v>1455</v>
      </c>
      <c r="Q31">
        <v>1320</v>
      </c>
      <c r="R31">
        <v>5754</v>
      </c>
      <c r="S31">
        <v>52561</v>
      </c>
      <c r="T31">
        <v>10551</v>
      </c>
      <c r="U31">
        <v>4632</v>
      </c>
      <c r="V31">
        <v>73498</v>
      </c>
    </row>
  </sheetData>
  <mergeCells count="7">
    <mergeCell ref="A1:V1"/>
    <mergeCell ref="R2:V2"/>
    <mergeCell ref="A2:A3"/>
    <mergeCell ref="B2:E2"/>
    <mergeCell ref="F2:K2"/>
    <mergeCell ref="L2:N2"/>
    <mergeCell ref="O2:Q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2"/>
  <sheetViews>
    <sheetView workbookViewId="0">
      <selection sqref="A1:M1"/>
    </sheetView>
  </sheetViews>
  <sheetFormatPr defaultRowHeight="15" x14ac:dyDescent="0.25"/>
  <cols>
    <col min="1" max="1" width="24.7109375" customWidth="1"/>
    <col min="2" max="2" width="12.42578125" customWidth="1"/>
    <col min="4" max="4" width="12.85546875" customWidth="1"/>
    <col min="5" max="5" width="13.140625" customWidth="1"/>
    <col min="6" max="6" width="11.140625" customWidth="1"/>
    <col min="7" max="7" width="11.42578125" customWidth="1"/>
    <col min="9" max="9" width="11.28515625" customWidth="1"/>
    <col min="10" max="10" width="11.42578125" customWidth="1"/>
    <col min="12" max="12" width="11.28515625" customWidth="1"/>
    <col min="13" max="13" width="11.42578125" customWidth="1"/>
  </cols>
  <sheetData>
    <row r="1" spans="1:13" x14ac:dyDescent="0.25">
      <c r="A1" s="29" t="s">
        <v>349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350</v>
      </c>
      <c r="C2" s="29" t="s">
        <v>351</v>
      </c>
      <c r="D2" s="29" t="s">
        <v>352</v>
      </c>
      <c r="E2" s="29"/>
      <c r="F2" s="29" t="s">
        <v>353</v>
      </c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/>
      <c r="C3" s="29"/>
      <c r="D3" s="29" t="s">
        <v>261</v>
      </c>
      <c r="E3" s="29" t="s">
        <v>256</v>
      </c>
      <c r="F3" s="29" t="s">
        <v>354</v>
      </c>
      <c r="G3" s="29"/>
      <c r="H3" s="29" t="s">
        <v>327</v>
      </c>
      <c r="I3" s="29"/>
      <c r="J3" s="29" t="s">
        <v>355</v>
      </c>
      <c r="K3" s="29"/>
      <c r="L3" s="29" t="s">
        <v>356</v>
      </c>
      <c r="M3" s="29"/>
    </row>
    <row r="4" spans="1:13" x14ac:dyDescent="0.25">
      <c r="A4" s="29"/>
      <c r="B4" s="29"/>
      <c r="C4" s="29"/>
      <c r="D4" s="29"/>
      <c r="E4" s="29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410</v>
      </c>
      <c r="C5">
        <v>86</v>
      </c>
      <c r="D5">
        <v>324</v>
      </c>
      <c r="E5">
        <v>2185</v>
      </c>
      <c r="F5">
        <v>10</v>
      </c>
      <c r="G5">
        <v>10</v>
      </c>
      <c r="H5">
        <v>18</v>
      </c>
      <c r="I5">
        <v>129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637</v>
      </c>
      <c r="C6">
        <v>152</v>
      </c>
      <c r="D6">
        <v>485</v>
      </c>
      <c r="E6">
        <v>3540</v>
      </c>
      <c r="F6">
        <v>63</v>
      </c>
      <c r="G6">
        <v>106</v>
      </c>
      <c r="H6">
        <v>41</v>
      </c>
      <c r="I6">
        <v>364</v>
      </c>
      <c r="J6">
        <v>3</v>
      </c>
      <c r="K6">
        <v>20</v>
      </c>
      <c r="L6">
        <v>0</v>
      </c>
      <c r="M6">
        <v>0</v>
      </c>
    </row>
    <row r="7" spans="1:13" x14ac:dyDescent="0.25">
      <c r="A7" t="s">
        <v>285</v>
      </c>
      <c r="B7">
        <v>406</v>
      </c>
      <c r="C7">
        <v>64</v>
      </c>
      <c r="D7">
        <v>342</v>
      </c>
      <c r="E7">
        <v>2908</v>
      </c>
      <c r="F7">
        <v>43</v>
      </c>
      <c r="G7">
        <v>66</v>
      </c>
      <c r="H7">
        <v>84</v>
      </c>
      <c r="I7">
        <v>722</v>
      </c>
      <c r="J7">
        <v>10</v>
      </c>
      <c r="K7">
        <v>66</v>
      </c>
      <c r="L7">
        <v>1</v>
      </c>
      <c r="M7">
        <v>19</v>
      </c>
    </row>
    <row r="8" spans="1:13" x14ac:dyDescent="0.25">
      <c r="A8" t="s">
        <v>286</v>
      </c>
      <c r="B8">
        <v>275</v>
      </c>
      <c r="C8">
        <v>48</v>
      </c>
      <c r="D8">
        <v>227</v>
      </c>
      <c r="E8">
        <v>1664</v>
      </c>
      <c r="F8">
        <v>10</v>
      </c>
      <c r="G8">
        <v>17</v>
      </c>
      <c r="H8">
        <v>24</v>
      </c>
      <c r="I8">
        <v>198</v>
      </c>
      <c r="J8">
        <v>9</v>
      </c>
      <c r="K8">
        <v>37</v>
      </c>
      <c r="L8">
        <v>0</v>
      </c>
      <c r="M8">
        <v>0</v>
      </c>
    </row>
    <row r="9" spans="1:13" x14ac:dyDescent="0.25">
      <c r="A9" t="s">
        <v>287</v>
      </c>
      <c r="B9">
        <v>313</v>
      </c>
      <c r="C9">
        <v>48</v>
      </c>
      <c r="D9">
        <v>265</v>
      </c>
      <c r="E9">
        <v>2264</v>
      </c>
      <c r="F9">
        <v>15</v>
      </c>
      <c r="G9">
        <v>21</v>
      </c>
      <c r="H9">
        <v>29</v>
      </c>
      <c r="I9">
        <v>257</v>
      </c>
      <c r="J9">
        <v>2</v>
      </c>
      <c r="K9">
        <v>12</v>
      </c>
      <c r="L9">
        <v>1</v>
      </c>
      <c r="M9">
        <v>11</v>
      </c>
    </row>
    <row r="10" spans="1:13" x14ac:dyDescent="0.25">
      <c r="A10" t="s">
        <v>288</v>
      </c>
      <c r="B10">
        <v>483</v>
      </c>
      <c r="C10">
        <v>75</v>
      </c>
      <c r="D10">
        <v>408</v>
      </c>
      <c r="E10">
        <v>2506</v>
      </c>
      <c r="F10">
        <v>74</v>
      </c>
      <c r="G10">
        <v>96</v>
      </c>
      <c r="H10">
        <v>46</v>
      </c>
      <c r="I10">
        <v>311</v>
      </c>
      <c r="J10">
        <v>2</v>
      </c>
      <c r="K10">
        <v>12</v>
      </c>
      <c r="L10">
        <v>0</v>
      </c>
      <c r="M10">
        <v>0</v>
      </c>
    </row>
    <row r="11" spans="1:13" x14ac:dyDescent="0.25">
      <c r="A11" t="s">
        <v>289</v>
      </c>
      <c r="B11">
        <v>309</v>
      </c>
      <c r="C11">
        <v>63</v>
      </c>
      <c r="D11">
        <v>246</v>
      </c>
      <c r="E11">
        <v>1763</v>
      </c>
      <c r="F11">
        <v>105</v>
      </c>
      <c r="G11">
        <v>137</v>
      </c>
      <c r="H11">
        <v>153</v>
      </c>
      <c r="I11">
        <v>1309</v>
      </c>
      <c r="J11">
        <v>30</v>
      </c>
      <c r="K11">
        <v>159</v>
      </c>
      <c r="L11">
        <v>1</v>
      </c>
      <c r="M11">
        <v>8</v>
      </c>
    </row>
    <row r="12" spans="1:13" x14ac:dyDescent="0.25">
      <c r="A12" t="s">
        <v>290</v>
      </c>
      <c r="B12">
        <v>374</v>
      </c>
      <c r="C12">
        <v>76</v>
      </c>
      <c r="D12">
        <v>636</v>
      </c>
      <c r="E12">
        <v>5101</v>
      </c>
      <c r="F12">
        <v>82</v>
      </c>
      <c r="G12">
        <v>177</v>
      </c>
      <c r="H12">
        <v>113</v>
      </c>
      <c r="I12">
        <v>1279</v>
      </c>
      <c r="J12">
        <v>17</v>
      </c>
      <c r="K12">
        <v>96</v>
      </c>
      <c r="L12">
        <v>4</v>
      </c>
      <c r="M12">
        <v>53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108</v>
      </c>
      <c r="F13">
        <v>6</v>
      </c>
      <c r="G13">
        <v>9</v>
      </c>
      <c r="H13">
        <v>6</v>
      </c>
      <c r="I13">
        <v>51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554</v>
      </c>
      <c r="F14">
        <v>4</v>
      </c>
      <c r="G14">
        <v>4</v>
      </c>
      <c r="H14">
        <v>2</v>
      </c>
      <c r="I14">
        <v>12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272</v>
      </c>
      <c r="C15">
        <v>51</v>
      </c>
      <c r="D15">
        <v>221</v>
      </c>
      <c r="E15">
        <v>1545</v>
      </c>
      <c r="F15">
        <v>37</v>
      </c>
      <c r="G15">
        <v>67</v>
      </c>
      <c r="H15">
        <v>34</v>
      </c>
      <c r="I15">
        <v>264</v>
      </c>
      <c r="J15">
        <v>4</v>
      </c>
      <c r="K15">
        <v>14</v>
      </c>
      <c r="L15">
        <v>2</v>
      </c>
      <c r="M15">
        <v>40</v>
      </c>
    </row>
    <row r="16" spans="1:13" x14ac:dyDescent="0.25">
      <c r="A16" t="s">
        <v>294</v>
      </c>
      <c r="B16">
        <v>90</v>
      </c>
      <c r="C16">
        <v>10</v>
      </c>
      <c r="D16">
        <v>80</v>
      </c>
      <c r="E16">
        <v>522</v>
      </c>
      <c r="F16">
        <v>1</v>
      </c>
      <c r="G16">
        <v>1</v>
      </c>
      <c r="H16">
        <v>2</v>
      </c>
      <c r="I16">
        <v>15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214</v>
      </c>
      <c r="C17">
        <v>27</v>
      </c>
      <c r="D17">
        <v>187</v>
      </c>
      <c r="E17">
        <v>1216</v>
      </c>
      <c r="F17">
        <v>5</v>
      </c>
      <c r="G17">
        <v>5</v>
      </c>
      <c r="H17">
        <v>1</v>
      </c>
      <c r="I17">
        <v>15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49</v>
      </c>
      <c r="C18">
        <v>8</v>
      </c>
      <c r="D18">
        <v>41</v>
      </c>
      <c r="E18">
        <v>277</v>
      </c>
      <c r="F18">
        <v>1</v>
      </c>
      <c r="G18">
        <v>1</v>
      </c>
      <c r="H18">
        <v>1</v>
      </c>
      <c r="I18">
        <v>12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164</v>
      </c>
      <c r="C19">
        <v>37</v>
      </c>
      <c r="D19">
        <v>127</v>
      </c>
      <c r="E19">
        <v>2084</v>
      </c>
      <c r="F19">
        <v>34</v>
      </c>
      <c r="G19">
        <v>45</v>
      </c>
      <c r="H19">
        <v>45</v>
      </c>
      <c r="I19">
        <v>545</v>
      </c>
      <c r="J19">
        <v>4</v>
      </c>
      <c r="K19">
        <v>32</v>
      </c>
      <c r="L19">
        <v>2</v>
      </c>
      <c r="M19">
        <v>67</v>
      </c>
    </row>
    <row r="20" spans="1:13" x14ac:dyDescent="0.25">
      <c r="A20" t="s">
        <v>298</v>
      </c>
      <c r="B20">
        <v>72</v>
      </c>
      <c r="C20">
        <v>15</v>
      </c>
      <c r="D20">
        <v>57</v>
      </c>
      <c r="E20">
        <v>538</v>
      </c>
      <c r="F20">
        <v>12</v>
      </c>
      <c r="G20">
        <v>17</v>
      </c>
      <c r="H20">
        <v>6</v>
      </c>
      <c r="I20">
        <v>73</v>
      </c>
      <c r="J20">
        <v>2</v>
      </c>
      <c r="K20">
        <v>9</v>
      </c>
      <c r="L20">
        <v>0</v>
      </c>
      <c r="M20">
        <v>0</v>
      </c>
    </row>
    <row r="21" spans="1:13" x14ac:dyDescent="0.25">
      <c r="A21" t="s">
        <v>299</v>
      </c>
      <c r="B21">
        <v>225</v>
      </c>
      <c r="C21">
        <v>30</v>
      </c>
      <c r="D21">
        <v>195</v>
      </c>
      <c r="E21">
        <v>1198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543</v>
      </c>
      <c r="C22">
        <v>96</v>
      </c>
      <c r="D22">
        <v>447</v>
      </c>
      <c r="E22">
        <v>3457</v>
      </c>
      <c r="F22">
        <v>98</v>
      </c>
      <c r="G22">
        <v>138</v>
      </c>
      <c r="H22">
        <v>138</v>
      </c>
      <c r="I22">
        <v>1112</v>
      </c>
      <c r="J22">
        <v>13</v>
      </c>
      <c r="K22">
        <v>84</v>
      </c>
      <c r="L22">
        <v>1</v>
      </c>
      <c r="M22">
        <v>29</v>
      </c>
    </row>
    <row r="23" spans="1:13" x14ac:dyDescent="0.25">
      <c r="A23" t="s">
        <v>301</v>
      </c>
      <c r="B23">
        <v>301</v>
      </c>
      <c r="C23">
        <v>51</v>
      </c>
      <c r="D23">
        <v>250</v>
      </c>
      <c r="E23">
        <v>1604</v>
      </c>
      <c r="F23">
        <v>4</v>
      </c>
      <c r="G23">
        <v>5</v>
      </c>
      <c r="H23">
        <v>5</v>
      </c>
      <c r="I23">
        <v>38</v>
      </c>
      <c r="J23">
        <v>2</v>
      </c>
      <c r="K23">
        <v>14</v>
      </c>
      <c r="L23">
        <v>0</v>
      </c>
      <c r="M23">
        <v>0</v>
      </c>
    </row>
    <row r="24" spans="1:13" x14ac:dyDescent="0.25">
      <c r="A24" t="s">
        <v>302</v>
      </c>
      <c r="B24">
        <v>213</v>
      </c>
      <c r="C24">
        <v>29</v>
      </c>
      <c r="D24">
        <v>184</v>
      </c>
      <c r="E24">
        <v>1033</v>
      </c>
      <c r="F24">
        <v>20</v>
      </c>
      <c r="G24">
        <v>25</v>
      </c>
      <c r="H24">
        <v>6</v>
      </c>
      <c r="I24">
        <v>29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502</v>
      </c>
      <c r="C25">
        <v>77</v>
      </c>
      <c r="D25">
        <v>425</v>
      </c>
      <c r="E25">
        <v>3339</v>
      </c>
      <c r="F25">
        <v>38</v>
      </c>
      <c r="G25">
        <v>60</v>
      </c>
      <c r="H25">
        <v>23</v>
      </c>
      <c r="I25">
        <v>203</v>
      </c>
      <c r="J25">
        <v>4</v>
      </c>
      <c r="K25">
        <v>40</v>
      </c>
      <c r="L25">
        <v>0</v>
      </c>
      <c r="M25">
        <v>0</v>
      </c>
    </row>
    <row r="26" spans="1:13" x14ac:dyDescent="0.25">
      <c r="A26" t="s">
        <v>304</v>
      </c>
      <c r="B26">
        <v>149</v>
      </c>
      <c r="C26">
        <v>22</v>
      </c>
      <c r="D26">
        <v>127</v>
      </c>
      <c r="E26">
        <v>908</v>
      </c>
      <c r="F26">
        <v>3</v>
      </c>
      <c r="G26">
        <v>3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38</v>
      </c>
      <c r="D27">
        <v>224</v>
      </c>
      <c r="E27">
        <v>1690</v>
      </c>
      <c r="F27">
        <v>25</v>
      </c>
      <c r="G27">
        <v>36</v>
      </c>
      <c r="H27">
        <v>58</v>
      </c>
      <c r="I27">
        <v>392</v>
      </c>
      <c r="J27">
        <v>1</v>
      </c>
      <c r="K27">
        <v>6</v>
      </c>
      <c r="L27">
        <v>0</v>
      </c>
      <c r="M27">
        <v>0</v>
      </c>
    </row>
    <row r="28" spans="1:13" x14ac:dyDescent="0.25">
      <c r="A28" t="s">
        <v>306</v>
      </c>
      <c r="B28">
        <v>382</v>
      </c>
      <c r="C28">
        <v>71</v>
      </c>
      <c r="D28">
        <v>311</v>
      </c>
      <c r="E28">
        <v>2717</v>
      </c>
      <c r="F28">
        <v>80</v>
      </c>
      <c r="G28">
        <v>120</v>
      </c>
      <c r="H28">
        <v>120</v>
      </c>
      <c r="I28">
        <v>1114</v>
      </c>
      <c r="J28">
        <v>15</v>
      </c>
      <c r="K28">
        <v>80</v>
      </c>
      <c r="L28">
        <v>1</v>
      </c>
      <c r="M28">
        <v>24</v>
      </c>
    </row>
    <row r="29" spans="1:13" x14ac:dyDescent="0.25">
      <c r="A29" t="s">
        <v>307</v>
      </c>
      <c r="B29">
        <v>401</v>
      </c>
      <c r="C29">
        <v>52</v>
      </c>
      <c r="D29">
        <v>349</v>
      </c>
      <c r="E29">
        <v>2516</v>
      </c>
      <c r="F29">
        <v>23</v>
      </c>
      <c r="G29">
        <v>40</v>
      </c>
      <c r="H29">
        <v>45</v>
      </c>
      <c r="I29">
        <v>322</v>
      </c>
      <c r="J29">
        <v>3</v>
      </c>
      <c r="K29">
        <v>13</v>
      </c>
      <c r="L29">
        <v>2</v>
      </c>
      <c r="M29">
        <v>29</v>
      </c>
    </row>
    <row r="30" spans="1:13" x14ac:dyDescent="0.25">
      <c r="A30" t="s">
        <v>266</v>
      </c>
      <c r="B30">
        <v>7189</v>
      </c>
      <c r="C30">
        <v>1255</v>
      </c>
      <c r="D30">
        <v>6272</v>
      </c>
      <c r="E30">
        <v>47237</v>
      </c>
      <c r="F30">
        <v>793</v>
      </c>
      <c r="G30">
        <v>1206</v>
      </c>
      <c r="H30">
        <v>1002</v>
      </c>
      <c r="I30">
        <v>8775</v>
      </c>
      <c r="J30">
        <v>123</v>
      </c>
      <c r="K30">
        <v>706</v>
      </c>
      <c r="L30">
        <v>15</v>
      </c>
      <c r="M30">
        <v>280</v>
      </c>
    </row>
    <row r="31" spans="1:13" x14ac:dyDescent="0.25">
      <c r="A31" t="s">
        <v>308</v>
      </c>
      <c r="B31">
        <v>672</v>
      </c>
      <c r="C31">
        <v>141</v>
      </c>
      <c r="D31">
        <v>539</v>
      </c>
      <c r="E31">
        <v>5892</v>
      </c>
      <c r="F31">
        <v>77</v>
      </c>
      <c r="G31">
        <v>131</v>
      </c>
      <c r="H31">
        <v>92</v>
      </c>
      <c r="I31">
        <v>1044</v>
      </c>
      <c r="J31">
        <v>8</v>
      </c>
      <c r="K31">
        <v>74</v>
      </c>
      <c r="L31">
        <v>2</v>
      </c>
      <c r="M31">
        <v>67</v>
      </c>
    </row>
    <row r="32" spans="1:13" x14ac:dyDescent="0.25">
      <c r="A32" t="s">
        <v>309</v>
      </c>
      <c r="B32">
        <v>6517</v>
      </c>
      <c r="C32">
        <v>1114</v>
      </c>
      <c r="D32">
        <v>5733</v>
      </c>
      <c r="E32">
        <v>41345</v>
      </c>
      <c r="F32">
        <v>716</v>
      </c>
      <c r="G32">
        <v>1075</v>
      </c>
      <c r="H32">
        <v>910</v>
      </c>
      <c r="I32">
        <v>7731</v>
      </c>
      <c r="J32">
        <v>115</v>
      </c>
      <c r="K32">
        <v>632</v>
      </c>
      <c r="L32">
        <v>13</v>
      </c>
      <c r="M32">
        <v>213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O31"/>
  <sheetViews>
    <sheetView workbookViewId="0">
      <selection sqref="A1:O1"/>
    </sheetView>
  </sheetViews>
  <sheetFormatPr defaultRowHeight="15" x14ac:dyDescent="0.25"/>
  <cols>
    <col min="1" max="1" width="24.140625" customWidth="1"/>
    <col min="2" max="2" width="10.140625" customWidth="1"/>
    <col min="3" max="3" width="10" customWidth="1"/>
    <col min="4" max="4" width="10.140625" customWidth="1"/>
    <col min="5" max="5" width="10.42578125" customWidth="1"/>
    <col min="6" max="6" width="10" customWidth="1"/>
    <col min="7" max="7" width="10.140625" customWidth="1"/>
    <col min="14" max="14" width="10" customWidth="1"/>
    <col min="15" max="15" width="10.140625" customWidth="1"/>
  </cols>
  <sheetData>
    <row r="1" spans="1:15" x14ac:dyDescent="0.25">
      <c r="A1" s="29" t="s">
        <v>357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s="29" t="s">
        <v>358</v>
      </c>
      <c r="C2" s="29"/>
      <c r="D2" s="29"/>
      <c r="E2" s="29"/>
      <c r="F2" t="s">
        <v>359</v>
      </c>
      <c r="G2" t="s">
        <v>360</v>
      </c>
      <c r="H2" t="s">
        <v>261</v>
      </c>
      <c r="I2" t="s">
        <v>361</v>
      </c>
      <c r="J2" s="29" t="s">
        <v>362</v>
      </c>
      <c r="K2" s="29"/>
      <c r="L2" s="29" t="s">
        <v>363</v>
      </c>
      <c r="M2" s="29"/>
      <c r="N2" s="29"/>
      <c r="O2" s="29"/>
    </row>
    <row r="3" spans="1:15" x14ac:dyDescent="0.25">
      <c r="A3" s="29"/>
      <c r="B3" t="s">
        <v>364</v>
      </c>
      <c r="C3" t="s">
        <v>346</v>
      </c>
      <c r="D3" t="s">
        <v>365</v>
      </c>
      <c r="E3" t="s">
        <v>366</v>
      </c>
      <c r="F3" t="s">
        <v>261</v>
      </c>
      <c r="G3" t="s">
        <v>261</v>
      </c>
      <c r="H3" t="s">
        <v>262</v>
      </c>
      <c r="I3" t="s">
        <v>364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265</v>
      </c>
    </row>
    <row r="4" spans="1:15" x14ac:dyDescent="0.25">
      <c r="A4" t="s">
        <v>283</v>
      </c>
      <c r="B4">
        <v>319</v>
      </c>
      <c r="C4">
        <v>410</v>
      </c>
      <c r="D4">
        <v>55</v>
      </c>
      <c r="E4">
        <v>28</v>
      </c>
      <c r="F4">
        <v>303</v>
      </c>
      <c r="G4">
        <v>0</v>
      </c>
      <c r="H4">
        <v>29</v>
      </c>
      <c r="I4">
        <v>302</v>
      </c>
      <c r="J4">
        <v>532</v>
      </c>
      <c r="K4">
        <v>297</v>
      </c>
      <c r="L4">
        <v>47.9</v>
      </c>
      <c r="M4">
        <v>22.7</v>
      </c>
      <c r="N4">
        <v>404</v>
      </c>
      <c r="O4">
        <v>82</v>
      </c>
    </row>
    <row r="5" spans="1:15" x14ac:dyDescent="0.25">
      <c r="A5" t="s">
        <v>284</v>
      </c>
      <c r="B5">
        <v>356</v>
      </c>
      <c r="C5">
        <v>637</v>
      </c>
      <c r="D5">
        <v>93</v>
      </c>
      <c r="E5">
        <v>26</v>
      </c>
      <c r="F5">
        <v>574</v>
      </c>
      <c r="G5">
        <v>6</v>
      </c>
      <c r="H5">
        <v>107</v>
      </c>
      <c r="I5">
        <v>339</v>
      </c>
      <c r="J5">
        <v>696</v>
      </c>
      <c r="K5">
        <v>300</v>
      </c>
      <c r="L5">
        <v>44.4</v>
      </c>
      <c r="M5">
        <v>21.1</v>
      </c>
      <c r="N5">
        <v>670</v>
      </c>
      <c r="O5">
        <v>211</v>
      </c>
    </row>
    <row r="6" spans="1:15" x14ac:dyDescent="0.25">
      <c r="A6" t="s">
        <v>285</v>
      </c>
      <c r="B6">
        <v>270</v>
      </c>
      <c r="C6">
        <v>406</v>
      </c>
      <c r="D6">
        <v>80</v>
      </c>
      <c r="E6">
        <v>42</v>
      </c>
      <c r="F6">
        <v>338</v>
      </c>
      <c r="G6">
        <v>0</v>
      </c>
      <c r="H6">
        <v>138</v>
      </c>
      <c r="I6">
        <v>264</v>
      </c>
      <c r="J6">
        <v>481</v>
      </c>
      <c r="K6">
        <v>310</v>
      </c>
      <c r="L6">
        <v>39.1</v>
      </c>
      <c r="M6">
        <v>25.5</v>
      </c>
      <c r="N6">
        <v>428</v>
      </c>
      <c r="O6">
        <v>99</v>
      </c>
    </row>
    <row r="7" spans="1:15" x14ac:dyDescent="0.25">
      <c r="A7" t="s">
        <v>286</v>
      </c>
      <c r="B7">
        <v>110</v>
      </c>
      <c r="C7">
        <v>275</v>
      </c>
      <c r="D7">
        <v>60</v>
      </c>
      <c r="E7">
        <v>16</v>
      </c>
      <c r="F7">
        <v>183</v>
      </c>
      <c r="G7">
        <v>7</v>
      </c>
      <c r="H7">
        <v>43</v>
      </c>
      <c r="I7">
        <v>92</v>
      </c>
      <c r="J7">
        <v>148</v>
      </c>
      <c r="K7">
        <v>100</v>
      </c>
      <c r="L7">
        <v>49.3</v>
      </c>
      <c r="M7">
        <v>22.1</v>
      </c>
      <c r="N7">
        <v>331</v>
      </c>
      <c r="O7">
        <v>74</v>
      </c>
    </row>
    <row r="8" spans="1:15" x14ac:dyDescent="0.25">
      <c r="A8" t="s">
        <v>287</v>
      </c>
      <c r="B8">
        <v>179</v>
      </c>
      <c r="C8">
        <v>313</v>
      </c>
      <c r="D8">
        <v>70</v>
      </c>
      <c r="E8">
        <v>24</v>
      </c>
      <c r="F8">
        <v>264</v>
      </c>
      <c r="G8">
        <v>0</v>
      </c>
      <c r="H8">
        <v>47</v>
      </c>
      <c r="I8">
        <v>173</v>
      </c>
      <c r="J8">
        <v>178</v>
      </c>
      <c r="K8">
        <v>116</v>
      </c>
      <c r="L8">
        <v>43.2</v>
      </c>
      <c r="M8">
        <v>22.5</v>
      </c>
      <c r="N8">
        <v>408</v>
      </c>
      <c r="O8">
        <v>49</v>
      </c>
    </row>
    <row r="9" spans="1:15" x14ac:dyDescent="0.25">
      <c r="A9" t="s">
        <v>288</v>
      </c>
      <c r="B9">
        <v>196</v>
      </c>
      <c r="C9">
        <v>483</v>
      </c>
      <c r="D9">
        <v>66</v>
      </c>
      <c r="E9">
        <v>25</v>
      </c>
      <c r="F9">
        <v>304</v>
      </c>
      <c r="G9">
        <v>6</v>
      </c>
      <c r="H9">
        <v>122</v>
      </c>
      <c r="I9">
        <v>196</v>
      </c>
      <c r="J9">
        <v>289</v>
      </c>
      <c r="K9">
        <v>177</v>
      </c>
      <c r="L9">
        <v>33.799999999999997</v>
      </c>
      <c r="M9">
        <v>21.2</v>
      </c>
      <c r="N9">
        <v>520</v>
      </c>
      <c r="O9">
        <v>138</v>
      </c>
    </row>
    <row r="10" spans="1:15" x14ac:dyDescent="0.25">
      <c r="A10" t="s">
        <v>289</v>
      </c>
      <c r="B10">
        <v>192</v>
      </c>
      <c r="C10">
        <v>309</v>
      </c>
      <c r="D10">
        <v>76</v>
      </c>
      <c r="E10">
        <v>23</v>
      </c>
      <c r="F10">
        <v>192</v>
      </c>
      <c r="G10">
        <v>0</v>
      </c>
      <c r="H10">
        <v>289</v>
      </c>
      <c r="I10">
        <v>187</v>
      </c>
      <c r="J10">
        <v>158</v>
      </c>
      <c r="K10">
        <v>157</v>
      </c>
      <c r="L10">
        <v>45.4</v>
      </c>
      <c r="M10">
        <v>24</v>
      </c>
      <c r="N10">
        <v>504</v>
      </c>
      <c r="O10">
        <v>29</v>
      </c>
    </row>
    <row r="11" spans="1:15" x14ac:dyDescent="0.25">
      <c r="A11" t="s">
        <v>290</v>
      </c>
      <c r="B11">
        <v>229</v>
      </c>
      <c r="C11">
        <v>374</v>
      </c>
      <c r="D11">
        <v>102</v>
      </c>
      <c r="E11">
        <v>38</v>
      </c>
      <c r="F11">
        <v>349</v>
      </c>
      <c r="G11">
        <v>0</v>
      </c>
      <c r="H11">
        <v>216</v>
      </c>
      <c r="I11">
        <v>204</v>
      </c>
      <c r="J11">
        <v>387</v>
      </c>
      <c r="K11">
        <v>225</v>
      </c>
      <c r="L11">
        <v>50.7</v>
      </c>
      <c r="M11">
        <v>26.3</v>
      </c>
      <c r="N11">
        <v>478</v>
      </c>
      <c r="O11">
        <v>120</v>
      </c>
    </row>
    <row r="12" spans="1:15" x14ac:dyDescent="0.25">
      <c r="A12" t="s">
        <v>291</v>
      </c>
      <c r="B12">
        <v>22</v>
      </c>
      <c r="C12">
        <v>22</v>
      </c>
      <c r="D12">
        <v>4</v>
      </c>
      <c r="E12">
        <v>2</v>
      </c>
      <c r="F12">
        <v>10</v>
      </c>
      <c r="G12">
        <v>0</v>
      </c>
      <c r="H12">
        <v>12</v>
      </c>
      <c r="I12">
        <v>22</v>
      </c>
      <c r="J12">
        <v>22</v>
      </c>
      <c r="K12">
        <v>21</v>
      </c>
      <c r="L12">
        <v>44.7</v>
      </c>
      <c r="M12">
        <v>20.3</v>
      </c>
      <c r="N12">
        <v>45</v>
      </c>
      <c r="O12">
        <v>4</v>
      </c>
    </row>
    <row r="13" spans="1:15" x14ac:dyDescent="0.25">
      <c r="A13" t="s">
        <v>292</v>
      </c>
      <c r="B13">
        <v>65</v>
      </c>
      <c r="C13">
        <v>121</v>
      </c>
      <c r="D13">
        <v>21</v>
      </c>
      <c r="E13">
        <v>8</v>
      </c>
      <c r="F13">
        <v>82</v>
      </c>
      <c r="G13">
        <v>0</v>
      </c>
      <c r="H13">
        <v>6</v>
      </c>
      <c r="I13">
        <v>65</v>
      </c>
      <c r="J13">
        <v>144</v>
      </c>
      <c r="K13">
        <v>96</v>
      </c>
      <c r="L13">
        <v>39.6</v>
      </c>
      <c r="M13">
        <v>17.100000000000001</v>
      </c>
      <c r="N13">
        <v>144</v>
      </c>
      <c r="O13">
        <v>8</v>
      </c>
    </row>
    <row r="14" spans="1:15" x14ac:dyDescent="0.25">
      <c r="A14" t="s">
        <v>293</v>
      </c>
      <c r="B14">
        <v>86</v>
      </c>
      <c r="C14">
        <v>272</v>
      </c>
      <c r="D14">
        <v>41</v>
      </c>
      <c r="E14">
        <v>11</v>
      </c>
      <c r="F14">
        <v>200</v>
      </c>
      <c r="G14">
        <v>0</v>
      </c>
      <c r="H14">
        <v>77</v>
      </c>
      <c r="I14">
        <v>85</v>
      </c>
      <c r="J14">
        <v>244</v>
      </c>
      <c r="K14">
        <v>131</v>
      </c>
      <c r="L14">
        <v>39.799999999999997</v>
      </c>
      <c r="M14">
        <v>19.8</v>
      </c>
      <c r="N14">
        <v>157</v>
      </c>
      <c r="O14">
        <v>73</v>
      </c>
    </row>
    <row r="15" spans="1:15" x14ac:dyDescent="0.25">
      <c r="A15" t="s">
        <v>294</v>
      </c>
      <c r="B15">
        <v>21</v>
      </c>
      <c r="C15">
        <v>90</v>
      </c>
      <c r="D15">
        <v>9</v>
      </c>
      <c r="E15">
        <v>5</v>
      </c>
      <c r="F15">
        <v>49</v>
      </c>
      <c r="G15">
        <v>0</v>
      </c>
      <c r="H15">
        <v>3</v>
      </c>
      <c r="I15">
        <v>18</v>
      </c>
      <c r="J15">
        <v>93</v>
      </c>
      <c r="K15">
        <v>57</v>
      </c>
      <c r="L15">
        <v>35.1</v>
      </c>
      <c r="M15">
        <v>14</v>
      </c>
      <c r="N15">
        <v>30</v>
      </c>
      <c r="O15">
        <v>26</v>
      </c>
    </row>
    <row r="16" spans="1:15" x14ac:dyDescent="0.25">
      <c r="A16" t="s">
        <v>295</v>
      </c>
      <c r="B16">
        <v>97</v>
      </c>
      <c r="C16">
        <v>214</v>
      </c>
      <c r="D16">
        <v>28</v>
      </c>
      <c r="E16">
        <v>9</v>
      </c>
      <c r="F16">
        <v>139</v>
      </c>
      <c r="G16">
        <v>0</v>
      </c>
      <c r="H16">
        <v>6</v>
      </c>
      <c r="I16">
        <v>97</v>
      </c>
      <c r="J16">
        <v>234</v>
      </c>
      <c r="K16">
        <v>115</v>
      </c>
      <c r="L16">
        <v>40.200000000000003</v>
      </c>
      <c r="M16">
        <v>15.9</v>
      </c>
      <c r="N16">
        <v>175</v>
      </c>
      <c r="O16">
        <v>18</v>
      </c>
    </row>
    <row r="17" spans="1:15" x14ac:dyDescent="0.25">
      <c r="A17" t="s">
        <v>296</v>
      </c>
      <c r="B17">
        <v>25</v>
      </c>
      <c r="C17">
        <v>49</v>
      </c>
      <c r="D17">
        <v>7</v>
      </c>
      <c r="E17">
        <v>2</v>
      </c>
      <c r="F17">
        <v>29</v>
      </c>
      <c r="G17">
        <v>0</v>
      </c>
      <c r="H17">
        <v>2</v>
      </c>
      <c r="I17">
        <v>23</v>
      </c>
      <c r="J17">
        <v>72</v>
      </c>
      <c r="K17">
        <v>23</v>
      </c>
      <c r="L17">
        <v>38.700000000000003</v>
      </c>
      <c r="M17">
        <v>16.600000000000001</v>
      </c>
      <c r="N17">
        <v>59</v>
      </c>
      <c r="O17">
        <v>14</v>
      </c>
    </row>
    <row r="18" spans="1:15" x14ac:dyDescent="0.25">
      <c r="A18" t="s">
        <v>297</v>
      </c>
      <c r="B18">
        <v>145</v>
      </c>
      <c r="C18">
        <v>164</v>
      </c>
      <c r="D18">
        <v>30</v>
      </c>
      <c r="E18">
        <v>36</v>
      </c>
      <c r="F18">
        <v>174</v>
      </c>
      <c r="G18">
        <v>0</v>
      </c>
      <c r="H18">
        <v>85</v>
      </c>
      <c r="I18">
        <v>126</v>
      </c>
      <c r="J18">
        <v>175</v>
      </c>
      <c r="K18">
        <v>96</v>
      </c>
      <c r="L18">
        <v>54.4</v>
      </c>
      <c r="M18">
        <v>27.9</v>
      </c>
      <c r="N18">
        <v>272</v>
      </c>
      <c r="O18">
        <v>82</v>
      </c>
    </row>
    <row r="19" spans="1:15" x14ac:dyDescent="0.25">
      <c r="A19" t="s">
        <v>298</v>
      </c>
      <c r="B19">
        <v>54</v>
      </c>
      <c r="C19">
        <v>72</v>
      </c>
      <c r="D19">
        <v>19</v>
      </c>
      <c r="E19">
        <v>8</v>
      </c>
      <c r="F19">
        <v>68</v>
      </c>
      <c r="G19">
        <v>0</v>
      </c>
      <c r="H19">
        <v>20</v>
      </c>
      <c r="I19">
        <v>53</v>
      </c>
      <c r="J19">
        <v>103</v>
      </c>
      <c r="K19">
        <v>42</v>
      </c>
      <c r="L19">
        <v>41.6</v>
      </c>
      <c r="M19">
        <v>21.4</v>
      </c>
      <c r="N19">
        <v>119</v>
      </c>
      <c r="O19">
        <v>22</v>
      </c>
    </row>
    <row r="20" spans="1:15" x14ac:dyDescent="0.25">
      <c r="A20" t="s">
        <v>299</v>
      </c>
      <c r="B20">
        <v>103</v>
      </c>
      <c r="C20">
        <v>225</v>
      </c>
      <c r="D20">
        <v>47</v>
      </c>
      <c r="E20">
        <v>16</v>
      </c>
      <c r="F20">
        <v>96</v>
      </c>
      <c r="G20">
        <v>0</v>
      </c>
      <c r="H20">
        <v>1</v>
      </c>
      <c r="I20">
        <v>99</v>
      </c>
      <c r="J20">
        <v>279</v>
      </c>
      <c r="K20">
        <v>147</v>
      </c>
      <c r="L20">
        <v>37.5</v>
      </c>
      <c r="M20">
        <v>16</v>
      </c>
      <c r="N20">
        <v>201</v>
      </c>
      <c r="O20">
        <v>64</v>
      </c>
    </row>
    <row r="21" spans="1:15" x14ac:dyDescent="0.25">
      <c r="A21" t="s">
        <v>300</v>
      </c>
      <c r="B21">
        <v>347</v>
      </c>
      <c r="C21">
        <v>543</v>
      </c>
      <c r="D21">
        <v>92</v>
      </c>
      <c r="E21">
        <v>31</v>
      </c>
      <c r="F21">
        <v>449</v>
      </c>
      <c r="G21">
        <v>0</v>
      </c>
      <c r="H21">
        <v>250</v>
      </c>
      <c r="I21">
        <v>337</v>
      </c>
      <c r="J21">
        <v>451</v>
      </c>
      <c r="K21">
        <v>331</v>
      </c>
      <c r="L21">
        <v>46.3</v>
      </c>
      <c r="M21">
        <v>24.5</v>
      </c>
      <c r="N21">
        <v>546</v>
      </c>
      <c r="O21">
        <v>124</v>
      </c>
    </row>
    <row r="22" spans="1:15" x14ac:dyDescent="0.25">
      <c r="A22" t="s">
        <v>301</v>
      </c>
      <c r="B22">
        <v>169</v>
      </c>
      <c r="C22">
        <v>301</v>
      </c>
      <c r="D22">
        <v>44</v>
      </c>
      <c r="E22">
        <v>15</v>
      </c>
      <c r="F22">
        <v>215</v>
      </c>
      <c r="G22">
        <v>11</v>
      </c>
      <c r="H22">
        <v>11</v>
      </c>
      <c r="I22">
        <v>151</v>
      </c>
      <c r="J22">
        <v>295</v>
      </c>
      <c r="K22">
        <v>164</v>
      </c>
      <c r="L22">
        <v>44.7</v>
      </c>
      <c r="M22">
        <v>22.3</v>
      </c>
      <c r="N22">
        <v>355</v>
      </c>
      <c r="O22">
        <v>83</v>
      </c>
    </row>
    <row r="23" spans="1:15" x14ac:dyDescent="0.25">
      <c r="A23" t="s">
        <v>302</v>
      </c>
      <c r="B23">
        <v>58</v>
      </c>
      <c r="C23">
        <v>213</v>
      </c>
      <c r="D23">
        <v>12</v>
      </c>
      <c r="E23">
        <v>9</v>
      </c>
      <c r="F23">
        <v>157</v>
      </c>
      <c r="G23">
        <v>0</v>
      </c>
      <c r="H23">
        <v>27</v>
      </c>
      <c r="I23">
        <v>52</v>
      </c>
      <c r="J23">
        <v>194</v>
      </c>
      <c r="K23">
        <v>86</v>
      </c>
      <c r="L23">
        <v>35.4</v>
      </c>
      <c r="M23">
        <v>14.9</v>
      </c>
      <c r="N23">
        <v>137</v>
      </c>
      <c r="O23">
        <v>35</v>
      </c>
    </row>
    <row r="24" spans="1:15" x14ac:dyDescent="0.25">
      <c r="A24" t="s">
        <v>303</v>
      </c>
      <c r="B24">
        <v>431</v>
      </c>
      <c r="C24">
        <v>502</v>
      </c>
      <c r="D24">
        <v>84</v>
      </c>
      <c r="E24">
        <v>35</v>
      </c>
      <c r="F24">
        <v>429</v>
      </c>
      <c r="G24">
        <v>4</v>
      </c>
      <c r="H24">
        <v>65</v>
      </c>
      <c r="I24">
        <v>413</v>
      </c>
      <c r="J24">
        <v>555</v>
      </c>
      <c r="K24">
        <v>397</v>
      </c>
      <c r="L24">
        <v>33.6</v>
      </c>
      <c r="M24">
        <v>19.100000000000001</v>
      </c>
      <c r="N24">
        <v>519</v>
      </c>
      <c r="O24">
        <v>201</v>
      </c>
    </row>
    <row r="25" spans="1:15" x14ac:dyDescent="0.25">
      <c r="A25" t="s">
        <v>304</v>
      </c>
      <c r="B25">
        <v>31</v>
      </c>
      <c r="C25">
        <v>149</v>
      </c>
      <c r="D25">
        <v>19</v>
      </c>
      <c r="E25">
        <v>9</v>
      </c>
      <c r="F25">
        <v>108</v>
      </c>
      <c r="G25">
        <v>0</v>
      </c>
      <c r="H25">
        <v>4</v>
      </c>
      <c r="I25">
        <v>30</v>
      </c>
      <c r="J25">
        <v>133</v>
      </c>
      <c r="K25">
        <v>44</v>
      </c>
      <c r="L25">
        <v>39.6</v>
      </c>
      <c r="M25">
        <v>15.7</v>
      </c>
      <c r="N25">
        <v>116</v>
      </c>
      <c r="O25">
        <v>45</v>
      </c>
    </row>
    <row r="26" spans="1:15" x14ac:dyDescent="0.25">
      <c r="A26" t="s">
        <v>305</v>
      </c>
      <c r="B26">
        <v>170</v>
      </c>
      <c r="C26">
        <v>262</v>
      </c>
      <c r="D26">
        <v>55</v>
      </c>
      <c r="E26">
        <v>19</v>
      </c>
      <c r="F26">
        <v>171</v>
      </c>
      <c r="G26">
        <v>0</v>
      </c>
      <c r="H26">
        <v>84</v>
      </c>
      <c r="I26">
        <v>164</v>
      </c>
      <c r="J26">
        <v>239</v>
      </c>
      <c r="K26">
        <v>167</v>
      </c>
      <c r="L26">
        <v>47.3</v>
      </c>
      <c r="M26">
        <v>26</v>
      </c>
      <c r="N26">
        <v>409</v>
      </c>
      <c r="O26">
        <v>47</v>
      </c>
    </row>
    <row r="27" spans="1:15" x14ac:dyDescent="0.25">
      <c r="A27" t="s">
        <v>306</v>
      </c>
      <c r="B27">
        <v>278</v>
      </c>
      <c r="C27">
        <v>382</v>
      </c>
      <c r="D27">
        <v>69</v>
      </c>
      <c r="E27">
        <v>50</v>
      </c>
      <c r="F27">
        <v>209</v>
      </c>
      <c r="G27">
        <v>0</v>
      </c>
      <c r="H27">
        <v>216</v>
      </c>
      <c r="I27">
        <v>275</v>
      </c>
      <c r="J27">
        <v>284</v>
      </c>
      <c r="K27">
        <v>205</v>
      </c>
      <c r="L27">
        <v>36.299999999999997</v>
      </c>
      <c r="M27">
        <v>26.8</v>
      </c>
      <c r="N27">
        <v>579</v>
      </c>
      <c r="O27">
        <v>65</v>
      </c>
    </row>
    <row r="28" spans="1:15" x14ac:dyDescent="0.25">
      <c r="A28" t="s">
        <v>307</v>
      </c>
      <c r="B28">
        <v>223</v>
      </c>
      <c r="C28">
        <v>401</v>
      </c>
      <c r="D28">
        <v>54</v>
      </c>
      <c r="E28">
        <v>24</v>
      </c>
      <c r="F28">
        <v>319</v>
      </c>
      <c r="G28">
        <v>0</v>
      </c>
      <c r="H28">
        <v>73</v>
      </c>
      <c r="I28">
        <v>218</v>
      </c>
      <c r="J28">
        <v>400</v>
      </c>
      <c r="K28">
        <v>266</v>
      </c>
      <c r="L28">
        <v>43.7</v>
      </c>
      <c r="M28">
        <v>21.6</v>
      </c>
      <c r="N28">
        <v>437</v>
      </c>
      <c r="O28">
        <v>63</v>
      </c>
    </row>
    <row r="29" spans="1:15" x14ac:dyDescent="0.25">
      <c r="A29" t="s">
        <v>266</v>
      </c>
      <c r="B29">
        <v>4176</v>
      </c>
      <c r="C29">
        <v>7189</v>
      </c>
      <c r="D29">
        <v>1237</v>
      </c>
      <c r="E29">
        <v>511</v>
      </c>
      <c r="F29">
        <v>5411</v>
      </c>
      <c r="G29">
        <v>34</v>
      </c>
      <c r="H29">
        <v>1933</v>
      </c>
      <c r="I29">
        <v>3985</v>
      </c>
      <c r="J29">
        <v>6786</v>
      </c>
      <c r="K29">
        <v>4070</v>
      </c>
      <c r="L29">
        <v>42.4</v>
      </c>
      <c r="M29">
        <v>22.2</v>
      </c>
      <c r="N29">
        <v>8043</v>
      </c>
      <c r="O29">
        <v>1776</v>
      </c>
    </row>
    <row r="30" spans="1:15" x14ac:dyDescent="0.25">
      <c r="A30" t="s">
        <v>308</v>
      </c>
      <c r="B30">
        <v>505</v>
      </c>
      <c r="C30">
        <v>672</v>
      </c>
      <c r="D30">
        <v>123</v>
      </c>
      <c r="E30">
        <v>104</v>
      </c>
      <c r="F30">
        <v>548</v>
      </c>
      <c r="G30">
        <v>1</v>
      </c>
      <c r="H30">
        <v>179</v>
      </c>
      <c r="I30">
        <v>447</v>
      </c>
      <c r="J30">
        <v>689</v>
      </c>
      <c r="K30">
        <v>389</v>
      </c>
      <c r="L30">
        <v>43.3</v>
      </c>
      <c r="M30">
        <v>25.1</v>
      </c>
      <c r="N30">
        <v>972</v>
      </c>
      <c r="O30">
        <v>331</v>
      </c>
    </row>
    <row r="31" spans="1:15" x14ac:dyDescent="0.25">
      <c r="A31" t="s">
        <v>309</v>
      </c>
      <c r="B31">
        <v>3671</v>
      </c>
      <c r="C31">
        <v>6517</v>
      </c>
      <c r="D31">
        <v>1114</v>
      </c>
      <c r="E31">
        <v>407</v>
      </c>
      <c r="F31">
        <v>4863</v>
      </c>
      <c r="G31">
        <v>33</v>
      </c>
      <c r="H31">
        <v>1754</v>
      </c>
      <c r="I31">
        <v>3538</v>
      </c>
      <c r="J31">
        <v>6097</v>
      </c>
      <c r="K31">
        <v>3681</v>
      </c>
      <c r="L31">
        <v>42.3</v>
      </c>
      <c r="M31">
        <v>21.8</v>
      </c>
      <c r="N31">
        <v>7071</v>
      </c>
      <c r="O31">
        <v>1445</v>
      </c>
    </row>
  </sheetData>
  <mergeCells count="5">
    <mergeCell ref="J2:K2"/>
    <mergeCell ref="A1:O1"/>
    <mergeCell ref="L2:O2"/>
    <mergeCell ref="A2:A3"/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O31"/>
  <sheetViews>
    <sheetView workbookViewId="0">
      <selection sqref="A1:O1"/>
    </sheetView>
  </sheetViews>
  <sheetFormatPr defaultRowHeight="15" x14ac:dyDescent="0.25"/>
  <cols>
    <col min="1" max="1" width="25.140625" customWidth="1"/>
    <col min="2" max="2" width="10.140625" customWidth="1"/>
    <col min="6" max="6" width="10" customWidth="1"/>
    <col min="7" max="7" width="10.140625" customWidth="1"/>
  </cols>
  <sheetData>
    <row r="1" spans="1:15" x14ac:dyDescent="0.25">
      <c r="A1" s="29" t="s">
        <v>372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s="29" t="s">
        <v>326</v>
      </c>
      <c r="C2" s="29"/>
      <c r="D2" s="29" t="s">
        <v>346</v>
      </c>
      <c r="E2" s="29"/>
      <c r="F2" s="29"/>
      <c r="G2" s="29"/>
      <c r="H2" s="29"/>
      <c r="I2" s="29"/>
      <c r="J2" s="29" t="s">
        <v>365</v>
      </c>
      <c r="K2" s="29"/>
      <c r="L2" s="29"/>
      <c r="M2" s="29" t="s">
        <v>366</v>
      </c>
      <c r="N2" s="29"/>
      <c r="O2" s="29"/>
    </row>
    <row r="3" spans="1:15" x14ac:dyDescent="0.25">
      <c r="A3" s="29"/>
      <c r="B3" t="s">
        <v>263</v>
      </c>
      <c r="C3" t="s">
        <v>373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</row>
    <row r="4" spans="1:15" x14ac:dyDescent="0.25">
      <c r="A4" t="s">
        <v>283</v>
      </c>
      <c r="B4">
        <v>319</v>
      </c>
      <c r="C4">
        <v>171</v>
      </c>
      <c r="D4">
        <v>1</v>
      </c>
      <c r="E4">
        <v>3</v>
      </c>
      <c r="F4">
        <v>8</v>
      </c>
      <c r="G4">
        <v>14</v>
      </c>
      <c r="H4">
        <v>11</v>
      </c>
      <c r="I4">
        <v>373</v>
      </c>
      <c r="J4">
        <v>1</v>
      </c>
      <c r="K4">
        <v>2</v>
      </c>
      <c r="L4">
        <v>52</v>
      </c>
      <c r="M4">
        <v>2</v>
      </c>
      <c r="N4">
        <v>1</v>
      </c>
      <c r="O4">
        <v>25</v>
      </c>
    </row>
    <row r="5" spans="1:15" x14ac:dyDescent="0.25">
      <c r="A5" t="s">
        <v>284</v>
      </c>
      <c r="B5">
        <v>356</v>
      </c>
      <c r="C5">
        <v>162</v>
      </c>
      <c r="D5">
        <v>2</v>
      </c>
      <c r="E5">
        <v>2</v>
      </c>
      <c r="F5">
        <v>6</v>
      </c>
      <c r="G5">
        <v>9</v>
      </c>
      <c r="H5">
        <v>21</v>
      </c>
      <c r="I5">
        <v>597</v>
      </c>
      <c r="J5">
        <v>0</v>
      </c>
      <c r="K5">
        <v>1</v>
      </c>
      <c r="L5">
        <v>92</v>
      </c>
      <c r="M5">
        <v>1</v>
      </c>
      <c r="N5">
        <v>1</v>
      </c>
      <c r="O5">
        <v>24</v>
      </c>
    </row>
    <row r="6" spans="1:15" x14ac:dyDescent="0.25">
      <c r="A6" t="s">
        <v>285</v>
      </c>
      <c r="B6">
        <v>270</v>
      </c>
      <c r="C6">
        <v>38</v>
      </c>
      <c r="D6">
        <v>1</v>
      </c>
      <c r="E6">
        <v>4</v>
      </c>
      <c r="F6">
        <v>4</v>
      </c>
      <c r="G6">
        <v>9</v>
      </c>
      <c r="H6">
        <v>6</v>
      </c>
      <c r="I6">
        <v>382</v>
      </c>
      <c r="J6">
        <v>0</v>
      </c>
      <c r="K6">
        <v>2</v>
      </c>
      <c r="L6">
        <v>78</v>
      </c>
      <c r="M6">
        <v>1</v>
      </c>
      <c r="N6">
        <v>1</v>
      </c>
      <c r="O6">
        <v>40</v>
      </c>
    </row>
    <row r="7" spans="1:15" x14ac:dyDescent="0.25">
      <c r="A7" t="s">
        <v>286</v>
      </c>
      <c r="B7">
        <v>110</v>
      </c>
      <c r="C7">
        <v>25</v>
      </c>
      <c r="D7">
        <v>0</v>
      </c>
      <c r="E7">
        <v>1</v>
      </c>
      <c r="F7">
        <v>0</v>
      </c>
      <c r="G7">
        <v>1</v>
      </c>
      <c r="H7">
        <v>4</v>
      </c>
      <c r="I7">
        <v>269</v>
      </c>
      <c r="J7">
        <v>0</v>
      </c>
      <c r="K7">
        <v>1</v>
      </c>
      <c r="L7">
        <v>59</v>
      </c>
      <c r="M7">
        <v>0</v>
      </c>
      <c r="N7">
        <v>1</v>
      </c>
      <c r="O7">
        <v>15</v>
      </c>
    </row>
    <row r="8" spans="1:15" x14ac:dyDescent="0.25">
      <c r="A8" t="s">
        <v>287</v>
      </c>
      <c r="B8">
        <v>179</v>
      </c>
      <c r="C8">
        <v>48</v>
      </c>
      <c r="D8">
        <v>0</v>
      </c>
      <c r="E8">
        <v>0</v>
      </c>
      <c r="F8">
        <v>2</v>
      </c>
      <c r="G8">
        <v>1</v>
      </c>
      <c r="H8">
        <v>0</v>
      </c>
      <c r="I8">
        <v>310</v>
      </c>
      <c r="J8">
        <v>1</v>
      </c>
      <c r="K8">
        <v>1</v>
      </c>
      <c r="L8">
        <v>68</v>
      </c>
      <c r="M8">
        <v>1</v>
      </c>
      <c r="N8">
        <v>0</v>
      </c>
      <c r="O8">
        <v>23</v>
      </c>
    </row>
    <row r="9" spans="1:15" x14ac:dyDescent="0.25">
      <c r="A9" t="s">
        <v>288</v>
      </c>
      <c r="B9">
        <v>196</v>
      </c>
      <c r="C9">
        <v>69</v>
      </c>
      <c r="D9">
        <v>6</v>
      </c>
      <c r="E9">
        <v>7</v>
      </c>
      <c r="F9">
        <v>14</v>
      </c>
      <c r="G9">
        <v>13</v>
      </c>
      <c r="H9">
        <v>3</v>
      </c>
      <c r="I9">
        <v>440</v>
      </c>
      <c r="J9">
        <v>0</v>
      </c>
      <c r="K9">
        <v>0</v>
      </c>
      <c r="L9">
        <v>67</v>
      </c>
      <c r="M9">
        <v>0</v>
      </c>
      <c r="N9">
        <v>2</v>
      </c>
      <c r="O9">
        <v>22</v>
      </c>
    </row>
    <row r="10" spans="1:15" x14ac:dyDescent="0.25">
      <c r="A10" t="s">
        <v>289</v>
      </c>
      <c r="B10">
        <v>192</v>
      </c>
      <c r="C10">
        <v>16</v>
      </c>
      <c r="D10">
        <v>0</v>
      </c>
      <c r="E10">
        <v>0</v>
      </c>
      <c r="F10">
        <v>1</v>
      </c>
      <c r="G10">
        <v>2</v>
      </c>
      <c r="H10">
        <v>2</v>
      </c>
      <c r="I10">
        <v>304</v>
      </c>
      <c r="J10">
        <v>0</v>
      </c>
      <c r="K10">
        <v>0</v>
      </c>
      <c r="L10">
        <v>76</v>
      </c>
      <c r="M10">
        <v>1</v>
      </c>
      <c r="N10">
        <v>1</v>
      </c>
      <c r="O10">
        <v>21</v>
      </c>
    </row>
    <row r="11" spans="1:15" x14ac:dyDescent="0.25">
      <c r="A11" t="s">
        <v>290</v>
      </c>
      <c r="B11">
        <v>229</v>
      </c>
      <c r="C11">
        <v>12</v>
      </c>
      <c r="D11">
        <v>2</v>
      </c>
      <c r="E11">
        <v>3</v>
      </c>
      <c r="F11">
        <v>0</v>
      </c>
      <c r="G11">
        <v>4</v>
      </c>
      <c r="H11">
        <v>3</v>
      </c>
      <c r="I11">
        <v>362</v>
      </c>
      <c r="J11">
        <v>0</v>
      </c>
      <c r="K11">
        <v>1</v>
      </c>
      <c r="L11">
        <v>101</v>
      </c>
      <c r="M11">
        <v>1</v>
      </c>
      <c r="N11">
        <v>0</v>
      </c>
      <c r="O11">
        <v>37</v>
      </c>
    </row>
    <row r="12" spans="1:15" x14ac:dyDescent="0.25">
      <c r="A12" t="s">
        <v>291</v>
      </c>
      <c r="B12">
        <v>22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22</v>
      </c>
      <c r="J12">
        <v>0</v>
      </c>
      <c r="K12">
        <v>0</v>
      </c>
      <c r="L12">
        <v>4</v>
      </c>
      <c r="M12">
        <v>0</v>
      </c>
      <c r="N12">
        <v>0</v>
      </c>
      <c r="O12">
        <v>2</v>
      </c>
    </row>
    <row r="13" spans="1:15" x14ac:dyDescent="0.25">
      <c r="A13" t="s">
        <v>292</v>
      </c>
      <c r="B13">
        <v>65</v>
      </c>
      <c r="C13">
        <v>51</v>
      </c>
      <c r="D13">
        <v>0</v>
      </c>
      <c r="E13">
        <v>5</v>
      </c>
      <c r="F13">
        <v>8</v>
      </c>
      <c r="G13">
        <v>7</v>
      </c>
      <c r="H13">
        <v>6</v>
      </c>
      <c r="I13">
        <v>95</v>
      </c>
      <c r="J13">
        <v>0</v>
      </c>
      <c r="K13">
        <v>1</v>
      </c>
      <c r="L13">
        <v>21</v>
      </c>
      <c r="M13">
        <v>0</v>
      </c>
      <c r="N13">
        <v>0</v>
      </c>
      <c r="O13">
        <v>7</v>
      </c>
    </row>
    <row r="14" spans="1:15" x14ac:dyDescent="0.25">
      <c r="A14" t="s">
        <v>293</v>
      </c>
      <c r="B14">
        <v>86</v>
      </c>
      <c r="C14">
        <v>17</v>
      </c>
      <c r="D14">
        <v>2</v>
      </c>
      <c r="E14">
        <v>6</v>
      </c>
      <c r="F14">
        <v>8</v>
      </c>
      <c r="G14">
        <v>6</v>
      </c>
      <c r="H14">
        <v>13</v>
      </c>
      <c r="I14">
        <v>237</v>
      </c>
      <c r="J14">
        <v>1</v>
      </c>
      <c r="K14">
        <v>0</v>
      </c>
      <c r="L14">
        <v>41</v>
      </c>
      <c r="M14">
        <v>1</v>
      </c>
      <c r="N14">
        <v>0</v>
      </c>
      <c r="O14">
        <v>9</v>
      </c>
    </row>
    <row r="15" spans="1:15" x14ac:dyDescent="0.25">
      <c r="A15" t="s">
        <v>294</v>
      </c>
      <c r="B15">
        <v>21</v>
      </c>
      <c r="C15">
        <v>18</v>
      </c>
      <c r="D15">
        <v>1</v>
      </c>
      <c r="E15">
        <v>0</v>
      </c>
      <c r="F15">
        <v>1</v>
      </c>
      <c r="G15">
        <v>2</v>
      </c>
      <c r="H15">
        <v>3</v>
      </c>
      <c r="I15">
        <v>83</v>
      </c>
      <c r="J15">
        <v>0</v>
      </c>
      <c r="K15">
        <v>0</v>
      </c>
      <c r="L15">
        <v>9</v>
      </c>
      <c r="M15">
        <v>0</v>
      </c>
      <c r="N15">
        <v>0</v>
      </c>
      <c r="O15">
        <v>5</v>
      </c>
    </row>
    <row r="16" spans="1:15" x14ac:dyDescent="0.25">
      <c r="A16" t="s">
        <v>295</v>
      </c>
      <c r="B16">
        <v>97</v>
      </c>
      <c r="C16">
        <v>57</v>
      </c>
      <c r="D16">
        <v>0</v>
      </c>
      <c r="E16">
        <v>2</v>
      </c>
      <c r="F16">
        <v>1</v>
      </c>
      <c r="G16">
        <v>9</v>
      </c>
      <c r="H16">
        <v>5</v>
      </c>
      <c r="I16">
        <v>197</v>
      </c>
      <c r="J16">
        <v>1</v>
      </c>
      <c r="K16">
        <v>5</v>
      </c>
      <c r="L16">
        <v>22</v>
      </c>
      <c r="M16">
        <v>2</v>
      </c>
      <c r="N16">
        <v>1</v>
      </c>
      <c r="O16">
        <v>6</v>
      </c>
    </row>
    <row r="17" spans="1:15" x14ac:dyDescent="0.25">
      <c r="A17" t="s">
        <v>296</v>
      </c>
      <c r="B17">
        <v>25</v>
      </c>
      <c r="C17">
        <v>14</v>
      </c>
      <c r="D17">
        <v>0</v>
      </c>
      <c r="E17">
        <v>0</v>
      </c>
      <c r="F17">
        <v>2</v>
      </c>
      <c r="G17">
        <v>0</v>
      </c>
      <c r="H17">
        <v>0</v>
      </c>
      <c r="I17">
        <v>47</v>
      </c>
      <c r="J17">
        <v>0</v>
      </c>
      <c r="K17">
        <v>1</v>
      </c>
      <c r="L17">
        <v>6</v>
      </c>
      <c r="M17">
        <v>0</v>
      </c>
      <c r="N17">
        <v>0</v>
      </c>
      <c r="O17">
        <v>2</v>
      </c>
    </row>
    <row r="18" spans="1:15" x14ac:dyDescent="0.25">
      <c r="A18" t="s">
        <v>297</v>
      </c>
      <c r="B18">
        <v>145</v>
      </c>
      <c r="C18">
        <v>0</v>
      </c>
      <c r="D18">
        <v>0</v>
      </c>
      <c r="E18">
        <v>2</v>
      </c>
      <c r="F18">
        <v>1</v>
      </c>
      <c r="G18">
        <v>0</v>
      </c>
      <c r="H18">
        <v>1</v>
      </c>
      <c r="I18">
        <v>160</v>
      </c>
      <c r="J18">
        <v>0</v>
      </c>
      <c r="K18">
        <v>0</v>
      </c>
      <c r="L18">
        <v>30</v>
      </c>
      <c r="M18">
        <v>0</v>
      </c>
      <c r="N18">
        <v>2</v>
      </c>
      <c r="O18">
        <v>34</v>
      </c>
    </row>
    <row r="19" spans="1:15" x14ac:dyDescent="0.25">
      <c r="A19" t="s">
        <v>298</v>
      </c>
      <c r="B19">
        <v>54</v>
      </c>
      <c r="C19">
        <v>26</v>
      </c>
      <c r="D19">
        <v>0</v>
      </c>
      <c r="E19">
        <v>0</v>
      </c>
      <c r="F19">
        <v>0</v>
      </c>
      <c r="G19">
        <v>1</v>
      </c>
      <c r="H19">
        <v>0</v>
      </c>
      <c r="I19">
        <v>71</v>
      </c>
      <c r="J19">
        <v>0</v>
      </c>
      <c r="K19">
        <v>0</v>
      </c>
      <c r="L19">
        <v>19</v>
      </c>
      <c r="M19">
        <v>0</v>
      </c>
      <c r="N19">
        <v>0</v>
      </c>
      <c r="O19">
        <v>8</v>
      </c>
    </row>
    <row r="20" spans="1:15" x14ac:dyDescent="0.25">
      <c r="A20" t="s">
        <v>299</v>
      </c>
      <c r="B20">
        <v>103</v>
      </c>
      <c r="C20">
        <v>79</v>
      </c>
      <c r="D20">
        <v>1</v>
      </c>
      <c r="E20">
        <v>2</v>
      </c>
      <c r="F20">
        <v>4</v>
      </c>
      <c r="G20">
        <v>6</v>
      </c>
      <c r="H20">
        <v>12</v>
      </c>
      <c r="I20">
        <v>200</v>
      </c>
      <c r="J20">
        <v>3</v>
      </c>
      <c r="K20">
        <v>1</v>
      </c>
      <c r="L20">
        <v>44</v>
      </c>
      <c r="M20">
        <v>3</v>
      </c>
      <c r="N20">
        <v>1</v>
      </c>
      <c r="O20">
        <v>11</v>
      </c>
    </row>
    <row r="21" spans="1:15" x14ac:dyDescent="0.25">
      <c r="A21" t="s">
        <v>300</v>
      </c>
      <c r="B21">
        <v>347</v>
      </c>
      <c r="C21">
        <v>9</v>
      </c>
      <c r="D21">
        <v>0</v>
      </c>
      <c r="E21">
        <v>2</v>
      </c>
      <c r="F21">
        <v>4</v>
      </c>
      <c r="G21">
        <v>10</v>
      </c>
      <c r="H21">
        <v>9</v>
      </c>
      <c r="I21">
        <v>518</v>
      </c>
      <c r="J21">
        <v>2</v>
      </c>
      <c r="K21">
        <v>0</v>
      </c>
      <c r="L21">
        <v>90</v>
      </c>
      <c r="M21">
        <v>3</v>
      </c>
      <c r="N21">
        <v>0</v>
      </c>
      <c r="O21">
        <v>28</v>
      </c>
    </row>
    <row r="22" spans="1:15" x14ac:dyDescent="0.25">
      <c r="A22" t="s">
        <v>301</v>
      </c>
      <c r="B22">
        <v>169</v>
      </c>
      <c r="C22">
        <v>73</v>
      </c>
      <c r="D22">
        <v>3</v>
      </c>
      <c r="E22">
        <v>4</v>
      </c>
      <c r="F22">
        <v>12</v>
      </c>
      <c r="G22">
        <v>9</v>
      </c>
      <c r="H22">
        <v>13</v>
      </c>
      <c r="I22">
        <v>260</v>
      </c>
      <c r="J22">
        <v>0</v>
      </c>
      <c r="K22">
        <v>2</v>
      </c>
      <c r="L22">
        <v>42</v>
      </c>
      <c r="M22">
        <v>0</v>
      </c>
      <c r="N22">
        <v>0</v>
      </c>
      <c r="O22">
        <v>15</v>
      </c>
    </row>
    <row r="23" spans="1:15" x14ac:dyDescent="0.25">
      <c r="A23" t="s">
        <v>302</v>
      </c>
      <c r="B23">
        <v>58</v>
      </c>
      <c r="C23">
        <v>25</v>
      </c>
      <c r="D23">
        <v>4</v>
      </c>
      <c r="E23">
        <v>3</v>
      </c>
      <c r="F23">
        <v>11</v>
      </c>
      <c r="G23">
        <v>30</v>
      </c>
      <c r="H23">
        <v>28</v>
      </c>
      <c r="I23">
        <v>137</v>
      </c>
      <c r="J23">
        <v>0</v>
      </c>
      <c r="K23">
        <v>1</v>
      </c>
      <c r="L23">
        <v>11</v>
      </c>
      <c r="M23">
        <v>1</v>
      </c>
      <c r="N23">
        <v>1</v>
      </c>
      <c r="O23">
        <v>7</v>
      </c>
    </row>
    <row r="24" spans="1:15" x14ac:dyDescent="0.25">
      <c r="A24" t="s">
        <v>303</v>
      </c>
      <c r="B24">
        <v>431</v>
      </c>
      <c r="C24">
        <v>109</v>
      </c>
      <c r="D24">
        <v>0</v>
      </c>
      <c r="E24">
        <v>3</v>
      </c>
      <c r="F24">
        <v>1</v>
      </c>
      <c r="G24">
        <v>4</v>
      </c>
      <c r="H24">
        <v>9</v>
      </c>
      <c r="I24">
        <v>485</v>
      </c>
      <c r="J24">
        <v>0</v>
      </c>
      <c r="K24">
        <v>1</v>
      </c>
      <c r="L24">
        <v>83</v>
      </c>
      <c r="M24">
        <v>4</v>
      </c>
      <c r="N24">
        <v>6</v>
      </c>
      <c r="O24">
        <v>25</v>
      </c>
    </row>
    <row r="25" spans="1:15" x14ac:dyDescent="0.25">
      <c r="A25" t="s">
        <v>304</v>
      </c>
      <c r="B25">
        <v>31</v>
      </c>
      <c r="C25">
        <v>21</v>
      </c>
      <c r="D25">
        <v>0</v>
      </c>
      <c r="E25">
        <v>0</v>
      </c>
      <c r="F25">
        <v>0</v>
      </c>
      <c r="G25">
        <v>1</v>
      </c>
      <c r="H25">
        <v>8</v>
      </c>
      <c r="I25">
        <v>140</v>
      </c>
      <c r="J25">
        <v>0</v>
      </c>
      <c r="K25">
        <v>0</v>
      </c>
      <c r="L25">
        <v>21</v>
      </c>
      <c r="M25">
        <v>0</v>
      </c>
      <c r="N25">
        <v>0</v>
      </c>
      <c r="O25">
        <v>7</v>
      </c>
    </row>
    <row r="26" spans="1:15" x14ac:dyDescent="0.25">
      <c r="A26" t="s">
        <v>305</v>
      </c>
      <c r="B26">
        <v>170</v>
      </c>
      <c r="C26">
        <v>84</v>
      </c>
      <c r="D26">
        <v>1</v>
      </c>
      <c r="E26">
        <v>1</v>
      </c>
      <c r="F26">
        <v>1</v>
      </c>
      <c r="G26">
        <v>3</v>
      </c>
      <c r="H26">
        <v>3</v>
      </c>
      <c r="I26">
        <v>253</v>
      </c>
      <c r="J26">
        <v>1</v>
      </c>
      <c r="K26">
        <v>0</v>
      </c>
      <c r="L26">
        <v>54</v>
      </c>
      <c r="M26">
        <v>0</v>
      </c>
      <c r="N26">
        <v>0</v>
      </c>
      <c r="O26">
        <v>19</v>
      </c>
    </row>
    <row r="27" spans="1:15" x14ac:dyDescent="0.25">
      <c r="A27" t="s">
        <v>306</v>
      </c>
      <c r="B27">
        <v>278</v>
      </c>
      <c r="C27">
        <v>31</v>
      </c>
      <c r="D27">
        <v>0</v>
      </c>
      <c r="E27">
        <v>1</v>
      </c>
      <c r="F27">
        <v>0</v>
      </c>
      <c r="G27">
        <v>1</v>
      </c>
      <c r="H27">
        <v>1</v>
      </c>
      <c r="I27">
        <v>379</v>
      </c>
      <c r="J27">
        <v>1</v>
      </c>
      <c r="K27">
        <v>0</v>
      </c>
      <c r="L27">
        <v>70</v>
      </c>
      <c r="M27">
        <v>0</v>
      </c>
      <c r="N27">
        <v>1</v>
      </c>
      <c r="O27">
        <v>47</v>
      </c>
    </row>
    <row r="28" spans="1:15" x14ac:dyDescent="0.25">
      <c r="A28" t="s">
        <v>307</v>
      </c>
      <c r="B28">
        <v>223</v>
      </c>
      <c r="C28">
        <v>44</v>
      </c>
      <c r="D28">
        <v>5</v>
      </c>
      <c r="E28">
        <v>17</v>
      </c>
      <c r="F28">
        <v>11</v>
      </c>
      <c r="G28">
        <v>20</v>
      </c>
      <c r="H28">
        <v>12</v>
      </c>
      <c r="I28">
        <v>336</v>
      </c>
      <c r="J28">
        <v>1</v>
      </c>
      <c r="K28">
        <v>1</v>
      </c>
      <c r="L28">
        <v>52</v>
      </c>
      <c r="M28">
        <v>1</v>
      </c>
      <c r="N28">
        <v>0</v>
      </c>
      <c r="O28">
        <v>23</v>
      </c>
    </row>
    <row r="29" spans="1:15" x14ac:dyDescent="0.25">
      <c r="A29" t="s">
        <v>266</v>
      </c>
      <c r="B29">
        <v>4176</v>
      </c>
      <c r="C29">
        <v>1207</v>
      </c>
      <c r="D29">
        <v>29</v>
      </c>
      <c r="E29">
        <v>68</v>
      </c>
      <c r="F29">
        <v>100</v>
      </c>
      <c r="G29">
        <v>162</v>
      </c>
      <c r="H29">
        <v>173</v>
      </c>
      <c r="I29">
        <v>6657</v>
      </c>
      <c r="J29">
        <v>12</v>
      </c>
      <c r="K29">
        <v>21</v>
      </c>
      <c r="L29">
        <v>1212</v>
      </c>
      <c r="M29">
        <v>22</v>
      </c>
      <c r="N29">
        <v>19</v>
      </c>
      <c r="O29">
        <v>462</v>
      </c>
    </row>
    <row r="30" spans="1:15" x14ac:dyDescent="0.25">
      <c r="A30" t="s">
        <v>308</v>
      </c>
      <c r="B30">
        <v>505</v>
      </c>
      <c r="C30">
        <v>118</v>
      </c>
      <c r="D30">
        <v>0</v>
      </c>
      <c r="E30">
        <v>4</v>
      </c>
      <c r="F30">
        <v>6</v>
      </c>
      <c r="G30">
        <v>5</v>
      </c>
      <c r="H30">
        <v>8</v>
      </c>
      <c r="I30">
        <v>649</v>
      </c>
      <c r="J30">
        <v>1</v>
      </c>
      <c r="K30">
        <v>0</v>
      </c>
      <c r="L30">
        <v>125</v>
      </c>
      <c r="M30">
        <v>3</v>
      </c>
      <c r="N30">
        <v>5</v>
      </c>
      <c r="O30">
        <v>93</v>
      </c>
    </row>
    <row r="31" spans="1:15" x14ac:dyDescent="0.25">
      <c r="A31" t="s">
        <v>309</v>
      </c>
      <c r="B31">
        <v>3671</v>
      </c>
      <c r="C31">
        <v>1089</v>
      </c>
      <c r="D31">
        <v>29</v>
      </c>
      <c r="E31">
        <v>64</v>
      </c>
      <c r="F31">
        <v>94</v>
      </c>
      <c r="G31">
        <v>157</v>
      </c>
      <c r="H31">
        <v>165</v>
      </c>
      <c r="I31">
        <v>6008</v>
      </c>
      <c r="J31">
        <v>11</v>
      </c>
      <c r="K31">
        <v>21</v>
      </c>
      <c r="L31">
        <v>1087</v>
      </c>
      <c r="M31">
        <v>19</v>
      </c>
      <c r="N31">
        <v>14</v>
      </c>
      <c r="O31">
        <v>369</v>
      </c>
    </row>
  </sheetData>
  <mergeCells count="6">
    <mergeCell ref="D2:I2"/>
    <mergeCell ref="J2:L2"/>
    <mergeCell ref="B2:C2"/>
    <mergeCell ref="A1:O1"/>
    <mergeCell ref="A2:A3"/>
    <mergeCell ref="M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AW31"/>
  <sheetViews>
    <sheetView workbookViewId="0">
      <selection sqref="A1:M1"/>
    </sheetView>
  </sheetViews>
  <sheetFormatPr defaultRowHeight="15" x14ac:dyDescent="0.25"/>
  <sheetData>
    <row r="1" spans="1:49" x14ac:dyDescent="0.25">
      <c r="A1" s="29" t="s">
        <v>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49" x14ac:dyDescent="0.25">
      <c r="A2" s="29" t="s">
        <v>252</v>
      </c>
      <c r="B2" s="29" t="s">
        <v>375</v>
      </c>
      <c r="C2" s="29"/>
      <c r="D2" s="29" t="s">
        <v>376</v>
      </c>
      <c r="E2" s="29"/>
      <c r="F2" s="29" t="s">
        <v>377</v>
      </c>
      <c r="G2" s="29"/>
      <c r="H2" s="29" t="s">
        <v>378</v>
      </c>
      <c r="I2" s="29"/>
      <c r="J2" s="29" t="s">
        <v>379</v>
      </c>
      <c r="K2" s="29"/>
      <c r="L2" s="29" t="s">
        <v>380</v>
      </c>
      <c r="M2" s="29"/>
      <c r="N2" s="29" t="s">
        <v>381</v>
      </c>
      <c r="O2" s="29"/>
      <c r="P2" s="29" t="s">
        <v>382</v>
      </c>
      <c r="Q2" s="29"/>
      <c r="R2" s="29" t="s">
        <v>383</v>
      </c>
      <c r="S2" s="29"/>
      <c r="T2" s="29" t="s">
        <v>384</v>
      </c>
      <c r="U2" s="29"/>
      <c r="V2" s="29" t="s">
        <v>385</v>
      </c>
      <c r="W2" s="29"/>
      <c r="X2" s="29" t="s">
        <v>386</v>
      </c>
      <c r="Y2" s="29"/>
      <c r="Z2" s="29" t="s">
        <v>387</v>
      </c>
      <c r="AA2" s="29"/>
      <c r="AB2" s="29" t="s">
        <v>388</v>
      </c>
      <c r="AC2" s="29"/>
      <c r="AD2" s="29" t="s">
        <v>389</v>
      </c>
      <c r="AE2" s="29"/>
      <c r="AF2" s="29" t="s">
        <v>390</v>
      </c>
      <c r="AG2" s="29"/>
      <c r="AH2" s="29" t="s">
        <v>391</v>
      </c>
      <c r="AI2" s="29"/>
      <c r="AJ2" s="29" t="s">
        <v>392</v>
      </c>
      <c r="AK2" s="29"/>
      <c r="AL2" s="29" t="s">
        <v>393</v>
      </c>
      <c r="AM2" s="29"/>
      <c r="AN2" s="29" t="s">
        <v>394</v>
      </c>
      <c r="AO2" s="29"/>
      <c r="AP2" s="29" t="s">
        <v>395</v>
      </c>
      <c r="AQ2" s="29"/>
      <c r="AR2" s="29" t="s">
        <v>396</v>
      </c>
      <c r="AS2" s="29"/>
      <c r="AT2" s="29" t="s">
        <v>397</v>
      </c>
      <c r="AU2" s="29"/>
      <c r="AV2" s="29" t="s">
        <v>398</v>
      </c>
      <c r="AW2" s="29"/>
    </row>
    <row r="3" spans="1:49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</row>
    <row r="4" spans="1:49" x14ac:dyDescent="0.25">
      <c r="A4" t="s">
        <v>283</v>
      </c>
      <c r="B4">
        <v>17888</v>
      </c>
      <c r="C4">
        <v>8477</v>
      </c>
      <c r="D4">
        <v>1203</v>
      </c>
      <c r="E4">
        <v>404</v>
      </c>
      <c r="F4">
        <v>17555</v>
      </c>
      <c r="G4">
        <v>8313</v>
      </c>
      <c r="H4">
        <v>829</v>
      </c>
      <c r="I4">
        <v>290</v>
      </c>
      <c r="J4">
        <v>17153</v>
      </c>
      <c r="K4">
        <v>8177</v>
      </c>
      <c r="L4">
        <v>594</v>
      </c>
      <c r="M4">
        <v>205</v>
      </c>
      <c r="N4">
        <v>15762</v>
      </c>
      <c r="O4">
        <v>7685</v>
      </c>
      <c r="P4">
        <v>442</v>
      </c>
      <c r="Q4">
        <v>126</v>
      </c>
      <c r="R4">
        <v>14052</v>
      </c>
      <c r="S4">
        <v>7130</v>
      </c>
      <c r="T4">
        <v>254</v>
      </c>
      <c r="U4">
        <v>70</v>
      </c>
      <c r="V4">
        <v>12505</v>
      </c>
      <c r="W4">
        <v>6418</v>
      </c>
      <c r="X4">
        <v>142</v>
      </c>
      <c r="Y4">
        <v>36</v>
      </c>
      <c r="Z4">
        <v>10575</v>
      </c>
      <c r="AA4">
        <v>5435</v>
      </c>
      <c r="AB4">
        <v>200</v>
      </c>
      <c r="AC4">
        <v>55</v>
      </c>
      <c r="AD4">
        <v>8456</v>
      </c>
      <c r="AE4">
        <v>4510</v>
      </c>
      <c r="AF4">
        <v>53</v>
      </c>
      <c r="AG4">
        <v>18</v>
      </c>
      <c r="AH4">
        <v>6879</v>
      </c>
      <c r="AI4">
        <v>3609</v>
      </c>
      <c r="AJ4">
        <v>201</v>
      </c>
      <c r="AK4">
        <v>51</v>
      </c>
      <c r="AL4">
        <v>4717</v>
      </c>
      <c r="AM4">
        <v>2534</v>
      </c>
      <c r="AN4">
        <v>12</v>
      </c>
      <c r="AO4">
        <v>7</v>
      </c>
      <c r="AP4">
        <v>3456</v>
      </c>
      <c r="AQ4">
        <v>1861</v>
      </c>
      <c r="AR4">
        <v>9</v>
      </c>
      <c r="AS4">
        <v>2</v>
      </c>
      <c r="AT4">
        <v>3137</v>
      </c>
      <c r="AU4">
        <v>1689</v>
      </c>
      <c r="AV4">
        <v>142</v>
      </c>
      <c r="AW4">
        <v>60</v>
      </c>
    </row>
    <row r="5" spans="1:49" x14ac:dyDescent="0.25">
      <c r="A5" t="s">
        <v>284</v>
      </c>
      <c r="B5">
        <v>34407</v>
      </c>
      <c r="C5">
        <v>16064</v>
      </c>
      <c r="D5">
        <v>4174</v>
      </c>
      <c r="E5">
        <v>1631</v>
      </c>
      <c r="F5">
        <v>30827</v>
      </c>
      <c r="G5">
        <v>14413</v>
      </c>
      <c r="H5">
        <v>2431</v>
      </c>
      <c r="I5">
        <v>902</v>
      </c>
      <c r="J5">
        <v>29902</v>
      </c>
      <c r="K5">
        <v>14003</v>
      </c>
      <c r="L5">
        <v>1718</v>
      </c>
      <c r="M5">
        <v>579</v>
      </c>
      <c r="N5">
        <v>27770</v>
      </c>
      <c r="O5">
        <v>13452</v>
      </c>
      <c r="P5">
        <v>1055</v>
      </c>
      <c r="Q5">
        <v>383</v>
      </c>
      <c r="R5">
        <v>24763</v>
      </c>
      <c r="S5">
        <v>12229</v>
      </c>
      <c r="T5">
        <v>596</v>
      </c>
      <c r="U5">
        <v>203</v>
      </c>
      <c r="V5">
        <v>21710</v>
      </c>
      <c r="W5">
        <v>10926</v>
      </c>
      <c r="X5">
        <v>497</v>
      </c>
      <c r="Y5">
        <v>162</v>
      </c>
      <c r="Z5">
        <v>17384</v>
      </c>
      <c r="AA5">
        <v>8983</v>
      </c>
      <c r="AB5">
        <v>557</v>
      </c>
      <c r="AC5">
        <v>163</v>
      </c>
      <c r="AD5">
        <v>13745</v>
      </c>
      <c r="AE5">
        <v>7275</v>
      </c>
      <c r="AF5">
        <v>332</v>
      </c>
      <c r="AG5">
        <v>110</v>
      </c>
      <c r="AH5">
        <v>10716</v>
      </c>
      <c r="AI5">
        <v>5760</v>
      </c>
      <c r="AJ5">
        <v>347</v>
      </c>
      <c r="AK5">
        <v>121</v>
      </c>
      <c r="AL5">
        <v>7602</v>
      </c>
      <c r="AM5">
        <v>4167</v>
      </c>
      <c r="AN5">
        <v>77</v>
      </c>
      <c r="AO5">
        <v>32</v>
      </c>
      <c r="AP5">
        <v>5761</v>
      </c>
      <c r="AQ5">
        <v>3158</v>
      </c>
      <c r="AR5">
        <v>42</v>
      </c>
      <c r="AS5">
        <v>11</v>
      </c>
      <c r="AT5">
        <v>5431</v>
      </c>
      <c r="AU5">
        <v>3032</v>
      </c>
      <c r="AV5">
        <v>309</v>
      </c>
      <c r="AW5">
        <v>161</v>
      </c>
    </row>
    <row r="6" spans="1:49" x14ac:dyDescent="0.25">
      <c r="A6" t="s">
        <v>285</v>
      </c>
      <c r="B6">
        <v>27752</v>
      </c>
      <c r="C6">
        <v>12658</v>
      </c>
      <c r="D6">
        <v>4138</v>
      </c>
      <c r="E6">
        <v>1667</v>
      </c>
      <c r="F6">
        <v>26290</v>
      </c>
      <c r="G6">
        <v>12156</v>
      </c>
      <c r="H6">
        <v>2998</v>
      </c>
      <c r="I6">
        <v>1068</v>
      </c>
      <c r="J6">
        <v>24746</v>
      </c>
      <c r="K6">
        <v>11801</v>
      </c>
      <c r="L6">
        <v>2291</v>
      </c>
      <c r="M6">
        <v>793</v>
      </c>
      <c r="N6">
        <v>23024</v>
      </c>
      <c r="O6">
        <v>11212</v>
      </c>
      <c r="P6">
        <v>1737</v>
      </c>
      <c r="Q6">
        <v>597</v>
      </c>
      <c r="R6">
        <v>21040</v>
      </c>
      <c r="S6">
        <v>10419</v>
      </c>
      <c r="T6">
        <v>1265</v>
      </c>
      <c r="U6">
        <v>424</v>
      </c>
      <c r="V6">
        <v>19141</v>
      </c>
      <c r="W6">
        <v>9605</v>
      </c>
      <c r="X6">
        <v>742</v>
      </c>
      <c r="Y6">
        <v>243</v>
      </c>
      <c r="Z6">
        <v>16510</v>
      </c>
      <c r="AA6">
        <v>8740</v>
      </c>
      <c r="AB6">
        <v>658</v>
      </c>
      <c r="AC6">
        <v>220</v>
      </c>
      <c r="AD6">
        <v>13984</v>
      </c>
      <c r="AE6">
        <v>7474</v>
      </c>
      <c r="AF6">
        <v>342</v>
      </c>
      <c r="AG6">
        <v>113</v>
      </c>
      <c r="AH6">
        <v>11447</v>
      </c>
      <c r="AI6">
        <v>6198</v>
      </c>
      <c r="AJ6">
        <v>421</v>
      </c>
      <c r="AK6">
        <v>118</v>
      </c>
      <c r="AL6">
        <v>8934</v>
      </c>
      <c r="AM6">
        <v>4965</v>
      </c>
      <c r="AN6">
        <v>150</v>
      </c>
      <c r="AO6">
        <v>59</v>
      </c>
      <c r="AP6">
        <v>6550</v>
      </c>
      <c r="AQ6">
        <v>3584</v>
      </c>
      <c r="AR6">
        <v>51</v>
      </c>
      <c r="AS6">
        <v>20</v>
      </c>
      <c r="AT6">
        <v>6220</v>
      </c>
      <c r="AU6">
        <v>3449</v>
      </c>
      <c r="AV6">
        <v>354</v>
      </c>
      <c r="AW6">
        <v>145</v>
      </c>
    </row>
    <row r="7" spans="1:49" x14ac:dyDescent="0.25">
      <c r="A7" t="s">
        <v>286</v>
      </c>
      <c r="B7">
        <v>13096</v>
      </c>
      <c r="C7">
        <v>6194</v>
      </c>
      <c r="D7">
        <v>1489</v>
      </c>
      <c r="E7">
        <v>600</v>
      </c>
      <c r="F7">
        <v>13041</v>
      </c>
      <c r="G7">
        <v>6155</v>
      </c>
      <c r="H7">
        <v>1081</v>
      </c>
      <c r="I7">
        <v>387</v>
      </c>
      <c r="J7">
        <v>13294</v>
      </c>
      <c r="K7">
        <v>6465</v>
      </c>
      <c r="L7">
        <v>797</v>
      </c>
      <c r="M7">
        <v>266</v>
      </c>
      <c r="N7">
        <v>12603</v>
      </c>
      <c r="O7">
        <v>6180</v>
      </c>
      <c r="P7">
        <v>569</v>
      </c>
      <c r="Q7">
        <v>185</v>
      </c>
      <c r="R7">
        <v>11429</v>
      </c>
      <c r="S7">
        <v>5751</v>
      </c>
      <c r="T7">
        <v>353</v>
      </c>
      <c r="U7">
        <v>108</v>
      </c>
      <c r="V7">
        <v>10651</v>
      </c>
      <c r="W7">
        <v>5431</v>
      </c>
      <c r="X7">
        <v>220</v>
      </c>
      <c r="Y7">
        <v>63</v>
      </c>
      <c r="Z7">
        <v>9457</v>
      </c>
      <c r="AA7">
        <v>4847</v>
      </c>
      <c r="AB7">
        <v>223</v>
      </c>
      <c r="AC7">
        <v>41</v>
      </c>
      <c r="AD7">
        <v>8116</v>
      </c>
      <c r="AE7">
        <v>4425</v>
      </c>
      <c r="AF7">
        <v>79</v>
      </c>
      <c r="AG7">
        <v>15</v>
      </c>
      <c r="AH7">
        <v>7047</v>
      </c>
      <c r="AI7">
        <v>3824</v>
      </c>
      <c r="AJ7">
        <v>113</v>
      </c>
      <c r="AK7">
        <v>33</v>
      </c>
      <c r="AL7">
        <v>4952</v>
      </c>
      <c r="AM7">
        <v>2747</v>
      </c>
      <c r="AN7">
        <v>41</v>
      </c>
      <c r="AO7">
        <v>10</v>
      </c>
      <c r="AP7">
        <v>3679</v>
      </c>
      <c r="AQ7">
        <v>2012</v>
      </c>
      <c r="AR7">
        <v>30</v>
      </c>
      <c r="AS7">
        <v>8</v>
      </c>
      <c r="AT7">
        <v>3444</v>
      </c>
      <c r="AU7">
        <v>1816</v>
      </c>
      <c r="AV7">
        <v>261</v>
      </c>
      <c r="AW7">
        <v>93</v>
      </c>
    </row>
    <row r="8" spans="1:49" x14ac:dyDescent="0.25">
      <c r="A8" t="s">
        <v>287</v>
      </c>
      <c r="B8">
        <v>19281</v>
      </c>
      <c r="C8">
        <v>9021</v>
      </c>
      <c r="D8">
        <v>1860</v>
      </c>
      <c r="E8">
        <v>704</v>
      </c>
      <c r="F8">
        <v>19301</v>
      </c>
      <c r="G8">
        <v>9023</v>
      </c>
      <c r="H8">
        <v>1196</v>
      </c>
      <c r="I8">
        <v>429</v>
      </c>
      <c r="J8">
        <v>20139</v>
      </c>
      <c r="K8">
        <v>9645</v>
      </c>
      <c r="L8">
        <v>831</v>
      </c>
      <c r="M8">
        <v>320</v>
      </c>
      <c r="N8">
        <v>18868</v>
      </c>
      <c r="O8">
        <v>9163</v>
      </c>
      <c r="P8">
        <v>588</v>
      </c>
      <c r="Q8">
        <v>225</v>
      </c>
      <c r="R8">
        <v>17869</v>
      </c>
      <c r="S8">
        <v>8953</v>
      </c>
      <c r="T8">
        <v>442</v>
      </c>
      <c r="U8">
        <v>178</v>
      </c>
      <c r="V8">
        <v>15929</v>
      </c>
      <c r="W8">
        <v>7768</v>
      </c>
      <c r="X8">
        <v>460</v>
      </c>
      <c r="Y8">
        <v>179</v>
      </c>
      <c r="Z8">
        <v>14102</v>
      </c>
      <c r="AA8">
        <v>7317</v>
      </c>
      <c r="AB8">
        <v>201</v>
      </c>
      <c r="AC8">
        <v>54</v>
      </c>
      <c r="AD8">
        <v>11266</v>
      </c>
      <c r="AE8">
        <v>5963</v>
      </c>
      <c r="AF8">
        <v>58</v>
      </c>
      <c r="AG8">
        <v>17</v>
      </c>
      <c r="AH8">
        <v>9693</v>
      </c>
      <c r="AI8">
        <v>4965</v>
      </c>
      <c r="AJ8">
        <v>168</v>
      </c>
      <c r="AK8">
        <v>41</v>
      </c>
      <c r="AL8">
        <v>6242</v>
      </c>
      <c r="AM8">
        <v>3144</v>
      </c>
      <c r="AN8">
        <v>3</v>
      </c>
      <c r="AO8">
        <v>1</v>
      </c>
      <c r="AP8">
        <v>4530</v>
      </c>
      <c r="AQ8">
        <v>2280</v>
      </c>
      <c r="AR8">
        <v>9</v>
      </c>
      <c r="AS8">
        <v>3</v>
      </c>
      <c r="AT8">
        <v>4019</v>
      </c>
      <c r="AU8">
        <v>1958</v>
      </c>
      <c r="AV8">
        <v>74</v>
      </c>
      <c r="AW8">
        <v>37</v>
      </c>
    </row>
    <row r="9" spans="1:49" x14ac:dyDescent="0.25">
      <c r="A9" t="s">
        <v>288</v>
      </c>
      <c r="B9">
        <v>19643</v>
      </c>
      <c r="C9">
        <v>9130</v>
      </c>
      <c r="D9">
        <v>3018</v>
      </c>
      <c r="E9">
        <v>1139</v>
      </c>
      <c r="F9">
        <v>18327</v>
      </c>
      <c r="G9">
        <v>8719</v>
      </c>
      <c r="H9">
        <v>1839</v>
      </c>
      <c r="I9">
        <v>729</v>
      </c>
      <c r="J9">
        <v>17702</v>
      </c>
      <c r="K9">
        <v>8436</v>
      </c>
      <c r="L9">
        <v>1349</v>
      </c>
      <c r="M9">
        <v>519</v>
      </c>
      <c r="N9">
        <v>16304</v>
      </c>
      <c r="O9">
        <v>7964</v>
      </c>
      <c r="P9">
        <v>1049</v>
      </c>
      <c r="Q9">
        <v>293</v>
      </c>
      <c r="R9">
        <v>15151</v>
      </c>
      <c r="S9">
        <v>7582</v>
      </c>
      <c r="T9">
        <v>619</v>
      </c>
      <c r="U9">
        <v>222</v>
      </c>
      <c r="V9">
        <v>13717</v>
      </c>
      <c r="W9">
        <v>7349</v>
      </c>
      <c r="X9">
        <v>399</v>
      </c>
      <c r="Y9">
        <v>147</v>
      </c>
      <c r="Z9">
        <v>12107</v>
      </c>
      <c r="AA9">
        <v>6390</v>
      </c>
      <c r="AB9">
        <v>333</v>
      </c>
      <c r="AC9">
        <v>115</v>
      </c>
      <c r="AD9">
        <v>9454</v>
      </c>
      <c r="AE9">
        <v>5221</v>
      </c>
      <c r="AF9">
        <v>132</v>
      </c>
      <c r="AG9">
        <v>40</v>
      </c>
      <c r="AH9">
        <v>7811</v>
      </c>
      <c r="AI9">
        <v>4216</v>
      </c>
      <c r="AJ9">
        <v>308</v>
      </c>
      <c r="AK9">
        <v>84</v>
      </c>
      <c r="AL9">
        <v>5700</v>
      </c>
      <c r="AM9">
        <v>3193</v>
      </c>
      <c r="AN9">
        <v>101</v>
      </c>
      <c r="AO9">
        <v>43</v>
      </c>
      <c r="AP9">
        <v>4144</v>
      </c>
      <c r="AQ9">
        <v>2289</v>
      </c>
      <c r="AR9">
        <v>14</v>
      </c>
      <c r="AS9">
        <v>5</v>
      </c>
      <c r="AT9">
        <v>3879</v>
      </c>
      <c r="AU9">
        <v>2102</v>
      </c>
      <c r="AV9">
        <v>118</v>
      </c>
      <c r="AW9">
        <v>49</v>
      </c>
    </row>
    <row r="10" spans="1:49" x14ac:dyDescent="0.25">
      <c r="A10" t="s">
        <v>289</v>
      </c>
      <c r="B10">
        <v>14052</v>
      </c>
      <c r="C10">
        <v>6474</v>
      </c>
      <c r="D10">
        <v>1130</v>
      </c>
      <c r="E10">
        <v>411</v>
      </c>
      <c r="F10">
        <v>13578</v>
      </c>
      <c r="G10">
        <v>6427</v>
      </c>
      <c r="H10">
        <v>763</v>
      </c>
      <c r="I10">
        <v>252</v>
      </c>
      <c r="J10">
        <v>13783</v>
      </c>
      <c r="K10">
        <v>6521</v>
      </c>
      <c r="L10">
        <v>614</v>
      </c>
      <c r="M10">
        <v>187</v>
      </c>
      <c r="N10">
        <v>13294</v>
      </c>
      <c r="O10">
        <v>6498</v>
      </c>
      <c r="P10">
        <v>376</v>
      </c>
      <c r="Q10">
        <v>125</v>
      </c>
      <c r="R10">
        <v>12949</v>
      </c>
      <c r="S10">
        <v>6402</v>
      </c>
      <c r="T10">
        <v>299</v>
      </c>
      <c r="U10">
        <v>108</v>
      </c>
      <c r="V10">
        <v>11605</v>
      </c>
      <c r="W10">
        <v>5829</v>
      </c>
      <c r="X10">
        <v>194</v>
      </c>
      <c r="Y10">
        <v>63</v>
      </c>
      <c r="Z10">
        <v>11667</v>
      </c>
      <c r="AA10">
        <v>5845</v>
      </c>
      <c r="AB10">
        <v>315</v>
      </c>
      <c r="AC10">
        <v>81</v>
      </c>
      <c r="AD10">
        <v>9824</v>
      </c>
      <c r="AE10">
        <v>5020</v>
      </c>
      <c r="AF10">
        <v>183</v>
      </c>
      <c r="AG10">
        <v>42</v>
      </c>
      <c r="AH10">
        <v>8699</v>
      </c>
      <c r="AI10">
        <v>4380</v>
      </c>
      <c r="AJ10">
        <v>318</v>
      </c>
      <c r="AK10">
        <v>61</v>
      </c>
      <c r="AL10">
        <v>6345</v>
      </c>
      <c r="AM10">
        <v>3272</v>
      </c>
      <c r="AN10">
        <v>76</v>
      </c>
      <c r="AO10">
        <v>24</v>
      </c>
      <c r="AP10">
        <v>4932</v>
      </c>
      <c r="AQ10">
        <v>2510</v>
      </c>
      <c r="AR10">
        <v>54</v>
      </c>
      <c r="AS10">
        <v>19</v>
      </c>
      <c r="AT10">
        <v>4323</v>
      </c>
      <c r="AU10">
        <v>2166</v>
      </c>
      <c r="AV10">
        <v>160</v>
      </c>
      <c r="AW10">
        <v>71</v>
      </c>
    </row>
    <row r="11" spans="1:49" x14ac:dyDescent="0.25">
      <c r="A11" t="s">
        <v>290</v>
      </c>
      <c r="B11">
        <v>28741</v>
      </c>
      <c r="C11">
        <v>13220</v>
      </c>
      <c r="D11">
        <v>4018</v>
      </c>
      <c r="E11">
        <v>1482</v>
      </c>
      <c r="F11">
        <v>28138</v>
      </c>
      <c r="G11">
        <v>12766</v>
      </c>
      <c r="H11">
        <v>3145</v>
      </c>
      <c r="I11">
        <v>1059</v>
      </c>
      <c r="J11">
        <v>28633</v>
      </c>
      <c r="K11">
        <v>13224</v>
      </c>
      <c r="L11">
        <v>2449</v>
      </c>
      <c r="M11">
        <v>834</v>
      </c>
      <c r="N11">
        <v>27086</v>
      </c>
      <c r="O11">
        <v>13002</v>
      </c>
      <c r="P11">
        <v>1772</v>
      </c>
      <c r="Q11">
        <v>578</v>
      </c>
      <c r="R11">
        <v>24107</v>
      </c>
      <c r="S11">
        <v>11872</v>
      </c>
      <c r="T11">
        <v>1302</v>
      </c>
      <c r="U11">
        <v>431</v>
      </c>
      <c r="V11">
        <v>21300</v>
      </c>
      <c r="W11">
        <v>10371</v>
      </c>
      <c r="X11">
        <v>866</v>
      </c>
      <c r="Y11">
        <v>276</v>
      </c>
      <c r="Z11">
        <v>19032</v>
      </c>
      <c r="AA11">
        <v>9584</v>
      </c>
      <c r="AB11">
        <v>832</v>
      </c>
      <c r="AC11">
        <v>259</v>
      </c>
      <c r="AD11">
        <v>15656</v>
      </c>
      <c r="AE11">
        <v>8314</v>
      </c>
      <c r="AF11">
        <v>366</v>
      </c>
      <c r="AG11">
        <v>125</v>
      </c>
      <c r="AH11">
        <v>13561</v>
      </c>
      <c r="AI11">
        <v>7221</v>
      </c>
      <c r="AJ11">
        <v>474</v>
      </c>
      <c r="AK11">
        <v>164</v>
      </c>
      <c r="AL11">
        <v>10401</v>
      </c>
      <c r="AM11">
        <v>5592</v>
      </c>
      <c r="AN11">
        <v>144</v>
      </c>
      <c r="AO11">
        <v>52</v>
      </c>
      <c r="AP11">
        <v>7574</v>
      </c>
      <c r="AQ11">
        <v>4116</v>
      </c>
      <c r="AR11">
        <v>102</v>
      </c>
      <c r="AS11">
        <v>28</v>
      </c>
      <c r="AT11">
        <v>7411</v>
      </c>
      <c r="AU11">
        <v>3917</v>
      </c>
      <c r="AV11">
        <v>538</v>
      </c>
      <c r="AW11">
        <v>237</v>
      </c>
    </row>
    <row r="12" spans="1:49" x14ac:dyDescent="0.25">
      <c r="A12" t="s">
        <v>291</v>
      </c>
      <c r="B12">
        <v>962</v>
      </c>
      <c r="C12">
        <v>443</v>
      </c>
      <c r="D12">
        <v>81</v>
      </c>
      <c r="E12">
        <v>33</v>
      </c>
      <c r="F12">
        <v>849</v>
      </c>
      <c r="G12">
        <v>411</v>
      </c>
      <c r="H12">
        <v>39</v>
      </c>
      <c r="I12">
        <v>13</v>
      </c>
      <c r="J12">
        <v>880</v>
      </c>
      <c r="K12">
        <v>470</v>
      </c>
      <c r="L12">
        <v>27</v>
      </c>
      <c r="M12">
        <v>11</v>
      </c>
      <c r="N12">
        <v>797</v>
      </c>
      <c r="O12">
        <v>392</v>
      </c>
      <c r="P12">
        <v>11</v>
      </c>
      <c r="Q12">
        <v>3</v>
      </c>
      <c r="R12">
        <v>729</v>
      </c>
      <c r="S12">
        <v>354</v>
      </c>
      <c r="T12">
        <v>9</v>
      </c>
      <c r="U12">
        <v>5</v>
      </c>
      <c r="V12">
        <v>701</v>
      </c>
      <c r="W12">
        <v>338</v>
      </c>
      <c r="X12">
        <v>21</v>
      </c>
      <c r="Y12">
        <v>5</v>
      </c>
      <c r="Z12">
        <v>680</v>
      </c>
      <c r="AA12">
        <v>321</v>
      </c>
      <c r="AB12">
        <v>43</v>
      </c>
      <c r="AC12">
        <v>13</v>
      </c>
      <c r="AD12">
        <v>591</v>
      </c>
      <c r="AE12">
        <v>282</v>
      </c>
      <c r="AF12">
        <v>13</v>
      </c>
      <c r="AG12">
        <v>2</v>
      </c>
      <c r="AH12">
        <v>496</v>
      </c>
      <c r="AI12">
        <v>250</v>
      </c>
      <c r="AJ12">
        <v>18</v>
      </c>
      <c r="AK12">
        <v>4</v>
      </c>
      <c r="AL12">
        <v>423</v>
      </c>
      <c r="AM12">
        <v>217</v>
      </c>
      <c r="AN12">
        <v>15</v>
      </c>
      <c r="AO12">
        <v>9</v>
      </c>
      <c r="AP12">
        <v>354</v>
      </c>
      <c r="AQ12">
        <v>197</v>
      </c>
      <c r="AR12">
        <v>4</v>
      </c>
      <c r="AS12">
        <v>0</v>
      </c>
      <c r="AT12">
        <v>255</v>
      </c>
      <c r="AU12">
        <v>131</v>
      </c>
      <c r="AV12">
        <v>1</v>
      </c>
      <c r="AW12">
        <v>1</v>
      </c>
    </row>
    <row r="13" spans="1:49" x14ac:dyDescent="0.25">
      <c r="A13" t="s">
        <v>292</v>
      </c>
      <c r="B13">
        <v>3443</v>
      </c>
      <c r="C13">
        <v>1604</v>
      </c>
      <c r="D13">
        <v>282</v>
      </c>
      <c r="E13">
        <v>107</v>
      </c>
      <c r="F13">
        <v>3047</v>
      </c>
      <c r="G13">
        <v>1420</v>
      </c>
      <c r="H13">
        <v>197</v>
      </c>
      <c r="I13">
        <v>88</v>
      </c>
      <c r="J13">
        <v>2925</v>
      </c>
      <c r="K13">
        <v>1416</v>
      </c>
      <c r="L13">
        <v>117</v>
      </c>
      <c r="M13">
        <v>39</v>
      </c>
      <c r="N13">
        <v>2764</v>
      </c>
      <c r="O13">
        <v>1389</v>
      </c>
      <c r="P13">
        <v>69</v>
      </c>
      <c r="Q13">
        <v>25</v>
      </c>
      <c r="R13">
        <v>2419</v>
      </c>
      <c r="S13">
        <v>1206</v>
      </c>
      <c r="T13">
        <v>49</v>
      </c>
      <c r="U13">
        <v>11</v>
      </c>
      <c r="V13">
        <v>2157</v>
      </c>
      <c r="W13">
        <v>1119</v>
      </c>
      <c r="X13">
        <v>17</v>
      </c>
      <c r="Y13">
        <v>11</v>
      </c>
      <c r="Z13">
        <v>1800</v>
      </c>
      <c r="AA13">
        <v>927</v>
      </c>
      <c r="AB13">
        <v>10</v>
      </c>
      <c r="AC13">
        <v>1</v>
      </c>
      <c r="AD13">
        <v>1531</v>
      </c>
      <c r="AE13">
        <v>785</v>
      </c>
      <c r="AF13">
        <v>28</v>
      </c>
      <c r="AG13">
        <v>9</v>
      </c>
      <c r="AH13">
        <v>1383</v>
      </c>
      <c r="AI13">
        <v>674</v>
      </c>
      <c r="AJ13">
        <v>64</v>
      </c>
      <c r="AK13">
        <v>22</v>
      </c>
      <c r="AL13">
        <v>930</v>
      </c>
      <c r="AM13">
        <v>417</v>
      </c>
      <c r="AN13">
        <v>1</v>
      </c>
      <c r="AO13">
        <v>0</v>
      </c>
      <c r="AP13">
        <v>701</v>
      </c>
      <c r="AQ13">
        <v>351</v>
      </c>
      <c r="AR13">
        <v>0</v>
      </c>
      <c r="AS13">
        <v>0</v>
      </c>
      <c r="AT13">
        <v>764</v>
      </c>
      <c r="AU13">
        <v>360</v>
      </c>
      <c r="AV13">
        <v>63</v>
      </c>
      <c r="AW13">
        <v>36</v>
      </c>
    </row>
    <row r="14" spans="1:49" x14ac:dyDescent="0.25">
      <c r="A14" t="s">
        <v>293</v>
      </c>
      <c r="B14">
        <v>13632</v>
      </c>
      <c r="C14">
        <v>6244</v>
      </c>
      <c r="D14">
        <v>1970</v>
      </c>
      <c r="E14">
        <v>759</v>
      </c>
      <c r="F14">
        <v>12031</v>
      </c>
      <c r="G14">
        <v>5615</v>
      </c>
      <c r="H14">
        <v>1175</v>
      </c>
      <c r="I14">
        <v>455</v>
      </c>
      <c r="J14">
        <v>11263</v>
      </c>
      <c r="K14">
        <v>5501</v>
      </c>
      <c r="L14">
        <v>802</v>
      </c>
      <c r="M14">
        <v>293</v>
      </c>
      <c r="N14">
        <v>9714</v>
      </c>
      <c r="O14">
        <v>4776</v>
      </c>
      <c r="P14">
        <v>550</v>
      </c>
      <c r="Q14">
        <v>174</v>
      </c>
      <c r="R14">
        <v>8342</v>
      </c>
      <c r="S14">
        <v>4165</v>
      </c>
      <c r="T14">
        <v>262</v>
      </c>
      <c r="U14">
        <v>116</v>
      </c>
      <c r="V14">
        <v>6944</v>
      </c>
      <c r="W14">
        <v>3593</v>
      </c>
      <c r="X14">
        <v>180</v>
      </c>
      <c r="Y14">
        <v>67</v>
      </c>
      <c r="Z14">
        <v>5451</v>
      </c>
      <c r="AA14">
        <v>2924</v>
      </c>
      <c r="AB14">
        <v>125</v>
      </c>
      <c r="AC14">
        <v>48</v>
      </c>
      <c r="AD14">
        <v>4136</v>
      </c>
      <c r="AE14">
        <v>2243</v>
      </c>
      <c r="AF14">
        <v>36</v>
      </c>
      <c r="AG14">
        <v>6</v>
      </c>
      <c r="AH14">
        <v>3387</v>
      </c>
      <c r="AI14">
        <v>1856</v>
      </c>
      <c r="AJ14">
        <v>91</v>
      </c>
      <c r="AK14">
        <v>32</v>
      </c>
      <c r="AL14">
        <v>2385</v>
      </c>
      <c r="AM14">
        <v>1276</v>
      </c>
      <c r="AN14">
        <v>23</v>
      </c>
      <c r="AO14">
        <v>10</v>
      </c>
      <c r="AP14">
        <v>1752</v>
      </c>
      <c r="AQ14">
        <v>887</v>
      </c>
      <c r="AR14">
        <v>10</v>
      </c>
      <c r="AS14">
        <v>5</v>
      </c>
      <c r="AT14">
        <v>1643</v>
      </c>
      <c r="AU14">
        <v>880</v>
      </c>
      <c r="AV14">
        <v>124</v>
      </c>
      <c r="AW14">
        <v>50</v>
      </c>
    </row>
    <row r="15" spans="1:49" x14ac:dyDescent="0.25">
      <c r="A15" t="s">
        <v>294</v>
      </c>
      <c r="B15">
        <v>3032</v>
      </c>
      <c r="C15">
        <v>1449</v>
      </c>
      <c r="D15">
        <v>236</v>
      </c>
      <c r="E15">
        <v>93</v>
      </c>
      <c r="F15">
        <v>2894</v>
      </c>
      <c r="G15">
        <v>1414</v>
      </c>
      <c r="H15">
        <v>155</v>
      </c>
      <c r="I15">
        <v>61</v>
      </c>
      <c r="J15">
        <v>2547</v>
      </c>
      <c r="K15">
        <v>1232</v>
      </c>
      <c r="L15">
        <v>99</v>
      </c>
      <c r="M15">
        <v>46</v>
      </c>
      <c r="N15">
        <v>2276</v>
      </c>
      <c r="O15">
        <v>1157</v>
      </c>
      <c r="P15">
        <v>66</v>
      </c>
      <c r="Q15">
        <v>21</v>
      </c>
      <c r="R15">
        <v>1862</v>
      </c>
      <c r="S15">
        <v>965</v>
      </c>
      <c r="T15">
        <v>47</v>
      </c>
      <c r="U15">
        <v>12</v>
      </c>
      <c r="V15">
        <v>1556</v>
      </c>
      <c r="W15">
        <v>799</v>
      </c>
      <c r="X15">
        <v>32</v>
      </c>
      <c r="Y15">
        <v>11</v>
      </c>
      <c r="Z15">
        <v>1273</v>
      </c>
      <c r="AA15">
        <v>665</v>
      </c>
      <c r="AB15">
        <v>39</v>
      </c>
      <c r="AC15">
        <v>14</v>
      </c>
      <c r="AD15">
        <v>957</v>
      </c>
      <c r="AE15">
        <v>507</v>
      </c>
      <c r="AF15">
        <v>16</v>
      </c>
      <c r="AG15">
        <v>2</v>
      </c>
      <c r="AH15">
        <v>706</v>
      </c>
      <c r="AI15">
        <v>377</v>
      </c>
      <c r="AJ15">
        <v>42</v>
      </c>
      <c r="AK15">
        <v>11</v>
      </c>
      <c r="AL15">
        <v>557</v>
      </c>
      <c r="AM15">
        <v>306</v>
      </c>
      <c r="AN15">
        <v>0</v>
      </c>
      <c r="AO15">
        <v>0</v>
      </c>
      <c r="AP15">
        <v>352</v>
      </c>
      <c r="AQ15">
        <v>188</v>
      </c>
      <c r="AR15">
        <v>1</v>
      </c>
      <c r="AS15">
        <v>0</v>
      </c>
      <c r="AT15">
        <v>326</v>
      </c>
      <c r="AU15">
        <v>165</v>
      </c>
      <c r="AV15">
        <v>2</v>
      </c>
      <c r="AW15">
        <v>0</v>
      </c>
    </row>
    <row r="16" spans="1:49" x14ac:dyDescent="0.25">
      <c r="A16" t="s">
        <v>295</v>
      </c>
      <c r="B16">
        <v>7531</v>
      </c>
      <c r="C16">
        <v>3490</v>
      </c>
      <c r="D16">
        <v>1039</v>
      </c>
      <c r="E16">
        <v>389</v>
      </c>
      <c r="F16">
        <v>6975</v>
      </c>
      <c r="G16">
        <v>3263</v>
      </c>
      <c r="H16">
        <v>608</v>
      </c>
      <c r="I16">
        <v>233</v>
      </c>
      <c r="J16">
        <v>6625</v>
      </c>
      <c r="K16">
        <v>3133</v>
      </c>
      <c r="L16">
        <v>475</v>
      </c>
      <c r="M16">
        <v>153</v>
      </c>
      <c r="N16">
        <v>5959</v>
      </c>
      <c r="O16">
        <v>2889</v>
      </c>
      <c r="P16">
        <v>306</v>
      </c>
      <c r="Q16">
        <v>111</v>
      </c>
      <c r="R16">
        <v>5296</v>
      </c>
      <c r="S16">
        <v>2702</v>
      </c>
      <c r="T16">
        <v>198</v>
      </c>
      <c r="U16">
        <v>66</v>
      </c>
      <c r="V16">
        <v>4551</v>
      </c>
      <c r="W16">
        <v>2258</v>
      </c>
      <c r="X16">
        <v>127</v>
      </c>
      <c r="Y16">
        <v>29</v>
      </c>
      <c r="Z16">
        <v>3780</v>
      </c>
      <c r="AA16">
        <v>1887</v>
      </c>
      <c r="AB16">
        <v>124</v>
      </c>
      <c r="AC16">
        <v>38</v>
      </c>
      <c r="AD16">
        <v>2907</v>
      </c>
      <c r="AE16">
        <v>1475</v>
      </c>
      <c r="AF16">
        <v>43</v>
      </c>
      <c r="AG16">
        <v>14</v>
      </c>
      <c r="AH16">
        <v>2371</v>
      </c>
      <c r="AI16">
        <v>1248</v>
      </c>
      <c r="AJ16">
        <v>152</v>
      </c>
      <c r="AK16">
        <v>63</v>
      </c>
      <c r="AL16">
        <v>1628</v>
      </c>
      <c r="AM16">
        <v>834</v>
      </c>
      <c r="AN16">
        <v>19</v>
      </c>
      <c r="AO16">
        <v>7</v>
      </c>
      <c r="AP16">
        <v>1062</v>
      </c>
      <c r="AQ16">
        <v>518</v>
      </c>
      <c r="AR16">
        <v>9</v>
      </c>
      <c r="AS16">
        <v>2</v>
      </c>
      <c r="AT16">
        <v>862</v>
      </c>
      <c r="AU16">
        <v>445</v>
      </c>
      <c r="AV16">
        <v>10</v>
      </c>
      <c r="AW16">
        <v>1</v>
      </c>
    </row>
    <row r="17" spans="1:49" x14ac:dyDescent="0.25">
      <c r="A17" t="s">
        <v>296</v>
      </c>
      <c r="B17">
        <v>2008</v>
      </c>
      <c r="C17">
        <v>890</v>
      </c>
      <c r="D17">
        <v>243</v>
      </c>
      <c r="E17">
        <v>88</v>
      </c>
      <c r="F17">
        <v>1893</v>
      </c>
      <c r="G17">
        <v>848</v>
      </c>
      <c r="H17">
        <v>165</v>
      </c>
      <c r="I17">
        <v>57</v>
      </c>
      <c r="J17">
        <v>1884</v>
      </c>
      <c r="K17">
        <v>905</v>
      </c>
      <c r="L17">
        <v>109</v>
      </c>
      <c r="M17">
        <v>30</v>
      </c>
      <c r="N17">
        <v>1672</v>
      </c>
      <c r="O17">
        <v>812</v>
      </c>
      <c r="P17">
        <v>79</v>
      </c>
      <c r="Q17">
        <v>26</v>
      </c>
      <c r="R17">
        <v>1519</v>
      </c>
      <c r="S17">
        <v>753</v>
      </c>
      <c r="T17">
        <v>40</v>
      </c>
      <c r="U17">
        <v>10</v>
      </c>
      <c r="V17">
        <v>1305</v>
      </c>
      <c r="W17">
        <v>683</v>
      </c>
      <c r="X17">
        <v>17</v>
      </c>
      <c r="Y17">
        <v>7</v>
      </c>
      <c r="Z17">
        <v>1304</v>
      </c>
      <c r="AA17">
        <v>642</v>
      </c>
      <c r="AB17">
        <v>61</v>
      </c>
      <c r="AC17">
        <v>15</v>
      </c>
      <c r="AD17">
        <v>917</v>
      </c>
      <c r="AE17">
        <v>471</v>
      </c>
      <c r="AF17">
        <v>26</v>
      </c>
      <c r="AG17">
        <v>3</v>
      </c>
      <c r="AH17">
        <v>819</v>
      </c>
      <c r="AI17">
        <v>426</v>
      </c>
      <c r="AJ17">
        <v>39</v>
      </c>
      <c r="AK17">
        <v>13</v>
      </c>
      <c r="AL17">
        <v>490</v>
      </c>
      <c r="AM17">
        <v>266</v>
      </c>
      <c r="AN17">
        <v>8</v>
      </c>
      <c r="AO17">
        <v>1</v>
      </c>
      <c r="AP17">
        <v>412</v>
      </c>
      <c r="AQ17">
        <v>215</v>
      </c>
      <c r="AR17">
        <v>6</v>
      </c>
      <c r="AS17">
        <v>3</v>
      </c>
      <c r="AT17">
        <v>349</v>
      </c>
      <c r="AU17">
        <v>173</v>
      </c>
      <c r="AV17">
        <v>19</v>
      </c>
      <c r="AW17">
        <v>13</v>
      </c>
    </row>
    <row r="18" spans="1:49" x14ac:dyDescent="0.25">
      <c r="A18" t="s">
        <v>297</v>
      </c>
      <c r="B18">
        <v>24610</v>
      </c>
      <c r="C18">
        <v>11312</v>
      </c>
      <c r="D18">
        <v>1515</v>
      </c>
      <c r="E18">
        <v>588</v>
      </c>
      <c r="F18">
        <v>22515</v>
      </c>
      <c r="G18">
        <v>10446</v>
      </c>
      <c r="H18">
        <v>880</v>
      </c>
      <c r="I18">
        <v>287</v>
      </c>
      <c r="J18">
        <v>24794</v>
      </c>
      <c r="K18">
        <v>11840</v>
      </c>
      <c r="L18">
        <v>627</v>
      </c>
      <c r="M18">
        <v>192</v>
      </c>
      <c r="N18">
        <v>23747</v>
      </c>
      <c r="O18">
        <v>11606</v>
      </c>
      <c r="P18">
        <v>436</v>
      </c>
      <c r="Q18">
        <v>135</v>
      </c>
      <c r="R18">
        <v>22040</v>
      </c>
      <c r="S18">
        <v>11026</v>
      </c>
      <c r="T18">
        <v>309</v>
      </c>
      <c r="U18">
        <v>97</v>
      </c>
      <c r="V18">
        <v>19157</v>
      </c>
      <c r="W18">
        <v>9538</v>
      </c>
      <c r="X18">
        <v>145</v>
      </c>
      <c r="Y18">
        <v>40</v>
      </c>
      <c r="Z18">
        <v>18642</v>
      </c>
      <c r="AA18">
        <v>9172</v>
      </c>
      <c r="AB18">
        <v>523</v>
      </c>
      <c r="AC18">
        <v>177</v>
      </c>
      <c r="AD18">
        <v>15808</v>
      </c>
      <c r="AE18">
        <v>7876</v>
      </c>
      <c r="AF18">
        <v>278</v>
      </c>
      <c r="AG18">
        <v>101</v>
      </c>
      <c r="AH18">
        <v>14632</v>
      </c>
      <c r="AI18">
        <v>7237</v>
      </c>
      <c r="AJ18">
        <v>459</v>
      </c>
      <c r="AK18">
        <v>138</v>
      </c>
      <c r="AL18">
        <v>12568</v>
      </c>
      <c r="AM18">
        <v>6301</v>
      </c>
      <c r="AN18">
        <v>112</v>
      </c>
      <c r="AO18">
        <v>47</v>
      </c>
      <c r="AP18">
        <v>11157</v>
      </c>
      <c r="AQ18">
        <v>5441</v>
      </c>
      <c r="AR18">
        <v>68</v>
      </c>
      <c r="AS18">
        <v>25</v>
      </c>
      <c r="AT18">
        <v>13600</v>
      </c>
      <c r="AU18">
        <v>6713</v>
      </c>
      <c r="AV18">
        <v>934</v>
      </c>
      <c r="AW18">
        <v>417</v>
      </c>
    </row>
    <row r="19" spans="1:49" x14ac:dyDescent="0.25">
      <c r="A19" t="s">
        <v>298</v>
      </c>
      <c r="B19">
        <v>4902</v>
      </c>
      <c r="C19">
        <v>2321</v>
      </c>
      <c r="D19">
        <v>298</v>
      </c>
      <c r="E19">
        <v>122</v>
      </c>
      <c r="F19">
        <v>4557</v>
      </c>
      <c r="G19">
        <v>2161</v>
      </c>
      <c r="H19">
        <v>212</v>
      </c>
      <c r="I19">
        <v>75</v>
      </c>
      <c r="J19">
        <v>4662</v>
      </c>
      <c r="K19">
        <v>2342</v>
      </c>
      <c r="L19">
        <v>130</v>
      </c>
      <c r="M19">
        <v>48</v>
      </c>
      <c r="N19">
        <v>4426</v>
      </c>
      <c r="O19">
        <v>2102</v>
      </c>
      <c r="P19">
        <v>105</v>
      </c>
      <c r="Q19">
        <v>39</v>
      </c>
      <c r="R19">
        <v>4077</v>
      </c>
      <c r="S19">
        <v>1991</v>
      </c>
      <c r="T19">
        <v>40</v>
      </c>
      <c r="U19">
        <v>14</v>
      </c>
      <c r="V19">
        <v>3868</v>
      </c>
      <c r="W19">
        <v>1950</v>
      </c>
      <c r="X19">
        <v>40</v>
      </c>
      <c r="Y19">
        <v>11</v>
      </c>
      <c r="Z19">
        <v>3390</v>
      </c>
      <c r="AA19">
        <v>1652</v>
      </c>
      <c r="AB19">
        <v>101</v>
      </c>
      <c r="AC19">
        <v>38</v>
      </c>
      <c r="AD19">
        <v>2648</v>
      </c>
      <c r="AE19">
        <v>1354</v>
      </c>
      <c r="AF19">
        <v>55</v>
      </c>
      <c r="AG19">
        <v>16</v>
      </c>
      <c r="AH19">
        <v>1975</v>
      </c>
      <c r="AI19">
        <v>1014</v>
      </c>
      <c r="AJ19">
        <v>74</v>
      </c>
      <c r="AK19">
        <v>26</v>
      </c>
      <c r="AL19">
        <v>1656</v>
      </c>
      <c r="AM19">
        <v>846</v>
      </c>
      <c r="AN19">
        <v>18</v>
      </c>
      <c r="AO19">
        <v>7</v>
      </c>
      <c r="AP19">
        <v>1261</v>
      </c>
      <c r="AQ19">
        <v>612</v>
      </c>
      <c r="AR19">
        <v>4</v>
      </c>
      <c r="AS19">
        <v>1</v>
      </c>
      <c r="AT19">
        <v>1235</v>
      </c>
      <c r="AU19">
        <v>601</v>
      </c>
      <c r="AV19">
        <v>20</v>
      </c>
      <c r="AW19">
        <v>11</v>
      </c>
    </row>
    <row r="20" spans="1:49" x14ac:dyDescent="0.25">
      <c r="A20" t="s">
        <v>299</v>
      </c>
      <c r="B20">
        <v>8105</v>
      </c>
      <c r="C20">
        <v>3815</v>
      </c>
      <c r="D20">
        <v>1572</v>
      </c>
      <c r="E20">
        <v>658</v>
      </c>
      <c r="F20">
        <v>6887</v>
      </c>
      <c r="G20">
        <v>3321</v>
      </c>
      <c r="H20">
        <v>826</v>
      </c>
      <c r="I20">
        <v>348</v>
      </c>
      <c r="J20">
        <v>6332</v>
      </c>
      <c r="K20">
        <v>3027</v>
      </c>
      <c r="L20">
        <v>498</v>
      </c>
      <c r="M20">
        <v>196</v>
      </c>
      <c r="N20">
        <v>5879</v>
      </c>
      <c r="O20">
        <v>2938</v>
      </c>
      <c r="P20">
        <v>318</v>
      </c>
      <c r="Q20">
        <v>124</v>
      </c>
      <c r="R20">
        <v>5368</v>
      </c>
      <c r="S20">
        <v>2767</v>
      </c>
      <c r="T20">
        <v>154</v>
      </c>
      <c r="U20">
        <v>66</v>
      </c>
      <c r="V20">
        <v>4618</v>
      </c>
      <c r="W20">
        <v>2505</v>
      </c>
      <c r="X20">
        <v>118</v>
      </c>
      <c r="Y20">
        <v>53</v>
      </c>
      <c r="Z20">
        <v>3813</v>
      </c>
      <c r="AA20">
        <v>2001</v>
      </c>
      <c r="AB20">
        <v>53</v>
      </c>
      <c r="AC20">
        <v>25</v>
      </c>
      <c r="AD20">
        <v>3024</v>
      </c>
      <c r="AE20">
        <v>1667</v>
      </c>
      <c r="AF20">
        <v>13</v>
      </c>
      <c r="AG20">
        <v>4</v>
      </c>
      <c r="AH20">
        <v>2487</v>
      </c>
      <c r="AI20">
        <v>1371</v>
      </c>
      <c r="AJ20">
        <v>34</v>
      </c>
      <c r="AK20">
        <v>10</v>
      </c>
      <c r="AL20">
        <v>1793</v>
      </c>
      <c r="AM20">
        <v>928</v>
      </c>
      <c r="AN20">
        <v>9</v>
      </c>
      <c r="AO20">
        <v>6</v>
      </c>
      <c r="AP20">
        <v>1284</v>
      </c>
      <c r="AQ20">
        <v>652</v>
      </c>
      <c r="AR20">
        <v>2</v>
      </c>
      <c r="AS20">
        <v>1</v>
      </c>
      <c r="AT20">
        <v>1103</v>
      </c>
      <c r="AU20">
        <v>588</v>
      </c>
      <c r="AV20">
        <v>19</v>
      </c>
      <c r="AW20">
        <v>9</v>
      </c>
    </row>
    <row r="21" spans="1:49" x14ac:dyDescent="0.25">
      <c r="A21" t="s">
        <v>300</v>
      </c>
      <c r="B21">
        <v>27114</v>
      </c>
      <c r="C21">
        <v>12354</v>
      </c>
      <c r="D21">
        <v>3556</v>
      </c>
      <c r="E21">
        <v>1272</v>
      </c>
      <c r="F21">
        <v>26439</v>
      </c>
      <c r="G21">
        <v>12234</v>
      </c>
      <c r="H21">
        <v>2258</v>
      </c>
      <c r="I21">
        <v>802</v>
      </c>
      <c r="J21">
        <v>26364</v>
      </c>
      <c r="K21">
        <v>12384</v>
      </c>
      <c r="L21">
        <v>1808</v>
      </c>
      <c r="M21">
        <v>666</v>
      </c>
      <c r="N21">
        <v>24984</v>
      </c>
      <c r="O21">
        <v>11912</v>
      </c>
      <c r="P21">
        <v>1332</v>
      </c>
      <c r="Q21">
        <v>446</v>
      </c>
      <c r="R21">
        <v>22915</v>
      </c>
      <c r="S21">
        <v>11018</v>
      </c>
      <c r="T21">
        <v>904</v>
      </c>
      <c r="U21">
        <v>324</v>
      </c>
      <c r="V21">
        <v>21306</v>
      </c>
      <c r="W21">
        <v>10504</v>
      </c>
      <c r="X21">
        <v>815</v>
      </c>
      <c r="Y21">
        <v>306</v>
      </c>
      <c r="Z21">
        <v>18681</v>
      </c>
      <c r="AA21">
        <v>9462</v>
      </c>
      <c r="AB21">
        <v>168</v>
      </c>
      <c r="AC21">
        <v>50</v>
      </c>
      <c r="AD21">
        <v>16044</v>
      </c>
      <c r="AE21">
        <v>8525</v>
      </c>
      <c r="AF21">
        <v>57</v>
      </c>
      <c r="AG21">
        <v>22</v>
      </c>
      <c r="AH21">
        <v>13317</v>
      </c>
      <c r="AI21">
        <v>6983</v>
      </c>
      <c r="AJ21">
        <v>237</v>
      </c>
      <c r="AK21">
        <v>62</v>
      </c>
      <c r="AL21">
        <v>8751</v>
      </c>
      <c r="AM21">
        <v>4485</v>
      </c>
      <c r="AN21">
        <v>42</v>
      </c>
      <c r="AO21">
        <v>3</v>
      </c>
      <c r="AP21">
        <v>6545</v>
      </c>
      <c r="AQ21">
        <v>3433</v>
      </c>
      <c r="AR21">
        <v>18</v>
      </c>
      <c r="AS21">
        <v>8</v>
      </c>
      <c r="AT21">
        <v>5901</v>
      </c>
      <c r="AU21">
        <v>2933</v>
      </c>
      <c r="AV21">
        <v>278</v>
      </c>
      <c r="AW21">
        <v>123</v>
      </c>
    </row>
    <row r="22" spans="1:49" x14ac:dyDescent="0.25">
      <c r="A22" t="s">
        <v>301</v>
      </c>
      <c r="B22">
        <v>14011</v>
      </c>
      <c r="C22">
        <v>6489</v>
      </c>
      <c r="D22">
        <v>2148</v>
      </c>
      <c r="E22">
        <v>875</v>
      </c>
      <c r="F22">
        <v>12804</v>
      </c>
      <c r="G22">
        <v>6077</v>
      </c>
      <c r="H22">
        <v>1300</v>
      </c>
      <c r="I22">
        <v>534</v>
      </c>
      <c r="J22">
        <v>11849</v>
      </c>
      <c r="K22">
        <v>5792</v>
      </c>
      <c r="L22">
        <v>876</v>
      </c>
      <c r="M22">
        <v>325</v>
      </c>
      <c r="N22">
        <v>11057</v>
      </c>
      <c r="O22">
        <v>5382</v>
      </c>
      <c r="P22">
        <v>578</v>
      </c>
      <c r="Q22">
        <v>197</v>
      </c>
      <c r="R22">
        <v>10056</v>
      </c>
      <c r="S22">
        <v>4966</v>
      </c>
      <c r="T22">
        <v>380</v>
      </c>
      <c r="U22">
        <v>109</v>
      </c>
      <c r="V22">
        <v>8709</v>
      </c>
      <c r="W22">
        <v>4474</v>
      </c>
      <c r="X22">
        <v>170</v>
      </c>
      <c r="Y22">
        <v>49</v>
      </c>
      <c r="Z22">
        <v>7312</v>
      </c>
      <c r="AA22">
        <v>3731</v>
      </c>
      <c r="AB22">
        <v>95</v>
      </c>
      <c r="AC22">
        <v>34</v>
      </c>
      <c r="AD22">
        <v>5773</v>
      </c>
      <c r="AE22">
        <v>3088</v>
      </c>
      <c r="AF22">
        <v>77</v>
      </c>
      <c r="AG22">
        <v>29</v>
      </c>
      <c r="AH22">
        <v>4813</v>
      </c>
      <c r="AI22">
        <v>2572</v>
      </c>
      <c r="AJ22">
        <v>126</v>
      </c>
      <c r="AK22">
        <v>30</v>
      </c>
      <c r="AL22">
        <v>3526</v>
      </c>
      <c r="AM22">
        <v>1824</v>
      </c>
      <c r="AN22">
        <v>58</v>
      </c>
      <c r="AO22">
        <v>11</v>
      </c>
      <c r="AP22">
        <v>2484</v>
      </c>
      <c r="AQ22">
        <v>1302</v>
      </c>
      <c r="AR22">
        <v>39</v>
      </c>
      <c r="AS22">
        <v>19</v>
      </c>
      <c r="AT22">
        <v>2178</v>
      </c>
      <c r="AU22">
        <v>1112</v>
      </c>
      <c r="AV22">
        <v>127</v>
      </c>
      <c r="AW22">
        <v>52</v>
      </c>
    </row>
    <row r="23" spans="1:49" x14ac:dyDescent="0.25">
      <c r="A23" t="s">
        <v>302</v>
      </c>
      <c r="B23">
        <v>9441</v>
      </c>
      <c r="C23">
        <v>4490</v>
      </c>
      <c r="D23">
        <v>723</v>
      </c>
      <c r="E23">
        <v>344</v>
      </c>
      <c r="F23">
        <v>8414</v>
      </c>
      <c r="G23">
        <v>4074</v>
      </c>
      <c r="H23">
        <v>413</v>
      </c>
      <c r="I23">
        <v>167</v>
      </c>
      <c r="J23">
        <v>7267</v>
      </c>
      <c r="K23">
        <v>3491</v>
      </c>
      <c r="L23">
        <v>265</v>
      </c>
      <c r="M23">
        <v>122</v>
      </c>
      <c r="N23">
        <v>6370</v>
      </c>
      <c r="O23">
        <v>3173</v>
      </c>
      <c r="P23">
        <v>158</v>
      </c>
      <c r="Q23">
        <v>64</v>
      </c>
      <c r="R23">
        <v>4960</v>
      </c>
      <c r="S23">
        <v>2519</v>
      </c>
      <c r="T23">
        <v>113</v>
      </c>
      <c r="U23">
        <v>46</v>
      </c>
      <c r="V23">
        <v>3932</v>
      </c>
      <c r="W23">
        <v>1893</v>
      </c>
      <c r="X23">
        <v>57</v>
      </c>
      <c r="Y23">
        <v>25</v>
      </c>
      <c r="Z23">
        <v>2950</v>
      </c>
      <c r="AA23">
        <v>1412</v>
      </c>
      <c r="AB23">
        <v>24</v>
      </c>
      <c r="AC23">
        <v>7</v>
      </c>
      <c r="AD23">
        <v>1992</v>
      </c>
      <c r="AE23">
        <v>1008</v>
      </c>
      <c r="AF23">
        <v>17</v>
      </c>
      <c r="AG23">
        <v>8</v>
      </c>
      <c r="AH23">
        <v>1802</v>
      </c>
      <c r="AI23">
        <v>814</v>
      </c>
      <c r="AJ23">
        <v>55</v>
      </c>
      <c r="AK23">
        <v>21</v>
      </c>
      <c r="AL23">
        <v>1124</v>
      </c>
      <c r="AM23">
        <v>526</v>
      </c>
      <c r="AN23">
        <v>3</v>
      </c>
      <c r="AO23">
        <v>1</v>
      </c>
      <c r="AP23">
        <v>777</v>
      </c>
      <c r="AQ23">
        <v>365</v>
      </c>
      <c r="AR23">
        <v>3</v>
      </c>
      <c r="AS23">
        <v>1</v>
      </c>
      <c r="AT23">
        <v>650</v>
      </c>
      <c r="AU23">
        <v>325</v>
      </c>
      <c r="AV23">
        <v>2</v>
      </c>
      <c r="AW23">
        <v>0</v>
      </c>
    </row>
    <row r="24" spans="1:49" x14ac:dyDescent="0.25">
      <c r="A24" t="s">
        <v>303</v>
      </c>
      <c r="B24">
        <v>31803</v>
      </c>
      <c r="C24">
        <v>14727</v>
      </c>
      <c r="D24">
        <v>4628</v>
      </c>
      <c r="E24">
        <v>1819</v>
      </c>
      <c r="F24">
        <v>30858</v>
      </c>
      <c r="G24">
        <v>13995</v>
      </c>
      <c r="H24">
        <v>3070</v>
      </c>
      <c r="I24">
        <v>1076</v>
      </c>
      <c r="J24">
        <v>29503</v>
      </c>
      <c r="K24">
        <v>14297</v>
      </c>
      <c r="L24">
        <v>2134</v>
      </c>
      <c r="M24">
        <v>743</v>
      </c>
      <c r="N24">
        <v>25992</v>
      </c>
      <c r="O24">
        <v>12677</v>
      </c>
      <c r="P24">
        <v>1370</v>
      </c>
      <c r="Q24">
        <v>454</v>
      </c>
      <c r="R24">
        <v>23710</v>
      </c>
      <c r="S24">
        <v>11857</v>
      </c>
      <c r="T24">
        <v>828</v>
      </c>
      <c r="U24">
        <v>253</v>
      </c>
      <c r="V24">
        <v>21248</v>
      </c>
      <c r="W24">
        <v>10847</v>
      </c>
      <c r="X24">
        <v>652</v>
      </c>
      <c r="Y24">
        <v>219</v>
      </c>
      <c r="Z24">
        <v>19236</v>
      </c>
      <c r="AA24">
        <v>10092</v>
      </c>
      <c r="AB24">
        <v>924</v>
      </c>
      <c r="AC24">
        <v>260</v>
      </c>
      <c r="AD24">
        <v>15057</v>
      </c>
      <c r="AE24">
        <v>8392</v>
      </c>
      <c r="AF24">
        <v>312</v>
      </c>
      <c r="AG24">
        <v>107</v>
      </c>
      <c r="AH24">
        <v>12202</v>
      </c>
      <c r="AI24">
        <v>6882</v>
      </c>
      <c r="AJ24">
        <v>451</v>
      </c>
      <c r="AK24">
        <v>161</v>
      </c>
      <c r="AL24">
        <v>9672</v>
      </c>
      <c r="AM24">
        <v>5505</v>
      </c>
      <c r="AN24">
        <v>182</v>
      </c>
      <c r="AO24">
        <v>88</v>
      </c>
      <c r="AP24">
        <v>7236</v>
      </c>
      <c r="AQ24">
        <v>4050</v>
      </c>
      <c r="AR24">
        <v>75</v>
      </c>
      <c r="AS24">
        <v>24</v>
      </c>
      <c r="AT24">
        <v>6100</v>
      </c>
      <c r="AU24">
        <v>3457</v>
      </c>
      <c r="AV24">
        <v>176</v>
      </c>
      <c r="AW24">
        <v>82</v>
      </c>
    </row>
    <row r="25" spans="1:49" x14ac:dyDescent="0.25">
      <c r="A25" t="s">
        <v>304</v>
      </c>
      <c r="B25">
        <v>5953</v>
      </c>
      <c r="C25">
        <v>2829</v>
      </c>
      <c r="D25">
        <v>1325</v>
      </c>
      <c r="E25">
        <v>591</v>
      </c>
      <c r="F25">
        <v>5298</v>
      </c>
      <c r="G25">
        <v>2547</v>
      </c>
      <c r="H25">
        <v>628</v>
      </c>
      <c r="I25">
        <v>264</v>
      </c>
      <c r="J25">
        <v>4597</v>
      </c>
      <c r="K25">
        <v>2301</v>
      </c>
      <c r="L25">
        <v>385</v>
      </c>
      <c r="M25">
        <v>155</v>
      </c>
      <c r="N25">
        <v>3696</v>
      </c>
      <c r="O25">
        <v>1832</v>
      </c>
      <c r="P25">
        <v>224</v>
      </c>
      <c r="Q25">
        <v>94</v>
      </c>
      <c r="R25">
        <v>3122</v>
      </c>
      <c r="S25">
        <v>1581</v>
      </c>
      <c r="T25">
        <v>133</v>
      </c>
      <c r="U25">
        <v>51</v>
      </c>
      <c r="V25">
        <v>2381</v>
      </c>
      <c r="W25">
        <v>1282</v>
      </c>
      <c r="X25">
        <v>78</v>
      </c>
      <c r="Y25">
        <v>34</v>
      </c>
      <c r="Z25">
        <v>1782</v>
      </c>
      <c r="AA25">
        <v>943</v>
      </c>
      <c r="AB25">
        <v>12</v>
      </c>
      <c r="AC25">
        <v>1</v>
      </c>
      <c r="AD25">
        <v>1337</v>
      </c>
      <c r="AE25">
        <v>689</v>
      </c>
      <c r="AF25">
        <v>4</v>
      </c>
      <c r="AG25">
        <v>2</v>
      </c>
      <c r="AH25">
        <v>1162</v>
      </c>
      <c r="AI25">
        <v>574</v>
      </c>
      <c r="AJ25">
        <v>16</v>
      </c>
      <c r="AK25">
        <v>1</v>
      </c>
      <c r="AL25">
        <v>739</v>
      </c>
      <c r="AM25">
        <v>376</v>
      </c>
      <c r="AN25">
        <v>0</v>
      </c>
      <c r="AO25">
        <v>0</v>
      </c>
      <c r="AP25">
        <v>613</v>
      </c>
      <c r="AQ25">
        <v>308</v>
      </c>
      <c r="AR25">
        <v>1</v>
      </c>
      <c r="AS25">
        <v>0</v>
      </c>
      <c r="AT25">
        <v>623</v>
      </c>
      <c r="AU25">
        <v>289</v>
      </c>
      <c r="AV25">
        <v>1</v>
      </c>
      <c r="AW25">
        <v>0</v>
      </c>
    </row>
    <row r="26" spans="1:49" x14ac:dyDescent="0.25">
      <c r="A26" t="s">
        <v>305</v>
      </c>
      <c r="B26">
        <v>12567</v>
      </c>
      <c r="C26">
        <v>5876</v>
      </c>
      <c r="D26">
        <v>1218</v>
      </c>
      <c r="E26">
        <v>442</v>
      </c>
      <c r="F26">
        <v>12374</v>
      </c>
      <c r="G26">
        <v>5905</v>
      </c>
      <c r="H26">
        <v>753</v>
      </c>
      <c r="I26">
        <v>282</v>
      </c>
      <c r="J26">
        <v>12920</v>
      </c>
      <c r="K26">
        <v>6292</v>
      </c>
      <c r="L26">
        <v>514</v>
      </c>
      <c r="M26">
        <v>161</v>
      </c>
      <c r="N26">
        <v>12200</v>
      </c>
      <c r="O26">
        <v>5934</v>
      </c>
      <c r="P26">
        <v>380</v>
      </c>
      <c r="Q26">
        <v>90</v>
      </c>
      <c r="R26">
        <v>11252</v>
      </c>
      <c r="S26">
        <v>5538</v>
      </c>
      <c r="T26">
        <v>234</v>
      </c>
      <c r="U26">
        <v>79</v>
      </c>
      <c r="V26">
        <v>10593</v>
      </c>
      <c r="W26">
        <v>5321</v>
      </c>
      <c r="X26">
        <v>182</v>
      </c>
      <c r="Y26">
        <v>51</v>
      </c>
      <c r="Z26">
        <v>9737</v>
      </c>
      <c r="AA26">
        <v>4826</v>
      </c>
      <c r="AB26">
        <v>292</v>
      </c>
      <c r="AC26">
        <v>69</v>
      </c>
      <c r="AD26">
        <v>8382</v>
      </c>
      <c r="AE26">
        <v>4313</v>
      </c>
      <c r="AF26">
        <v>75</v>
      </c>
      <c r="AG26">
        <v>15</v>
      </c>
      <c r="AH26">
        <v>6997</v>
      </c>
      <c r="AI26">
        <v>3428</v>
      </c>
      <c r="AJ26">
        <v>187</v>
      </c>
      <c r="AK26">
        <v>35</v>
      </c>
      <c r="AL26">
        <v>5113</v>
      </c>
      <c r="AM26">
        <v>2641</v>
      </c>
      <c r="AN26">
        <v>19</v>
      </c>
      <c r="AO26">
        <v>1</v>
      </c>
      <c r="AP26">
        <v>3781</v>
      </c>
      <c r="AQ26">
        <v>1826</v>
      </c>
      <c r="AR26">
        <v>11</v>
      </c>
      <c r="AS26">
        <v>1</v>
      </c>
      <c r="AT26">
        <v>3458</v>
      </c>
      <c r="AU26">
        <v>1595</v>
      </c>
      <c r="AV26">
        <v>100</v>
      </c>
      <c r="AW26">
        <v>38</v>
      </c>
    </row>
    <row r="27" spans="1:49" x14ac:dyDescent="0.25">
      <c r="A27" t="s">
        <v>306</v>
      </c>
      <c r="B27">
        <v>20172</v>
      </c>
      <c r="C27">
        <v>9261</v>
      </c>
      <c r="D27">
        <v>2230</v>
      </c>
      <c r="E27">
        <v>786</v>
      </c>
      <c r="F27">
        <v>20521</v>
      </c>
      <c r="G27">
        <v>9585</v>
      </c>
      <c r="H27">
        <v>1649</v>
      </c>
      <c r="I27">
        <v>540</v>
      </c>
      <c r="J27">
        <v>21040</v>
      </c>
      <c r="K27">
        <v>10094</v>
      </c>
      <c r="L27">
        <v>1342</v>
      </c>
      <c r="M27">
        <v>480</v>
      </c>
      <c r="N27">
        <v>20350</v>
      </c>
      <c r="O27">
        <v>9874</v>
      </c>
      <c r="P27">
        <v>1056</v>
      </c>
      <c r="Q27">
        <v>321</v>
      </c>
      <c r="R27">
        <v>19398</v>
      </c>
      <c r="S27">
        <v>9455</v>
      </c>
      <c r="T27">
        <v>822</v>
      </c>
      <c r="U27">
        <v>277</v>
      </c>
      <c r="V27">
        <v>18225</v>
      </c>
      <c r="W27">
        <v>8872</v>
      </c>
      <c r="X27">
        <v>581</v>
      </c>
      <c r="Y27">
        <v>165</v>
      </c>
      <c r="Z27">
        <v>17559</v>
      </c>
      <c r="AA27">
        <v>8604</v>
      </c>
      <c r="AB27">
        <v>364</v>
      </c>
      <c r="AC27">
        <v>117</v>
      </c>
      <c r="AD27">
        <v>16353</v>
      </c>
      <c r="AE27">
        <v>8239</v>
      </c>
      <c r="AF27">
        <v>356</v>
      </c>
      <c r="AG27">
        <v>136</v>
      </c>
      <c r="AH27">
        <v>14671</v>
      </c>
      <c r="AI27">
        <v>7325</v>
      </c>
      <c r="AJ27">
        <v>409</v>
      </c>
      <c r="AK27">
        <v>94</v>
      </c>
      <c r="AL27">
        <v>10885</v>
      </c>
      <c r="AM27">
        <v>5561</v>
      </c>
      <c r="AN27">
        <v>182</v>
      </c>
      <c r="AO27">
        <v>79</v>
      </c>
      <c r="AP27">
        <v>8999</v>
      </c>
      <c r="AQ27">
        <v>4516</v>
      </c>
      <c r="AR27">
        <v>113</v>
      </c>
      <c r="AS27">
        <v>37</v>
      </c>
      <c r="AT27">
        <v>8720</v>
      </c>
      <c r="AU27">
        <v>4246</v>
      </c>
      <c r="AV27">
        <v>624</v>
      </c>
      <c r="AW27">
        <v>274</v>
      </c>
    </row>
    <row r="28" spans="1:49" x14ac:dyDescent="0.25">
      <c r="A28" t="s">
        <v>307</v>
      </c>
      <c r="B28">
        <v>22718</v>
      </c>
      <c r="C28">
        <v>10714</v>
      </c>
      <c r="D28">
        <v>2291</v>
      </c>
      <c r="E28">
        <v>909</v>
      </c>
      <c r="F28">
        <v>21249</v>
      </c>
      <c r="G28">
        <v>9948</v>
      </c>
      <c r="H28">
        <v>1733</v>
      </c>
      <c r="I28">
        <v>658</v>
      </c>
      <c r="J28">
        <v>20706</v>
      </c>
      <c r="K28">
        <v>10004</v>
      </c>
      <c r="L28">
        <v>1192</v>
      </c>
      <c r="M28">
        <v>474</v>
      </c>
      <c r="N28">
        <v>18954</v>
      </c>
      <c r="O28">
        <v>9095</v>
      </c>
      <c r="P28">
        <v>979</v>
      </c>
      <c r="Q28">
        <v>346</v>
      </c>
      <c r="R28">
        <v>16768</v>
      </c>
      <c r="S28">
        <v>8434</v>
      </c>
      <c r="T28">
        <v>597</v>
      </c>
      <c r="U28">
        <v>223</v>
      </c>
      <c r="V28">
        <v>15108</v>
      </c>
      <c r="W28">
        <v>7584</v>
      </c>
      <c r="X28">
        <v>386</v>
      </c>
      <c r="Y28">
        <v>149</v>
      </c>
      <c r="Z28">
        <v>12760</v>
      </c>
      <c r="AA28">
        <v>6667</v>
      </c>
      <c r="AB28">
        <v>517</v>
      </c>
      <c r="AC28">
        <v>184</v>
      </c>
      <c r="AD28">
        <v>9359</v>
      </c>
      <c r="AE28">
        <v>5055</v>
      </c>
      <c r="AF28">
        <v>156</v>
      </c>
      <c r="AG28">
        <v>51</v>
      </c>
      <c r="AH28">
        <v>7723</v>
      </c>
      <c r="AI28">
        <v>4219</v>
      </c>
      <c r="AJ28">
        <v>277</v>
      </c>
      <c r="AK28">
        <v>97</v>
      </c>
      <c r="AL28">
        <v>5100</v>
      </c>
      <c r="AM28">
        <v>2879</v>
      </c>
      <c r="AN28">
        <v>68</v>
      </c>
      <c r="AO28">
        <v>27</v>
      </c>
      <c r="AP28">
        <v>3656</v>
      </c>
      <c r="AQ28">
        <v>2007</v>
      </c>
      <c r="AR28">
        <v>32</v>
      </c>
      <c r="AS28">
        <v>12</v>
      </c>
      <c r="AT28">
        <v>3053</v>
      </c>
      <c r="AU28">
        <v>1603</v>
      </c>
      <c r="AV28">
        <v>165</v>
      </c>
      <c r="AW28">
        <v>58</v>
      </c>
    </row>
    <row r="29" spans="1:49" x14ac:dyDescent="0.25">
      <c r="A29" t="s">
        <v>266</v>
      </c>
      <c r="B29">
        <v>386864</v>
      </c>
      <c r="C29">
        <v>179546</v>
      </c>
      <c r="D29">
        <v>46385</v>
      </c>
      <c r="E29">
        <v>17913</v>
      </c>
      <c r="F29">
        <v>366662</v>
      </c>
      <c r="G29">
        <v>171236</v>
      </c>
      <c r="H29">
        <v>30343</v>
      </c>
      <c r="I29">
        <v>11056</v>
      </c>
      <c r="J29">
        <v>361510</v>
      </c>
      <c r="K29">
        <v>172793</v>
      </c>
      <c r="L29">
        <v>22043</v>
      </c>
      <c r="M29">
        <v>7837</v>
      </c>
      <c r="N29">
        <v>335548</v>
      </c>
      <c r="O29">
        <v>163096</v>
      </c>
      <c r="P29">
        <v>15605</v>
      </c>
      <c r="Q29">
        <v>5182</v>
      </c>
      <c r="R29">
        <v>305193</v>
      </c>
      <c r="S29">
        <v>151635</v>
      </c>
      <c r="T29">
        <v>10249</v>
      </c>
      <c r="U29">
        <v>3503</v>
      </c>
      <c r="V29">
        <v>272917</v>
      </c>
      <c r="W29">
        <v>137257</v>
      </c>
      <c r="X29">
        <v>7138</v>
      </c>
      <c r="Y29">
        <v>2401</v>
      </c>
      <c r="Z29">
        <v>240984</v>
      </c>
      <c r="AA29">
        <v>123069</v>
      </c>
      <c r="AB29">
        <v>6794</v>
      </c>
      <c r="AC29">
        <v>2079</v>
      </c>
      <c r="AD29">
        <v>197317</v>
      </c>
      <c r="AE29">
        <v>104171</v>
      </c>
      <c r="AF29">
        <v>3107</v>
      </c>
      <c r="AG29">
        <v>1007</v>
      </c>
      <c r="AH29">
        <v>166796</v>
      </c>
      <c r="AI29">
        <v>87423</v>
      </c>
      <c r="AJ29">
        <v>5081</v>
      </c>
      <c r="AK29">
        <v>1493</v>
      </c>
      <c r="AL29">
        <v>122233</v>
      </c>
      <c r="AM29">
        <v>64802</v>
      </c>
      <c r="AN29">
        <v>1363</v>
      </c>
      <c r="AO29">
        <v>525</v>
      </c>
      <c r="AP29">
        <v>93052</v>
      </c>
      <c r="AQ29">
        <v>48678</v>
      </c>
      <c r="AR29">
        <v>707</v>
      </c>
      <c r="AS29">
        <v>235</v>
      </c>
      <c r="AT29">
        <v>88684</v>
      </c>
      <c r="AU29">
        <v>45745</v>
      </c>
      <c r="AV29">
        <v>4621</v>
      </c>
      <c r="AW29">
        <v>2018</v>
      </c>
    </row>
    <row r="30" spans="1:49" x14ac:dyDescent="0.25">
      <c r="A30" t="s">
        <v>308</v>
      </c>
      <c r="B30">
        <v>62937</v>
      </c>
      <c r="C30">
        <v>29182</v>
      </c>
      <c r="D30">
        <v>5759</v>
      </c>
      <c r="E30">
        <v>2226</v>
      </c>
      <c r="F30">
        <v>57928</v>
      </c>
      <c r="G30">
        <v>26661</v>
      </c>
      <c r="H30">
        <v>3437</v>
      </c>
      <c r="I30">
        <v>1142</v>
      </c>
      <c r="J30">
        <v>59894</v>
      </c>
      <c r="K30">
        <v>28761</v>
      </c>
      <c r="L30">
        <v>2340</v>
      </c>
      <c r="M30">
        <v>774</v>
      </c>
      <c r="N30">
        <v>55521</v>
      </c>
      <c r="O30">
        <v>27119</v>
      </c>
      <c r="P30">
        <v>1515</v>
      </c>
      <c r="Q30">
        <v>472</v>
      </c>
      <c r="R30">
        <v>51721</v>
      </c>
      <c r="S30">
        <v>25820</v>
      </c>
      <c r="T30">
        <v>987</v>
      </c>
      <c r="U30">
        <v>301</v>
      </c>
      <c r="V30">
        <v>45841</v>
      </c>
      <c r="W30">
        <v>22872</v>
      </c>
      <c r="X30">
        <v>577</v>
      </c>
      <c r="Y30">
        <v>177</v>
      </c>
      <c r="Z30">
        <v>46134</v>
      </c>
      <c r="AA30">
        <v>22790</v>
      </c>
      <c r="AB30">
        <v>1550</v>
      </c>
      <c r="AC30">
        <v>457</v>
      </c>
      <c r="AD30">
        <v>38037</v>
      </c>
      <c r="AE30">
        <v>19414</v>
      </c>
      <c r="AF30">
        <v>765</v>
      </c>
      <c r="AG30">
        <v>260</v>
      </c>
      <c r="AH30">
        <v>34993</v>
      </c>
      <c r="AI30">
        <v>17822</v>
      </c>
      <c r="AJ30">
        <v>1299</v>
      </c>
      <c r="AK30">
        <v>448</v>
      </c>
      <c r="AL30">
        <v>34140</v>
      </c>
      <c r="AM30">
        <v>17557</v>
      </c>
      <c r="AN30">
        <v>414</v>
      </c>
      <c r="AO30">
        <v>187</v>
      </c>
      <c r="AP30">
        <v>28892</v>
      </c>
      <c r="AQ30">
        <v>14685</v>
      </c>
      <c r="AR30">
        <v>212</v>
      </c>
      <c r="AS30">
        <v>83</v>
      </c>
      <c r="AT30">
        <v>31922</v>
      </c>
      <c r="AU30">
        <v>16180</v>
      </c>
      <c r="AV30">
        <v>1771</v>
      </c>
      <c r="AW30">
        <v>769</v>
      </c>
    </row>
    <row r="31" spans="1:49" x14ac:dyDescent="0.25">
      <c r="A31" t="s">
        <v>309</v>
      </c>
      <c r="B31">
        <v>323927</v>
      </c>
      <c r="C31">
        <v>150364</v>
      </c>
      <c r="D31">
        <v>40626</v>
      </c>
      <c r="E31">
        <v>15687</v>
      </c>
      <c r="F31">
        <v>308734</v>
      </c>
      <c r="G31">
        <v>144575</v>
      </c>
      <c r="H31">
        <v>26906</v>
      </c>
      <c r="I31">
        <v>9914</v>
      </c>
      <c r="J31">
        <v>301616</v>
      </c>
      <c r="K31">
        <v>144032</v>
      </c>
      <c r="L31">
        <v>19703</v>
      </c>
      <c r="M31">
        <v>7063</v>
      </c>
      <c r="N31">
        <v>280027</v>
      </c>
      <c r="O31">
        <v>135977</v>
      </c>
      <c r="P31">
        <v>14090</v>
      </c>
      <c r="Q31">
        <v>4710</v>
      </c>
      <c r="R31">
        <v>253472</v>
      </c>
      <c r="S31">
        <v>125815</v>
      </c>
      <c r="T31">
        <v>9262</v>
      </c>
      <c r="U31">
        <v>3202</v>
      </c>
      <c r="V31">
        <v>227076</v>
      </c>
      <c r="W31">
        <v>114385</v>
      </c>
      <c r="X31">
        <v>6561</v>
      </c>
      <c r="Y31">
        <v>2224</v>
      </c>
      <c r="Z31">
        <v>194850</v>
      </c>
      <c r="AA31">
        <v>100279</v>
      </c>
      <c r="AB31">
        <v>5244</v>
      </c>
      <c r="AC31">
        <v>1622</v>
      </c>
      <c r="AD31">
        <v>159280</v>
      </c>
      <c r="AE31">
        <v>84757</v>
      </c>
      <c r="AF31">
        <v>2342</v>
      </c>
      <c r="AG31">
        <v>747</v>
      </c>
      <c r="AH31">
        <v>131803</v>
      </c>
      <c r="AI31">
        <v>69601</v>
      </c>
      <c r="AJ31">
        <v>3782</v>
      </c>
      <c r="AK31">
        <v>1045</v>
      </c>
      <c r="AL31">
        <v>88093</v>
      </c>
      <c r="AM31">
        <v>47245</v>
      </c>
      <c r="AN31">
        <v>949</v>
      </c>
      <c r="AO31">
        <v>338</v>
      </c>
      <c r="AP31">
        <v>64160</v>
      </c>
      <c r="AQ31">
        <v>33993</v>
      </c>
      <c r="AR31">
        <v>495</v>
      </c>
      <c r="AS31">
        <v>152</v>
      </c>
      <c r="AT31">
        <v>56762</v>
      </c>
      <c r="AU31">
        <v>29565</v>
      </c>
      <c r="AV31">
        <v>2850</v>
      </c>
      <c r="AW31">
        <v>1249</v>
      </c>
    </row>
  </sheetData>
  <mergeCells count="26">
    <mergeCell ref="A2:A3"/>
    <mergeCell ref="F2:G2"/>
    <mergeCell ref="H2:I2"/>
    <mergeCell ref="A1:M1"/>
    <mergeCell ref="T2:U2"/>
    <mergeCell ref="J2:K2"/>
    <mergeCell ref="R2:S2"/>
    <mergeCell ref="B2:C2"/>
    <mergeCell ref="D2:E2"/>
    <mergeCell ref="AV2:AW2"/>
    <mergeCell ref="N2:O2"/>
    <mergeCell ref="P2:Q2"/>
    <mergeCell ref="Z2:AA2"/>
    <mergeCell ref="AB2:AC2"/>
    <mergeCell ref="AD2:AE2"/>
    <mergeCell ref="AF2:AG2"/>
    <mergeCell ref="AN2:AO2"/>
    <mergeCell ref="AP2:AQ2"/>
    <mergeCell ref="AH2:AI2"/>
    <mergeCell ref="AR2:AS2"/>
    <mergeCell ref="AT2:AU2"/>
    <mergeCell ref="L2:M2"/>
    <mergeCell ref="V2:W2"/>
    <mergeCell ref="X2:Y2"/>
    <mergeCell ref="AJ2:AK2"/>
    <mergeCell ref="AL2:AM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N31"/>
  <sheetViews>
    <sheetView workbookViewId="0">
      <selection sqref="A1:N1"/>
    </sheetView>
  </sheetViews>
  <sheetFormatPr defaultRowHeight="15" x14ac:dyDescent="0.25"/>
  <cols>
    <col min="1" max="1" width="25.28515625" customWidth="1"/>
    <col min="2" max="2" width="11.42578125" customWidth="1"/>
    <col min="3" max="3" width="10.85546875" customWidth="1"/>
    <col min="11" max="11" width="11.140625" customWidth="1"/>
    <col min="12" max="12" width="10.85546875" customWidth="1"/>
  </cols>
  <sheetData>
    <row r="1" spans="1:14" x14ac:dyDescent="0.25">
      <c r="A1" s="29" t="s">
        <v>399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252</v>
      </c>
      <c r="B2" t="s">
        <v>254</v>
      </c>
      <c r="C2" s="29" t="s">
        <v>326</v>
      </c>
      <c r="D2" s="29"/>
      <c r="E2" s="29" t="s">
        <v>346</v>
      </c>
      <c r="F2" s="29"/>
      <c r="G2" s="29" t="s">
        <v>400</v>
      </c>
      <c r="H2" s="29"/>
      <c r="I2" s="29" t="s">
        <v>401</v>
      </c>
      <c r="J2" s="29"/>
      <c r="K2" s="29" t="s">
        <v>263</v>
      </c>
      <c r="L2" s="29"/>
      <c r="M2" s="29" t="s">
        <v>402</v>
      </c>
      <c r="N2" s="29"/>
    </row>
    <row r="3" spans="1:14" x14ac:dyDescent="0.25">
      <c r="A3" s="29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4" x14ac:dyDescent="0.25">
      <c r="A4" t="s">
        <v>283</v>
      </c>
      <c r="B4">
        <v>798</v>
      </c>
      <c r="C4">
        <v>14860</v>
      </c>
      <c r="D4">
        <v>7477</v>
      </c>
      <c r="E4">
        <v>94166</v>
      </c>
      <c r="F4">
        <v>45828</v>
      </c>
      <c r="G4">
        <v>25099</v>
      </c>
      <c r="H4">
        <v>13038</v>
      </c>
      <c r="I4">
        <v>10138</v>
      </c>
      <c r="J4">
        <v>5357</v>
      </c>
      <c r="K4">
        <v>144263</v>
      </c>
      <c r="L4">
        <v>71700</v>
      </c>
      <c r="M4">
        <v>48.7</v>
      </c>
      <c r="N4">
        <v>49.7</v>
      </c>
    </row>
    <row r="5" spans="1:14" x14ac:dyDescent="0.25">
      <c r="A5" t="s">
        <v>284</v>
      </c>
      <c r="B5">
        <v>1083</v>
      </c>
      <c r="C5">
        <v>15830</v>
      </c>
      <c r="D5">
        <v>7972</v>
      </c>
      <c r="E5">
        <v>166622</v>
      </c>
      <c r="F5">
        <v>80015</v>
      </c>
      <c r="G5">
        <v>39592</v>
      </c>
      <c r="H5">
        <v>20841</v>
      </c>
      <c r="I5">
        <v>16840</v>
      </c>
      <c r="J5">
        <v>9179</v>
      </c>
      <c r="K5">
        <v>238884</v>
      </c>
      <c r="L5">
        <v>118007</v>
      </c>
      <c r="M5">
        <v>48</v>
      </c>
      <c r="N5">
        <v>49.4</v>
      </c>
    </row>
    <row r="6" spans="1:14" x14ac:dyDescent="0.25">
      <c r="A6" t="s">
        <v>285</v>
      </c>
      <c r="B6">
        <v>790</v>
      </c>
      <c r="C6">
        <v>14402</v>
      </c>
      <c r="D6">
        <v>7031</v>
      </c>
      <c r="E6">
        <v>141896</v>
      </c>
      <c r="F6">
        <v>68008</v>
      </c>
      <c r="G6">
        <v>41233</v>
      </c>
      <c r="H6">
        <v>21849</v>
      </c>
      <c r="I6">
        <v>20140</v>
      </c>
      <c r="J6">
        <v>10780</v>
      </c>
      <c r="K6">
        <v>217671</v>
      </c>
      <c r="L6">
        <v>107668</v>
      </c>
      <c r="M6">
        <v>47.9</v>
      </c>
      <c r="N6">
        <v>49.5</v>
      </c>
    </row>
    <row r="7" spans="1:14" x14ac:dyDescent="0.25">
      <c r="A7" t="s">
        <v>286</v>
      </c>
      <c r="B7">
        <v>454</v>
      </c>
      <c r="C7">
        <v>6160</v>
      </c>
      <c r="D7">
        <v>3069</v>
      </c>
      <c r="E7">
        <v>74059</v>
      </c>
      <c r="F7">
        <v>36228</v>
      </c>
      <c r="G7">
        <v>24120</v>
      </c>
      <c r="H7">
        <v>12927</v>
      </c>
      <c r="I7">
        <v>10963</v>
      </c>
      <c r="J7">
        <v>5862</v>
      </c>
      <c r="K7">
        <v>115302</v>
      </c>
      <c r="L7">
        <v>58086</v>
      </c>
      <c r="M7">
        <v>48.9</v>
      </c>
      <c r="N7">
        <v>50.4</v>
      </c>
    </row>
    <row r="8" spans="1:14" x14ac:dyDescent="0.25">
      <c r="A8" t="s">
        <v>287</v>
      </c>
      <c r="B8">
        <v>580</v>
      </c>
      <c r="C8">
        <v>8102</v>
      </c>
      <c r="D8">
        <v>4053</v>
      </c>
      <c r="E8">
        <v>112434</v>
      </c>
      <c r="F8">
        <v>54424</v>
      </c>
      <c r="G8">
        <v>33838</v>
      </c>
      <c r="H8">
        <v>17526</v>
      </c>
      <c r="I8">
        <v>13102</v>
      </c>
      <c r="J8">
        <v>6312</v>
      </c>
      <c r="K8">
        <v>167476</v>
      </c>
      <c r="L8">
        <v>82315</v>
      </c>
      <c r="M8">
        <v>48.4</v>
      </c>
      <c r="N8">
        <v>49.2</v>
      </c>
    </row>
    <row r="9" spans="1:14" x14ac:dyDescent="0.25">
      <c r="A9" t="s">
        <v>288</v>
      </c>
      <c r="B9">
        <v>757</v>
      </c>
      <c r="C9">
        <v>8761</v>
      </c>
      <c r="D9">
        <v>4447</v>
      </c>
      <c r="E9">
        <v>100891</v>
      </c>
      <c r="F9">
        <v>49539</v>
      </c>
      <c r="G9">
        <v>27850</v>
      </c>
      <c r="H9">
        <v>15056</v>
      </c>
      <c r="I9">
        <v>12487</v>
      </c>
      <c r="J9">
        <v>6725</v>
      </c>
      <c r="K9">
        <v>149989</v>
      </c>
      <c r="L9">
        <v>75767</v>
      </c>
      <c r="M9">
        <v>49.1</v>
      </c>
      <c r="N9">
        <v>50.5</v>
      </c>
    </row>
    <row r="10" spans="1:14" x14ac:dyDescent="0.25">
      <c r="A10" t="s">
        <v>289</v>
      </c>
      <c r="B10">
        <v>598</v>
      </c>
      <c r="C10">
        <v>6759</v>
      </c>
      <c r="D10">
        <v>3272</v>
      </c>
      <c r="E10">
        <v>81811</v>
      </c>
      <c r="F10">
        <v>39171</v>
      </c>
      <c r="G10">
        <v>30350</v>
      </c>
      <c r="H10">
        <v>15071</v>
      </c>
      <c r="I10">
        <v>14401</v>
      </c>
      <c r="J10">
        <v>7200</v>
      </c>
      <c r="K10">
        <v>133321</v>
      </c>
      <c r="L10">
        <v>64714</v>
      </c>
      <c r="M10">
        <v>47.9</v>
      </c>
      <c r="N10">
        <v>48.5</v>
      </c>
    </row>
    <row r="11" spans="1:14" x14ac:dyDescent="0.25">
      <c r="A11" t="s">
        <v>290</v>
      </c>
      <c r="B11">
        <v>735</v>
      </c>
      <c r="C11">
        <v>13850</v>
      </c>
      <c r="D11">
        <v>6832</v>
      </c>
      <c r="E11">
        <v>155465</v>
      </c>
      <c r="F11">
        <v>73475</v>
      </c>
      <c r="G11">
        <v>47612</v>
      </c>
      <c r="H11">
        <v>24635</v>
      </c>
      <c r="I11">
        <v>23999</v>
      </c>
      <c r="J11">
        <v>12489</v>
      </c>
      <c r="K11">
        <v>240926</v>
      </c>
      <c r="L11">
        <v>117431</v>
      </c>
      <c r="M11">
        <v>47.3</v>
      </c>
      <c r="N11">
        <v>48.7</v>
      </c>
    </row>
    <row r="12" spans="1:14" x14ac:dyDescent="0.25">
      <c r="A12" t="s">
        <v>291</v>
      </c>
      <c r="B12">
        <v>50</v>
      </c>
      <c r="C12">
        <v>846</v>
      </c>
      <c r="D12">
        <v>403</v>
      </c>
      <c r="E12">
        <v>4825</v>
      </c>
      <c r="F12">
        <v>2340</v>
      </c>
      <c r="G12">
        <v>1777</v>
      </c>
      <c r="H12">
        <v>867</v>
      </c>
      <c r="I12">
        <v>941</v>
      </c>
      <c r="J12">
        <v>506</v>
      </c>
      <c r="K12">
        <v>8389</v>
      </c>
      <c r="L12">
        <v>4116</v>
      </c>
      <c r="M12">
        <v>48.5</v>
      </c>
      <c r="N12">
        <v>49.1</v>
      </c>
    </row>
    <row r="13" spans="1:14" x14ac:dyDescent="0.25">
      <c r="A13" t="s">
        <v>292</v>
      </c>
      <c r="B13">
        <v>206</v>
      </c>
      <c r="C13">
        <v>2076</v>
      </c>
      <c r="D13">
        <v>1044</v>
      </c>
      <c r="E13">
        <v>16724</v>
      </c>
      <c r="F13">
        <v>8113</v>
      </c>
      <c r="G13">
        <v>4645</v>
      </c>
      <c r="H13">
        <v>2279</v>
      </c>
      <c r="I13">
        <v>2309</v>
      </c>
      <c r="J13">
        <v>1094</v>
      </c>
      <c r="K13">
        <v>25754</v>
      </c>
      <c r="L13">
        <v>12530</v>
      </c>
      <c r="M13">
        <v>48.5</v>
      </c>
      <c r="N13">
        <v>48.7</v>
      </c>
    </row>
    <row r="14" spans="1:14" x14ac:dyDescent="0.25">
      <c r="A14" t="s">
        <v>293</v>
      </c>
      <c r="B14">
        <v>396</v>
      </c>
      <c r="C14">
        <v>3296</v>
      </c>
      <c r="D14">
        <v>1592</v>
      </c>
      <c r="E14">
        <v>61258</v>
      </c>
      <c r="F14">
        <v>29791</v>
      </c>
      <c r="G14">
        <v>12243</v>
      </c>
      <c r="H14">
        <v>6559</v>
      </c>
      <c r="I14">
        <v>5197</v>
      </c>
      <c r="J14">
        <v>2707</v>
      </c>
      <c r="K14">
        <v>81994</v>
      </c>
      <c r="L14">
        <v>40649</v>
      </c>
      <c r="M14">
        <v>48.6</v>
      </c>
      <c r="N14">
        <v>49.6</v>
      </c>
    </row>
    <row r="15" spans="1:14" x14ac:dyDescent="0.25">
      <c r="A15" t="s">
        <v>294</v>
      </c>
      <c r="B15">
        <v>125</v>
      </c>
      <c r="C15">
        <v>928</v>
      </c>
      <c r="D15">
        <v>474</v>
      </c>
      <c r="E15">
        <v>13903</v>
      </c>
      <c r="F15">
        <v>6882</v>
      </c>
      <c r="G15">
        <v>2679</v>
      </c>
      <c r="H15">
        <v>1386</v>
      </c>
      <c r="I15">
        <v>1006</v>
      </c>
      <c r="J15">
        <v>519</v>
      </c>
      <c r="K15">
        <v>18516</v>
      </c>
      <c r="L15">
        <v>9261</v>
      </c>
      <c r="M15">
        <v>49.5</v>
      </c>
      <c r="N15">
        <v>50</v>
      </c>
    </row>
    <row r="16" spans="1:14" x14ac:dyDescent="0.25">
      <c r="A16" t="s">
        <v>295</v>
      </c>
      <c r="B16">
        <v>340</v>
      </c>
      <c r="C16">
        <v>3052</v>
      </c>
      <c r="D16">
        <v>1506</v>
      </c>
      <c r="E16">
        <v>36911</v>
      </c>
      <c r="F16">
        <v>17718</v>
      </c>
      <c r="G16">
        <v>8599</v>
      </c>
      <c r="H16">
        <v>4461</v>
      </c>
      <c r="I16">
        <v>3035</v>
      </c>
      <c r="J16">
        <v>1528</v>
      </c>
      <c r="K16">
        <v>51597</v>
      </c>
      <c r="L16">
        <v>25213</v>
      </c>
      <c r="M16">
        <v>48</v>
      </c>
      <c r="N16">
        <v>48.9</v>
      </c>
    </row>
    <row r="17" spans="1:14" x14ac:dyDescent="0.25">
      <c r="A17" t="s">
        <v>296</v>
      </c>
      <c r="B17">
        <v>84</v>
      </c>
      <c r="C17">
        <v>904</v>
      </c>
      <c r="D17">
        <v>453</v>
      </c>
      <c r="E17">
        <v>10407</v>
      </c>
      <c r="F17">
        <v>5033</v>
      </c>
      <c r="G17">
        <v>2815</v>
      </c>
      <c r="H17">
        <v>1409</v>
      </c>
      <c r="I17">
        <v>1173</v>
      </c>
      <c r="J17">
        <v>585</v>
      </c>
      <c r="K17">
        <v>15299</v>
      </c>
      <c r="L17">
        <v>7480</v>
      </c>
      <c r="M17">
        <v>48.4</v>
      </c>
      <c r="N17">
        <v>48.9</v>
      </c>
    </row>
    <row r="18" spans="1:14" x14ac:dyDescent="0.25">
      <c r="A18" t="s">
        <v>297</v>
      </c>
      <c r="B18">
        <v>376</v>
      </c>
      <c r="C18">
        <v>10575</v>
      </c>
      <c r="D18">
        <v>5111</v>
      </c>
      <c r="E18">
        <v>135689</v>
      </c>
      <c r="F18">
        <v>65653</v>
      </c>
      <c r="G18">
        <v>47645</v>
      </c>
      <c r="H18">
        <v>23465</v>
      </c>
      <c r="I18">
        <v>36665</v>
      </c>
      <c r="J18">
        <v>18353</v>
      </c>
      <c r="K18">
        <v>230574</v>
      </c>
      <c r="L18">
        <v>112582</v>
      </c>
      <c r="M18">
        <v>48.4</v>
      </c>
      <c r="N18">
        <v>48.8</v>
      </c>
    </row>
    <row r="19" spans="1:14" x14ac:dyDescent="0.25">
      <c r="A19" t="s">
        <v>298</v>
      </c>
      <c r="B19">
        <v>152</v>
      </c>
      <c r="C19">
        <v>2165</v>
      </c>
      <c r="D19">
        <v>1069</v>
      </c>
      <c r="E19">
        <v>26142</v>
      </c>
      <c r="F19">
        <v>12712</v>
      </c>
      <c r="G19">
        <v>7778</v>
      </c>
      <c r="H19">
        <v>3862</v>
      </c>
      <c r="I19">
        <v>3964</v>
      </c>
      <c r="J19">
        <v>1887</v>
      </c>
      <c r="K19">
        <v>40049</v>
      </c>
      <c r="L19">
        <v>19530</v>
      </c>
      <c r="M19">
        <v>48.6</v>
      </c>
      <c r="N19">
        <v>48.8</v>
      </c>
    </row>
    <row r="20" spans="1:14" x14ac:dyDescent="0.25">
      <c r="A20" t="s">
        <v>299</v>
      </c>
      <c r="B20">
        <v>379</v>
      </c>
      <c r="C20">
        <v>3217</v>
      </c>
      <c r="D20">
        <v>1700</v>
      </c>
      <c r="E20">
        <v>37307</v>
      </c>
      <c r="F20">
        <v>18420</v>
      </c>
      <c r="G20">
        <v>8758</v>
      </c>
      <c r="H20">
        <v>4868</v>
      </c>
      <c r="I20">
        <v>3789</v>
      </c>
      <c r="J20">
        <v>1955</v>
      </c>
      <c r="K20">
        <v>53071</v>
      </c>
      <c r="L20">
        <v>26943</v>
      </c>
      <c r="M20">
        <v>49.4</v>
      </c>
      <c r="N20">
        <v>50.8</v>
      </c>
    </row>
    <row r="21" spans="1:14" x14ac:dyDescent="0.25">
      <c r="A21" t="s">
        <v>300</v>
      </c>
      <c r="B21">
        <v>993</v>
      </c>
      <c r="C21">
        <v>13193</v>
      </c>
      <c r="D21">
        <v>6555</v>
      </c>
      <c r="E21">
        <v>149410</v>
      </c>
      <c r="F21">
        <v>70891</v>
      </c>
      <c r="G21">
        <v>47058</v>
      </c>
      <c r="H21">
        <v>24363</v>
      </c>
      <c r="I21">
        <v>19389</v>
      </c>
      <c r="J21">
        <v>9577</v>
      </c>
      <c r="K21">
        <v>229050</v>
      </c>
      <c r="L21">
        <v>111386</v>
      </c>
      <c r="M21">
        <v>47.4</v>
      </c>
      <c r="N21">
        <v>48.6</v>
      </c>
    </row>
    <row r="22" spans="1:14" x14ac:dyDescent="0.25">
      <c r="A22" t="s">
        <v>301</v>
      </c>
      <c r="B22">
        <v>526</v>
      </c>
      <c r="C22">
        <v>7386</v>
      </c>
      <c r="D22">
        <v>3691</v>
      </c>
      <c r="E22">
        <v>67739</v>
      </c>
      <c r="F22">
        <v>32940</v>
      </c>
      <c r="G22">
        <v>16945</v>
      </c>
      <c r="H22">
        <v>8849</v>
      </c>
      <c r="I22">
        <v>7267</v>
      </c>
      <c r="J22">
        <v>3774</v>
      </c>
      <c r="K22">
        <v>99337</v>
      </c>
      <c r="L22">
        <v>49254</v>
      </c>
      <c r="M22">
        <v>48.6</v>
      </c>
      <c r="N22">
        <v>49.6</v>
      </c>
    </row>
    <row r="23" spans="1:14" x14ac:dyDescent="0.25">
      <c r="A23" t="s">
        <v>302</v>
      </c>
      <c r="B23">
        <v>282</v>
      </c>
      <c r="C23">
        <v>1963</v>
      </c>
      <c r="D23">
        <v>1033</v>
      </c>
      <c r="E23">
        <v>37999</v>
      </c>
      <c r="F23">
        <v>18144</v>
      </c>
      <c r="G23">
        <v>5852</v>
      </c>
      <c r="H23">
        <v>2734</v>
      </c>
      <c r="I23">
        <v>2092</v>
      </c>
      <c r="J23">
        <v>999</v>
      </c>
      <c r="K23">
        <v>47906</v>
      </c>
      <c r="L23">
        <v>22910</v>
      </c>
      <c r="M23">
        <v>47.7</v>
      </c>
      <c r="N23">
        <v>47.8</v>
      </c>
    </row>
    <row r="24" spans="1:14" x14ac:dyDescent="0.25">
      <c r="A24" t="s">
        <v>303</v>
      </c>
      <c r="B24">
        <v>1039</v>
      </c>
      <c r="C24">
        <v>21755</v>
      </c>
      <c r="D24">
        <v>10897</v>
      </c>
      <c r="E24">
        <v>161551</v>
      </c>
      <c r="F24">
        <v>78218</v>
      </c>
      <c r="G24">
        <v>43746</v>
      </c>
      <c r="H24">
        <v>23764</v>
      </c>
      <c r="I24">
        <v>20201</v>
      </c>
      <c r="J24">
        <v>11218</v>
      </c>
      <c r="K24">
        <v>247253</v>
      </c>
      <c r="L24">
        <v>124097</v>
      </c>
      <c r="M24">
        <v>48.4</v>
      </c>
      <c r="N24">
        <v>50.2</v>
      </c>
    </row>
    <row r="25" spans="1:14" x14ac:dyDescent="0.25">
      <c r="A25" t="s">
        <v>304</v>
      </c>
      <c r="B25">
        <v>201</v>
      </c>
      <c r="C25">
        <v>1043</v>
      </c>
      <c r="D25">
        <v>573</v>
      </c>
      <c r="E25">
        <v>23820</v>
      </c>
      <c r="F25">
        <v>11800</v>
      </c>
      <c r="G25">
        <v>3662</v>
      </c>
      <c r="H25">
        <v>1864</v>
      </c>
      <c r="I25">
        <v>1852</v>
      </c>
      <c r="J25">
        <v>896</v>
      </c>
      <c r="K25">
        <v>30377</v>
      </c>
      <c r="L25">
        <v>15133</v>
      </c>
      <c r="M25">
        <v>49.5</v>
      </c>
      <c r="N25">
        <v>49.8</v>
      </c>
    </row>
    <row r="26" spans="1:14" x14ac:dyDescent="0.25">
      <c r="A26" t="s">
        <v>305</v>
      </c>
      <c r="B26">
        <v>500</v>
      </c>
      <c r="C26">
        <v>6621</v>
      </c>
      <c r="D26">
        <v>3404</v>
      </c>
      <c r="E26">
        <v>71772</v>
      </c>
      <c r="F26">
        <v>34780</v>
      </c>
      <c r="G26">
        <v>24855</v>
      </c>
      <c r="H26">
        <v>12410</v>
      </c>
      <c r="I26">
        <v>11112</v>
      </c>
      <c r="J26">
        <v>5198</v>
      </c>
      <c r="K26">
        <v>114360</v>
      </c>
      <c r="L26">
        <v>55792</v>
      </c>
      <c r="M26">
        <v>48.5</v>
      </c>
      <c r="N26">
        <v>48.8</v>
      </c>
    </row>
    <row r="27" spans="1:14" x14ac:dyDescent="0.25">
      <c r="A27" t="s">
        <v>306</v>
      </c>
      <c r="B27">
        <v>767</v>
      </c>
      <c r="C27">
        <v>11302</v>
      </c>
      <c r="D27">
        <v>5464</v>
      </c>
      <c r="E27">
        <v>122626</v>
      </c>
      <c r="F27">
        <v>57911</v>
      </c>
      <c r="G27">
        <v>48518</v>
      </c>
      <c r="H27">
        <v>24284</v>
      </c>
      <c r="I27">
        <v>27187</v>
      </c>
      <c r="J27">
        <v>13287</v>
      </c>
      <c r="K27">
        <v>209633</v>
      </c>
      <c r="L27">
        <v>100946</v>
      </c>
      <c r="M27">
        <v>47.2</v>
      </c>
      <c r="N27">
        <v>48.2</v>
      </c>
    </row>
    <row r="28" spans="1:14" x14ac:dyDescent="0.25">
      <c r="A28" t="s">
        <v>307</v>
      </c>
      <c r="B28">
        <v>678</v>
      </c>
      <c r="C28">
        <v>11102</v>
      </c>
      <c r="D28">
        <v>5689</v>
      </c>
      <c r="E28">
        <v>116634</v>
      </c>
      <c r="F28">
        <v>56197</v>
      </c>
      <c r="G28">
        <v>28773</v>
      </c>
      <c r="H28">
        <v>15287</v>
      </c>
      <c r="I28">
        <v>10160</v>
      </c>
      <c r="J28">
        <v>5464</v>
      </c>
      <c r="K28">
        <v>166669</v>
      </c>
      <c r="L28">
        <v>82637</v>
      </c>
      <c r="M28">
        <v>48.2</v>
      </c>
      <c r="N28">
        <v>49.6</v>
      </c>
    </row>
    <row r="29" spans="1:14" x14ac:dyDescent="0.25">
      <c r="A29" t="s">
        <v>266</v>
      </c>
      <c r="B29">
        <v>12889</v>
      </c>
      <c r="C29">
        <v>190148</v>
      </c>
      <c r="D29">
        <v>94811</v>
      </c>
      <c r="E29">
        <v>2022061</v>
      </c>
      <c r="F29">
        <v>974231</v>
      </c>
      <c r="G29">
        <v>586042</v>
      </c>
      <c r="H29">
        <v>303654</v>
      </c>
      <c r="I29">
        <v>279409</v>
      </c>
      <c r="J29">
        <v>143451</v>
      </c>
      <c r="K29">
        <v>3077660</v>
      </c>
      <c r="L29">
        <v>1516147</v>
      </c>
      <c r="M29">
        <v>48.2</v>
      </c>
      <c r="N29">
        <v>49.3</v>
      </c>
    </row>
    <row r="30" spans="1:14" x14ac:dyDescent="0.25">
      <c r="A30" t="s">
        <v>308</v>
      </c>
      <c r="B30">
        <v>1273</v>
      </c>
      <c r="C30">
        <v>32129</v>
      </c>
      <c r="D30">
        <v>15960</v>
      </c>
      <c r="E30">
        <v>301270</v>
      </c>
      <c r="F30">
        <v>145443</v>
      </c>
      <c r="G30">
        <v>105498</v>
      </c>
      <c r="H30">
        <v>52963</v>
      </c>
      <c r="I30">
        <v>85075</v>
      </c>
      <c r="J30">
        <v>43328</v>
      </c>
      <c r="K30">
        <v>523972</v>
      </c>
      <c r="L30">
        <v>257694</v>
      </c>
      <c r="M30">
        <v>48.3</v>
      </c>
      <c r="N30">
        <v>49.2</v>
      </c>
    </row>
    <row r="31" spans="1:14" x14ac:dyDescent="0.25">
      <c r="A31" t="s">
        <v>309</v>
      </c>
      <c r="B31">
        <v>11616</v>
      </c>
      <c r="C31">
        <v>158019</v>
      </c>
      <c r="D31">
        <v>78851</v>
      </c>
      <c r="E31">
        <v>1720791</v>
      </c>
      <c r="F31">
        <v>828788</v>
      </c>
      <c r="G31">
        <v>480544</v>
      </c>
      <c r="H31">
        <v>250691</v>
      </c>
      <c r="I31">
        <v>194334</v>
      </c>
      <c r="J31">
        <v>100123</v>
      </c>
      <c r="K31">
        <v>2553688</v>
      </c>
      <c r="L31">
        <v>1258453</v>
      </c>
      <c r="M31">
        <v>48.2</v>
      </c>
      <c r="N31">
        <v>49.3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N31"/>
  <sheetViews>
    <sheetView workbookViewId="0">
      <selection sqref="A1:N1"/>
    </sheetView>
  </sheetViews>
  <sheetFormatPr defaultRowHeight="15" x14ac:dyDescent="0.25"/>
  <cols>
    <col min="1" max="1" width="22.140625" customWidth="1"/>
    <col min="2" max="2" width="12.85546875" customWidth="1"/>
    <col min="3" max="3" width="11.140625" customWidth="1"/>
    <col min="4" max="4" width="10.85546875" customWidth="1"/>
    <col min="5" max="5" width="11.140625" customWidth="1"/>
    <col min="6" max="6" width="10.85546875" customWidth="1"/>
    <col min="7" max="7" width="11.140625" customWidth="1"/>
    <col min="8" max="8" width="10.85546875" customWidth="1"/>
    <col min="9" max="9" width="11.140625" customWidth="1"/>
    <col min="10" max="10" width="10.85546875" customWidth="1"/>
    <col min="11" max="11" width="11.140625" customWidth="1"/>
    <col min="12" max="12" width="10.85546875" customWidth="1"/>
    <col min="13" max="13" width="11.140625" customWidth="1"/>
    <col min="14" max="14" width="10.85546875" customWidth="1"/>
  </cols>
  <sheetData>
    <row r="1" spans="1:14" x14ac:dyDescent="0.25">
      <c r="A1" s="29" t="s">
        <v>404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252</v>
      </c>
      <c r="B2" t="s">
        <v>254</v>
      </c>
      <c r="C2" s="29" t="s">
        <v>326</v>
      </c>
      <c r="D2" s="29"/>
      <c r="E2" s="29" t="s">
        <v>346</v>
      </c>
      <c r="F2" s="29"/>
      <c r="G2" s="29" t="s">
        <v>400</v>
      </c>
      <c r="H2" s="29"/>
      <c r="I2" s="29" t="s">
        <v>401</v>
      </c>
      <c r="J2" s="29"/>
      <c r="K2" s="29" t="s">
        <v>263</v>
      </c>
      <c r="L2" s="29"/>
      <c r="M2" s="29" t="s">
        <v>402</v>
      </c>
      <c r="N2" s="29"/>
    </row>
    <row r="3" spans="1:14" x14ac:dyDescent="0.25">
      <c r="A3" s="29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4" x14ac:dyDescent="0.25">
      <c r="A4" t="s">
        <v>283</v>
      </c>
      <c r="B4">
        <v>812</v>
      </c>
      <c r="C4">
        <v>15557</v>
      </c>
      <c r="D4">
        <v>7918</v>
      </c>
      <c r="E4">
        <v>94915</v>
      </c>
      <c r="F4">
        <v>46200</v>
      </c>
      <c r="G4">
        <v>25910</v>
      </c>
      <c r="H4">
        <v>13554</v>
      </c>
      <c r="I4">
        <v>11310</v>
      </c>
      <c r="J4">
        <v>6084</v>
      </c>
      <c r="K4">
        <v>147692</v>
      </c>
      <c r="L4">
        <v>73756</v>
      </c>
      <c r="M4">
        <v>48.7</v>
      </c>
      <c r="N4">
        <v>49.9</v>
      </c>
    </row>
    <row r="5" spans="1:14" x14ac:dyDescent="0.25">
      <c r="A5" t="s">
        <v>284</v>
      </c>
      <c r="B5">
        <v>1112</v>
      </c>
      <c r="C5">
        <v>17632</v>
      </c>
      <c r="D5">
        <v>8861</v>
      </c>
      <c r="E5">
        <v>169379</v>
      </c>
      <c r="F5">
        <v>81087</v>
      </c>
      <c r="G5">
        <v>41845</v>
      </c>
      <c r="H5">
        <v>22018</v>
      </c>
      <c r="I5">
        <v>18794</v>
      </c>
      <c r="J5">
        <v>10357</v>
      </c>
      <c r="K5">
        <v>247650</v>
      </c>
      <c r="L5">
        <v>122323</v>
      </c>
      <c r="M5">
        <v>47.9</v>
      </c>
      <c r="N5">
        <v>49.4</v>
      </c>
    </row>
    <row r="6" spans="1:14" x14ac:dyDescent="0.25">
      <c r="A6" t="s">
        <v>285</v>
      </c>
      <c r="B6">
        <v>798</v>
      </c>
      <c r="C6">
        <v>15352</v>
      </c>
      <c r="D6">
        <v>7500</v>
      </c>
      <c r="E6">
        <v>141993</v>
      </c>
      <c r="F6">
        <v>67851</v>
      </c>
      <c r="G6">
        <v>41941</v>
      </c>
      <c r="H6">
        <v>22412</v>
      </c>
      <c r="I6">
        <v>21704</v>
      </c>
      <c r="J6">
        <v>11998</v>
      </c>
      <c r="K6">
        <v>220990</v>
      </c>
      <c r="L6">
        <v>109761</v>
      </c>
      <c r="M6">
        <v>47.8</v>
      </c>
      <c r="N6">
        <v>49.7</v>
      </c>
    </row>
    <row r="7" spans="1:14" x14ac:dyDescent="0.25">
      <c r="A7" t="s">
        <v>286</v>
      </c>
      <c r="B7">
        <v>461</v>
      </c>
      <c r="C7">
        <v>6536</v>
      </c>
      <c r="D7">
        <v>3273</v>
      </c>
      <c r="E7">
        <v>74114</v>
      </c>
      <c r="F7">
        <v>36176</v>
      </c>
      <c r="G7">
        <v>24620</v>
      </c>
      <c r="H7">
        <v>13096</v>
      </c>
      <c r="I7">
        <v>12075</v>
      </c>
      <c r="J7">
        <v>6575</v>
      </c>
      <c r="K7">
        <v>117345</v>
      </c>
      <c r="L7">
        <v>59120</v>
      </c>
      <c r="M7">
        <v>48.8</v>
      </c>
      <c r="N7">
        <v>50.4</v>
      </c>
    </row>
    <row r="8" spans="1:14" x14ac:dyDescent="0.25">
      <c r="A8" t="s">
        <v>287</v>
      </c>
      <c r="B8">
        <v>586</v>
      </c>
      <c r="C8">
        <v>8915</v>
      </c>
      <c r="D8">
        <v>4510</v>
      </c>
      <c r="E8">
        <v>111387</v>
      </c>
      <c r="F8">
        <v>53573</v>
      </c>
      <c r="G8">
        <v>35061</v>
      </c>
      <c r="H8">
        <v>18245</v>
      </c>
      <c r="I8">
        <v>14791</v>
      </c>
      <c r="J8">
        <v>7382</v>
      </c>
      <c r="K8">
        <v>170154</v>
      </c>
      <c r="L8">
        <v>83710</v>
      </c>
      <c r="M8">
        <v>48.1</v>
      </c>
      <c r="N8">
        <v>49.2</v>
      </c>
    </row>
    <row r="9" spans="1:14" x14ac:dyDescent="0.25">
      <c r="A9" t="s">
        <v>288</v>
      </c>
      <c r="B9">
        <v>770</v>
      </c>
      <c r="C9">
        <v>9460</v>
      </c>
      <c r="D9">
        <v>4722</v>
      </c>
      <c r="E9">
        <v>100844</v>
      </c>
      <c r="F9">
        <v>49180</v>
      </c>
      <c r="G9">
        <v>29372</v>
      </c>
      <c r="H9">
        <v>15827</v>
      </c>
      <c r="I9">
        <v>13723</v>
      </c>
      <c r="J9">
        <v>7584</v>
      </c>
      <c r="K9">
        <v>153399</v>
      </c>
      <c r="L9">
        <v>77313</v>
      </c>
      <c r="M9">
        <v>48.8</v>
      </c>
      <c r="N9">
        <v>50.4</v>
      </c>
    </row>
    <row r="10" spans="1:14" x14ac:dyDescent="0.25">
      <c r="A10" t="s">
        <v>289</v>
      </c>
      <c r="B10">
        <v>600</v>
      </c>
      <c r="C10">
        <v>6840</v>
      </c>
      <c r="D10">
        <v>3322</v>
      </c>
      <c r="E10">
        <v>79261</v>
      </c>
      <c r="F10">
        <v>38151</v>
      </c>
      <c r="G10">
        <v>30190</v>
      </c>
      <c r="H10">
        <v>15245</v>
      </c>
      <c r="I10">
        <v>15600</v>
      </c>
      <c r="J10">
        <v>7948</v>
      </c>
      <c r="K10">
        <v>131891</v>
      </c>
      <c r="L10">
        <v>64666</v>
      </c>
      <c r="M10">
        <v>48.1</v>
      </c>
      <c r="N10">
        <v>49</v>
      </c>
    </row>
    <row r="11" spans="1:14" x14ac:dyDescent="0.25">
      <c r="A11" t="s">
        <v>290</v>
      </c>
      <c r="B11">
        <v>743</v>
      </c>
      <c r="C11">
        <v>14874</v>
      </c>
      <c r="D11">
        <v>7385</v>
      </c>
      <c r="E11">
        <v>158005</v>
      </c>
      <c r="F11">
        <v>74455</v>
      </c>
      <c r="G11">
        <v>48249</v>
      </c>
      <c r="H11">
        <v>25119</v>
      </c>
      <c r="I11">
        <v>25386</v>
      </c>
      <c r="J11">
        <v>13625</v>
      </c>
      <c r="K11">
        <v>246514</v>
      </c>
      <c r="L11">
        <v>120584</v>
      </c>
      <c r="M11">
        <v>47.1</v>
      </c>
      <c r="N11">
        <v>48.9</v>
      </c>
    </row>
    <row r="12" spans="1:14" x14ac:dyDescent="0.25">
      <c r="A12" t="s">
        <v>291</v>
      </c>
      <c r="B12">
        <v>50</v>
      </c>
      <c r="C12">
        <v>898</v>
      </c>
      <c r="D12">
        <v>447</v>
      </c>
      <c r="E12">
        <v>4918</v>
      </c>
      <c r="F12">
        <v>2408</v>
      </c>
      <c r="G12">
        <v>1767</v>
      </c>
      <c r="H12">
        <v>853</v>
      </c>
      <c r="I12">
        <v>1032</v>
      </c>
      <c r="J12">
        <v>545</v>
      </c>
      <c r="K12">
        <v>8615</v>
      </c>
      <c r="L12">
        <v>4253</v>
      </c>
      <c r="M12">
        <v>49</v>
      </c>
      <c r="N12">
        <v>49.4</v>
      </c>
    </row>
    <row r="13" spans="1:14" x14ac:dyDescent="0.25">
      <c r="A13" t="s">
        <v>292</v>
      </c>
      <c r="B13">
        <v>215</v>
      </c>
      <c r="C13">
        <v>2105</v>
      </c>
      <c r="D13">
        <v>1037</v>
      </c>
      <c r="E13">
        <v>16755</v>
      </c>
      <c r="F13">
        <v>8154</v>
      </c>
      <c r="G13">
        <v>4714</v>
      </c>
      <c r="H13">
        <v>2386</v>
      </c>
      <c r="I13">
        <v>2395</v>
      </c>
      <c r="J13">
        <v>1128</v>
      </c>
      <c r="K13">
        <v>25969</v>
      </c>
      <c r="L13">
        <v>12705</v>
      </c>
      <c r="M13">
        <v>48.7</v>
      </c>
      <c r="N13">
        <v>48.9</v>
      </c>
    </row>
    <row r="14" spans="1:14" x14ac:dyDescent="0.25">
      <c r="A14" t="s">
        <v>293</v>
      </c>
      <c r="B14">
        <v>410</v>
      </c>
      <c r="C14">
        <v>3782</v>
      </c>
      <c r="D14">
        <v>1950</v>
      </c>
      <c r="E14">
        <v>61926</v>
      </c>
      <c r="F14">
        <v>29894</v>
      </c>
      <c r="G14">
        <v>12974</v>
      </c>
      <c r="H14">
        <v>7023</v>
      </c>
      <c r="I14">
        <v>5780</v>
      </c>
      <c r="J14">
        <v>3043</v>
      </c>
      <c r="K14">
        <v>84462</v>
      </c>
      <c r="L14">
        <v>41910</v>
      </c>
      <c r="M14">
        <v>48.3</v>
      </c>
      <c r="N14">
        <v>49.6</v>
      </c>
    </row>
    <row r="15" spans="1:14" x14ac:dyDescent="0.25">
      <c r="A15" t="s">
        <v>294</v>
      </c>
      <c r="B15">
        <v>125</v>
      </c>
      <c r="C15">
        <v>891</v>
      </c>
      <c r="D15">
        <v>466</v>
      </c>
      <c r="E15">
        <v>14167</v>
      </c>
      <c r="F15">
        <v>7016</v>
      </c>
      <c r="G15">
        <v>2936</v>
      </c>
      <c r="H15">
        <v>1549</v>
      </c>
      <c r="I15">
        <v>1235</v>
      </c>
      <c r="J15">
        <v>659</v>
      </c>
      <c r="K15">
        <v>19229</v>
      </c>
      <c r="L15">
        <v>9690</v>
      </c>
      <c r="M15">
        <v>49.5</v>
      </c>
      <c r="N15">
        <v>50.4</v>
      </c>
    </row>
    <row r="16" spans="1:14" x14ac:dyDescent="0.25">
      <c r="A16" t="s">
        <v>295</v>
      </c>
      <c r="B16">
        <v>348</v>
      </c>
      <c r="C16">
        <v>3385</v>
      </c>
      <c r="D16">
        <v>1690</v>
      </c>
      <c r="E16">
        <v>36937</v>
      </c>
      <c r="F16">
        <v>17735</v>
      </c>
      <c r="G16">
        <v>9058</v>
      </c>
      <c r="H16">
        <v>4610</v>
      </c>
      <c r="I16">
        <v>3552</v>
      </c>
      <c r="J16">
        <v>1797</v>
      </c>
      <c r="K16">
        <v>52932</v>
      </c>
      <c r="L16">
        <v>25832</v>
      </c>
      <c r="M16">
        <v>48</v>
      </c>
      <c r="N16">
        <v>48.8</v>
      </c>
    </row>
    <row r="17" spans="1:14" x14ac:dyDescent="0.25">
      <c r="A17" t="s">
        <v>296</v>
      </c>
      <c r="B17">
        <v>83</v>
      </c>
      <c r="C17">
        <v>957</v>
      </c>
      <c r="D17">
        <v>501</v>
      </c>
      <c r="E17">
        <v>10281</v>
      </c>
      <c r="F17">
        <v>4891</v>
      </c>
      <c r="G17">
        <v>3040</v>
      </c>
      <c r="H17">
        <v>1539</v>
      </c>
      <c r="I17">
        <v>1251</v>
      </c>
      <c r="J17">
        <v>654</v>
      </c>
      <c r="K17">
        <v>15529</v>
      </c>
      <c r="L17">
        <v>7585</v>
      </c>
      <c r="M17">
        <v>47.6</v>
      </c>
      <c r="N17">
        <v>48.8</v>
      </c>
    </row>
    <row r="18" spans="1:14" x14ac:dyDescent="0.25">
      <c r="A18" t="s">
        <v>297</v>
      </c>
      <c r="B18">
        <v>375</v>
      </c>
      <c r="C18">
        <v>10904</v>
      </c>
      <c r="D18">
        <v>5254</v>
      </c>
      <c r="E18">
        <v>136863</v>
      </c>
      <c r="F18">
        <v>65768</v>
      </c>
      <c r="G18">
        <v>49082</v>
      </c>
      <c r="H18">
        <v>24285</v>
      </c>
      <c r="I18">
        <v>37325</v>
      </c>
      <c r="J18">
        <v>18455</v>
      </c>
      <c r="K18">
        <v>234174</v>
      </c>
      <c r="L18">
        <v>113762</v>
      </c>
      <c r="M18">
        <v>48.1</v>
      </c>
      <c r="N18">
        <v>48.6</v>
      </c>
    </row>
    <row r="19" spans="1:14" x14ac:dyDescent="0.25">
      <c r="A19" t="s">
        <v>298</v>
      </c>
      <c r="B19">
        <v>153</v>
      </c>
      <c r="C19">
        <v>2107</v>
      </c>
      <c r="D19">
        <v>1066</v>
      </c>
      <c r="E19">
        <v>26492</v>
      </c>
      <c r="F19">
        <v>12867</v>
      </c>
      <c r="G19">
        <v>8013</v>
      </c>
      <c r="H19">
        <v>4020</v>
      </c>
      <c r="I19">
        <v>4152</v>
      </c>
      <c r="J19">
        <v>2059</v>
      </c>
      <c r="K19">
        <v>40764</v>
      </c>
      <c r="L19">
        <v>20012</v>
      </c>
      <c r="M19">
        <v>48.6</v>
      </c>
      <c r="N19">
        <v>49.1</v>
      </c>
    </row>
    <row r="20" spans="1:14" x14ac:dyDescent="0.25">
      <c r="A20" t="s">
        <v>299</v>
      </c>
      <c r="B20">
        <v>391</v>
      </c>
      <c r="C20">
        <v>3417</v>
      </c>
      <c r="D20">
        <v>1758</v>
      </c>
      <c r="E20">
        <v>37189</v>
      </c>
      <c r="F20">
        <v>18373</v>
      </c>
      <c r="G20">
        <v>9324</v>
      </c>
      <c r="H20">
        <v>5039</v>
      </c>
      <c r="I20">
        <v>4180</v>
      </c>
      <c r="J20">
        <v>2168</v>
      </c>
      <c r="K20">
        <v>54110</v>
      </c>
      <c r="L20">
        <v>27338</v>
      </c>
      <c r="M20">
        <v>49.4</v>
      </c>
      <c r="N20">
        <v>50.5</v>
      </c>
    </row>
    <row r="21" spans="1:14" x14ac:dyDescent="0.25">
      <c r="A21" t="s">
        <v>300</v>
      </c>
      <c r="B21">
        <v>1013</v>
      </c>
      <c r="C21">
        <v>14331</v>
      </c>
      <c r="D21">
        <v>7153</v>
      </c>
      <c r="E21">
        <v>149122</v>
      </c>
      <c r="F21">
        <v>70406</v>
      </c>
      <c r="G21">
        <v>48042</v>
      </c>
      <c r="H21">
        <v>24970</v>
      </c>
      <c r="I21">
        <v>21197</v>
      </c>
      <c r="J21">
        <v>10851</v>
      </c>
      <c r="K21">
        <v>232692</v>
      </c>
      <c r="L21">
        <v>113380</v>
      </c>
      <c r="M21">
        <v>47.2</v>
      </c>
      <c r="N21">
        <v>48.7</v>
      </c>
    </row>
    <row r="22" spans="1:14" x14ac:dyDescent="0.25">
      <c r="A22" t="s">
        <v>301</v>
      </c>
      <c r="B22">
        <v>529</v>
      </c>
      <c r="C22">
        <v>7786</v>
      </c>
      <c r="D22">
        <v>4012</v>
      </c>
      <c r="E22">
        <v>68486</v>
      </c>
      <c r="F22">
        <v>33180</v>
      </c>
      <c r="G22">
        <v>17898</v>
      </c>
      <c r="H22">
        <v>9391</v>
      </c>
      <c r="I22">
        <v>8188</v>
      </c>
      <c r="J22">
        <v>4238</v>
      </c>
      <c r="K22">
        <v>102358</v>
      </c>
      <c r="L22">
        <v>50821</v>
      </c>
      <c r="M22">
        <v>48.4</v>
      </c>
      <c r="N22">
        <v>49.7</v>
      </c>
    </row>
    <row r="23" spans="1:14" x14ac:dyDescent="0.25">
      <c r="A23" t="s">
        <v>302</v>
      </c>
      <c r="B23">
        <v>292</v>
      </c>
      <c r="C23">
        <v>2141</v>
      </c>
      <c r="D23">
        <v>1066</v>
      </c>
      <c r="E23">
        <v>40384</v>
      </c>
      <c r="F23">
        <v>19640</v>
      </c>
      <c r="G23">
        <v>6744</v>
      </c>
      <c r="H23">
        <v>3234</v>
      </c>
      <c r="I23">
        <v>2551</v>
      </c>
      <c r="J23">
        <v>1216</v>
      </c>
      <c r="K23">
        <v>51820</v>
      </c>
      <c r="L23">
        <v>25156</v>
      </c>
      <c r="M23">
        <v>48.6</v>
      </c>
      <c r="N23">
        <v>48.5</v>
      </c>
    </row>
    <row r="24" spans="1:14" x14ac:dyDescent="0.25">
      <c r="A24" t="s">
        <v>303</v>
      </c>
      <c r="B24">
        <v>1052</v>
      </c>
      <c r="C24">
        <v>24113</v>
      </c>
      <c r="D24">
        <v>12162</v>
      </c>
      <c r="E24">
        <v>163114</v>
      </c>
      <c r="F24">
        <v>78400</v>
      </c>
      <c r="G24">
        <v>46495</v>
      </c>
      <c r="H24">
        <v>25366</v>
      </c>
      <c r="I24">
        <v>23008</v>
      </c>
      <c r="J24">
        <v>13012</v>
      </c>
      <c r="K24">
        <v>256730</v>
      </c>
      <c r="L24">
        <v>128940</v>
      </c>
      <c r="M24">
        <v>48.1</v>
      </c>
      <c r="N24">
        <v>50.2</v>
      </c>
    </row>
    <row r="25" spans="1:14" x14ac:dyDescent="0.25">
      <c r="A25" t="s">
        <v>304</v>
      </c>
      <c r="B25">
        <v>208</v>
      </c>
      <c r="C25">
        <v>1017</v>
      </c>
      <c r="D25">
        <v>549</v>
      </c>
      <c r="E25">
        <v>25047</v>
      </c>
      <c r="F25">
        <v>12372</v>
      </c>
      <c r="G25">
        <v>4281</v>
      </c>
      <c r="H25">
        <v>2206</v>
      </c>
      <c r="I25">
        <v>1975</v>
      </c>
      <c r="J25">
        <v>973</v>
      </c>
      <c r="K25">
        <v>32320</v>
      </c>
      <c r="L25">
        <v>16100</v>
      </c>
      <c r="M25">
        <v>49.4</v>
      </c>
      <c r="N25">
        <v>49.8</v>
      </c>
    </row>
    <row r="26" spans="1:14" x14ac:dyDescent="0.25">
      <c r="A26" t="s">
        <v>305</v>
      </c>
      <c r="B26">
        <v>506</v>
      </c>
      <c r="C26">
        <v>7467</v>
      </c>
      <c r="D26">
        <v>3713</v>
      </c>
      <c r="E26">
        <v>71906</v>
      </c>
      <c r="F26">
        <v>34866</v>
      </c>
      <c r="G26">
        <v>25116</v>
      </c>
      <c r="H26">
        <v>12567</v>
      </c>
      <c r="I26">
        <v>12352</v>
      </c>
      <c r="J26">
        <v>6062</v>
      </c>
      <c r="K26">
        <v>116841</v>
      </c>
      <c r="L26">
        <v>57208</v>
      </c>
      <c r="M26">
        <v>48.5</v>
      </c>
      <c r="N26">
        <v>49</v>
      </c>
    </row>
    <row r="27" spans="1:14" x14ac:dyDescent="0.25">
      <c r="A27" t="s">
        <v>306</v>
      </c>
      <c r="B27">
        <v>779</v>
      </c>
      <c r="C27">
        <v>12083</v>
      </c>
      <c r="D27">
        <v>5874</v>
      </c>
      <c r="E27">
        <v>119706</v>
      </c>
      <c r="F27">
        <v>57141</v>
      </c>
      <c r="G27">
        <v>48583</v>
      </c>
      <c r="H27">
        <v>24168</v>
      </c>
      <c r="I27">
        <v>28604</v>
      </c>
      <c r="J27">
        <v>14323</v>
      </c>
      <c r="K27">
        <v>208976</v>
      </c>
      <c r="L27">
        <v>101506</v>
      </c>
      <c r="M27">
        <v>47.7</v>
      </c>
      <c r="N27">
        <v>48.6</v>
      </c>
    </row>
    <row r="28" spans="1:14" x14ac:dyDescent="0.25">
      <c r="A28" t="s">
        <v>307</v>
      </c>
      <c r="B28">
        <v>702</v>
      </c>
      <c r="C28">
        <v>12942</v>
      </c>
      <c r="D28">
        <v>6350</v>
      </c>
      <c r="E28">
        <v>115503</v>
      </c>
      <c r="F28">
        <v>55779</v>
      </c>
      <c r="G28">
        <v>29842</v>
      </c>
      <c r="H28">
        <v>15941</v>
      </c>
      <c r="I28">
        <v>11809</v>
      </c>
      <c r="J28">
        <v>6489</v>
      </c>
      <c r="K28">
        <v>170096</v>
      </c>
      <c r="L28">
        <v>84559</v>
      </c>
      <c r="M28">
        <v>48.3</v>
      </c>
      <c r="N28">
        <v>49.7</v>
      </c>
    </row>
    <row r="29" spans="1:14" x14ac:dyDescent="0.25">
      <c r="A29" t="s">
        <v>266</v>
      </c>
      <c r="B29">
        <v>13113</v>
      </c>
      <c r="C29">
        <v>205492</v>
      </c>
      <c r="D29">
        <v>102539</v>
      </c>
      <c r="E29">
        <v>2028694</v>
      </c>
      <c r="F29">
        <v>975563</v>
      </c>
      <c r="G29">
        <v>605097</v>
      </c>
      <c r="H29">
        <v>314663</v>
      </c>
      <c r="I29">
        <v>303969</v>
      </c>
      <c r="J29">
        <v>159225</v>
      </c>
      <c r="K29">
        <v>3143252</v>
      </c>
      <c r="L29">
        <v>1551990</v>
      </c>
      <c r="M29">
        <v>48.1</v>
      </c>
      <c r="N29">
        <v>49.4</v>
      </c>
    </row>
    <row r="30" spans="1:14" x14ac:dyDescent="0.25">
      <c r="A30" t="s">
        <v>308</v>
      </c>
      <c r="B30">
        <v>1404</v>
      </c>
      <c r="C30">
        <v>37229</v>
      </c>
      <c r="D30">
        <v>18357</v>
      </c>
      <c r="E30">
        <v>333842</v>
      </c>
      <c r="F30">
        <v>160415</v>
      </c>
      <c r="G30">
        <v>119164</v>
      </c>
      <c r="H30">
        <v>60026</v>
      </c>
      <c r="I30">
        <v>94954</v>
      </c>
      <c r="J30">
        <v>48422</v>
      </c>
      <c r="K30">
        <v>585189</v>
      </c>
      <c r="L30">
        <v>287220</v>
      </c>
      <c r="M30">
        <v>48.1</v>
      </c>
      <c r="N30">
        <v>49.1</v>
      </c>
    </row>
    <row r="31" spans="1:14" x14ac:dyDescent="0.25">
      <c r="A31" t="s">
        <v>309</v>
      </c>
      <c r="B31">
        <v>11709</v>
      </c>
      <c r="C31">
        <v>168263</v>
      </c>
      <c r="D31">
        <v>84182</v>
      </c>
      <c r="E31">
        <v>1694852</v>
      </c>
      <c r="F31">
        <v>815148</v>
      </c>
      <c r="G31">
        <v>485933</v>
      </c>
      <c r="H31">
        <v>254637</v>
      </c>
      <c r="I31">
        <v>209015</v>
      </c>
      <c r="J31">
        <v>110803</v>
      </c>
      <c r="K31">
        <v>2558063</v>
      </c>
      <c r="L31">
        <v>1264770</v>
      </c>
      <c r="M31">
        <v>48.1</v>
      </c>
      <c r="N31">
        <v>49.4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P31"/>
  <sheetViews>
    <sheetView workbookViewId="0">
      <selection sqref="A1:P1"/>
    </sheetView>
  </sheetViews>
  <sheetFormatPr defaultRowHeight="15" x14ac:dyDescent="0.25"/>
  <cols>
    <col min="1" max="1" width="25.28515625" customWidth="1"/>
    <col min="2" max="2" width="9.85546875" customWidth="1"/>
    <col min="4" max="4" width="10" customWidth="1"/>
    <col min="6" max="6" width="9.42578125" customWidth="1"/>
    <col min="8" max="8" width="9.28515625" customWidth="1"/>
    <col min="11" max="11" width="8.85546875" customWidth="1"/>
    <col min="12" max="12" width="9.28515625" customWidth="1"/>
  </cols>
  <sheetData>
    <row r="1" spans="1:16" x14ac:dyDescent="0.25">
      <c r="A1" s="29" t="s">
        <v>405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s="29" t="s">
        <v>406</v>
      </c>
      <c r="C2" s="29"/>
      <c r="D2" s="29" t="s">
        <v>407</v>
      </c>
      <c r="E2" s="29"/>
      <c r="F2" s="29" t="s">
        <v>408</v>
      </c>
      <c r="G2" s="29"/>
      <c r="H2" s="29" t="s">
        <v>409</v>
      </c>
      <c r="I2" s="29"/>
      <c r="J2" s="29" t="s">
        <v>410</v>
      </c>
      <c r="K2" s="29"/>
      <c r="L2" s="29" t="s">
        <v>411</v>
      </c>
      <c r="M2" s="29"/>
      <c r="N2" s="29" t="s">
        <v>412</v>
      </c>
      <c r="O2" s="29"/>
      <c r="P2" s="29"/>
    </row>
    <row r="3" spans="1:16" x14ac:dyDescent="0.25">
      <c r="A3" s="29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6" x14ac:dyDescent="0.25">
      <c r="A4" t="s">
        <v>283</v>
      </c>
      <c r="B4">
        <v>16685</v>
      </c>
      <c r="C4">
        <v>13360</v>
      </c>
      <c r="D4">
        <v>94915</v>
      </c>
      <c r="E4">
        <v>11294</v>
      </c>
      <c r="F4">
        <v>10375</v>
      </c>
      <c r="G4">
        <v>6014</v>
      </c>
      <c r="H4">
        <v>25910</v>
      </c>
      <c r="I4">
        <v>4894</v>
      </c>
      <c r="J4">
        <v>4705</v>
      </c>
      <c r="K4">
        <v>2864</v>
      </c>
      <c r="L4">
        <v>11310</v>
      </c>
      <c r="M4">
        <v>1878</v>
      </c>
      <c r="N4">
        <v>11.9</v>
      </c>
      <c r="O4">
        <v>18.899999999999999</v>
      </c>
      <c r="P4">
        <v>16.600000000000001</v>
      </c>
    </row>
    <row r="5" spans="1:16" x14ac:dyDescent="0.25">
      <c r="A5" t="s">
        <v>284</v>
      </c>
      <c r="B5">
        <v>30233</v>
      </c>
      <c r="C5">
        <v>23419</v>
      </c>
      <c r="D5">
        <v>169379</v>
      </c>
      <c r="E5">
        <v>23600</v>
      </c>
      <c r="F5">
        <v>16827</v>
      </c>
      <c r="G5">
        <v>8753</v>
      </c>
      <c r="H5">
        <v>41845</v>
      </c>
      <c r="I5">
        <v>9300</v>
      </c>
      <c r="J5">
        <v>7525</v>
      </c>
      <c r="K5">
        <v>3863</v>
      </c>
      <c r="L5">
        <v>18794</v>
      </c>
      <c r="M5">
        <v>4173</v>
      </c>
      <c r="N5">
        <v>13.9</v>
      </c>
      <c r="O5">
        <v>22.2</v>
      </c>
      <c r="P5">
        <v>22.2</v>
      </c>
    </row>
    <row r="6" spans="1:16" x14ac:dyDescent="0.25">
      <c r="A6" t="s">
        <v>285</v>
      </c>
      <c r="B6">
        <v>23614</v>
      </c>
      <c r="C6">
        <v>17724</v>
      </c>
      <c r="D6">
        <v>141993</v>
      </c>
      <c r="E6">
        <v>24549</v>
      </c>
      <c r="F6">
        <v>15852</v>
      </c>
      <c r="G6">
        <v>9337</v>
      </c>
      <c r="H6">
        <v>41941</v>
      </c>
      <c r="I6">
        <v>8442</v>
      </c>
      <c r="J6">
        <v>8784</v>
      </c>
      <c r="K6">
        <v>5613</v>
      </c>
      <c r="L6">
        <v>21704</v>
      </c>
      <c r="M6">
        <v>3670</v>
      </c>
      <c r="N6">
        <v>17.3</v>
      </c>
      <c r="O6">
        <v>20.100000000000001</v>
      </c>
      <c r="P6">
        <v>16.899999999999999</v>
      </c>
    </row>
    <row r="7" spans="1:16" x14ac:dyDescent="0.25">
      <c r="A7" t="s">
        <v>286</v>
      </c>
      <c r="B7">
        <v>11607</v>
      </c>
      <c r="C7">
        <v>10328</v>
      </c>
      <c r="D7">
        <v>74114</v>
      </c>
      <c r="E7">
        <v>7407</v>
      </c>
      <c r="F7">
        <v>9234</v>
      </c>
      <c r="G7">
        <v>5358</v>
      </c>
      <c r="H7">
        <v>24620</v>
      </c>
      <c r="I7">
        <v>5299</v>
      </c>
      <c r="J7">
        <v>4911</v>
      </c>
      <c r="K7">
        <v>2728</v>
      </c>
      <c r="L7">
        <v>12075</v>
      </c>
      <c r="M7">
        <v>2715</v>
      </c>
      <c r="N7">
        <v>10</v>
      </c>
      <c r="O7">
        <v>21.5</v>
      </c>
      <c r="P7">
        <v>22.5</v>
      </c>
    </row>
    <row r="8" spans="1:16" x14ac:dyDescent="0.25">
      <c r="A8" t="s">
        <v>287</v>
      </c>
      <c r="B8">
        <v>17421</v>
      </c>
      <c r="C8">
        <v>14909</v>
      </c>
      <c r="D8">
        <v>111387</v>
      </c>
      <c r="E8">
        <v>11103</v>
      </c>
      <c r="F8">
        <v>13901</v>
      </c>
      <c r="G8">
        <v>7102</v>
      </c>
      <c r="H8">
        <v>35061</v>
      </c>
      <c r="I8">
        <v>7694</v>
      </c>
      <c r="J8">
        <v>6239</v>
      </c>
      <c r="K8">
        <v>3278</v>
      </c>
      <c r="L8">
        <v>14791</v>
      </c>
      <c r="M8">
        <v>2846</v>
      </c>
      <c r="N8">
        <v>10</v>
      </c>
      <c r="O8">
        <v>21.9</v>
      </c>
      <c r="P8">
        <v>19.2</v>
      </c>
    </row>
    <row r="9" spans="1:16" x14ac:dyDescent="0.25">
      <c r="A9" t="s">
        <v>288</v>
      </c>
      <c r="B9">
        <v>16625</v>
      </c>
      <c r="C9">
        <v>13627</v>
      </c>
      <c r="D9">
        <v>100844</v>
      </c>
      <c r="E9">
        <v>13578</v>
      </c>
      <c r="F9">
        <v>11774</v>
      </c>
      <c r="G9">
        <v>5258</v>
      </c>
      <c r="H9">
        <v>29372</v>
      </c>
      <c r="I9">
        <v>7490</v>
      </c>
      <c r="J9">
        <v>5599</v>
      </c>
      <c r="K9">
        <v>3072</v>
      </c>
      <c r="L9">
        <v>13723</v>
      </c>
      <c r="M9">
        <v>3167</v>
      </c>
      <c r="N9">
        <v>13.5</v>
      </c>
      <c r="O9">
        <v>25.5</v>
      </c>
      <c r="P9">
        <v>23.1</v>
      </c>
    </row>
    <row r="10" spans="1:16" x14ac:dyDescent="0.25">
      <c r="A10" t="s">
        <v>289</v>
      </c>
      <c r="B10">
        <v>12922</v>
      </c>
      <c r="C10">
        <v>10981</v>
      </c>
      <c r="D10">
        <v>79261</v>
      </c>
      <c r="E10">
        <v>7897</v>
      </c>
      <c r="F10">
        <v>11352</v>
      </c>
      <c r="G10">
        <v>6474</v>
      </c>
      <c r="H10">
        <v>30190</v>
      </c>
      <c r="I10">
        <v>6552</v>
      </c>
      <c r="J10">
        <v>6269</v>
      </c>
      <c r="K10">
        <v>3404</v>
      </c>
      <c r="L10">
        <v>15600</v>
      </c>
      <c r="M10">
        <v>3206</v>
      </c>
      <c r="N10">
        <v>10</v>
      </c>
      <c r="O10">
        <v>21.7</v>
      </c>
      <c r="P10">
        <v>20.6</v>
      </c>
    </row>
    <row r="11" spans="1:16" x14ac:dyDescent="0.25">
      <c r="A11" t="s">
        <v>290</v>
      </c>
      <c r="B11">
        <v>24723</v>
      </c>
      <c r="C11">
        <v>21590</v>
      </c>
      <c r="D11">
        <v>158005</v>
      </c>
      <c r="E11">
        <v>19931</v>
      </c>
      <c r="F11">
        <v>18200</v>
      </c>
      <c r="G11">
        <v>10416</v>
      </c>
      <c r="H11">
        <v>48249</v>
      </c>
      <c r="I11">
        <v>9305</v>
      </c>
      <c r="J11">
        <v>10257</v>
      </c>
      <c r="K11">
        <v>6150</v>
      </c>
      <c r="L11">
        <v>25386</v>
      </c>
      <c r="M11">
        <v>4968</v>
      </c>
      <c r="N11">
        <v>12.6</v>
      </c>
      <c r="O11">
        <v>19.3</v>
      </c>
      <c r="P11">
        <v>19.600000000000001</v>
      </c>
    </row>
    <row r="12" spans="1:16" x14ac:dyDescent="0.25">
      <c r="A12" t="s">
        <v>291</v>
      </c>
      <c r="B12">
        <v>881</v>
      </c>
      <c r="C12">
        <v>751</v>
      </c>
      <c r="D12">
        <v>4918</v>
      </c>
      <c r="E12">
        <v>524</v>
      </c>
      <c r="F12">
        <v>637</v>
      </c>
      <c r="G12">
        <v>361</v>
      </c>
      <c r="H12">
        <v>1767</v>
      </c>
      <c r="I12">
        <v>370</v>
      </c>
      <c r="J12">
        <v>408</v>
      </c>
      <c r="K12">
        <v>235</v>
      </c>
      <c r="L12">
        <v>1032</v>
      </c>
      <c r="M12">
        <v>234</v>
      </c>
      <c r="N12">
        <v>10.7</v>
      </c>
      <c r="O12">
        <v>20.9</v>
      </c>
      <c r="P12">
        <v>22.7</v>
      </c>
    </row>
    <row r="13" spans="1:16" x14ac:dyDescent="0.25">
      <c r="A13" t="s">
        <v>292</v>
      </c>
      <c r="B13">
        <v>3161</v>
      </c>
      <c r="C13">
        <v>2266</v>
      </c>
      <c r="D13">
        <v>16755</v>
      </c>
      <c r="E13">
        <v>3261</v>
      </c>
      <c r="F13">
        <v>1790</v>
      </c>
      <c r="G13">
        <v>754</v>
      </c>
      <c r="H13">
        <v>4714</v>
      </c>
      <c r="I13">
        <v>1604</v>
      </c>
      <c r="J13">
        <v>929</v>
      </c>
      <c r="K13">
        <v>268</v>
      </c>
      <c r="L13">
        <v>2395</v>
      </c>
      <c r="M13">
        <v>792</v>
      </c>
      <c r="N13">
        <v>19.5</v>
      </c>
      <c r="O13">
        <v>34</v>
      </c>
      <c r="P13">
        <v>33.1</v>
      </c>
    </row>
    <row r="14" spans="1:16" x14ac:dyDescent="0.25">
      <c r="A14" t="s">
        <v>293</v>
      </c>
      <c r="B14">
        <v>11662</v>
      </c>
      <c r="C14">
        <v>8390</v>
      </c>
      <c r="D14">
        <v>61926</v>
      </c>
      <c r="E14">
        <v>10863</v>
      </c>
      <c r="F14">
        <v>5326</v>
      </c>
      <c r="G14">
        <v>2573</v>
      </c>
      <c r="H14">
        <v>12974</v>
      </c>
      <c r="I14">
        <v>3153</v>
      </c>
      <c r="J14">
        <v>2362</v>
      </c>
      <c r="K14">
        <v>1456</v>
      </c>
      <c r="L14">
        <v>5780</v>
      </c>
      <c r="M14">
        <v>1092</v>
      </c>
      <c r="N14">
        <v>17.5</v>
      </c>
      <c r="O14">
        <v>24.3</v>
      </c>
      <c r="P14">
        <v>18.899999999999999</v>
      </c>
    </row>
    <row r="15" spans="1:16" x14ac:dyDescent="0.25">
      <c r="A15" t="s">
        <v>294</v>
      </c>
      <c r="B15">
        <v>2796</v>
      </c>
      <c r="C15">
        <v>1836</v>
      </c>
      <c r="D15">
        <v>14167</v>
      </c>
      <c r="E15">
        <v>3168</v>
      </c>
      <c r="F15">
        <v>1234</v>
      </c>
      <c r="G15">
        <v>375</v>
      </c>
      <c r="H15">
        <v>2936</v>
      </c>
      <c r="I15">
        <v>1132</v>
      </c>
      <c r="J15">
        <v>557</v>
      </c>
      <c r="K15">
        <v>200</v>
      </c>
      <c r="L15">
        <v>1235</v>
      </c>
      <c r="M15">
        <v>447</v>
      </c>
      <c r="N15">
        <v>22.4</v>
      </c>
      <c r="O15">
        <v>38.6</v>
      </c>
      <c r="P15">
        <v>36.200000000000003</v>
      </c>
    </row>
    <row r="16" spans="1:16" x14ac:dyDescent="0.25">
      <c r="A16" t="s">
        <v>295</v>
      </c>
      <c r="B16">
        <v>6492</v>
      </c>
      <c r="C16">
        <v>5180</v>
      </c>
      <c r="D16">
        <v>36937</v>
      </c>
      <c r="E16">
        <v>5699</v>
      </c>
      <c r="F16">
        <v>3656</v>
      </c>
      <c r="G16">
        <v>1665</v>
      </c>
      <c r="H16">
        <v>9058</v>
      </c>
      <c r="I16">
        <v>2664</v>
      </c>
      <c r="J16">
        <v>1609</v>
      </c>
      <c r="K16">
        <v>692</v>
      </c>
      <c r="L16">
        <v>3552</v>
      </c>
      <c r="M16">
        <v>869</v>
      </c>
      <c r="N16">
        <v>15.4</v>
      </c>
      <c r="O16">
        <v>29.4</v>
      </c>
      <c r="P16">
        <v>24.5</v>
      </c>
    </row>
    <row r="17" spans="1:16" x14ac:dyDescent="0.25">
      <c r="A17" t="s">
        <v>296</v>
      </c>
      <c r="B17">
        <v>1765</v>
      </c>
      <c r="C17">
        <v>1361</v>
      </c>
      <c r="D17">
        <v>10281</v>
      </c>
      <c r="E17">
        <v>1729</v>
      </c>
      <c r="F17">
        <v>1243</v>
      </c>
      <c r="G17">
        <v>696</v>
      </c>
      <c r="H17">
        <v>3040</v>
      </c>
      <c r="I17">
        <v>852</v>
      </c>
      <c r="J17">
        <v>482</v>
      </c>
      <c r="K17">
        <v>260</v>
      </c>
      <c r="L17">
        <v>1251</v>
      </c>
      <c r="M17">
        <v>360</v>
      </c>
      <c r="N17">
        <v>16.8</v>
      </c>
      <c r="O17">
        <v>28</v>
      </c>
      <c r="P17">
        <v>28.8</v>
      </c>
    </row>
    <row r="18" spans="1:16" x14ac:dyDescent="0.25">
      <c r="A18" t="s">
        <v>297</v>
      </c>
      <c r="B18">
        <v>23095</v>
      </c>
      <c r="C18">
        <v>19257</v>
      </c>
      <c r="D18">
        <v>136863</v>
      </c>
      <c r="E18">
        <v>11809</v>
      </c>
      <c r="F18">
        <v>18119</v>
      </c>
      <c r="G18">
        <v>12222</v>
      </c>
      <c r="H18">
        <v>49082</v>
      </c>
      <c r="I18">
        <v>7788</v>
      </c>
      <c r="J18">
        <v>12456</v>
      </c>
      <c r="K18">
        <v>7780</v>
      </c>
      <c r="L18">
        <v>37325</v>
      </c>
      <c r="M18">
        <v>7218</v>
      </c>
      <c r="N18">
        <v>8.6</v>
      </c>
      <c r="O18">
        <v>15.9</v>
      </c>
      <c r="P18">
        <v>19.3</v>
      </c>
    </row>
    <row r="19" spans="1:16" x14ac:dyDescent="0.25">
      <c r="A19" t="s">
        <v>298</v>
      </c>
      <c r="B19">
        <v>4604</v>
      </c>
      <c r="C19">
        <v>3251</v>
      </c>
      <c r="D19">
        <v>26492</v>
      </c>
      <c r="E19">
        <v>3681</v>
      </c>
      <c r="F19">
        <v>3289</v>
      </c>
      <c r="G19">
        <v>1728</v>
      </c>
      <c r="H19">
        <v>8013</v>
      </c>
      <c r="I19">
        <v>1927</v>
      </c>
      <c r="J19">
        <v>1638</v>
      </c>
      <c r="K19">
        <v>943</v>
      </c>
      <c r="L19">
        <v>4152</v>
      </c>
      <c r="M19">
        <v>718</v>
      </c>
      <c r="N19">
        <v>13.9</v>
      </c>
      <c r="O19">
        <v>24</v>
      </c>
      <c r="P19">
        <v>17.3</v>
      </c>
    </row>
    <row r="20" spans="1:16" x14ac:dyDescent="0.25">
      <c r="A20" t="s">
        <v>299</v>
      </c>
      <c r="B20">
        <v>6533</v>
      </c>
      <c r="C20">
        <v>4175</v>
      </c>
      <c r="D20">
        <v>37189</v>
      </c>
      <c r="E20">
        <v>9847</v>
      </c>
      <c r="F20">
        <v>3760</v>
      </c>
      <c r="G20">
        <v>1322</v>
      </c>
      <c r="H20">
        <v>9324</v>
      </c>
      <c r="I20">
        <v>3020</v>
      </c>
      <c r="J20">
        <v>1784</v>
      </c>
      <c r="K20">
        <v>745</v>
      </c>
      <c r="L20">
        <v>4180</v>
      </c>
      <c r="M20">
        <v>1185</v>
      </c>
      <c r="N20">
        <v>26.5</v>
      </c>
      <c r="O20">
        <v>32.4</v>
      </c>
      <c r="P20">
        <v>28.3</v>
      </c>
    </row>
    <row r="21" spans="1:16" x14ac:dyDescent="0.25">
      <c r="A21" t="s">
        <v>300</v>
      </c>
      <c r="B21">
        <v>23558</v>
      </c>
      <c r="C21">
        <v>19024</v>
      </c>
      <c r="D21">
        <v>149122</v>
      </c>
      <c r="E21">
        <v>21735</v>
      </c>
      <c r="F21">
        <v>18513</v>
      </c>
      <c r="G21">
        <v>10431</v>
      </c>
      <c r="H21">
        <v>48042</v>
      </c>
      <c r="I21">
        <v>10161</v>
      </c>
      <c r="J21">
        <v>8709</v>
      </c>
      <c r="K21">
        <v>4783</v>
      </c>
      <c r="L21">
        <v>21197</v>
      </c>
      <c r="M21">
        <v>4522</v>
      </c>
      <c r="N21">
        <v>14.6</v>
      </c>
      <c r="O21">
        <v>21.2</v>
      </c>
      <c r="P21">
        <v>21.3</v>
      </c>
    </row>
    <row r="22" spans="1:16" x14ac:dyDescent="0.25">
      <c r="A22" t="s">
        <v>301</v>
      </c>
      <c r="B22">
        <v>11863</v>
      </c>
      <c r="C22">
        <v>9041</v>
      </c>
      <c r="D22">
        <v>68486</v>
      </c>
      <c r="E22">
        <v>11181</v>
      </c>
      <c r="F22">
        <v>7217</v>
      </c>
      <c r="G22">
        <v>3310</v>
      </c>
      <c r="H22">
        <v>17898</v>
      </c>
      <c r="I22">
        <v>4762</v>
      </c>
      <c r="J22">
        <v>3468</v>
      </c>
      <c r="K22">
        <v>1865</v>
      </c>
      <c r="L22">
        <v>8188</v>
      </c>
      <c r="M22">
        <v>1736</v>
      </c>
      <c r="N22">
        <v>16.3</v>
      </c>
      <c r="O22">
        <v>26.6</v>
      </c>
      <c r="P22">
        <v>21.2</v>
      </c>
    </row>
    <row r="23" spans="1:16" x14ac:dyDescent="0.25">
      <c r="A23" t="s">
        <v>302</v>
      </c>
      <c r="B23">
        <v>8718</v>
      </c>
      <c r="C23">
        <v>4415</v>
      </c>
      <c r="D23">
        <v>40384</v>
      </c>
      <c r="E23">
        <v>11911</v>
      </c>
      <c r="F23">
        <v>2926</v>
      </c>
      <c r="G23">
        <v>637</v>
      </c>
      <c r="H23">
        <v>6744</v>
      </c>
      <c r="I23">
        <v>3444</v>
      </c>
      <c r="J23">
        <v>1121</v>
      </c>
      <c r="K23">
        <v>338</v>
      </c>
      <c r="L23">
        <v>2551</v>
      </c>
      <c r="M23">
        <v>1009</v>
      </c>
      <c r="N23">
        <v>29.5</v>
      </c>
      <c r="O23">
        <v>51.1</v>
      </c>
      <c r="P23">
        <v>39.6</v>
      </c>
    </row>
    <row r="24" spans="1:16" x14ac:dyDescent="0.25">
      <c r="A24" t="s">
        <v>303</v>
      </c>
      <c r="B24">
        <v>27175</v>
      </c>
      <c r="C24">
        <v>21936</v>
      </c>
      <c r="D24">
        <v>163114</v>
      </c>
      <c r="E24">
        <v>23573</v>
      </c>
      <c r="F24">
        <v>18312</v>
      </c>
      <c r="G24">
        <v>9231</v>
      </c>
      <c r="H24">
        <v>46495</v>
      </c>
      <c r="I24">
        <v>12178</v>
      </c>
      <c r="J24">
        <v>9490</v>
      </c>
      <c r="K24">
        <v>4335</v>
      </c>
      <c r="L24">
        <v>23008</v>
      </c>
      <c r="M24">
        <v>5709</v>
      </c>
      <c r="N24">
        <v>14.5</v>
      </c>
      <c r="O24">
        <v>26.2</v>
      </c>
      <c r="P24">
        <v>24.8</v>
      </c>
    </row>
    <row r="25" spans="1:16" x14ac:dyDescent="0.25">
      <c r="A25" t="s">
        <v>304</v>
      </c>
      <c r="B25">
        <v>4628</v>
      </c>
      <c r="C25">
        <v>3101</v>
      </c>
      <c r="D25">
        <v>25047</v>
      </c>
      <c r="E25">
        <v>6095</v>
      </c>
      <c r="F25">
        <v>1770</v>
      </c>
      <c r="G25">
        <v>661</v>
      </c>
      <c r="H25">
        <v>4281</v>
      </c>
      <c r="I25">
        <v>1455</v>
      </c>
      <c r="J25">
        <v>739</v>
      </c>
      <c r="K25">
        <v>392</v>
      </c>
      <c r="L25">
        <v>1975</v>
      </c>
      <c r="M25">
        <v>491</v>
      </c>
      <c r="N25">
        <v>24.3</v>
      </c>
      <c r="O25">
        <v>34</v>
      </c>
      <c r="P25">
        <v>24.9</v>
      </c>
    </row>
    <row r="26" spans="1:16" x14ac:dyDescent="0.25">
      <c r="A26" t="s">
        <v>305</v>
      </c>
      <c r="B26">
        <v>11349</v>
      </c>
      <c r="C26">
        <v>9252</v>
      </c>
      <c r="D26">
        <v>71906</v>
      </c>
      <c r="E26">
        <v>12061</v>
      </c>
      <c r="F26">
        <v>9445</v>
      </c>
      <c r="G26">
        <v>5910</v>
      </c>
      <c r="H26">
        <v>25116</v>
      </c>
      <c r="I26">
        <v>4825</v>
      </c>
      <c r="J26">
        <v>5094</v>
      </c>
      <c r="K26">
        <v>2897</v>
      </c>
      <c r="L26">
        <v>12352</v>
      </c>
      <c r="M26">
        <v>2438</v>
      </c>
      <c r="N26">
        <v>16.8</v>
      </c>
      <c r="O26">
        <v>19.2</v>
      </c>
      <c r="P26">
        <v>19.7</v>
      </c>
    </row>
    <row r="27" spans="1:16" x14ac:dyDescent="0.25">
      <c r="A27" t="s">
        <v>306</v>
      </c>
      <c r="B27">
        <v>17942</v>
      </c>
      <c r="C27">
        <v>16648</v>
      </c>
      <c r="D27">
        <v>119706</v>
      </c>
      <c r="E27">
        <v>9485</v>
      </c>
      <c r="F27">
        <v>17195</v>
      </c>
      <c r="G27">
        <v>10112</v>
      </c>
      <c r="H27">
        <v>48583</v>
      </c>
      <c r="I27">
        <v>10314</v>
      </c>
      <c r="J27">
        <v>10703</v>
      </c>
      <c r="K27">
        <v>5753</v>
      </c>
      <c r="L27">
        <v>28604</v>
      </c>
      <c r="M27">
        <v>6504</v>
      </c>
      <c r="N27">
        <v>7.9</v>
      </c>
      <c r="O27">
        <v>21.2</v>
      </c>
      <c r="P27">
        <v>22.7</v>
      </c>
    </row>
    <row r="28" spans="1:16" x14ac:dyDescent="0.25">
      <c r="A28" t="s">
        <v>307</v>
      </c>
      <c r="B28">
        <v>20427</v>
      </c>
      <c r="C28">
        <v>13852</v>
      </c>
      <c r="D28">
        <v>115503</v>
      </c>
      <c r="E28">
        <v>19648</v>
      </c>
      <c r="F28">
        <v>12243</v>
      </c>
      <c r="G28">
        <v>6264</v>
      </c>
      <c r="H28">
        <v>29842</v>
      </c>
      <c r="I28">
        <v>7154</v>
      </c>
      <c r="J28">
        <v>5032</v>
      </c>
      <c r="K28">
        <v>2218</v>
      </c>
      <c r="L28">
        <v>11809</v>
      </c>
      <c r="M28">
        <v>3881</v>
      </c>
      <c r="N28">
        <v>17</v>
      </c>
      <c r="O28">
        <v>24</v>
      </c>
      <c r="P28">
        <v>32.9</v>
      </c>
    </row>
    <row r="29" spans="1:16" x14ac:dyDescent="0.25">
      <c r="A29" t="s">
        <v>266</v>
      </c>
      <c r="B29">
        <v>340479</v>
      </c>
      <c r="C29">
        <v>269674</v>
      </c>
      <c r="D29">
        <v>2028694</v>
      </c>
      <c r="E29">
        <v>285629</v>
      </c>
      <c r="F29">
        <v>234190</v>
      </c>
      <c r="G29">
        <v>126964</v>
      </c>
      <c r="H29">
        <v>605097</v>
      </c>
      <c r="I29">
        <v>135779</v>
      </c>
      <c r="J29">
        <v>120870</v>
      </c>
      <c r="K29">
        <v>66132</v>
      </c>
      <c r="L29">
        <v>303969</v>
      </c>
      <c r="M29">
        <v>65828</v>
      </c>
      <c r="N29">
        <v>14.1</v>
      </c>
      <c r="O29">
        <v>22.4</v>
      </c>
      <c r="P29">
        <v>21.7</v>
      </c>
    </row>
    <row r="30" spans="1:16" x14ac:dyDescent="0.25">
      <c r="A30" t="s">
        <v>308</v>
      </c>
      <c r="B30">
        <v>57178</v>
      </c>
      <c r="C30">
        <v>45906</v>
      </c>
      <c r="D30">
        <v>333842</v>
      </c>
      <c r="E30">
        <v>36640</v>
      </c>
      <c r="F30">
        <v>44584</v>
      </c>
      <c r="G30">
        <v>27431</v>
      </c>
      <c r="H30">
        <v>119164</v>
      </c>
      <c r="I30">
        <v>22396</v>
      </c>
      <c r="J30">
        <v>33726</v>
      </c>
      <c r="K30">
        <v>20261</v>
      </c>
      <c r="L30">
        <v>94954</v>
      </c>
      <c r="M30">
        <v>19651</v>
      </c>
      <c r="N30">
        <v>11</v>
      </c>
      <c r="O30">
        <v>18.8</v>
      </c>
      <c r="P30">
        <v>20.7</v>
      </c>
    </row>
    <row r="31" spans="1:16" x14ac:dyDescent="0.25">
      <c r="A31" t="s">
        <v>309</v>
      </c>
      <c r="B31">
        <v>283301</v>
      </c>
      <c r="C31">
        <v>223768</v>
      </c>
      <c r="D31">
        <v>1694852</v>
      </c>
      <c r="E31">
        <v>248989</v>
      </c>
      <c r="F31">
        <v>189606</v>
      </c>
      <c r="G31">
        <v>99533</v>
      </c>
      <c r="H31">
        <v>485933</v>
      </c>
      <c r="I31">
        <v>113383</v>
      </c>
      <c r="J31">
        <v>87144</v>
      </c>
      <c r="K31">
        <v>45871</v>
      </c>
      <c r="L31">
        <v>209015</v>
      </c>
      <c r="M31">
        <v>46177</v>
      </c>
      <c r="N31">
        <v>14.7</v>
      </c>
      <c r="O31">
        <v>23.3</v>
      </c>
      <c r="P31">
        <v>22.1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P31"/>
  <sheetViews>
    <sheetView workbookViewId="0">
      <selection sqref="A1:P1"/>
    </sheetView>
  </sheetViews>
  <sheetFormatPr defaultRowHeight="15" x14ac:dyDescent="0.25"/>
  <cols>
    <col min="1" max="1" width="25.28515625" customWidth="1"/>
    <col min="2" max="2" width="9.85546875" customWidth="1"/>
    <col min="6" max="6" width="10.140625" customWidth="1"/>
    <col min="7" max="7" width="10" customWidth="1"/>
    <col min="8" max="8" width="9.28515625" customWidth="1"/>
    <col min="14" max="14" width="8.85546875" customWidth="1"/>
    <col min="15" max="15" width="9.28515625" customWidth="1"/>
  </cols>
  <sheetData>
    <row r="1" spans="1:16" x14ac:dyDescent="0.25">
      <c r="A1" s="29" t="s">
        <v>421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252</v>
      </c>
      <c r="B2" s="29" t="s">
        <v>406</v>
      </c>
      <c r="C2" s="29"/>
      <c r="D2" s="29" t="s">
        <v>407</v>
      </c>
      <c r="E2" s="29"/>
      <c r="F2" s="29" t="s">
        <v>408</v>
      </c>
      <c r="G2" s="29"/>
      <c r="H2" s="29" t="s">
        <v>409</v>
      </c>
      <c r="I2" s="29"/>
      <c r="J2" s="29" t="s">
        <v>410</v>
      </c>
      <c r="K2" s="29"/>
      <c r="L2" s="29" t="s">
        <v>411</v>
      </c>
      <c r="M2" s="29"/>
      <c r="N2" s="29" t="s">
        <v>412</v>
      </c>
      <c r="O2" s="29"/>
      <c r="P2" s="29"/>
    </row>
    <row r="3" spans="1:16" x14ac:dyDescent="0.25">
      <c r="A3" s="29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6" x14ac:dyDescent="0.25">
      <c r="A4" t="s">
        <v>283</v>
      </c>
      <c r="B4">
        <v>8073</v>
      </c>
      <c r="C4">
        <v>6642</v>
      </c>
      <c r="D4">
        <v>46200</v>
      </c>
      <c r="E4">
        <v>5026</v>
      </c>
      <c r="F4">
        <v>5380</v>
      </c>
      <c r="G4">
        <v>3414</v>
      </c>
      <c r="H4">
        <v>13554</v>
      </c>
      <c r="I4">
        <v>2192</v>
      </c>
      <c r="J4">
        <v>2527</v>
      </c>
      <c r="K4">
        <v>1644</v>
      </c>
      <c r="L4">
        <v>6084</v>
      </c>
      <c r="M4">
        <v>837</v>
      </c>
      <c r="N4">
        <v>10.9</v>
      </c>
      <c r="O4">
        <v>16.2</v>
      </c>
      <c r="P4">
        <v>13.8</v>
      </c>
    </row>
    <row r="5" spans="1:16" x14ac:dyDescent="0.25">
      <c r="A5" t="s">
        <v>284</v>
      </c>
      <c r="B5">
        <v>14433</v>
      </c>
      <c r="C5">
        <v>11456</v>
      </c>
      <c r="D5">
        <v>81087</v>
      </c>
      <c r="E5">
        <v>10145</v>
      </c>
      <c r="F5">
        <v>8820</v>
      </c>
      <c r="G5">
        <v>4929</v>
      </c>
      <c r="H5">
        <v>22018</v>
      </c>
      <c r="I5">
        <v>4381</v>
      </c>
      <c r="J5">
        <v>4135</v>
      </c>
      <c r="K5">
        <v>2268</v>
      </c>
      <c r="L5">
        <v>10357</v>
      </c>
      <c r="M5">
        <v>2105</v>
      </c>
      <c r="N5">
        <v>12.5</v>
      </c>
      <c r="O5">
        <v>19.899999999999999</v>
      </c>
      <c r="P5">
        <v>20.3</v>
      </c>
    </row>
    <row r="6" spans="1:16" x14ac:dyDescent="0.25">
      <c r="A6" t="s">
        <v>285</v>
      </c>
      <c r="B6">
        <v>10991</v>
      </c>
      <c r="C6">
        <v>8708</v>
      </c>
      <c r="D6">
        <v>67851</v>
      </c>
      <c r="E6">
        <v>11402</v>
      </c>
      <c r="F6">
        <v>8520</v>
      </c>
      <c r="G6">
        <v>5333</v>
      </c>
      <c r="H6">
        <v>22412</v>
      </c>
      <c r="I6">
        <v>3959</v>
      </c>
      <c r="J6">
        <v>4906</v>
      </c>
      <c r="K6">
        <v>3189</v>
      </c>
      <c r="L6">
        <v>11998</v>
      </c>
      <c r="M6">
        <v>1790</v>
      </c>
      <c r="N6">
        <v>16.8</v>
      </c>
      <c r="O6">
        <v>17.7</v>
      </c>
      <c r="P6">
        <v>14.9</v>
      </c>
    </row>
    <row r="7" spans="1:16" x14ac:dyDescent="0.25">
      <c r="A7" t="s">
        <v>286</v>
      </c>
      <c r="B7">
        <v>5594</v>
      </c>
      <c r="C7">
        <v>5014</v>
      </c>
      <c r="D7">
        <v>36176</v>
      </c>
      <c r="E7">
        <v>3251</v>
      </c>
      <c r="F7">
        <v>4806</v>
      </c>
      <c r="G7">
        <v>2962</v>
      </c>
      <c r="H7">
        <v>13096</v>
      </c>
      <c r="I7">
        <v>2566</v>
      </c>
      <c r="J7">
        <v>2737</v>
      </c>
      <c r="K7">
        <v>1581</v>
      </c>
      <c r="L7">
        <v>6575</v>
      </c>
      <c r="M7">
        <v>1191</v>
      </c>
      <c r="N7">
        <v>9</v>
      </c>
      <c r="O7">
        <v>19.600000000000001</v>
      </c>
      <c r="P7">
        <v>18.100000000000001</v>
      </c>
    </row>
    <row r="8" spans="1:16" x14ac:dyDescent="0.25">
      <c r="A8" t="s">
        <v>287</v>
      </c>
      <c r="B8">
        <v>8317</v>
      </c>
      <c r="C8">
        <v>7247</v>
      </c>
      <c r="D8">
        <v>53573</v>
      </c>
      <c r="E8">
        <v>4696</v>
      </c>
      <c r="F8">
        <v>7263</v>
      </c>
      <c r="G8">
        <v>3883</v>
      </c>
      <c r="H8">
        <v>18245</v>
      </c>
      <c r="I8">
        <v>3599</v>
      </c>
      <c r="J8">
        <v>3143</v>
      </c>
      <c r="K8">
        <v>1827</v>
      </c>
      <c r="L8">
        <v>7382</v>
      </c>
      <c r="M8">
        <v>1183</v>
      </c>
      <c r="N8">
        <v>8.8000000000000007</v>
      </c>
      <c r="O8">
        <v>19.7</v>
      </c>
      <c r="P8">
        <v>16</v>
      </c>
    </row>
    <row r="9" spans="1:16" x14ac:dyDescent="0.25">
      <c r="A9" t="s">
        <v>288</v>
      </c>
      <c r="B9">
        <v>7991</v>
      </c>
      <c r="C9">
        <v>6675</v>
      </c>
      <c r="D9">
        <v>49180</v>
      </c>
      <c r="E9">
        <v>6274</v>
      </c>
      <c r="F9">
        <v>6275</v>
      </c>
      <c r="G9">
        <v>2957</v>
      </c>
      <c r="H9">
        <v>15827</v>
      </c>
      <c r="I9">
        <v>3709</v>
      </c>
      <c r="J9">
        <v>3150</v>
      </c>
      <c r="K9">
        <v>1863</v>
      </c>
      <c r="L9">
        <v>7584</v>
      </c>
      <c r="M9">
        <v>1530</v>
      </c>
      <c r="N9">
        <v>12.8</v>
      </c>
      <c r="O9">
        <v>23.4</v>
      </c>
      <c r="P9">
        <v>20.2</v>
      </c>
    </row>
    <row r="10" spans="1:16" x14ac:dyDescent="0.25">
      <c r="A10" t="s">
        <v>289</v>
      </c>
      <c r="B10">
        <v>6063</v>
      </c>
      <c r="C10">
        <v>5243</v>
      </c>
      <c r="D10">
        <v>38151</v>
      </c>
      <c r="E10">
        <v>3470</v>
      </c>
      <c r="F10">
        <v>5764</v>
      </c>
      <c r="G10">
        <v>3563</v>
      </c>
      <c r="H10">
        <v>15245</v>
      </c>
      <c r="I10">
        <v>2851</v>
      </c>
      <c r="J10">
        <v>3248</v>
      </c>
      <c r="K10">
        <v>1918</v>
      </c>
      <c r="L10">
        <v>7948</v>
      </c>
      <c r="M10">
        <v>1349</v>
      </c>
      <c r="N10">
        <v>9.1</v>
      </c>
      <c r="O10">
        <v>18.7</v>
      </c>
      <c r="P10">
        <v>17</v>
      </c>
    </row>
    <row r="11" spans="1:16" x14ac:dyDescent="0.25">
      <c r="A11" t="s">
        <v>290</v>
      </c>
      <c r="B11">
        <v>11738</v>
      </c>
      <c r="C11">
        <v>10421</v>
      </c>
      <c r="D11">
        <v>74455</v>
      </c>
      <c r="E11">
        <v>8700</v>
      </c>
      <c r="F11">
        <v>9325</v>
      </c>
      <c r="G11">
        <v>5808</v>
      </c>
      <c r="H11">
        <v>25119</v>
      </c>
      <c r="I11">
        <v>4048</v>
      </c>
      <c r="J11">
        <v>5540</v>
      </c>
      <c r="K11">
        <v>3573</v>
      </c>
      <c r="L11">
        <v>13625</v>
      </c>
      <c r="M11">
        <v>2204</v>
      </c>
      <c r="N11">
        <v>11.7</v>
      </c>
      <c r="O11">
        <v>16.100000000000001</v>
      </c>
      <c r="P11">
        <v>16.2</v>
      </c>
    </row>
    <row r="12" spans="1:16" x14ac:dyDescent="0.25">
      <c r="A12" t="s">
        <v>291</v>
      </c>
      <c r="B12">
        <v>410</v>
      </c>
      <c r="C12">
        <v>358</v>
      </c>
      <c r="D12">
        <v>2408</v>
      </c>
      <c r="E12">
        <v>235</v>
      </c>
      <c r="F12">
        <v>308</v>
      </c>
      <c r="G12">
        <v>194</v>
      </c>
      <c r="H12">
        <v>853</v>
      </c>
      <c r="I12">
        <v>156</v>
      </c>
      <c r="J12">
        <v>208</v>
      </c>
      <c r="K12">
        <v>134</v>
      </c>
      <c r="L12">
        <v>545</v>
      </c>
      <c r="M12">
        <v>107</v>
      </c>
      <c r="N12">
        <v>9.8000000000000007</v>
      </c>
      <c r="O12">
        <v>18.3</v>
      </c>
      <c r="P12">
        <v>19.600000000000001</v>
      </c>
    </row>
    <row r="13" spans="1:16" x14ac:dyDescent="0.25">
      <c r="A13" t="s">
        <v>292</v>
      </c>
      <c r="B13">
        <v>1497</v>
      </c>
      <c r="C13">
        <v>1131</v>
      </c>
      <c r="D13">
        <v>8154</v>
      </c>
      <c r="E13">
        <v>1468</v>
      </c>
      <c r="F13">
        <v>926</v>
      </c>
      <c r="G13">
        <v>409</v>
      </c>
      <c r="H13">
        <v>2386</v>
      </c>
      <c r="I13">
        <v>729</v>
      </c>
      <c r="J13">
        <v>417</v>
      </c>
      <c r="K13">
        <v>121</v>
      </c>
      <c r="L13">
        <v>1128</v>
      </c>
      <c r="M13">
        <v>333</v>
      </c>
      <c r="N13">
        <v>18</v>
      </c>
      <c r="O13">
        <v>30.6</v>
      </c>
      <c r="P13">
        <v>29.5</v>
      </c>
    </row>
    <row r="14" spans="1:16" x14ac:dyDescent="0.25">
      <c r="A14" t="s">
        <v>293</v>
      </c>
      <c r="B14">
        <v>5485</v>
      </c>
      <c r="C14">
        <v>4065</v>
      </c>
      <c r="D14">
        <v>29894</v>
      </c>
      <c r="E14">
        <v>4955</v>
      </c>
      <c r="F14">
        <v>2876</v>
      </c>
      <c r="G14">
        <v>1537</v>
      </c>
      <c r="H14">
        <v>7023</v>
      </c>
      <c r="I14">
        <v>1472</v>
      </c>
      <c r="J14">
        <v>1266</v>
      </c>
      <c r="K14">
        <v>811</v>
      </c>
      <c r="L14">
        <v>3043</v>
      </c>
      <c r="M14">
        <v>458</v>
      </c>
      <c r="N14">
        <v>16.600000000000001</v>
      </c>
      <c r="O14">
        <v>21</v>
      </c>
      <c r="P14">
        <v>15.1</v>
      </c>
    </row>
    <row r="15" spans="1:16" x14ac:dyDescent="0.25">
      <c r="A15" t="s">
        <v>294</v>
      </c>
      <c r="B15">
        <v>1356</v>
      </c>
      <c r="C15">
        <v>891</v>
      </c>
      <c r="D15">
        <v>7016</v>
      </c>
      <c r="E15">
        <v>1510</v>
      </c>
      <c r="F15">
        <v>651</v>
      </c>
      <c r="G15">
        <v>228</v>
      </c>
      <c r="H15">
        <v>1549</v>
      </c>
      <c r="I15">
        <v>514</v>
      </c>
      <c r="J15">
        <v>306</v>
      </c>
      <c r="K15">
        <v>132</v>
      </c>
      <c r="L15">
        <v>659</v>
      </c>
      <c r="M15">
        <v>205</v>
      </c>
      <c r="N15">
        <v>21.5</v>
      </c>
      <c r="O15">
        <v>33.200000000000003</v>
      </c>
      <c r="P15">
        <v>31.1</v>
      </c>
    </row>
    <row r="16" spans="1:16" x14ac:dyDescent="0.25">
      <c r="A16" t="s">
        <v>295</v>
      </c>
      <c r="B16">
        <v>3101</v>
      </c>
      <c r="C16">
        <v>2503</v>
      </c>
      <c r="D16">
        <v>17735</v>
      </c>
      <c r="E16">
        <v>2486</v>
      </c>
      <c r="F16">
        <v>1849</v>
      </c>
      <c r="G16">
        <v>961</v>
      </c>
      <c r="H16">
        <v>4610</v>
      </c>
      <c r="I16">
        <v>1241</v>
      </c>
      <c r="J16">
        <v>827</v>
      </c>
      <c r="K16">
        <v>403</v>
      </c>
      <c r="L16">
        <v>1797</v>
      </c>
      <c r="M16">
        <v>380</v>
      </c>
      <c r="N16">
        <v>14</v>
      </c>
      <c r="O16">
        <v>26.9</v>
      </c>
      <c r="P16">
        <v>21.1</v>
      </c>
    </row>
    <row r="17" spans="1:16" x14ac:dyDescent="0.25">
      <c r="A17" t="s">
        <v>296</v>
      </c>
      <c r="B17">
        <v>802</v>
      </c>
      <c r="C17">
        <v>649</v>
      </c>
      <c r="D17">
        <v>4891</v>
      </c>
      <c r="E17">
        <v>756</v>
      </c>
      <c r="F17">
        <v>627</v>
      </c>
      <c r="G17">
        <v>371</v>
      </c>
      <c r="H17">
        <v>1539</v>
      </c>
      <c r="I17">
        <v>372</v>
      </c>
      <c r="J17">
        <v>265</v>
      </c>
      <c r="K17">
        <v>169</v>
      </c>
      <c r="L17">
        <v>654</v>
      </c>
      <c r="M17">
        <v>165</v>
      </c>
      <c r="N17">
        <v>15.5</v>
      </c>
      <c r="O17">
        <v>24.2</v>
      </c>
      <c r="P17">
        <v>25.2</v>
      </c>
    </row>
    <row r="18" spans="1:16" x14ac:dyDescent="0.25">
      <c r="A18" t="s">
        <v>297</v>
      </c>
      <c r="B18">
        <v>10724</v>
      </c>
      <c r="C18">
        <v>9178</v>
      </c>
      <c r="D18">
        <v>65768</v>
      </c>
      <c r="E18">
        <v>4857</v>
      </c>
      <c r="F18">
        <v>8995</v>
      </c>
      <c r="G18">
        <v>6382</v>
      </c>
      <c r="H18">
        <v>24285</v>
      </c>
      <c r="I18">
        <v>3227</v>
      </c>
      <c r="J18">
        <v>6254</v>
      </c>
      <c r="K18">
        <v>4160</v>
      </c>
      <c r="L18">
        <v>18455</v>
      </c>
      <c r="M18">
        <v>3165</v>
      </c>
      <c r="N18">
        <v>7.4</v>
      </c>
      <c r="O18">
        <v>13.3</v>
      </c>
      <c r="P18">
        <v>17.100000000000001</v>
      </c>
    </row>
    <row r="19" spans="1:16" x14ac:dyDescent="0.25">
      <c r="A19" t="s">
        <v>298</v>
      </c>
      <c r="B19">
        <v>2199</v>
      </c>
      <c r="C19">
        <v>1603</v>
      </c>
      <c r="D19">
        <v>12867</v>
      </c>
      <c r="E19">
        <v>1583</v>
      </c>
      <c r="F19">
        <v>1614</v>
      </c>
      <c r="G19">
        <v>914</v>
      </c>
      <c r="H19">
        <v>4020</v>
      </c>
      <c r="I19">
        <v>859</v>
      </c>
      <c r="J19">
        <v>839</v>
      </c>
      <c r="K19">
        <v>525</v>
      </c>
      <c r="L19">
        <v>2059</v>
      </c>
      <c r="M19">
        <v>280</v>
      </c>
      <c r="N19">
        <v>12.3</v>
      </c>
      <c r="O19">
        <v>21.4</v>
      </c>
      <c r="P19">
        <v>13.6</v>
      </c>
    </row>
    <row r="20" spans="1:16" x14ac:dyDescent="0.25">
      <c r="A20" t="s">
        <v>299</v>
      </c>
      <c r="B20">
        <v>3157</v>
      </c>
      <c r="C20">
        <v>2031</v>
      </c>
      <c r="D20">
        <v>18373</v>
      </c>
      <c r="E20">
        <v>4777</v>
      </c>
      <c r="F20">
        <v>1976</v>
      </c>
      <c r="G20">
        <v>792</v>
      </c>
      <c r="H20">
        <v>5039</v>
      </c>
      <c r="I20">
        <v>1450</v>
      </c>
      <c r="J20">
        <v>922</v>
      </c>
      <c r="K20">
        <v>437</v>
      </c>
      <c r="L20">
        <v>2168</v>
      </c>
      <c r="M20">
        <v>507</v>
      </c>
      <c r="N20">
        <v>26</v>
      </c>
      <c r="O20">
        <v>28.8</v>
      </c>
      <c r="P20">
        <v>23.4</v>
      </c>
    </row>
    <row r="21" spans="1:16" x14ac:dyDescent="0.25">
      <c r="A21" t="s">
        <v>300</v>
      </c>
      <c r="B21">
        <v>11082</v>
      </c>
      <c r="C21">
        <v>9002</v>
      </c>
      <c r="D21">
        <v>70406</v>
      </c>
      <c r="E21">
        <v>9005</v>
      </c>
      <c r="F21">
        <v>9412</v>
      </c>
      <c r="G21">
        <v>5613</v>
      </c>
      <c r="H21">
        <v>24970</v>
      </c>
      <c r="I21">
        <v>4840</v>
      </c>
      <c r="J21">
        <v>4482</v>
      </c>
      <c r="K21">
        <v>2595</v>
      </c>
      <c r="L21">
        <v>10851</v>
      </c>
      <c r="M21">
        <v>2000</v>
      </c>
      <c r="N21">
        <v>12.8</v>
      </c>
      <c r="O21">
        <v>19.399999999999999</v>
      </c>
      <c r="P21">
        <v>18.399999999999999</v>
      </c>
    </row>
    <row r="22" spans="1:16" x14ac:dyDescent="0.25">
      <c r="A22" t="s">
        <v>301</v>
      </c>
      <c r="B22">
        <v>5614</v>
      </c>
      <c r="C22">
        <v>4334</v>
      </c>
      <c r="D22">
        <v>33180</v>
      </c>
      <c r="E22">
        <v>5268</v>
      </c>
      <c r="F22">
        <v>3697</v>
      </c>
      <c r="G22">
        <v>1811</v>
      </c>
      <c r="H22">
        <v>9391</v>
      </c>
      <c r="I22">
        <v>2283</v>
      </c>
      <c r="J22">
        <v>1813</v>
      </c>
      <c r="K22">
        <v>1015</v>
      </c>
      <c r="L22">
        <v>4238</v>
      </c>
      <c r="M22">
        <v>817</v>
      </c>
      <c r="N22">
        <v>15.9</v>
      </c>
      <c r="O22">
        <v>24.3</v>
      </c>
      <c r="P22">
        <v>19.3</v>
      </c>
    </row>
    <row r="23" spans="1:16" x14ac:dyDescent="0.25">
      <c r="A23" t="s">
        <v>302</v>
      </c>
      <c r="B23">
        <v>4146</v>
      </c>
      <c r="C23">
        <v>2118</v>
      </c>
      <c r="D23">
        <v>19640</v>
      </c>
      <c r="E23">
        <v>5761</v>
      </c>
      <c r="F23">
        <v>1405</v>
      </c>
      <c r="G23">
        <v>341</v>
      </c>
      <c r="H23">
        <v>3234</v>
      </c>
      <c r="I23">
        <v>1463</v>
      </c>
      <c r="J23">
        <v>525</v>
      </c>
      <c r="K23">
        <v>183</v>
      </c>
      <c r="L23">
        <v>1216</v>
      </c>
      <c r="M23">
        <v>405</v>
      </c>
      <c r="N23">
        <v>29.3</v>
      </c>
      <c r="O23">
        <v>45.2</v>
      </c>
      <c r="P23">
        <v>33.299999999999997</v>
      </c>
    </row>
    <row r="24" spans="1:16" x14ac:dyDescent="0.25">
      <c r="A24" t="s">
        <v>303</v>
      </c>
      <c r="B24">
        <v>12908</v>
      </c>
      <c r="C24">
        <v>10634</v>
      </c>
      <c r="D24">
        <v>78400</v>
      </c>
      <c r="E24">
        <v>10208</v>
      </c>
      <c r="F24">
        <v>9832</v>
      </c>
      <c r="G24">
        <v>5358</v>
      </c>
      <c r="H24">
        <v>25366</v>
      </c>
      <c r="I24">
        <v>6049</v>
      </c>
      <c r="J24">
        <v>5417</v>
      </c>
      <c r="K24">
        <v>2690</v>
      </c>
      <c r="L24">
        <v>13012</v>
      </c>
      <c r="M24">
        <v>2846</v>
      </c>
      <c r="N24">
        <v>13</v>
      </c>
      <c r="O24">
        <v>23.8</v>
      </c>
      <c r="P24">
        <v>21.9</v>
      </c>
    </row>
    <row r="25" spans="1:16" x14ac:dyDescent="0.25">
      <c r="A25" t="s">
        <v>304</v>
      </c>
      <c r="B25">
        <v>2238</v>
      </c>
      <c r="C25">
        <v>1549</v>
      </c>
      <c r="D25">
        <v>12372</v>
      </c>
      <c r="E25">
        <v>3110</v>
      </c>
      <c r="F25">
        <v>942</v>
      </c>
      <c r="G25">
        <v>370</v>
      </c>
      <c r="H25">
        <v>2206</v>
      </c>
      <c r="I25">
        <v>665</v>
      </c>
      <c r="J25">
        <v>376</v>
      </c>
      <c r="K25">
        <v>204</v>
      </c>
      <c r="L25">
        <v>973</v>
      </c>
      <c r="M25">
        <v>210</v>
      </c>
      <c r="N25">
        <v>25.1</v>
      </c>
      <c r="O25">
        <v>30.1</v>
      </c>
      <c r="P25">
        <v>21.6</v>
      </c>
    </row>
    <row r="26" spans="1:16" x14ac:dyDescent="0.25">
      <c r="A26" t="s">
        <v>305</v>
      </c>
      <c r="B26">
        <v>5434</v>
      </c>
      <c r="C26">
        <v>4571</v>
      </c>
      <c r="D26">
        <v>34866</v>
      </c>
      <c r="E26">
        <v>5682</v>
      </c>
      <c r="F26">
        <v>4757</v>
      </c>
      <c r="G26">
        <v>3155</v>
      </c>
      <c r="H26">
        <v>12567</v>
      </c>
      <c r="I26">
        <v>2050</v>
      </c>
      <c r="J26">
        <v>2640</v>
      </c>
      <c r="K26">
        <v>1620</v>
      </c>
      <c r="L26">
        <v>6062</v>
      </c>
      <c r="M26">
        <v>903</v>
      </c>
      <c r="N26">
        <v>16.3</v>
      </c>
      <c r="O26">
        <v>16.3</v>
      </c>
      <c r="P26">
        <v>14.9</v>
      </c>
    </row>
    <row r="27" spans="1:16" x14ac:dyDescent="0.25">
      <c r="A27" t="s">
        <v>306</v>
      </c>
      <c r="B27">
        <v>8475</v>
      </c>
      <c r="C27">
        <v>7933</v>
      </c>
      <c r="D27">
        <v>57141</v>
      </c>
      <c r="E27">
        <v>3924</v>
      </c>
      <c r="F27">
        <v>8487</v>
      </c>
      <c r="G27">
        <v>5306</v>
      </c>
      <c r="H27">
        <v>24168</v>
      </c>
      <c r="I27">
        <v>4372</v>
      </c>
      <c r="J27">
        <v>5482</v>
      </c>
      <c r="K27">
        <v>3070</v>
      </c>
      <c r="L27">
        <v>14323</v>
      </c>
      <c r="M27">
        <v>2801</v>
      </c>
      <c r="N27">
        <v>6.9</v>
      </c>
      <c r="O27">
        <v>18.100000000000001</v>
      </c>
      <c r="P27">
        <v>19.600000000000001</v>
      </c>
    </row>
    <row r="28" spans="1:16" x14ac:dyDescent="0.25">
      <c r="A28" t="s">
        <v>307</v>
      </c>
      <c r="B28">
        <v>9805</v>
      </c>
      <c r="C28">
        <v>6927</v>
      </c>
      <c r="D28">
        <v>55779</v>
      </c>
      <c r="E28">
        <v>8798</v>
      </c>
      <c r="F28">
        <v>6483</v>
      </c>
      <c r="G28">
        <v>3605</v>
      </c>
      <c r="H28">
        <v>15941</v>
      </c>
      <c r="I28">
        <v>3406</v>
      </c>
      <c r="J28">
        <v>2852</v>
      </c>
      <c r="K28">
        <v>1319</v>
      </c>
      <c r="L28">
        <v>6489</v>
      </c>
      <c r="M28">
        <v>1853</v>
      </c>
      <c r="N28">
        <v>15.8</v>
      </c>
      <c r="O28">
        <v>21.4</v>
      </c>
      <c r="P28">
        <v>28.6</v>
      </c>
    </row>
    <row r="29" spans="1:16" x14ac:dyDescent="0.25">
      <c r="A29" t="s">
        <v>266</v>
      </c>
      <c r="B29">
        <v>161633</v>
      </c>
      <c r="C29">
        <v>130883</v>
      </c>
      <c r="D29">
        <v>975563</v>
      </c>
      <c r="E29">
        <v>127347</v>
      </c>
      <c r="F29">
        <v>120990</v>
      </c>
      <c r="G29">
        <v>70196</v>
      </c>
      <c r="H29">
        <v>314663</v>
      </c>
      <c r="I29">
        <v>62453</v>
      </c>
      <c r="J29">
        <v>64277</v>
      </c>
      <c r="K29">
        <v>37451</v>
      </c>
      <c r="L29">
        <v>159225</v>
      </c>
      <c r="M29">
        <v>29624</v>
      </c>
      <c r="N29">
        <v>13.1</v>
      </c>
      <c r="O29">
        <v>19.8</v>
      </c>
      <c r="P29">
        <v>18.600000000000001</v>
      </c>
    </row>
    <row r="30" spans="1:16" x14ac:dyDescent="0.25">
      <c r="A30" t="s">
        <v>308</v>
      </c>
      <c r="B30">
        <v>26956</v>
      </c>
      <c r="C30">
        <v>22235</v>
      </c>
      <c r="D30">
        <v>160415</v>
      </c>
      <c r="E30">
        <v>15579</v>
      </c>
      <c r="F30">
        <v>22333</v>
      </c>
      <c r="G30">
        <v>14578</v>
      </c>
      <c r="H30">
        <v>60026</v>
      </c>
      <c r="I30">
        <v>9797</v>
      </c>
      <c r="J30">
        <v>17370</v>
      </c>
      <c r="K30">
        <v>11124</v>
      </c>
      <c r="L30">
        <v>48422</v>
      </c>
      <c r="M30">
        <v>8540</v>
      </c>
      <c r="N30">
        <v>9.6999999999999993</v>
      </c>
      <c r="O30">
        <v>16.3</v>
      </c>
      <c r="P30">
        <v>17.600000000000001</v>
      </c>
    </row>
    <row r="31" spans="1:16" x14ac:dyDescent="0.25">
      <c r="A31" t="s">
        <v>309</v>
      </c>
      <c r="B31">
        <v>134677</v>
      </c>
      <c r="C31">
        <v>108648</v>
      </c>
      <c r="D31">
        <v>815148</v>
      </c>
      <c r="E31">
        <v>111768</v>
      </c>
      <c r="F31">
        <v>98657</v>
      </c>
      <c r="G31">
        <v>55618</v>
      </c>
      <c r="H31">
        <v>254637</v>
      </c>
      <c r="I31">
        <v>52656</v>
      </c>
      <c r="J31">
        <v>46907</v>
      </c>
      <c r="K31">
        <v>26327</v>
      </c>
      <c r="L31">
        <v>110803</v>
      </c>
      <c r="M31">
        <v>21084</v>
      </c>
      <c r="N31">
        <v>13.7</v>
      </c>
      <c r="O31">
        <v>20.7</v>
      </c>
      <c r="P31">
        <v>19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K31"/>
  <sheetViews>
    <sheetView workbookViewId="0">
      <selection sqref="A1:K1"/>
    </sheetView>
  </sheetViews>
  <sheetFormatPr defaultRowHeight="15" x14ac:dyDescent="0.25"/>
  <cols>
    <col min="1" max="1" width="25.28515625" customWidth="1"/>
    <col min="2" max="2" width="14" customWidth="1"/>
    <col min="3" max="3" width="14.7109375" customWidth="1"/>
    <col min="4" max="4" width="14.140625" customWidth="1"/>
    <col min="5" max="5" width="14.42578125" customWidth="1"/>
    <col min="6" max="6" width="14.140625" customWidth="1"/>
    <col min="8" max="8" width="14.42578125" customWidth="1"/>
    <col min="9" max="9" width="14.140625" customWidth="1"/>
    <col min="11" max="11" width="14.42578125" customWidth="1"/>
  </cols>
  <sheetData>
    <row r="1" spans="1:11" x14ac:dyDescent="0.25">
      <c r="A1" s="29" t="s">
        <v>422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252</v>
      </c>
      <c r="B2" s="29" t="s">
        <v>423</v>
      </c>
      <c r="C2" s="29"/>
      <c r="D2" s="29" t="s">
        <v>424</v>
      </c>
      <c r="E2" s="29"/>
      <c r="F2" s="29" t="s">
        <v>425</v>
      </c>
      <c r="G2" s="29"/>
      <c r="H2" s="29" t="s">
        <v>373</v>
      </c>
      <c r="I2" s="29"/>
      <c r="J2" s="29" t="s">
        <v>426</v>
      </c>
      <c r="K2" s="29"/>
    </row>
    <row r="3" spans="1:11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1" x14ac:dyDescent="0.25">
      <c r="A4" t="s">
        <v>283</v>
      </c>
      <c r="B4">
        <v>792</v>
      </c>
      <c r="C4">
        <v>415</v>
      </c>
      <c r="D4">
        <v>2726</v>
      </c>
      <c r="E4">
        <v>1377</v>
      </c>
      <c r="F4">
        <v>5634</v>
      </c>
      <c r="G4">
        <v>2786</v>
      </c>
      <c r="H4">
        <v>6405</v>
      </c>
      <c r="I4">
        <v>3340</v>
      </c>
      <c r="J4">
        <v>15557</v>
      </c>
      <c r="K4">
        <v>7918</v>
      </c>
    </row>
    <row r="5" spans="1:11" x14ac:dyDescent="0.25">
      <c r="A5" t="s">
        <v>284</v>
      </c>
      <c r="B5">
        <v>689</v>
      </c>
      <c r="C5">
        <v>370</v>
      </c>
      <c r="D5">
        <v>3166</v>
      </c>
      <c r="E5">
        <v>1586</v>
      </c>
      <c r="F5">
        <v>7855</v>
      </c>
      <c r="G5">
        <v>3884</v>
      </c>
      <c r="H5">
        <v>5922</v>
      </c>
      <c r="I5">
        <v>3021</v>
      </c>
      <c r="J5">
        <v>17632</v>
      </c>
      <c r="K5">
        <v>8861</v>
      </c>
    </row>
    <row r="6" spans="1:11" x14ac:dyDescent="0.25">
      <c r="A6" t="s">
        <v>285</v>
      </c>
      <c r="B6">
        <v>312</v>
      </c>
      <c r="C6">
        <v>161</v>
      </c>
      <c r="D6">
        <v>2526</v>
      </c>
      <c r="E6">
        <v>1282</v>
      </c>
      <c r="F6">
        <v>11266</v>
      </c>
      <c r="G6">
        <v>5436</v>
      </c>
      <c r="H6">
        <v>1248</v>
      </c>
      <c r="I6">
        <v>621</v>
      </c>
      <c r="J6">
        <v>15352</v>
      </c>
      <c r="K6">
        <v>7500</v>
      </c>
    </row>
    <row r="7" spans="1:11" x14ac:dyDescent="0.25">
      <c r="A7" t="s">
        <v>286</v>
      </c>
      <c r="B7">
        <v>497</v>
      </c>
      <c r="C7">
        <v>252</v>
      </c>
      <c r="D7">
        <v>1516</v>
      </c>
      <c r="E7">
        <v>755</v>
      </c>
      <c r="F7">
        <v>3564</v>
      </c>
      <c r="G7">
        <v>1749</v>
      </c>
      <c r="H7">
        <v>959</v>
      </c>
      <c r="I7">
        <v>517</v>
      </c>
      <c r="J7">
        <v>6536</v>
      </c>
      <c r="K7">
        <v>3273</v>
      </c>
    </row>
    <row r="8" spans="1:11" x14ac:dyDescent="0.25">
      <c r="A8" t="s">
        <v>287</v>
      </c>
      <c r="B8">
        <v>290</v>
      </c>
      <c r="C8">
        <v>159</v>
      </c>
      <c r="D8">
        <v>997</v>
      </c>
      <c r="E8">
        <v>503</v>
      </c>
      <c r="F8">
        <v>5671</v>
      </c>
      <c r="G8">
        <v>2860</v>
      </c>
      <c r="H8">
        <v>1957</v>
      </c>
      <c r="I8">
        <v>988</v>
      </c>
      <c r="J8">
        <v>8915</v>
      </c>
      <c r="K8">
        <v>4510</v>
      </c>
    </row>
    <row r="9" spans="1:11" x14ac:dyDescent="0.25">
      <c r="A9" t="s">
        <v>288</v>
      </c>
      <c r="B9">
        <v>509</v>
      </c>
      <c r="C9">
        <v>261</v>
      </c>
      <c r="D9">
        <v>2068</v>
      </c>
      <c r="E9">
        <v>1042</v>
      </c>
      <c r="F9">
        <v>4407</v>
      </c>
      <c r="G9">
        <v>2177</v>
      </c>
      <c r="H9">
        <v>2476</v>
      </c>
      <c r="I9">
        <v>1242</v>
      </c>
      <c r="J9">
        <v>9460</v>
      </c>
      <c r="K9">
        <v>4722</v>
      </c>
    </row>
    <row r="10" spans="1:11" x14ac:dyDescent="0.25">
      <c r="A10" t="s">
        <v>289</v>
      </c>
      <c r="B10">
        <v>173</v>
      </c>
      <c r="C10">
        <v>78</v>
      </c>
      <c r="D10">
        <v>571</v>
      </c>
      <c r="E10">
        <v>320</v>
      </c>
      <c r="F10">
        <v>5602</v>
      </c>
      <c r="G10">
        <v>2674</v>
      </c>
      <c r="H10">
        <v>494</v>
      </c>
      <c r="I10">
        <v>250</v>
      </c>
      <c r="J10">
        <v>6840</v>
      </c>
      <c r="K10">
        <v>3322</v>
      </c>
    </row>
    <row r="11" spans="1:11" x14ac:dyDescent="0.25">
      <c r="A11" t="s">
        <v>290</v>
      </c>
      <c r="B11">
        <v>976</v>
      </c>
      <c r="C11">
        <v>504</v>
      </c>
      <c r="D11">
        <v>3367</v>
      </c>
      <c r="E11">
        <v>1678</v>
      </c>
      <c r="F11">
        <v>10179</v>
      </c>
      <c r="G11">
        <v>5028</v>
      </c>
      <c r="H11">
        <v>352</v>
      </c>
      <c r="I11">
        <v>175</v>
      </c>
      <c r="J11">
        <v>14874</v>
      </c>
      <c r="K11">
        <v>7385</v>
      </c>
    </row>
    <row r="12" spans="1:11" x14ac:dyDescent="0.25">
      <c r="A12" t="s">
        <v>291</v>
      </c>
      <c r="B12">
        <v>0</v>
      </c>
      <c r="C12">
        <v>0</v>
      </c>
      <c r="D12">
        <v>238</v>
      </c>
      <c r="E12">
        <v>127</v>
      </c>
      <c r="F12">
        <v>462</v>
      </c>
      <c r="G12">
        <v>227</v>
      </c>
      <c r="H12">
        <v>198</v>
      </c>
      <c r="I12">
        <v>93</v>
      </c>
      <c r="J12">
        <v>898</v>
      </c>
      <c r="K12">
        <v>447</v>
      </c>
    </row>
    <row r="13" spans="1:11" x14ac:dyDescent="0.25">
      <c r="A13" t="s">
        <v>292</v>
      </c>
      <c r="B13">
        <v>60</v>
      </c>
      <c r="C13">
        <v>28</v>
      </c>
      <c r="D13">
        <v>275</v>
      </c>
      <c r="E13">
        <v>134</v>
      </c>
      <c r="F13">
        <v>392</v>
      </c>
      <c r="G13">
        <v>196</v>
      </c>
      <c r="H13">
        <v>1378</v>
      </c>
      <c r="I13">
        <v>679</v>
      </c>
      <c r="J13">
        <v>2105</v>
      </c>
      <c r="K13">
        <v>1037</v>
      </c>
    </row>
    <row r="14" spans="1:11" x14ac:dyDescent="0.25">
      <c r="A14" t="s">
        <v>293</v>
      </c>
      <c r="B14">
        <v>132</v>
      </c>
      <c r="C14">
        <v>62</v>
      </c>
      <c r="D14">
        <v>643</v>
      </c>
      <c r="E14">
        <v>342</v>
      </c>
      <c r="F14">
        <v>2509</v>
      </c>
      <c r="G14">
        <v>1286</v>
      </c>
      <c r="H14">
        <v>498</v>
      </c>
      <c r="I14">
        <v>260</v>
      </c>
      <c r="J14">
        <v>3782</v>
      </c>
      <c r="K14">
        <v>1950</v>
      </c>
    </row>
    <row r="15" spans="1:11" x14ac:dyDescent="0.25">
      <c r="A15" t="s">
        <v>294</v>
      </c>
      <c r="B15">
        <v>28</v>
      </c>
      <c r="C15">
        <v>14</v>
      </c>
      <c r="D15">
        <v>120</v>
      </c>
      <c r="E15">
        <v>72</v>
      </c>
      <c r="F15">
        <v>172</v>
      </c>
      <c r="G15">
        <v>89</v>
      </c>
      <c r="H15">
        <v>571</v>
      </c>
      <c r="I15">
        <v>291</v>
      </c>
      <c r="J15">
        <v>891</v>
      </c>
      <c r="K15">
        <v>466</v>
      </c>
    </row>
    <row r="16" spans="1:11" x14ac:dyDescent="0.25">
      <c r="A16" t="s">
        <v>295</v>
      </c>
      <c r="B16">
        <v>86</v>
      </c>
      <c r="C16">
        <v>47</v>
      </c>
      <c r="D16">
        <v>385</v>
      </c>
      <c r="E16">
        <v>201</v>
      </c>
      <c r="F16">
        <v>1248</v>
      </c>
      <c r="G16">
        <v>603</v>
      </c>
      <c r="H16">
        <v>1666</v>
      </c>
      <c r="I16">
        <v>839</v>
      </c>
      <c r="J16">
        <v>3385</v>
      </c>
      <c r="K16">
        <v>1690</v>
      </c>
    </row>
    <row r="17" spans="1:11" x14ac:dyDescent="0.25">
      <c r="A17" t="s">
        <v>296</v>
      </c>
      <c r="B17">
        <v>42</v>
      </c>
      <c r="C17">
        <v>18</v>
      </c>
      <c r="D17">
        <v>133</v>
      </c>
      <c r="E17">
        <v>65</v>
      </c>
      <c r="F17">
        <v>324</v>
      </c>
      <c r="G17">
        <v>181</v>
      </c>
      <c r="H17">
        <v>458</v>
      </c>
      <c r="I17">
        <v>237</v>
      </c>
      <c r="J17">
        <v>957</v>
      </c>
      <c r="K17">
        <v>501</v>
      </c>
    </row>
    <row r="18" spans="1:11" x14ac:dyDescent="0.25">
      <c r="A18" t="s">
        <v>297</v>
      </c>
      <c r="B18">
        <v>579</v>
      </c>
      <c r="C18">
        <v>292</v>
      </c>
      <c r="D18">
        <v>919</v>
      </c>
      <c r="E18">
        <v>452</v>
      </c>
      <c r="F18">
        <v>9368</v>
      </c>
      <c r="G18">
        <v>4494</v>
      </c>
      <c r="H18">
        <v>38</v>
      </c>
      <c r="I18">
        <v>16</v>
      </c>
      <c r="J18">
        <v>10904</v>
      </c>
      <c r="K18">
        <v>5254</v>
      </c>
    </row>
    <row r="19" spans="1:11" x14ac:dyDescent="0.25">
      <c r="A19" t="s">
        <v>298</v>
      </c>
      <c r="B19">
        <v>68</v>
      </c>
      <c r="C19">
        <v>25</v>
      </c>
      <c r="D19">
        <v>160</v>
      </c>
      <c r="E19">
        <v>93</v>
      </c>
      <c r="F19">
        <v>1130</v>
      </c>
      <c r="G19">
        <v>585</v>
      </c>
      <c r="H19">
        <v>749</v>
      </c>
      <c r="I19">
        <v>363</v>
      </c>
      <c r="J19">
        <v>2107</v>
      </c>
      <c r="K19">
        <v>1066</v>
      </c>
    </row>
    <row r="20" spans="1:11" x14ac:dyDescent="0.25">
      <c r="A20" t="s">
        <v>299</v>
      </c>
      <c r="B20">
        <v>127</v>
      </c>
      <c r="C20">
        <v>66</v>
      </c>
      <c r="D20">
        <v>319</v>
      </c>
      <c r="E20">
        <v>144</v>
      </c>
      <c r="F20">
        <v>855</v>
      </c>
      <c r="G20">
        <v>426</v>
      </c>
      <c r="H20">
        <v>2116</v>
      </c>
      <c r="I20">
        <v>1122</v>
      </c>
      <c r="J20">
        <v>3417</v>
      </c>
      <c r="K20">
        <v>1758</v>
      </c>
    </row>
    <row r="21" spans="1:11" x14ac:dyDescent="0.25">
      <c r="A21" t="s">
        <v>300</v>
      </c>
      <c r="B21">
        <v>284</v>
      </c>
      <c r="C21">
        <v>145</v>
      </c>
      <c r="D21">
        <v>2362</v>
      </c>
      <c r="E21">
        <v>1183</v>
      </c>
      <c r="F21">
        <v>11377</v>
      </c>
      <c r="G21">
        <v>5666</v>
      </c>
      <c r="H21">
        <v>308</v>
      </c>
      <c r="I21">
        <v>159</v>
      </c>
      <c r="J21">
        <v>14331</v>
      </c>
      <c r="K21">
        <v>7153</v>
      </c>
    </row>
    <row r="22" spans="1:11" x14ac:dyDescent="0.25">
      <c r="A22" t="s">
        <v>301</v>
      </c>
      <c r="B22">
        <v>487</v>
      </c>
      <c r="C22">
        <v>260</v>
      </c>
      <c r="D22">
        <v>1421</v>
      </c>
      <c r="E22">
        <v>713</v>
      </c>
      <c r="F22">
        <v>3656</v>
      </c>
      <c r="G22">
        <v>1869</v>
      </c>
      <c r="H22">
        <v>2222</v>
      </c>
      <c r="I22">
        <v>1170</v>
      </c>
      <c r="J22">
        <v>7786</v>
      </c>
      <c r="K22">
        <v>4012</v>
      </c>
    </row>
    <row r="23" spans="1:11" x14ac:dyDescent="0.25">
      <c r="A23" t="s">
        <v>302</v>
      </c>
      <c r="B23">
        <v>128</v>
      </c>
      <c r="C23">
        <v>60</v>
      </c>
      <c r="D23">
        <v>398</v>
      </c>
      <c r="E23">
        <v>210</v>
      </c>
      <c r="F23">
        <v>1000</v>
      </c>
      <c r="G23">
        <v>486</v>
      </c>
      <c r="H23">
        <v>615</v>
      </c>
      <c r="I23">
        <v>310</v>
      </c>
      <c r="J23">
        <v>2141</v>
      </c>
      <c r="K23">
        <v>1066</v>
      </c>
    </row>
    <row r="24" spans="1:11" x14ac:dyDescent="0.25">
      <c r="A24" t="s">
        <v>303</v>
      </c>
      <c r="B24">
        <v>1305</v>
      </c>
      <c r="C24">
        <v>697</v>
      </c>
      <c r="D24">
        <v>5486</v>
      </c>
      <c r="E24">
        <v>2844</v>
      </c>
      <c r="F24">
        <v>12591</v>
      </c>
      <c r="G24">
        <v>6203</v>
      </c>
      <c r="H24">
        <v>4731</v>
      </c>
      <c r="I24">
        <v>2418</v>
      </c>
      <c r="J24">
        <v>24113</v>
      </c>
      <c r="K24">
        <v>12162</v>
      </c>
    </row>
    <row r="25" spans="1:11" x14ac:dyDescent="0.25">
      <c r="A25" t="s">
        <v>304</v>
      </c>
      <c r="B25">
        <v>48</v>
      </c>
      <c r="C25">
        <v>27</v>
      </c>
      <c r="D25">
        <v>147</v>
      </c>
      <c r="E25">
        <v>82</v>
      </c>
      <c r="F25">
        <v>243</v>
      </c>
      <c r="G25">
        <v>125</v>
      </c>
      <c r="H25">
        <v>579</v>
      </c>
      <c r="I25">
        <v>315</v>
      </c>
      <c r="J25">
        <v>1017</v>
      </c>
      <c r="K25">
        <v>549</v>
      </c>
    </row>
    <row r="26" spans="1:11" x14ac:dyDescent="0.25">
      <c r="A26" t="s">
        <v>305</v>
      </c>
      <c r="B26">
        <v>183</v>
      </c>
      <c r="C26">
        <v>91</v>
      </c>
      <c r="D26">
        <v>1081</v>
      </c>
      <c r="E26">
        <v>539</v>
      </c>
      <c r="F26">
        <v>2953</v>
      </c>
      <c r="G26">
        <v>1463</v>
      </c>
      <c r="H26">
        <v>3250</v>
      </c>
      <c r="I26">
        <v>1620</v>
      </c>
      <c r="J26">
        <v>7467</v>
      </c>
      <c r="K26">
        <v>3713</v>
      </c>
    </row>
    <row r="27" spans="1:11" x14ac:dyDescent="0.25">
      <c r="A27" t="s">
        <v>306</v>
      </c>
      <c r="B27">
        <v>301</v>
      </c>
      <c r="C27">
        <v>143</v>
      </c>
      <c r="D27">
        <v>1658</v>
      </c>
      <c r="E27">
        <v>808</v>
      </c>
      <c r="F27">
        <v>8955</v>
      </c>
      <c r="G27">
        <v>4332</v>
      </c>
      <c r="H27">
        <v>1169</v>
      </c>
      <c r="I27">
        <v>591</v>
      </c>
      <c r="J27">
        <v>12083</v>
      </c>
      <c r="K27">
        <v>5874</v>
      </c>
    </row>
    <row r="28" spans="1:11" x14ac:dyDescent="0.25">
      <c r="A28" t="s">
        <v>307</v>
      </c>
      <c r="B28">
        <v>302</v>
      </c>
      <c r="C28">
        <v>148</v>
      </c>
      <c r="D28">
        <v>3781</v>
      </c>
      <c r="E28">
        <v>1864</v>
      </c>
      <c r="F28">
        <v>7421</v>
      </c>
      <c r="G28">
        <v>3636</v>
      </c>
      <c r="H28">
        <v>1438</v>
      </c>
      <c r="I28">
        <v>702</v>
      </c>
      <c r="J28">
        <v>12942</v>
      </c>
      <c r="K28">
        <v>6350</v>
      </c>
    </row>
    <row r="29" spans="1:11" x14ac:dyDescent="0.25">
      <c r="A29" t="s">
        <v>266</v>
      </c>
      <c r="B29">
        <v>8398</v>
      </c>
      <c r="C29">
        <v>4323</v>
      </c>
      <c r="D29">
        <v>36463</v>
      </c>
      <c r="E29">
        <v>18416</v>
      </c>
      <c r="F29">
        <v>118834</v>
      </c>
      <c r="G29">
        <v>58461</v>
      </c>
      <c r="H29">
        <v>41797</v>
      </c>
      <c r="I29">
        <v>21339</v>
      </c>
      <c r="J29">
        <v>205492</v>
      </c>
      <c r="K29">
        <v>102539</v>
      </c>
    </row>
    <row r="30" spans="1:11" x14ac:dyDescent="0.25">
      <c r="A30" t="s">
        <v>308</v>
      </c>
      <c r="B30">
        <v>2930</v>
      </c>
      <c r="C30">
        <v>1513</v>
      </c>
      <c r="D30">
        <v>7347</v>
      </c>
      <c r="E30">
        <v>3702</v>
      </c>
      <c r="F30">
        <v>22698</v>
      </c>
      <c r="G30">
        <v>10977</v>
      </c>
      <c r="H30">
        <v>4254</v>
      </c>
      <c r="I30">
        <v>2165</v>
      </c>
      <c r="J30">
        <v>37229</v>
      </c>
      <c r="K30">
        <v>18357</v>
      </c>
    </row>
    <row r="31" spans="1:11" x14ac:dyDescent="0.25">
      <c r="A31" t="s">
        <v>309</v>
      </c>
      <c r="B31">
        <v>5468</v>
      </c>
      <c r="C31">
        <v>2810</v>
      </c>
      <c r="D31">
        <v>29116</v>
      </c>
      <c r="E31">
        <v>14714</v>
      </c>
      <c r="F31">
        <v>96136</v>
      </c>
      <c r="G31">
        <v>47484</v>
      </c>
      <c r="H31">
        <v>37543</v>
      </c>
      <c r="I31">
        <v>19174</v>
      </c>
      <c r="J31">
        <v>168263</v>
      </c>
      <c r="K31">
        <v>84182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L31"/>
  <sheetViews>
    <sheetView workbookViewId="0">
      <selection sqref="A1:L1"/>
    </sheetView>
  </sheetViews>
  <sheetFormatPr defaultRowHeight="15" x14ac:dyDescent="0.25"/>
  <cols>
    <col min="1" max="1" width="19.85546875" customWidth="1"/>
    <col min="2" max="2" width="25.140625" customWidth="1"/>
    <col min="3" max="3" width="12.140625" customWidth="1"/>
    <col min="9" max="9" width="12.42578125" customWidth="1"/>
    <col min="10" max="10" width="12.140625" customWidth="1"/>
  </cols>
  <sheetData>
    <row r="1" spans="1:12" x14ac:dyDescent="0.25">
      <c r="A1" s="29" t="s">
        <v>427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t="s">
        <v>428</v>
      </c>
      <c r="C2" s="29" t="s">
        <v>429</v>
      </c>
      <c r="D2" s="29"/>
      <c r="E2" s="29" t="s">
        <v>430</v>
      </c>
      <c r="F2" s="29"/>
      <c r="G2" s="29" t="s">
        <v>431</v>
      </c>
      <c r="H2" s="29"/>
      <c r="I2" s="29" t="s">
        <v>432</v>
      </c>
      <c r="J2" s="29"/>
      <c r="K2" s="29" t="s">
        <v>260</v>
      </c>
      <c r="L2" s="29"/>
    </row>
    <row r="3" spans="1:12" x14ac:dyDescent="0.25">
      <c r="A3" s="29"/>
      <c r="B3" t="s">
        <v>433</v>
      </c>
      <c r="C3" t="s">
        <v>263</v>
      </c>
      <c r="D3" t="s">
        <v>265</v>
      </c>
      <c r="E3" t="s">
        <v>263</v>
      </c>
      <c r="F3" t="s">
        <v>265</v>
      </c>
      <c r="G3" t="s">
        <v>263</v>
      </c>
      <c r="H3" t="s">
        <v>265</v>
      </c>
      <c r="I3" t="s">
        <v>263</v>
      </c>
      <c r="J3" t="s">
        <v>265</v>
      </c>
      <c r="K3" t="s">
        <v>263</v>
      </c>
      <c r="L3" t="s">
        <v>265</v>
      </c>
    </row>
    <row r="4" spans="1:12" x14ac:dyDescent="0.25">
      <c r="A4" t="s">
        <v>283</v>
      </c>
      <c r="B4" t="s">
        <v>434</v>
      </c>
      <c r="C4">
        <v>92</v>
      </c>
      <c r="D4">
        <v>27</v>
      </c>
      <c r="E4">
        <v>140</v>
      </c>
      <c r="F4">
        <v>32</v>
      </c>
      <c r="G4">
        <v>4699</v>
      </c>
      <c r="H4">
        <v>2370</v>
      </c>
      <c r="I4">
        <v>916</v>
      </c>
      <c r="J4">
        <v>215</v>
      </c>
      <c r="K4">
        <v>5847</v>
      </c>
      <c r="L4">
        <v>2644</v>
      </c>
    </row>
    <row r="5" spans="1:12" x14ac:dyDescent="0.25">
      <c r="A5" t="s">
        <v>284</v>
      </c>
      <c r="B5" t="s">
        <v>435</v>
      </c>
      <c r="C5">
        <v>121</v>
      </c>
      <c r="D5">
        <v>31</v>
      </c>
      <c r="E5">
        <v>182</v>
      </c>
      <c r="F5">
        <v>48</v>
      </c>
      <c r="G5">
        <v>6924</v>
      </c>
      <c r="H5">
        <v>4112</v>
      </c>
      <c r="I5">
        <v>1823</v>
      </c>
      <c r="J5">
        <v>677</v>
      </c>
      <c r="K5">
        <v>9050</v>
      </c>
      <c r="L5">
        <v>4868</v>
      </c>
    </row>
    <row r="6" spans="1:12" x14ac:dyDescent="0.25">
      <c r="A6" t="s">
        <v>285</v>
      </c>
      <c r="B6" t="s">
        <v>436</v>
      </c>
      <c r="C6">
        <v>140</v>
      </c>
      <c r="D6">
        <v>54</v>
      </c>
      <c r="E6">
        <v>127</v>
      </c>
      <c r="F6">
        <v>41</v>
      </c>
      <c r="G6">
        <v>5768</v>
      </c>
      <c r="H6">
        <v>3347</v>
      </c>
      <c r="I6">
        <v>1702</v>
      </c>
      <c r="J6">
        <v>622</v>
      </c>
      <c r="K6">
        <v>7737</v>
      </c>
      <c r="L6">
        <v>4064</v>
      </c>
    </row>
    <row r="7" spans="1:12" x14ac:dyDescent="0.25">
      <c r="A7" t="s">
        <v>286</v>
      </c>
      <c r="B7" t="s">
        <v>437</v>
      </c>
      <c r="C7">
        <v>118</v>
      </c>
      <c r="D7">
        <v>35</v>
      </c>
      <c r="E7">
        <v>110</v>
      </c>
      <c r="F7">
        <v>29</v>
      </c>
      <c r="G7">
        <v>3502</v>
      </c>
      <c r="H7">
        <v>1665</v>
      </c>
      <c r="I7">
        <v>672</v>
      </c>
      <c r="J7">
        <v>176</v>
      </c>
      <c r="K7">
        <v>4402</v>
      </c>
      <c r="L7">
        <v>1905</v>
      </c>
    </row>
    <row r="8" spans="1:12" x14ac:dyDescent="0.25">
      <c r="A8" t="s">
        <v>287</v>
      </c>
      <c r="B8" t="s">
        <v>438</v>
      </c>
      <c r="C8">
        <v>95</v>
      </c>
      <c r="D8">
        <v>26</v>
      </c>
      <c r="E8">
        <v>108</v>
      </c>
      <c r="F8">
        <v>21</v>
      </c>
      <c r="G8">
        <v>4431</v>
      </c>
      <c r="H8">
        <v>1924</v>
      </c>
      <c r="I8">
        <v>770</v>
      </c>
      <c r="J8">
        <v>146</v>
      </c>
      <c r="K8">
        <v>5404</v>
      </c>
      <c r="L8">
        <v>2117</v>
      </c>
    </row>
    <row r="9" spans="1:12" x14ac:dyDescent="0.25">
      <c r="A9" t="s">
        <v>288</v>
      </c>
      <c r="B9" t="s">
        <v>439</v>
      </c>
      <c r="C9">
        <v>84</v>
      </c>
      <c r="D9">
        <v>17</v>
      </c>
      <c r="E9">
        <v>112</v>
      </c>
      <c r="F9">
        <v>25</v>
      </c>
      <c r="G9">
        <v>4407</v>
      </c>
      <c r="H9">
        <v>2379</v>
      </c>
      <c r="I9">
        <v>727</v>
      </c>
      <c r="J9">
        <v>192</v>
      </c>
      <c r="K9">
        <v>5330</v>
      </c>
      <c r="L9">
        <v>2613</v>
      </c>
    </row>
    <row r="10" spans="1:12" x14ac:dyDescent="0.25">
      <c r="A10" t="s">
        <v>289</v>
      </c>
      <c r="B10" t="s">
        <v>440</v>
      </c>
      <c r="C10">
        <v>104</v>
      </c>
      <c r="D10">
        <v>13</v>
      </c>
      <c r="E10">
        <v>116</v>
      </c>
      <c r="F10">
        <v>24</v>
      </c>
      <c r="G10">
        <v>4715</v>
      </c>
      <c r="H10">
        <v>2298</v>
      </c>
      <c r="I10">
        <v>931</v>
      </c>
      <c r="J10">
        <v>176</v>
      </c>
      <c r="K10">
        <v>5866</v>
      </c>
      <c r="L10">
        <v>2511</v>
      </c>
    </row>
    <row r="11" spans="1:12" x14ac:dyDescent="0.25">
      <c r="A11" t="s">
        <v>290</v>
      </c>
      <c r="B11" t="s">
        <v>441</v>
      </c>
      <c r="C11">
        <v>118</v>
      </c>
      <c r="D11">
        <v>40</v>
      </c>
      <c r="E11">
        <v>148</v>
      </c>
      <c r="F11">
        <v>42</v>
      </c>
      <c r="G11">
        <v>7195</v>
      </c>
      <c r="H11">
        <v>3992</v>
      </c>
      <c r="I11">
        <v>1491</v>
      </c>
      <c r="J11">
        <v>405</v>
      </c>
      <c r="K11">
        <v>8952</v>
      </c>
      <c r="L11">
        <v>4479</v>
      </c>
    </row>
    <row r="12" spans="1:12" x14ac:dyDescent="0.25">
      <c r="A12" t="s">
        <v>291</v>
      </c>
      <c r="B12" t="s">
        <v>442</v>
      </c>
      <c r="C12">
        <v>45</v>
      </c>
      <c r="D12">
        <v>12</v>
      </c>
      <c r="E12">
        <v>21</v>
      </c>
      <c r="F12">
        <v>6</v>
      </c>
      <c r="G12">
        <v>452</v>
      </c>
      <c r="H12">
        <v>234</v>
      </c>
      <c r="I12">
        <v>90</v>
      </c>
      <c r="J12">
        <v>17</v>
      </c>
      <c r="K12">
        <v>608</v>
      </c>
      <c r="L12">
        <v>269</v>
      </c>
    </row>
    <row r="13" spans="1:12" x14ac:dyDescent="0.25">
      <c r="A13" t="s">
        <v>292</v>
      </c>
      <c r="B13" t="s">
        <v>443</v>
      </c>
      <c r="C13">
        <v>64</v>
      </c>
      <c r="D13">
        <v>19</v>
      </c>
      <c r="E13">
        <v>63</v>
      </c>
      <c r="F13">
        <v>15</v>
      </c>
      <c r="G13">
        <v>996</v>
      </c>
      <c r="H13">
        <v>442</v>
      </c>
      <c r="I13">
        <v>149</v>
      </c>
      <c r="J13">
        <v>33</v>
      </c>
      <c r="K13">
        <v>1272</v>
      </c>
      <c r="L13">
        <v>509</v>
      </c>
    </row>
    <row r="14" spans="1:12" x14ac:dyDescent="0.25">
      <c r="A14" t="s">
        <v>293</v>
      </c>
      <c r="B14" t="s">
        <v>444</v>
      </c>
      <c r="C14">
        <v>69</v>
      </c>
      <c r="D14">
        <v>22</v>
      </c>
      <c r="E14">
        <v>72</v>
      </c>
      <c r="F14">
        <v>17</v>
      </c>
      <c r="G14">
        <v>2532</v>
      </c>
      <c r="H14">
        <v>1567</v>
      </c>
      <c r="I14">
        <v>333</v>
      </c>
      <c r="J14">
        <v>99</v>
      </c>
      <c r="K14">
        <v>3006</v>
      </c>
      <c r="L14">
        <v>1705</v>
      </c>
    </row>
    <row r="15" spans="1:12" x14ac:dyDescent="0.25">
      <c r="A15" t="s">
        <v>294</v>
      </c>
      <c r="B15" t="s">
        <v>445</v>
      </c>
      <c r="C15">
        <v>36</v>
      </c>
      <c r="D15">
        <v>5</v>
      </c>
      <c r="E15">
        <v>21</v>
      </c>
      <c r="F15">
        <v>3</v>
      </c>
      <c r="G15">
        <v>799</v>
      </c>
      <c r="H15">
        <v>374</v>
      </c>
      <c r="I15">
        <v>38</v>
      </c>
      <c r="J15">
        <v>8</v>
      </c>
      <c r="K15">
        <v>894</v>
      </c>
      <c r="L15">
        <v>390</v>
      </c>
    </row>
    <row r="16" spans="1:12" x14ac:dyDescent="0.25">
      <c r="A16" t="s">
        <v>295</v>
      </c>
      <c r="B16" t="s">
        <v>446</v>
      </c>
      <c r="C16">
        <v>50</v>
      </c>
      <c r="D16">
        <v>12</v>
      </c>
      <c r="E16">
        <v>61</v>
      </c>
      <c r="F16">
        <v>9</v>
      </c>
      <c r="G16">
        <v>1583</v>
      </c>
      <c r="H16">
        <v>675</v>
      </c>
      <c r="I16">
        <v>252</v>
      </c>
      <c r="J16">
        <v>55</v>
      </c>
      <c r="K16">
        <v>1946</v>
      </c>
      <c r="L16">
        <v>751</v>
      </c>
    </row>
    <row r="17" spans="1:12" x14ac:dyDescent="0.25">
      <c r="A17" t="s">
        <v>296</v>
      </c>
      <c r="B17" t="s">
        <v>447</v>
      </c>
      <c r="C17">
        <v>47</v>
      </c>
      <c r="D17">
        <v>12</v>
      </c>
      <c r="E17">
        <v>18</v>
      </c>
      <c r="F17">
        <v>3</v>
      </c>
      <c r="G17">
        <v>611</v>
      </c>
      <c r="H17">
        <v>298</v>
      </c>
      <c r="I17">
        <v>73</v>
      </c>
      <c r="J17">
        <v>23</v>
      </c>
      <c r="K17">
        <v>749</v>
      </c>
      <c r="L17">
        <v>336</v>
      </c>
    </row>
    <row r="18" spans="1:12" x14ac:dyDescent="0.25">
      <c r="A18" t="s">
        <v>297</v>
      </c>
      <c r="B18" t="s">
        <v>448</v>
      </c>
      <c r="C18">
        <v>109</v>
      </c>
      <c r="D18">
        <v>32</v>
      </c>
      <c r="E18">
        <v>116</v>
      </c>
      <c r="F18">
        <v>40</v>
      </c>
      <c r="G18">
        <v>9864</v>
      </c>
      <c r="H18">
        <v>5802</v>
      </c>
      <c r="I18">
        <v>1004</v>
      </c>
      <c r="J18">
        <v>385</v>
      </c>
      <c r="K18">
        <v>11093</v>
      </c>
      <c r="L18">
        <v>6259</v>
      </c>
    </row>
    <row r="19" spans="1:12" x14ac:dyDescent="0.25">
      <c r="A19" t="s">
        <v>298</v>
      </c>
      <c r="B19" t="s">
        <v>449</v>
      </c>
      <c r="C19">
        <v>65</v>
      </c>
      <c r="D19">
        <v>20</v>
      </c>
      <c r="E19">
        <v>46</v>
      </c>
      <c r="F19">
        <v>15</v>
      </c>
      <c r="G19">
        <v>1568</v>
      </c>
      <c r="H19">
        <v>749</v>
      </c>
      <c r="I19">
        <v>241</v>
      </c>
      <c r="J19">
        <v>69</v>
      </c>
      <c r="K19">
        <v>1920</v>
      </c>
      <c r="L19">
        <v>853</v>
      </c>
    </row>
    <row r="20" spans="1:12" x14ac:dyDescent="0.25">
      <c r="A20" t="s">
        <v>299</v>
      </c>
      <c r="B20" t="s">
        <v>450</v>
      </c>
      <c r="C20">
        <v>64</v>
      </c>
      <c r="D20">
        <v>13</v>
      </c>
      <c r="E20">
        <v>82</v>
      </c>
      <c r="F20">
        <v>19</v>
      </c>
      <c r="G20">
        <v>1950</v>
      </c>
      <c r="H20">
        <v>963</v>
      </c>
      <c r="I20">
        <v>242</v>
      </c>
      <c r="J20">
        <v>62</v>
      </c>
      <c r="K20">
        <v>2338</v>
      </c>
      <c r="L20">
        <v>1057</v>
      </c>
    </row>
    <row r="21" spans="1:12" x14ac:dyDescent="0.25">
      <c r="A21" t="s">
        <v>300</v>
      </c>
      <c r="B21" t="s">
        <v>451</v>
      </c>
      <c r="C21">
        <v>104</v>
      </c>
      <c r="D21">
        <v>39</v>
      </c>
      <c r="E21">
        <v>153</v>
      </c>
      <c r="F21">
        <v>42</v>
      </c>
      <c r="G21">
        <v>5691</v>
      </c>
      <c r="H21">
        <v>2618</v>
      </c>
      <c r="I21">
        <v>1753</v>
      </c>
      <c r="J21">
        <v>437</v>
      </c>
      <c r="K21">
        <v>7701</v>
      </c>
      <c r="L21">
        <v>3136</v>
      </c>
    </row>
    <row r="22" spans="1:12" x14ac:dyDescent="0.25">
      <c r="A22" t="s">
        <v>301</v>
      </c>
      <c r="B22" t="s">
        <v>452</v>
      </c>
      <c r="C22">
        <v>84</v>
      </c>
      <c r="D22">
        <v>19</v>
      </c>
      <c r="E22">
        <v>95</v>
      </c>
      <c r="F22">
        <v>27</v>
      </c>
      <c r="G22">
        <v>3190</v>
      </c>
      <c r="H22">
        <v>1523</v>
      </c>
      <c r="I22">
        <v>610</v>
      </c>
      <c r="J22">
        <v>158</v>
      </c>
      <c r="K22">
        <v>3979</v>
      </c>
      <c r="L22">
        <v>1727</v>
      </c>
    </row>
    <row r="23" spans="1:12" x14ac:dyDescent="0.25">
      <c r="A23" t="s">
        <v>302</v>
      </c>
      <c r="B23" t="s">
        <v>453</v>
      </c>
      <c r="C23">
        <v>50</v>
      </c>
      <c r="D23">
        <v>11</v>
      </c>
      <c r="E23">
        <v>50</v>
      </c>
      <c r="F23">
        <v>5</v>
      </c>
      <c r="G23">
        <v>1225</v>
      </c>
      <c r="H23">
        <v>571</v>
      </c>
      <c r="I23">
        <v>122</v>
      </c>
      <c r="J23">
        <v>27</v>
      </c>
      <c r="K23">
        <v>1447</v>
      </c>
      <c r="L23">
        <v>614</v>
      </c>
    </row>
    <row r="24" spans="1:12" x14ac:dyDescent="0.25">
      <c r="A24" t="s">
        <v>303</v>
      </c>
      <c r="B24" t="s">
        <v>454</v>
      </c>
      <c r="C24">
        <v>121</v>
      </c>
      <c r="D24">
        <v>32</v>
      </c>
      <c r="E24">
        <v>159</v>
      </c>
      <c r="F24">
        <v>41</v>
      </c>
      <c r="G24">
        <v>5807</v>
      </c>
      <c r="H24">
        <v>3604</v>
      </c>
      <c r="I24">
        <v>1425</v>
      </c>
      <c r="J24">
        <v>518</v>
      </c>
      <c r="K24">
        <v>7512</v>
      </c>
      <c r="L24">
        <v>4195</v>
      </c>
    </row>
    <row r="25" spans="1:12" x14ac:dyDescent="0.25">
      <c r="A25" t="s">
        <v>304</v>
      </c>
      <c r="B25" t="s">
        <v>455</v>
      </c>
      <c r="C25">
        <v>60</v>
      </c>
      <c r="D25">
        <v>16</v>
      </c>
      <c r="E25">
        <v>57</v>
      </c>
      <c r="F25">
        <v>18</v>
      </c>
      <c r="G25">
        <v>1234</v>
      </c>
      <c r="H25">
        <v>659</v>
      </c>
      <c r="I25">
        <v>151</v>
      </c>
      <c r="J25">
        <v>47</v>
      </c>
      <c r="K25">
        <v>1502</v>
      </c>
      <c r="L25">
        <v>740</v>
      </c>
    </row>
    <row r="26" spans="1:12" x14ac:dyDescent="0.25">
      <c r="A26" t="s">
        <v>305</v>
      </c>
      <c r="B26" t="s">
        <v>456</v>
      </c>
      <c r="C26">
        <v>115</v>
      </c>
      <c r="D26">
        <v>21</v>
      </c>
      <c r="E26">
        <v>118</v>
      </c>
      <c r="F26">
        <v>22</v>
      </c>
      <c r="G26">
        <v>3650</v>
      </c>
      <c r="H26">
        <v>1356</v>
      </c>
      <c r="I26">
        <v>962</v>
      </c>
      <c r="J26">
        <v>208</v>
      </c>
      <c r="K26">
        <v>4845</v>
      </c>
      <c r="L26">
        <v>1607</v>
      </c>
    </row>
    <row r="27" spans="1:12" x14ac:dyDescent="0.25">
      <c r="A27" t="s">
        <v>306</v>
      </c>
      <c r="B27" t="s">
        <v>457</v>
      </c>
      <c r="C27">
        <v>141</v>
      </c>
      <c r="D27">
        <v>38</v>
      </c>
      <c r="E27">
        <v>143</v>
      </c>
      <c r="F27">
        <v>26</v>
      </c>
      <c r="G27">
        <v>6406</v>
      </c>
      <c r="H27">
        <v>2551</v>
      </c>
      <c r="I27">
        <v>1689</v>
      </c>
      <c r="J27">
        <v>400</v>
      </c>
      <c r="K27">
        <v>8379</v>
      </c>
      <c r="L27">
        <v>3015</v>
      </c>
    </row>
    <row r="28" spans="1:12" x14ac:dyDescent="0.25">
      <c r="A28" t="s">
        <v>307</v>
      </c>
      <c r="B28" t="s">
        <v>458</v>
      </c>
      <c r="C28">
        <v>91</v>
      </c>
      <c r="D28">
        <v>30</v>
      </c>
      <c r="E28">
        <v>82</v>
      </c>
      <c r="F28">
        <v>20</v>
      </c>
      <c r="G28">
        <v>3636</v>
      </c>
      <c r="H28">
        <v>1935</v>
      </c>
      <c r="I28">
        <v>669</v>
      </c>
      <c r="J28">
        <v>205</v>
      </c>
      <c r="K28">
        <v>4478</v>
      </c>
      <c r="L28">
        <v>2190</v>
      </c>
    </row>
    <row r="29" spans="1:12" x14ac:dyDescent="0.25">
      <c r="A29" t="s">
        <v>266</v>
      </c>
      <c r="C29">
        <v>2187</v>
      </c>
      <c r="D29">
        <v>596</v>
      </c>
      <c r="E29">
        <v>2400</v>
      </c>
      <c r="F29">
        <v>590</v>
      </c>
      <c r="G29">
        <v>92835</v>
      </c>
      <c r="H29">
        <v>48008</v>
      </c>
      <c r="I29">
        <v>18835</v>
      </c>
      <c r="J29">
        <v>5360</v>
      </c>
      <c r="K29">
        <v>116257</v>
      </c>
      <c r="L29">
        <v>54554</v>
      </c>
    </row>
    <row r="30" spans="1:12" x14ac:dyDescent="0.25">
      <c r="A30" t="s">
        <v>459</v>
      </c>
      <c r="C30">
        <v>2187</v>
      </c>
      <c r="D30">
        <v>596</v>
      </c>
      <c r="E30">
        <v>471</v>
      </c>
      <c r="F30">
        <v>170</v>
      </c>
      <c r="G30">
        <v>23420</v>
      </c>
      <c r="H30">
        <v>13542</v>
      </c>
      <c r="I30">
        <v>3404</v>
      </c>
      <c r="J30">
        <v>1354</v>
      </c>
      <c r="K30">
        <v>29482</v>
      </c>
      <c r="L30">
        <v>15662</v>
      </c>
    </row>
    <row r="31" spans="1:12" x14ac:dyDescent="0.25">
      <c r="A31" t="s">
        <v>460</v>
      </c>
      <c r="C31">
        <v>0</v>
      </c>
      <c r="D31">
        <v>0</v>
      </c>
      <c r="E31">
        <v>1929</v>
      </c>
      <c r="F31">
        <v>420</v>
      </c>
      <c r="G31">
        <v>69415</v>
      </c>
      <c r="H31">
        <v>34466</v>
      </c>
      <c r="I31">
        <v>15431</v>
      </c>
      <c r="J31">
        <v>4006</v>
      </c>
      <c r="K31">
        <v>86775</v>
      </c>
      <c r="L31">
        <v>38892</v>
      </c>
    </row>
  </sheetData>
  <mergeCells count="7">
    <mergeCell ref="A1:L1"/>
    <mergeCell ref="A2:A3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M31"/>
  <sheetViews>
    <sheetView workbookViewId="0">
      <selection sqref="A1:M1"/>
    </sheetView>
  </sheetViews>
  <sheetFormatPr defaultRowHeight="15" x14ac:dyDescent="0.25"/>
  <cols>
    <col min="1" max="1" width="26.140625" customWidth="1"/>
    <col min="2" max="2" width="11.28515625" customWidth="1"/>
    <col min="4" max="4" width="11.42578125" customWidth="1"/>
    <col min="6" max="6" width="11.28515625" customWidth="1"/>
    <col min="7" max="7" width="11.42578125" customWidth="1"/>
    <col min="8" max="8" width="11.28515625" customWidth="1"/>
    <col min="9" max="9" width="11.42578125" customWidth="1"/>
    <col min="10" max="10" width="11.28515625" customWidth="1"/>
    <col min="11" max="11" width="11.42578125" customWidth="1"/>
    <col min="12" max="12" width="13.140625" customWidth="1"/>
    <col min="13" max="13" width="13.28515625" customWidth="1"/>
  </cols>
  <sheetData>
    <row r="1" spans="1:13" x14ac:dyDescent="0.25">
      <c r="A1" s="29" t="s">
        <v>461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462</v>
      </c>
      <c r="C2" s="29"/>
      <c r="D2" s="29"/>
      <c r="E2" s="29"/>
      <c r="F2" s="29"/>
      <c r="G2" s="29"/>
      <c r="H2" s="29"/>
      <c r="I2" s="29"/>
      <c r="J2" s="29"/>
      <c r="K2" s="29"/>
      <c r="L2" t="s">
        <v>463</v>
      </c>
      <c r="M2" t="s">
        <v>464</v>
      </c>
    </row>
    <row r="3" spans="1:13" x14ac:dyDescent="0.25">
      <c r="A3" s="29"/>
      <c r="B3" t="s">
        <v>465</v>
      </c>
      <c r="C3" t="s">
        <v>466</v>
      </c>
      <c r="D3" t="s">
        <v>467</v>
      </c>
      <c r="E3" t="s">
        <v>468</v>
      </c>
      <c r="F3" t="s">
        <v>469</v>
      </c>
      <c r="G3" t="s">
        <v>470</v>
      </c>
      <c r="H3" t="s">
        <v>471</v>
      </c>
      <c r="I3" t="s">
        <v>472</v>
      </c>
      <c r="J3" t="s">
        <v>473</v>
      </c>
      <c r="K3" t="s">
        <v>474</v>
      </c>
      <c r="L3" t="s">
        <v>475</v>
      </c>
      <c r="M3" t="s">
        <v>475</v>
      </c>
    </row>
    <row r="4" spans="1:13" x14ac:dyDescent="0.25">
      <c r="A4" t="s">
        <v>283</v>
      </c>
      <c r="B4">
        <v>186</v>
      </c>
      <c r="C4">
        <v>285</v>
      </c>
      <c r="D4">
        <v>127</v>
      </c>
      <c r="E4">
        <v>74</v>
      </c>
      <c r="F4">
        <v>110</v>
      </c>
      <c r="G4">
        <v>135</v>
      </c>
      <c r="H4">
        <v>44</v>
      </c>
      <c r="I4">
        <v>96</v>
      </c>
      <c r="J4">
        <v>24</v>
      </c>
      <c r="K4">
        <v>40</v>
      </c>
      <c r="L4">
        <v>37</v>
      </c>
      <c r="M4">
        <v>191</v>
      </c>
    </row>
    <row r="5" spans="1:13" x14ac:dyDescent="0.25">
      <c r="A5" t="s">
        <v>284</v>
      </c>
      <c r="B5">
        <v>484</v>
      </c>
      <c r="C5">
        <v>432</v>
      </c>
      <c r="D5">
        <v>162</v>
      </c>
      <c r="E5">
        <v>12</v>
      </c>
      <c r="F5">
        <v>52</v>
      </c>
      <c r="G5">
        <v>126</v>
      </c>
      <c r="H5">
        <v>34</v>
      </c>
      <c r="I5">
        <v>248</v>
      </c>
      <c r="J5">
        <v>24</v>
      </c>
      <c r="K5">
        <v>95</v>
      </c>
      <c r="L5">
        <v>122</v>
      </c>
      <c r="M5">
        <v>487</v>
      </c>
    </row>
    <row r="6" spans="1:13" x14ac:dyDescent="0.25">
      <c r="A6" t="s">
        <v>285</v>
      </c>
      <c r="B6">
        <v>331</v>
      </c>
      <c r="C6">
        <v>427</v>
      </c>
      <c r="D6">
        <v>144</v>
      </c>
      <c r="E6">
        <v>22</v>
      </c>
      <c r="F6">
        <v>37</v>
      </c>
      <c r="G6">
        <v>129</v>
      </c>
      <c r="H6">
        <v>23</v>
      </c>
      <c r="I6">
        <v>147</v>
      </c>
      <c r="J6">
        <v>47</v>
      </c>
      <c r="K6">
        <v>73</v>
      </c>
      <c r="L6">
        <v>92</v>
      </c>
      <c r="M6">
        <v>260</v>
      </c>
    </row>
    <row r="7" spans="1:13" x14ac:dyDescent="0.25">
      <c r="A7" t="s">
        <v>286</v>
      </c>
      <c r="B7">
        <v>90</v>
      </c>
      <c r="C7">
        <v>124</v>
      </c>
      <c r="D7">
        <v>80</v>
      </c>
      <c r="E7">
        <v>6</v>
      </c>
      <c r="F7">
        <v>41</v>
      </c>
      <c r="G7">
        <v>98</v>
      </c>
      <c r="H7">
        <v>12</v>
      </c>
      <c r="I7">
        <v>91</v>
      </c>
      <c r="J7">
        <v>7</v>
      </c>
      <c r="K7">
        <v>114</v>
      </c>
      <c r="L7">
        <v>6</v>
      </c>
      <c r="M7">
        <v>0</v>
      </c>
    </row>
    <row r="8" spans="1:13" x14ac:dyDescent="0.25">
      <c r="A8" t="s">
        <v>287</v>
      </c>
      <c r="B8">
        <v>168</v>
      </c>
      <c r="C8">
        <v>226</v>
      </c>
      <c r="D8">
        <v>62</v>
      </c>
      <c r="E8">
        <v>16</v>
      </c>
      <c r="F8">
        <v>126</v>
      </c>
      <c r="G8">
        <v>327</v>
      </c>
      <c r="H8">
        <v>39</v>
      </c>
      <c r="I8">
        <v>479</v>
      </c>
      <c r="J8">
        <v>8</v>
      </c>
      <c r="K8">
        <v>394</v>
      </c>
      <c r="L8">
        <v>25</v>
      </c>
      <c r="M8">
        <v>26</v>
      </c>
    </row>
    <row r="9" spans="1:13" x14ac:dyDescent="0.25">
      <c r="A9" t="s">
        <v>288</v>
      </c>
      <c r="B9">
        <v>126</v>
      </c>
      <c r="C9">
        <v>264</v>
      </c>
      <c r="D9">
        <v>76</v>
      </c>
      <c r="E9">
        <v>26</v>
      </c>
      <c r="F9">
        <v>58</v>
      </c>
      <c r="G9">
        <v>85</v>
      </c>
      <c r="H9">
        <v>12</v>
      </c>
      <c r="I9">
        <v>81</v>
      </c>
      <c r="J9">
        <v>14</v>
      </c>
      <c r="K9">
        <v>70</v>
      </c>
      <c r="L9">
        <v>21</v>
      </c>
      <c r="M9">
        <v>776</v>
      </c>
    </row>
    <row r="10" spans="1:13" x14ac:dyDescent="0.25">
      <c r="A10" t="s">
        <v>289</v>
      </c>
      <c r="B10">
        <v>209</v>
      </c>
      <c r="C10">
        <v>236</v>
      </c>
      <c r="D10">
        <v>74</v>
      </c>
      <c r="E10">
        <v>28</v>
      </c>
      <c r="F10">
        <v>52</v>
      </c>
      <c r="G10">
        <v>153</v>
      </c>
      <c r="H10">
        <v>18</v>
      </c>
      <c r="I10">
        <v>121</v>
      </c>
      <c r="J10">
        <v>16</v>
      </c>
      <c r="K10">
        <v>66</v>
      </c>
      <c r="L10">
        <v>4</v>
      </c>
      <c r="M10">
        <v>0</v>
      </c>
    </row>
    <row r="11" spans="1:13" x14ac:dyDescent="0.25">
      <c r="A11" t="s">
        <v>290</v>
      </c>
      <c r="B11">
        <v>297</v>
      </c>
      <c r="C11">
        <v>408</v>
      </c>
      <c r="D11">
        <v>132</v>
      </c>
      <c r="E11">
        <v>15</v>
      </c>
      <c r="F11">
        <v>79</v>
      </c>
      <c r="G11">
        <v>184</v>
      </c>
      <c r="H11">
        <v>35</v>
      </c>
      <c r="I11">
        <v>104</v>
      </c>
      <c r="J11">
        <v>61</v>
      </c>
      <c r="K11">
        <v>104</v>
      </c>
      <c r="L11">
        <v>166</v>
      </c>
      <c r="M11">
        <v>886</v>
      </c>
    </row>
    <row r="12" spans="1:13" x14ac:dyDescent="0.25">
      <c r="A12" t="s">
        <v>291</v>
      </c>
      <c r="B12">
        <v>24</v>
      </c>
      <c r="C12">
        <v>26</v>
      </c>
      <c r="D12">
        <v>8</v>
      </c>
      <c r="E12">
        <v>9</v>
      </c>
      <c r="F12">
        <v>11</v>
      </c>
      <c r="G12">
        <v>10</v>
      </c>
      <c r="H12">
        <v>1</v>
      </c>
      <c r="I12">
        <v>10</v>
      </c>
      <c r="J12">
        <v>2</v>
      </c>
      <c r="K12">
        <v>8</v>
      </c>
      <c r="L12">
        <v>0</v>
      </c>
      <c r="M12">
        <v>0</v>
      </c>
    </row>
    <row r="13" spans="1:13" x14ac:dyDescent="0.25">
      <c r="A13" t="s">
        <v>292</v>
      </c>
      <c r="B13">
        <v>60</v>
      </c>
      <c r="C13">
        <v>47</v>
      </c>
      <c r="D13">
        <v>15</v>
      </c>
      <c r="E13">
        <v>1</v>
      </c>
      <c r="F13">
        <v>12</v>
      </c>
      <c r="G13">
        <v>33</v>
      </c>
      <c r="H13">
        <v>5</v>
      </c>
      <c r="I13">
        <v>57</v>
      </c>
      <c r="J13">
        <v>4</v>
      </c>
      <c r="K13">
        <v>23</v>
      </c>
      <c r="L13">
        <v>5</v>
      </c>
      <c r="M13">
        <v>29</v>
      </c>
    </row>
    <row r="14" spans="1:13" x14ac:dyDescent="0.25">
      <c r="A14" t="s">
        <v>293</v>
      </c>
      <c r="B14">
        <v>67</v>
      </c>
      <c r="C14">
        <v>80</v>
      </c>
      <c r="D14">
        <v>53</v>
      </c>
      <c r="E14">
        <v>18</v>
      </c>
      <c r="F14">
        <v>19</v>
      </c>
      <c r="G14">
        <v>61</v>
      </c>
      <c r="H14">
        <v>14</v>
      </c>
      <c r="I14">
        <v>77</v>
      </c>
      <c r="J14">
        <v>8</v>
      </c>
      <c r="K14">
        <v>69</v>
      </c>
      <c r="L14">
        <v>6</v>
      </c>
      <c r="M14">
        <v>208</v>
      </c>
    </row>
    <row r="15" spans="1:13" x14ac:dyDescent="0.25">
      <c r="A15" t="s">
        <v>294</v>
      </c>
      <c r="B15">
        <v>10</v>
      </c>
      <c r="C15">
        <v>10</v>
      </c>
      <c r="D15">
        <v>12</v>
      </c>
      <c r="E15">
        <v>1</v>
      </c>
      <c r="F15">
        <v>7</v>
      </c>
      <c r="G15">
        <v>21</v>
      </c>
      <c r="H15">
        <v>2</v>
      </c>
      <c r="I15">
        <v>17</v>
      </c>
      <c r="J15">
        <v>0</v>
      </c>
      <c r="K15">
        <v>10</v>
      </c>
      <c r="L15">
        <v>1</v>
      </c>
      <c r="M15">
        <v>8</v>
      </c>
    </row>
    <row r="16" spans="1:13" x14ac:dyDescent="0.25">
      <c r="A16" t="s">
        <v>295</v>
      </c>
      <c r="B16">
        <v>101</v>
      </c>
      <c r="C16">
        <v>55</v>
      </c>
      <c r="D16">
        <v>21</v>
      </c>
      <c r="E16">
        <v>7</v>
      </c>
      <c r="F16">
        <v>16</v>
      </c>
      <c r="G16">
        <v>42</v>
      </c>
      <c r="H16">
        <v>3</v>
      </c>
      <c r="I16">
        <v>60</v>
      </c>
      <c r="J16">
        <v>4</v>
      </c>
      <c r="K16">
        <v>11</v>
      </c>
      <c r="L16">
        <v>19</v>
      </c>
      <c r="M16">
        <v>25</v>
      </c>
    </row>
    <row r="17" spans="1:13" x14ac:dyDescent="0.25">
      <c r="A17" t="s">
        <v>296</v>
      </c>
      <c r="B17">
        <v>12</v>
      </c>
      <c r="C17">
        <v>27</v>
      </c>
      <c r="D17">
        <v>9</v>
      </c>
      <c r="E17">
        <v>3</v>
      </c>
      <c r="F17">
        <v>4</v>
      </c>
      <c r="G17">
        <v>18</v>
      </c>
      <c r="H17">
        <v>1</v>
      </c>
      <c r="I17">
        <v>12</v>
      </c>
      <c r="J17">
        <v>4</v>
      </c>
      <c r="K17">
        <v>8</v>
      </c>
      <c r="L17">
        <v>0</v>
      </c>
      <c r="M17">
        <v>26</v>
      </c>
    </row>
    <row r="18" spans="1:13" x14ac:dyDescent="0.25">
      <c r="A18" t="s">
        <v>297</v>
      </c>
      <c r="B18">
        <v>147</v>
      </c>
      <c r="C18">
        <v>213</v>
      </c>
      <c r="D18">
        <v>255</v>
      </c>
      <c r="E18">
        <v>196</v>
      </c>
      <c r="F18">
        <v>168</v>
      </c>
      <c r="G18">
        <v>271</v>
      </c>
      <c r="H18">
        <v>58</v>
      </c>
      <c r="I18">
        <v>121</v>
      </c>
      <c r="J18">
        <v>68</v>
      </c>
      <c r="K18">
        <v>145</v>
      </c>
      <c r="L18">
        <v>4</v>
      </c>
      <c r="M18">
        <v>10</v>
      </c>
    </row>
    <row r="19" spans="1:13" x14ac:dyDescent="0.25">
      <c r="A19" t="s">
        <v>298</v>
      </c>
      <c r="B19">
        <v>61</v>
      </c>
      <c r="C19">
        <v>67</v>
      </c>
      <c r="D19">
        <v>20</v>
      </c>
      <c r="E19">
        <v>5</v>
      </c>
      <c r="F19">
        <v>20</v>
      </c>
      <c r="G19">
        <v>31</v>
      </c>
      <c r="H19">
        <v>6</v>
      </c>
      <c r="I19">
        <v>32</v>
      </c>
      <c r="J19">
        <v>2</v>
      </c>
      <c r="K19">
        <v>41</v>
      </c>
      <c r="L19">
        <v>0</v>
      </c>
      <c r="M19">
        <v>0</v>
      </c>
    </row>
    <row r="20" spans="1:13" x14ac:dyDescent="0.25">
      <c r="A20" t="s">
        <v>299</v>
      </c>
      <c r="B20">
        <v>115</v>
      </c>
      <c r="C20">
        <v>53</v>
      </c>
      <c r="D20">
        <v>30</v>
      </c>
      <c r="E20">
        <v>13</v>
      </c>
      <c r="F20">
        <v>25</v>
      </c>
      <c r="G20">
        <v>43</v>
      </c>
      <c r="H20">
        <v>3</v>
      </c>
      <c r="I20">
        <v>143</v>
      </c>
      <c r="J20">
        <v>7</v>
      </c>
      <c r="K20">
        <v>24</v>
      </c>
      <c r="L20">
        <v>13</v>
      </c>
      <c r="M20">
        <v>60</v>
      </c>
    </row>
    <row r="21" spans="1:13" x14ac:dyDescent="0.25">
      <c r="A21" t="s">
        <v>300</v>
      </c>
      <c r="B21">
        <v>449</v>
      </c>
      <c r="C21">
        <v>327</v>
      </c>
      <c r="D21">
        <v>117</v>
      </c>
      <c r="E21">
        <v>19</v>
      </c>
      <c r="F21">
        <v>106</v>
      </c>
      <c r="G21">
        <v>205</v>
      </c>
      <c r="H21">
        <v>44</v>
      </c>
      <c r="I21">
        <v>308</v>
      </c>
      <c r="J21">
        <v>40</v>
      </c>
      <c r="K21">
        <v>166</v>
      </c>
      <c r="L21">
        <v>88</v>
      </c>
      <c r="M21">
        <v>185</v>
      </c>
    </row>
    <row r="22" spans="1:13" x14ac:dyDescent="0.25">
      <c r="A22" t="s">
        <v>301</v>
      </c>
      <c r="B22">
        <v>94</v>
      </c>
      <c r="C22">
        <v>131</v>
      </c>
      <c r="D22">
        <v>49</v>
      </c>
      <c r="E22">
        <v>4</v>
      </c>
      <c r="F22">
        <v>67</v>
      </c>
      <c r="G22">
        <v>106</v>
      </c>
      <c r="H22">
        <v>18</v>
      </c>
      <c r="I22">
        <v>204</v>
      </c>
      <c r="J22">
        <v>5</v>
      </c>
      <c r="K22">
        <v>110</v>
      </c>
      <c r="L22">
        <v>13</v>
      </c>
      <c r="M22">
        <v>130</v>
      </c>
    </row>
    <row r="23" spans="1:13" x14ac:dyDescent="0.25">
      <c r="A23" t="s">
        <v>302</v>
      </c>
      <c r="B23">
        <v>30</v>
      </c>
      <c r="C23">
        <v>33</v>
      </c>
      <c r="D23">
        <v>15</v>
      </c>
      <c r="E23">
        <v>0</v>
      </c>
      <c r="F23">
        <v>18</v>
      </c>
      <c r="G23">
        <v>18</v>
      </c>
      <c r="H23">
        <v>15</v>
      </c>
      <c r="I23">
        <v>25</v>
      </c>
      <c r="J23">
        <v>5</v>
      </c>
      <c r="K23">
        <v>20</v>
      </c>
      <c r="L23">
        <v>12</v>
      </c>
      <c r="M23">
        <v>172</v>
      </c>
    </row>
    <row r="24" spans="1:13" x14ac:dyDescent="0.25">
      <c r="A24" t="s">
        <v>303</v>
      </c>
      <c r="B24">
        <v>265</v>
      </c>
      <c r="C24">
        <v>488</v>
      </c>
      <c r="D24">
        <v>98</v>
      </c>
      <c r="E24">
        <v>10</v>
      </c>
      <c r="F24">
        <v>81</v>
      </c>
      <c r="G24">
        <v>109</v>
      </c>
      <c r="H24">
        <v>36</v>
      </c>
      <c r="I24">
        <v>130</v>
      </c>
      <c r="J24">
        <v>14</v>
      </c>
      <c r="K24">
        <v>67</v>
      </c>
      <c r="L24">
        <v>51</v>
      </c>
      <c r="M24">
        <v>1830</v>
      </c>
    </row>
    <row r="25" spans="1:13" x14ac:dyDescent="0.25">
      <c r="A25" t="s">
        <v>304</v>
      </c>
      <c r="B25">
        <v>81</v>
      </c>
      <c r="C25">
        <v>45</v>
      </c>
      <c r="D25">
        <v>43</v>
      </c>
      <c r="E25">
        <v>5</v>
      </c>
      <c r="F25">
        <v>18</v>
      </c>
      <c r="G25">
        <v>30</v>
      </c>
      <c r="H25">
        <v>4</v>
      </c>
      <c r="I25">
        <v>50</v>
      </c>
      <c r="J25">
        <v>4</v>
      </c>
      <c r="K25">
        <v>24</v>
      </c>
      <c r="L25">
        <v>8</v>
      </c>
      <c r="M25">
        <v>53</v>
      </c>
    </row>
    <row r="26" spans="1:13" x14ac:dyDescent="0.25">
      <c r="A26" t="s">
        <v>305</v>
      </c>
      <c r="B26">
        <v>165</v>
      </c>
      <c r="C26">
        <v>252</v>
      </c>
      <c r="D26">
        <v>67</v>
      </c>
      <c r="E26">
        <v>6</v>
      </c>
      <c r="F26">
        <v>38</v>
      </c>
      <c r="G26">
        <v>100</v>
      </c>
      <c r="H26">
        <v>45</v>
      </c>
      <c r="I26">
        <v>297</v>
      </c>
      <c r="J26">
        <v>14</v>
      </c>
      <c r="K26">
        <v>102</v>
      </c>
      <c r="L26">
        <v>6</v>
      </c>
      <c r="M26">
        <v>612</v>
      </c>
    </row>
    <row r="27" spans="1:13" x14ac:dyDescent="0.25">
      <c r="A27" t="s">
        <v>306</v>
      </c>
      <c r="B27">
        <v>316</v>
      </c>
      <c r="C27">
        <v>402</v>
      </c>
      <c r="D27">
        <v>140</v>
      </c>
      <c r="E27">
        <v>71</v>
      </c>
      <c r="F27">
        <v>106</v>
      </c>
      <c r="G27">
        <v>259</v>
      </c>
      <c r="H27">
        <v>33</v>
      </c>
      <c r="I27">
        <v>177</v>
      </c>
      <c r="J27">
        <v>60</v>
      </c>
      <c r="K27">
        <v>115</v>
      </c>
      <c r="L27">
        <v>89</v>
      </c>
      <c r="M27">
        <v>211</v>
      </c>
    </row>
    <row r="28" spans="1:13" x14ac:dyDescent="0.25">
      <c r="A28" t="s">
        <v>307</v>
      </c>
      <c r="B28">
        <v>204</v>
      </c>
      <c r="C28">
        <v>216</v>
      </c>
      <c r="D28">
        <v>58</v>
      </c>
      <c r="E28">
        <v>22</v>
      </c>
      <c r="F28">
        <v>52</v>
      </c>
      <c r="G28">
        <v>70</v>
      </c>
      <c r="H28">
        <v>19</v>
      </c>
      <c r="I28">
        <v>122</v>
      </c>
      <c r="J28">
        <v>10</v>
      </c>
      <c r="K28">
        <v>49</v>
      </c>
      <c r="L28">
        <v>90</v>
      </c>
      <c r="M28">
        <v>390</v>
      </c>
    </row>
    <row r="29" spans="1:13" x14ac:dyDescent="0.25">
      <c r="A29" t="s">
        <v>266</v>
      </c>
      <c r="B29">
        <v>4092</v>
      </c>
      <c r="C29">
        <v>4874</v>
      </c>
      <c r="D29">
        <v>1867</v>
      </c>
      <c r="E29">
        <v>589</v>
      </c>
      <c r="F29">
        <v>1323</v>
      </c>
      <c r="G29">
        <v>2664</v>
      </c>
      <c r="H29">
        <v>524</v>
      </c>
      <c r="I29">
        <v>3209</v>
      </c>
      <c r="J29">
        <v>452</v>
      </c>
      <c r="K29">
        <v>1948</v>
      </c>
      <c r="L29">
        <v>878</v>
      </c>
      <c r="M29">
        <v>6575</v>
      </c>
    </row>
    <row r="30" spans="1:13" x14ac:dyDescent="0.25">
      <c r="A30" t="s">
        <v>308</v>
      </c>
      <c r="B30">
        <v>595</v>
      </c>
      <c r="C30">
        <v>836</v>
      </c>
      <c r="D30">
        <v>629</v>
      </c>
      <c r="E30">
        <v>299</v>
      </c>
      <c r="F30">
        <v>403</v>
      </c>
      <c r="G30">
        <v>625</v>
      </c>
      <c r="H30">
        <v>147</v>
      </c>
      <c r="I30">
        <v>431</v>
      </c>
      <c r="J30">
        <v>170</v>
      </c>
      <c r="K30">
        <v>418</v>
      </c>
      <c r="L30">
        <v>19</v>
      </c>
      <c r="M30">
        <v>327</v>
      </c>
    </row>
    <row r="31" spans="1:13" x14ac:dyDescent="0.25">
      <c r="A31" t="s">
        <v>309</v>
      </c>
      <c r="B31">
        <v>3497</v>
      </c>
      <c r="C31">
        <v>4038</v>
      </c>
      <c r="D31">
        <v>1238</v>
      </c>
      <c r="E31">
        <v>290</v>
      </c>
      <c r="F31">
        <v>920</v>
      </c>
      <c r="G31">
        <v>2039</v>
      </c>
      <c r="H31">
        <v>377</v>
      </c>
      <c r="I31">
        <v>2778</v>
      </c>
      <c r="J31">
        <v>282</v>
      </c>
      <c r="K31">
        <v>1530</v>
      </c>
      <c r="L31">
        <v>859</v>
      </c>
      <c r="M31">
        <v>6248</v>
      </c>
    </row>
  </sheetData>
  <mergeCells count="3">
    <mergeCell ref="A2:A3"/>
    <mergeCell ref="A1:M1"/>
    <mergeCell ref="B2:K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S31"/>
  <sheetViews>
    <sheetView workbookViewId="0">
      <selection sqref="A1:S1"/>
    </sheetView>
  </sheetViews>
  <sheetFormatPr defaultRowHeight="15" x14ac:dyDescent="0.25"/>
  <cols>
    <col min="1" max="1" width="22.42578125" customWidth="1"/>
    <col min="2" max="2" width="7.85546875" customWidth="1"/>
    <col min="3" max="3" width="8" customWidth="1"/>
    <col min="7" max="7" width="7.85546875" customWidth="1"/>
    <col min="8" max="8" width="8" customWidth="1"/>
    <col min="12" max="12" width="7.85546875" customWidth="1"/>
    <col min="13" max="13" width="8" customWidth="1"/>
    <col min="18" max="18" width="7.85546875" customWidth="1"/>
    <col min="19" max="19" width="8" customWidth="1"/>
  </cols>
  <sheetData>
    <row r="1" spans="1:19" x14ac:dyDescent="0.25">
      <c r="A1" s="29" t="s">
        <v>476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5">
      <c r="A2" s="29" t="s">
        <v>252</v>
      </c>
      <c r="B2" s="29" t="s">
        <v>477</v>
      </c>
      <c r="C2" s="29"/>
      <c r="D2" s="29"/>
      <c r="E2" s="29"/>
      <c r="F2" s="29"/>
      <c r="G2" s="29"/>
      <c r="H2" s="29" t="s">
        <v>478</v>
      </c>
      <c r="I2" s="29"/>
      <c r="J2" s="29"/>
      <c r="K2" s="29"/>
      <c r="L2" s="29"/>
      <c r="M2" s="29"/>
      <c r="N2" s="29" t="s">
        <v>479</v>
      </c>
      <c r="O2" s="29"/>
      <c r="P2" s="29"/>
      <c r="Q2" s="29"/>
      <c r="R2" s="29"/>
      <c r="S2" s="29"/>
    </row>
    <row r="3" spans="1:19" x14ac:dyDescent="0.25">
      <c r="A3" s="29"/>
      <c r="B3" t="s">
        <v>346</v>
      </c>
      <c r="C3" t="s">
        <v>480</v>
      </c>
      <c r="D3" t="s">
        <v>481</v>
      </c>
      <c r="E3" t="s">
        <v>482</v>
      </c>
      <c r="F3" t="s">
        <v>483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</row>
    <row r="4" spans="1:19" x14ac:dyDescent="0.25">
      <c r="A4" t="s">
        <v>283</v>
      </c>
      <c r="B4">
        <v>64</v>
      </c>
      <c r="C4">
        <v>705</v>
      </c>
      <c r="D4">
        <v>2763</v>
      </c>
      <c r="E4">
        <v>1104</v>
      </c>
      <c r="F4">
        <v>49</v>
      </c>
      <c r="G4">
        <v>0</v>
      </c>
      <c r="H4">
        <v>14</v>
      </c>
      <c r="I4">
        <v>201</v>
      </c>
      <c r="J4">
        <v>431</v>
      </c>
      <c r="K4">
        <v>228</v>
      </c>
      <c r="L4">
        <v>39</v>
      </c>
      <c r="M4">
        <v>0</v>
      </c>
      <c r="N4">
        <v>0</v>
      </c>
      <c r="O4">
        <v>2</v>
      </c>
      <c r="P4">
        <v>20</v>
      </c>
      <c r="Q4">
        <v>44</v>
      </c>
      <c r="R4">
        <v>0</v>
      </c>
      <c r="S4">
        <v>0</v>
      </c>
    </row>
    <row r="5" spans="1:19" x14ac:dyDescent="0.25">
      <c r="A5" t="s">
        <v>284</v>
      </c>
      <c r="B5">
        <v>99</v>
      </c>
      <c r="C5">
        <v>1251</v>
      </c>
      <c r="D5">
        <v>3397</v>
      </c>
      <c r="E5">
        <v>1981</v>
      </c>
      <c r="F5">
        <v>85</v>
      </c>
      <c r="G5">
        <v>1</v>
      </c>
      <c r="H5">
        <v>47</v>
      </c>
      <c r="I5">
        <v>423</v>
      </c>
      <c r="J5">
        <v>700</v>
      </c>
      <c r="K5">
        <v>558</v>
      </c>
      <c r="L5">
        <v>66</v>
      </c>
      <c r="M5">
        <v>1</v>
      </c>
      <c r="N5">
        <v>5</v>
      </c>
      <c r="O5">
        <v>25</v>
      </c>
      <c r="P5">
        <v>22</v>
      </c>
      <c r="Q5">
        <v>16</v>
      </c>
      <c r="R5">
        <v>2</v>
      </c>
      <c r="S5">
        <v>0</v>
      </c>
    </row>
    <row r="6" spans="1:19" x14ac:dyDescent="0.25">
      <c r="A6" t="s">
        <v>285</v>
      </c>
      <c r="B6">
        <v>214</v>
      </c>
      <c r="C6">
        <v>1732</v>
      </c>
      <c r="D6">
        <v>3115</v>
      </c>
      <c r="E6">
        <v>685</v>
      </c>
      <c r="F6">
        <v>20</v>
      </c>
      <c r="G6">
        <v>0</v>
      </c>
      <c r="H6">
        <v>52</v>
      </c>
      <c r="I6">
        <v>595</v>
      </c>
      <c r="J6">
        <v>866</v>
      </c>
      <c r="K6">
        <v>167</v>
      </c>
      <c r="L6">
        <v>22</v>
      </c>
      <c r="M6">
        <v>0</v>
      </c>
      <c r="N6">
        <v>6</v>
      </c>
      <c r="O6">
        <v>20</v>
      </c>
      <c r="P6">
        <v>21</v>
      </c>
      <c r="Q6">
        <v>14</v>
      </c>
      <c r="R6">
        <v>1</v>
      </c>
      <c r="S6">
        <v>0</v>
      </c>
    </row>
    <row r="7" spans="1:19" x14ac:dyDescent="0.25">
      <c r="A7" t="s">
        <v>286</v>
      </c>
      <c r="B7">
        <v>31</v>
      </c>
      <c r="C7">
        <v>672</v>
      </c>
      <c r="D7">
        <v>2044</v>
      </c>
      <c r="E7">
        <v>623</v>
      </c>
      <c r="F7">
        <v>28</v>
      </c>
      <c r="G7">
        <v>0</v>
      </c>
      <c r="H7">
        <v>9</v>
      </c>
      <c r="I7">
        <v>158</v>
      </c>
      <c r="J7">
        <v>337</v>
      </c>
      <c r="K7">
        <v>131</v>
      </c>
      <c r="L7">
        <v>20</v>
      </c>
      <c r="M7">
        <v>0</v>
      </c>
      <c r="N7">
        <v>0</v>
      </c>
      <c r="O7">
        <v>0</v>
      </c>
      <c r="P7">
        <v>12</v>
      </c>
      <c r="Q7">
        <v>15</v>
      </c>
      <c r="R7">
        <v>3</v>
      </c>
      <c r="S7">
        <v>0</v>
      </c>
    </row>
    <row r="8" spans="1:19" x14ac:dyDescent="0.25">
      <c r="A8" t="s">
        <v>287</v>
      </c>
      <c r="B8">
        <v>87</v>
      </c>
      <c r="C8">
        <v>1003</v>
      </c>
      <c r="D8">
        <v>2213</v>
      </c>
      <c r="E8">
        <v>1087</v>
      </c>
      <c r="F8">
        <v>38</v>
      </c>
      <c r="G8">
        <v>0</v>
      </c>
      <c r="H8">
        <v>16</v>
      </c>
      <c r="I8">
        <v>204</v>
      </c>
      <c r="J8">
        <v>305</v>
      </c>
      <c r="K8">
        <v>220</v>
      </c>
      <c r="L8">
        <v>25</v>
      </c>
      <c r="M8">
        <v>0</v>
      </c>
      <c r="N8">
        <v>3</v>
      </c>
      <c r="O8">
        <v>4</v>
      </c>
      <c r="P8">
        <v>2</v>
      </c>
      <c r="Q8">
        <v>0</v>
      </c>
      <c r="R8">
        <v>0</v>
      </c>
      <c r="S8">
        <v>0</v>
      </c>
    </row>
    <row r="9" spans="1:19" x14ac:dyDescent="0.25">
      <c r="A9" t="s">
        <v>288</v>
      </c>
      <c r="B9">
        <v>93</v>
      </c>
      <c r="C9">
        <v>734</v>
      </c>
      <c r="D9">
        <v>2379</v>
      </c>
      <c r="E9">
        <v>1140</v>
      </c>
      <c r="F9">
        <v>55</v>
      </c>
      <c r="G9">
        <v>0</v>
      </c>
      <c r="H9">
        <v>15</v>
      </c>
      <c r="I9">
        <v>133</v>
      </c>
      <c r="J9">
        <v>315</v>
      </c>
      <c r="K9">
        <v>238</v>
      </c>
      <c r="L9">
        <v>24</v>
      </c>
      <c r="M9">
        <v>0</v>
      </c>
      <c r="N9">
        <v>4</v>
      </c>
      <c r="O9">
        <v>0</v>
      </c>
      <c r="P9">
        <v>19</v>
      </c>
      <c r="Q9">
        <v>45</v>
      </c>
      <c r="R9">
        <v>5</v>
      </c>
      <c r="S9">
        <v>0</v>
      </c>
    </row>
    <row r="10" spans="1:19" x14ac:dyDescent="0.25">
      <c r="A10" t="s">
        <v>289</v>
      </c>
      <c r="B10">
        <v>59</v>
      </c>
      <c r="C10">
        <v>796</v>
      </c>
      <c r="D10">
        <v>2575</v>
      </c>
      <c r="E10">
        <v>1066</v>
      </c>
      <c r="F10">
        <v>48</v>
      </c>
      <c r="G10">
        <v>0</v>
      </c>
      <c r="H10">
        <v>16</v>
      </c>
      <c r="I10">
        <v>175</v>
      </c>
      <c r="J10">
        <v>416</v>
      </c>
      <c r="K10">
        <v>259</v>
      </c>
      <c r="L10">
        <v>33</v>
      </c>
      <c r="M10">
        <v>0</v>
      </c>
      <c r="N10">
        <v>1</v>
      </c>
      <c r="O10">
        <v>4</v>
      </c>
      <c r="P10">
        <v>9</v>
      </c>
      <c r="Q10">
        <v>0</v>
      </c>
      <c r="R10">
        <v>0</v>
      </c>
      <c r="S10">
        <v>0</v>
      </c>
    </row>
    <row r="11" spans="1:19" x14ac:dyDescent="0.25">
      <c r="A11" t="s">
        <v>290</v>
      </c>
      <c r="B11">
        <v>84</v>
      </c>
      <c r="C11">
        <v>1722</v>
      </c>
      <c r="D11">
        <v>3471</v>
      </c>
      <c r="E11">
        <v>1774</v>
      </c>
      <c r="F11">
        <v>123</v>
      </c>
      <c r="G11">
        <v>0</v>
      </c>
      <c r="H11">
        <v>30</v>
      </c>
      <c r="I11">
        <v>429</v>
      </c>
      <c r="J11">
        <v>629</v>
      </c>
      <c r="K11">
        <v>319</v>
      </c>
      <c r="L11">
        <v>76</v>
      </c>
      <c r="M11">
        <v>0</v>
      </c>
      <c r="N11">
        <v>3</v>
      </c>
      <c r="O11">
        <v>7</v>
      </c>
      <c r="P11">
        <v>18</v>
      </c>
      <c r="Q11">
        <v>33</v>
      </c>
      <c r="R11">
        <v>2</v>
      </c>
      <c r="S11">
        <v>0</v>
      </c>
    </row>
    <row r="12" spans="1:19" x14ac:dyDescent="0.25">
      <c r="A12" t="s">
        <v>291</v>
      </c>
      <c r="B12">
        <v>4</v>
      </c>
      <c r="C12">
        <v>20</v>
      </c>
      <c r="D12">
        <v>273</v>
      </c>
      <c r="E12">
        <v>150</v>
      </c>
      <c r="F12">
        <v>4</v>
      </c>
      <c r="G12">
        <v>0</v>
      </c>
      <c r="H12">
        <v>0</v>
      </c>
      <c r="I12">
        <v>5</v>
      </c>
      <c r="J12">
        <v>44</v>
      </c>
      <c r="K12">
        <v>38</v>
      </c>
      <c r="L12">
        <v>3</v>
      </c>
      <c r="M12">
        <v>0</v>
      </c>
      <c r="N12">
        <v>0</v>
      </c>
      <c r="O12">
        <v>0</v>
      </c>
      <c r="P12">
        <v>0</v>
      </c>
      <c r="Q12">
        <v>5</v>
      </c>
      <c r="R12">
        <v>0</v>
      </c>
      <c r="S12">
        <v>0</v>
      </c>
    </row>
    <row r="13" spans="1:19" x14ac:dyDescent="0.25">
      <c r="A13" t="s">
        <v>292</v>
      </c>
      <c r="B13">
        <v>18</v>
      </c>
      <c r="C13">
        <v>149</v>
      </c>
      <c r="D13">
        <v>716</v>
      </c>
      <c r="E13">
        <v>110</v>
      </c>
      <c r="F13">
        <v>0</v>
      </c>
      <c r="G13">
        <v>0</v>
      </c>
      <c r="H13">
        <v>1</v>
      </c>
      <c r="I13">
        <v>32</v>
      </c>
      <c r="J13">
        <v>86</v>
      </c>
      <c r="K13">
        <v>28</v>
      </c>
      <c r="L13">
        <v>0</v>
      </c>
      <c r="M13">
        <v>0</v>
      </c>
      <c r="N13">
        <v>0</v>
      </c>
      <c r="O13">
        <v>0</v>
      </c>
      <c r="P13">
        <v>5</v>
      </c>
      <c r="Q13">
        <v>1</v>
      </c>
      <c r="R13">
        <v>0</v>
      </c>
      <c r="S13">
        <v>0</v>
      </c>
    </row>
    <row r="14" spans="1:19" x14ac:dyDescent="0.25">
      <c r="A14" t="s">
        <v>293</v>
      </c>
      <c r="B14">
        <v>86</v>
      </c>
      <c r="C14">
        <v>765</v>
      </c>
      <c r="D14">
        <v>1471</v>
      </c>
      <c r="E14">
        <v>222</v>
      </c>
      <c r="F14">
        <v>3</v>
      </c>
      <c r="G14">
        <v>0</v>
      </c>
      <c r="H14">
        <v>9</v>
      </c>
      <c r="I14">
        <v>112</v>
      </c>
      <c r="J14">
        <v>164</v>
      </c>
      <c r="K14">
        <v>29</v>
      </c>
      <c r="L14">
        <v>4</v>
      </c>
      <c r="M14">
        <v>0</v>
      </c>
      <c r="N14">
        <v>2</v>
      </c>
      <c r="O14">
        <v>11</v>
      </c>
      <c r="P14">
        <v>19</v>
      </c>
      <c r="Q14">
        <v>0</v>
      </c>
      <c r="R14">
        <v>0</v>
      </c>
      <c r="S14">
        <v>0</v>
      </c>
    </row>
    <row r="15" spans="1:19" x14ac:dyDescent="0.25">
      <c r="A15" t="s">
        <v>294</v>
      </c>
      <c r="B15">
        <v>34</v>
      </c>
      <c r="C15">
        <v>303</v>
      </c>
      <c r="D15">
        <v>399</v>
      </c>
      <c r="E15">
        <v>58</v>
      </c>
      <c r="F15">
        <v>1</v>
      </c>
      <c r="G15">
        <v>0</v>
      </c>
      <c r="H15">
        <v>2</v>
      </c>
      <c r="I15">
        <v>15</v>
      </c>
      <c r="J15">
        <v>19</v>
      </c>
      <c r="K15">
        <v>2</v>
      </c>
      <c r="L15">
        <v>0</v>
      </c>
      <c r="M15">
        <v>0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295</v>
      </c>
      <c r="B16">
        <v>103</v>
      </c>
      <c r="C16">
        <v>303</v>
      </c>
      <c r="D16">
        <v>961</v>
      </c>
      <c r="E16">
        <v>135</v>
      </c>
      <c r="F16">
        <v>7</v>
      </c>
      <c r="G16">
        <v>0</v>
      </c>
      <c r="H16">
        <v>18</v>
      </c>
      <c r="I16">
        <v>54</v>
      </c>
      <c r="J16">
        <v>144</v>
      </c>
      <c r="K16">
        <v>20</v>
      </c>
      <c r="L16">
        <v>6</v>
      </c>
      <c r="M16">
        <v>0</v>
      </c>
      <c r="N16">
        <v>0</v>
      </c>
      <c r="O16">
        <v>8</v>
      </c>
      <c r="P16">
        <v>4</v>
      </c>
      <c r="Q16">
        <v>0</v>
      </c>
      <c r="R16">
        <v>0</v>
      </c>
      <c r="S16">
        <v>0</v>
      </c>
    </row>
    <row r="17" spans="1:19" x14ac:dyDescent="0.25">
      <c r="A17" t="s">
        <v>296</v>
      </c>
      <c r="B17">
        <v>8</v>
      </c>
      <c r="C17">
        <v>39</v>
      </c>
      <c r="D17">
        <v>454</v>
      </c>
      <c r="E17">
        <v>108</v>
      </c>
      <c r="F17">
        <v>2</v>
      </c>
      <c r="G17">
        <v>0</v>
      </c>
      <c r="H17">
        <v>0</v>
      </c>
      <c r="I17">
        <v>7</v>
      </c>
      <c r="J17">
        <v>41</v>
      </c>
      <c r="K17">
        <v>23</v>
      </c>
      <c r="L17">
        <v>2</v>
      </c>
      <c r="M17">
        <v>0</v>
      </c>
      <c r="N17">
        <v>2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297</v>
      </c>
      <c r="B18">
        <v>309</v>
      </c>
      <c r="C18">
        <v>1766</v>
      </c>
      <c r="D18">
        <v>4222</v>
      </c>
      <c r="E18">
        <v>3150</v>
      </c>
      <c r="F18">
        <v>398</v>
      </c>
      <c r="G18">
        <v>1</v>
      </c>
      <c r="H18">
        <v>33</v>
      </c>
      <c r="I18">
        <v>194</v>
      </c>
      <c r="J18">
        <v>364</v>
      </c>
      <c r="K18">
        <v>292</v>
      </c>
      <c r="L18">
        <v>115</v>
      </c>
      <c r="M18">
        <v>1</v>
      </c>
      <c r="N18">
        <v>2</v>
      </c>
      <c r="O18">
        <v>8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298</v>
      </c>
      <c r="B19">
        <v>9</v>
      </c>
      <c r="C19">
        <v>238</v>
      </c>
      <c r="D19">
        <v>920</v>
      </c>
      <c r="E19">
        <v>373</v>
      </c>
      <c r="F19">
        <v>28</v>
      </c>
      <c r="G19">
        <v>0</v>
      </c>
      <c r="H19">
        <v>1</v>
      </c>
      <c r="I19">
        <v>36</v>
      </c>
      <c r="J19">
        <v>124</v>
      </c>
      <c r="K19">
        <v>70</v>
      </c>
      <c r="L19">
        <v>10</v>
      </c>
      <c r="M19">
        <v>0</v>
      </c>
      <c r="N19">
        <v>0</v>
      </c>
      <c r="O19">
        <v>1</v>
      </c>
      <c r="P19">
        <v>2</v>
      </c>
      <c r="Q19">
        <v>2</v>
      </c>
      <c r="R19">
        <v>0</v>
      </c>
      <c r="S19">
        <v>0</v>
      </c>
    </row>
    <row r="20" spans="1:19" x14ac:dyDescent="0.25">
      <c r="A20" t="s">
        <v>299</v>
      </c>
      <c r="B20">
        <v>139</v>
      </c>
      <c r="C20">
        <v>413</v>
      </c>
      <c r="D20">
        <v>1145</v>
      </c>
      <c r="E20">
        <v>245</v>
      </c>
      <c r="F20">
        <v>8</v>
      </c>
      <c r="G20">
        <v>0</v>
      </c>
      <c r="H20">
        <v>39</v>
      </c>
      <c r="I20">
        <v>72</v>
      </c>
      <c r="J20">
        <v>88</v>
      </c>
      <c r="K20">
        <v>40</v>
      </c>
      <c r="L20">
        <v>3</v>
      </c>
      <c r="M20">
        <v>0</v>
      </c>
      <c r="N20">
        <v>1</v>
      </c>
      <c r="O20">
        <v>0</v>
      </c>
      <c r="P20">
        <v>5</v>
      </c>
      <c r="Q20">
        <v>2</v>
      </c>
      <c r="R20">
        <v>0</v>
      </c>
      <c r="S20">
        <v>0</v>
      </c>
    </row>
    <row r="21" spans="1:19" x14ac:dyDescent="0.25">
      <c r="A21" t="s">
        <v>300</v>
      </c>
      <c r="B21">
        <v>32</v>
      </c>
      <c r="C21">
        <v>1663</v>
      </c>
      <c r="D21">
        <v>2685</v>
      </c>
      <c r="E21">
        <v>1281</v>
      </c>
      <c r="F21">
        <v>20</v>
      </c>
      <c r="G21">
        <v>0</v>
      </c>
      <c r="H21">
        <v>24</v>
      </c>
      <c r="I21">
        <v>658</v>
      </c>
      <c r="J21">
        <v>685</v>
      </c>
      <c r="K21">
        <v>349</v>
      </c>
      <c r="L21">
        <v>35</v>
      </c>
      <c r="M21">
        <v>0</v>
      </c>
      <c r="N21">
        <v>0</v>
      </c>
      <c r="O21">
        <v>4</v>
      </c>
      <c r="P21">
        <v>9</v>
      </c>
      <c r="Q21">
        <v>4</v>
      </c>
      <c r="R21">
        <v>0</v>
      </c>
      <c r="S21">
        <v>0</v>
      </c>
    </row>
    <row r="22" spans="1:19" x14ac:dyDescent="0.25">
      <c r="A22" t="s">
        <v>301</v>
      </c>
      <c r="B22">
        <v>45</v>
      </c>
      <c r="C22">
        <v>725</v>
      </c>
      <c r="D22">
        <v>1880</v>
      </c>
      <c r="E22">
        <v>480</v>
      </c>
      <c r="F22">
        <v>28</v>
      </c>
      <c r="G22">
        <v>0</v>
      </c>
      <c r="H22">
        <v>13</v>
      </c>
      <c r="I22">
        <v>197</v>
      </c>
      <c r="J22">
        <v>307</v>
      </c>
      <c r="K22">
        <v>73</v>
      </c>
      <c r="L22">
        <v>16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302</v>
      </c>
      <c r="B23">
        <v>69</v>
      </c>
      <c r="C23">
        <v>282</v>
      </c>
      <c r="D23">
        <v>736</v>
      </c>
      <c r="E23">
        <v>137</v>
      </c>
      <c r="F23">
        <v>2</v>
      </c>
      <c r="G23">
        <v>0</v>
      </c>
      <c r="H23">
        <v>15</v>
      </c>
      <c r="I23">
        <v>19</v>
      </c>
      <c r="J23">
        <v>56</v>
      </c>
      <c r="K23">
        <v>25</v>
      </c>
      <c r="L23">
        <v>5</v>
      </c>
      <c r="M23">
        <v>0</v>
      </c>
      <c r="N23">
        <v>4</v>
      </c>
      <c r="O23">
        <v>2</v>
      </c>
      <c r="P23">
        <v>4</v>
      </c>
      <c r="Q23">
        <v>2</v>
      </c>
      <c r="R23">
        <v>0</v>
      </c>
      <c r="S23">
        <v>0</v>
      </c>
    </row>
    <row r="24" spans="1:19" x14ac:dyDescent="0.25">
      <c r="A24" t="s">
        <v>303</v>
      </c>
      <c r="B24">
        <v>59</v>
      </c>
      <c r="C24">
        <v>700</v>
      </c>
      <c r="D24">
        <v>3715</v>
      </c>
      <c r="E24">
        <v>1235</v>
      </c>
      <c r="F24">
        <v>85</v>
      </c>
      <c r="G24">
        <v>1</v>
      </c>
      <c r="H24">
        <v>19</v>
      </c>
      <c r="I24">
        <v>237</v>
      </c>
      <c r="J24">
        <v>892</v>
      </c>
      <c r="K24">
        <v>232</v>
      </c>
      <c r="L24">
        <v>44</v>
      </c>
      <c r="M24">
        <v>0</v>
      </c>
      <c r="N24">
        <v>0</v>
      </c>
      <c r="O24">
        <v>2</v>
      </c>
      <c r="P24">
        <v>40</v>
      </c>
      <c r="Q24">
        <v>17</v>
      </c>
      <c r="R24">
        <v>0</v>
      </c>
      <c r="S24">
        <v>0</v>
      </c>
    </row>
    <row r="25" spans="1:19" x14ac:dyDescent="0.25">
      <c r="A25" t="s">
        <v>304</v>
      </c>
      <c r="B25">
        <v>54</v>
      </c>
      <c r="C25">
        <v>357</v>
      </c>
      <c r="D25">
        <v>727</v>
      </c>
      <c r="E25">
        <v>76</v>
      </c>
      <c r="F25">
        <v>1</v>
      </c>
      <c r="G25">
        <v>0</v>
      </c>
      <c r="H25">
        <v>12</v>
      </c>
      <c r="I25">
        <v>49</v>
      </c>
      <c r="J25">
        <v>70</v>
      </c>
      <c r="K25">
        <v>17</v>
      </c>
      <c r="L25">
        <v>3</v>
      </c>
      <c r="M25">
        <v>0</v>
      </c>
      <c r="N25">
        <v>1</v>
      </c>
      <c r="O25">
        <v>3</v>
      </c>
      <c r="P25">
        <v>10</v>
      </c>
      <c r="Q25">
        <v>1</v>
      </c>
      <c r="R25">
        <v>0</v>
      </c>
      <c r="S25">
        <v>0</v>
      </c>
    </row>
    <row r="26" spans="1:19" x14ac:dyDescent="0.25">
      <c r="A26" t="s">
        <v>305</v>
      </c>
      <c r="B26">
        <v>7</v>
      </c>
      <c r="C26">
        <v>504</v>
      </c>
      <c r="D26">
        <v>2276</v>
      </c>
      <c r="E26">
        <v>824</v>
      </c>
      <c r="F26">
        <v>31</v>
      </c>
      <c r="G26">
        <v>0</v>
      </c>
      <c r="H26">
        <v>4</v>
      </c>
      <c r="I26">
        <v>229</v>
      </c>
      <c r="J26">
        <v>566</v>
      </c>
      <c r="K26">
        <v>147</v>
      </c>
      <c r="L26">
        <v>14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25">
      <c r="A27" t="s">
        <v>306</v>
      </c>
      <c r="B27">
        <v>59</v>
      </c>
      <c r="C27">
        <v>848</v>
      </c>
      <c r="D27">
        <v>3709</v>
      </c>
      <c r="E27">
        <v>1677</v>
      </c>
      <c r="F27">
        <v>54</v>
      </c>
      <c r="G27">
        <v>0</v>
      </c>
      <c r="H27">
        <v>8</v>
      </c>
      <c r="I27">
        <v>272</v>
      </c>
      <c r="J27">
        <v>986</v>
      </c>
      <c r="K27">
        <v>369</v>
      </c>
      <c r="L27">
        <v>32</v>
      </c>
      <c r="M27">
        <v>0</v>
      </c>
      <c r="N27">
        <v>0</v>
      </c>
      <c r="O27">
        <v>4</v>
      </c>
      <c r="P27">
        <v>43</v>
      </c>
      <c r="Q27">
        <v>66</v>
      </c>
      <c r="R27">
        <v>0</v>
      </c>
      <c r="S27">
        <v>0</v>
      </c>
    </row>
    <row r="28" spans="1:19" x14ac:dyDescent="0.25">
      <c r="A28" t="s">
        <v>307</v>
      </c>
      <c r="B28">
        <v>86</v>
      </c>
      <c r="C28">
        <v>760</v>
      </c>
      <c r="D28">
        <v>2262</v>
      </c>
      <c r="E28">
        <v>461</v>
      </c>
      <c r="F28">
        <v>20</v>
      </c>
      <c r="G28">
        <v>2</v>
      </c>
      <c r="H28">
        <v>19</v>
      </c>
      <c r="I28">
        <v>205</v>
      </c>
      <c r="J28">
        <v>348</v>
      </c>
      <c r="K28">
        <v>65</v>
      </c>
      <c r="L28">
        <v>21</v>
      </c>
      <c r="M28">
        <v>0</v>
      </c>
      <c r="N28">
        <v>4</v>
      </c>
      <c r="O28">
        <v>21</v>
      </c>
      <c r="P28">
        <v>55</v>
      </c>
      <c r="Q28">
        <v>36</v>
      </c>
      <c r="R28">
        <v>2</v>
      </c>
      <c r="S28">
        <v>0</v>
      </c>
    </row>
    <row r="29" spans="1:19" x14ac:dyDescent="0.25">
      <c r="A29" t="s">
        <v>266</v>
      </c>
      <c r="B29">
        <v>1852</v>
      </c>
      <c r="C29">
        <v>18450</v>
      </c>
      <c r="D29">
        <v>50508</v>
      </c>
      <c r="E29">
        <v>20182</v>
      </c>
      <c r="F29">
        <v>1138</v>
      </c>
      <c r="G29">
        <v>5</v>
      </c>
      <c r="H29">
        <v>416</v>
      </c>
      <c r="I29">
        <v>4711</v>
      </c>
      <c r="J29">
        <v>8983</v>
      </c>
      <c r="K29">
        <v>3939</v>
      </c>
      <c r="L29">
        <v>618</v>
      </c>
      <c r="M29">
        <v>2</v>
      </c>
      <c r="N29">
        <v>40</v>
      </c>
      <c r="O29">
        <v>127</v>
      </c>
      <c r="P29">
        <v>319</v>
      </c>
      <c r="Q29">
        <v>304</v>
      </c>
      <c r="R29">
        <v>15</v>
      </c>
      <c r="S29">
        <v>0</v>
      </c>
    </row>
    <row r="30" spans="1:19" x14ac:dyDescent="0.25">
      <c r="A30" t="s">
        <v>308</v>
      </c>
      <c r="B30">
        <v>586</v>
      </c>
      <c r="C30">
        <v>4124</v>
      </c>
      <c r="D30">
        <v>11113</v>
      </c>
      <c r="E30">
        <v>6802</v>
      </c>
      <c r="F30">
        <v>672</v>
      </c>
      <c r="G30">
        <v>2</v>
      </c>
      <c r="H30">
        <v>93</v>
      </c>
      <c r="I30">
        <v>689</v>
      </c>
      <c r="J30">
        <v>1450</v>
      </c>
      <c r="K30">
        <v>891</v>
      </c>
      <c r="L30">
        <v>247</v>
      </c>
      <c r="M30">
        <v>1</v>
      </c>
      <c r="N30">
        <v>4</v>
      </c>
      <c r="O30">
        <v>9</v>
      </c>
      <c r="P30">
        <v>9</v>
      </c>
      <c r="Q30">
        <v>35</v>
      </c>
      <c r="R30">
        <v>5</v>
      </c>
      <c r="S30">
        <v>0</v>
      </c>
    </row>
    <row r="31" spans="1:19" x14ac:dyDescent="0.25">
      <c r="A31" t="s">
        <v>309</v>
      </c>
      <c r="B31">
        <v>1266</v>
      </c>
      <c r="C31">
        <v>14326</v>
      </c>
      <c r="D31">
        <v>39395</v>
      </c>
      <c r="E31">
        <v>13380</v>
      </c>
      <c r="F31">
        <v>466</v>
      </c>
      <c r="G31">
        <v>3</v>
      </c>
      <c r="H31">
        <v>323</v>
      </c>
      <c r="I31">
        <v>4022</v>
      </c>
      <c r="J31">
        <v>7533</v>
      </c>
      <c r="K31">
        <v>3048</v>
      </c>
      <c r="L31">
        <v>371</v>
      </c>
      <c r="M31">
        <v>1</v>
      </c>
      <c r="N31">
        <v>36</v>
      </c>
      <c r="O31">
        <v>118</v>
      </c>
      <c r="P31">
        <v>310</v>
      </c>
      <c r="Q31">
        <v>269</v>
      </c>
      <c r="R31">
        <v>10</v>
      </c>
      <c r="S31">
        <v>0</v>
      </c>
    </row>
  </sheetData>
  <mergeCells count="5">
    <mergeCell ref="B2:G2"/>
    <mergeCell ref="N2:S2"/>
    <mergeCell ref="A1:S1"/>
    <mergeCell ref="A2:A3"/>
    <mergeCell ref="H2:M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T31"/>
  <sheetViews>
    <sheetView workbookViewId="0">
      <selection sqref="A1:T1"/>
    </sheetView>
  </sheetViews>
  <sheetFormatPr defaultRowHeight="15" x14ac:dyDescent="0.25"/>
  <cols>
    <col min="1" max="1" width="22.85546875" customWidth="1"/>
    <col min="2" max="2" width="7.28515625" customWidth="1"/>
    <col min="4" max="4" width="7.42578125" customWidth="1"/>
    <col min="5" max="5" width="7.28515625" customWidth="1"/>
    <col min="8" max="8" width="7.42578125" customWidth="1"/>
    <col min="9" max="9" width="7.28515625" customWidth="1"/>
    <col min="10" max="10" width="7.42578125" customWidth="1"/>
    <col min="12" max="12" width="7.28515625" customWidth="1"/>
    <col min="13" max="13" width="7.42578125" customWidth="1"/>
    <col min="14" max="14" width="7.28515625" customWidth="1"/>
    <col min="17" max="17" width="7.42578125" customWidth="1"/>
    <col min="18" max="18" width="7.28515625" customWidth="1"/>
    <col min="20" max="20" width="8.7109375" customWidth="1"/>
  </cols>
  <sheetData>
    <row r="1" spans="1:20" x14ac:dyDescent="0.25">
      <c r="A1" s="29" t="s">
        <v>486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 t="s">
        <v>252</v>
      </c>
      <c r="B2" s="29" t="s">
        <v>487</v>
      </c>
      <c r="C2" s="29"/>
      <c r="D2" s="29"/>
      <c r="E2" s="29"/>
      <c r="F2" s="29"/>
      <c r="G2" s="29"/>
      <c r="H2" s="29" t="s">
        <v>488</v>
      </c>
      <c r="I2" s="29"/>
      <c r="J2" s="29"/>
      <c r="K2" s="29"/>
      <c r="L2" s="29"/>
      <c r="M2" s="29"/>
      <c r="N2" s="29" t="s">
        <v>489</v>
      </c>
      <c r="O2" s="29"/>
      <c r="P2" s="29"/>
      <c r="Q2" s="29"/>
      <c r="R2" s="29"/>
      <c r="S2" s="29"/>
      <c r="T2" t="s">
        <v>490</v>
      </c>
    </row>
    <row r="3" spans="1:20" x14ac:dyDescent="0.25">
      <c r="A3" s="29"/>
      <c r="B3" t="s">
        <v>346</v>
      </c>
      <c r="C3" t="s">
        <v>480</v>
      </c>
      <c r="D3" t="s">
        <v>481</v>
      </c>
      <c r="E3" t="s">
        <v>482</v>
      </c>
      <c r="F3" t="s">
        <v>485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  <c r="T3" t="s">
        <v>491</v>
      </c>
    </row>
    <row r="4" spans="1:20" x14ac:dyDescent="0.25">
      <c r="A4" t="s">
        <v>283</v>
      </c>
      <c r="B4">
        <v>0</v>
      </c>
      <c r="C4">
        <v>13</v>
      </c>
      <c r="D4">
        <v>52</v>
      </c>
      <c r="E4">
        <v>6</v>
      </c>
      <c r="F4">
        <v>0</v>
      </c>
      <c r="G4">
        <v>0</v>
      </c>
      <c r="H4">
        <v>57</v>
      </c>
      <c r="I4">
        <v>624</v>
      </c>
      <c r="J4">
        <v>1894</v>
      </c>
      <c r="K4">
        <v>297</v>
      </c>
      <c r="L4">
        <v>7</v>
      </c>
      <c r="M4">
        <v>0</v>
      </c>
      <c r="N4">
        <v>7</v>
      </c>
      <c r="O4">
        <v>68</v>
      </c>
      <c r="P4">
        <v>817</v>
      </c>
      <c r="Q4">
        <v>801</v>
      </c>
      <c r="R4">
        <v>42</v>
      </c>
      <c r="S4">
        <v>0</v>
      </c>
      <c r="T4">
        <v>66</v>
      </c>
    </row>
    <row r="5" spans="1:20" x14ac:dyDescent="0.25">
      <c r="A5" t="s">
        <v>284</v>
      </c>
      <c r="B5">
        <v>20</v>
      </c>
      <c r="C5">
        <v>138</v>
      </c>
      <c r="D5">
        <v>331</v>
      </c>
      <c r="E5">
        <v>70</v>
      </c>
      <c r="F5">
        <v>1</v>
      </c>
      <c r="G5">
        <v>0</v>
      </c>
      <c r="H5">
        <v>77</v>
      </c>
      <c r="I5">
        <v>871</v>
      </c>
      <c r="J5">
        <v>1970</v>
      </c>
      <c r="K5">
        <v>723</v>
      </c>
      <c r="L5">
        <v>13</v>
      </c>
      <c r="M5">
        <v>0</v>
      </c>
      <c r="N5">
        <v>2</v>
      </c>
      <c r="O5">
        <v>242</v>
      </c>
      <c r="P5">
        <v>1096</v>
      </c>
      <c r="Q5">
        <v>1188</v>
      </c>
      <c r="R5">
        <v>71</v>
      </c>
      <c r="S5">
        <v>1</v>
      </c>
      <c r="T5">
        <v>68</v>
      </c>
    </row>
    <row r="6" spans="1:20" x14ac:dyDescent="0.25">
      <c r="A6" t="s">
        <v>285</v>
      </c>
      <c r="B6">
        <v>12</v>
      </c>
      <c r="C6">
        <v>119</v>
      </c>
      <c r="D6">
        <v>201</v>
      </c>
      <c r="E6">
        <v>4</v>
      </c>
      <c r="F6">
        <v>0</v>
      </c>
      <c r="G6">
        <v>0</v>
      </c>
      <c r="H6">
        <v>58</v>
      </c>
      <c r="I6">
        <v>1012</v>
      </c>
      <c r="J6">
        <v>1456</v>
      </c>
      <c r="K6">
        <v>73</v>
      </c>
      <c r="L6">
        <v>0</v>
      </c>
      <c r="M6">
        <v>0</v>
      </c>
      <c r="N6">
        <v>144</v>
      </c>
      <c r="O6">
        <v>601</v>
      </c>
      <c r="P6">
        <v>1458</v>
      </c>
      <c r="Q6">
        <v>608</v>
      </c>
      <c r="R6">
        <v>20</v>
      </c>
      <c r="S6">
        <v>0</v>
      </c>
      <c r="T6">
        <v>61</v>
      </c>
    </row>
    <row r="7" spans="1:20" x14ac:dyDescent="0.25">
      <c r="A7" t="s">
        <v>286</v>
      </c>
      <c r="B7">
        <v>1</v>
      </c>
      <c r="C7">
        <v>62</v>
      </c>
      <c r="D7">
        <v>79</v>
      </c>
      <c r="E7">
        <v>3</v>
      </c>
      <c r="F7">
        <v>0</v>
      </c>
      <c r="G7">
        <v>0</v>
      </c>
      <c r="H7">
        <v>16</v>
      </c>
      <c r="I7">
        <v>338</v>
      </c>
      <c r="J7">
        <v>1294</v>
      </c>
      <c r="K7">
        <v>143</v>
      </c>
      <c r="L7">
        <v>2</v>
      </c>
      <c r="M7">
        <v>0</v>
      </c>
      <c r="N7">
        <v>14</v>
      </c>
      <c r="O7">
        <v>272</v>
      </c>
      <c r="P7">
        <v>671</v>
      </c>
      <c r="Q7">
        <v>477</v>
      </c>
      <c r="R7">
        <v>26</v>
      </c>
      <c r="S7">
        <v>0</v>
      </c>
      <c r="T7">
        <v>27</v>
      </c>
    </row>
    <row r="8" spans="1:20" x14ac:dyDescent="0.25">
      <c r="A8" t="s">
        <v>287</v>
      </c>
      <c r="B8">
        <v>16</v>
      </c>
      <c r="C8">
        <v>100</v>
      </c>
      <c r="D8">
        <v>142</v>
      </c>
      <c r="E8">
        <v>10</v>
      </c>
      <c r="F8">
        <v>0</v>
      </c>
      <c r="G8">
        <v>0</v>
      </c>
      <c r="H8">
        <v>48</v>
      </c>
      <c r="I8">
        <v>589</v>
      </c>
      <c r="J8">
        <v>1340</v>
      </c>
      <c r="K8">
        <v>252</v>
      </c>
      <c r="L8">
        <v>6</v>
      </c>
      <c r="M8">
        <v>0</v>
      </c>
      <c r="N8">
        <v>23</v>
      </c>
      <c r="O8">
        <v>314</v>
      </c>
      <c r="P8">
        <v>731</v>
      </c>
      <c r="Q8">
        <v>825</v>
      </c>
      <c r="R8">
        <v>32</v>
      </c>
      <c r="S8">
        <v>0</v>
      </c>
      <c r="T8">
        <v>9</v>
      </c>
    </row>
    <row r="9" spans="1:20" x14ac:dyDescent="0.25">
      <c r="A9" t="s">
        <v>288</v>
      </c>
      <c r="B9">
        <v>9</v>
      </c>
      <c r="C9">
        <v>69</v>
      </c>
      <c r="D9">
        <v>178</v>
      </c>
      <c r="E9">
        <v>15</v>
      </c>
      <c r="F9">
        <v>0</v>
      </c>
      <c r="G9">
        <v>0</v>
      </c>
      <c r="H9">
        <v>61</v>
      </c>
      <c r="I9">
        <v>423</v>
      </c>
      <c r="J9">
        <v>1431</v>
      </c>
      <c r="K9">
        <v>486</v>
      </c>
      <c r="L9">
        <v>6</v>
      </c>
      <c r="M9">
        <v>0</v>
      </c>
      <c r="N9">
        <v>23</v>
      </c>
      <c r="O9">
        <v>242</v>
      </c>
      <c r="P9">
        <v>770</v>
      </c>
      <c r="Q9">
        <v>639</v>
      </c>
      <c r="R9">
        <v>49</v>
      </c>
      <c r="S9">
        <v>0</v>
      </c>
      <c r="T9">
        <v>68</v>
      </c>
    </row>
    <row r="10" spans="1:20" x14ac:dyDescent="0.25">
      <c r="A10" t="s">
        <v>289</v>
      </c>
      <c r="B10">
        <v>3</v>
      </c>
      <c r="C10">
        <v>66</v>
      </c>
      <c r="D10">
        <v>158</v>
      </c>
      <c r="E10">
        <v>11</v>
      </c>
      <c r="F10">
        <v>0</v>
      </c>
      <c r="G10">
        <v>0</v>
      </c>
      <c r="H10">
        <v>24</v>
      </c>
      <c r="I10">
        <v>483</v>
      </c>
      <c r="J10">
        <v>1440</v>
      </c>
      <c r="K10">
        <v>305</v>
      </c>
      <c r="L10">
        <v>8</v>
      </c>
      <c r="M10">
        <v>0</v>
      </c>
      <c r="N10">
        <v>32</v>
      </c>
      <c r="O10">
        <v>247</v>
      </c>
      <c r="P10">
        <v>977</v>
      </c>
      <c r="Q10">
        <v>750</v>
      </c>
      <c r="R10">
        <v>40</v>
      </c>
      <c r="S10">
        <v>0</v>
      </c>
      <c r="T10">
        <v>14</v>
      </c>
    </row>
    <row r="11" spans="1:20" x14ac:dyDescent="0.25">
      <c r="A11" t="s">
        <v>290</v>
      </c>
      <c r="B11">
        <v>16</v>
      </c>
      <c r="C11">
        <v>207</v>
      </c>
      <c r="D11">
        <v>218</v>
      </c>
      <c r="E11">
        <v>28</v>
      </c>
      <c r="F11">
        <v>2</v>
      </c>
      <c r="G11">
        <v>0</v>
      </c>
      <c r="H11">
        <v>24</v>
      </c>
      <c r="I11">
        <v>882</v>
      </c>
      <c r="J11">
        <v>1405</v>
      </c>
      <c r="K11">
        <v>186</v>
      </c>
      <c r="L11">
        <v>5</v>
      </c>
      <c r="M11">
        <v>0</v>
      </c>
      <c r="N11">
        <v>44</v>
      </c>
      <c r="O11">
        <v>633</v>
      </c>
      <c r="P11">
        <v>1848</v>
      </c>
      <c r="Q11">
        <v>1560</v>
      </c>
      <c r="R11">
        <v>116</v>
      </c>
      <c r="S11">
        <v>0</v>
      </c>
      <c r="T11">
        <v>61</v>
      </c>
    </row>
    <row r="12" spans="1:20" x14ac:dyDescent="0.25">
      <c r="A12" t="s">
        <v>291</v>
      </c>
      <c r="B12">
        <v>0</v>
      </c>
      <c r="C12">
        <v>4</v>
      </c>
      <c r="D12">
        <v>23</v>
      </c>
      <c r="E12">
        <v>2</v>
      </c>
      <c r="F12">
        <v>0</v>
      </c>
      <c r="G12">
        <v>0</v>
      </c>
      <c r="H12">
        <v>0</v>
      </c>
      <c r="I12">
        <v>13</v>
      </c>
      <c r="J12">
        <v>146</v>
      </c>
      <c r="K12">
        <v>49</v>
      </c>
      <c r="L12">
        <v>0</v>
      </c>
      <c r="M12">
        <v>0</v>
      </c>
      <c r="N12">
        <v>4</v>
      </c>
      <c r="O12">
        <v>3</v>
      </c>
      <c r="P12">
        <v>104</v>
      </c>
      <c r="Q12">
        <v>99</v>
      </c>
      <c r="R12">
        <v>4</v>
      </c>
      <c r="S12">
        <v>0</v>
      </c>
      <c r="T12">
        <v>5</v>
      </c>
    </row>
    <row r="13" spans="1:20" x14ac:dyDescent="0.25">
      <c r="A13" t="s">
        <v>292</v>
      </c>
      <c r="B13">
        <v>1</v>
      </c>
      <c r="C13">
        <v>10</v>
      </c>
      <c r="D13">
        <v>22</v>
      </c>
      <c r="E13">
        <v>0</v>
      </c>
      <c r="F13">
        <v>0</v>
      </c>
      <c r="G13">
        <v>0</v>
      </c>
      <c r="H13">
        <v>17</v>
      </c>
      <c r="I13">
        <v>132</v>
      </c>
      <c r="J13">
        <v>431</v>
      </c>
      <c r="K13">
        <v>9</v>
      </c>
      <c r="L13">
        <v>0</v>
      </c>
      <c r="M13">
        <v>0</v>
      </c>
      <c r="N13">
        <v>0</v>
      </c>
      <c r="O13">
        <v>7</v>
      </c>
      <c r="P13">
        <v>263</v>
      </c>
      <c r="Q13">
        <v>101</v>
      </c>
      <c r="R13">
        <v>0</v>
      </c>
      <c r="S13">
        <v>0</v>
      </c>
      <c r="T13">
        <v>6</v>
      </c>
    </row>
    <row r="14" spans="1:20" x14ac:dyDescent="0.25">
      <c r="A14" t="s">
        <v>293</v>
      </c>
      <c r="B14">
        <v>3</v>
      </c>
      <c r="C14">
        <v>67</v>
      </c>
      <c r="D14">
        <v>67</v>
      </c>
      <c r="E14">
        <v>0</v>
      </c>
      <c r="F14">
        <v>0</v>
      </c>
      <c r="G14">
        <v>0</v>
      </c>
      <c r="H14">
        <v>59</v>
      </c>
      <c r="I14">
        <v>463</v>
      </c>
      <c r="J14">
        <v>916</v>
      </c>
      <c r="K14">
        <v>20</v>
      </c>
      <c r="L14">
        <v>1</v>
      </c>
      <c r="M14">
        <v>0</v>
      </c>
      <c r="N14">
        <v>24</v>
      </c>
      <c r="O14">
        <v>235</v>
      </c>
      <c r="P14">
        <v>488</v>
      </c>
      <c r="Q14">
        <v>202</v>
      </c>
      <c r="R14">
        <v>2</v>
      </c>
      <c r="S14">
        <v>0</v>
      </c>
      <c r="T14">
        <v>32</v>
      </c>
    </row>
    <row r="15" spans="1:20" x14ac:dyDescent="0.25">
      <c r="A15" t="s">
        <v>294</v>
      </c>
      <c r="B15">
        <v>0</v>
      </c>
      <c r="C15">
        <v>15</v>
      </c>
      <c r="D15">
        <v>12</v>
      </c>
      <c r="E15">
        <v>0</v>
      </c>
      <c r="F15">
        <v>0</v>
      </c>
      <c r="G15">
        <v>0</v>
      </c>
      <c r="H15">
        <v>34</v>
      </c>
      <c r="I15">
        <v>288</v>
      </c>
      <c r="J15">
        <v>219</v>
      </c>
      <c r="K15">
        <v>4</v>
      </c>
      <c r="L15">
        <v>0</v>
      </c>
      <c r="M15">
        <v>0</v>
      </c>
      <c r="N15">
        <v>0</v>
      </c>
      <c r="O15">
        <v>0</v>
      </c>
      <c r="P15">
        <v>168</v>
      </c>
      <c r="Q15">
        <v>54</v>
      </c>
      <c r="R15">
        <v>1</v>
      </c>
      <c r="S15">
        <v>0</v>
      </c>
      <c r="T15">
        <v>3</v>
      </c>
    </row>
    <row r="16" spans="1:20" x14ac:dyDescent="0.25">
      <c r="A16" t="s">
        <v>295</v>
      </c>
      <c r="B16">
        <v>4</v>
      </c>
      <c r="C16">
        <v>18</v>
      </c>
      <c r="D16">
        <v>53</v>
      </c>
      <c r="E16">
        <v>2</v>
      </c>
      <c r="F16">
        <v>0</v>
      </c>
      <c r="G16">
        <v>0</v>
      </c>
      <c r="H16">
        <v>99</v>
      </c>
      <c r="I16">
        <v>224</v>
      </c>
      <c r="J16">
        <v>663</v>
      </c>
      <c r="K16">
        <v>25</v>
      </c>
      <c r="L16">
        <v>1</v>
      </c>
      <c r="M16">
        <v>0</v>
      </c>
      <c r="N16">
        <v>0</v>
      </c>
      <c r="O16">
        <v>61</v>
      </c>
      <c r="P16">
        <v>245</v>
      </c>
      <c r="Q16">
        <v>108</v>
      </c>
      <c r="R16">
        <v>6</v>
      </c>
      <c r="S16">
        <v>0</v>
      </c>
      <c r="T16">
        <v>12</v>
      </c>
    </row>
    <row r="17" spans="1:20" x14ac:dyDescent="0.25">
      <c r="A17" t="s">
        <v>296</v>
      </c>
      <c r="B17">
        <v>0</v>
      </c>
      <c r="C17">
        <v>3</v>
      </c>
      <c r="D17">
        <v>22</v>
      </c>
      <c r="E17">
        <v>1</v>
      </c>
      <c r="F17">
        <v>0</v>
      </c>
      <c r="G17">
        <v>0</v>
      </c>
      <c r="H17">
        <v>8</v>
      </c>
      <c r="I17">
        <v>34</v>
      </c>
      <c r="J17">
        <v>221</v>
      </c>
      <c r="K17">
        <v>29</v>
      </c>
      <c r="L17">
        <v>2</v>
      </c>
      <c r="M17">
        <v>0</v>
      </c>
      <c r="N17">
        <v>0</v>
      </c>
      <c r="O17">
        <v>2</v>
      </c>
      <c r="P17">
        <v>211</v>
      </c>
      <c r="Q17">
        <v>78</v>
      </c>
      <c r="R17">
        <v>0</v>
      </c>
      <c r="S17">
        <v>0</v>
      </c>
      <c r="T17">
        <v>2</v>
      </c>
    </row>
    <row r="18" spans="1:20" x14ac:dyDescent="0.25">
      <c r="A18" t="s">
        <v>297</v>
      </c>
      <c r="B18">
        <v>26</v>
      </c>
      <c r="C18">
        <v>153</v>
      </c>
      <c r="D18">
        <v>126</v>
      </c>
      <c r="E18">
        <v>24</v>
      </c>
      <c r="F18">
        <v>2</v>
      </c>
      <c r="G18">
        <v>0</v>
      </c>
      <c r="H18">
        <v>64</v>
      </c>
      <c r="I18">
        <v>947</v>
      </c>
      <c r="J18">
        <v>2134</v>
      </c>
      <c r="K18">
        <v>513</v>
      </c>
      <c r="L18">
        <v>40</v>
      </c>
      <c r="M18">
        <v>0</v>
      </c>
      <c r="N18">
        <v>219</v>
      </c>
      <c r="O18">
        <v>666</v>
      </c>
      <c r="P18">
        <v>1962</v>
      </c>
      <c r="Q18">
        <v>2613</v>
      </c>
      <c r="R18">
        <v>356</v>
      </c>
      <c r="S18">
        <v>1</v>
      </c>
      <c r="T18">
        <v>10</v>
      </c>
    </row>
    <row r="19" spans="1:20" x14ac:dyDescent="0.25">
      <c r="A19" t="s">
        <v>298</v>
      </c>
      <c r="B19">
        <v>1</v>
      </c>
      <c r="C19">
        <v>32</v>
      </c>
      <c r="D19">
        <v>38</v>
      </c>
      <c r="E19">
        <v>4</v>
      </c>
      <c r="F19">
        <v>0</v>
      </c>
      <c r="G19">
        <v>0</v>
      </c>
      <c r="H19">
        <v>7</v>
      </c>
      <c r="I19">
        <v>177</v>
      </c>
      <c r="J19">
        <v>537</v>
      </c>
      <c r="K19">
        <v>89</v>
      </c>
      <c r="L19">
        <v>3</v>
      </c>
      <c r="M19">
        <v>0</v>
      </c>
      <c r="N19">
        <v>1</v>
      </c>
      <c r="O19">
        <v>29</v>
      </c>
      <c r="P19">
        <v>345</v>
      </c>
      <c r="Q19">
        <v>280</v>
      </c>
      <c r="R19">
        <v>25</v>
      </c>
      <c r="S19">
        <v>0</v>
      </c>
      <c r="T19">
        <v>5</v>
      </c>
    </row>
    <row r="20" spans="1:20" x14ac:dyDescent="0.25">
      <c r="A20" t="s">
        <v>299</v>
      </c>
      <c r="B20">
        <v>17</v>
      </c>
      <c r="C20">
        <v>14</v>
      </c>
      <c r="D20">
        <v>50</v>
      </c>
      <c r="E20">
        <v>0</v>
      </c>
      <c r="F20">
        <v>0</v>
      </c>
      <c r="G20">
        <v>0</v>
      </c>
      <c r="H20">
        <v>117</v>
      </c>
      <c r="I20">
        <v>336</v>
      </c>
      <c r="J20">
        <v>689</v>
      </c>
      <c r="K20">
        <v>28</v>
      </c>
      <c r="L20">
        <v>1</v>
      </c>
      <c r="M20">
        <v>0</v>
      </c>
      <c r="N20">
        <v>5</v>
      </c>
      <c r="O20">
        <v>63</v>
      </c>
      <c r="P20">
        <v>406</v>
      </c>
      <c r="Q20">
        <v>217</v>
      </c>
      <c r="R20">
        <v>7</v>
      </c>
      <c r="S20">
        <v>0</v>
      </c>
      <c r="T20">
        <v>8</v>
      </c>
    </row>
    <row r="21" spans="1:20" x14ac:dyDescent="0.25">
      <c r="A21" t="s">
        <v>300</v>
      </c>
      <c r="B21">
        <v>6</v>
      </c>
      <c r="C21">
        <v>187</v>
      </c>
      <c r="D21">
        <v>225</v>
      </c>
      <c r="E21">
        <v>43</v>
      </c>
      <c r="F21">
        <v>0</v>
      </c>
      <c r="G21">
        <v>0</v>
      </c>
      <c r="H21">
        <v>23</v>
      </c>
      <c r="I21">
        <v>1025</v>
      </c>
      <c r="J21">
        <v>1389</v>
      </c>
      <c r="K21">
        <v>368</v>
      </c>
      <c r="L21">
        <v>1</v>
      </c>
      <c r="M21">
        <v>0</v>
      </c>
      <c r="N21">
        <v>3</v>
      </c>
      <c r="O21">
        <v>451</v>
      </c>
      <c r="P21">
        <v>1071</v>
      </c>
      <c r="Q21">
        <v>870</v>
      </c>
      <c r="R21">
        <v>19</v>
      </c>
      <c r="S21">
        <v>0</v>
      </c>
      <c r="T21">
        <v>17</v>
      </c>
    </row>
    <row r="22" spans="1:20" x14ac:dyDescent="0.25">
      <c r="A22" t="s">
        <v>301</v>
      </c>
      <c r="B22">
        <v>7</v>
      </c>
      <c r="C22">
        <v>72</v>
      </c>
      <c r="D22">
        <v>101</v>
      </c>
      <c r="E22">
        <v>3</v>
      </c>
      <c r="F22">
        <v>0</v>
      </c>
      <c r="G22">
        <v>0</v>
      </c>
      <c r="H22">
        <v>35</v>
      </c>
      <c r="I22">
        <v>451</v>
      </c>
      <c r="J22">
        <v>988</v>
      </c>
      <c r="K22">
        <v>83</v>
      </c>
      <c r="L22">
        <v>1</v>
      </c>
      <c r="M22">
        <v>0</v>
      </c>
      <c r="N22">
        <v>3</v>
      </c>
      <c r="O22">
        <v>202</v>
      </c>
      <c r="P22">
        <v>791</v>
      </c>
      <c r="Q22">
        <v>394</v>
      </c>
      <c r="R22">
        <v>27</v>
      </c>
      <c r="S22">
        <v>0</v>
      </c>
      <c r="T22">
        <v>0</v>
      </c>
    </row>
    <row r="23" spans="1:20" x14ac:dyDescent="0.25">
      <c r="A23" t="s">
        <v>302</v>
      </c>
      <c r="B23">
        <v>7</v>
      </c>
      <c r="C23">
        <v>25</v>
      </c>
      <c r="D23">
        <v>33</v>
      </c>
      <c r="E23">
        <v>1</v>
      </c>
      <c r="F23">
        <v>0</v>
      </c>
      <c r="G23">
        <v>0</v>
      </c>
      <c r="H23">
        <v>62</v>
      </c>
      <c r="I23">
        <v>215</v>
      </c>
      <c r="J23">
        <v>473</v>
      </c>
      <c r="K23">
        <v>22</v>
      </c>
      <c r="L23">
        <v>0</v>
      </c>
      <c r="M23">
        <v>0</v>
      </c>
      <c r="N23">
        <v>0</v>
      </c>
      <c r="O23">
        <v>42</v>
      </c>
      <c r="P23">
        <v>230</v>
      </c>
      <c r="Q23">
        <v>114</v>
      </c>
      <c r="R23">
        <v>2</v>
      </c>
      <c r="S23">
        <v>0</v>
      </c>
      <c r="T23">
        <v>12</v>
      </c>
    </row>
    <row r="24" spans="1:20" x14ac:dyDescent="0.25">
      <c r="A24" t="s">
        <v>303</v>
      </c>
      <c r="B24">
        <v>7</v>
      </c>
      <c r="C24">
        <v>84</v>
      </c>
      <c r="D24">
        <v>318</v>
      </c>
      <c r="E24">
        <v>13</v>
      </c>
      <c r="F24">
        <v>0</v>
      </c>
      <c r="G24">
        <v>0</v>
      </c>
      <c r="H24">
        <v>52</v>
      </c>
      <c r="I24">
        <v>405</v>
      </c>
      <c r="J24">
        <v>2400</v>
      </c>
      <c r="K24">
        <v>195</v>
      </c>
      <c r="L24">
        <v>19</v>
      </c>
      <c r="M24">
        <v>0</v>
      </c>
      <c r="N24">
        <v>0</v>
      </c>
      <c r="O24">
        <v>211</v>
      </c>
      <c r="P24">
        <v>997</v>
      </c>
      <c r="Q24">
        <v>1027</v>
      </c>
      <c r="R24">
        <v>66</v>
      </c>
      <c r="S24">
        <v>1</v>
      </c>
      <c r="T24">
        <v>59</v>
      </c>
    </row>
    <row r="25" spans="1:20" x14ac:dyDescent="0.25">
      <c r="A25" t="s">
        <v>304</v>
      </c>
      <c r="B25">
        <v>7</v>
      </c>
      <c r="C25">
        <v>8</v>
      </c>
      <c r="D25">
        <v>28</v>
      </c>
      <c r="E25">
        <v>0</v>
      </c>
      <c r="F25">
        <v>0</v>
      </c>
      <c r="G25">
        <v>0</v>
      </c>
      <c r="H25">
        <v>47</v>
      </c>
      <c r="I25">
        <v>242</v>
      </c>
      <c r="J25">
        <v>455</v>
      </c>
      <c r="K25">
        <v>8</v>
      </c>
      <c r="L25">
        <v>0</v>
      </c>
      <c r="M25">
        <v>0</v>
      </c>
      <c r="N25">
        <v>0</v>
      </c>
      <c r="O25">
        <v>107</v>
      </c>
      <c r="P25">
        <v>244</v>
      </c>
      <c r="Q25">
        <v>68</v>
      </c>
      <c r="R25">
        <v>1</v>
      </c>
      <c r="S25">
        <v>0</v>
      </c>
      <c r="T25">
        <v>15</v>
      </c>
    </row>
    <row r="26" spans="1:20" x14ac:dyDescent="0.25">
      <c r="A26" t="s">
        <v>305</v>
      </c>
      <c r="B26">
        <v>1</v>
      </c>
      <c r="C26">
        <v>49</v>
      </c>
      <c r="D26">
        <v>126</v>
      </c>
      <c r="E26">
        <v>8</v>
      </c>
      <c r="F26">
        <v>0</v>
      </c>
      <c r="G26">
        <v>0</v>
      </c>
      <c r="H26">
        <v>5</v>
      </c>
      <c r="I26">
        <v>255</v>
      </c>
      <c r="J26">
        <v>1261</v>
      </c>
      <c r="K26">
        <v>144</v>
      </c>
      <c r="L26">
        <v>2</v>
      </c>
      <c r="M26">
        <v>0</v>
      </c>
      <c r="N26">
        <v>1</v>
      </c>
      <c r="O26">
        <v>200</v>
      </c>
      <c r="P26">
        <v>889</v>
      </c>
      <c r="Q26">
        <v>672</v>
      </c>
      <c r="R26">
        <v>29</v>
      </c>
      <c r="S26">
        <v>0</v>
      </c>
      <c r="T26">
        <v>1</v>
      </c>
    </row>
    <row r="27" spans="1:20" x14ac:dyDescent="0.25">
      <c r="A27" t="s">
        <v>306</v>
      </c>
      <c r="B27">
        <v>14</v>
      </c>
      <c r="C27">
        <v>108</v>
      </c>
      <c r="D27">
        <v>266</v>
      </c>
      <c r="E27">
        <v>27</v>
      </c>
      <c r="F27">
        <v>0</v>
      </c>
      <c r="G27">
        <v>0</v>
      </c>
      <c r="H27">
        <v>21</v>
      </c>
      <c r="I27">
        <v>532</v>
      </c>
      <c r="J27">
        <v>2033</v>
      </c>
      <c r="K27">
        <v>342</v>
      </c>
      <c r="L27">
        <v>6</v>
      </c>
      <c r="M27">
        <v>0</v>
      </c>
      <c r="N27">
        <v>24</v>
      </c>
      <c r="O27">
        <v>208</v>
      </c>
      <c r="P27">
        <v>1410</v>
      </c>
      <c r="Q27">
        <v>1308</v>
      </c>
      <c r="R27">
        <v>48</v>
      </c>
      <c r="S27">
        <v>0</v>
      </c>
      <c r="T27">
        <v>113</v>
      </c>
    </row>
    <row r="28" spans="1:20" x14ac:dyDescent="0.25">
      <c r="A28" t="s">
        <v>307</v>
      </c>
      <c r="B28">
        <v>9</v>
      </c>
      <c r="C28">
        <v>47</v>
      </c>
      <c r="D28">
        <v>131</v>
      </c>
      <c r="E28">
        <v>4</v>
      </c>
      <c r="F28">
        <v>0</v>
      </c>
      <c r="G28">
        <v>0</v>
      </c>
      <c r="H28">
        <v>56</v>
      </c>
      <c r="I28">
        <v>529</v>
      </c>
      <c r="J28">
        <v>1470</v>
      </c>
      <c r="K28">
        <v>87</v>
      </c>
      <c r="L28">
        <v>5</v>
      </c>
      <c r="M28">
        <v>1</v>
      </c>
      <c r="N28">
        <v>21</v>
      </c>
      <c r="O28">
        <v>184</v>
      </c>
      <c r="P28">
        <v>661</v>
      </c>
      <c r="Q28">
        <v>370</v>
      </c>
      <c r="R28">
        <v>15</v>
      </c>
      <c r="S28">
        <v>1</v>
      </c>
      <c r="T28">
        <v>116</v>
      </c>
    </row>
    <row r="29" spans="1:20" x14ac:dyDescent="0.25">
      <c r="A29" t="s">
        <v>266</v>
      </c>
      <c r="B29">
        <v>187</v>
      </c>
      <c r="C29">
        <v>1670</v>
      </c>
      <c r="D29">
        <v>3000</v>
      </c>
      <c r="E29">
        <v>279</v>
      </c>
      <c r="F29">
        <v>5</v>
      </c>
      <c r="G29">
        <v>0</v>
      </c>
      <c r="H29">
        <v>1071</v>
      </c>
      <c r="I29">
        <v>11490</v>
      </c>
      <c r="J29">
        <v>28655</v>
      </c>
      <c r="K29">
        <v>4480</v>
      </c>
      <c r="L29">
        <v>129</v>
      </c>
      <c r="M29">
        <v>1</v>
      </c>
      <c r="N29">
        <v>594</v>
      </c>
      <c r="O29">
        <v>5290</v>
      </c>
      <c r="P29">
        <v>18853</v>
      </c>
      <c r="Q29">
        <v>15423</v>
      </c>
      <c r="R29">
        <v>1004</v>
      </c>
      <c r="S29">
        <v>4</v>
      </c>
      <c r="T29">
        <v>790</v>
      </c>
    </row>
    <row r="30" spans="1:20" x14ac:dyDescent="0.25">
      <c r="A30" t="s">
        <v>308</v>
      </c>
      <c r="B30">
        <v>51</v>
      </c>
      <c r="C30">
        <v>353</v>
      </c>
      <c r="D30">
        <v>538</v>
      </c>
      <c r="E30">
        <v>79</v>
      </c>
      <c r="F30">
        <v>2</v>
      </c>
      <c r="G30">
        <v>0</v>
      </c>
      <c r="H30">
        <v>156</v>
      </c>
      <c r="I30">
        <v>2165</v>
      </c>
      <c r="J30">
        <v>5841</v>
      </c>
      <c r="K30">
        <v>1384</v>
      </c>
      <c r="L30">
        <v>76</v>
      </c>
      <c r="M30">
        <v>0</v>
      </c>
      <c r="N30">
        <v>379</v>
      </c>
      <c r="O30">
        <v>1606</v>
      </c>
      <c r="P30">
        <v>4734</v>
      </c>
      <c r="Q30">
        <v>5339</v>
      </c>
      <c r="R30">
        <v>594</v>
      </c>
      <c r="S30">
        <v>2</v>
      </c>
      <c r="T30">
        <v>57</v>
      </c>
    </row>
    <row r="31" spans="1:20" x14ac:dyDescent="0.25">
      <c r="A31" t="s">
        <v>309</v>
      </c>
      <c r="B31">
        <v>136</v>
      </c>
      <c r="C31">
        <v>1317</v>
      </c>
      <c r="D31">
        <v>2462</v>
      </c>
      <c r="E31">
        <v>200</v>
      </c>
      <c r="F31">
        <v>3</v>
      </c>
      <c r="G31">
        <v>0</v>
      </c>
      <c r="H31">
        <v>915</v>
      </c>
      <c r="I31">
        <v>9325</v>
      </c>
      <c r="J31">
        <v>22814</v>
      </c>
      <c r="K31">
        <v>3096</v>
      </c>
      <c r="L31">
        <v>53</v>
      </c>
      <c r="M31">
        <v>1</v>
      </c>
      <c r="N31">
        <v>215</v>
      </c>
      <c r="O31">
        <v>3684</v>
      </c>
      <c r="P31">
        <v>14119</v>
      </c>
      <c r="Q31">
        <v>10084</v>
      </c>
      <c r="R31">
        <v>410</v>
      </c>
      <c r="S31">
        <v>2</v>
      </c>
      <c r="T31">
        <v>733</v>
      </c>
    </row>
  </sheetData>
  <mergeCells count="5">
    <mergeCell ref="A1:T1"/>
    <mergeCell ref="B2:G2"/>
    <mergeCell ref="N2:S2"/>
    <mergeCell ref="A2:A3"/>
    <mergeCell ref="H2:M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9D18E"/>
  </sheetPr>
  <dimension ref="A1:J31"/>
  <sheetViews>
    <sheetView workbookViewId="0">
      <selection sqref="A1:J1"/>
    </sheetView>
  </sheetViews>
  <sheetFormatPr defaultRowHeight="15" x14ac:dyDescent="0.25"/>
  <cols>
    <col min="1" max="1" width="29.28515625" customWidth="1"/>
    <col min="2" max="2" width="14.42578125" customWidth="1"/>
    <col min="3" max="3" width="15.28515625" customWidth="1"/>
    <col min="4" max="4" width="15.42578125" customWidth="1"/>
  </cols>
  <sheetData>
    <row r="1" spans="1:10" x14ac:dyDescent="0.25">
      <c r="A1" s="29" t="s">
        <v>492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 t="s">
        <v>252</v>
      </c>
      <c r="B2" t="s">
        <v>254</v>
      </c>
      <c r="C2" s="29" t="s">
        <v>493</v>
      </c>
      <c r="D2" s="29"/>
      <c r="E2" s="29"/>
      <c r="F2" s="29" t="s">
        <v>494</v>
      </c>
      <c r="G2" s="29"/>
      <c r="H2" s="29"/>
      <c r="I2" s="29" t="s">
        <v>495</v>
      </c>
      <c r="J2" s="29"/>
    </row>
    <row r="3" spans="1:10" x14ac:dyDescent="0.25">
      <c r="A3" s="29"/>
      <c r="B3" t="s">
        <v>313</v>
      </c>
      <c r="C3" t="s">
        <v>262</v>
      </c>
      <c r="D3" t="s">
        <v>496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  <c r="J3" t="s">
        <v>502</v>
      </c>
    </row>
    <row r="4" spans="1:10" x14ac:dyDescent="0.25">
      <c r="A4" t="s">
        <v>283</v>
      </c>
      <c r="B4">
        <v>3520</v>
      </c>
      <c r="C4">
        <v>21</v>
      </c>
      <c r="D4">
        <v>94</v>
      </c>
      <c r="E4">
        <v>732</v>
      </c>
      <c r="F4">
        <v>1042</v>
      </c>
      <c r="G4">
        <v>760</v>
      </c>
      <c r="H4">
        <v>894</v>
      </c>
      <c r="I4">
        <v>319</v>
      </c>
      <c r="J4">
        <v>268</v>
      </c>
    </row>
    <row r="5" spans="1:10" x14ac:dyDescent="0.25">
      <c r="A5" t="s">
        <v>284</v>
      </c>
      <c r="B5">
        <v>5372</v>
      </c>
      <c r="C5">
        <v>11</v>
      </c>
      <c r="D5">
        <v>229</v>
      </c>
      <c r="E5">
        <v>622</v>
      </c>
      <c r="F5">
        <v>1301</v>
      </c>
      <c r="G5">
        <v>900</v>
      </c>
      <c r="H5">
        <v>1354</v>
      </c>
      <c r="I5">
        <v>550</v>
      </c>
      <c r="J5">
        <v>350</v>
      </c>
    </row>
    <row r="6" spans="1:10" x14ac:dyDescent="0.25">
      <c r="A6" t="s">
        <v>285</v>
      </c>
      <c r="B6">
        <v>4541</v>
      </c>
      <c r="C6">
        <v>118</v>
      </c>
      <c r="D6">
        <v>257</v>
      </c>
      <c r="E6">
        <v>309</v>
      </c>
      <c r="F6">
        <v>979</v>
      </c>
      <c r="G6">
        <v>497</v>
      </c>
      <c r="H6">
        <v>667</v>
      </c>
      <c r="I6">
        <v>343</v>
      </c>
      <c r="J6">
        <v>328</v>
      </c>
    </row>
    <row r="7" spans="1:10" x14ac:dyDescent="0.25">
      <c r="A7" t="s">
        <v>286</v>
      </c>
      <c r="B7">
        <v>2415</v>
      </c>
      <c r="C7">
        <v>6</v>
      </c>
      <c r="D7">
        <v>67</v>
      </c>
      <c r="E7">
        <v>337</v>
      </c>
      <c r="F7">
        <v>481</v>
      </c>
      <c r="G7">
        <v>374</v>
      </c>
      <c r="H7">
        <v>376</v>
      </c>
      <c r="I7">
        <v>233</v>
      </c>
      <c r="J7">
        <v>146</v>
      </c>
    </row>
    <row r="8" spans="1:10" x14ac:dyDescent="0.25">
      <c r="A8" t="s">
        <v>287</v>
      </c>
      <c r="B8">
        <v>3273</v>
      </c>
      <c r="C8">
        <v>8</v>
      </c>
      <c r="D8">
        <v>143</v>
      </c>
      <c r="E8">
        <v>176</v>
      </c>
      <c r="F8">
        <v>1022</v>
      </c>
      <c r="G8">
        <v>608</v>
      </c>
      <c r="H8">
        <v>823</v>
      </c>
      <c r="I8">
        <v>351</v>
      </c>
      <c r="J8">
        <v>260</v>
      </c>
    </row>
    <row r="9" spans="1:10" x14ac:dyDescent="0.25">
      <c r="A9" t="s">
        <v>288</v>
      </c>
      <c r="B9">
        <v>3503</v>
      </c>
      <c r="C9">
        <v>13</v>
      </c>
      <c r="D9">
        <v>102</v>
      </c>
      <c r="E9">
        <v>438</v>
      </c>
      <c r="F9">
        <v>738</v>
      </c>
      <c r="G9">
        <v>405</v>
      </c>
      <c r="H9">
        <v>466</v>
      </c>
      <c r="I9">
        <v>371</v>
      </c>
      <c r="J9">
        <v>345</v>
      </c>
    </row>
    <row r="10" spans="1:10" x14ac:dyDescent="0.25">
      <c r="A10" t="s">
        <v>289</v>
      </c>
      <c r="B10">
        <v>3120</v>
      </c>
      <c r="C10">
        <v>5</v>
      </c>
      <c r="D10">
        <v>129</v>
      </c>
      <c r="E10">
        <v>298</v>
      </c>
      <c r="F10">
        <v>792</v>
      </c>
      <c r="G10">
        <v>495</v>
      </c>
      <c r="H10">
        <v>435</v>
      </c>
      <c r="I10">
        <v>368</v>
      </c>
      <c r="J10">
        <v>285</v>
      </c>
    </row>
    <row r="11" spans="1:10" x14ac:dyDescent="0.25">
      <c r="A11" t="s">
        <v>290</v>
      </c>
      <c r="B11">
        <v>5051</v>
      </c>
      <c r="C11">
        <v>36</v>
      </c>
      <c r="D11">
        <v>288</v>
      </c>
      <c r="E11">
        <v>405</v>
      </c>
      <c r="F11">
        <v>1019</v>
      </c>
      <c r="G11">
        <v>715</v>
      </c>
      <c r="H11">
        <v>818</v>
      </c>
      <c r="I11">
        <v>422</v>
      </c>
      <c r="J11">
        <v>343</v>
      </c>
    </row>
    <row r="12" spans="1:10" x14ac:dyDescent="0.25">
      <c r="A12" t="s">
        <v>291</v>
      </c>
      <c r="B12">
        <v>252</v>
      </c>
      <c r="C12">
        <v>7</v>
      </c>
      <c r="D12">
        <v>5</v>
      </c>
      <c r="E12">
        <v>30</v>
      </c>
      <c r="F12">
        <v>49</v>
      </c>
      <c r="G12">
        <v>30</v>
      </c>
      <c r="H12">
        <v>38</v>
      </c>
      <c r="I12">
        <v>17</v>
      </c>
      <c r="J12">
        <v>19</v>
      </c>
    </row>
    <row r="13" spans="1:10" x14ac:dyDescent="0.25">
      <c r="A13" t="s">
        <v>292</v>
      </c>
      <c r="B13">
        <v>726</v>
      </c>
      <c r="C13">
        <v>0</v>
      </c>
      <c r="D13">
        <v>52</v>
      </c>
      <c r="E13">
        <v>127</v>
      </c>
      <c r="F13">
        <v>115</v>
      </c>
      <c r="G13">
        <v>93</v>
      </c>
      <c r="H13">
        <v>162</v>
      </c>
      <c r="I13">
        <v>47</v>
      </c>
      <c r="J13">
        <v>42</v>
      </c>
    </row>
    <row r="14" spans="1:10" x14ac:dyDescent="0.25">
      <c r="A14" t="s">
        <v>293</v>
      </c>
      <c r="B14">
        <v>1882</v>
      </c>
      <c r="C14">
        <v>54</v>
      </c>
      <c r="D14">
        <v>44</v>
      </c>
      <c r="E14">
        <v>196</v>
      </c>
      <c r="F14">
        <v>415</v>
      </c>
      <c r="G14">
        <v>301</v>
      </c>
      <c r="H14">
        <v>408</v>
      </c>
      <c r="I14">
        <v>170</v>
      </c>
      <c r="J14">
        <v>104</v>
      </c>
    </row>
    <row r="15" spans="1:10" x14ac:dyDescent="0.25">
      <c r="A15" t="s">
        <v>294</v>
      </c>
      <c r="B15">
        <v>502</v>
      </c>
      <c r="C15">
        <v>2</v>
      </c>
      <c r="D15">
        <v>16</v>
      </c>
      <c r="E15">
        <v>136</v>
      </c>
      <c r="F15">
        <v>116</v>
      </c>
      <c r="G15">
        <v>67</v>
      </c>
      <c r="H15">
        <v>82</v>
      </c>
      <c r="I15">
        <v>19</v>
      </c>
      <c r="J15">
        <v>12</v>
      </c>
    </row>
    <row r="16" spans="1:10" x14ac:dyDescent="0.25">
      <c r="A16" t="s">
        <v>295</v>
      </c>
      <c r="B16">
        <v>1309</v>
      </c>
      <c r="C16">
        <v>15</v>
      </c>
      <c r="D16">
        <v>22</v>
      </c>
      <c r="E16">
        <v>327</v>
      </c>
      <c r="F16">
        <v>253</v>
      </c>
      <c r="G16">
        <v>172</v>
      </c>
      <c r="H16">
        <v>261</v>
      </c>
      <c r="I16">
        <v>144</v>
      </c>
      <c r="J16">
        <v>52</v>
      </c>
    </row>
    <row r="17" spans="1:10" x14ac:dyDescent="0.25">
      <c r="A17" t="s">
        <v>296</v>
      </c>
      <c r="B17">
        <v>357</v>
      </c>
      <c r="C17">
        <v>0</v>
      </c>
      <c r="D17">
        <v>19</v>
      </c>
      <c r="E17">
        <v>168</v>
      </c>
      <c r="F17">
        <v>47</v>
      </c>
      <c r="G17">
        <v>18</v>
      </c>
      <c r="H17">
        <v>51</v>
      </c>
      <c r="I17">
        <v>28</v>
      </c>
      <c r="J17">
        <v>21</v>
      </c>
    </row>
    <row r="18" spans="1:10" x14ac:dyDescent="0.25">
      <c r="A18" t="s">
        <v>297</v>
      </c>
      <c r="B18">
        <v>3825</v>
      </c>
      <c r="C18">
        <v>18</v>
      </c>
      <c r="D18">
        <v>584</v>
      </c>
      <c r="E18">
        <v>246</v>
      </c>
      <c r="F18">
        <v>732</v>
      </c>
      <c r="G18">
        <v>556</v>
      </c>
      <c r="H18">
        <v>1149</v>
      </c>
      <c r="I18">
        <v>227</v>
      </c>
      <c r="J18">
        <v>219</v>
      </c>
    </row>
    <row r="19" spans="1:10" x14ac:dyDescent="0.25">
      <c r="A19" t="s">
        <v>298</v>
      </c>
      <c r="B19">
        <v>864</v>
      </c>
      <c r="C19">
        <v>0</v>
      </c>
      <c r="D19">
        <v>88</v>
      </c>
      <c r="E19">
        <v>518</v>
      </c>
      <c r="F19">
        <v>162</v>
      </c>
      <c r="G19">
        <v>117</v>
      </c>
      <c r="H19">
        <v>145</v>
      </c>
      <c r="I19">
        <v>77</v>
      </c>
      <c r="J19">
        <v>61</v>
      </c>
    </row>
    <row r="20" spans="1:10" x14ac:dyDescent="0.25">
      <c r="A20" t="s">
        <v>299</v>
      </c>
      <c r="B20">
        <v>1431</v>
      </c>
      <c r="C20">
        <v>4</v>
      </c>
      <c r="D20">
        <v>47</v>
      </c>
      <c r="E20">
        <v>428</v>
      </c>
      <c r="F20">
        <v>375</v>
      </c>
      <c r="G20">
        <v>147</v>
      </c>
      <c r="H20">
        <v>252</v>
      </c>
      <c r="I20">
        <v>95</v>
      </c>
      <c r="J20">
        <v>73</v>
      </c>
    </row>
    <row r="21" spans="1:10" x14ac:dyDescent="0.25">
      <c r="A21" t="s">
        <v>300</v>
      </c>
      <c r="B21">
        <v>5236</v>
      </c>
      <c r="C21">
        <v>12</v>
      </c>
      <c r="D21">
        <v>181</v>
      </c>
      <c r="E21">
        <v>548</v>
      </c>
      <c r="F21">
        <v>1213</v>
      </c>
      <c r="G21">
        <v>812</v>
      </c>
      <c r="H21">
        <v>958</v>
      </c>
      <c r="I21">
        <v>572</v>
      </c>
      <c r="J21">
        <v>346</v>
      </c>
    </row>
    <row r="22" spans="1:10" x14ac:dyDescent="0.25">
      <c r="A22" t="s">
        <v>301</v>
      </c>
      <c r="B22">
        <v>2308</v>
      </c>
      <c r="C22">
        <v>4</v>
      </c>
      <c r="D22">
        <v>117</v>
      </c>
      <c r="E22">
        <v>119</v>
      </c>
      <c r="F22">
        <v>402</v>
      </c>
      <c r="G22">
        <v>312</v>
      </c>
      <c r="H22">
        <v>353</v>
      </c>
      <c r="I22">
        <v>243</v>
      </c>
      <c r="J22">
        <v>134</v>
      </c>
    </row>
    <row r="23" spans="1:10" x14ac:dyDescent="0.25">
      <c r="A23" t="s">
        <v>302</v>
      </c>
      <c r="B23">
        <v>1082</v>
      </c>
      <c r="C23">
        <v>0</v>
      </c>
      <c r="D23">
        <v>71</v>
      </c>
      <c r="E23">
        <v>287</v>
      </c>
      <c r="F23">
        <v>220</v>
      </c>
      <c r="G23">
        <v>147</v>
      </c>
      <c r="H23">
        <v>189</v>
      </c>
      <c r="I23">
        <v>69</v>
      </c>
      <c r="J23">
        <v>98</v>
      </c>
    </row>
    <row r="24" spans="1:10" x14ac:dyDescent="0.25">
      <c r="A24" t="s">
        <v>303</v>
      </c>
      <c r="B24">
        <v>4933</v>
      </c>
      <c r="C24">
        <v>87</v>
      </c>
      <c r="D24">
        <v>144</v>
      </c>
      <c r="E24">
        <v>526</v>
      </c>
      <c r="F24">
        <v>1186</v>
      </c>
      <c r="G24">
        <v>758</v>
      </c>
      <c r="H24">
        <v>750</v>
      </c>
      <c r="I24">
        <v>515</v>
      </c>
      <c r="J24">
        <v>469</v>
      </c>
    </row>
    <row r="25" spans="1:10" x14ac:dyDescent="0.25">
      <c r="A25" t="s">
        <v>304</v>
      </c>
      <c r="B25">
        <v>883</v>
      </c>
      <c r="C25">
        <v>2</v>
      </c>
      <c r="D25">
        <v>27</v>
      </c>
      <c r="E25">
        <v>239</v>
      </c>
      <c r="F25">
        <v>164</v>
      </c>
      <c r="G25">
        <v>191</v>
      </c>
      <c r="H25">
        <v>211</v>
      </c>
      <c r="I25">
        <v>61</v>
      </c>
      <c r="J25">
        <v>65</v>
      </c>
    </row>
    <row r="26" spans="1:10" x14ac:dyDescent="0.25">
      <c r="A26" t="s">
        <v>305</v>
      </c>
      <c r="B26">
        <v>2794</v>
      </c>
      <c r="C26">
        <v>9</v>
      </c>
      <c r="D26">
        <v>99</v>
      </c>
      <c r="E26">
        <v>233</v>
      </c>
      <c r="F26">
        <v>635</v>
      </c>
      <c r="G26">
        <v>279</v>
      </c>
      <c r="H26">
        <v>459</v>
      </c>
      <c r="I26">
        <v>206</v>
      </c>
      <c r="J26">
        <v>166</v>
      </c>
    </row>
    <row r="27" spans="1:10" x14ac:dyDescent="0.25">
      <c r="A27" t="s">
        <v>306</v>
      </c>
      <c r="B27">
        <v>5165</v>
      </c>
      <c r="C27">
        <v>87</v>
      </c>
      <c r="D27">
        <v>212</v>
      </c>
      <c r="E27">
        <v>372</v>
      </c>
      <c r="F27">
        <v>1812</v>
      </c>
      <c r="G27">
        <v>1171</v>
      </c>
      <c r="H27">
        <v>1488</v>
      </c>
      <c r="I27">
        <v>482</v>
      </c>
      <c r="J27">
        <v>451</v>
      </c>
    </row>
    <row r="28" spans="1:10" x14ac:dyDescent="0.25">
      <c r="A28" t="s">
        <v>307</v>
      </c>
      <c r="B28">
        <v>3450</v>
      </c>
      <c r="C28">
        <v>24</v>
      </c>
      <c r="D28">
        <v>252</v>
      </c>
      <c r="E28">
        <v>391</v>
      </c>
      <c r="F28">
        <v>982</v>
      </c>
      <c r="G28">
        <v>778</v>
      </c>
      <c r="H28">
        <v>642</v>
      </c>
      <c r="I28">
        <v>280</v>
      </c>
      <c r="J28">
        <v>214</v>
      </c>
    </row>
    <row r="29" spans="1:10" x14ac:dyDescent="0.25">
      <c r="A29" t="s">
        <v>266</v>
      </c>
      <c r="B29">
        <v>67794</v>
      </c>
      <c r="C29">
        <v>543</v>
      </c>
      <c r="D29">
        <v>3289</v>
      </c>
      <c r="E29">
        <v>8208</v>
      </c>
      <c r="F29">
        <v>16252</v>
      </c>
      <c r="G29">
        <v>10703</v>
      </c>
      <c r="H29">
        <v>13431</v>
      </c>
      <c r="I29">
        <v>6209</v>
      </c>
      <c r="J29">
        <v>4871</v>
      </c>
    </row>
    <row r="30" spans="1:10" x14ac:dyDescent="0.25">
      <c r="A30" t="s">
        <v>308</v>
      </c>
      <c r="B30">
        <v>11289</v>
      </c>
      <c r="C30">
        <v>79</v>
      </c>
      <c r="D30">
        <v>926</v>
      </c>
      <c r="E30">
        <v>2142</v>
      </c>
      <c r="F30">
        <v>2273</v>
      </c>
      <c r="G30">
        <v>1664</v>
      </c>
      <c r="H30">
        <v>2309</v>
      </c>
      <c r="I30">
        <v>770</v>
      </c>
      <c r="J30">
        <v>679</v>
      </c>
    </row>
    <row r="31" spans="1:10" x14ac:dyDescent="0.25">
      <c r="A31" t="s">
        <v>309</v>
      </c>
      <c r="B31">
        <v>56505</v>
      </c>
      <c r="C31">
        <v>464</v>
      </c>
      <c r="D31">
        <v>2363</v>
      </c>
      <c r="E31">
        <v>6066</v>
      </c>
      <c r="F31">
        <v>13979</v>
      </c>
      <c r="G31">
        <v>9039</v>
      </c>
      <c r="H31">
        <v>11122</v>
      </c>
      <c r="I31">
        <v>5439</v>
      </c>
      <c r="J31">
        <v>4192</v>
      </c>
    </row>
  </sheetData>
  <mergeCells count="5">
    <mergeCell ref="C2:E2"/>
    <mergeCell ref="A1:J1"/>
    <mergeCell ref="I2:J2"/>
    <mergeCell ref="F2:H2"/>
    <mergeCell ref="A2:A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A9D18E"/>
  </sheetPr>
  <dimension ref="A1:N31"/>
  <sheetViews>
    <sheetView workbookViewId="0">
      <selection sqref="A1:N1"/>
    </sheetView>
  </sheetViews>
  <sheetFormatPr defaultRowHeight="15" x14ac:dyDescent="0.25"/>
  <cols>
    <col min="1" max="1" width="28.140625" customWidth="1"/>
    <col min="2" max="2" width="10" customWidth="1"/>
    <col min="3" max="3" width="10.140625" customWidth="1"/>
    <col min="6" max="6" width="10" customWidth="1"/>
    <col min="7" max="7" width="10.140625" customWidth="1"/>
    <col min="8" max="8" width="12" customWidth="1"/>
    <col min="9" max="9" width="11.85546875" customWidth="1"/>
    <col min="10" max="10" width="11.140625" customWidth="1"/>
    <col min="11" max="11" width="10.140625" customWidth="1"/>
    <col min="12" max="12" width="14.140625" customWidth="1"/>
    <col min="13" max="13" width="8.7109375" customWidth="1"/>
    <col min="14" max="14" width="10" customWidth="1"/>
  </cols>
  <sheetData>
    <row r="1" spans="1:14" x14ac:dyDescent="0.25">
      <c r="A1" s="29" t="s">
        <v>503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252</v>
      </c>
      <c r="B2" s="29" t="s">
        <v>504</v>
      </c>
      <c r="C2" s="29"/>
      <c r="D2" s="29"/>
      <c r="E2" s="29"/>
      <c r="F2" t="s">
        <v>505</v>
      </c>
      <c r="G2" t="s">
        <v>506</v>
      </c>
      <c r="H2" s="29" t="s">
        <v>507</v>
      </c>
      <c r="I2" s="29"/>
      <c r="J2" s="29" t="s">
        <v>508</v>
      </c>
      <c r="K2" s="29"/>
      <c r="L2" s="29"/>
      <c r="M2" s="29"/>
      <c r="N2" s="29"/>
    </row>
    <row r="3" spans="1:14" x14ac:dyDescent="0.25">
      <c r="A3" s="29"/>
      <c r="B3" t="s">
        <v>509</v>
      </c>
      <c r="C3" t="s">
        <v>510</v>
      </c>
      <c r="D3" t="s">
        <v>263</v>
      </c>
      <c r="E3" t="s">
        <v>265</v>
      </c>
      <c r="F3" t="s">
        <v>475</v>
      </c>
      <c r="G3" t="s">
        <v>511</v>
      </c>
      <c r="H3" t="s">
        <v>512</v>
      </c>
      <c r="I3" t="s">
        <v>513</v>
      </c>
      <c r="J3" t="s">
        <v>514</v>
      </c>
      <c r="K3" t="s">
        <v>515</v>
      </c>
      <c r="L3" t="s">
        <v>516</v>
      </c>
      <c r="M3" t="s">
        <v>517</v>
      </c>
      <c r="N3" t="s">
        <v>518</v>
      </c>
    </row>
    <row r="4" spans="1:14" x14ac:dyDescent="0.25">
      <c r="A4" t="s">
        <v>283</v>
      </c>
      <c r="B4">
        <v>757</v>
      </c>
      <c r="C4">
        <v>587</v>
      </c>
      <c r="D4">
        <v>5</v>
      </c>
      <c r="E4">
        <v>1</v>
      </c>
      <c r="F4">
        <v>5</v>
      </c>
      <c r="G4">
        <v>4</v>
      </c>
      <c r="H4">
        <v>23998</v>
      </c>
      <c r="I4">
        <v>6054011</v>
      </c>
      <c r="J4">
        <v>28</v>
      </c>
      <c r="K4">
        <v>108</v>
      </c>
      <c r="L4">
        <v>17</v>
      </c>
      <c r="M4">
        <v>12</v>
      </c>
      <c r="N4">
        <v>118</v>
      </c>
    </row>
    <row r="5" spans="1:14" x14ac:dyDescent="0.25">
      <c r="A5" t="s">
        <v>284</v>
      </c>
      <c r="B5">
        <v>1073</v>
      </c>
      <c r="C5">
        <v>1019</v>
      </c>
      <c r="D5">
        <v>5</v>
      </c>
      <c r="E5">
        <v>1</v>
      </c>
      <c r="F5">
        <v>0</v>
      </c>
      <c r="G5">
        <v>2</v>
      </c>
      <c r="H5">
        <v>28343</v>
      </c>
      <c r="I5">
        <v>6290281</v>
      </c>
      <c r="J5">
        <v>29</v>
      </c>
      <c r="K5">
        <v>100</v>
      </c>
      <c r="L5">
        <v>23</v>
      </c>
      <c r="M5">
        <v>76</v>
      </c>
      <c r="N5">
        <v>819</v>
      </c>
    </row>
    <row r="6" spans="1:14" x14ac:dyDescent="0.25">
      <c r="A6" t="s">
        <v>285</v>
      </c>
      <c r="B6">
        <v>608</v>
      </c>
      <c r="C6">
        <v>518</v>
      </c>
      <c r="D6">
        <v>7</v>
      </c>
      <c r="E6">
        <v>2</v>
      </c>
      <c r="F6">
        <v>2</v>
      </c>
      <c r="G6">
        <v>0</v>
      </c>
      <c r="H6">
        <v>19439</v>
      </c>
      <c r="I6">
        <v>5125731</v>
      </c>
      <c r="J6">
        <v>16</v>
      </c>
      <c r="K6">
        <v>70</v>
      </c>
      <c r="L6">
        <v>7</v>
      </c>
      <c r="M6">
        <v>14</v>
      </c>
      <c r="N6">
        <v>570</v>
      </c>
    </row>
    <row r="7" spans="1:14" x14ac:dyDescent="0.25">
      <c r="A7" t="s">
        <v>286</v>
      </c>
      <c r="B7">
        <v>447</v>
      </c>
      <c r="C7">
        <v>399</v>
      </c>
      <c r="D7">
        <v>6</v>
      </c>
      <c r="E7">
        <v>1</v>
      </c>
      <c r="F7">
        <v>1</v>
      </c>
      <c r="G7">
        <v>0</v>
      </c>
      <c r="H7">
        <v>21552</v>
      </c>
      <c r="I7">
        <v>5607584</v>
      </c>
      <c r="J7">
        <v>19</v>
      </c>
      <c r="K7">
        <v>63</v>
      </c>
      <c r="L7">
        <v>14</v>
      </c>
      <c r="M7">
        <v>14</v>
      </c>
      <c r="N7">
        <v>294</v>
      </c>
    </row>
    <row r="8" spans="1:14" x14ac:dyDescent="0.25">
      <c r="A8" t="s">
        <v>287</v>
      </c>
      <c r="B8">
        <v>579</v>
      </c>
      <c r="C8">
        <v>571</v>
      </c>
      <c r="D8">
        <v>6</v>
      </c>
      <c r="E8">
        <v>1</v>
      </c>
      <c r="F8">
        <v>4</v>
      </c>
      <c r="G8">
        <v>0</v>
      </c>
      <c r="H8">
        <v>19403</v>
      </c>
      <c r="I8">
        <v>5460059</v>
      </c>
      <c r="J8">
        <v>13</v>
      </c>
      <c r="K8">
        <v>105</v>
      </c>
      <c r="L8">
        <v>7</v>
      </c>
      <c r="M8">
        <v>22</v>
      </c>
      <c r="N8">
        <v>551</v>
      </c>
    </row>
    <row r="9" spans="1:14" x14ac:dyDescent="0.25">
      <c r="A9" t="s">
        <v>288</v>
      </c>
      <c r="B9">
        <v>732</v>
      </c>
      <c r="C9">
        <v>631</v>
      </c>
      <c r="D9">
        <v>6</v>
      </c>
      <c r="E9">
        <v>2</v>
      </c>
      <c r="F9">
        <v>6</v>
      </c>
      <c r="G9">
        <v>2</v>
      </c>
      <c r="H9">
        <v>23691</v>
      </c>
      <c r="I9">
        <v>5284649</v>
      </c>
      <c r="J9">
        <v>24</v>
      </c>
      <c r="K9">
        <v>199</v>
      </c>
      <c r="L9">
        <v>13</v>
      </c>
      <c r="M9">
        <v>20</v>
      </c>
      <c r="N9">
        <v>463</v>
      </c>
    </row>
    <row r="10" spans="1:14" x14ac:dyDescent="0.25">
      <c r="A10" t="s">
        <v>289</v>
      </c>
      <c r="B10">
        <v>582</v>
      </c>
      <c r="C10">
        <v>530</v>
      </c>
      <c r="D10">
        <v>6</v>
      </c>
      <c r="E10">
        <v>1</v>
      </c>
      <c r="F10">
        <v>1</v>
      </c>
      <c r="G10">
        <v>0</v>
      </c>
      <c r="H10">
        <v>20891</v>
      </c>
      <c r="I10">
        <v>5352721</v>
      </c>
      <c r="J10">
        <v>3</v>
      </c>
      <c r="K10">
        <v>49</v>
      </c>
      <c r="L10">
        <v>3</v>
      </c>
      <c r="M10">
        <v>10</v>
      </c>
      <c r="N10">
        <v>207</v>
      </c>
    </row>
    <row r="11" spans="1:14" x14ac:dyDescent="0.25">
      <c r="A11" t="s">
        <v>290</v>
      </c>
      <c r="B11">
        <v>732</v>
      </c>
      <c r="C11">
        <v>611</v>
      </c>
      <c r="D11">
        <v>6</v>
      </c>
      <c r="E11">
        <v>1</v>
      </c>
      <c r="F11">
        <v>50</v>
      </c>
      <c r="G11">
        <v>0</v>
      </c>
      <c r="H11">
        <v>18165</v>
      </c>
      <c r="I11">
        <v>7462739</v>
      </c>
      <c r="J11">
        <v>4</v>
      </c>
      <c r="K11">
        <v>9</v>
      </c>
      <c r="L11">
        <v>3</v>
      </c>
      <c r="M11">
        <v>2</v>
      </c>
      <c r="N11">
        <v>230</v>
      </c>
    </row>
    <row r="12" spans="1:14" x14ac:dyDescent="0.25">
      <c r="A12" t="s">
        <v>291</v>
      </c>
      <c r="B12">
        <v>36</v>
      </c>
      <c r="C12">
        <v>32</v>
      </c>
      <c r="D12">
        <v>6</v>
      </c>
      <c r="E12">
        <v>1</v>
      </c>
      <c r="F12">
        <v>0</v>
      </c>
      <c r="G12">
        <v>0</v>
      </c>
      <c r="H12">
        <v>27211</v>
      </c>
      <c r="I12">
        <v>4173463</v>
      </c>
      <c r="J12">
        <v>0</v>
      </c>
      <c r="K12">
        <v>0</v>
      </c>
      <c r="L12">
        <v>0</v>
      </c>
      <c r="M12">
        <v>0</v>
      </c>
      <c r="N12">
        <v>40</v>
      </c>
    </row>
    <row r="13" spans="1:14" x14ac:dyDescent="0.25">
      <c r="A13" t="s">
        <v>292</v>
      </c>
      <c r="B13">
        <v>154</v>
      </c>
      <c r="C13">
        <v>149</v>
      </c>
      <c r="D13">
        <v>6</v>
      </c>
      <c r="E13">
        <v>2</v>
      </c>
      <c r="F13">
        <v>0</v>
      </c>
      <c r="G13">
        <v>0</v>
      </c>
      <c r="H13">
        <v>43337</v>
      </c>
      <c r="I13">
        <v>6689647</v>
      </c>
      <c r="J13">
        <v>1</v>
      </c>
      <c r="K13">
        <v>9</v>
      </c>
      <c r="L13">
        <v>1</v>
      </c>
      <c r="M13">
        <v>1</v>
      </c>
      <c r="N13">
        <v>91</v>
      </c>
    </row>
    <row r="14" spans="1:14" x14ac:dyDescent="0.25">
      <c r="A14" t="s">
        <v>293</v>
      </c>
      <c r="B14">
        <v>379</v>
      </c>
      <c r="C14">
        <v>339</v>
      </c>
      <c r="D14">
        <v>5</v>
      </c>
      <c r="E14">
        <v>2</v>
      </c>
      <c r="F14">
        <v>11</v>
      </c>
      <c r="G14">
        <v>0</v>
      </c>
      <c r="H14">
        <v>21098</v>
      </c>
      <c r="I14">
        <v>4850518</v>
      </c>
      <c r="J14">
        <v>6</v>
      </c>
      <c r="K14">
        <v>27</v>
      </c>
      <c r="L14">
        <v>11</v>
      </c>
      <c r="M14">
        <v>6</v>
      </c>
      <c r="N14">
        <v>247</v>
      </c>
    </row>
    <row r="15" spans="1:14" x14ac:dyDescent="0.25">
      <c r="A15" t="s">
        <v>294</v>
      </c>
      <c r="B15">
        <v>113</v>
      </c>
      <c r="C15">
        <v>108</v>
      </c>
      <c r="D15">
        <v>6</v>
      </c>
      <c r="E15">
        <v>2</v>
      </c>
      <c r="F15">
        <v>0</v>
      </c>
      <c r="G15">
        <v>0</v>
      </c>
      <c r="H15">
        <v>24893</v>
      </c>
      <c r="I15">
        <v>4295864</v>
      </c>
      <c r="J15">
        <v>1</v>
      </c>
      <c r="K15">
        <v>5</v>
      </c>
      <c r="L15">
        <v>2</v>
      </c>
      <c r="M15">
        <v>0</v>
      </c>
      <c r="N15">
        <v>69</v>
      </c>
    </row>
    <row r="16" spans="1:14" x14ac:dyDescent="0.25">
      <c r="A16" t="s">
        <v>295</v>
      </c>
      <c r="B16">
        <v>309</v>
      </c>
      <c r="C16">
        <v>278</v>
      </c>
      <c r="D16">
        <v>5</v>
      </c>
      <c r="E16">
        <v>1</v>
      </c>
      <c r="F16">
        <v>0</v>
      </c>
      <c r="G16">
        <v>0</v>
      </c>
      <c r="H16">
        <v>32003</v>
      </c>
      <c r="I16">
        <v>4694234</v>
      </c>
      <c r="J16">
        <v>14</v>
      </c>
      <c r="K16">
        <v>35</v>
      </c>
      <c r="L16">
        <v>8</v>
      </c>
      <c r="M16">
        <v>57</v>
      </c>
      <c r="N16">
        <v>198</v>
      </c>
    </row>
    <row r="17" spans="1:14" x14ac:dyDescent="0.25">
      <c r="A17" t="s">
        <v>296</v>
      </c>
      <c r="B17">
        <v>79</v>
      </c>
      <c r="C17">
        <v>71</v>
      </c>
      <c r="D17">
        <v>4</v>
      </c>
      <c r="E17">
        <v>1</v>
      </c>
      <c r="F17">
        <v>0</v>
      </c>
      <c r="G17">
        <v>0</v>
      </c>
      <c r="H17">
        <v>28115</v>
      </c>
      <c r="I17">
        <v>5601586</v>
      </c>
      <c r="J17">
        <v>1</v>
      </c>
      <c r="K17">
        <v>3</v>
      </c>
      <c r="L17">
        <v>1</v>
      </c>
      <c r="M17">
        <v>1</v>
      </c>
      <c r="N17">
        <v>4</v>
      </c>
    </row>
    <row r="18" spans="1:14" x14ac:dyDescent="0.25">
      <c r="A18" t="s">
        <v>297</v>
      </c>
      <c r="B18">
        <v>318</v>
      </c>
      <c r="C18">
        <v>311</v>
      </c>
      <c r="D18">
        <v>8</v>
      </c>
      <c r="E18">
        <v>2</v>
      </c>
      <c r="F18">
        <v>0</v>
      </c>
      <c r="G18">
        <v>0</v>
      </c>
      <c r="H18">
        <v>16114</v>
      </c>
      <c r="I18">
        <v>9843228</v>
      </c>
      <c r="J18">
        <v>23</v>
      </c>
      <c r="K18">
        <v>105</v>
      </c>
      <c r="L18">
        <v>8</v>
      </c>
      <c r="M18">
        <v>4</v>
      </c>
      <c r="N18">
        <v>117</v>
      </c>
    </row>
    <row r="19" spans="1:14" x14ac:dyDescent="0.25">
      <c r="A19" t="s">
        <v>298</v>
      </c>
      <c r="B19">
        <v>131</v>
      </c>
      <c r="C19">
        <v>124</v>
      </c>
      <c r="D19">
        <v>6</v>
      </c>
      <c r="E19">
        <v>1</v>
      </c>
      <c r="F19">
        <v>1</v>
      </c>
      <c r="G19">
        <v>0</v>
      </c>
      <c r="H19">
        <v>26096</v>
      </c>
      <c r="I19">
        <v>8754226</v>
      </c>
      <c r="J19">
        <v>2</v>
      </c>
      <c r="K19">
        <v>3</v>
      </c>
      <c r="L19">
        <v>0</v>
      </c>
      <c r="M19">
        <v>0</v>
      </c>
      <c r="N19">
        <v>0</v>
      </c>
    </row>
    <row r="20" spans="1:14" x14ac:dyDescent="0.25">
      <c r="A20" t="s">
        <v>299</v>
      </c>
      <c r="B20">
        <v>371</v>
      </c>
      <c r="C20">
        <v>303</v>
      </c>
      <c r="D20">
        <v>7</v>
      </c>
      <c r="E20">
        <v>2</v>
      </c>
      <c r="F20">
        <v>2</v>
      </c>
      <c r="G20">
        <v>0</v>
      </c>
      <c r="H20">
        <v>28480</v>
      </c>
      <c r="I20">
        <v>4750311</v>
      </c>
      <c r="J20">
        <v>1</v>
      </c>
      <c r="K20">
        <v>13</v>
      </c>
      <c r="L20">
        <v>8</v>
      </c>
      <c r="M20">
        <v>1</v>
      </c>
      <c r="N20">
        <v>146</v>
      </c>
    </row>
    <row r="21" spans="1:14" x14ac:dyDescent="0.25">
      <c r="A21" t="s">
        <v>300</v>
      </c>
      <c r="B21">
        <v>893</v>
      </c>
      <c r="C21">
        <v>734</v>
      </c>
      <c r="D21">
        <v>6</v>
      </c>
      <c r="E21">
        <v>1</v>
      </c>
      <c r="F21">
        <v>0</v>
      </c>
      <c r="G21">
        <v>0</v>
      </c>
      <c r="H21">
        <v>22990</v>
      </c>
      <c r="I21">
        <v>5969788</v>
      </c>
      <c r="J21">
        <v>21</v>
      </c>
      <c r="K21">
        <v>203</v>
      </c>
      <c r="L21">
        <v>22</v>
      </c>
      <c r="M21">
        <v>16</v>
      </c>
      <c r="N21">
        <v>507</v>
      </c>
    </row>
    <row r="22" spans="1:14" x14ac:dyDescent="0.25">
      <c r="A22" t="s">
        <v>301</v>
      </c>
      <c r="B22">
        <v>467</v>
      </c>
      <c r="C22">
        <v>461</v>
      </c>
      <c r="D22">
        <v>5</v>
      </c>
      <c r="E22">
        <v>1</v>
      </c>
      <c r="F22">
        <v>7</v>
      </c>
      <c r="G22">
        <v>0</v>
      </c>
      <c r="H22">
        <v>22500</v>
      </c>
      <c r="I22">
        <v>3998854</v>
      </c>
      <c r="J22">
        <v>8</v>
      </c>
      <c r="K22">
        <v>56</v>
      </c>
      <c r="L22">
        <v>8</v>
      </c>
      <c r="M22">
        <v>9</v>
      </c>
      <c r="N22">
        <v>473</v>
      </c>
    </row>
    <row r="23" spans="1:14" x14ac:dyDescent="0.25">
      <c r="A23" t="s">
        <v>302</v>
      </c>
      <c r="B23">
        <v>273</v>
      </c>
      <c r="C23">
        <v>250</v>
      </c>
      <c r="D23">
        <v>6</v>
      </c>
      <c r="E23">
        <v>1</v>
      </c>
      <c r="F23">
        <v>18</v>
      </c>
      <c r="G23">
        <v>0</v>
      </c>
      <c r="H23">
        <v>25898</v>
      </c>
      <c r="I23">
        <v>5137897</v>
      </c>
      <c r="J23">
        <v>3</v>
      </c>
      <c r="K23">
        <v>5</v>
      </c>
      <c r="L23">
        <v>1</v>
      </c>
      <c r="M23">
        <v>6</v>
      </c>
      <c r="N23">
        <v>101</v>
      </c>
    </row>
    <row r="24" spans="1:14" x14ac:dyDescent="0.25">
      <c r="A24" t="s">
        <v>303</v>
      </c>
      <c r="B24">
        <v>762</v>
      </c>
      <c r="C24">
        <v>691</v>
      </c>
      <c r="D24">
        <v>8</v>
      </c>
      <c r="E24">
        <v>2</v>
      </c>
      <c r="F24">
        <v>6</v>
      </c>
      <c r="G24">
        <v>8</v>
      </c>
      <c r="H24">
        <v>22431</v>
      </c>
      <c r="I24">
        <v>5787969</v>
      </c>
      <c r="J24">
        <v>24</v>
      </c>
      <c r="K24">
        <v>92</v>
      </c>
      <c r="L24">
        <v>29</v>
      </c>
      <c r="M24">
        <v>35</v>
      </c>
      <c r="N24">
        <v>722</v>
      </c>
    </row>
    <row r="25" spans="1:14" x14ac:dyDescent="0.25">
      <c r="A25" t="s">
        <v>304</v>
      </c>
      <c r="B25">
        <v>198</v>
      </c>
      <c r="C25">
        <v>175</v>
      </c>
      <c r="D25">
        <v>5</v>
      </c>
      <c r="E25">
        <v>2</v>
      </c>
      <c r="F25">
        <v>20</v>
      </c>
      <c r="G25">
        <v>0</v>
      </c>
      <c r="H25">
        <v>43985</v>
      </c>
      <c r="I25">
        <v>6970615</v>
      </c>
      <c r="J25">
        <v>4</v>
      </c>
      <c r="K25">
        <v>18</v>
      </c>
      <c r="L25">
        <v>4</v>
      </c>
      <c r="M25">
        <v>2</v>
      </c>
      <c r="N25">
        <v>72</v>
      </c>
    </row>
    <row r="26" spans="1:14" x14ac:dyDescent="0.25">
      <c r="A26" t="s">
        <v>305</v>
      </c>
      <c r="B26">
        <v>350</v>
      </c>
      <c r="C26">
        <v>331</v>
      </c>
      <c r="D26">
        <v>8</v>
      </c>
      <c r="E26">
        <v>1</v>
      </c>
      <c r="F26">
        <v>21</v>
      </c>
      <c r="G26">
        <v>0</v>
      </c>
      <c r="H26">
        <v>22892</v>
      </c>
      <c r="I26">
        <v>5794997</v>
      </c>
      <c r="J26">
        <v>15</v>
      </c>
      <c r="K26">
        <v>172</v>
      </c>
      <c r="L26">
        <v>15</v>
      </c>
      <c r="M26">
        <v>19</v>
      </c>
      <c r="N26">
        <v>307</v>
      </c>
    </row>
    <row r="27" spans="1:14" x14ac:dyDescent="0.25">
      <c r="A27" t="s">
        <v>306</v>
      </c>
      <c r="B27">
        <v>712</v>
      </c>
      <c r="C27">
        <v>639</v>
      </c>
      <c r="D27">
        <v>9</v>
      </c>
      <c r="E27">
        <v>1</v>
      </c>
      <c r="F27">
        <v>8</v>
      </c>
      <c r="G27">
        <v>2</v>
      </c>
      <c r="H27">
        <v>22402</v>
      </c>
      <c r="I27">
        <v>6665720</v>
      </c>
      <c r="J27">
        <v>28</v>
      </c>
      <c r="K27">
        <v>63</v>
      </c>
      <c r="L27">
        <v>16</v>
      </c>
      <c r="M27">
        <v>15</v>
      </c>
      <c r="N27">
        <v>271</v>
      </c>
    </row>
    <row r="28" spans="1:14" x14ac:dyDescent="0.25">
      <c r="A28" t="s">
        <v>307</v>
      </c>
      <c r="B28">
        <v>642</v>
      </c>
      <c r="C28">
        <v>601</v>
      </c>
      <c r="D28">
        <v>5</v>
      </c>
      <c r="E28">
        <v>1</v>
      </c>
      <c r="F28">
        <v>4</v>
      </c>
      <c r="G28">
        <v>0</v>
      </c>
      <c r="H28">
        <v>21127</v>
      </c>
      <c r="I28">
        <v>4926476</v>
      </c>
      <c r="J28">
        <v>5</v>
      </c>
      <c r="K28">
        <v>21</v>
      </c>
      <c r="L28">
        <v>14</v>
      </c>
      <c r="M28">
        <v>2</v>
      </c>
      <c r="N28">
        <v>606</v>
      </c>
    </row>
    <row r="29" spans="1:14" x14ac:dyDescent="0.25">
      <c r="A29" t="s">
        <v>266</v>
      </c>
      <c r="B29">
        <v>11697</v>
      </c>
      <c r="C29">
        <v>10463</v>
      </c>
      <c r="D29">
        <v>11</v>
      </c>
      <c r="E29">
        <v>1</v>
      </c>
      <c r="F29">
        <v>167</v>
      </c>
      <c r="G29">
        <v>18</v>
      </c>
      <c r="H29">
        <v>22448</v>
      </c>
      <c r="I29">
        <v>5797239</v>
      </c>
      <c r="J29">
        <v>293</v>
      </c>
      <c r="K29">
        <v>1533</v>
      </c>
      <c r="L29">
        <v>235</v>
      </c>
      <c r="M29">
        <v>344</v>
      </c>
      <c r="N29">
        <v>7223</v>
      </c>
    </row>
    <row r="30" spans="1:14" x14ac:dyDescent="0.25">
      <c r="A30" t="s">
        <v>308</v>
      </c>
      <c r="B30">
        <v>1235</v>
      </c>
      <c r="C30">
        <v>1152</v>
      </c>
      <c r="D30">
        <v>53</v>
      </c>
      <c r="E30">
        <v>2</v>
      </c>
      <c r="F30">
        <v>7</v>
      </c>
      <c r="G30">
        <v>0</v>
      </c>
      <c r="H30">
        <v>21899</v>
      </c>
      <c r="I30">
        <v>9611581</v>
      </c>
      <c r="J30">
        <v>63</v>
      </c>
      <c r="K30">
        <v>210</v>
      </c>
      <c r="L30">
        <v>40</v>
      </c>
      <c r="M30">
        <v>77</v>
      </c>
      <c r="N30">
        <v>589</v>
      </c>
    </row>
    <row r="31" spans="1:14" x14ac:dyDescent="0.25">
      <c r="A31" t="s">
        <v>309</v>
      </c>
      <c r="B31">
        <v>10462</v>
      </c>
      <c r="C31">
        <v>9311</v>
      </c>
      <c r="D31">
        <v>6</v>
      </c>
      <c r="E31">
        <v>1</v>
      </c>
      <c r="F31">
        <v>160</v>
      </c>
      <c r="G31">
        <v>18</v>
      </c>
      <c r="H31">
        <v>22571</v>
      </c>
      <c r="I31">
        <v>5333578</v>
      </c>
      <c r="J31">
        <v>230</v>
      </c>
      <c r="K31">
        <v>1323</v>
      </c>
      <c r="L31">
        <v>195</v>
      </c>
      <c r="M31">
        <v>267</v>
      </c>
      <c r="N31">
        <v>6634</v>
      </c>
    </row>
  </sheetData>
  <mergeCells count="5">
    <mergeCell ref="H2:I2"/>
    <mergeCell ref="J2:N2"/>
    <mergeCell ref="A2:A3"/>
    <mergeCell ref="B2:E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A9D18E"/>
  </sheetPr>
  <dimension ref="A1:N31"/>
  <sheetViews>
    <sheetView workbookViewId="0">
      <selection activeCell="M40" sqref="M40"/>
    </sheetView>
  </sheetViews>
  <sheetFormatPr defaultRowHeight="15" x14ac:dyDescent="0.25"/>
  <cols>
    <col min="1" max="1" width="27.42578125" customWidth="1"/>
    <col min="2" max="2" width="10.7109375" customWidth="1"/>
    <col min="4" max="4" width="10.85546875" customWidth="1"/>
    <col min="5" max="5" width="10.7109375" customWidth="1"/>
    <col min="6" max="6" width="10.85546875" customWidth="1"/>
    <col min="7" max="7" width="10.7109375" customWidth="1"/>
    <col min="9" max="9" width="10.85546875" customWidth="1"/>
    <col min="10" max="10" width="10.7109375" customWidth="1"/>
    <col min="11" max="11" width="10.85546875" customWidth="1"/>
    <col min="12" max="12" width="10.7109375" customWidth="1"/>
    <col min="14" max="14" width="10.85546875" customWidth="1"/>
  </cols>
  <sheetData>
    <row r="1" spans="1:14" x14ac:dyDescent="0.25">
      <c r="A1" s="29" t="s">
        <v>519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252</v>
      </c>
      <c r="B2" s="29" t="s">
        <v>520</v>
      </c>
      <c r="C2" s="29"/>
      <c r="D2" s="29" t="s">
        <v>521</v>
      </c>
      <c r="E2" s="29"/>
      <c r="F2" s="29" t="s">
        <v>522</v>
      </c>
      <c r="G2" s="29"/>
      <c r="H2" s="29" t="s">
        <v>523</v>
      </c>
      <c r="I2" s="29"/>
      <c r="J2" s="29" t="s">
        <v>524</v>
      </c>
      <c r="K2" s="29"/>
      <c r="L2" s="29" t="s">
        <v>525</v>
      </c>
      <c r="M2" s="29"/>
      <c r="N2" s="29"/>
    </row>
    <row r="3" spans="1:14" x14ac:dyDescent="0.25">
      <c r="A3" s="29"/>
      <c r="B3" t="s">
        <v>526</v>
      </c>
      <c r="C3" t="s">
        <v>527</v>
      </c>
      <c r="D3" t="s">
        <v>526</v>
      </c>
      <c r="E3" t="s">
        <v>527</v>
      </c>
      <c r="F3" t="s">
        <v>526</v>
      </c>
      <c r="G3" t="s">
        <v>527</v>
      </c>
      <c r="H3" t="s">
        <v>526</v>
      </c>
      <c r="I3" t="s">
        <v>527</v>
      </c>
      <c r="J3" t="s">
        <v>528</v>
      </c>
      <c r="K3" t="s">
        <v>529</v>
      </c>
      <c r="L3" t="s">
        <v>498</v>
      </c>
      <c r="M3" t="s">
        <v>499</v>
      </c>
      <c r="N3" t="s">
        <v>500</v>
      </c>
    </row>
    <row r="4" spans="1:14" x14ac:dyDescent="0.25">
      <c r="A4" t="s">
        <v>283</v>
      </c>
      <c r="B4">
        <v>1238</v>
      </c>
      <c r="C4">
        <v>5182</v>
      </c>
      <c r="D4">
        <v>903</v>
      </c>
      <c r="E4">
        <v>4138</v>
      </c>
      <c r="F4">
        <v>327</v>
      </c>
      <c r="G4">
        <v>1030</v>
      </c>
      <c r="H4">
        <v>8</v>
      </c>
      <c r="I4">
        <v>14</v>
      </c>
      <c r="J4">
        <v>30</v>
      </c>
      <c r="K4">
        <v>93</v>
      </c>
      <c r="L4">
        <v>300</v>
      </c>
      <c r="M4">
        <v>233</v>
      </c>
      <c r="N4">
        <v>550</v>
      </c>
    </row>
    <row r="5" spans="1:14" x14ac:dyDescent="0.25">
      <c r="A5" t="s">
        <v>284</v>
      </c>
      <c r="B5">
        <v>1807</v>
      </c>
      <c r="C5">
        <v>7310</v>
      </c>
      <c r="D5">
        <v>1339</v>
      </c>
      <c r="E5">
        <v>5857</v>
      </c>
      <c r="F5">
        <v>447</v>
      </c>
      <c r="G5">
        <v>1430</v>
      </c>
      <c r="H5">
        <v>21</v>
      </c>
      <c r="I5">
        <v>23</v>
      </c>
      <c r="J5">
        <v>77</v>
      </c>
      <c r="K5">
        <v>138</v>
      </c>
      <c r="L5">
        <v>375</v>
      </c>
      <c r="M5">
        <v>273</v>
      </c>
      <c r="N5">
        <v>485</v>
      </c>
    </row>
    <row r="6" spans="1:14" x14ac:dyDescent="0.25">
      <c r="A6" t="s">
        <v>285</v>
      </c>
      <c r="B6">
        <v>1485</v>
      </c>
      <c r="C6">
        <v>6367</v>
      </c>
      <c r="D6">
        <v>1398</v>
      </c>
      <c r="E6">
        <v>6105</v>
      </c>
      <c r="F6">
        <v>86</v>
      </c>
      <c r="G6">
        <v>261</v>
      </c>
      <c r="H6">
        <v>1</v>
      </c>
      <c r="I6">
        <v>1</v>
      </c>
      <c r="J6">
        <v>68</v>
      </c>
      <c r="K6">
        <v>59</v>
      </c>
      <c r="L6">
        <v>269</v>
      </c>
      <c r="M6">
        <v>144</v>
      </c>
      <c r="N6">
        <v>216</v>
      </c>
    </row>
    <row r="7" spans="1:14" x14ac:dyDescent="0.25">
      <c r="A7" t="s">
        <v>286</v>
      </c>
      <c r="B7">
        <v>808</v>
      </c>
      <c r="C7">
        <v>3534</v>
      </c>
      <c r="D7">
        <v>738</v>
      </c>
      <c r="E7">
        <v>3350</v>
      </c>
      <c r="F7">
        <v>66</v>
      </c>
      <c r="G7">
        <v>176</v>
      </c>
      <c r="H7">
        <v>4</v>
      </c>
      <c r="I7">
        <v>8</v>
      </c>
      <c r="J7">
        <v>18</v>
      </c>
      <c r="K7">
        <v>41</v>
      </c>
      <c r="L7">
        <v>135</v>
      </c>
      <c r="M7">
        <v>100</v>
      </c>
      <c r="N7">
        <v>126</v>
      </c>
    </row>
    <row r="8" spans="1:14" x14ac:dyDescent="0.25">
      <c r="A8" t="s">
        <v>287</v>
      </c>
      <c r="B8">
        <v>1159</v>
      </c>
      <c r="C8">
        <v>5043</v>
      </c>
      <c r="D8">
        <v>1077</v>
      </c>
      <c r="E8">
        <v>4808</v>
      </c>
      <c r="F8">
        <v>82</v>
      </c>
      <c r="G8">
        <v>235</v>
      </c>
      <c r="H8">
        <v>0</v>
      </c>
      <c r="I8">
        <v>0</v>
      </c>
      <c r="J8">
        <v>39</v>
      </c>
      <c r="K8">
        <v>43</v>
      </c>
      <c r="L8">
        <v>263</v>
      </c>
      <c r="M8">
        <v>174</v>
      </c>
      <c r="N8">
        <v>225</v>
      </c>
    </row>
    <row r="9" spans="1:14" x14ac:dyDescent="0.25">
      <c r="A9" t="s">
        <v>288</v>
      </c>
      <c r="B9">
        <v>1349</v>
      </c>
      <c r="C9">
        <v>5228</v>
      </c>
      <c r="D9">
        <v>1232</v>
      </c>
      <c r="E9">
        <v>4973</v>
      </c>
      <c r="F9">
        <v>113</v>
      </c>
      <c r="G9">
        <v>249</v>
      </c>
      <c r="H9">
        <v>4</v>
      </c>
      <c r="I9">
        <v>6</v>
      </c>
      <c r="J9">
        <v>31</v>
      </c>
      <c r="K9">
        <v>94</v>
      </c>
      <c r="L9">
        <v>209</v>
      </c>
      <c r="M9">
        <v>118</v>
      </c>
      <c r="N9">
        <v>151</v>
      </c>
    </row>
    <row r="10" spans="1:14" x14ac:dyDescent="0.25">
      <c r="A10" t="s">
        <v>289</v>
      </c>
      <c r="B10">
        <v>960</v>
      </c>
      <c r="C10">
        <v>4336</v>
      </c>
      <c r="D10">
        <v>910</v>
      </c>
      <c r="E10">
        <v>4192</v>
      </c>
      <c r="F10">
        <v>47</v>
      </c>
      <c r="G10">
        <v>135</v>
      </c>
      <c r="H10">
        <v>3</v>
      </c>
      <c r="I10">
        <v>9</v>
      </c>
      <c r="J10">
        <v>27</v>
      </c>
      <c r="K10">
        <v>57</v>
      </c>
      <c r="L10">
        <v>212</v>
      </c>
      <c r="M10">
        <v>124</v>
      </c>
      <c r="N10">
        <v>121</v>
      </c>
    </row>
    <row r="11" spans="1:14" x14ac:dyDescent="0.25">
      <c r="A11" t="s">
        <v>290</v>
      </c>
      <c r="B11">
        <v>1685</v>
      </c>
      <c r="C11">
        <v>7452</v>
      </c>
      <c r="D11">
        <v>1647</v>
      </c>
      <c r="E11">
        <v>7359</v>
      </c>
      <c r="F11">
        <v>37</v>
      </c>
      <c r="G11">
        <v>90</v>
      </c>
      <c r="H11">
        <v>1</v>
      </c>
      <c r="I11">
        <v>3</v>
      </c>
      <c r="J11">
        <v>66</v>
      </c>
      <c r="K11">
        <v>73</v>
      </c>
      <c r="L11">
        <v>278</v>
      </c>
      <c r="M11">
        <v>204</v>
      </c>
      <c r="N11">
        <v>682</v>
      </c>
    </row>
    <row r="12" spans="1:14" x14ac:dyDescent="0.25">
      <c r="A12" t="s">
        <v>291</v>
      </c>
      <c r="B12">
        <v>85</v>
      </c>
      <c r="C12">
        <v>415</v>
      </c>
      <c r="D12">
        <v>85</v>
      </c>
      <c r="E12">
        <v>415</v>
      </c>
      <c r="F12">
        <v>0</v>
      </c>
      <c r="G12">
        <v>0</v>
      </c>
      <c r="H12">
        <v>0</v>
      </c>
      <c r="I12">
        <v>0</v>
      </c>
      <c r="J12">
        <v>1</v>
      </c>
      <c r="K12">
        <v>3</v>
      </c>
      <c r="L12">
        <v>13</v>
      </c>
      <c r="M12">
        <v>8</v>
      </c>
      <c r="N12">
        <v>9</v>
      </c>
    </row>
    <row r="13" spans="1:14" x14ac:dyDescent="0.25">
      <c r="A13" t="s">
        <v>292</v>
      </c>
      <c r="B13">
        <v>233</v>
      </c>
      <c r="C13">
        <v>889</v>
      </c>
      <c r="D13">
        <v>165</v>
      </c>
      <c r="E13">
        <v>755</v>
      </c>
      <c r="F13">
        <v>67</v>
      </c>
      <c r="G13">
        <v>133</v>
      </c>
      <c r="H13">
        <v>1</v>
      </c>
      <c r="I13">
        <v>1</v>
      </c>
      <c r="J13">
        <v>16</v>
      </c>
      <c r="K13">
        <v>25</v>
      </c>
      <c r="L13">
        <v>36</v>
      </c>
      <c r="M13">
        <v>28</v>
      </c>
      <c r="N13">
        <v>55</v>
      </c>
    </row>
    <row r="14" spans="1:14" x14ac:dyDescent="0.25">
      <c r="A14" t="s">
        <v>293</v>
      </c>
      <c r="B14">
        <v>646</v>
      </c>
      <c r="C14">
        <v>2469</v>
      </c>
      <c r="D14">
        <v>434</v>
      </c>
      <c r="E14">
        <v>1921</v>
      </c>
      <c r="F14">
        <v>209</v>
      </c>
      <c r="G14">
        <v>545</v>
      </c>
      <c r="H14">
        <v>3</v>
      </c>
      <c r="I14">
        <v>3</v>
      </c>
      <c r="J14">
        <v>13</v>
      </c>
      <c r="K14">
        <v>41</v>
      </c>
      <c r="L14">
        <v>128</v>
      </c>
      <c r="M14">
        <v>94</v>
      </c>
      <c r="N14">
        <v>129</v>
      </c>
    </row>
    <row r="15" spans="1:14" x14ac:dyDescent="0.25">
      <c r="A15" t="s">
        <v>294</v>
      </c>
      <c r="B15">
        <v>207</v>
      </c>
      <c r="C15">
        <v>641</v>
      </c>
      <c r="D15">
        <v>86</v>
      </c>
      <c r="E15">
        <v>394</v>
      </c>
      <c r="F15">
        <v>117</v>
      </c>
      <c r="G15">
        <v>241</v>
      </c>
      <c r="H15">
        <v>4</v>
      </c>
      <c r="I15">
        <v>6</v>
      </c>
      <c r="J15">
        <v>7</v>
      </c>
      <c r="K15">
        <v>23</v>
      </c>
      <c r="L15">
        <v>41</v>
      </c>
      <c r="M15">
        <v>27</v>
      </c>
      <c r="N15">
        <v>34</v>
      </c>
    </row>
    <row r="16" spans="1:14" x14ac:dyDescent="0.25">
      <c r="A16" t="s">
        <v>295</v>
      </c>
      <c r="B16">
        <v>412</v>
      </c>
      <c r="C16">
        <v>1749</v>
      </c>
      <c r="D16">
        <v>303</v>
      </c>
      <c r="E16">
        <v>1465</v>
      </c>
      <c r="F16">
        <v>100</v>
      </c>
      <c r="G16">
        <v>269</v>
      </c>
      <c r="H16">
        <v>9</v>
      </c>
      <c r="I16">
        <v>15</v>
      </c>
      <c r="J16">
        <v>6</v>
      </c>
      <c r="K16">
        <v>38</v>
      </c>
      <c r="L16">
        <v>65</v>
      </c>
      <c r="M16">
        <v>47</v>
      </c>
      <c r="N16">
        <v>78</v>
      </c>
    </row>
    <row r="17" spans="1:14" x14ac:dyDescent="0.25">
      <c r="A17" t="s">
        <v>296</v>
      </c>
      <c r="B17">
        <v>122</v>
      </c>
      <c r="C17">
        <v>632</v>
      </c>
      <c r="D17">
        <v>103</v>
      </c>
      <c r="E17">
        <v>583</v>
      </c>
      <c r="F17">
        <v>18</v>
      </c>
      <c r="G17">
        <v>48</v>
      </c>
      <c r="H17">
        <v>1</v>
      </c>
      <c r="I17">
        <v>1</v>
      </c>
      <c r="J17">
        <v>4</v>
      </c>
      <c r="K17">
        <v>19</v>
      </c>
      <c r="L17">
        <v>11</v>
      </c>
      <c r="M17">
        <v>5</v>
      </c>
      <c r="N17">
        <v>17</v>
      </c>
    </row>
    <row r="18" spans="1:14" x14ac:dyDescent="0.25">
      <c r="A18" t="s">
        <v>297</v>
      </c>
      <c r="B18">
        <v>983</v>
      </c>
      <c r="C18">
        <v>5837</v>
      </c>
      <c r="D18">
        <v>968</v>
      </c>
      <c r="E18">
        <v>5803</v>
      </c>
      <c r="F18">
        <v>15</v>
      </c>
      <c r="G18">
        <v>34</v>
      </c>
      <c r="H18">
        <v>0</v>
      </c>
      <c r="I18">
        <v>0</v>
      </c>
      <c r="J18">
        <v>102</v>
      </c>
      <c r="K18">
        <v>28</v>
      </c>
      <c r="L18">
        <v>184</v>
      </c>
      <c r="M18">
        <v>131</v>
      </c>
      <c r="N18">
        <v>139</v>
      </c>
    </row>
    <row r="19" spans="1:14" x14ac:dyDescent="0.25">
      <c r="A19" t="s">
        <v>298</v>
      </c>
      <c r="B19">
        <v>262</v>
      </c>
      <c r="C19">
        <v>1304</v>
      </c>
      <c r="D19">
        <v>250</v>
      </c>
      <c r="E19">
        <v>1277</v>
      </c>
      <c r="F19">
        <v>12</v>
      </c>
      <c r="G19">
        <v>27</v>
      </c>
      <c r="H19">
        <v>0</v>
      </c>
      <c r="I19">
        <v>0</v>
      </c>
      <c r="J19">
        <v>10</v>
      </c>
      <c r="K19">
        <v>33</v>
      </c>
      <c r="L19">
        <v>36</v>
      </c>
      <c r="M19">
        <v>28</v>
      </c>
      <c r="N19">
        <v>34</v>
      </c>
    </row>
    <row r="20" spans="1:14" x14ac:dyDescent="0.25">
      <c r="A20" t="s">
        <v>299</v>
      </c>
      <c r="B20">
        <v>509</v>
      </c>
      <c r="C20">
        <v>1988</v>
      </c>
      <c r="D20">
        <v>309</v>
      </c>
      <c r="E20">
        <v>1556</v>
      </c>
      <c r="F20">
        <v>179</v>
      </c>
      <c r="G20">
        <v>396</v>
      </c>
      <c r="H20">
        <v>21</v>
      </c>
      <c r="I20">
        <v>36</v>
      </c>
      <c r="J20">
        <v>15</v>
      </c>
      <c r="K20">
        <v>65</v>
      </c>
      <c r="L20">
        <v>133</v>
      </c>
      <c r="M20">
        <v>65</v>
      </c>
      <c r="N20">
        <v>120</v>
      </c>
    </row>
    <row r="21" spans="1:14" x14ac:dyDescent="0.25">
      <c r="A21" t="s">
        <v>300</v>
      </c>
      <c r="B21">
        <v>1812</v>
      </c>
      <c r="C21">
        <v>7638</v>
      </c>
      <c r="D21">
        <v>1712</v>
      </c>
      <c r="E21">
        <v>7326</v>
      </c>
      <c r="F21">
        <v>98</v>
      </c>
      <c r="G21">
        <v>309</v>
      </c>
      <c r="H21">
        <v>2</v>
      </c>
      <c r="I21">
        <v>3</v>
      </c>
      <c r="J21">
        <v>46</v>
      </c>
      <c r="K21">
        <v>101</v>
      </c>
      <c r="L21">
        <v>331</v>
      </c>
      <c r="M21">
        <v>236</v>
      </c>
      <c r="N21">
        <v>278</v>
      </c>
    </row>
    <row r="22" spans="1:14" x14ac:dyDescent="0.25">
      <c r="A22" t="s">
        <v>301</v>
      </c>
      <c r="B22">
        <v>777</v>
      </c>
      <c r="C22">
        <v>3177</v>
      </c>
      <c r="D22">
        <v>586</v>
      </c>
      <c r="E22">
        <v>2711</v>
      </c>
      <c r="F22">
        <v>184</v>
      </c>
      <c r="G22">
        <v>457</v>
      </c>
      <c r="H22">
        <v>7</v>
      </c>
      <c r="I22">
        <v>9</v>
      </c>
      <c r="J22">
        <v>26</v>
      </c>
      <c r="K22">
        <v>38</v>
      </c>
      <c r="L22">
        <v>109</v>
      </c>
      <c r="M22">
        <v>98</v>
      </c>
      <c r="N22">
        <v>118</v>
      </c>
    </row>
    <row r="23" spans="1:14" x14ac:dyDescent="0.25">
      <c r="A23" t="s">
        <v>302</v>
      </c>
      <c r="B23">
        <v>456</v>
      </c>
      <c r="C23">
        <v>1494</v>
      </c>
      <c r="D23">
        <v>250</v>
      </c>
      <c r="E23">
        <v>1056</v>
      </c>
      <c r="F23">
        <v>199</v>
      </c>
      <c r="G23">
        <v>423</v>
      </c>
      <c r="H23">
        <v>7</v>
      </c>
      <c r="I23">
        <v>15</v>
      </c>
      <c r="J23">
        <v>30</v>
      </c>
      <c r="K23">
        <v>70</v>
      </c>
      <c r="L23">
        <v>83</v>
      </c>
      <c r="M23">
        <v>63</v>
      </c>
      <c r="N23">
        <v>87</v>
      </c>
    </row>
    <row r="24" spans="1:14" x14ac:dyDescent="0.25">
      <c r="A24" t="s">
        <v>303</v>
      </c>
      <c r="B24">
        <v>1956</v>
      </c>
      <c r="C24">
        <v>6678</v>
      </c>
      <c r="D24">
        <v>1663</v>
      </c>
      <c r="E24">
        <v>6098</v>
      </c>
      <c r="F24">
        <v>253</v>
      </c>
      <c r="G24">
        <v>524</v>
      </c>
      <c r="H24">
        <v>40</v>
      </c>
      <c r="I24">
        <v>56</v>
      </c>
      <c r="J24">
        <v>44</v>
      </c>
      <c r="K24">
        <v>91</v>
      </c>
      <c r="L24">
        <v>338</v>
      </c>
      <c r="M24">
        <v>220</v>
      </c>
      <c r="N24">
        <v>236</v>
      </c>
    </row>
    <row r="25" spans="1:14" x14ac:dyDescent="0.25">
      <c r="A25" t="s">
        <v>304</v>
      </c>
      <c r="B25">
        <v>348</v>
      </c>
      <c r="C25">
        <v>1242</v>
      </c>
      <c r="D25">
        <v>190</v>
      </c>
      <c r="E25">
        <v>813</v>
      </c>
      <c r="F25">
        <v>149</v>
      </c>
      <c r="G25">
        <v>413</v>
      </c>
      <c r="H25">
        <v>9</v>
      </c>
      <c r="I25">
        <v>16</v>
      </c>
      <c r="J25">
        <v>11</v>
      </c>
      <c r="K25">
        <v>55</v>
      </c>
      <c r="L25">
        <v>65</v>
      </c>
      <c r="M25">
        <v>70</v>
      </c>
      <c r="N25">
        <v>86</v>
      </c>
    </row>
    <row r="26" spans="1:14" x14ac:dyDescent="0.25">
      <c r="A26" t="s">
        <v>305</v>
      </c>
      <c r="B26">
        <v>969</v>
      </c>
      <c r="C26">
        <v>4040</v>
      </c>
      <c r="D26">
        <v>925</v>
      </c>
      <c r="E26">
        <v>3935</v>
      </c>
      <c r="F26">
        <v>40</v>
      </c>
      <c r="G26">
        <v>97</v>
      </c>
      <c r="H26">
        <v>4</v>
      </c>
      <c r="I26">
        <v>8</v>
      </c>
      <c r="J26">
        <v>30</v>
      </c>
      <c r="K26">
        <v>52</v>
      </c>
      <c r="L26">
        <v>181</v>
      </c>
      <c r="M26">
        <v>88</v>
      </c>
      <c r="N26">
        <v>135</v>
      </c>
    </row>
    <row r="27" spans="1:14" x14ac:dyDescent="0.25">
      <c r="A27" t="s">
        <v>306</v>
      </c>
      <c r="B27">
        <v>1812</v>
      </c>
      <c r="C27">
        <v>8129</v>
      </c>
      <c r="D27">
        <v>1770</v>
      </c>
      <c r="E27">
        <v>8009</v>
      </c>
      <c r="F27">
        <v>39</v>
      </c>
      <c r="G27">
        <v>115</v>
      </c>
      <c r="H27">
        <v>3</v>
      </c>
      <c r="I27">
        <v>5</v>
      </c>
      <c r="J27">
        <v>55</v>
      </c>
      <c r="K27">
        <v>78</v>
      </c>
      <c r="L27">
        <v>444</v>
      </c>
      <c r="M27">
        <v>282</v>
      </c>
      <c r="N27">
        <v>358</v>
      </c>
    </row>
    <row r="28" spans="1:14" x14ac:dyDescent="0.25">
      <c r="A28" t="s">
        <v>307</v>
      </c>
      <c r="B28">
        <v>1051</v>
      </c>
      <c r="C28">
        <v>4826</v>
      </c>
      <c r="D28">
        <v>984</v>
      </c>
      <c r="E28">
        <v>4640</v>
      </c>
      <c r="F28">
        <v>60</v>
      </c>
      <c r="G28">
        <v>163</v>
      </c>
      <c r="H28">
        <v>7</v>
      </c>
      <c r="I28">
        <v>23</v>
      </c>
      <c r="J28">
        <v>56</v>
      </c>
      <c r="K28">
        <v>55</v>
      </c>
      <c r="L28">
        <v>261</v>
      </c>
      <c r="M28">
        <v>182</v>
      </c>
      <c r="N28">
        <v>170</v>
      </c>
    </row>
    <row r="29" spans="1:14" x14ac:dyDescent="0.25">
      <c r="A29" t="s">
        <v>266</v>
      </c>
      <c r="B29">
        <v>23131</v>
      </c>
      <c r="C29">
        <v>97600</v>
      </c>
      <c r="D29">
        <v>20027</v>
      </c>
      <c r="E29">
        <v>89539</v>
      </c>
      <c r="F29">
        <v>2944</v>
      </c>
      <c r="G29">
        <v>7800</v>
      </c>
      <c r="H29">
        <v>160</v>
      </c>
      <c r="I29">
        <v>261</v>
      </c>
      <c r="J29">
        <v>828</v>
      </c>
      <c r="K29">
        <v>1413</v>
      </c>
      <c r="L29">
        <v>4500</v>
      </c>
      <c r="M29">
        <v>3042</v>
      </c>
      <c r="N29">
        <v>4639</v>
      </c>
    </row>
    <row r="30" spans="1:14" x14ac:dyDescent="0.25">
      <c r="A30" t="s">
        <v>308</v>
      </c>
      <c r="B30">
        <v>3230</v>
      </c>
      <c r="C30">
        <v>16520</v>
      </c>
      <c r="D30">
        <v>2925</v>
      </c>
      <c r="E30">
        <v>15612</v>
      </c>
      <c r="F30">
        <v>301</v>
      </c>
      <c r="G30">
        <v>901</v>
      </c>
      <c r="H30">
        <v>4</v>
      </c>
      <c r="I30">
        <v>7</v>
      </c>
      <c r="J30">
        <v>189</v>
      </c>
      <c r="K30">
        <v>215</v>
      </c>
      <c r="L30">
        <v>575</v>
      </c>
      <c r="M30">
        <v>438</v>
      </c>
      <c r="N30">
        <v>474</v>
      </c>
    </row>
    <row r="31" spans="1:14" x14ac:dyDescent="0.25">
      <c r="A31" t="s">
        <v>309</v>
      </c>
      <c r="B31">
        <v>19901</v>
      </c>
      <c r="C31">
        <v>81080</v>
      </c>
      <c r="D31">
        <v>17102</v>
      </c>
      <c r="E31">
        <v>73927</v>
      </c>
      <c r="F31">
        <v>2643</v>
      </c>
      <c r="G31">
        <v>6899</v>
      </c>
      <c r="H31">
        <v>156</v>
      </c>
      <c r="I31">
        <v>254</v>
      </c>
      <c r="J31">
        <v>639</v>
      </c>
      <c r="K31">
        <v>1198</v>
      </c>
      <c r="L31">
        <v>3925</v>
      </c>
      <c r="M31">
        <v>2604</v>
      </c>
      <c r="N31">
        <v>4165</v>
      </c>
    </row>
  </sheetData>
  <mergeCells count="8">
    <mergeCell ref="A2:A3"/>
    <mergeCell ref="L2:N2"/>
    <mergeCell ref="A1:N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9D18E"/>
  </sheetPr>
  <dimension ref="A1:M31"/>
  <sheetViews>
    <sheetView workbookViewId="0">
      <selection sqref="A1:M1"/>
    </sheetView>
  </sheetViews>
  <sheetFormatPr defaultRowHeight="15" x14ac:dyDescent="0.25"/>
  <cols>
    <col min="1" max="1" width="25.85546875" customWidth="1"/>
    <col min="2" max="2" width="12.7109375" customWidth="1"/>
    <col min="3" max="3" width="12.85546875" customWidth="1"/>
    <col min="4" max="4" width="11.42578125" customWidth="1"/>
    <col min="5" max="5" width="12.42578125" customWidth="1"/>
    <col min="6" max="6" width="11.28515625" customWidth="1"/>
    <col min="7" max="7" width="11.42578125" customWidth="1"/>
    <col min="8" max="8" width="11.28515625" customWidth="1"/>
    <col min="9" max="9" width="11.42578125" customWidth="1"/>
    <col min="11" max="11" width="11.28515625" customWidth="1"/>
    <col min="12" max="12" width="11.42578125" customWidth="1"/>
    <col min="13" max="13" width="11.28515625" customWidth="1"/>
  </cols>
  <sheetData>
    <row r="1" spans="1:13" x14ac:dyDescent="0.25">
      <c r="A1" s="29" t="s">
        <v>530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531</v>
      </c>
      <c r="C2" s="29"/>
      <c r="D2" t="s">
        <v>532</v>
      </c>
      <c r="E2" t="s">
        <v>533</v>
      </c>
      <c r="F2" s="29" t="s">
        <v>534</v>
      </c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t="s">
        <v>535</v>
      </c>
      <c r="C3" t="s">
        <v>536</v>
      </c>
      <c r="D3" t="s">
        <v>512</v>
      </c>
      <c r="E3" t="s">
        <v>537</v>
      </c>
      <c r="F3" t="s">
        <v>538</v>
      </c>
      <c r="G3" t="s">
        <v>539</v>
      </c>
      <c r="H3" t="s">
        <v>540</v>
      </c>
      <c r="I3" t="s">
        <v>541</v>
      </c>
      <c r="J3" t="s">
        <v>542</v>
      </c>
      <c r="K3" t="s">
        <v>543</v>
      </c>
      <c r="L3" t="s">
        <v>544</v>
      </c>
      <c r="M3" t="s">
        <v>545</v>
      </c>
    </row>
    <row r="4" spans="1:13" x14ac:dyDescent="0.25">
      <c r="A4" t="s">
        <v>283</v>
      </c>
      <c r="B4">
        <v>17973</v>
      </c>
      <c r="C4">
        <v>7658</v>
      </c>
      <c r="D4">
        <v>1.3</v>
      </c>
      <c r="E4">
        <v>65</v>
      </c>
      <c r="F4">
        <v>137</v>
      </c>
      <c r="G4">
        <v>137</v>
      </c>
      <c r="H4">
        <v>16</v>
      </c>
      <c r="I4">
        <v>32</v>
      </c>
      <c r="J4">
        <v>41</v>
      </c>
      <c r="K4">
        <v>82</v>
      </c>
      <c r="L4">
        <v>81</v>
      </c>
      <c r="M4">
        <v>93</v>
      </c>
    </row>
    <row r="5" spans="1:13" x14ac:dyDescent="0.25">
      <c r="A5" t="s">
        <v>284</v>
      </c>
      <c r="B5">
        <v>56559</v>
      </c>
      <c r="C5">
        <v>8945</v>
      </c>
      <c r="D5">
        <v>1.23</v>
      </c>
      <c r="E5">
        <v>80</v>
      </c>
      <c r="F5">
        <v>174</v>
      </c>
      <c r="G5">
        <v>109</v>
      </c>
      <c r="H5">
        <v>28</v>
      </c>
      <c r="I5">
        <v>44</v>
      </c>
      <c r="J5">
        <v>95</v>
      </c>
      <c r="K5">
        <v>108</v>
      </c>
      <c r="L5">
        <v>105</v>
      </c>
      <c r="M5">
        <v>126</v>
      </c>
    </row>
    <row r="6" spans="1:13" x14ac:dyDescent="0.25">
      <c r="A6" t="s">
        <v>285</v>
      </c>
      <c r="B6">
        <v>12241</v>
      </c>
      <c r="C6">
        <v>7474</v>
      </c>
      <c r="D6">
        <v>1.79</v>
      </c>
      <c r="E6">
        <v>20</v>
      </c>
      <c r="F6">
        <v>131</v>
      </c>
      <c r="G6">
        <v>45</v>
      </c>
      <c r="H6">
        <v>9</v>
      </c>
      <c r="I6">
        <v>30</v>
      </c>
      <c r="J6">
        <v>44</v>
      </c>
      <c r="K6">
        <v>62</v>
      </c>
      <c r="L6">
        <v>64</v>
      </c>
      <c r="M6">
        <v>77</v>
      </c>
    </row>
    <row r="7" spans="1:13" x14ac:dyDescent="0.25">
      <c r="A7" t="s">
        <v>286</v>
      </c>
      <c r="B7">
        <v>31431</v>
      </c>
      <c r="C7">
        <v>25712</v>
      </c>
      <c r="D7">
        <v>2.2000000000000002</v>
      </c>
      <c r="E7">
        <v>25</v>
      </c>
      <c r="F7">
        <v>133</v>
      </c>
      <c r="G7">
        <v>87</v>
      </c>
      <c r="H7">
        <v>17</v>
      </c>
      <c r="I7">
        <v>49</v>
      </c>
      <c r="J7">
        <v>68</v>
      </c>
      <c r="K7">
        <v>151</v>
      </c>
      <c r="L7">
        <v>153</v>
      </c>
      <c r="M7">
        <v>143</v>
      </c>
    </row>
    <row r="8" spans="1:13" x14ac:dyDescent="0.25">
      <c r="A8" t="s">
        <v>287</v>
      </c>
      <c r="B8">
        <v>20133</v>
      </c>
      <c r="C8">
        <v>9288</v>
      </c>
      <c r="D8">
        <v>1.35</v>
      </c>
      <c r="E8">
        <v>70</v>
      </c>
      <c r="F8">
        <v>289</v>
      </c>
      <c r="G8">
        <v>204</v>
      </c>
      <c r="H8">
        <v>21</v>
      </c>
      <c r="I8">
        <v>42</v>
      </c>
      <c r="J8">
        <v>72</v>
      </c>
      <c r="K8">
        <v>235</v>
      </c>
      <c r="L8">
        <v>236</v>
      </c>
      <c r="M8">
        <v>219</v>
      </c>
    </row>
    <row r="9" spans="1:13" x14ac:dyDescent="0.25">
      <c r="A9" t="s">
        <v>288</v>
      </c>
      <c r="B9">
        <v>20348</v>
      </c>
      <c r="C9">
        <v>10861</v>
      </c>
      <c r="D9">
        <v>1.28</v>
      </c>
      <c r="E9">
        <v>51</v>
      </c>
      <c r="F9">
        <v>131</v>
      </c>
      <c r="G9">
        <v>73</v>
      </c>
      <c r="H9">
        <v>12</v>
      </c>
      <c r="I9">
        <v>24</v>
      </c>
      <c r="J9">
        <v>91</v>
      </c>
      <c r="K9">
        <v>152</v>
      </c>
      <c r="L9">
        <v>148</v>
      </c>
      <c r="M9">
        <v>146</v>
      </c>
    </row>
    <row r="10" spans="1:13" x14ac:dyDescent="0.25">
      <c r="A10" t="s">
        <v>289</v>
      </c>
      <c r="B10">
        <v>14804</v>
      </c>
      <c r="C10">
        <v>7949</v>
      </c>
      <c r="D10">
        <v>1.31</v>
      </c>
      <c r="E10">
        <v>40</v>
      </c>
      <c r="F10">
        <v>205</v>
      </c>
      <c r="G10">
        <v>68</v>
      </c>
      <c r="H10">
        <v>16</v>
      </c>
      <c r="I10">
        <v>46</v>
      </c>
      <c r="J10">
        <v>125</v>
      </c>
      <c r="K10">
        <v>207</v>
      </c>
      <c r="L10">
        <v>198</v>
      </c>
      <c r="M10">
        <v>262</v>
      </c>
    </row>
    <row r="11" spans="1:13" x14ac:dyDescent="0.25">
      <c r="A11" t="s">
        <v>290</v>
      </c>
      <c r="B11">
        <v>81112</v>
      </c>
      <c r="C11">
        <v>33078</v>
      </c>
      <c r="D11">
        <v>1.23</v>
      </c>
      <c r="E11">
        <v>60</v>
      </c>
      <c r="F11">
        <v>230</v>
      </c>
      <c r="G11">
        <v>97</v>
      </c>
      <c r="H11">
        <v>42</v>
      </c>
      <c r="I11">
        <v>96</v>
      </c>
      <c r="J11">
        <v>131</v>
      </c>
      <c r="K11">
        <v>252</v>
      </c>
      <c r="L11">
        <v>248</v>
      </c>
      <c r="M11">
        <v>246</v>
      </c>
    </row>
    <row r="12" spans="1:13" x14ac:dyDescent="0.25">
      <c r="A12" t="s">
        <v>291</v>
      </c>
      <c r="B12">
        <v>15695</v>
      </c>
      <c r="C12">
        <v>7323</v>
      </c>
      <c r="D12">
        <v>2.54</v>
      </c>
      <c r="E12">
        <v>2</v>
      </c>
      <c r="F12">
        <v>13</v>
      </c>
      <c r="G12">
        <v>5</v>
      </c>
      <c r="H12">
        <v>0</v>
      </c>
      <c r="I12">
        <v>0</v>
      </c>
      <c r="J12">
        <v>6</v>
      </c>
      <c r="K12">
        <v>19</v>
      </c>
      <c r="L12">
        <v>20</v>
      </c>
      <c r="M12">
        <v>16</v>
      </c>
    </row>
    <row r="13" spans="1:13" x14ac:dyDescent="0.25">
      <c r="A13" t="s">
        <v>292</v>
      </c>
      <c r="B13">
        <v>11991</v>
      </c>
      <c r="C13">
        <v>5660</v>
      </c>
      <c r="D13">
        <v>1.99</v>
      </c>
      <c r="E13">
        <v>16</v>
      </c>
      <c r="F13">
        <v>35</v>
      </c>
      <c r="G13">
        <v>27</v>
      </c>
      <c r="H13">
        <v>4</v>
      </c>
      <c r="I13">
        <v>8</v>
      </c>
      <c r="J13">
        <v>13</v>
      </c>
      <c r="K13">
        <v>18</v>
      </c>
      <c r="L13">
        <v>18</v>
      </c>
      <c r="M13">
        <v>17</v>
      </c>
    </row>
    <row r="14" spans="1:13" x14ac:dyDescent="0.25">
      <c r="A14" t="s">
        <v>293</v>
      </c>
      <c r="B14">
        <v>26574</v>
      </c>
      <c r="C14">
        <v>30631</v>
      </c>
      <c r="D14">
        <v>4.4400000000000004</v>
      </c>
      <c r="E14">
        <v>24</v>
      </c>
      <c r="F14">
        <v>95</v>
      </c>
      <c r="G14">
        <v>45</v>
      </c>
      <c r="H14">
        <v>14</v>
      </c>
      <c r="I14">
        <v>16</v>
      </c>
      <c r="J14">
        <v>47</v>
      </c>
      <c r="K14">
        <v>99</v>
      </c>
      <c r="L14">
        <v>101</v>
      </c>
      <c r="M14">
        <v>98</v>
      </c>
    </row>
    <row r="15" spans="1:13" x14ac:dyDescent="0.25">
      <c r="A15" t="s">
        <v>294</v>
      </c>
      <c r="B15">
        <v>17615</v>
      </c>
      <c r="C15">
        <v>7694</v>
      </c>
      <c r="D15">
        <v>1.1599999999999999</v>
      </c>
      <c r="E15">
        <v>4</v>
      </c>
      <c r="F15">
        <v>39</v>
      </c>
      <c r="G15">
        <v>19</v>
      </c>
      <c r="H15">
        <v>5</v>
      </c>
      <c r="I15">
        <v>6</v>
      </c>
      <c r="J15">
        <v>12</v>
      </c>
      <c r="K15">
        <v>19</v>
      </c>
      <c r="L15">
        <v>18</v>
      </c>
      <c r="M15">
        <v>18</v>
      </c>
    </row>
    <row r="16" spans="1:13" x14ac:dyDescent="0.25">
      <c r="A16" t="s">
        <v>295</v>
      </c>
      <c r="B16">
        <v>30519</v>
      </c>
      <c r="C16">
        <v>22930</v>
      </c>
      <c r="D16">
        <v>2.2599999999999998</v>
      </c>
      <c r="E16">
        <v>15</v>
      </c>
      <c r="F16">
        <v>85</v>
      </c>
      <c r="G16">
        <v>89</v>
      </c>
      <c r="H16">
        <v>7</v>
      </c>
      <c r="I16">
        <v>12</v>
      </c>
      <c r="J16">
        <v>40</v>
      </c>
      <c r="K16">
        <v>52</v>
      </c>
      <c r="L16">
        <v>53</v>
      </c>
      <c r="M16">
        <v>48</v>
      </c>
    </row>
    <row r="17" spans="1:13" x14ac:dyDescent="0.25">
      <c r="A17" t="s">
        <v>296</v>
      </c>
      <c r="B17">
        <v>20178</v>
      </c>
      <c r="C17">
        <v>4298</v>
      </c>
      <c r="D17">
        <v>1.1499999999999999</v>
      </c>
      <c r="E17">
        <v>9</v>
      </c>
      <c r="F17">
        <v>19</v>
      </c>
      <c r="G17">
        <v>18</v>
      </c>
      <c r="H17">
        <v>2</v>
      </c>
      <c r="I17">
        <v>1</v>
      </c>
      <c r="J17">
        <v>9</v>
      </c>
      <c r="K17">
        <v>12</v>
      </c>
      <c r="L17">
        <v>13</v>
      </c>
      <c r="M17">
        <v>25</v>
      </c>
    </row>
    <row r="18" spans="1:13" x14ac:dyDescent="0.25">
      <c r="A18" t="s">
        <v>297</v>
      </c>
      <c r="B18">
        <v>26917</v>
      </c>
      <c r="C18">
        <v>12422</v>
      </c>
      <c r="D18">
        <v>1.43</v>
      </c>
      <c r="E18">
        <v>59</v>
      </c>
      <c r="F18">
        <v>102</v>
      </c>
      <c r="G18">
        <v>52</v>
      </c>
      <c r="H18">
        <v>31</v>
      </c>
      <c r="I18">
        <v>34</v>
      </c>
      <c r="J18">
        <v>56</v>
      </c>
      <c r="K18">
        <v>133</v>
      </c>
      <c r="L18">
        <v>136</v>
      </c>
      <c r="M18">
        <v>127</v>
      </c>
    </row>
    <row r="19" spans="1:13" x14ac:dyDescent="0.25">
      <c r="A19" t="s">
        <v>298</v>
      </c>
      <c r="B19">
        <v>14793</v>
      </c>
      <c r="C19">
        <v>5593</v>
      </c>
      <c r="D19">
        <v>1.64</v>
      </c>
      <c r="E19">
        <v>8</v>
      </c>
      <c r="F19">
        <v>38</v>
      </c>
      <c r="G19">
        <v>21</v>
      </c>
      <c r="H19">
        <v>6</v>
      </c>
      <c r="I19">
        <v>7</v>
      </c>
      <c r="J19">
        <v>13</v>
      </c>
      <c r="K19">
        <v>32</v>
      </c>
      <c r="L19">
        <v>30</v>
      </c>
      <c r="M19">
        <v>54</v>
      </c>
    </row>
    <row r="20" spans="1:13" x14ac:dyDescent="0.25">
      <c r="A20" t="s">
        <v>299</v>
      </c>
      <c r="B20">
        <v>22956</v>
      </c>
      <c r="C20">
        <v>17767</v>
      </c>
      <c r="D20">
        <v>1.22</v>
      </c>
      <c r="E20">
        <v>12</v>
      </c>
      <c r="F20">
        <v>55</v>
      </c>
      <c r="G20">
        <v>43</v>
      </c>
      <c r="H20">
        <v>4</v>
      </c>
      <c r="I20">
        <v>10</v>
      </c>
      <c r="J20">
        <v>29</v>
      </c>
      <c r="K20">
        <v>30</v>
      </c>
      <c r="L20">
        <v>28</v>
      </c>
      <c r="M20">
        <v>43</v>
      </c>
    </row>
    <row r="21" spans="1:13" x14ac:dyDescent="0.25">
      <c r="A21" t="s">
        <v>300</v>
      </c>
      <c r="B21">
        <v>12137</v>
      </c>
      <c r="C21">
        <v>4889</v>
      </c>
      <c r="D21">
        <v>4.5599999999999996</v>
      </c>
      <c r="E21">
        <v>54</v>
      </c>
      <c r="F21">
        <v>252</v>
      </c>
      <c r="G21">
        <v>122</v>
      </c>
      <c r="H21">
        <v>18</v>
      </c>
      <c r="I21">
        <v>51</v>
      </c>
      <c r="J21">
        <v>69</v>
      </c>
      <c r="K21">
        <v>117</v>
      </c>
      <c r="L21">
        <v>126</v>
      </c>
      <c r="M21">
        <v>145</v>
      </c>
    </row>
    <row r="22" spans="1:13" x14ac:dyDescent="0.25">
      <c r="A22" t="s">
        <v>301</v>
      </c>
      <c r="B22">
        <v>205425</v>
      </c>
      <c r="C22">
        <v>13146</v>
      </c>
      <c r="D22">
        <v>1.25</v>
      </c>
      <c r="E22">
        <v>41</v>
      </c>
      <c r="F22">
        <v>166</v>
      </c>
      <c r="G22">
        <v>60</v>
      </c>
      <c r="H22">
        <v>18</v>
      </c>
      <c r="I22">
        <v>28</v>
      </c>
      <c r="J22">
        <v>44</v>
      </c>
      <c r="K22">
        <v>110</v>
      </c>
      <c r="L22">
        <v>111</v>
      </c>
      <c r="M22">
        <v>110</v>
      </c>
    </row>
    <row r="23" spans="1:13" x14ac:dyDescent="0.25">
      <c r="A23" t="s">
        <v>302</v>
      </c>
      <c r="B23">
        <v>23510</v>
      </c>
      <c r="C23">
        <v>8563</v>
      </c>
      <c r="D23">
        <v>0.94</v>
      </c>
      <c r="E23">
        <v>16</v>
      </c>
      <c r="F23">
        <v>74</v>
      </c>
      <c r="G23">
        <v>54</v>
      </c>
      <c r="H23">
        <v>7</v>
      </c>
      <c r="I23">
        <v>9</v>
      </c>
      <c r="J23">
        <v>15</v>
      </c>
      <c r="K23">
        <v>28</v>
      </c>
      <c r="L23">
        <v>27</v>
      </c>
      <c r="M23">
        <v>34</v>
      </c>
    </row>
    <row r="24" spans="1:13" x14ac:dyDescent="0.25">
      <c r="A24" t="s">
        <v>303</v>
      </c>
      <c r="B24">
        <v>42951</v>
      </c>
      <c r="C24">
        <v>16222</v>
      </c>
      <c r="D24">
        <v>1.6</v>
      </c>
      <c r="E24">
        <v>112</v>
      </c>
      <c r="F24">
        <v>122</v>
      </c>
      <c r="G24">
        <v>77</v>
      </c>
      <c r="H24">
        <v>26</v>
      </c>
      <c r="I24">
        <v>27</v>
      </c>
      <c r="J24">
        <v>56</v>
      </c>
      <c r="K24">
        <v>79</v>
      </c>
      <c r="L24">
        <v>80</v>
      </c>
      <c r="M24">
        <v>239</v>
      </c>
    </row>
    <row r="25" spans="1:13" x14ac:dyDescent="0.25">
      <c r="A25" t="s">
        <v>304</v>
      </c>
      <c r="B25">
        <v>29912</v>
      </c>
      <c r="C25">
        <v>6650</v>
      </c>
      <c r="D25">
        <v>2.38</v>
      </c>
      <c r="E25">
        <v>16</v>
      </c>
      <c r="F25">
        <v>65</v>
      </c>
      <c r="G25">
        <v>49</v>
      </c>
      <c r="H25">
        <v>8</v>
      </c>
      <c r="I25">
        <v>10</v>
      </c>
      <c r="J25">
        <v>26</v>
      </c>
      <c r="K25">
        <v>40</v>
      </c>
      <c r="L25">
        <v>41</v>
      </c>
      <c r="M25">
        <v>29</v>
      </c>
    </row>
    <row r="26" spans="1:13" x14ac:dyDescent="0.25">
      <c r="A26" t="s">
        <v>305</v>
      </c>
      <c r="B26">
        <v>14222</v>
      </c>
      <c r="C26">
        <v>7449</v>
      </c>
      <c r="D26">
        <v>1.33</v>
      </c>
      <c r="E26">
        <v>6</v>
      </c>
      <c r="F26">
        <v>135</v>
      </c>
      <c r="G26">
        <v>68</v>
      </c>
      <c r="H26">
        <v>11</v>
      </c>
      <c r="I26">
        <v>38</v>
      </c>
      <c r="J26">
        <v>47</v>
      </c>
      <c r="K26">
        <v>57</v>
      </c>
      <c r="L26">
        <v>59</v>
      </c>
      <c r="M26">
        <v>54</v>
      </c>
    </row>
    <row r="27" spans="1:13" x14ac:dyDescent="0.25">
      <c r="A27" t="s">
        <v>306</v>
      </c>
      <c r="B27">
        <v>101493</v>
      </c>
      <c r="C27">
        <v>57671</v>
      </c>
      <c r="D27">
        <v>1.6</v>
      </c>
      <c r="E27">
        <v>86</v>
      </c>
      <c r="F27">
        <v>328</v>
      </c>
      <c r="G27">
        <v>89</v>
      </c>
      <c r="H27">
        <v>22</v>
      </c>
      <c r="I27">
        <v>83</v>
      </c>
      <c r="J27">
        <v>119</v>
      </c>
      <c r="K27">
        <v>265</v>
      </c>
      <c r="L27">
        <v>265</v>
      </c>
      <c r="M27">
        <v>280</v>
      </c>
    </row>
    <row r="28" spans="1:13" x14ac:dyDescent="0.25">
      <c r="A28" t="s">
        <v>307</v>
      </c>
      <c r="B28">
        <v>140067</v>
      </c>
      <c r="C28">
        <v>13677</v>
      </c>
      <c r="D28">
        <v>1.1100000000000001</v>
      </c>
      <c r="E28">
        <v>42</v>
      </c>
      <c r="F28">
        <v>98</v>
      </c>
      <c r="G28">
        <v>52</v>
      </c>
      <c r="H28">
        <v>10</v>
      </c>
      <c r="I28">
        <v>22</v>
      </c>
      <c r="J28">
        <v>31</v>
      </c>
      <c r="K28">
        <v>38</v>
      </c>
      <c r="L28">
        <v>42</v>
      </c>
      <c r="M28">
        <v>59</v>
      </c>
    </row>
    <row r="29" spans="1:13" x14ac:dyDescent="0.25">
      <c r="A29" t="s">
        <v>266</v>
      </c>
      <c r="B29">
        <v>46151</v>
      </c>
      <c r="C29">
        <v>15417</v>
      </c>
      <c r="D29">
        <v>2.4300000000000002</v>
      </c>
      <c r="E29">
        <v>933</v>
      </c>
      <c r="F29">
        <v>3151</v>
      </c>
      <c r="G29">
        <v>1710</v>
      </c>
      <c r="H29">
        <v>354</v>
      </c>
      <c r="I29">
        <v>725</v>
      </c>
      <c r="J29">
        <v>1299</v>
      </c>
      <c r="K29">
        <v>2397</v>
      </c>
      <c r="L29">
        <v>2401</v>
      </c>
      <c r="M29">
        <v>2708</v>
      </c>
    </row>
    <row r="30" spans="1:13" x14ac:dyDescent="0.25">
      <c r="A30" t="s">
        <v>308</v>
      </c>
      <c r="B30">
        <v>43364</v>
      </c>
      <c r="C30">
        <v>21930</v>
      </c>
      <c r="D30">
        <v>1.52</v>
      </c>
      <c r="E30">
        <v>187</v>
      </c>
      <c r="F30">
        <v>325</v>
      </c>
      <c r="G30">
        <v>206</v>
      </c>
      <c r="H30">
        <v>101</v>
      </c>
      <c r="I30">
        <v>95</v>
      </c>
      <c r="J30">
        <v>200</v>
      </c>
      <c r="K30">
        <v>355</v>
      </c>
      <c r="L30">
        <v>352</v>
      </c>
      <c r="M30">
        <v>362</v>
      </c>
    </row>
    <row r="31" spans="1:13" x14ac:dyDescent="0.25">
      <c r="A31" t="s">
        <v>309</v>
      </c>
      <c r="B31">
        <v>46477</v>
      </c>
      <c r="C31">
        <v>14639</v>
      </c>
      <c r="D31">
        <v>2.63</v>
      </c>
      <c r="E31">
        <v>746</v>
      </c>
      <c r="F31">
        <v>2826</v>
      </c>
      <c r="G31">
        <v>1504</v>
      </c>
      <c r="H31">
        <v>253</v>
      </c>
      <c r="I31">
        <v>630</v>
      </c>
      <c r="J31">
        <v>1099</v>
      </c>
      <c r="K31">
        <v>2042</v>
      </c>
      <c r="L31">
        <v>2049</v>
      </c>
      <c r="M31">
        <v>2346</v>
      </c>
    </row>
  </sheetData>
  <mergeCells count="4">
    <mergeCell ref="F2:M2"/>
    <mergeCell ref="B2:C2"/>
    <mergeCell ref="A2:A3"/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31"/>
  <sheetViews>
    <sheetView workbookViewId="0">
      <selection sqref="A1:J1"/>
    </sheetView>
  </sheetViews>
  <sheetFormatPr defaultRowHeight="15" x14ac:dyDescent="0.25"/>
  <cols>
    <col min="1" max="1" width="23.42578125" customWidth="1"/>
    <col min="2" max="2" width="15.140625" customWidth="1"/>
    <col min="3" max="3" width="14.42578125" customWidth="1"/>
    <col min="4" max="4" width="14.7109375" customWidth="1"/>
    <col min="5" max="5" width="17.85546875" customWidth="1"/>
    <col min="6" max="6" width="17.140625" customWidth="1"/>
    <col min="7" max="7" width="14.42578125" customWidth="1"/>
    <col min="8" max="8" width="14.7109375" customWidth="1"/>
    <col min="9" max="9" width="14.42578125" customWidth="1"/>
    <col min="10" max="10" width="19.42578125" customWidth="1"/>
  </cols>
  <sheetData>
    <row r="1" spans="1:10" x14ac:dyDescent="0.25">
      <c r="A1" s="29" t="s">
        <v>546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 t="s">
        <v>252</v>
      </c>
      <c r="B2" t="s">
        <v>547</v>
      </c>
      <c r="C2" t="s">
        <v>548</v>
      </c>
      <c r="D2" t="s">
        <v>549</v>
      </c>
      <c r="E2" t="s">
        <v>550</v>
      </c>
      <c r="F2" t="s">
        <v>550</v>
      </c>
      <c r="G2" s="29" t="s">
        <v>551</v>
      </c>
      <c r="H2" s="29"/>
      <c r="I2" s="29"/>
      <c r="J2" t="s">
        <v>552</v>
      </c>
    </row>
    <row r="3" spans="1:10" x14ac:dyDescent="0.25">
      <c r="A3" s="29"/>
      <c r="B3" t="s">
        <v>553</v>
      </c>
      <c r="C3" t="s">
        <v>553</v>
      </c>
      <c r="D3" t="s">
        <v>554</v>
      </c>
      <c r="E3" t="s">
        <v>555</v>
      </c>
      <c r="F3" t="s">
        <v>556</v>
      </c>
      <c r="G3" t="s">
        <v>346</v>
      </c>
      <c r="H3" t="s">
        <v>480</v>
      </c>
      <c r="I3" t="s">
        <v>481</v>
      </c>
      <c r="J3" t="s">
        <v>346</v>
      </c>
    </row>
    <row r="4" spans="1:10" x14ac:dyDescent="0.25">
      <c r="A4" t="s">
        <v>283</v>
      </c>
      <c r="B4">
        <v>106.1</v>
      </c>
      <c r="C4">
        <v>82.8</v>
      </c>
      <c r="D4">
        <v>22</v>
      </c>
      <c r="E4">
        <v>81.400000000000006</v>
      </c>
      <c r="F4">
        <v>68</v>
      </c>
      <c r="G4">
        <v>94.9</v>
      </c>
      <c r="H4">
        <v>42.4</v>
      </c>
      <c r="I4">
        <v>16.8</v>
      </c>
      <c r="J4">
        <v>82.7</v>
      </c>
    </row>
    <row r="5" spans="1:10" x14ac:dyDescent="0.25">
      <c r="A5" t="s">
        <v>284</v>
      </c>
      <c r="B5">
        <v>127.9</v>
      </c>
      <c r="C5">
        <v>96.8</v>
      </c>
      <c r="D5">
        <v>24.3</v>
      </c>
      <c r="E5">
        <v>78.7</v>
      </c>
      <c r="F5">
        <v>73.099999999999994</v>
      </c>
      <c r="G5">
        <v>112.6</v>
      </c>
      <c r="H5">
        <v>43.6</v>
      </c>
      <c r="I5">
        <v>17.100000000000001</v>
      </c>
      <c r="J5">
        <v>95.4</v>
      </c>
    </row>
    <row r="6" spans="1:10" x14ac:dyDescent="0.25">
      <c r="A6" t="s">
        <v>285</v>
      </c>
      <c r="B6">
        <v>130.1</v>
      </c>
      <c r="C6">
        <v>92.9</v>
      </c>
      <c r="D6">
        <v>28.6</v>
      </c>
      <c r="E6">
        <v>78.5</v>
      </c>
      <c r="F6">
        <v>75.2</v>
      </c>
      <c r="G6">
        <v>119.4</v>
      </c>
      <c r="H6">
        <v>55.3</v>
      </c>
      <c r="I6">
        <v>26.1</v>
      </c>
      <c r="J6">
        <v>98.3</v>
      </c>
    </row>
    <row r="7" spans="1:10" x14ac:dyDescent="0.25">
      <c r="A7" t="s">
        <v>286</v>
      </c>
      <c r="B7">
        <v>103.7</v>
      </c>
      <c r="C7">
        <v>91.6</v>
      </c>
      <c r="D7">
        <v>11.6</v>
      </c>
      <c r="E7">
        <v>83.4</v>
      </c>
      <c r="F7">
        <v>73.7</v>
      </c>
      <c r="G7">
        <v>103.5</v>
      </c>
      <c r="H7">
        <v>55.3</v>
      </c>
      <c r="I7">
        <v>25.3</v>
      </c>
      <c r="J7">
        <v>92.1</v>
      </c>
    </row>
    <row r="8" spans="1:10" x14ac:dyDescent="0.25">
      <c r="A8" t="s">
        <v>287</v>
      </c>
      <c r="B8">
        <v>105.8</v>
      </c>
      <c r="C8">
        <v>89.1</v>
      </c>
      <c r="D8">
        <v>15.8</v>
      </c>
      <c r="E8">
        <v>83.5</v>
      </c>
      <c r="F8">
        <v>72.099999999999994</v>
      </c>
      <c r="G8">
        <v>104.3</v>
      </c>
      <c r="H8">
        <v>53.2</v>
      </c>
      <c r="I8">
        <v>22.6</v>
      </c>
      <c r="J8">
        <v>92.7</v>
      </c>
    </row>
    <row r="9" spans="1:10" x14ac:dyDescent="0.25">
      <c r="A9" t="s">
        <v>288</v>
      </c>
      <c r="B9">
        <v>113.5</v>
      </c>
      <c r="C9">
        <v>91.4</v>
      </c>
      <c r="D9">
        <v>19.5</v>
      </c>
      <c r="E9">
        <v>83.4</v>
      </c>
      <c r="F9">
        <v>73.3</v>
      </c>
      <c r="G9">
        <v>106.4</v>
      </c>
      <c r="H9">
        <v>49.9</v>
      </c>
      <c r="I9">
        <v>21.8</v>
      </c>
      <c r="J9">
        <v>91.4</v>
      </c>
    </row>
    <row r="10" spans="1:10" x14ac:dyDescent="0.25">
      <c r="A10" t="s">
        <v>289</v>
      </c>
      <c r="B10">
        <v>105.2</v>
      </c>
      <c r="C10">
        <v>88</v>
      </c>
      <c r="D10">
        <v>16.3</v>
      </c>
      <c r="E10">
        <v>85.2</v>
      </c>
      <c r="F10">
        <v>70.8</v>
      </c>
      <c r="G10">
        <v>95.8</v>
      </c>
      <c r="H10">
        <v>60</v>
      </c>
      <c r="I10">
        <v>29.8</v>
      </c>
      <c r="J10">
        <v>85.5</v>
      </c>
    </row>
    <row r="11" spans="1:10" x14ac:dyDescent="0.25">
      <c r="A11" t="s">
        <v>290</v>
      </c>
      <c r="B11">
        <v>113.4</v>
      </c>
      <c r="C11">
        <v>97.6</v>
      </c>
      <c r="D11">
        <v>14</v>
      </c>
      <c r="E11">
        <v>83.3</v>
      </c>
      <c r="F11">
        <v>73.5</v>
      </c>
      <c r="G11">
        <v>117</v>
      </c>
      <c r="H11">
        <v>55.7</v>
      </c>
      <c r="I11">
        <v>25.3</v>
      </c>
      <c r="J11">
        <v>101.3</v>
      </c>
    </row>
    <row r="12" spans="1:10" x14ac:dyDescent="0.25">
      <c r="A12" t="s">
        <v>291</v>
      </c>
      <c r="B12">
        <v>89.2</v>
      </c>
      <c r="C12">
        <v>74.400000000000006</v>
      </c>
      <c r="D12">
        <v>16.600000000000001</v>
      </c>
      <c r="E12">
        <v>87.5</v>
      </c>
      <c r="F12">
        <v>82.6</v>
      </c>
      <c r="G12">
        <v>71.7</v>
      </c>
      <c r="H12">
        <v>44.8</v>
      </c>
      <c r="I12">
        <v>22.9</v>
      </c>
      <c r="J12">
        <v>63.5</v>
      </c>
    </row>
    <row r="13" spans="1:10" x14ac:dyDescent="0.25">
      <c r="A13" t="s">
        <v>292</v>
      </c>
      <c r="B13">
        <v>100.2</v>
      </c>
      <c r="C13">
        <v>68.3</v>
      </c>
      <c r="D13">
        <v>31.8</v>
      </c>
      <c r="E13">
        <v>86.2</v>
      </c>
      <c r="F13">
        <v>70.3</v>
      </c>
      <c r="G13">
        <v>82.7</v>
      </c>
      <c r="H13">
        <v>40.299999999999997</v>
      </c>
      <c r="I13">
        <v>21</v>
      </c>
      <c r="J13">
        <v>65.5</v>
      </c>
    </row>
    <row r="14" spans="1:10" x14ac:dyDescent="0.25">
      <c r="A14" t="s">
        <v>293</v>
      </c>
      <c r="B14">
        <v>137.4</v>
      </c>
      <c r="C14">
        <v>96.2</v>
      </c>
      <c r="D14">
        <v>30</v>
      </c>
      <c r="E14">
        <v>75.5</v>
      </c>
      <c r="F14">
        <v>72.400000000000006</v>
      </c>
      <c r="G14">
        <v>116.2</v>
      </c>
      <c r="H14">
        <v>41.1</v>
      </c>
      <c r="I14">
        <v>18.899999999999999</v>
      </c>
      <c r="J14">
        <v>94.8</v>
      </c>
    </row>
    <row r="15" spans="1:10" x14ac:dyDescent="0.25">
      <c r="A15" t="s">
        <v>294</v>
      </c>
      <c r="B15">
        <v>133.69999999999999</v>
      </c>
      <c r="C15">
        <v>87.7</v>
      </c>
      <c r="D15">
        <v>34.4</v>
      </c>
      <c r="E15">
        <v>81.8</v>
      </c>
      <c r="F15">
        <v>71.7</v>
      </c>
      <c r="G15">
        <v>109.7</v>
      </c>
      <c r="H15">
        <v>42.9</v>
      </c>
      <c r="I15">
        <v>18.3</v>
      </c>
      <c r="J15">
        <v>84.3</v>
      </c>
    </row>
    <row r="16" spans="1:10" x14ac:dyDescent="0.25">
      <c r="A16" t="s">
        <v>295</v>
      </c>
      <c r="B16">
        <v>112.6</v>
      </c>
      <c r="C16">
        <v>88.9</v>
      </c>
      <c r="D16">
        <v>21.1</v>
      </c>
      <c r="E16">
        <v>77.8</v>
      </c>
      <c r="F16">
        <v>72.099999999999994</v>
      </c>
      <c r="G16">
        <v>100</v>
      </c>
      <c r="H16">
        <v>42.5</v>
      </c>
      <c r="I16">
        <v>16.5</v>
      </c>
      <c r="J16">
        <v>83.3</v>
      </c>
    </row>
    <row r="17" spans="1:10" x14ac:dyDescent="0.25">
      <c r="A17" t="s">
        <v>296</v>
      </c>
      <c r="B17">
        <v>86.4</v>
      </c>
      <c r="C17">
        <v>63.9</v>
      </c>
      <c r="D17">
        <v>26.1</v>
      </c>
      <c r="E17">
        <v>101</v>
      </c>
      <c r="F17">
        <v>61.6</v>
      </c>
      <c r="G17">
        <v>79.599999999999994</v>
      </c>
      <c r="H17">
        <v>39.1</v>
      </c>
      <c r="I17">
        <v>13.6</v>
      </c>
      <c r="J17">
        <v>65.2</v>
      </c>
    </row>
    <row r="18" spans="1:10" x14ac:dyDescent="0.25">
      <c r="A18" t="s">
        <v>297</v>
      </c>
      <c r="B18">
        <v>90.8</v>
      </c>
      <c r="C18">
        <v>74</v>
      </c>
      <c r="D18">
        <v>18.5</v>
      </c>
      <c r="E18">
        <v>94</v>
      </c>
      <c r="F18">
        <v>84.7</v>
      </c>
      <c r="G18">
        <v>91.4</v>
      </c>
      <c r="H18">
        <v>56.2</v>
      </c>
      <c r="I18">
        <v>36.5</v>
      </c>
      <c r="J18">
        <v>82.4</v>
      </c>
    </row>
    <row r="19" spans="1:10" x14ac:dyDescent="0.25">
      <c r="A19" t="s">
        <v>298</v>
      </c>
      <c r="B19">
        <v>95</v>
      </c>
      <c r="C19">
        <v>65.099999999999994</v>
      </c>
      <c r="D19">
        <v>31.5</v>
      </c>
      <c r="E19">
        <v>86.7</v>
      </c>
      <c r="F19">
        <v>70.099999999999994</v>
      </c>
      <c r="G19">
        <v>85.2</v>
      </c>
      <c r="H19">
        <v>42</v>
      </c>
      <c r="I19">
        <v>19.600000000000001</v>
      </c>
      <c r="J19">
        <v>72</v>
      </c>
    </row>
    <row r="20" spans="1:10" x14ac:dyDescent="0.25">
      <c r="A20" t="s">
        <v>299</v>
      </c>
      <c r="B20">
        <v>138.4</v>
      </c>
      <c r="C20">
        <v>87.9</v>
      </c>
      <c r="D20">
        <v>36.5</v>
      </c>
      <c r="E20">
        <v>83.6</v>
      </c>
      <c r="F20">
        <v>84.3</v>
      </c>
      <c r="G20">
        <v>123.2</v>
      </c>
      <c r="H20">
        <v>53.5</v>
      </c>
      <c r="I20">
        <v>25.3</v>
      </c>
      <c r="J20">
        <v>90</v>
      </c>
    </row>
    <row r="21" spans="1:10" x14ac:dyDescent="0.25">
      <c r="A21" t="s">
        <v>300</v>
      </c>
      <c r="B21">
        <v>123.1</v>
      </c>
      <c r="C21">
        <v>98.9</v>
      </c>
      <c r="D21">
        <v>19.7</v>
      </c>
      <c r="E21">
        <v>81.900000000000006</v>
      </c>
      <c r="F21">
        <v>70.7</v>
      </c>
      <c r="G21">
        <v>118.3</v>
      </c>
      <c r="H21">
        <v>60</v>
      </c>
      <c r="I21">
        <v>25.9</v>
      </c>
      <c r="J21">
        <v>99.2</v>
      </c>
    </row>
    <row r="22" spans="1:10" x14ac:dyDescent="0.25">
      <c r="A22" t="s">
        <v>301</v>
      </c>
      <c r="B22">
        <v>131.5</v>
      </c>
      <c r="C22">
        <v>99.1</v>
      </c>
      <c r="D22">
        <v>24.7</v>
      </c>
      <c r="E22">
        <v>85.8</v>
      </c>
      <c r="F22">
        <v>75</v>
      </c>
      <c r="G22">
        <v>116.9</v>
      </c>
      <c r="H22">
        <v>49.2</v>
      </c>
      <c r="I22">
        <v>21.2</v>
      </c>
      <c r="J22">
        <v>97.4</v>
      </c>
    </row>
    <row r="23" spans="1:10" x14ac:dyDescent="0.25">
      <c r="A23" t="s">
        <v>302</v>
      </c>
      <c r="B23">
        <v>195.3</v>
      </c>
      <c r="C23">
        <v>98.1</v>
      </c>
      <c r="D23">
        <v>49.8</v>
      </c>
      <c r="E23">
        <v>88.7</v>
      </c>
      <c r="F23">
        <v>71.900000000000006</v>
      </c>
      <c r="G23">
        <v>141.80000000000001</v>
      </c>
      <c r="H23">
        <v>47</v>
      </c>
      <c r="I23">
        <v>18.7</v>
      </c>
      <c r="J23">
        <v>99.7</v>
      </c>
    </row>
    <row r="24" spans="1:10" x14ac:dyDescent="0.25">
      <c r="A24" t="s">
        <v>303</v>
      </c>
      <c r="B24">
        <v>114.5</v>
      </c>
      <c r="C24">
        <v>90.7</v>
      </c>
      <c r="D24">
        <v>20.8</v>
      </c>
      <c r="E24">
        <v>84.1</v>
      </c>
      <c r="F24">
        <v>79.599999999999994</v>
      </c>
      <c r="G24">
        <v>111.3</v>
      </c>
      <c r="H24">
        <v>51.8</v>
      </c>
      <c r="I24">
        <v>23.8</v>
      </c>
      <c r="J24">
        <v>93.7</v>
      </c>
    </row>
    <row r="25" spans="1:10" x14ac:dyDescent="0.25">
      <c r="A25" t="s">
        <v>304</v>
      </c>
      <c r="B25">
        <v>147.30000000000001</v>
      </c>
      <c r="C25">
        <v>95.6</v>
      </c>
      <c r="D25">
        <v>35.1</v>
      </c>
      <c r="E25">
        <v>73.3</v>
      </c>
      <c r="F25">
        <v>75.2</v>
      </c>
      <c r="G25">
        <v>127.7</v>
      </c>
      <c r="H25">
        <v>40.5</v>
      </c>
      <c r="I25">
        <v>19.100000000000001</v>
      </c>
      <c r="J25">
        <v>97.6</v>
      </c>
    </row>
    <row r="26" spans="1:10" x14ac:dyDescent="0.25">
      <c r="A26" t="s">
        <v>305</v>
      </c>
      <c r="B26">
        <v>124.7</v>
      </c>
      <c r="C26">
        <v>98.7</v>
      </c>
      <c r="D26">
        <v>20.9</v>
      </c>
      <c r="E26">
        <v>88.1</v>
      </c>
      <c r="F26">
        <v>72.3</v>
      </c>
      <c r="G26">
        <v>118.7</v>
      </c>
      <c r="H26">
        <v>66.8</v>
      </c>
      <c r="I26">
        <v>30.5</v>
      </c>
      <c r="J26">
        <v>98.2</v>
      </c>
    </row>
    <row r="27" spans="1:10" x14ac:dyDescent="0.25">
      <c r="A27" t="s">
        <v>306</v>
      </c>
      <c r="B27">
        <v>106</v>
      </c>
      <c r="C27">
        <v>97.5</v>
      </c>
      <c r="D27">
        <v>7.9</v>
      </c>
      <c r="E27">
        <v>87.9</v>
      </c>
      <c r="F27">
        <v>75</v>
      </c>
      <c r="G27">
        <v>105.2</v>
      </c>
      <c r="H27">
        <v>68.8</v>
      </c>
      <c r="I27">
        <v>37.700000000000003</v>
      </c>
      <c r="J27">
        <v>95.9</v>
      </c>
    </row>
    <row r="28" spans="1:10" x14ac:dyDescent="0.25">
      <c r="A28" t="s">
        <v>307</v>
      </c>
      <c r="B28">
        <v>133.80000000000001</v>
      </c>
      <c r="C28">
        <v>87.2</v>
      </c>
      <c r="D28">
        <v>34.799999999999997</v>
      </c>
      <c r="E28">
        <v>76</v>
      </c>
      <c r="F28">
        <v>66.599999999999994</v>
      </c>
      <c r="G28">
        <v>117.6</v>
      </c>
      <c r="H28">
        <v>48.1</v>
      </c>
      <c r="I28">
        <v>17.5</v>
      </c>
      <c r="J28">
        <v>96.3</v>
      </c>
    </row>
    <row r="29" spans="1:10" x14ac:dyDescent="0.25">
      <c r="A29" t="s">
        <v>266</v>
      </c>
      <c r="B29">
        <v>116.5</v>
      </c>
      <c r="C29">
        <v>90.4</v>
      </c>
      <c r="D29">
        <v>22.4</v>
      </c>
      <c r="E29">
        <v>83.4</v>
      </c>
      <c r="F29">
        <v>74.2</v>
      </c>
      <c r="G29">
        <v>108.7</v>
      </c>
      <c r="H29">
        <v>52.8</v>
      </c>
      <c r="I29">
        <v>24.7</v>
      </c>
      <c r="J29">
        <v>92.4</v>
      </c>
    </row>
    <row r="30" spans="1:10" x14ac:dyDescent="0.25">
      <c r="A30" t="s">
        <v>459</v>
      </c>
      <c r="B30">
        <v>94.4</v>
      </c>
      <c r="C30">
        <v>73.900000000000006</v>
      </c>
      <c r="D30">
        <v>21.7</v>
      </c>
      <c r="E30">
        <v>95.7</v>
      </c>
      <c r="F30">
        <v>97</v>
      </c>
      <c r="G30">
        <v>89.5</v>
      </c>
      <c r="H30">
        <v>54.1</v>
      </c>
      <c r="I30">
        <v>38.6</v>
      </c>
      <c r="J30">
        <v>78.7</v>
      </c>
    </row>
    <row r="31" spans="1:10" x14ac:dyDescent="0.25">
      <c r="A31" t="s">
        <v>460</v>
      </c>
      <c r="B31">
        <v>122.3</v>
      </c>
      <c r="C31">
        <v>94.7</v>
      </c>
      <c r="D31">
        <v>22.5</v>
      </c>
      <c r="E31">
        <v>80.900000000000006</v>
      </c>
      <c r="F31">
        <v>67.7</v>
      </c>
      <c r="G31">
        <v>113.5</v>
      </c>
      <c r="H31">
        <v>52.5</v>
      </c>
      <c r="I31">
        <v>21.1</v>
      </c>
      <c r="J31">
        <v>95.8</v>
      </c>
    </row>
  </sheetData>
  <mergeCells count="3">
    <mergeCell ref="A1:J1"/>
    <mergeCell ref="A2:A3"/>
    <mergeCell ref="G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K31"/>
  <sheetViews>
    <sheetView topLeftCell="A7" workbookViewId="0">
      <selection sqref="A1:K1"/>
    </sheetView>
  </sheetViews>
  <sheetFormatPr defaultRowHeight="15" x14ac:dyDescent="0.25"/>
  <cols>
    <col min="1" max="1" width="24.140625" customWidth="1"/>
    <col min="2" max="2" width="13.42578125" customWidth="1"/>
    <col min="3" max="3" width="14" customWidth="1"/>
    <col min="4" max="4" width="13.42578125" customWidth="1"/>
    <col min="6" max="6" width="14" customWidth="1"/>
    <col min="7" max="7" width="13.42578125" customWidth="1"/>
    <col min="8" max="8" width="14.85546875" customWidth="1"/>
    <col min="9" max="9" width="15.140625" customWidth="1"/>
    <col min="10" max="10" width="14.85546875" customWidth="1"/>
  </cols>
  <sheetData>
    <row r="1" spans="1:11" x14ac:dyDescent="0.25">
      <c r="A1" s="29" t="s">
        <v>557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252</v>
      </c>
      <c r="B2" s="29" t="s">
        <v>558</v>
      </c>
      <c r="C2" s="29"/>
      <c r="D2" s="29" t="s">
        <v>559</v>
      </c>
      <c r="E2" s="29"/>
      <c r="F2" s="29" t="s">
        <v>560</v>
      </c>
      <c r="G2" s="29"/>
      <c r="H2" s="29" t="s">
        <v>561</v>
      </c>
      <c r="I2" s="29"/>
      <c r="J2" s="29" t="s">
        <v>562</v>
      </c>
      <c r="K2" s="29"/>
    </row>
    <row r="3" spans="1:11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1" x14ac:dyDescent="0.25">
      <c r="A4" t="s">
        <v>283</v>
      </c>
      <c r="B4">
        <v>105.1</v>
      </c>
      <c r="C4">
        <v>104</v>
      </c>
      <c r="D4">
        <v>84.1</v>
      </c>
      <c r="E4">
        <v>85.5</v>
      </c>
      <c r="F4">
        <v>19.899999999999999</v>
      </c>
      <c r="G4">
        <v>17.7</v>
      </c>
      <c r="H4">
        <v>83.9</v>
      </c>
      <c r="I4">
        <v>86.3</v>
      </c>
      <c r="J4">
        <v>71.2</v>
      </c>
      <c r="K4">
        <v>74.2</v>
      </c>
    </row>
    <row r="5" spans="1:11" x14ac:dyDescent="0.25">
      <c r="A5" t="s">
        <v>284</v>
      </c>
      <c r="B5">
        <v>126.6</v>
      </c>
      <c r="C5">
        <v>125.2</v>
      </c>
      <c r="D5">
        <v>98.1</v>
      </c>
      <c r="E5">
        <v>99.4</v>
      </c>
      <c r="F5">
        <v>22.5</v>
      </c>
      <c r="G5">
        <v>20.6</v>
      </c>
      <c r="H5">
        <v>81.2</v>
      </c>
      <c r="I5">
        <v>83.6</v>
      </c>
      <c r="J5">
        <v>75.5</v>
      </c>
      <c r="K5">
        <v>77.5</v>
      </c>
    </row>
    <row r="6" spans="1:11" x14ac:dyDescent="0.25">
      <c r="A6" t="s">
        <v>285</v>
      </c>
      <c r="B6">
        <v>124.7</v>
      </c>
      <c r="C6">
        <v>119</v>
      </c>
      <c r="D6">
        <v>93.6</v>
      </c>
      <c r="E6">
        <v>94.3</v>
      </c>
      <c r="F6">
        <v>24.9</v>
      </c>
      <c r="G6">
        <v>20.8</v>
      </c>
      <c r="H6">
        <v>83.2</v>
      </c>
      <c r="I6">
        <v>87.7</v>
      </c>
      <c r="J6">
        <v>79.400000000000006</v>
      </c>
      <c r="K6">
        <v>83.1</v>
      </c>
    </row>
    <row r="7" spans="1:11" x14ac:dyDescent="0.25">
      <c r="A7" t="s">
        <v>286</v>
      </c>
      <c r="B7">
        <v>102.2</v>
      </c>
      <c r="C7">
        <v>100.7</v>
      </c>
      <c r="D7">
        <v>90.9</v>
      </c>
      <c r="E7">
        <v>90.2</v>
      </c>
      <c r="F7">
        <v>11</v>
      </c>
      <c r="G7">
        <v>10.4</v>
      </c>
      <c r="H7">
        <v>86.8</v>
      </c>
      <c r="I7">
        <v>90.2</v>
      </c>
      <c r="J7">
        <v>75.599999999999994</v>
      </c>
      <c r="K7">
        <v>77.2</v>
      </c>
    </row>
    <row r="8" spans="1:11" x14ac:dyDescent="0.25">
      <c r="A8" t="s">
        <v>287</v>
      </c>
      <c r="B8">
        <v>103</v>
      </c>
      <c r="C8">
        <v>100</v>
      </c>
      <c r="D8">
        <v>88.1</v>
      </c>
      <c r="E8">
        <v>87.1</v>
      </c>
      <c r="F8">
        <v>14.4</v>
      </c>
      <c r="G8">
        <v>12.9</v>
      </c>
      <c r="H8">
        <v>85.9</v>
      </c>
      <c r="I8">
        <v>88.3</v>
      </c>
      <c r="J8">
        <v>71.8</v>
      </c>
      <c r="K8">
        <v>71.400000000000006</v>
      </c>
    </row>
    <row r="9" spans="1:11" x14ac:dyDescent="0.25">
      <c r="A9" t="s">
        <v>288</v>
      </c>
      <c r="B9">
        <v>112.7</v>
      </c>
      <c r="C9">
        <v>111.8</v>
      </c>
      <c r="D9">
        <v>92.4</v>
      </c>
      <c r="E9">
        <v>93.4</v>
      </c>
      <c r="F9">
        <v>18</v>
      </c>
      <c r="G9">
        <v>16.5</v>
      </c>
      <c r="H9">
        <v>86</v>
      </c>
      <c r="I9">
        <v>88.4</v>
      </c>
      <c r="J9">
        <v>76.8</v>
      </c>
      <c r="K9">
        <v>79.8</v>
      </c>
    </row>
    <row r="10" spans="1:11" x14ac:dyDescent="0.25">
      <c r="A10" t="s">
        <v>289</v>
      </c>
      <c r="B10">
        <v>102.2</v>
      </c>
      <c r="C10">
        <v>98.9</v>
      </c>
      <c r="D10">
        <v>86.8</v>
      </c>
      <c r="E10">
        <v>85.5</v>
      </c>
      <c r="F10">
        <v>15</v>
      </c>
      <c r="G10">
        <v>13.5</v>
      </c>
      <c r="H10">
        <v>88.4</v>
      </c>
      <c r="I10">
        <v>91.7</v>
      </c>
      <c r="J10">
        <v>74.599999999999994</v>
      </c>
      <c r="K10">
        <v>78.599999999999994</v>
      </c>
    </row>
    <row r="11" spans="1:11" x14ac:dyDescent="0.25">
      <c r="A11" t="s">
        <v>290</v>
      </c>
      <c r="B11">
        <v>111.3</v>
      </c>
      <c r="C11">
        <v>109</v>
      </c>
      <c r="D11">
        <v>97.2</v>
      </c>
      <c r="E11">
        <v>96.8</v>
      </c>
      <c r="F11">
        <v>12.7</v>
      </c>
      <c r="G11">
        <v>11.2</v>
      </c>
      <c r="H11">
        <v>87.5</v>
      </c>
      <c r="I11">
        <v>91.8</v>
      </c>
      <c r="J11">
        <v>77.3</v>
      </c>
      <c r="K11">
        <v>80.8</v>
      </c>
    </row>
    <row r="12" spans="1:11" x14ac:dyDescent="0.25">
      <c r="A12" t="s">
        <v>291</v>
      </c>
      <c r="B12">
        <v>87.1</v>
      </c>
      <c r="C12">
        <v>84.7</v>
      </c>
      <c r="D12">
        <v>74.2</v>
      </c>
      <c r="E12">
        <v>74</v>
      </c>
      <c r="F12">
        <v>14.8</v>
      </c>
      <c r="G12">
        <v>12.7</v>
      </c>
      <c r="H12">
        <v>89.8</v>
      </c>
      <c r="I12">
        <v>92.5</v>
      </c>
      <c r="J12">
        <v>81.8</v>
      </c>
      <c r="K12">
        <v>80.900000000000006</v>
      </c>
    </row>
    <row r="13" spans="1:11" x14ac:dyDescent="0.25">
      <c r="A13" t="s">
        <v>292</v>
      </c>
      <c r="B13">
        <v>98.9</v>
      </c>
      <c r="C13">
        <v>97.5</v>
      </c>
      <c r="D13">
        <v>70.900000000000006</v>
      </c>
      <c r="E13">
        <v>73.599999999999994</v>
      </c>
      <c r="F13">
        <v>28.3</v>
      </c>
      <c r="G13">
        <v>24.4</v>
      </c>
      <c r="H13">
        <v>87</v>
      </c>
      <c r="I13">
        <v>87.7</v>
      </c>
      <c r="J13">
        <v>70.599999999999994</v>
      </c>
      <c r="K13">
        <v>70.900000000000006</v>
      </c>
    </row>
    <row r="14" spans="1:11" x14ac:dyDescent="0.25">
      <c r="A14" t="s">
        <v>293</v>
      </c>
      <c r="B14">
        <v>132.1</v>
      </c>
      <c r="C14">
        <v>126.5</v>
      </c>
      <c r="D14">
        <v>95</v>
      </c>
      <c r="E14">
        <v>93.8</v>
      </c>
      <c r="F14">
        <v>28.1</v>
      </c>
      <c r="G14">
        <v>25.9</v>
      </c>
      <c r="H14">
        <v>77.5</v>
      </c>
      <c r="I14">
        <v>79.3</v>
      </c>
      <c r="J14">
        <v>72.8</v>
      </c>
      <c r="K14">
        <v>73.099999999999994</v>
      </c>
    </row>
    <row r="15" spans="1:11" x14ac:dyDescent="0.25">
      <c r="A15" t="s">
        <v>294</v>
      </c>
      <c r="B15">
        <v>133</v>
      </c>
      <c r="C15">
        <v>132.30000000000001</v>
      </c>
      <c r="D15">
        <v>87.3</v>
      </c>
      <c r="E15">
        <v>86.9</v>
      </c>
      <c r="F15">
        <v>34.299999999999997</v>
      </c>
      <c r="G15">
        <v>34.299999999999997</v>
      </c>
      <c r="H15">
        <v>82.7</v>
      </c>
      <c r="I15">
        <v>83.6</v>
      </c>
      <c r="J15">
        <v>75.599999999999994</v>
      </c>
      <c r="K15">
        <v>79.099999999999994</v>
      </c>
    </row>
    <row r="16" spans="1:11" x14ac:dyDescent="0.25">
      <c r="A16" t="s">
        <v>295</v>
      </c>
      <c r="B16">
        <v>111.1</v>
      </c>
      <c r="C16">
        <v>109.5</v>
      </c>
      <c r="D16">
        <v>88.7</v>
      </c>
      <c r="E16">
        <v>88.4</v>
      </c>
      <c r="F16">
        <v>20.2</v>
      </c>
      <c r="G16">
        <v>19.3</v>
      </c>
      <c r="H16">
        <v>80.7</v>
      </c>
      <c r="I16">
        <v>83.7</v>
      </c>
      <c r="J16">
        <v>72.2</v>
      </c>
      <c r="K16">
        <v>72.2</v>
      </c>
    </row>
    <row r="17" spans="1:11" x14ac:dyDescent="0.25">
      <c r="A17" t="s">
        <v>296</v>
      </c>
      <c r="B17">
        <v>81.900000000000006</v>
      </c>
      <c r="C17">
        <v>77.2</v>
      </c>
      <c r="D17">
        <v>63.2</v>
      </c>
      <c r="E17">
        <v>62.5</v>
      </c>
      <c r="F17">
        <v>22.9</v>
      </c>
      <c r="G17">
        <v>19.100000000000001</v>
      </c>
      <c r="H17">
        <v>95.5</v>
      </c>
      <c r="I17">
        <v>90.6</v>
      </c>
      <c r="J17">
        <v>70</v>
      </c>
      <c r="K17">
        <v>78.599999999999994</v>
      </c>
    </row>
    <row r="18" spans="1:11" x14ac:dyDescent="0.25">
      <c r="A18" t="s">
        <v>297</v>
      </c>
      <c r="B18">
        <v>87.9</v>
      </c>
      <c r="C18">
        <v>84.8</v>
      </c>
      <c r="D18">
        <v>73.3</v>
      </c>
      <c r="E18">
        <v>72.599999999999994</v>
      </c>
      <c r="F18">
        <v>16.600000000000001</v>
      </c>
      <c r="G18">
        <v>14.4</v>
      </c>
      <c r="H18">
        <v>94.6</v>
      </c>
      <c r="I18">
        <v>95.1</v>
      </c>
      <c r="J18">
        <v>87.3</v>
      </c>
      <c r="K18">
        <v>89.9</v>
      </c>
    </row>
    <row r="19" spans="1:11" x14ac:dyDescent="0.25">
      <c r="A19" t="s">
        <v>298</v>
      </c>
      <c r="B19">
        <v>94</v>
      </c>
      <c r="C19">
        <v>92.9</v>
      </c>
      <c r="D19">
        <v>66.400000000000006</v>
      </c>
      <c r="E19">
        <v>67.8</v>
      </c>
      <c r="F19">
        <v>29.4</v>
      </c>
      <c r="G19">
        <v>27.1</v>
      </c>
      <c r="H19">
        <v>86.7</v>
      </c>
      <c r="I19">
        <v>86.7</v>
      </c>
      <c r="J19">
        <v>74.900000000000006</v>
      </c>
      <c r="K19">
        <v>80.099999999999994</v>
      </c>
    </row>
    <row r="20" spans="1:11" x14ac:dyDescent="0.25">
      <c r="A20" t="s">
        <v>299</v>
      </c>
      <c r="B20">
        <v>135.69999999999999</v>
      </c>
      <c r="C20">
        <v>133</v>
      </c>
      <c r="D20">
        <v>86.7</v>
      </c>
      <c r="E20">
        <v>85.6</v>
      </c>
      <c r="F20">
        <v>36.1</v>
      </c>
      <c r="G20">
        <v>35.700000000000003</v>
      </c>
      <c r="H20">
        <v>83.4</v>
      </c>
      <c r="I20">
        <v>83.2</v>
      </c>
      <c r="J20">
        <v>81.2</v>
      </c>
      <c r="K20">
        <v>78.5</v>
      </c>
    </row>
    <row r="21" spans="1:11" x14ac:dyDescent="0.25">
      <c r="A21" t="s">
        <v>300</v>
      </c>
      <c r="B21">
        <v>119.1</v>
      </c>
      <c r="C21">
        <v>114.9</v>
      </c>
      <c r="D21">
        <v>96.2</v>
      </c>
      <c r="E21">
        <v>93.4</v>
      </c>
      <c r="F21">
        <v>19.2</v>
      </c>
      <c r="G21">
        <v>18.8</v>
      </c>
      <c r="H21">
        <v>85.8</v>
      </c>
      <c r="I21">
        <v>89.8</v>
      </c>
      <c r="J21">
        <v>72.400000000000006</v>
      </c>
      <c r="K21">
        <v>74</v>
      </c>
    </row>
    <row r="22" spans="1:11" x14ac:dyDescent="0.25">
      <c r="A22" t="s">
        <v>301</v>
      </c>
      <c r="B22">
        <v>129.4</v>
      </c>
      <c r="C22">
        <v>127.2</v>
      </c>
      <c r="D22">
        <v>98.6</v>
      </c>
      <c r="E22">
        <v>98.2</v>
      </c>
      <c r="F22">
        <v>23.8</v>
      </c>
      <c r="G22">
        <v>22.8</v>
      </c>
      <c r="H22">
        <v>86.4</v>
      </c>
      <c r="I22">
        <v>86.9</v>
      </c>
      <c r="J22">
        <v>77.2</v>
      </c>
      <c r="K22">
        <v>79.3</v>
      </c>
    </row>
    <row r="23" spans="1:11" x14ac:dyDescent="0.25">
      <c r="A23" t="s">
        <v>302</v>
      </c>
      <c r="B23">
        <v>188.9</v>
      </c>
      <c r="C23">
        <v>182.2</v>
      </c>
      <c r="D23">
        <v>95.6</v>
      </c>
      <c r="E23">
        <v>93.1</v>
      </c>
      <c r="F23">
        <v>49.4</v>
      </c>
      <c r="G23">
        <v>48.9</v>
      </c>
      <c r="H23">
        <v>85.6</v>
      </c>
      <c r="I23">
        <v>82.5</v>
      </c>
      <c r="J23">
        <v>74.599999999999994</v>
      </c>
      <c r="K23">
        <v>77.900000000000006</v>
      </c>
    </row>
    <row r="24" spans="1:11" x14ac:dyDescent="0.25">
      <c r="A24" t="s">
        <v>303</v>
      </c>
      <c r="B24">
        <v>113.2</v>
      </c>
      <c r="C24">
        <v>111.8</v>
      </c>
      <c r="D24">
        <v>91.4</v>
      </c>
      <c r="E24">
        <v>92.1</v>
      </c>
      <c r="F24">
        <v>19.3</v>
      </c>
      <c r="G24">
        <v>17.600000000000001</v>
      </c>
      <c r="H24">
        <v>87.8</v>
      </c>
      <c r="I24">
        <v>91.3</v>
      </c>
      <c r="J24">
        <v>82.1</v>
      </c>
      <c r="K24">
        <v>84.2</v>
      </c>
    </row>
    <row r="25" spans="1:11" x14ac:dyDescent="0.25">
      <c r="A25" t="s">
        <v>304</v>
      </c>
      <c r="B25">
        <v>144.80000000000001</v>
      </c>
      <c r="C25">
        <v>142.19999999999999</v>
      </c>
      <c r="D25">
        <v>97</v>
      </c>
      <c r="E25">
        <v>98.4</v>
      </c>
      <c r="F25">
        <v>33</v>
      </c>
      <c r="G25">
        <v>30.8</v>
      </c>
      <c r="H25">
        <v>73</v>
      </c>
      <c r="I25">
        <v>72.599999999999994</v>
      </c>
      <c r="J25">
        <v>75.599999999999994</v>
      </c>
      <c r="K25">
        <v>76</v>
      </c>
    </row>
    <row r="26" spans="1:11" x14ac:dyDescent="0.25">
      <c r="A26" t="s">
        <v>305</v>
      </c>
      <c r="B26">
        <v>120.8</v>
      </c>
      <c r="C26">
        <v>116.9</v>
      </c>
      <c r="D26">
        <v>98.5</v>
      </c>
      <c r="E26">
        <v>98.3</v>
      </c>
      <c r="F26">
        <v>18.5</v>
      </c>
      <c r="G26">
        <v>15.9</v>
      </c>
      <c r="H26">
        <v>90.3</v>
      </c>
      <c r="I26">
        <v>92.5</v>
      </c>
      <c r="J26">
        <v>75.599999999999994</v>
      </c>
      <c r="K26">
        <v>79</v>
      </c>
    </row>
    <row r="27" spans="1:11" x14ac:dyDescent="0.25">
      <c r="A27" t="s">
        <v>306</v>
      </c>
      <c r="B27">
        <v>103.3</v>
      </c>
      <c r="C27">
        <v>100.5</v>
      </c>
      <c r="D27">
        <v>95.9</v>
      </c>
      <c r="E27">
        <v>94.1</v>
      </c>
      <c r="F27">
        <v>7.2</v>
      </c>
      <c r="G27">
        <v>6.4</v>
      </c>
      <c r="H27">
        <v>90</v>
      </c>
      <c r="I27">
        <v>92.4</v>
      </c>
      <c r="J27">
        <v>77.599999999999994</v>
      </c>
      <c r="K27">
        <v>80.3</v>
      </c>
    </row>
    <row r="28" spans="1:11" x14ac:dyDescent="0.25">
      <c r="A28" t="s">
        <v>307</v>
      </c>
      <c r="B28">
        <v>132.4</v>
      </c>
      <c r="C28">
        <v>131</v>
      </c>
      <c r="D28">
        <v>89.8</v>
      </c>
      <c r="E28">
        <v>92.6</v>
      </c>
      <c r="F28">
        <v>32.200000000000003</v>
      </c>
      <c r="G28">
        <v>29.4</v>
      </c>
      <c r="H28">
        <v>78.8</v>
      </c>
      <c r="I28">
        <v>81.400000000000006</v>
      </c>
      <c r="J28">
        <v>70.099999999999994</v>
      </c>
      <c r="K28">
        <v>73</v>
      </c>
    </row>
    <row r="29" spans="1:11" x14ac:dyDescent="0.25">
      <c r="A29" t="s">
        <v>266</v>
      </c>
      <c r="B29">
        <v>114</v>
      </c>
      <c r="C29">
        <v>111.4</v>
      </c>
      <c r="D29">
        <v>90.3</v>
      </c>
      <c r="E29">
        <v>90.2</v>
      </c>
      <c r="F29">
        <v>20.8</v>
      </c>
      <c r="G29">
        <v>19</v>
      </c>
      <c r="H29">
        <v>86</v>
      </c>
      <c r="I29">
        <v>88.5</v>
      </c>
      <c r="J29">
        <v>76.8</v>
      </c>
      <c r="K29">
        <v>79.2</v>
      </c>
    </row>
    <row r="30" spans="1:11" x14ac:dyDescent="0.25">
      <c r="A30" t="s">
        <v>459</v>
      </c>
      <c r="B30">
        <v>92.4</v>
      </c>
      <c r="C30">
        <v>90.3</v>
      </c>
      <c r="D30">
        <v>74.2</v>
      </c>
      <c r="E30">
        <v>74.5</v>
      </c>
      <c r="F30">
        <v>19.7</v>
      </c>
      <c r="G30">
        <v>17.5</v>
      </c>
      <c r="H30">
        <v>96.7</v>
      </c>
      <c r="I30">
        <v>97.7</v>
      </c>
      <c r="J30">
        <v>99.9</v>
      </c>
      <c r="K30">
        <v>102.9</v>
      </c>
    </row>
    <row r="31" spans="1:11" x14ac:dyDescent="0.25">
      <c r="A31" t="s">
        <v>460</v>
      </c>
      <c r="B31">
        <v>119.6</v>
      </c>
      <c r="C31">
        <v>116.8</v>
      </c>
      <c r="D31">
        <v>94.5</v>
      </c>
      <c r="E31">
        <v>94.3</v>
      </c>
      <c r="F31">
        <v>21</v>
      </c>
      <c r="G31">
        <v>19.3</v>
      </c>
      <c r="H31">
        <v>83.8</v>
      </c>
      <c r="I31">
        <v>86.6</v>
      </c>
      <c r="J31">
        <v>70.5</v>
      </c>
      <c r="K31">
        <v>73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M31"/>
  <sheetViews>
    <sheetView workbookViewId="0">
      <selection sqref="A1:M1"/>
    </sheetView>
  </sheetViews>
  <sheetFormatPr defaultRowHeight="15" x14ac:dyDescent="0.25"/>
  <cols>
    <col min="1" max="1" width="25.85546875" customWidth="1"/>
    <col min="2" max="2" width="11.42578125" customWidth="1"/>
    <col min="3" max="3" width="11.85546875" customWidth="1"/>
    <col min="4" max="4" width="11.42578125" customWidth="1"/>
    <col min="5" max="5" width="11.85546875" customWidth="1"/>
    <col min="6" max="6" width="11.42578125" customWidth="1"/>
    <col min="7" max="7" width="11.85546875" customWidth="1"/>
    <col min="8" max="8" width="11.42578125" customWidth="1"/>
    <col min="9" max="9" width="11.85546875" customWidth="1"/>
    <col min="10" max="10" width="11.42578125" customWidth="1"/>
    <col min="11" max="11" width="11.85546875" customWidth="1"/>
    <col min="12" max="12" width="11.42578125" customWidth="1"/>
    <col min="13" max="13" width="11.85546875" customWidth="1"/>
  </cols>
  <sheetData>
    <row r="1" spans="1:13" x14ac:dyDescent="0.25">
      <c r="A1" s="29" t="s">
        <v>563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564</v>
      </c>
      <c r="C2" s="29"/>
      <c r="D2" s="29"/>
      <c r="E2" s="29" t="s">
        <v>565</v>
      </c>
      <c r="F2" s="29"/>
      <c r="G2" s="29"/>
      <c r="H2" s="29" t="s">
        <v>566</v>
      </c>
      <c r="I2" s="29"/>
      <c r="J2" s="29"/>
      <c r="K2" s="29" t="s">
        <v>567</v>
      </c>
      <c r="L2" s="29"/>
      <c r="M2" s="29"/>
    </row>
    <row r="3" spans="1:13" x14ac:dyDescent="0.25">
      <c r="A3" s="29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3" x14ac:dyDescent="0.25">
      <c r="A4" t="s">
        <v>283</v>
      </c>
      <c r="B4">
        <v>3.6</v>
      </c>
      <c r="C4">
        <v>1.8</v>
      </c>
      <c r="D4">
        <v>1.4</v>
      </c>
      <c r="E4">
        <v>11.9</v>
      </c>
      <c r="F4">
        <v>18.899999999999999</v>
      </c>
      <c r="G4">
        <v>16.600000000000001</v>
      </c>
      <c r="H4">
        <v>2.4</v>
      </c>
      <c r="I4">
        <v>0.9</v>
      </c>
      <c r="J4">
        <v>1.1000000000000001</v>
      </c>
      <c r="K4">
        <v>10.9</v>
      </c>
      <c r="L4">
        <v>16.2</v>
      </c>
      <c r="M4">
        <v>13.8</v>
      </c>
    </row>
    <row r="5" spans="1:13" x14ac:dyDescent="0.25">
      <c r="A5" t="s">
        <v>284</v>
      </c>
      <c r="B5">
        <v>6.2</v>
      </c>
      <c r="C5">
        <v>3</v>
      </c>
      <c r="D5">
        <v>2.2999999999999998</v>
      </c>
      <c r="E5">
        <v>13.9</v>
      </c>
      <c r="F5">
        <v>22.2</v>
      </c>
      <c r="G5">
        <v>22.2</v>
      </c>
      <c r="H5">
        <v>4.8</v>
      </c>
      <c r="I5">
        <v>1.8</v>
      </c>
      <c r="J5">
        <v>2</v>
      </c>
      <c r="K5">
        <v>12.5</v>
      </c>
      <c r="L5">
        <v>19.899999999999999</v>
      </c>
      <c r="M5">
        <v>20.3</v>
      </c>
    </row>
    <row r="6" spans="1:13" x14ac:dyDescent="0.25">
      <c r="A6" t="s">
        <v>285</v>
      </c>
      <c r="B6">
        <v>9.3000000000000007</v>
      </c>
      <c r="C6">
        <v>3.4</v>
      </c>
      <c r="D6">
        <v>2.6</v>
      </c>
      <c r="E6">
        <v>17.3</v>
      </c>
      <c r="F6">
        <v>20.100000000000001</v>
      </c>
      <c r="G6">
        <v>16.899999999999999</v>
      </c>
      <c r="H6">
        <v>7.1</v>
      </c>
      <c r="I6">
        <v>2</v>
      </c>
      <c r="J6">
        <v>1.9</v>
      </c>
      <c r="K6">
        <v>16.8</v>
      </c>
      <c r="L6">
        <v>17.7</v>
      </c>
      <c r="M6">
        <v>14.9</v>
      </c>
    </row>
    <row r="7" spans="1:13" x14ac:dyDescent="0.25">
      <c r="A7" t="s">
        <v>286</v>
      </c>
      <c r="B7">
        <v>6.1</v>
      </c>
      <c r="C7">
        <v>1.7</v>
      </c>
      <c r="D7">
        <v>2.7</v>
      </c>
      <c r="E7">
        <v>10</v>
      </c>
      <c r="F7">
        <v>21.5</v>
      </c>
      <c r="G7">
        <v>22.5</v>
      </c>
      <c r="H7">
        <v>4.4000000000000004</v>
      </c>
      <c r="I7">
        <v>0.7</v>
      </c>
      <c r="J7">
        <v>1.7</v>
      </c>
      <c r="K7">
        <v>9</v>
      </c>
      <c r="L7">
        <v>19.600000000000001</v>
      </c>
      <c r="M7">
        <v>18.100000000000001</v>
      </c>
    </row>
    <row r="8" spans="1:13" x14ac:dyDescent="0.25">
      <c r="A8" t="s">
        <v>287</v>
      </c>
      <c r="B8">
        <v>4.8</v>
      </c>
      <c r="C8">
        <v>1.2</v>
      </c>
      <c r="D8">
        <v>0.6</v>
      </c>
      <c r="E8">
        <v>10</v>
      </c>
      <c r="F8">
        <v>21.9</v>
      </c>
      <c r="G8">
        <v>19.2</v>
      </c>
      <c r="H8">
        <v>3.8</v>
      </c>
      <c r="I8">
        <v>0.6</v>
      </c>
      <c r="J8">
        <v>0.6</v>
      </c>
      <c r="K8">
        <v>8.8000000000000007</v>
      </c>
      <c r="L8">
        <v>19.7</v>
      </c>
      <c r="M8">
        <v>16</v>
      </c>
    </row>
    <row r="9" spans="1:13" x14ac:dyDescent="0.25">
      <c r="A9" t="s">
        <v>288</v>
      </c>
      <c r="B9">
        <v>8.1999999999999993</v>
      </c>
      <c r="C9">
        <v>2.6</v>
      </c>
      <c r="D9">
        <v>1.7</v>
      </c>
      <c r="E9">
        <v>13.5</v>
      </c>
      <c r="F9">
        <v>25.5</v>
      </c>
      <c r="G9">
        <v>23.1</v>
      </c>
      <c r="H9">
        <v>6.2</v>
      </c>
      <c r="I9">
        <v>1.5</v>
      </c>
      <c r="J9">
        <v>1.3</v>
      </c>
      <c r="K9">
        <v>12.8</v>
      </c>
      <c r="L9">
        <v>23.4</v>
      </c>
      <c r="M9">
        <v>20.2</v>
      </c>
    </row>
    <row r="10" spans="1:13" x14ac:dyDescent="0.25">
      <c r="A10" t="s">
        <v>289</v>
      </c>
      <c r="B10">
        <v>4.3</v>
      </c>
      <c r="C10">
        <v>2.7</v>
      </c>
      <c r="D10">
        <v>1.9</v>
      </c>
      <c r="E10">
        <v>10</v>
      </c>
      <c r="F10">
        <v>21.7</v>
      </c>
      <c r="G10">
        <v>20.6</v>
      </c>
      <c r="H10">
        <v>3</v>
      </c>
      <c r="I10">
        <v>1.2</v>
      </c>
      <c r="J10">
        <v>1.4</v>
      </c>
      <c r="K10">
        <v>9.1</v>
      </c>
      <c r="L10">
        <v>18.7</v>
      </c>
      <c r="M10">
        <v>17</v>
      </c>
    </row>
    <row r="11" spans="1:13" x14ac:dyDescent="0.25">
      <c r="A11" t="s">
        <v>290</v>
      </c>
      <c r="B11">
        <v>8.6</v>
      </c>
      <c r="C11">
        <v>3.5</v>
      </c>
      <c r="D11">
        <v>3.1</v>
      </c>
      <c r="E11">
        <v>12.6</v>
      </c>
      <c r="F11">
        <v>19.3</v>
      </c>
      <c r="G11">
        <v>19.600000000000001</v>
      </c>
      <c r="H11">
        <v>6.3</v>
      </c>
      <c r="I11">
        <v>2.2000000000000002</v>
      </c>
      <c r="J11">
        <v>2.2999999999999998</v>
      </c>
      <c r="K11">
        <v>11.7</v>
      </c>
      <c r="L11">
        <v>16.100000000000001</v>
      </c>
      <c r="M11">
        <v>16.2</v>
      </c>
    </row>
    <row r="12" spans="1:13" x14ac:dyDescent="0.25">
      <c r="A12" t="s">
        <v>291</v>
      </c>
      <c r="B12">
        <v>3.8</v>
      </c>
      <c r="C12">
        <v>4.2</v>
      </c>
      <c r="D12">
        <v>1.9</v>
      </c>
      <c r="E12">
        <v>10.7</v>
      </c>
      <c r="F12">
        <v>20.9</v>
      </c>
      <c r="G12">
        <v>22.7</v>
      </c>
      <c r="H12">
        <v>2.9</v>
      </c>
      <c r="I12">
        <v>2.2000000000000002</v>
      </c>
      <c r="J12">
        <v>1.8</v>
      </c>
      <c r="K12">
        <v>9.8000000000000007</v>
      </c>
      <c r="L12">
        <v>18.3</v>
      </c>
      <c r="M12">
        <v>19.600000000000001</v>
      </c>
    </row>
    <row r="13" spans="1:13" x14ac:dyDescent="0.25">
      <c r="A13" t="s">
        <v>292</v>
      </c>
      <c r="B13">
        <v>4.4000000000000004</v>
      </c>
      <c r="C13">
        <v>2.2000000000000002</v>
      </c>
      <c r="D13">
        <v>2.7</v>
      </c>
      <c r="E13">
        <v>19.5</v>
      </c>
      <c r="F13">
        <v>34</v>
      </c>
      <c r="G13">
        <v>33.1</v>
      </c>
      <c r="H13">
        <v>3.4</v>
      </c>
      <c r="I13">
        <v>1.3</v>
      </c>
      <c r="J13">
        <v>3.2</v>
      </c>
      <c r="K13">
        <v>18</v>
      </c>
      <c r="L13">
        <v>30.6</v>
      </c>
      <c r="M13">
        <v>29.5</v>
      </c>
    </row>
    <row r="14" spans="1:13" x14ac:dyDescent="0.25">
      <c r="A14" t="s">
        <v>293</v>
      </c>
      <c r="B14">
        <v>8</v>
      </c>
      <c r="C14">
        <v>1.9</v>
      </c>
      <c r="D14">
        <v>2.7</v>
      </c>
      <c r="E14">
        <v>17.5</v>
      </c>
      <c r="F14">
        <v>24.3</v>
      </c>
      <c r="G14">
        <v>18.899999999999999</v>
      </c>
      <c r="H14">
        <v>6.2</v>
      </c>
      <c r="I14">
        <v>1.2</v>
      </c>
      <c r="J14">
        <v>2.1</v>
      </c>
      <c r="K14">
        <v>16.600000000000001</v>
      </c>
      <c r="L14">
        <v>21</v>
      </c>
      <c r="M14">
        <v>15.1</v>
      </c>
    </row>
    <row r="15" spans="1:13" x14ac:dyDescent="0.25">
      <c r="A15" t="s">
        <v>294</v>
      </c>
      <c r="B15">
        <v>4.5</v>
      </c>
      <c r="C15">
        <v>3.3</v>
      </c>
      <c r="D15">
        <v>0.2</v>
      </c>
      <c r="E15">
        <v>22.4</v>
      </c>
      <c r="F15">
        <v>38.6</v>
      </c>
      <c r="G15">
        <v>36.200000000000003</v>
      </c>
      <c r="H15">
        <v>3.5</v>
      </c>
      <c r="I15">
        <v>1.7</v>
      </c>
      <c r="J15">
        <v>0</v>
      </c>
      <c r="K15">
        <v>21.5</v>
      </c>
      <c r="L15">
        <v>33.200000000000003</v>
      </c>
      <c r="M15">
        <v>31.1</v>
      </c>
    </row>
    <row r="16" spans="1:13" x14ac:dyDescent="0.25">
      <c r="A16" t="s">
        <v>295</v>
      </c>
      <c r="B16">
        <v>7.5</v>
      </c>
      <c r="C16">
        <v>3.5</v>
      </c>
      <c r="D16">
        <v>1.1000000000000001</v>
      </c>
      <c r="E16">
        <v>15.4</v>
      </c>
      <c r="F16">
        <v>29.4</v>
      </c>
      <c r="G16">
        <v>24.5</v>
      </c>
      <c r="H16">
        <v>5.5</v>
      </c>
      <c r="I16">
        <v>2.5</v>
      </c>
      <c r="J16">
        <v>0.6</v>
      </c>
      <c r="K16">
        <v>14</v>
      </c>
      <c r="L16">
        <v>26.9</v>
      </c>
      <c r="M16">
        <v>21.1</v>
      </c>
    </row>
    <row r="17" spans="1:13" x14ac:dyDescent="0.25">
      <c r="A17" t="s">
        <v>296</v>
      </c>
      <c r="B17">
        <v>6.4</v>
      </c>
      <c r="C17">
        <v>4.0999999999999996</v>
      </c>
      <c r="D17">
        <v>2.6</v>
      </c>
      <c r="E17">
        <v>16.8</v>
      </c>
      <c r="F17">
        <v>28</v>
      </c>
      <c r="G17">
        <v>28.8</v>
      </c>
      <c r="H17">
        <v>4.5</v>
      </c>
      <c r="I17">
        <v>2</v>
      </c>
      <c r="J17">
        <v>2.6</v>
      </c>
      <c r="K17">
        <v>15.5</v>
      </c>
      <c r="L17">
        <v>24.2</v>
      </c>
      <c r="M17">
        <v>25.2</v>
      </c>
    </row>
    <row r="18" spans="1:13" x14ac:dyDescent="0.25">
      <c r="A18" t="s">
        <v>297</v>
      </c>
      <c r="B18">
        <v>2.9</v>
      </c>
      <c r="C18">
        <v>2.6</v>
      </c>
      <c r="D18">
        <v>3</v>
      </c>
      <c r="E18">
        <v>8.6</v>
      </c>
      <c r="F18">
        <v>15.9</v>
      </c>
      <c r="G18">
        <v>19.3</v>
      </c>
      <c r="H18">
        <v>2</v>
      </c>
      <c r="I18">
        <v>1.7</v>
      </c>
      <c r="J18">
        <v>2.6</v>
      </c>
      <c r="K18">
        <v>7.4</v>
      </c>
      <c r="L18">
        <v>13.3</v>
      </c>
      <c r="M18">
        <v>17.100000000000001</v>
      </c>
    </row>
    <row r="19" spans="1:13" x14ac:dyDescent="0.25">
      <c r="A19" t="s">
        <v>298</v>
      </c>
      <c r="B19">
        <v>3.1</v>
      </c>
      <c r="C19">
        <v>2.9</v>
      </c>
      <c r="D19">
        <v>1</v>
      </c>
      <c r="E19">
        <v>13.9</v>
      </c>
      <c r="F19">
        <v>24</v>
      </c>
      <c r="G19">
        <v>17.3</v>
      </c>
      <c r="H19">
        <v>2.4</v>
      </c>
      <c r="I19">
        <v>2</v>
      </c>
      <c r="J19">
        <v>0.9</v>
      </c>
      <c r="K19">
        <v>12.3</v>
      </c>
      <c r="L19">
        <v>21.4</v>
      </c>
      <c r="M19">
        <v>13.6</v>
      </c>
    </row>
    <row r="20" spans="1:13" x14ac:dyDescent="0.25">
      <c r="A20" t="s">
        <v>299</v>
      </c>
      <c r="B20">
        <v>9.4</v>
      </c>
      <c r="C20">
        <v>1.1000000000000001</v>
      </c>
      <c r="D20">
        <v>0.7</v>
      </c>
      <c r="E20">
        <v>26.5</v>
      </c>
      <c r="F20">
        <v>32.4</v>
      </c>
      <c r="G20">
        <v>28.3</v>
      </c>
      <c r="H20">
        <v>7.9</v>
      </c>
      <c r="I20">
        <v>0.8</v>
      </c>
      <c r="J20">
        <v>0.7</v>
      </c>
      <c r="K20">
        <v>26</v>
      </c>
      <c r="L20">
        <v>28.8</v>
      </c>
      <c r="M20">
        <v>23.4</v>
      </c>
    </row>
    <row r="21" spans="1:13" x14ac:dyDescent="0.25">
      <c r="A21" t="s">
        <v>300</v>
      </c>
      <c r="B21">
        <v>7.2</v>
      </c>
      <c r="C21">
        <v>1</v>
      </c>
      <c r="D21">
        <v>1.6</v>
      </c>
      <c r="E21">
        <v>14.6</v>
      </c>
      <c r="F21">
        <v>21.2</v>
      </c>
      <c r="G21">
        <v>21.3</v>
      </c>
      <c r="H21">
        <v>5.4</v>
      </c>
      <c r="I21">
        <v>0.5</v>
      </c>
      <c r="J21">
        <v>1.2</v>
      </c>
      <c r="K21">
        <v>12.8</v>
      </c>
      <c r="L21">
        <v>19.399999999999999</v>
      </c>
      <c r="M21">
        <v>18.399999999999999</v>
      </c>
    </row>
    <row r="22" spans="1:13" x14ac:dyDescent="0.25">
      <c r="A22" t="s">
        <v>301</v>
      </c>
      <c r="B22">
        <v>8</v>
      </c>
      <c r="C22">
        <v>1.7</v>
      </c>
      <c r="D22">
        <v>2.7</v>
      </c>
      <c r="E22">
        <v>16.3</v>
      </c>
      <c r="F22">
        <v>26.6</v>
      </c>
      <c r="G22">
        <v>21.2</v>
      </c>
      <c r="H22">
        <v>6.3</v>
      </c>
      <c r="I22">
        <v>1</v>
      </c>
      <c r="J22">
        <v>1.9</v>
      </c>
      <c r="K22">
        <v>15.9</v>
      </c>
      <c r="L22">
        <v>24.3</v>
      </c>
      <c r="M22">
        <v>19.3</v>
      </c>
    </row>
    <row r="23" spans="1:13" x14ac:dyDescent="0.25">
      <c r="A23" t="s">
        <v>302</v>
      </c>
      <c r="B23">
        <v>4.3</v>
      </c>
      <c r="C23">
        <v>1.4</v>
      </c>
      <c r="D23">
        <v>0.3</v>
      </c>
      <c r="E23">
        <v>29.5</v>
      </c>
      <c r="F23">
        <v>51.1</v>
      </c>
      <c r="G23">
        <v>39.6</v>
      </c>
      <c r="H23">
        <v>3.9</v>
      </c>
      <c r="I23">
        <v>1.1000000000000001</v>
      </c>
      <c r="J23">
        <v>0.2</v>
      </c>
      <c r="K23">
        <v>29.3</v>
      </c>
      <c r="L23">
        <v>45.2</v>
      </c>
      <c r="M23">
        <v>33.299999999999997</v>
      </c>
    </row>
    <row r="24" spans="1:13" x14ac:dyDescent="0.25">
      <c r="A24" t="s">
        <v>303</v>
      </c>
      <c r="B24">
        <v>7.8</v>
      </c>
      <c r="C24">
        <v>3.6</v>
      </c>
      <c r="D24">
        <v>1.9</v>
      </c>
      <c r="E24">
        <v>14.5</v>
      </c>
      <c r="F24">
        <v>26.2</v>
      </c>
      <c r="G24">
        <v>24.8</v>
      </c>
      <c r="H24">
        <v>5.8</v>
      </c>
      <c r="I24">
        <v>2.1</v>
      </c>
      <c r="J24">
        <v>1.5</v>
      </c>
      <c r="K24">
        <v>13</v>
      </c>
      <c r="L24">
        <v>23.8</v>
      </c>
      <c r="M24">
        <v>21.9</v>
      </c>
    </row>
    <row r="25" spans="1:13" x14ac:dyDescent="0.25">
      <c r="A25" t="s">
        <v>304</v>
      </c>
      <c r="B25">
        <v>11.1</v>
      </c>
      <c r="C25">
        <v>0.7</v>
      </c>
      <c r="D25">
        <v>0.1</v>
      </c>
      <c r="E25">
        <v>24.3</v>
      </c>
      <c r="F25">
        <v>34</v>
      </c>
      <c r="G25">
        <v>24.9</v>
      </c>
      <c r="H25">
        <v>9.6</v>
      </c>
      <c r="I25">
        <v>0.2</v>
      </c>
      <c r="J25">
        <v>0</v>
      </c>
      <c r="K25">
        <v>25.1</v>
      </c>
      <c r="L25">
        <v>30.1</v>
      </c>
      <c r="M25">
        <v>21.6</v>
      </c>
    </row>
    <row r="26" spans="1:13" x14ac:dyDescent="0.25">
      <c r="A26" t="s">
        <v>305</v>
      </c>
      <c r="B26">
        <v>4.5999999999999996</v>
      </c>
      <c r="C26">
        <v>2.2000000000000002</v>
      </c>
      <c r="D26">
        <v>1.1000000000000001</v>
      </c>
      <c r="E26">
        <v>16.8</v>
      </c>
      <c r="F26">
        <v>19.2</v>
      </c>
      <c r="G26">
        <v>19.7</v>
      </c>
      <c r="H26">
        <v>3.2</v>
      </c>
      <c r="I26">
        <v>0.9</v>
      </c>
      <c r="J26">
        <v>0.7</v>
      </c>
      <c r="K26">
        <v>16.3</v>
      </c>
      <c r="L26">
        <v>16.3</v>
      </c>
      <c r="M26">
        <v>14.9</v>
      </c>
    </row>
    <row r="27" spans="1:13" x14ac:dyDescent="0.25">
      <c r="A27" t="s">
        <v>306</v>
      </c>
      <c r="B27">
        <v>6.4</v>
      </c>
      <c r="C27">
        <v>2.2999999999999998</v>
      </c>
      <c r="D27">
        <v>3.2</v>
      </c>
      <c r="E27">
        <v>7.9</v>
      </c>
      <c r="F27">
        <v>21.2</v>
      </c>
      <c r="G27">
        <v>22.7</v>
      </c>
      <c r="H27">
        <v>4.5</v>
      </c>
      <c r="I27">
        <v>1.4</v>
      </c>
      <c r="J27">
        <v>2.7</v>
      </c>
      <c r="K27">
        <v>6.9</v>
      </c>
      <c r="L27">
        <v>18.100000000000001</v>
      </c>
      <c r="M27">
        <v>19.600000000000001</v>
      </c>
    </row>
    <row r="28" spans="1:13" x14ac:dyDescent="0.25">
      <c r="A28" t="s">
        <v>307</v>
      </c>
      <c r="B28">
        <v>6.2</v>
      </c>
      <c r="C28">
        <v>3.2</v>
      </c>
      <c r="D28">
        <v>2.2000000000000002</v>
      </c>
      <c r="E28">
        <v>17</v>
      </c>
      <c r="F28">
        <v>24</v>
      </c>
      <c r="G28">
        <v>32.9</v>
      </c>
      <c r="H28">
        <v>4.9000000000000004</v>
      </c>
      <c r="I28">
        <v>2.1</v>
      </c>
      <c r="J28">
        <v>1.5</v>
      </c>
      <c r="K28">
        <v>15.8</v>
      </c>
      <c r="L28">
        <v>21.4</v>
      </c>
      <c r="M28">
        <v>28.6</v>
      </c>
    </row>
    <row r="29" spans="1:13" x14ac:dyDescent="0.25">
      <c r="A29" t="s">
        <v>266</v>
      </c>
      <c r="B29">
        <v>6.5</v>
      </c>
      <c r="C29">
        <v>2.5</v>
      </c>
      <c r="D29">
        <v>2.2000000000000002</v>
      </c>
      <c r="E29">
        <v>14.1</v>
      </c>
      <c r="F29">
        <v>22.4</v>
      </c>
      <c r="G29">
        <v>21.7</v>
      </c>
      <c r="H29">
        <v>4.9000000000000004</v>
      </c>
      <c r="I29">
        <v>1.5</v>
      </c>
      <c r="J29">
        <v>1.7</v>
      </c>
      <c r="K29">
        <v>13.1</v>
      </c>
      <c r="L29">
        <v>19.8</v>
      </c>
      <c r="M29">
        <v>18.600000000000001</v>
      </c>
    </row>
    <row r="30" spans="1:13" x14ac:dyDescent="0.25">
      <c r="A30" t="s">
        <v>459</v>
      </c>
      <c r="B30">
        <v>4.4000000000000004</v>
      </c>
      <c r="C30">
        <v>3</v>
      </c>
      <c r="D30">
        <v>2.5</v>
      </c>
      <c r="E30">
        <v>11</v>
      </c>
      <c r="F30">
        <v>18.8</v>
      </c>
      <c r="G30">
        <v>20.7</v>
      </c>
      <c r="H30">
        <v>3.2</v>
      </c>
      <c r="I30">
        <v>1.9</v>
      </c>
      <c r="J30">
        <v>2.1</v>
      </c>
      <c r="K30">
        <v>9.6999999999999993</v>
      </c>
      <c r="L30">
        <v>16.3</v>
      </c>
      <c r="M30">
        <v>17.600000000000001</v>
      </c>
    </row>
    <row r="31" spans="1:13" x14ac:dyDescent="0.25">
      <c r="A31" t="s">
        <v>460</v>
      </c>
      <c r="B31">
        <v>6.9</v>
      </c>
      <c r="C31">
        <v>2.2999999999999998</v>
      </c>
      <c r="D31">
        <v>2.1</v>
      </c>
      <c r="E31">
        <v>14.7</v>
      </c>
      <c r="F31">
        <v>23.3</v>
      </c>
      <c r="G31">
        <v>22.1</v>
      </c>
      <c r="H31">
        <v>5.3</v>
      </c>
      <c r="I31">
        <v>1.3</v>
      </c>
      <c r="J31">
        <v>1.6</v>
      </c>
      <c r="K31">
        <v>13.7</v>
      </c>
      <c r="L31">
        <v>20.7</v>
      </c>
      <c r="M31">
        <v>19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I31"/>
  <sheetViews>
    <sheetView workbookViewId="0">
      <selection sqref="A1:I1"/>
    </sheetView>
  </sheetViews>
  <sheetFormatPr defaultRowHeight="15" x14ac:dyDescent="0.25"/>
  <cols>
    <col min="1" max="1" width="23.28515625" customWidth="1"/>
    <col min="2" max="2" width="15.85546875" customWidth="1"/>
    <col min="3" max="3" width="15.42578125" customWidth="1"/>
    <col min="4" max="4" width="15.85546875" customWidth="1"/>
    <col min="5" max="5" width="22.85546875" customWidth="1"/>
    <col min="6" max="6" width="17.42578125" customWidth="1"/>
    <col min="7" max="7" width="17.85546875" customWidth="1"/>
    <col min="9" max="9" width="20.85546875" customWidth="1"/>
  </cols>
  <sheetData>
    <row r="1" spans="1:9" x14ac:dyDescent="0.25">
      <c r="A1" s="29" t="s">
        <v>568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252</v>
      </c>
      <c r="B2" s="29" t="s">
        <v>569</v>
      </c>
      <c r="C2" s="29"/>
      <c r="D2" s="29"/>
      <c r="E2" t="s">
        <v>570</v>
      </c>
      <c r="F2" s="29" t="s">
        <v>571</v>
      </c>
      <c r="G2" s="29"/>
      <c r="H2" s="29"/>
      <c r="I2" t="s">
        <v>572</v>
      </c>
    </row>
    <row r="3" spans="1:9" x14ac:dyDescent="0.25">
      <c r="A3" s="29"/>
      <c r="B3" t="s">
        <v>346</v>
      </c>
      <c r="C3" t="s">
        <v>480</v>
      </c>
      <c r="D3" t="s">
        <v>481</v>
      </c>
      <c r="E3" t="s">
        <v>346</v>
      </c>
      <c r="F3" t="s">
        <v>346</v>
      </c>
      <c r="G3" t="s">
        <v>480</v>
      </c>
      <c r="H3" t="s">
        <v>481</v>
      </c>
      <c r="I3" t="s">
        <v>346</v>
      </c>
    </row>
    <row r="4" spans="1:9" x14ac:dyDescent="0.25">
      <c r="A4" t="s">
        <v>283</v>
      </c>
      <c r="B4">
        <v>95</v>
      </c>
      <c r="C4">
        <v>45.9</v>
      </c>
      <c r="D4">
        <v>18.8</v>
      </c>
      <c r="E4">
        <v>83.7</v>
      </c>
      <c r="F4">
        <v>95.2</v>
      </c>
      <c r="G4">
        <v>49.7</v>
      </c>
      <c r="H4">
        <v>20.9</v>
      </c>
      <c r="I4">
        <v>84.9</v>
      </c>
    </row>
    <row r="5" spans="1:9" x14ac:dyDescent="0.25">
      <c r="A5" t="s">
        <v>284</v>
      </c>
      <c r="B5">
        <v>111.6</v>
      </c>
      <c r="C5">
        <v>47.5</v>
      </c>
      <c r="D5">
        <v>19.7</v>
      </c>
      <c r="E5">
        <v>96</v>
      </c>
      <c r="F5">
        <v>110.5</v>
      </c>
      <c r="G5">
        <v>51.6</v>
      </c>
      <c r="H5">
        <v>22.6</v>
      </c>
      <c r="I5">
        <v>96.7</v>
      </c>
    </row>
    <row r="6" spans="1:9" x14ac:dyDescent="0.25">
      <c r="A6" t="s">
        <v>285</v>
      </c>
      <c r="B6">
        <v>117.2</v>
      </c>
      <c r="C6">
        <v>61.2</v>
      </c>
      <c r="D6">
        <v>30.5</v>
      </c>
      <c r="E6">
        <v>96.9</v>
      </c>
      <c r="F6">
        <v>114.8</v>
      </c>
      <c r="G6">
        <v>67.5</v>
      </c>
      <c r="H6">
        <v>35.4</v>
      </c>
      <c r="I6">
        <v>95.5</v>
      </c>
    </row>
    <row r="7" spans="1:9" x14ac:dyDescent="0.25">
      <c r="A7" t="s">
        <v>286</v>
      </c>
      <c r="B7">
        <v>103.4</v>
      </c>
      <c r="C7">
        <v>60.8</v>
      </c>
      <c r="D7">
        <v>29.1</v>
      </c>
      <c r="E7">
        <v>93</v>
      </c>
      <c r="F7">
        <v>103.2</v>
      </c>
      <c r="G7">
        <v>66.7</v>
      </c>
      <c r="H7">
        <v>33.200000000000003</v>
      </c>
      <c r="I7">
        <v>94</v>
      </c>
    </row>
    <row r="8" spans="1:9" x14ac:dyDescent="0.25">
      <c r="A8" t="s">
        <v>287</v>
      </c>
      <c r="B8">
        <v>102.2</v>
      </c>
      <c r="C8">
        <v>57.1</v>
      </c>
      <c r="D8">
        <v>23.9</v>
      </c>
      <c r="E8">
        <v>92</v>
      </c>
      <c r="F8">
        <v>100.1</v>
      </c>
      <c r="G8">
        <v>61.3</v>
      </c>
      <c r="H8">
        <v>25.4</v>
      </c>
      <c r="I8">
        <v>91.3</v>
      </c>
    </row>
    <row r="9" spans="1:9" x14ac:dyDescent="0.25">
      <c r="A9" t="s">
        <v>288</v>
      </c>
      <c r="B9">
        <v>106.7</v>
      </c>
      <c r="C9">
        <v>55.8</v>
      </c>
      <c r="D9">
        <v>25.7</v>
      </c>
      <c r="E9">
        <v>92.3</v>
      </c>
      <c r="F9">
        <v>107</v>
      </c>
      <c r="G9">
        <v>62.1</v>
      </c>
      <c r="H9">
        <v>30</v>
      </c>
      <c r="I9">
        <v>93.3</v>
      </c>
    </row>
    <row r="10" spans="1:9" x14ac:dyDescent="0.25">
      <c r="A10" t="s">
        <v>289</v>
      </c>
      <c r="B10">
        <v>95.2</v>
      </c>
      <c r="C10">
        <v>62.7</v>
      </c>
      <c r="D10">
        <v>31.9</v>
      </c>
      <c r="E10">
        <v>85.7</v>
      </c>
      <c r="F10">
        <v>94.6</v>
      </c>
      <c r="G10">
        <v>65.599999999999994</v>
      </c>
      <c r="H10">
        <v>34.1</v>
      </c>
      <c r="I10">
        <v>86</v>
      </c>
    </row>
    <row r="11" spans="1:9" x14ac:dyDescent="0.25">
      <c r="A11" t="s">
        <v>290</v>
      </c>
      <c r="B11">
        <v>114.3</v>
      </c>
      <c r="C11">
        <v>60.3</v>
      </c>
      <c r="D11">
        <v>28.6</v>
      </c>
      <c r="E11">
        <v>99.9</v>
      </c>
      <c r="F11">
        <v>111.4</v>
      </c>
      <c r="G11">
        <v>65.2</v>
      </c>
      <c r="H11">
        <v>32.1</v>
      </c>
      <c r="I11">
        <v>98.4</v>
      </c>
    </row>
    <row r="12" spans="1:9" x14ac:dyDescent="0.25">
      <c r="A12" t="s">
        <v>291</v>
      </c>
      <c r="B12">
        <v>73.5</v>
      </c>
      <c r="C12">
        <v>45.3</v>
      </c>
      <c r="D12">
        <v>25.6</v>
      </c>
      <c r="E12">
        <v>65.599999999999994</v>
      </c>
      <c r="F12">
        <v>75.400000000000006</v>
      </c>
      <c r="G12">
        <v>46</v>
      </c>
      <c r="H12">
        <v>28.4</v>
      </c>
      <c r="I12">
        <v>68</v>
      </c>
    </row>
    <row r="13" spans="1:9" x14ac:dyDescent="0.25">
      <c r="A13" t="s">
        <v>292</v>
      </c>
      <c r="B13">
        <v>83.3</v>
      </c>
      <c r="C13">
        <v>41.8</v>
      </c>
      <c r="D13">
        <v>20.399999999999999</v>
      </c>
      <c r="E13">
        <v>67.099999999999994</v>
      </c>
      <c r="F13">
        <v>83.9</v>
      </c>
      <c r="G13">
        <v>43.3</v>
      </c>
      <c r="H13">
        <v>19.8</v>
      </c>
      <c r="I13">
        <v>68.8</v>
      </c>
    </row>
    <row r="14" spans="1:9" x14ac:dyDescent="0.25">
      <c r="A14" t="s">
        <v>293</v>
      </c>
      <c r="B14">
        <v>114</v>
      </c>
      <c r="C14">
        <v>45.6</v>
      </c>
      <c r="D14">
        <v>20.7</v>
      </c>
      <c r="E14">
        <v>94</v>
      </c>
      <c r="F14">
        <v>111.6</v>
      </c>
      <c r="G14">
        <v>50.2</v>
      </c>
      <c r="H14">
        <v>22.7</v>
      </c>
      <c r="I14">
        <v>93.1</v>
      </c>
    </row>
    <row r="15" spans="1:9" x14ac:dyDescent="0.25">
      <c r="A15" t="s">
        <v>294</v>
      </c>
      <c r="B15">
        <v>111</v>
      </c>
      <c r="C15">
        <v>46.1</v>
      </c>
      <c r="D15">
        <v>20</v>
      </c>
      <c r="E15">
        <v>86.2</v>
      </c>
      <c r="F15">
        <v>112.3</v>
      </c>
      <c r="G15">
        <v>49.3</v>
      </c>
      <c r="H15">
        <v>21.8</v>
      </c>
      <c r="I15">
        <v>88.1</v>
      </c>
    </row>
    <row r="16" spans="1:9" x14ac:dyDescent="0.25">
      <c r="A16" t="s">
        <v>295</v>
      </c>
      <c r="B16">
        <v>99.5</v>
      </c>
      <c r="C16">
        <v>44.8</v>
      </c>
      <c r="D16">
        <v>17.2</v>
      </c>
      <c r="E16">
        <v>84.2</v>
      </c>
      <c r="F16">
        <v>99.1</v>
      </c>
      <c r="G16">
        <v>47.4</v>
      </c>
      <c r="H16">
        <v>18</v>
      </c>
      <c r="I16">
        <v>85.2</v>
      </c>
    </row>
    <row r="17" spans="1:9" x14ac:dyDescent="0.25">
      <c r="A17" t="s">
        <v>296</v>
      </c>
      <c r="B17">
        <v>78.8</v>
      </c>
      <c r="C17">
        <v>41</v>
      </c>
      <c r="D17">
        <v>14.6</v>
      </c>
      <c r="E17">
        <v>65.599999999999994</v>
      </c>
      <c r="F17">
        <v>78</v>
      </c>
      <c r="G17">
        <v>43</v>
      </c>
      <c r="H17">
        <v>15.7</v>
      </c>
      <c r="I17">
        <v>65.900000000000006</v>
      </c>
    </row>
    <row r="18" spans="1:9" x14ac:dyDescent="0.25">
      <c r="A18" t="s">
        <v>297</v>
      </c>
      <c r="B18">
        <v>92.1</v>
      </c>
      <c r="C18">
        <v>56.3</v>
      </c>
      <c r="D18">
        <v>33.9</v>
      </c>
      <c r="E18">
        <v>84.2</v>
      </c>
      <c r="F18">
        <v>93</v>
      </c>
      <c r="G18">
        <v>56.5</v>
      </c>
      <c r="H18">
        <v>31.6</v>
      </c>
      <c r="I18">
        <v>86.1</v>
      </c>
    </row>
    <row r="19" spans="1:9" x14ac:dyDescent="0.25">
      <c r="A19" t="s">
        <v>298</v>
      </c>
      <c r="B19">
        <v>85.7</v>
      </c>
      <c r="C19">
        <v>43.4</v>
      </c>
      <c r="D19">
        <v>20</v>
      </c>
      <c r="E19">
        <v>73.8</v>
      </c>
      <c r="F19">
        <v>86.3</v>
      </c>
      <c r="G19">
        <v>45</v>
      </c>
      <c r="H19">
        <v>20.399999999999999</v>
      </c>
      <c r="I19">
        <v>75.7</v>
      </c>
    </row>
    <row r="20" spans="1:9" x14ac:dyDescent="0.25">
      <c r="A20" t="s">
        <v>299</v>
      </c>
      <c r="B20">
        <v>123.9</v>
      </c>
      <c r="C20">
        <v>59.5</v>
      </c>
      <c r="D20">
        <v>27.1</v>
      </c>
      <c r="E20">
        <v>91.1</v>
      </c>
      <c r="F20">
        <v>124.6</v>
      </c>
      <c r="G20">
        <v>65.900000000000006</v>
      </c>
      <c r="H20">
        <v>28.9</v>
      </c>
      <c r="I20">
        <v>92.2</v>
      </c>
    </row>
    <row r="21" spans="1:9" x14ac:dyDescent="0.25">
      <c r="A21" t="s">
        <v>300</v>
      </c>
      <c r="B21">
        <v>114.9</v>
      </c>
      <c r="C21">
        <v>65</v>
      </c>
      <c r="D21">
        <v>28.5</v>
      </c>
      <c r="E21">
        <v>98.2</v>
      </c>
      <c r="F21">
        <v>111.4</v>
      </c>
      <c r="G21">
        <v>70.400000000000006</v>
      </c>
      <c r="H21">
        <v>31.5</v>
      </c>
      <c r="I21">
        <v>97.1</v>
      </c>
    </row>
    <row r="22" spans="1:9" x14ac:dyDescent="0.25">
      <c r="A22" t="s">
        <v>301</v>
      </c>
      <c r="B22">
        <v>117.6</v>
      </c>
      <c r="C22">
        <v>53.5</v>
      </c>
      <c r="D22">
        <v>22.8</v>
      </c>
      <c r="E22">
        <v>98.4</v>
      </c>
      <c r="F22">
        <v>118.3</v>
      </c>
      <c r="G22">
        <v>58.1</v>
      </c>
      <c r="H22">
        <v>24.5</v>
      </c>
      <c r="I22">
        <v>99.5</v>
      </c>
    </row>
    <row r="23" spans="1:9" x14ac:dyDescent="0.25">
      <c r="A23" t="s">
        <v>302</v>
      </c>
      <c r="B23">
        <v>140.9</v>
      </c>
      <c r="C23">
        <v>46.6</v>
      </c>
      <c r="D23">
        <v>18.600000000000001</v>
      </c>
      <c r="E23">
        <v>99.4</v>
      </c>
      <c r="F23">
        <v>140.1</v>
      </c>
      <c r="G23">
        <v>46.1</v>
      </c>
      <c r="H23">
        <v>18.399999999999999</v>
      </c>
      <c r="I23">
        <v>99</v>
      </c>
    </row>
    <row r="24" spans="1:9" x14ac:dyDescent="0.25">
      <c r="A24" t="s">
        <v>303</v>
      </c>
      <c r="B24">
        <v>111.2</v>
      </c>
      <c r="C24">
        <v>59</v>
      </c>
      <c r="D24">
        <v>28.3</v>
      </c>
      <c r="E24">
        <v>95.2</v>
      </c>
      <c r="F24">
        <v>111.2</v>
      </c>
      <c r="G24">
        <v>66.7</v>
      </c>
      <c r="H24">
        <v>33.1</v>
      </c>
      <c r="I24">
        <v>96.7</v>
      </c>
    </row>
    <row r="25" spans="1:9" x14ac:dyDescent="0.25">
      <c r="A25" t="s">
        <v>304</v>
      </c>
      <c r="B25">
        <v>128.1</v>
      </c>
      <c r="C25">
        <v>42.3</v>
      </c>
      <c r="D25">
        <v>19</v>
      </c>
      <c r="E25">
        <v>96.9</v>
      </c>
      <c r="F25">
        <v>128.5</v>
      </c>
      <c r="G25">
        <v>44.1</v>
      </c>
      <c r="H25">
        <v>18.899999999999999</v>
      </c>
      <c r="I25">
        <v>96.2</v>
      </c>
    </row>
    <row r="26" spans="1:9" x14ac:dyDescent="0.25">
      <c r="A26" t="s">
        <v>305</v>
      </c>
      <c r="B26">
        <v>116.9</v>
      </c>
      <c r="C26">
        <v>69.5</v>
      </c>
      <c r="D26">
        <v>32.299999999999997</v>
      </c>
      <c r="E26">
        <v>97.3</v>
      </c>
      <c r="F26">
        <v>115</v>
      </c>
      <c r="G26">
        <v>72.400000000000006</v>
      </c>
      <c r="H26">
        <v>34.5</v>
      </c>
      <c r="I26">
        <v>96.3</v>
      </c>
    </row>
    <row r="27" spans="1:9" x14ac:dyDescent="0.25">
      <c r="A27" t="s">
        <v>306</v>
      </c>
      <c r="B27">
        <v>103.5</v>
      </c>
      <c r="C27">
        <v>71.2</v>
      </c>
      <c r="D27">
        <v>40.5</v>
      </c>
      <c r="E27">
        <v>95.3</v>
      </c>
      <c r="F27">
        <v>101.7</v>
      </c>
      <c r="G27">
        <v>73.8</v>
      </c>
      <c r="H27">
        <v>43.6</v>
      </c>
      <c r="I27">
        <v>94.8</v>
      </c>
    </row>
    <row r="28" spans="1:9" x14ac:dyDescent="0.25">
      <c r="A28" t="s">
        <v>307</v>
      </c>
      <c r="B28">
        <v>117.1</v>
      </c>
      <c r="C28">
        <v>53.5</v>
      </c>
      <c r="D28">
        <v>20.399999999999999</v>
      </c>
      <c r="E28">
        <v>97.2</v>
      </c>
      <c r="F28">
        <v>116.5</v>
      </c>
      <c r="G28">
        <v>59.3</v>
      </c>
      <c r="H28">
        <v>23.7</v>
      </c>
      <c r="I28">
        <v>98.1</v>
      </c>
    </row>
    <row r="29" spans="1:9" x14ac:dyDescent="0.25">
      <c r="A29" t="s">
        <v>266</v>
      </c>
      <c r="B29">
        <v>107.8</v>
      </c>
      <c r="C29">
        <v>56.8</v>
      </c>
      <c r="D29">
        <v>26.9</v>
      </c>
      <c r="E29">
        <v>92.6</v>
      </c>
      <c r="F29">
        <v>106.9</v>
      </c>
      <c r="G29">
        <v>61</v>
      </c>
      <c r="H29">
        <v>29.3</v>
      </c>
      <c r="I29">
        <v>92.9</v>
      </c>
    </row>
    <row r="30" spans="1:9" x14ac:dyDescent="0.25">
      <c r="A30" t="s">
        <v>459</v>
      </c>
      <c r="B30">
        <v>89.6</v>
      </c>
      <c r="C30">
        <v>56</v>
      </c>
      <c r="D30">
        <v>39.299999999999997</v>
      </c>
      <c r="E30">
        <v>79.8</v>
      </c>
      <c r="F30">
        <v>89.7</v>
      </c>
      <c r="G30">
        <v>58</v>
      </c>
      <c r="H30">
        <v>39.9</v>
      </c>
      <c r="I30">
        <v>81</v>
      </c>
    </row>
    <row r="31" spans="1:9" x14ac:dyDescent="0.25">
      <c r="A31" t="s">
        <v>460</v>
      </c>
      <c r="B31">
        <v>112.3</v>
      </c>
      <c r="C31">
        <v>57</v>
      </c>
      <c r="D31">
        <v>23.6</v>
      </c>
      <c r="E31">
        <v>95.8</v>
      </c>
      <c r="F31">
        <v>111</v>
      </c>
      <c r="G31">
        <v>61.7</v>
      </c>
      <c r="H31">
        <v>26.3</v>
      </c>
      <c r="I31">
        <v>95.8</v>
      </c>
    </row>
  </sheetData>
  <mergeCells count="4">
    <mergeCell ref="A1:I1"/>
    <mergeCell ref="B2:D2"/>
    <mergeCell ref="F2:H2"/>
    <mergeCell ref="A2:A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5.85546875" customWidth="1"/>
    <col min="2" max="2" width="12.7109375" customWidth="1"/>
    <col min="3" max="3" width="12.85546875" customWidth="1"/>
    <col min="5" max="5" width="12.7109375" customWidth="1"/>
    <col min="6" max="6" width="12.85546875" customWidth="1"/>
    <col min="9" max="9" width="12.7109375" customWidth="1"/>
    <col min="10" max="10" width="12.85546875" customWidth="1"/>
    <col min="11" max="11" width="12.7109375" customWidth="1"/>
    <col min="12" max="12" width="12.85546875" customWidth="1"/>
  </cols>
  <sheetData>
    <row r="1" spans="1:12" x14ac:dyDescent="0.25">
      <c r="A1" s="29" t="s">
        <v>573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231.5</v>
      </c>
      <c r="C5">
        <v>7.1</v>
      </c>
      <c r="D5">
        <v>8.4</v>
      </c>
      <c r="E5">
        <v>2.2000000000000002</v>
      </c>
      <c r="F5">
        <v>8.5</v>
      </c>
      <c r="G5">
        <v>5.4</v>
      </c>
      <c r="H5">
        <v>7.7</v>
      </c>
      <c r="I5">
        <v>69.8</v>
      </c>
      <c r="J5">
        <v>4.4000000000000004</v>
      </c>
      <c r="K5">
        <v>54.4</v>
      </c>
      <c r="L5">
        <v>9.5</v>
      </c>
    </row>
    <row r="6" spans="1:12" x14ac:dyDescent="0.25">
      <c r="A6" t="s">
        <v>284</v>
      </c>
      <c r="B6">
        <v>265.89999999999998</v>
      </c>
      <c r="C6">
        <v>5.8</v>
      </c>
      <c r="D6">
        <v>7.8</v>
      </c>
      <c r="E6">
        <v>2.1</v>
      </c>
      <c r="F6">
        <v>8</v>
      </c>
      <c r="G6">
        <v>5.7</v>
      </c>
      <c r="H6">
        <v>8.5</v>
      </c>
      <c r="I6">
        <v>86.7</v>
      </c>
      <c r="J6">
        <v>6.4</v>
      </c>
      <c r="K6">
        <v>55.6</v>
      </c>
      <c r="L6">
        <v>4.9000000000000004</v>
      </c>
    </row>
    <row r="7" spans="1:12" x14ac:dyDescent="0.25">
      <c r="A7" t="s">
        <v>285</v>
      </c>
      <c r="B7">
        <v>349.7</v>
      </c>
      <c r="C7">
        <v>6.4</v>
      </c>
      <c r="D7">
        <v>9</v>
      </c>
      <c r="E7">
        <v>2.6</v>
      </c>
      <c r="F7">
        <v>10.6</v>
      </c>
      <c r="G7">
        <v>7.1</v>
      </c>
      <c r="H7">
        <v>9.5</v>
      </c>
      <c r="I7">
        <v>74.900000000000006</v>
      </c>
      <c r="J7">
        <v>20.7</v>
      </c>
      <c r="K7">
        <v>38.700000000000003</v>
      </c>
      <c r="L7">
        <v>8.4</v>
      </c>
    </row>
    <row r="8" spans="1:12" x14ac:dyDescent="0.25">
      <c r="A8" t="s">
        <v>286</v>
      </c>
      <c r="B8">
        <v>269.5</v>
      </c>
      <c r="C8">
        <v>6.5</v>
      </c>
      <c r="D8">
        <v>8.1</v>
      </c>
      <c r="E8">
        <v>2.1</v>
      </c>
      <c r="F8">
        <v>8.1999999999999993</v>
      </c>
      <c r="G8">
        <v>5.5</v>
      </c>
      <c r="H8">
        <v>8.1</v>
      </c>
      <c r="I8">
        <v>62.2</v>
      </c>
      <c r="J8">
        <v>8.6999999999999993</v>
      </c>
      <c r="K8">
        <v>22.9</v>
      </c>
      <c r="L8">
        <v>2.2000000000000002</v>
      </c>
    </row>
    <row r="9" spans="1:12" x14ac:dyDescent="0.25">
      <c r="A9" t="s">
        <v>287</v>
      </c>
      <c r="B9">
        <v>355.9</v>
      </c>
      <c r="C9">
        <v>7.2</v>
      </c>
      <c r="D9">
        <v>8.6</v>
      </c>
      <c r="E9">
        <v>2.5</v>
      </c>
      <c r="F9">
        <v>10.4</v>
      </c>
      <c r="G9">
        <v>6.9</v>
      </c>
      <c r="H9">
        <v>9.1999999999999993</v>
      </c>
      <c r="I9">
        <v>72.8</v>
      </c>
      <c r="J9">
        <v>9.3000000000000007</v>
      </c>
      <c r="K9">
        <v>18.2</v>
      </c>
      <c r="L9">
        <v>2.9</v>
      </c>
    </row>
    <row r="10" spans="1:12" x14ac:dyDescent="0.25">
      <c r="A10" t="s">
        <v>288</v>
      </c>
      <c r="B10">
        <v>208.8</v>
      </c>
      <c r="C10">
        <v>5</v>
      </c>
      <c r="D10">
        <v>5.8</v>
      </c>
      <c r="E10">
        <v>1.9</v>
      </c>
      <c r="F10">
        <v>7</v>
      </c>
      <c r="G10">
        <v>4.9000000000000004</v>
      </c>
      <c r="H10">
        <v>6.8</v>
      </c>
      <c r="I10">
        <v>61.5</v>
      </c>
      <c r="J10">
        <v>9.5</v>
      </c>
      <c r="K10">
        <v>27.3</v>
      </c>
      <c r="L10">
        <v>7.5</v>
      </c>
    </row>
    <row r="11" spans="1:12" x14ac:dyDescent="0.25">
      <c r="A11" t="s">
        <v>289</v>
      </c>
      <c r="B11">
        <v>256.5</v>
      </c>
      <c r="C11">
        <v>7.5</v>
      </c>
      <c r="D11">
        <v>9.1999999999999993</v>
      </c>
      <c r="E11">
        <v>2.2000000000000002</v>
      </c>
      <c r="F11">
        <v>9.5</v>
      </c>
      <c r="G11">
        <v>6.4</v>
      </c>
      <c r="H11">
        <v>7.9</v>
      </c>
      <c r="I11">
        <v>57.9</v>
      </c>
      <c r="J11">
        <v>49.5</v>
      </c>
      <c r="K11">
        <v>13.6</v>
      </c>
      <c r="L11">
        <v>1.6</v>
      </c>
    </row>
    <row r="12" spans="1:12" x14ac:dyDescent="0.25">
      <c r="A12" t="s">
        <v>290</v>
      </c>
      <c r="B12">
        <v>422.5</v>
      </c>
      <c r="C12">
        <v>6.7</v>
      </c>
      <c r="D12">
        <v>9</v>
      </c>
      <c r="E12">
        <v>2.9</v>
      </c>
      <c r="F12">
        <v>12</v>
      </c>
      <c r="G12">
        <v>8.1999999999999993</v>
      </c>
      <c r="H12">
        <v>11.7</v>
      </c>
      <c r="I12">
        <v>84.8</v>
      </c>
      <c r="J12">
        <v>30.2</v>
      </c>
      <c r="K12">
        <v>42.2</v>
      </c>
      <c r="L12">
        <v>10.199999999999999</v>
      </c>
    </row>
    <row r="13" spans="1:12" x14ac:dyDescent="0.25">
      <c r="A13" t="s">
        <v>291</v>
      </c>
      <c r="B13">
        <v>223.5</v>
      </c>
      <c r="C13">
        <v>9.5</v>
      </c>
      <c r="D13">
        <v>12.2</v>
      </c>
      <c r="E13">
        <v>2.6</v>
      </c>
      <c r="F13">
        <v>10.7</v>
      </c>
      <c r="G13">
        <v>6.6</v>
      </c>
      <c r="H13">
        <v>8</v>
      </c>
      <c r="I13">
        <v>45.5</v>
      </c>
      <c r="J13">
        <v>27.3</v>
      </c>
      <c r="K13">
        <v>22.7</v>
      </c>
      <c r="L13">
        <v>0</v>
      </c>
    </row>
    <row r="14" spans="1:12" x14ac:dyDescent="0.25">
      <c r="A14" t="s">
        <v>292</v>
      </c>
      <c r="B14">
        <v>138.5</v>
      </c>
      <c r="C14">
        <v>4.9000000000000004</v>
      </c>
      <c r="D14">
        <v>5.6</v>
      </c>
      <c r="E14">
        <v>1.5</v>
      </c>
      <c r="F14">
        <v>5.3</v>
      </c>
      <c r="G14">
        <v>4</v>
      </c>
      <c r="H14">
        <v>6.5</v>
      </c>
      <c r="I14">
        <v>58.7</v>
      </c>
      <c r="J14">
        <v>1.7</v>
      </c>
      <c r="K14">
        <v>63.6</v>
      </c>
      <c r="L14">
        <v>26.4</v>
      </c>
    </row>
    <row r="15" spans="1:12" x14ac:dyDescent="0.25">
      <c r="A15" t="s">
        <v>293</v>
      </c>
      <c r="B15">
        <v>227.7</v>
      </c>
      <c r="C15">
        <v>5.3</v>
      </c>
      <c r="D15">
        <v>6.1</v>
      </c>
      <c r="E15">
        <v>1.7</v>
      </c>
      <c r="F15">
        <v>6.3</v>
      </c>
      <c r="G15">
        <v>4.8</v>
      </c>
      <c r="H15">
        <v>7.7</v>
      </c>
      <c r="I15">
        <v>72.099999999999994</v>
      </c>
      <c r="J15">
        <v>12.5</v>
      </c>
      <c r="K15">
        <v>52.6</v>
      </c>
      <c r="L15">
        <v>21.3</v>
      </c>
    </row>
    <row r="16" spans="1:12" x14ac:dyDescent="0.25">
      <c r="A16" t="s">
        <v>294</v>
      </c>
      <c r="B16">
        <v>157.4</v>
      </c>
      <c r="C16">
        <v>6.1</v>
      </c>
      <c r="D16">
        <v>6.4</v>
      </c>
      <c r="E16">
        <v>1.9</v>
      </c>
      <c r="F16">
        <v>5.4</v>
      </c>
      <c r="G16">
        <v>4.3</v>
      </c>
      <c r="H16">
        <v>7.1</v>
      </c>
      <c r="I16">
        <v>52.2</v>
      </c>
      <c r="J16">
        <v>2.2000000000000002</v>
      </c>
      <c r="K16">
        <v>71.099999999999994</v>
      </c>
      <c r="L16">
        <v>37.799999999999997</v>
      </c>
    </row>
    <row r="17" spans="1:12" x14ac:dyDescent="0.25">
      <c r="A17" t="s">
        <v>295</v>
      </c>
      <c r="B17">
        <v>172.6</v>
      </c>
      <c r="C17">
        <v>4.8</v>
      </c>
      <c r="D17">
        <v>5.7</v>
      </c>
      <c r="E17">
        <v>1.5</v>
      </c>
      <c r="F17">
        <v>6</v>
      </c>
      <c r="G17">
        <v>4.3</v>
      </c>
      <c r="H17">
        <v>6.9</v>
      </c>
      <c r="I17">
        <v>60.7</v>
      </c>
      <c r="J17">
        <v>0.5</v>
      </c>
      <c r="K17">
        <v>56.5</v>
      </c>
      <c r="L17">
        <v>9.8000000000000007</v>
      </c>
    </row>
    <row r="18" spans="1:12" x14ac:dyDescent="0.25">
      <c r="A18" t="s">
        <v>296</v>
      </c>
      <c r="B18">
        <v>209.8</v>
      </c>
      <c r="C18">
        <v>6</v>
      </c>
      <c r="D18">
        <v>6.7</v>
      </c>
      <c r="E18">
        <v>1.8</v>
      </c>
      <c r="F18">
        <v>7.5</v>
      </c>
      <c r="G18">
        <v>4.7</v>
      </c>
      <c r="H18">
        <v>7.2</v>
      </c>
      <c r="I18">
        <v>55.1</v>
      </c>
      <c r="J18">
        <v>2</v>
      </c>
      <c r="K18">
        <v>85.7</v>
      </c>
      <c r="L18">
        <v>8.1999999999999993</v>
      </c>
    </row>
    <row r="19" spans="1:12" x14ac:dyDescent="0.25">
      <c r="A19" t="s">
        <v>297</v>
      </c>
      <c r="B19">
        <v>834.5</v>
      </c>
      <c r="C19">
        <v>22.7</v>
      </c>
      <c r="D19">
        <v>25.6</v>
      </c>
      <c r="E19">
        <v>3.6</v>
      </c>
      <c r="F19">
        <v>20.5</v>
      </c>
      <c r="G19">
        <v>13.7</v>
      </c>
      <c r="H19">
        <v>20.3</v>
      </c>
      <c r="I19">
        <v>79.3</v>
      </c>
      <c r="J19">
        <v>27.4</v>
      </c>
      <c r="K19">
        <v>39</v>
      </c>
      <c r="L19">
        <v>4.9000000000000004</v>
      </c>
    </row>
    <row r="20" spans="1:12" x14ac:dyDescent="0.25">
      <c r="A20" t="s">
        <v>298</v>
      </c>
      <c r="B20">
        <v>367.9</v>
      </c>
      <c r="C20">
        <v>11.3</v>
      </c>
      <c r="D20">
        <v>13.3</v>
      </c>
      <c r="E20">
        <v>2.2000000000000002</v>
      </c>
      <c r="F20">
        <v>11.2</v>
      </c>
      <c r="G20">
        <v>6.7</v>
      </c>
      <c r="H20">
        <v>11.3</v>
      </c>
      <c r="I20">
        <v>81.900000000000006</v>
      </c>
      <c r="J20">
        <v>8.3000000000000007</v>
      </c>
      <c r="K20">
        <v>62.5</v>
      </c>
      <c r="L20">
        <v>8.3000000000000007</v>
      </c>
    </row>
    <row r="21" spans="1:12" x14ac:dyDescent="0.25">
      <c r="A21" t="s">
        <v>299</v>
      </c>
      <c r="B21">
        <v>165.3</v>
      </c>
      <c r="C21">
        <v>5.2</v>
      </c>
      <c r="D21">
        <v>6</v>
      </c>
      <c r="E21">
        <v>1.8</v>
      </c>
      <c r="F21">
        <v>6.1</v>
      </c>
      <c r="G21">
        <v>4.4000000000000004</v>
      </c>
      <c r="H21">
        <v>6.7</v>
      </c>
      <c r="I21">
        <v>40.4</v>
      </c>
      <c r="J21">
        <v>0.4</v>
      </c>
      <c r="K21">
        <v>67.099999999999994</v>
      </c>
      <c r="L21">
        <v>24</v>
      </c>
    </row>
    <row r="22" spans="1:12" x14ac:dyDescent="0.25">
      <c r="A22" t="s">
        <v>300</v>
      </c>
      <c r="B22">
        <v>274.60000000000002</v>
      </c>
      <c r="C22">
        <v>5.2</v>
      </c>
      <c r="D22">
        <v>7.3</v>
      </c>
      <c r="E22">
        <v>2.4</v>
      </c>
      <c r="F22">
        <v>9.5</v>
      </c>
      <c r="G22">
        <v>6.3</v>
      </c>
      <c r="H22">
        <v>8.3000000000000007</v>
      </c>
      <c r="I22">
        <v>78.099999999999994</v>
      </c>
      <c r="J22">
        <v>25.4</v>
      </c>
      <c r="K22">
        <v>28.2</v>
      </c>
      <c r="L22">
        <v>5</v>
      </c>
    </row>
    <row r="23" spans="1:12" x14ac:dyDescent="0.25">
      <c r="A23" t="s">
        <v>301</v>
      </c>
      <c r="B23">
        <v>227.5</v>
      </c>
      <c r="C23">
        <v>5.3</v>
      </c>
      <c r="D23">
        <v>6.5</v>
      </c>
      <c r="E23">
        <v>1.9</v>
      </c>
      <c r="F23">
        <v>7.3</v>
      </c>
      <c r="G23">
        <v>4.9000000000000004</v>
      </c>
      <c r="H23">
        <v>7.5</v>
      </c>
      <c r="I23">
        <v>67.8</v>
      </c>
      <c r="J23">
        <v>1.7</v>
      </c>
      <c r="K23">
        <v>52.5</v>
      </c>
      <c r="L23">
        <v>12</v>
      </c>
    </row>
    <row r="24" spans="1:12" x14ac:dyDescent="0.25">
      <c r="A24" t="s">
        <v>302</v>
      </c>
      <c r="B24">
        <v>189.6</v>
      </c>
      <c r="C24">
        <v>3.6</v>
      </c>
      <c r="D24">
        <v>4</v>
      </c>
      <c r="E24">
        <v>1.7</v>
      </c>
      <c r="F24">
        <v>5.0999999999999996</v>
      </c>
      <c r="G24">
        <v>4</v>
      </c>
      <c r="H24">
        <v>6.2</v>
      </c>
      <c r="I24">
        <v>69</v>
      </c>
      <c r="J24">
        <v>2.8</v>
      </c>
      <c r="K24">
        <v>62.9</v>
      </c>
      <c r="L24">
        <v>23.9</v>
      </c>
    </row>
    <row r="25" spans="1:12" x14ac:dyDescent="0.25">
      <c r="A25" t="s">
        <v>303</v>
      </c>
      <c r="B25">
        <v>324.89999999999998</v>
      </c>
      <c r="C25">
        <v>6.1</v>
      </c>
      <c r="D25">
        <v>8.1</v>
      </c>
      <c r="E25">
        <v>2.7</v>
      </c>
      <c r="F25">
        <v>9</v>
      </c>
      <c r="G25">
        <v>6.1</v>
      </c>
      <c r="H25">
        <v>8.9</v>
      </c>
      <c r="I25">
        <v>74.900000000000006</v>
      </c>
      <c r="J25">
        <v>4.5999999999999996</v>
      </c>
      <c r="K25">
        <v>30.1</v>
      </c>
      <c r="L25">
        <v>4.2</v>
      </c>
    </row>
    <row r="26" spans="1:12" x14ac:dyDescent="0.25">
      <c r="A26" t="s">
        <v>304</v>
      </c>
      <c r="B26">
        <v>168.1</v>
      </c>
      <c r="C26">
        <v>5.0999999999999996</v>
      </c>
      <c r="D26">
        <v>5.8</v>
      </c>
      <c r="E26">
        <v>1.8</v>
      </c>
      <c r="F26">
        <v>5.9</v>
      </c>
      <c r="G26">
        <v>4.5999999999999996</v>
      </c>
      <c r="H26">
        <v>7.4</v>
      </c>
      <c r="I26">
        <v>70.5</v>
      </c>
      <c r="J26">
        <v>0.7</v>
      </c>
      <c r="K26">
        <v>60.4</v>
      </c>
      <c r="L26">
        <v>16.100000000000001</v>
      </c>
    </row>
    <row r="27" spans="1:12" x14ac:dyDescent="0.25">
      <c r="A27" t="s">
        <v>305</v>
      </c>
      <c r="B27">
        <v>274.5</v>
      </c>
      <c r="C27">
        <v>6.4</v>
      </c>
      <c r="D27">
        <v>8.6</v>
      </c>
      <c r="E27">
        <v>2.5</v>
      </c>
      <c r="F27">
        <v>9.9</v>
      </c>
      <c r="G27">
        <v>6.7</v>
      </c>
      <c r="H27">
        <v>8.4</v>
      </c>
      <c r="I27">
        <v>60.7</v>
      </c>
      <c r="J27">
        <v>22.1</v>
      </c>
      <c r="K27">
        <v>22.9</v>
      </c>
      <c r="L27">
        <v>0.8</v>
      </c>
    </row>
    <row r="28" spans="1:12" x14ac:dyDescent="0.25">
      <c r="A28" t="s">
        <v>306</v>
      </c>
      <c r="B28">
        <v>313.39999999999998</v>
      </c>
      <c r="C28">
        <v>7.7</v>
      </c>
      <c r="D28">
        <v>10.3</v>
      </c>
      <c r="E28">
        <v>3</v>
      </c>
      <c r="F28">
        <v>13.3</v>
      </c>
      <c r="G28">
        <v>8</v>
      </c>
      <c r="H28">
        <v>9.5</v>
      </c>
      <c r="I28">
        <v>52.9</v>
      </c>
      <c r="J28">
        <v>31.4</v>
      </c>
      <c r="K28">
        <v>23.6</v>
      </c>
      <c r="L28">
        <v>7.1</v>
      </c>
    </row>
    <row r="29" spans="1:12" x14ac:dyDescent="0.25">
      <c r="A29" t="s">
        <v>307</v>
      </c>
      <c r="B29">
        <v>288</v>
      </c>
      <c r="C29">
        <v>5.5</v>
      </c>
      <c r="D29">
        <v>6.6</v>
      </c>
      <c r="E29">
        <v>2</v>
      </c>
      <c r="F29">
        <v>8.4</v>
      </c>
      <c r="G29">
        <v>5.7</v>
      </c>
      <c r="H29">
        <v>8.1999999999999993</v>
      </c>
      <c r="I29">
        <v>74.599999999999994</v>
      </c>
      <c r="J29">
        <v>11.2</v>
      </c>
      <c r="K29">
        <v>48.4</v>
      </c>
      <c r="L29">
        <v>18.7</v>
      </c>
    </row>
    <row r="30" spans="1:12" x14ac:dyDescent="0.25">
      <c r="A30" t="s">
        <v>266</v>
      </c>
      <c r="B30">
        <v>282.2</v>
      </c>
      <c r="C30">
        <v>6.4</v>
      </c>
      <c r="D30">
        <v>8.1</v>
      </c>
      <c r="E30">
        <v>2.2999999999999998</v>
      </c>
      <c r="F30">
        <v>9</v>
      </c>
      <c r="G30">
        <v>6.1</v>
      </c>
      <c r="H30">
        <v>8.6</v>
      </c>
      <c r="I30">
        <v>69.7</v>
      </c>
      <c r="J30">
        <v>13.9</v>
      </c>
      <c r="K30">
        <v>40.700000000000003</v>
      </c>
      <c r="L30">
        <v>9.4</v>
      </c>
    </row>
    <row r="31" spans="1:12" x14ac:dyDescent="0.25">
      <c r="A31" t="s">
        <v>308</v>
      </c>
      <c r="B31">
        <v>496.8</v>
      </c>
      <c r="C31">
        <v>14.4</v>
      </c>
      <c r="D31">
        <v>17.100000000000001</v>
      </c>
      <c r="E31">
        <v>3</v>
      </c>
      <c r="F31">
        <v>13.8</v>
      </c>
      <c r="G31">
        <v>9.4</v>
      </c>
      <c r="H31">
        <v>13.5</v>
      </c>
      <c r="I31">
        <v>67.400000000000006</v>
      </c>
      <c r="J31">
        <v>13.7</v>
      </c>
      <c r="K31">
        <v>41.1</v>
      </c>
      <c r="L31">
        <v>6.1</v>
      </c>
    </row>
    <row r="32" spans="1:12" x14ac:dyDescent="0.25">
      <c r="A32" t="s">
        <v>309</v>
      </c>
      <c r="B32">
        <v>260.10000000000002</v>
      </c>
      <c r="C32">
        <v>5.6</v>
      </c>
      <c r="D32">
        <v>7.1</v>
      </c>
      <c r="E32">
        <v>2.2000000000000002</v>
      </c>
      <c r="F32">
        <v>8.5</v>
      </c>
      <c r="G32">
        <v>5.7</v>
      </c>
      <c r="H32">
        <v>8.1</v>
      </c>
      <c r="I32">
        <v>69.900000000000006</v>
      </c>
      <c r="J32">
        <v>14</v>
      </c>
      <c r="K32">
        <v>40.700000000000003</v>
      </c>
      <c r="L32">
        <v>9.8000000000000007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L18"/>
  <sheetViews>
    <sheetView workbookViewId="0">
      <selection sqref="A1:L1"/>
    </sheetView>
  </sheetViews>
  <sheetFormatPr defaultRowHeight="15" x14ac:dyDescent="0.25"/>
  <cols>
    <col min="1" max="1" width="42.140625" customWidth="1"/>
    <col min="2" max="2" width="11.28515625" customWidth="1"/>
    <col min="3" max="3" width="11.42578125" customWidth="1"/>
    <col min="5" max="5" width="11.28515625" customWidth="1"/>
    <col min="6" max="6" width="11.42578125" customWidth="1"/>
    <col min="7" max="7" width="11.28515625" customWidth="1"/>
    <col min="8" max="8" width="11.42578125" customWidth="1"/>
    <col min="9" max="9" width="10.85546875" customWidth="1"/>
  </cols>
  <sheetData>
    <row r="1" spans="1:12" x14ac:dyDescent="0.25">
      <c r="A1" s="29" t="s">
        <v>580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239.7</v>
      </c>
      <c r="C5">
        <v>7.1</v>
      </c>
      <c r="D5">
        <v>8.5</v>
      </c>
      <c r="E5">
        <v>1.8</v>
      </c>
      <c r="F5">
        <v>7.4</v>
      </c>
      <c r="G5">
        <v>5.2</v>
      </c>
      <c r="H5">
        <v>6.7</v>
      </c>
      <c r="I5">
        <v>41.3</v>
      </c>
      <c r="J5">
        <v>14.7</v>
      </c>
      <c r="K5">
        <v>51.8</v>
      </c>
      <c r="L5">
        <v>31</v>
      </c>
    </row>
    <row r="6" spans="1:12" x14ac:dyDescent="0.25">
      <c r="A6" t="s">
        <v>267</v>
      </c>
      <c r="B6">
        <v>416.8</v>
      </c>
      <c r="C6">
        <v>16.7</v>
      </c>
      <c r="D6">
        <v>19.100000000000001</v>
      </c>
      <c r="E6">
        <v>2.2999999999999998</v>
      </c>
      <c r="F6">
        <v>11.8</v>
      </c>
      <c r="G6">
        <v>8</v>
      </c>
      <c r="H6">
        <v>10.6</v>
      </c>
      <c r="I6">
        <v>39</v>
      </c>
      <c r="J6">
        <v>12.7</v>
      </c>
      <c r="K6">
        <v>49.1</v>
      </c>
      <c r="L6">
        <v>27.7</v>
      </c>
    </row>
    <row r="7" spans="1:12" x14ac:dyDescent="0.25">
      <c r="A7" t="s">
        <v>268</v>
      </c>
      <c r="B7">
        <v>218.5</v>
      </c>
      <c r="C7">
        <v>5.9</v>
      </c>
      <c r="D7">
        <v>7.2</v>
      </c>
      <c r="E7">
        <v>1.7</v>
      </c>
      <c r="F7">
        <v>6.9</v>
      </c>
      <c r="G7">
        <v>4.8</v>
      </c>
      <c r="H7">
        <v>6.3</v>
      </c>
      <c r="I7">
        <v>41.5</v>
      </c>
      <c r="J7">
        <v>15</v>
      </c>
      <c r="K7">
        <v>52.1</v>
      </c>
      <c r="L7">
        <v>31.4</v>
      </c>
    </row>
    <row r="8" spans="1:12" x14ac:dyDescent="0.25">
      <c r="A8" t="s">
        <v>269</v>
      </c>
      <c r="B8">
        <v>49.2</v>
      </c>
      <c r="C8">
        <v>1.2</v>
      </c>
      <c r="D8">
        <v>1.3</v>
      </c>
      <c r="E8">
        <v>0.3</v>
      </c>
      <c r="F8">
        <v>1.5</v>
      </c>
      <c r="G8">
        <v>1.5</v>
      </c>
      <c r="H8">
        <v>1.6</v>
      </c>
      <c r="I8">
        <v>0</v>
      </c>
      <c r="J8">
        <v>19</v>
      </c>
      <c r="K8">
        <v>69.8</v>
      </c>
      <c r="L8">
        <v>78</v>
      </c>
    </row>
    <row r="9" spans="1:12" x14ac:dyDescent="0.25">
      <c r="A9" t="s">
        <v>270</v>
      </c>
      <c r="B9">
        <v>282.2</v>
      </c>
      <c r="C9">
        <v>6.4</v>
      </c>
      <c r="D9">
        <v>8.1</v>
      </c>
      <c r="E9">
        <v>2.2999999999999998</v>
      </c>
      <c r="F9">
        <v>9</v>
      </c>
      <c r="G9">
        <v>6.1</v>
      </c>
      <c r="H9">
        <v>8.6</v>
      </c>
      <c r="I9">
        <v>69.7</v>
      </c>
      <c r="J9">
        <v>13.9</v>
      </c>
      <c r="K9">
        <v>40.700000000000003</v>
      </c>
      <c r="L9">
        <v>9.4</v>
      </c>
    </row>
    <row r="10" spans="1:12" x14ac:dyDescent="0.25">
      <c r="A10" t="s">
        <v>581</v>
      </c>
      <c r="B10">
        <v>264.89999999999998</v>
      </c>
      <c r="C10">
        <v>11.8</v>
      </c>
      <c r="D10">
        <v>14.2</v>
      </c>
      <c r="E10">
        <v>2</v>
      </c>
      <c r="F10">
        <v>8.6999999999999993</v>
      </c>
      <c r="G10">
        <v>5.5</v>
      </c>
      <c r="H10">
        <v>5.9</v>
      </c>
      <c r="I10">
        <v>17.5</v>
      </c>
      <c r="J10">
        <v>9.9</v>
      </c>
      <c r="K10">
        <v>57.6</v>
      </c>
      <c r="L10">
        <v>9.6999999999999993</v>
      </c>
    </row>
    <row r="11" spans="1:12" x14ac:dyDescent="0.25">
      <c r="A11" t="s">
        <v>582</v>
      </c>
      <c r="B11">
        <v>1137.8</v>
      </c>
      <c r="C11">
        <v>52.6</v>
      </c>
      <c r="D11">
        <v>60.3</v>
      </c>
      <c r="E11">
        <v>6</v>
      </c>
      <c r="F11">
        <v>31.8</v>
      </c>
      <c r="G11">
        <v>22.3</v>
      </c>
      <c r="H11">
        <v>24.6</v>
      </c>
      <c r="I11">
        <v>35.6</v>
      </c>
      <c r="J11">
        <v>2.9</v>
      </c>
      <c r="K11">
        <v>45.4</v>
      </c>
      <c r="L11">
        <v>2.9</v>
      </c>
    </row>
    <row r="12" spans="1:12" x14ac:dyDescent="0.25">
      <c r="A12" t="s">
        <v>583</v>
      </c>
      <c r="B12">
        <v>352.7</v>
      </c>
      <c r="C12">
        <v>16.5</v>
      </c>
      <c r="D12">
        <v>19.3</v>
      </c>
      <c r="E12">
        <v>1.4</v>
      </c>
      <c r="F12">
        <v>6.3</v>
      </c>
      <c r="G12">
        <v>7</v>
      </c>
      <c r="H12">
        <v>7.7</v>
      </c>
      <c r="I12">
        <v>12.6</v>
      </c>
      <c r="J12">
        <v>7.2</v>
      </c>
      <c r="K12">
        <v>69.5</v>
      </c>
      <c r="L12">
        <v>34.9</v>
      </c>
    </row>
    <row r="13" spans="1:12" x14ac:dyDescent="0.25">
      <c r="A13" t="s">
        <v>584</v>
      </c>
      <c r="B13">
        <v>594.70000000000005</v>
      </c>
      <c r="C13">
        <v>25.9</v>
      </c>
      <c r="D13">
        <v>29.7</v>
      </c>
      <c r="E13">
        <v>6</v>
      </c>
      <c r="F13">
        <v>31.8</v>
      </c>
      <c r="G13">
        <v>11.9</v>
      </c>
      <c r="H13">
        <v>13.1</v>
      </c>
      <c r="I13">
        <v>35.6</v>
      </c>
      <c r="J13">
        <v>2.9</v>
      </c>
      <c r="K13">
        <v>45.4</v>
      </c>
      <c r="L13">
        <v>2.9</v>
      </c>
    </row>
    <row r="14" spans="1:12" x14ac:dyDescent="0.25">
      <c r="A14" t="s">
        <v>276</v>
      </c>
      <c r="B14">
        <v>504.3</v>
      </c>
      <c r="C14">
        <v>11.4</v>
      </c>
      <c r="D14">
        <v>14.4</v>
      </c>
      <c r="E14">
        <v>3.4</v>
      </c>
      <c r="F14">
        <v>14.5</v>
      </c>
      <c r="G14">
        <v>9.5</v>
      </c>
      <c r="H14">
        <v>13.2</v>
      </c>
      <c r="I14">
        <v>78.2</v>
      </c>
      <c r="J14">
        <v>12.4</v>
      </c>
      <c r="K14">
        <v>31.2</v>
      </c>
      <c r="L14">
        <v>3.8</v>
      </c>
    </row>
    <row r="15" spans="1:12" x14ac:dyDescent="0.25">
      <c r="A15" t="s">
        <v>277</v>
      </c>
      <c r="B15">
        <v>235.2</v>
      </c>
      <c r="C15">
        <v>5.4</v>
      </c>
      <c r="D15">
        <v>6.7</v>
      </c>
      <c r="E15">
        <v>2</v>
      </c>
      <c r="F15">
        <v>7.8</v>
      </c>
      <c r="G15">
        <v>5.3</v>
      </c>
      <c r="H15">
        <v>7.6</v>
      </c>
      <c r="I15">
        <v>67.900000000000006</v>
      </c>
      <c r="J15">
        <v>14.3</v>
      </c>
      <c r="K15">
        <v>42.8</v>
      </c>
      <c r="L15">
        <v>10.6</v>
      </c>
    </row>
    <row r="16" spans="1:12" x14ac:dyDescent="0.25">
      <c r="A16" t="s">
        <v>279</v>
      </c>
      <c r="B16">
        <v>177.4</v>
      </c>
      <c r="C16">
        <v>4.5</v>
      </c>
      <c r="D16">
        <v>5.4</v>
      </c>
      <c r="E16">
        <v>1.8</v>
      </c>
      <c r="F16">
        <v>6.4</v>
      </c>
      <c r="G16">
        <v>4.5</v>
      </c>
      <c r="H16">
        <v>6.4</v>
      </c>
      <c r="I16">
        <v>49.6</v>
      </c>
      <c r="J16">
        <v>12.4</v>
      </c>
      <c r="K16">
        <v>51.6</v>
      </c>
      <c r="L16">
        <v>25.6</v>
      </c>
    </row>
    <row r="17" spans="1:12" x14ac:dyDescent="0.25">
      <c r="A17" t="s">
        <v>280</v>
      </c>
      <c r="B17">
        <v>292.5</v>
      </c>
      <c r="C17">
        <v>6.8</v>
      </c>
      <c r="D17">
        <v>8.6999999999999993</v>
      </c>
      <c r="E17">
        <v>2.4</v>
      </c>
      <c r="F17">
        <v>9.9</v>
      </c>
      <c r="G17">
        <v>6.6</v>
      </c>
      <c r="H17">
        <v>8.8000000000000007</v>
      </c>
      <c r="I17">
        <v>67.400000000000006</v>
      </c>
      <c r="J17">
        <v>100</v>
      </c>
      <c r="K17">
        <v>32</v>
      </c>
      <c r="L17">
        <v>7.1</v>
      </c>
    </row>
    <row r="18" spans="1:12" x14ac:dyDescent="0.25">
      <c r="A18" t="s">
        <v>281</v>
      </c>
      <c r="B18">
        <v>72.3</v>
      </c>
      <c r="C18">
        <v>1.6</v>
      </c>
      <c r="D18">
        <v>1.8</v>
      </c>
      <c r="E18">
        <v>0.5</v>
      </c>
      <c r="F18">
        <v>1.5</v>
      </c>
      <c r="G18">
        <v>0.9</v>
      </c>
      <c r="H18">
        <v>2.6</v>
      </c>
      <c r="I18">
        <v>14.7</v>
      </c>
      <c r="J18">
        <v>18.600000000000001</v>
      </c>
      <c r="K18">
        <v>100</v>
      </c>
      <c r="L18">
        <v>100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4.42578125" customWidth="1"/>
    <col min="2" max="2" width="12.85546875" customWidth="1"/>
    <col min="5" max="5" width="13.140625" customWidth="1"/>
    <col min="6" max="6" width="12.85546875" customWidth="1"/>
    <col min="10" max="10" width="13.140625" customWidth="1"/>
    <col min="11" max="11" width="12.85546875" customWidth="1"/>
  </cols>
  <sheetData>
    <row r="1" spans="1:12" x14ac:dyDescent="0.25">
      <c r="A1" s="29" t="s">
        <v>585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181.9</v>
      </c>
      <c r="C5">
        <v>5.8</v>
      </c>
      <c r="D5">
        <v>6.9</v>
      </c>
      <c r="E5">
        <v>1.5</v>
      </c>
      <c r="F5">
        <v>6.4</v>
      </c>
      <c r="G5">
        <v>4.3</v>
      </c>
      <c r="H5">
        <v>5.6</v>
      </c>
      <c r="I5">
        <v>37.299999999999997</v>
      </c>
      <c r="J5">
        <v>3.6</v>
      </c>
      <c r="K5">
        <v>65.5</v>
      </c>
      <c r="L5">
        <v>36.6</v>
      </c>
    </row>
    <row r="6" spans="1:12" x14ac:dyDescent="0.25">
      <c r="A6" t="s">
        <v>284</v>
      </c>
      <c r="B6">
        <v>222.7</v>
      </c>
      <c r="C6">
        <v>6.2</v>
      </c>
      <c r="D6">
        <v>7.9</v>
      </c>
      <c r="E6">
        <v>1.6</v>
      </c>
      <c r="F6">
        <v>6.6</v>
      </c>
      <c r="G6">
        <v>4.8</v>
      </c>
      <c r="H6">
        <v>6.6</v>
      </c>
      <c r="I6">
        <v>51.6</v>
      </c>
      <c r="J6">
        <v>9.6</v>
      </c>
      <c r="K6">
        <v>62.6</v>
      </c>
      <c r="L6">
        <v>27</v>
      </c>
    </row>
    <row r="7" spans="1:12" x14ac:dyDescent="0.25">
      <c r="A7" t="s">
        <v>285</v>
      </c>
      <c r="B7">
        <v>276.89999999999998</v>
      </c>
      <c r="C7">
        <v>7.2</v>
      </c>
      <c r="D7">
        <v>9.4</v>
      </c>
      <c r="E7">
        <v>1.9</v>
      </c>
      <c r="F7">
        <v>8</v>
      </c>
      <c r="G7">
        <v>5.7</v>
      </c>
      <c r="H7">
        <v>7.3</v>
      </c>
      <c r="I7">
        <v>42.4</v>
      </c>
      <c r="J7">
        <v>17.3</v>
      </c>
      <c r="K7">
        <v>60.3</v>
      </c>
      <c r="L7">
        <v>38.799999999999997</v>
      </c>
    </row>
    <row r="8" spans="1:12" x14ac:dyDescent="0.25">
      <c r="A8" t="s">
        <v>286</v>
      </c>
      <c r="B8">
        <v>254.5</v>
      </c>
      <c r="C8">
        <v>7.6</v>
      </c>
      <c r="D8">
        <v>9.1</v>
      </c>
      <c r="E8">
        <v>1.8</v>
      </c>
      <c r="F8">
        <v>7.7</v>
      </c>
      <c r="G8">
        <v>5.2</v>
      </c>
      <c r="H8">
        <v>6.9</v>
      </c>
      <c r="I8">
        <v>39.700000000000003</v>
      </c>
      <c r="J8">
        <v>9.3000000000000007</v>
      </c>
      <c r="K8">
        <v>32.1</v>
      </c>
      <c r="L8">
        <v>21.7</v>
      </c>
    </row>
    <row r="9" spans="1:12" x14ac:dyDescent="0.25">
      <c r="A9" t="s">
        <v>287</v>
      </c>
      <c r="B9">
        <v>290.39999999999998</v>
      </c>
      <c r="C9">
        <v>7.6</v>
      </c>
      <c r="D9">
        <v>8.9</v>
      </c>
      <c r="E9">
        <v>2</v>
      </c>
      <c r="F9">
        <v>8.6</v>
      </c>
      <c r="G9">
        <v>5.6</v>
      </c>
      <c r="H9">
        <v>7</v>
      </c>
      <c r="I9">
        <v>45.1</v>
      </c>
      <c r="J9">
        <v>8</v>
      </c>
      <c r="K9">
        <v>30.4</v>
      </c>
      <c r="L9">
        <v>19.8</v>
      </c>
    </row>
    <row r="10" spans="1:12" x14ac:dyDescent="0.25">
      <c r="A10" t="s">
        <v>288</v>
      </c>
      <c r="B10">
        <v>199.2</v>
      </c>
      <c r="C10">
        <v>5.7</v>
      </c>
      <c r="D10">
        <v>6.7</v>
      </c>
      <c r="E10">
        <v>1.8</v>
      </c>
      <c r="F10">
        <v>6.8</v>
      </c>
      <c r="G10">
        <v>4.5</v>
      </c>
      <c r="H10">
        <v>5.9</v>
      </c>
      <c r="I10">
        <v>39.5</v>
      </c>
      <c r="J10">
        <v>15.8</v>
      </c>
      <c r="K10">
        <v>37.5</v>
      </c>
      <c r="L10">
        <v>23</v>
      </c>
    </row>
    <row r="11" spans="1:12" x14ac:dyDescent="0.25">
      <c r="A11" t="s">
        <v>289</v>
      </c>
      <c r="B11">
        <v>219.8</v>
      </c>
      <c r="C11">
        <v>7.9</v>
      </c>
      <c r="D11">
        <v>9.4</v>
      </c>
      <c r="E11">
        <v>1.6</v>
      </c>
      <c r="F11">
        <v>7.2</v>
      </c>
      <c r="G11">
        <v>5.2</v>
      </c>
      <c r="H11">
        <v>6.2</v>
      </c>
      <c r="I11">
        <v>32</v>
      </c>
      <c r="J11">
        <v>48.2</v>
      </c>
      <c r="K11">
        <v>26.3</v>
      </c>
      <c r="L11">
        <v>26.2</v>
      </c>
    </row>
    <row r="12" spans="1:12" x14ac:dyDescent="0.25">
      <c r="A12" t="s">
        <v>290</v>
      </c>
      <c r="B12">
        <v>331.8</v>
      </c>
      <c r="C12">
        <v>9.6999999999999993</v>
      </c>
      <c r="D12">
        <v>11.7</v>
      </c>
      <c r="E12">
        <v>2.2999999999999998</v>
      </c>
      <c r="F12">
        <v>10</v>
      </c>
      <c r="G12">
        <v>6.8</v>
      </c>
      <c r="H12">
        <v>8.8000000000000007</v>
      </c>
      <c r="I12">
        <v>47</v>
      </c>
      <c r="J12">
        <v>29.1</v>
      </c>
      <c r="K12">
        <v>52.1</v>
      </c>
      <c r="L12">
        <v>30.3</v>
      </c>
    </row>
    <row r="13" spans="1:12" x14ac:dyDescent="0.25">
      <c r="A13" t="s">
        <v>291</v>
      </c>
      <c r="B13">
        <v>172.3</v>
      </c>
      <c r="C13">
        <v>9</v>
      </c>
      <c r="D13">
        <v>10.8</v>
      </c>
      <c r="E13">
        <v>1.7</v>
      </c>
      <c r="F13">
        <v>8.3000000000000007</v>
      </c>
      <c r="G13">
        <v>5</v>
      </c>
      <c r="H13">
        <v>5.7</v>
      </c>
      <c r="I13">
        <v>20</v>
      </c>
      <c r="J13">
        <v>24</v>
      </c>
      <c r="K13">
        <v>44</v>
      </c>
      <c r="L13">
        <v>42</v>
      </c>
    </row>
    <row r="14" spans="1:12" x14ac:dyDescent="0.25">
      <c r="A14" t="s">
        <v>292</v>
      </c>
      <c r="B14">
        <v>120.8</v>
      </c>
      <c r="C14">
        <v>4.5999999999999996</v>
      </c>
      <c r="D14">
        <v>5.3</v>
      </c>
      <c r="E14">
        <v>1.1000000000000001</v>
      </c>
      <c r="F14">
        <v>4.0999999999999996</v>
      </c>
      <c r="G14">
        <v>3.4</v>
      </c>
      <c r="H14">
        <v>4.9000000000000004</v>
      </c>
      <c r="I14">
        <v>38.1</v>
      </c>
      <c r="J14">
        <v>2.8</v>
      </c>
      <c r="K14">
        <v>67</v>
      </c>
      <c r="L14">
        <v>44.7</v>
      </c>
    </row>
    <row r="15" spans="1:12" x14ac:dyDescent="0.25">
      <c r="A15" t="s">
        <v>293</v>
      </c>
      <c r="B15">
        <v>206</v>
      </c>
      <c r="C15">
        <v>6.2</v>
      </c>
      <c r="D15">
        <v>7</v>
      </c>
      <c r="E15">
        <v>1.6</v>
      </c>
      <c r="F15">
        <v>6</v>
      </c>
      <c r="G15">
        <v>4.5999999999999996</v>
      </c>
      <c r="H15">
        <v>6.4</v>
      </c>
      <c r="I15">
        <v>48.8</v>
      </c>
      <c r="J15">
        <v>18.8</v>
      </c>
      <c r="K15">
        <v>59.5</v>
      </c>
      <c r="L15">
        <v>32</v>
      </c>
    </row>
    <row r="16" spans="1:12" x14ac:dyDescent="0.25">
      <c r="A16" t="s">
        <v>294</v>
      </c>
      <c r="B16">
        <v>153.80000000000001</v>
      </c>
      <c r="C16">
        <v>6.4</v>
      </c>
      <c r="D16">
        <v>6.7</v>
      </c>
      <c r="E16">
        <v>1.7</v>
      </c>
      <c r="F16">
        <v>5.0999999999999996</v>
      </c>
      <c r="G16">
        <v>4</v>
      </c>
      <c r="H16">
        <v>6.1</v>
      </c>
      <c r="I16">
        <v>39.200000000000003</v>
      </c>
      <c r="J16">
        <v>2.4</v>
      </c>
      <c r="K16">
        <v>74.400000000000006</v>
      </c>
      <c r="L16">
        <v>45.6</v>
      </c>
    </row>
    <row r="17" spans="1:12" x14ac:dyDescent="0.25">
      <c r="A17" t="s">
        <v>295</v>
      </c>
      <c r="B17">
        <v>152.1</v>
      </c>
      <c r="C17">
        <v>4.5</v>
      </c>
      <c r="D17">
        <v>5.3</v>
      </c>
      <c r="E17">
        <v>1.2</v>
      </c>
      <c r="F17">
        <v>5</v>
      </c>
      <c r="G17">
        <v>3.8</v>
      </c>
      <c r="H17">
        <v>5.4</v>
      </c>
      <c r="I17">
        <v>39.9</v>
      </c>
      <c r="J17">
        <v>1.7</v>
      </c>
      <c r="K17">
        <v>67.2</v>
      </c>
      <c r="L17">
        <v>33</v>
      </c>
    </row>
    <row r="18" spans="1:12" x14ac:dyDescent="0.25">
      <c r="A18" t="s">
        <v>296</v>
      </c>
      <c r="B18">
        <v>187.1</v>
      </c>
      <c r="C18">
        <v>7.4</v>
      </c>
      <c r="D18">
        <v>8.1999999999999993</v>
      </c>
      <c r="E18">
        <v>1.5</v>
      </c>
      <c r="F18">
        <v>7.6</v>
      </c>
      <c r="G18">
        <v>4.3</v>
      </c>
      <c r="H18">
        <v>5.9</v>
      </c>
      <c r="I18">
        <v>34.9</v>
      </c>
      <c r="J18">
        <v>2.4</v>
      </c>
      <c r="K18">
        <v>86.7</v>
      </c>
      <c r="L18">
        <v>27.7</v>
      </c>
    </row>
    <row r="19" spans="1:12" x14ac:dyDescent="0.25">
      <c r="A19" t="s">
        <v>297</v>
      </c>
      <c r="B19">
        <v>624.5</v>
      </c>
      <c r="C19">
        <v>26.3</v>
      </c>
      <c r="D19">
        <v>29</v>
      </c>
      <c r="E19">
        <v>2.6</v>
      </c>
      <c r="F19">
        <v>15.6</v>
      </c>
      <c r="G19">
        <v>10.199999999999999</v>
      </c>
      <c r="H19">
        <v>14.7</v>
      </c>
      <c r="I19">
        <v>46.4</v>
      </c>
      <c r="J19">
        <v>22.7</v>
      </c>
      <c r="K19">
        <v>46.7</v>
      </c>
      <c r="L19">
        <v>25.6</v>
      </c>
    </row>
    <row r="20" spans="1:12" x14ac:dyDescent="0.25">
      <c r="A20" t="s">
        <v>298</v>
      </c>
      <c r="B20">
        <v>266.39999999999998</v>
      </c>
      <c r="C20">
        <v>10.199999999999999</v>
      </c>
      <c r="D20">
        <v>11.8</v>
      </c>
      <c r="E20">
        <v>1.7</v>
      </c>
      <c r="F20">
        <v>8.5</v>
      </c>
      <c r="G20">
        <v>5.6</v>
      </c>
      <c r="H20">
        <v>7.7</v>
      </c>
      <c r="I20">
        <v>44.4</v>
      </c>
      <c r="J20">
        <v>13.1</v>
      </c>
      <c r="K20">
        <v>67.3</v>
      </c>
      <c r="L20">
        <v>27.5</v>
      </c>
    </row>
    <row r="21" spans="1:12" x14ac:dyDescent="0.25">
      <c r="A21" t="s">
        <v>299</v>
      </c>
      <c r="B21">
        <v>138.4</v>
      </c>
      <c r="C21">
        <v>5</v>
      </c>
      <c r="D21">
        <v>5.6</v>
      </c>
      <c r="E21">
        <v>1.3</v>
      </c>
      <c r="F21">
        <v>5.0999999999999996</v>
      </c>
      <c r="G21">
        <v>3.7</v>
      </c>
      <c r="H21">
        <v>5</v>
      </c>
      <c r="I21">
        <v>24.6</v>
      </c>
      <c r="J21">
        <v>0.3</v>
      </c>
      <c r="K21">
        <v>71.400000000000006</v>
      </c>
      <c r="L21">
        <v>37.6</v>
      </c>
    </row>
    <row r="22" spans="1:12" x14ac:dyDescent="0.25">
      <c r="A22" t="s">
        <v>300</v>
      </c>
      <c r="B22">
        <v>229.7</v>
      </c>
      <c r="C22">
        <v>5.6</v>
      </c>
      <c r="D22">
        <v>7.3</v>
      </c>
      <c r="E22">
        <v>1.8</v>
      </c>
      <c r="F22">
        <v>7.5</v>
      </c>
      <c r="G22">
        <v>5.2</v>
      </c>
      <c r="H22">
        <v>6.4</v>
      </c>
      <c r="I22">
        <v>44.3</v>
      </c>
      <c r="J22">
        <v>24.7</v>
      </c>
      <c r="K22">
        <v>44.5</v>
      </c>
      <c r="L22">
        <v>32.700000000000003</v>
      </c>
    </row>
    <row r="23" spans="1:12" x14ac:dyDescent="0.25">
      <c r="A23" t="s">
        <v>301</v>
      </c>
      <c r="B23">
        <v>193.5</v>
      </c>
      <c r="C23">
        <v>6</v>
      </c>
      <c r="D23">
        <v>7.2</v>
      </c>
      <c r="E23">
        <v>1.5</v>
      </c>
      <c r="F23">
        <v>6</v>
      </c>
      <c r="G23">
        <v>4.4000000000000004</v>
      </c>
      <c r="H23">
        <v>5.9</v>
      </c>
      <c r="I23">
        <v>40.6</v>
      </c>
      <c r="J23">
        <v>2.1</v>
      </c>
      <c r="K23">
        <v>55.8</v>
      </c>
      <c r="L23">
        <v>31</v>
      </c>
    </row>
    <row r="24" spans="1:12" x14ac:dyDescent="0.25">
      <c r="A24" t="s">
        <v>302</v>
      </c>
      <c r="B24">
        <v>177.5</v>
      </c>
      <c r="C24">
        <v>4.2</v>
      </c>
      <c r="D24">
        <v>4.5999999999999996</v>
      </c>
      <c r="E24">
        <v>1.6</v>
      </c>
      <c r="F24">
        <v>5.0999999999999996</v>
      </c>
      <c r="G24">
        <v>3.7</v>
      </c>
      <c r="H24">
        <v>5.5</v>
      </c>
      <c r="I24">
        <v>53.8</v>
      </c>
      <c r="J24">
        <v>9.1999999999999993</v>
      </c>
      <c r="K24">
        <v>66.400000000000006</v>
      </c>
      <c r="L24">
        <v>29.5</v>
      </c>
    </row>
    <row r="25" spans="1:12" x14ac:dyDescent="0.25">
      <c r="A25" t="s">
        <v>303</v>
      </c>
      <c r="B25">
        <v>244</v>
      </c>
      <c r="C25">
        <v>5.5</v>
      </c>
      <c r="D25">
        <v>6.9</v>
      </c>
      <c r="E25">
        <v>1.9</v>
      </c>
      <c r="F25">
        <v>6.3</v>
      </c>
      <c r="G25">
        <v>4.7</v>
      </c>
      <c r="H25">
        <v>6.3</v>
      </c>
      <c r="I25">
        <v>40.799999999999997</v>
      </c>
      <c r="J25">
        <v>6.2</v>
      </c>
      <c r="K25">
        <v>52.8</v>
      </c>
      <c r="L25">
        <v>37.700000000000003</v>
      </c>
    </row>
    <row r="26" spans="1:12" x14ac:dyDescent="0.25">
      <c r="A26" t="s">
        <v>304</v>
      </c>
      <c r="B26">
        <v>155.4</v>
      </c>
      <c r="C26">
        <v>5.9</v>
      </c>
      <c r="D26">
        <v>6.7</v>
      </c>
      <c r="E26">
        <v>1.7</v>
      </c>
      <c r="F26">
        <v>6</v>
      </c>
      <c r="G26">
        <v>4.2</v>
      </c>
      <c r="H26">
        <v>6.3</v>
      </c>
      <c r="I26">
        <v>51.9</v>
      </c>
      <c r="J26">
        <v>1.9</v>
      </c>
      <c r="K26">
        <v>63.9</v>
      </c>
      <c r="L26">
        <v>21.2</v>
      </c>
    </row>
    <row r="27" spans="1:12" x14ac:dyDescent="0.25">
      <c r="A27" t="s">
        <v>305</v>
      </c>
      <c r="B27">
        <v>230.9</v>
      </c>
      <c r="C27">
        <v>7.2</v>
      </c>
      <c r="D27">
        <v>9.1</v>
      </c>
      <c r="E27">
        <v>1.9</v>
      </c>
      <c r="F27">
        <v>8</v>
      </c>
      <c r="G27">
        <v>5.5</v>
      </c>
      <c r="H27">
        <v>6.5</v>
      </c>
      <c r="I27">
        <v>33.799999999999997</v>
      </c>
      <c r="J27">
        <v>16.600000000000001</v>
      </c>
      <c r="K27">
        <v>47.2</v>
      </c>
      <c r="L27">
        <v>33</v>
      </c>
    </row>
    <row r="28" spans="1:12" x14ac:dyDescent="0.25">
      <c r="A28" t="s">
        <v>306</v>
      </c>
      <c r="B28">
        <v>268.3</v>
      </c>
      <c r="C28">
        <v>8.1999999999999993</v>
      </c>
      <c r="D28">
        <v>10.4</v>
      </c>
      <c r="E28">
        <v>2.2999999999999998</v>
      </c>
      <c r="F28">
        <v>10.4</v>
      </c>
      <c r="G28">
        <v>6.6</v>
      </c>
      <c r="H28">
        <v>7.4</v>
      </c>
      <c r="I28">
        <v>26.8</v>
      </c>
      <c r="J28">
        <v>27.7</v>
      </c>
      <c r="K28">
        <v>36.5</v>
      </c>
      <c r="L28">
        <v>26.3</v>
      </c>
    </row>
    <row r="29" spans="1:12" x14ac:dyDescent="0.25">
      <c r="A29" t="s">
        <v>307</v>
      </c>
      <c r="B29">
        <v>242.3</v>
      </c>
      <c r="C29">
        <v>5.2</v>
      </c>
      <c r="D29">
        <v>6.1</v>
      </c>
      <c r="E29">
        <v>1.5</v>
      </c>
      <c r="F29">
        <v>6.9</v>
      </c>
      <c r="G29">
        <v>4.9000000000000004</v>
      </c>
      <c r="H29">
        <v>6.5</v>
      </c>
      <c r="I29">
        <v>45.4</v>
      </c>
      <c r="J29">
        <v>10.4</v>
      </c>
      <c r="K29">
        <v>57</v>
      </c>
      <c r="L29">
        <v>37.9</v>
      </c>
    </row>
    <row r="30" spans="1:12" x14ac:dyDescent="0.25">
      <c r="A30" t="s">
        <v>266</v>
      </c>
      <c r="B30">
        <v>239.7</v>
      </c>
      <c r="C30">
        <v>7.1</v>
      </c>
      <c r="D30">
        <v>8.5</v>
      </c>
      <c r="E30">
        <v>1.8</v>
      </c>
      <c r="F30">
        <v>7.4</v>
      </c>
      <c r="G30">
        <v>5.2</v>
      </c>
      <c r="H30">
        <v>6.7</v>
      </c>
      <c r="I30">
        <v>41.3</v>
      </c>
      <c r="J30">
        <v>14.7</v>
      </c>
      <c r="K30">
        <v>51.8</v>
      </c>
      <c r="L30">
        <v>31</v>
      </c>
    </row>
    <row r="31" spans="1:12" x14ac:dyDescent="0.25">
      <c r="A31" t="s">
        <v>308</v>
      </c>
      <c r="B31">
        <v>416.8</v>
      </c>
      <c r="C31">
        <v>16.7</v>
      </c>
      <c r="D31">
        <v>19.100000000000001</v>
      </c>
      <c r="E31">
        <v>2.2999999999999998</v>
      </c>
      <c r="F31">
        <v>11.8</v>
      </c>
      <c r="G31">
        <v>8</v>
      </c>
      <c r="H31">
        <v>10.6</v>
      </c>
      <c r="I31">
        <v>39</v>
      </c>
      <c r="J31">
        <v>12.7</v>
      </c>
      <c r="K31">
        <v>49.1</v>
      </c>
      <c r="L31">
        <v>27.7</v>
      </c>
    </row>
    <row r="32" spans="1:12" x14ac:dyDescent="0.25">
      <c r="A32" t="s">
        <v>309</v>
      </c>
      <c r="B32">
        <v>218.5</v>
      </c>
      <c r="C32">
        <v>5.9</v>
      </c>
      <c r="D32">
        <v>7.2</v>
      </c>
      <c r="E32">
        <v>1.7</v>
      </c>
      <c r="F32">
        <v>6.9</v>
      </c>
      <c r="G32">
        <v>4.8</v>
      </c>
      <c r="H32">
        <v>6.3</v>
      </c>
      <c r="I32">
        <v>41.5</v>
      </c>
      <c r="J32">
        <v>15</v>
      </c>
      <c r="K32">
        <v>52.1</v>
      </c>
      <c r="L32">
        <v>31.4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5.42578125" customWidth="1"/>
    <col min="2" max="2" width="12.7109375" customWidth="1"/>
    <col min="4" max="4" width="12.42578125" customWidth="1"/>
    <col min="5" max="5" width="12.7109375" customWidth="1"/>
    <col min="6" max="6" width="12.42578125" customWidth="1"/>
    <col min="7" max="7" width="12.7109375" customWidth="1"/>
    <col min="10" max="10" width="12.85546875" customWidth="1"/>
    <col min="12" max="12" width="12.7109375" customWidth="1"/>
  </cols>
  <sheetData>
    <row r="1" spans="1:12" x14ac:dyDescent="0.25">
      <c r="A1" s="29" t="s">
        <v>587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448.4</v>
      </c>
      <c r="C5">
        <v>20.9</v>
      </c>
      <c r="D5">
        <v>24.9</v>
      </c>
      <c r="E5">
        <v>2.9</v>
      </c>
      <c r="F5">
        <v>15.7</v>
      </c>
      <c r="G5">
        <v>9.5</v>
      </c>
      <c r="H5">
        <v>9.8000000000000007</v>
      </c>
      <c r="I5">
        <v>20.5</v>
      </c>
      <c r="J5">
        <v>1.2</v>
      </c>
      <c r="K5">
        <v>54.2</v>
      </c>
      <c r="L5">
        <v>3.6</v>
      </c>
    </row>
    <row r="6" spans="1:12" x14ac:dyDescent="0.25">
      <c r="A6" t="s">
        <v>284</v>
      </c>
      <c r="B6">
        <v>509.6</v>
      </c>
      <c r="C6">
        <v>22.4</v>
      </c>
      <c r="D6">
        <v>26.7</v>
      </c>
      <c r="E6">
        <v>3.4</v>
      </c>
      <c r="F6">
        <v>14.6</v>
      </c>
      <c r="G6">
        <v>10.199999999999999</v>
      </c>
      <c r="H6">
        <v>11.4</v>
      </c>
      <c r="I6">
        <v>18.5</v>
      </c>
      <c r="J6">
        <v>2.5</v>
      </c>
      <c r="K6">
        <v>73.900000000000006</v>
      </c>
      <c r="L6">
        <v>2.5</v>
      </c>
    </row>
    <row r="7" spans="1:12" x14ac:dyDescent="0.25">
      <c r="A7" t="s">
        <v>285</v>
      </c>
      <c r="B7">
        <v>521.70000000000005</v>
      </c>
      <c r="C7">
        <v>23.2</v>
      </c>
      <c r="D7">
        <v>28.3</v>
      </c>
      <c r="E7">
        <v>3.3</v>
      </c>
      <c r="F7">
        <v>15.7</v>
      </c>
      <c r="G7">
        <v>10.8</v>
      </c>
      <c r="H7">
        <v>11.8</v>
      </c>
      <c r="I7">
        <v>27.9</v>
      </c>
      <c r="J7">
        <v>9</v>
      </c>
      <c r="K7">
        <v>57.4</v>
      </c>
      <c r="L7">
        <v>11.5</v>
      </c>
    </row>
    <row r="8" spans="1:12" x14ac:dyDescent="0.25">
      <c r="A8" t="s">
        <v>286</v>
      </c>
      <c r="B8">
        <v>482.8</v>
      </c>
      <c r="C8">
        <v>20.5</v>
      </c>
      <c r="D8">
        <v>23.7</v>
      </c>
      <c r="E8">
        <v>2.7</v>
      </c>
      <c r="F8">
        <v>13.5</v>
      </c>
      <c r="G8">
        <v>9.3000000000000007</v>
      </c>
      <c r="H8">
        <v>10.1</v>
      </c>
      <c r="I8">
        <v>15.8</v>
      </c>
      <c r="J8">
        <v>11.8</v>
      </c>
      <c r="K8">
        <v>32.9</v>
      </c>
      <c r="L8">
        <v>2.6</v>
      </c>
    </row>
    <row r="9" spans="1:12" x14ac:dyDescent="0.25">
      <c r="A9" t="s">
        <v>287</v>
      </c>
      <c r="B9">
        <v>530.29999999999995</v>
      </c>
      <c r="C9">
        <v>20.5</v>
      </c>
      <c r="D9">
        <v>23.7</v>
      </c>
      <c r="E9">
        <v>2.7</v>
      </c>
      <c r="F9">
        <v>13.4</v>
      </c>
      <c r="G9">
        <v>8.8000000000000007</v>
      </c>
      <c r="H9">
        <v>10.1</v>
      </c>
      <c r="I9">
        <v>38.299999999999997</v>
      </c>
      <c r="J9">
        <v>3.2</v>
      </c>
      <c r="K9">
        <v>41.5</v>
      </c>
      <c r="L9">
        <v>2.1</v>
      </c>
    </row>
    <row r="10" spans="1:12" x14ac:dyDescent="0.25">
      <c r="A10" t="s">
        <v>288</v>
      </c>
      <c r="B10">
        <v>473.6</v>
      </c>
      <c r="C10">
        <v>18.899999999999999</v>
      </c>
      <c r="D10">
        <v>22.4</v>
      </c>
      <c r="E10">
        <v>3.4</v>
      </c>
      <c r="F10">
        <v>14.7</v>
      </c>
      <c r="G10">
        <v>9.6999999999999993</v>
      </c>
      <c r="H10">
        <v>10.3</v>
      </c>
      <c r="I10">
        <v>7.7</v>
      </c>
      <c r="J10">
        <v>2.2000000000000002</v>
      </c>
      <c r="K10">
        <v>45.1</v>
      </c>
      <c r="L10">
        <v>6.6</v>
      </c>
    </row>
    <row r="11" spans="1:12" x14ac:dyDescent="0.25">
      <c r="A11" t="s">
        <v>289</v>
      </c>
      <c r="B11">
        <v>462.5</v>
      </c>
      <c r="C11">
        <v>21.6</v>
      </c>
      <c r="D11">
        <v>25.7</v>
      </c>
      <c r="E11">
        <v>2.7</v>
      </c>
      <c r="F11">
        <v>13.6</v>
      </c>
      <c r="G11">
        <v>9.1</v>
      </c>
      <c r="H11">
        <v>10.1</v>
      </c>
      <c r="I11">
        <v>13.1</v>
      </c>
      <c r="J11">
        <v>31.3</v>
      </c>
      <c r="K11">
        <v>37.4</v>
      </c>
      <c r="L11">
        <v>1</v>
      </c>
    </row>
    <row r="12" spans="1:12" x14ac:dyDescent="0.25">
      <c r="A12" t="s">
        <v>290</v>
      </c>
      <c r="B12">
        <v>526</v>
      </c>
      <c r="C12">
        <v>30</v>
      </c>
      <c r="D12">
        <v>34.4</v>
      </c>
      <c r="E12">
        <v>3.6</v>
      </c>
      <c r="F12">
        <v>17.8</v>
      </c>
      <c r="G12">
        <v>11.2</v>
      </c>
      <c r="H12">
        <v>12.2</v>
      </c>
      <c r="I12">
        <v>22.1</v>
      </c>
      <c r="J12">
        <v>15</v>
      </c>
      <c r="K12">
        <v>52.1</v>
      </c>
      <c r="L12">
        <v>11.4</v>
      </c>
    </row>
    <row r="13" spans="1:12" x14ac:dyDescent="0.25">
      <c r="A13" t="s">
        <v>291</v>
      </c>
      <c r="B13">
        <v>466.5</v>
      </c>
      <c r="C13">
        <v>35.700000000000003</v>
      </c>
      <c r="D13">
        <v>40.700000000000003</v>
      </c>
      <c r="E13">
        <v>4.3</v>
      </c>
      <c r="F13">
        <v>25.3</v>
      </c>
      <c r="G13">
        <v>12.7</v>
      </c>
      <c r="H13">
        <v>12.7</v>
      </c>
      <c r="I13">
        <v>0</v>
      </c>
      <c r="J13">
        <v>0</v>
      </c>
      <c r="K13">
        <v>83.3</v>
      </c>
      <c r="L13">
        <v>0</v>
      </c>
    </row>
    <row r="14" spans="1:12" x14ac:dyDescent="0.25">
      <c r="A14" t="s">
        <v>292</v>
      </c>
      <c r="B14">
        <v>245.1</v>
      </c>
      <c r="C14">
        <v>12.8</v>
      </c>
      <c r="D14">
        <v>14.7</v>
      </c>
      <c r="E14">
        <v>1.6</v>
      </c>
      <c r="F14">
        <v>7.7</v>
      </c>
      <c r="G14">
        <v>6.1</v>
      </c>
      <c r="H14">
        <v>6.2</v>
      </c>
      <c r="I14">
        <v>37.9</v>
      </c>
      <c r="J14">
        <v>0</v>
      </c>
      <c r="K14">
        <v>58.6</v>
      </c>
      <c r="L14">
        <v>24.1</v>
      </c>
    </row>
    <row r="15" spans="1:12" x14ac:dyDescent="0.25">
      <c r="A15" t="s">
        <v>293</v>
      </c>
      <c r="B15">
        <v>360.7</v>
      </c>
      <c r="C15">
        <v>18.3</v>
      </c>
      <c r="D15">
        <v>20.6</v>
      </c>
      <c r="E15">
        <v>2.2999999999999998</v>
      </c>
      <c r="F15">
        <v>11.8</v>
      </c>
      <c r="G15">
        <v>8.6</v>
      </c>
      <c r="H15">
        <v>7.8</v>
      </c>
      <c r="I15">
        <v>7.7</v>
      </c>
      <c r="J15">
        <v>11.5</v>
      </c>
      <c r="K15">
        <v>65.400000000000006</v>
      </c>
      <c r="L15">
        <v>13.5</v>
      </c>
    </row>
    <row r="16" spans="1:12" x14ac:dyDescent="0.25">
      <c r="A16" t="s">
        <v>294</v>
      </c>
      <c r="B16">
        <v>297.89999999999998</v>
      </c>
      <c r="C16">
        <v>15.9</v>
      </c>
      <c r="D16">
        <v>16.5</v>
      </c>
      <c r="E16">
        <v>2.1</v>
      </c>
      <c r="F16">
        <v>9.9</v>
      </c>
      <c r="G16">
        <v>6</v>
      </c>
      <c r="H16">
        <v>6.7</v>
      </c>
      <c r="I16">
        <v>14.3</v>
      </c>
      <c r="J16">
        <v>0</v>
      </c>
      <c r="K16">
        <v>78.599999999999994</v>
      </c>
      <c r="L16">
        <v>35.700000000000003</v>
      </c>
    </row>
    <row r="17" spans="1:12" x14ac:dyDescent="0.25">
      <c r="A17" t="s">
        <v>295</v>
      </c>
      <c r="B17">
        <v>340.8</v>
      </c>
      <c r="C17">
        <v>12.7</v>
      </c>
      <c r="D17">
        <v>14.5</v>
      </c>
      <c r="E17">
        <v>2.1</v>
      </c>
      <c r="F17">
        <v>10.9</v>
      </c>
      <c r="G17">
        <v>7.4</v>
      </c>
      <c r="H17">
        <v>7.5</v>
      </c>
      <c r="I17">
        <v>24.3</v>
      </c>
      <c r="J17">
        <v>0</v>
      </c>
      <c r="K17">
        <v>83.8</v>
      </c>
      <c r="L17">
        <v>27</v>
      </c>
    </row>
    <row r="18" spans="1:12" x14ac:dyDescent="0.25">
      <c r="A18" t="s">
        <v>296</v>
      </c>
      <c r="B18">
        <v>476.8</v>
      </c>
      <c r="C18">
        <v>32.299999999999997</v>
      </c>
      <c r="D18">
        <v>36.299999999999997</v>
      </c>
      <c r="E18">
        <v>3.1</v>
      </c>
      <c r="F18">
        <v>25.3</v>
      </c>
      <c r="G18">
        <v>10.7</v>
      </c>
      <c r="H18">
        <v>10.9</v>
      </c>
      <c r="I18">
        <v>22.2</v>
      </c>
      <c r="J18">
        <v>0</v>
      </c>
      <c r="K18">
        <v>100</v>
      </c>
      <c r="L18">
        <v>0</v>
      </c>
    </row>
    <row r="19" spans="1:12" x14ac:dyDescent="0.25">
      <c r="A19" t="s">
        <v>297</v>
      </c>
      <c r="B19">
        <v>1309.2</v>
      </c>
      <c r="C19">
        <v>88.1</v>
      </c>
      <c r="D19">
        <v>95.5</v>
      </c>
      <c r="E19">
        <v>4.2</v>
      </c>
      <c r="F19">
        <v>30.7</v>
      </c>
      <c r="G19">
        <v>20.2</v>
      </c>
      <c r="H19">
        <v>28.6</v>
      </c>
      <c r="I19">
        <v>66.7</v>
      </c>
      <c r="J19">
        <v>9.1</v>
      </c>
      <c r="K19">
        <v>42.4</v>
      </c>
      <c r="L19">
        <v>3</v>
      </c>
    </row>
    <row r="20" spans="1:12" x14ac:dyDescent="0.25">
      <c r="A20" t="s">
        <v>298</v>
      </c>
      <c r="B20">
        <v>450.6</v>
      </c>
      <c r="C20">
        <v>25.2</v>
      </c>
      <c r="D20">
        <v>28.7</v>
      </c>
      <c r="E20">
        <v>2.6</v>
      </c>
      <c r="F20">
        <v>14.1</v>
      </c>
      <c r="G20">
        <v>11.5</v>
      </c>
      <c r="H20">
        <v>10.3</v>
      </c>
      <c r="I20">
        <v>33.299999999999997</v>
      </c>
      <c r="J20">
        <v>7.4</v>
      </c>
      <c r="K20">
        <v>70.400000000000006</v>
      </c>
      <c r="L20">
        <v>7.4</v>
      </c>
    </row>
    <row r="21" spans="1:12" x14ac:dyDescent="0.25">
      <c r="A21" t="s">
        <v>299</v>
      </c>
      <c r="B21">
        <v>214.3</v>
      </c>
      <c r="C21">
        <v>11.1</v>
      </c>
      <c r="D21">
        <v>12</v>
      </c>
      <c r="E21">
        <v>1.6</v>
      </c>
      <c r="F21">
        <v>9.1999999999999993</v>
      </c>
      <c r="G21">
        <v>5.2</v>
      </c>
      <c r="H21">
        <v>5.3</v>
      </c>
      <c r="I21">
        <v>7.9</v>
      </c>
      <c r="J21">
        <v>0</v>
      </c>
      <c r="K21">
        <v>73</v>
      </c>
      <c r="L21">
        <v>17.5</v>
      </c>
    </row>
    <row r="22" spans="1:12" x14ac:dyDescent="0.25">
      <c r="A22" t="s">
        <v>300</v>
      </c>
      <c r="B22">
        <v>562.9</v>
      </c>
      <c r="C22">
        <v>19.600000000000001</v>
      </c>
      <c r="D22">
        <v>24.3</v>
      </c>
      <c r="E22">
        <v>3.9</v>
      </c>
      <c r="F22">
        <v>15.6</v>
      </c>
      <c r="G22">
        <v>11.2</v>
      </c>
      <c r="H22">
        <v>12</v>
      </c>
      <c r="I22">
        <v>20.3</v>
      </c>
      <c r="J22">
        <v>11.4</v>
      </c>
      <c r="K22">
        <v>44.7</v>
      </c>
      <c r="L22">
        <v>7.3</v>
      </c>
    </row>
    <row r="23" spans="1:12" x14ac:dyDescent="0.25">
      <c r="A23" t="s">
        <v>301</v>
      </c>
      <c r="B23">
        <v>442.1</v>
      </c>
      <c r="C23">
        <v>24</v>
      </c>
      <c r="D23">
        <v>27.8</v>
      </c>
      <c r="E23">
        <v>2.9</v>
      </c>
      <c r="F23">
        <v>14.9</v>
      </c>
      <c r="G23">
        <v>9.9</v>
      </c>
      <c r="H23">
        <v>10.3</v>
      </c>
      <c r="I23">
        <v>18.600000000000001</v>
      </c>
      <c r="J23">
        <v>3.4</v>
      </c>
      <c r="K23">
        <v>66.099999999999994</v>
      </c>
      <c r="L23">
        <v>5.0999999999999996</v>
      </c>
    </row>
    <row r="24" spans="1:12" x14ac:dyDescent="0.25">
      <c r="A24" t="s">
        <v>302</v>
      </c>
      <c r="B24">
        <v>442.6</v>
      </c>
      <c r="C24">
        <v>18.5</v>
      </c>
      <c r="D24">
        <v>20.399999999999999</v>
      </c>
      <c r="E24">
        <v>2.1</v>
      </c>
      <c r="F24">
        <v>11.4</v>
      </c>
      <c r="G24">
        <v>7.5</v>
      </c>
      <c r="H24">
        <v>9.1</v>
      </c>
      <c r="I24">
        <v>47.6</v>
      </c>
      <c r="J24">
        <v>4.8</v>
      </c>
      <c r="K24">
        <v>61.9</v>
      </c>
      <c r="L24">
        <v>9.5</v>
      </c>
    </row>
    <row r="25" spans="1:12" x14ac:dyDescent="0.25">
      <c r="A25" t="s">
        <v>303</v>
      </c>
      <c r="B25">
        <v>584.1</v>
      </c>
      <c r="C25">
        <v>19.399999999999999</v>
      </c>
      <c r="D25">
        <v>22.7</v>
      </c>
      <c r="E25">
        <v>3.7</v>
      </c>
      <c r="F25">
        <v>14.2</v>
      </c>
      <c r="G25">
        <v>10.5</v>
      </c>
      <c r="H25">
        <v>11.7</v>
      </c>
      <c r="I25">
        <v>44.5</v>
      </c>
      <c r="J25">
        <v>3.4</v>
      </c>
      <c r="K25">
        <v>52.1</v>
      </c>
      <c r="L25">
        <v>10.9</v>
      </c>
    </row>
    <row r="26" spans="1:12" x14ac:dyDescent="0.25">
      <c r="A26" t="s">
        <v>304</v>
      </c>
      <c r="B26">
        <v>223.4</v>
      </c>
      <c r="C26">
        <v>15.2</v>
      </c>
      <c r="D26">
        <v>16.8</v>
      </c>
      <c r="E26">
        <v>2</v>
      </c>
      <c r="F26">
        <v>8.6999999999999993</v>
      </c>
      <c r="G26">
        <v>6</v>
      </c>
      <c r="H26">
        <v>6</v>
      </c>
      <c r="I26">
        <v>10.7</v>
      </c>
      <c r="J26">
        <v>0</v>
      </c>
      <c r="K26">
        <v>78.599999999999994</v>
      </c>
      <c r="L26">
        <v>7.1</v>
      </c>
    </row>
    <row r="27" spans="1:12" x14ac:dyDescent="0.25">
      <c r="A27" t="s">
        <v>305</v>
      </c>
      <c r="B27">
        <v>506.3</v>
      </c>
      <c r="C27">
        <v>24.2</v>
      </c>
      <c r="D27">
        <v>29.1</v>
      </c>
      <c r="E27">
        <v>4.0999999999999996</v>
      </c>
      <c r="F27">
        <v>16</v>
      </c>
      <c r="G27">
        <v>10.8</v>
      </c>
      <c r="H27">
        <v>11.5</v>
      </c>
      <c r="I27">
        <v>16.2</v>
      </c>
      <c r="J27">
        <v>1.4</v>
      </c>
      <c r="K27">
        <v>28.4</v>
      </c>
      <c r="L27">
        <v>2.7</v>
      </c>
    </row>
    <row r="28" spans="1:12" x14ac:dyDescent="0.25">
      <c r="A28" t="s">
        <v>306</v>
      </c>
      <c r="B28">
        <v>648.6</v>
      </c>
      <c r="C28">
        <v>25.5</v>
      </c>
      <c r="D28">
        <v>31.4</v>
      </c>
      <c r="E28">
        <v>4.2</v>
      </c>
      <c r="F28">
        <v>19.899999999999999</v>
      </c>
      <c r="G28">
        <v>14.5</v>
      </c>
      <c r="H28">
        <v>14.9</v>
      </c>
      <c r="I28">
        <v>5.9</v>
      </c>
      <c r="J28">
        <v>13.4</v>
      </c>
      <c r="K28">
        <v>56.3</v>
      </c>
      <c r="L28">
        <v>5</v>
      </c>
    </row>
    <row r="29" spans="1:12" x14ac:dyDescent="0.25">
      <c r="A29" t="s">
        <v>307</v>
      </c>
      <c r="B29">
        <v>534</v>
      </c>
      <c r="C29">
        <v>16.100000000000001</v>
      </c>
      <c r="D29">
        <v>18.600000000000001</v>
      </c>
      <c r="E29">
        <v>2.8</v>
      </c>
      <c r="F29">
        <v>16.8</v>
      </c>
      <c r="G29">
        <v>9.9</v>
      </c>
      <c r="H29">
        <v>10.9</v>
      </c>
      <c r="I29">
        <v>25.6</v>
      </c>
      <c r="J29">
        <v>6.4</v>
      </c>
      <c r="K29">
        <v>61.5</v>
      </c>
      <c r="L29">
        <v>9</v>
      </c>
    </row>
    <row r="30" spans="1:12" x14ac:dyDescent="0.25">
      <c r="A30" t="s">
        <v>266</v>
      </c>
      <c r="B30">
        <v>520.1</v>
      </c>
      <c r="C30">
        <v>23.7</v>
      </c>
      <c r="D30">
        <v>27.7</v>
      </c>
      <c r="E30">
        <v>3.2</v>
      </c>
      <c r="F30">
        <v>15.5</v>
      </c>
      <c r="G30">
        <v>10.4</v>
      </c>
      <c r="H30">
        <v>11.4</v>
      </c>
      <c r="I30">
        <v>22.8</v>
      </c>
      <c r="J30">
        <v>7.9</v>
      </c>
      <c r="K30">
        <v>54.1</v>
      </c>
      <c r="L30">
        <v>7.7</v>
      </c>
    </row>
    <row r="31" spans="1:12" x14ac:dyDescent="0.25">
      <c r="A31" t="s">
        <v>308</v>
      </c>
      <c r="B31">
        <v>943.3</v>
      </c>
      <c r="C31">
        <v>55.9</v>
      </c>
      <c r="D31">
        <v>62.5</v>
      </c>
      <c r="E31">
        <v>4.2</v>
      </c>
      <c r="F31">
        <v>26.7</v>
      </c>
      <c r="G31">
        <v>17.8</v>
      </c>
      <c r="H31">
        <v>20.8</v>
      </c>
      <c r="I31">
        <v>41.9</v>
      </c>
      <c r="J31">
        <v>4.4000000000000004</v>
      </c>
      <c r="K31">
        <v>47.6</v>
      </c>
      <c r="L31">
        <v>4.4000000000000004</v>
      </c>
    </row>
    <row r="32" spans="1:12" x14ac:dyDescent="0.25">
      <c r="A32" t="s">
        <v>309</v>
      </c>
      <c r="B32">
        <v>456.9</v>
      </c>
      <c r="C32">
        <v>18.899999999999999</v>
      </c>
      <c r="D32">
        <v>22.5</v>
      </c>
      <c r="E32">
        <v>3</v>
      </c>
      <c r="F32">
        <v>13.8</v>
      </c>
      <c r="G32">
        <v>9.3000000000000007</v>
      </c>
      <c r="H32">
        <v>10</v>
      </c>
      <c r="I32">
        <v>20</v>
      </c>
      <c r="J32">
        <v>8.4</v>
      </c>
      <c r="K32">
        <v>55</v>
      </c>
      <c r="L32">
        <v>8.1999999999999993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K32"/>
  <sheetViews>
    <sheetView workbookViewId="0">
      <selection sqref="A1:K1"/>
    </sheetView>
  </sheetViews>
  <sheetFormatPr defaultRowHeight="15" x14ac:dyDescent="0.25"/>
  <cols>
    <col min="1" max="1" width="26.140625" customWidth="1"/>
    <col min="2" max="2" width="14" customWidth="1"/>
    <col min="4" max="4" width="14.140625" customWidth="1"/>
    <col min="5" max="5" width="14" customWidth="1"/>
    <col min="9" max="9" width="14.140625" customWidth="1"/>
    <col min="10" max="10" width="14" customWidth="1"/>
  </cols>
  <sheetData>
    <row r="1" spans="1:11" x14ac:dyDescent="0.25">
      <c r="A1" s="29" t="s">
        <v>588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32.799999999999997</v>
      </c>
      <c r="C5">
        <v>27.4</v>
      </c>
      <c r="D5">
        <v>29.9</v>
      </c>
      <c r="E5">
        <v>42.6</v>
      </c>
      <c r="F5">
        <v>1.4</v>
      </c>
      <c r="G5">
        <v>1.3</v>
      </c>
      <c r="H5">
        <v>16.399999999999999</v>
      </c>
      <c r="I5">
        <v>49.1</v>
      </c>
      <c r="J5">
        <v>55.5</v>
      </c>
      <c r="K5">
        <v>16.5</v>
      </c>
    </row>
    <row r="6" spans="1:11" x14ac:dyDescent="0.25">
      <c r="A6" t="s">
        <v>284</v>
      </c>
      <c r="B6">
        <v>45.8</v>
      </c>
      <c r="C6">
        <v>34</v>
      </c>
      <c r="D6">
        <v>31.1</v>
      </c>
      <c r="E6">
        <v>46.7</v>
      </c>
      <c r="F6">
        <v>1.5</v>
      </c>
      <c r="G6">
        <v>1.2</v>
      </c>
      <c r="H6">
        <v>25.8</v>
      </c>
      <c r="I6">
        <v>56.9</v>
      </c>
      <c r="J6">
        <v>63.6</v>
      </c>
      <c r="K6">
        <v>37.5</v>
      </c>
    </row>
    <row r="7" spans="1:11" x14ac:dyDescent="0.25">
      <c r="A7" t="s">
        <v>285</v>
      </c>
      <c r="B7">
        <v>54.6</v>
      </c>
      <c r="C7">
        <v>38.700000000000003</v>
      </c>
      <c r="D7">
        <v>36.700000000000003</v>
      </c>
      <c r="E7">
        <v>49.5</v>
      </c>
      <c r="F7">
        <v>1.3</v>
      </c>
      <c r="G7">
        <v>1.9</v>
      </c>
      <c r="H7">
        <v>29.1</v>
      </c>
      <c r="I7">
        <v>56.3</v>
      </c>
      <c r="J7">
        <v>64</v>
      </c>
      <c r="K7">
        <v>37.6</v>
      </c>
    </row>
    <row r="8" spans="1:11" x14ac:dyDescent="0.25">
      <c r="A8" t="s">
        <v>286</v>
      </c>
      <c r="B8">
        <v>41.2</v>
      </c>
      <c r="C8">
        <v>33.4</v>
      </c>
      <c r="D8">
        <v>33.4</v>
      </c>
      <c r="E8">
        <v>49.4</v>
      </c>
      <c r="F8">
        <v>1.5</v>
      </c>
      <c r="G8">
        <v>1.9</v>
      </c>
      <c r="H8">
        <v>18.8</v>
      </c>
      <c r="I8">
        <v>45</v>
      </c>
      <c r="J8">
        <v>49.6</v>
      </c>
      <c r="K8">
        <v>25.2</v>
      </c>
    </row>
    <row r="9" spans="1:11" x14ac:dyDescent="0.25">
      <c r="A9" t="s">
        <v>287</v>
      </c>
      <c r="B9">
        <v>49.8</v>
      </c>
      <c r="C9">
        <v>41.2</v>
      </c>
      <c r="D9">
        <v>38.5</v>
      </c>
      <c r="E9">
        <v>51.2</v>
      </c>
      <c r="F9">
        <v>1.3</v>
      </c>
      <c r="G9">
        <v>1.4</v>
      </c>
      <c r="H9">
        <v>17.100000000000001</v>
      </c>
      <c r="I9">
        <v>40.799999999999997</v>
      </c>
      <c r="J9">
        <v>45.3</v>
      </c>
      <c r="K9">
        <v>18.8</v>
      </c>
    </row>
    <row r="10" spans="1:11" x14ac:dyDescent="0.25">
      <c r="A10" t="s">
        <v>288</v>
      </c>
      <c r="B10">
        <v>41.8</v>
      </c>
      <c r="C10">
        <v>35.799999999999997</v>
      </c>
      <c r="D10">
        <v>30.6</v>
      </c>
      <c r="E10">
        <v>42.8</v>
      </c>
      <c r="F10">
        <v>1.4</v>
      </c>
      <c r="G10">
        <v>1.3</v>
      </c>
      <c r="H10">
        <v>14.2</v>
      </c>
      <c r="I10">
        <v>51.2</v>
      </c>
      <c r="J10">
        <v>55</v>
      </c>
      <c r="K10">
        <v>28.5</v>
      </c>
    </row>
    <row r="11" spans="1:11" x14ac:dyDescent="0.25">
      <c r="A11" t="s">
        <v>289</v>
      </c>
      <c r="B11">
        <v>34</v>
      </c>
      <c r="C11">
        <v>27.8</v>
      </c>
      <c r="D11">
        <v>32.299999999999997</v>
      </c>
      <c r="E11">
        <v>40.299999999999997</v>
      </c>
      <c r="F11">
        <v>1.2</v>
      </c>
      <c r="G11">
        <v>1.4</v>
      </c>
      <c r="H11">
        <v>18.3</v>
      </c>
      <c r="I11">
        <v>44.7</v>
      </c>
      <c r="J11">
        <v>50.9</v>
      </c>
      <c r="K11">
        <v>16.899999999999999</v>
      </c>
    </row>
    <row r="12" spans="1:11" x14ac:dyDescent="0.25">
      <c r="A12" t="s">
        <v>290</v>
      </c>
      <c r="B12">
        <v>62.7</v>
      </c>
      <c r="C12">
        <v>46.7</v>
      </c>
      <c r="D12">
        <v>36</v>
      </c>
      <c r="E12">
        <v>51.5</v>
      </c>
      <c r="F12">
        <v>1.4</v>
      </c>
      <c r="G12">
        <v>1.2</v>
      </c>
      <c r="H12">
        <v>25.4</v>
      </c>
      <c r="I12">
        <v>54.8</v>
      </c>
      <c r="J12">
        <v>63.7</v>
      </c>
      <c r="K12">
        <v>28.7</v>
      </c>
    </row>
    <row r="13" spans="1:11" x14ac:dyDescent="0.25">
      <c r="A13" t="s">
        <v>291</v>
      </c>
      <c r="B13">
        <v>23.6</v>
      </c>
      <c r="C13">
        <v>18.399999999999999</v>
      </c>
      <c r="D13">
        <v>27.8</v>
      </c>
      <c r="E13">
        <v>33.700000000000003</v>
      </c>
      <c r="F13">
        <v>1.2</v>
      </c>
      <c r="G13">
        <v>2.7</v>
      </c>
      <c r="H13">
        <v>22.4</v>
      </c>
      <c r="I13">
        <v>48.1</v>
      </c>
      <c r="J13">
        <v>56.3</v>
      </c>
      <c r="K13">
        <v>20</v>
      </c>
    </row>
    <row r="14" spans="1:11" x14ac:dyDescent="0.25">
      <c r="A14" t="s">
        <v>292</v>
      </c>
      <c r="B14">
        <v>28.4</v>
      </c>
      <c r="C14">
        <v>24.6</v>
      </c>
      <c r="D14">
        <v>21.2</v>
      </c>
      <c r="E14">
        <v>35</v>
      </c>
      <c r="F14">
        <v>1.6</v>
      </c>
      <c r="G14">
        <v>2.4</v>
      </c>
      <c r="H14">
        <v>13.5</v>
      </c>
      <c r="I14">
        <v>46.3</v>
      </c>
      <c r="J14">
        <v>50</v>
      </c>
      <c r="K14">
        <v>22.8</v>
      </c>
    </row>
    <row r="15" spans="1:11" x14ac:dyDescent="0.25">
      <c r="A15" t="s">
        <v>293</v>
      </c>
      <c r="B15">
        <v>42.9</v>
      </c>
      <c r="C15">
        <v>37.4</v>
      </c>
      <c r="D15">
        <v>29.7</v>
      </c>
      <c r="E15">
        <v>47.5</v>
      </c>
      <c r="F15">
        <v>1.6</v>
      </c>
      <c r="G15">
        <v>25.1</v>
      </c>
      <c r="H15">
        <v>12.6</v>
      </c>
      <c r="I15">
        <v>61.7</v>
      </c>
      <c r="J15">
        <v>65.8</v>
      </c>
      <c r="K15">
        <v>33</v>
      </c>
    </row>
    <row r="16" spans="1:11" x14ac:dyDescent="0.25">
      <c r="A16" t="s">
        <v>294</v>
      </c>
      <c r="B16">
        <v>25.8</v>
      </c>
      <c r="C16">
        <v>24.5</v>
      </c>
      <c r="D16">
        <v>22.1</v>
      </c>
      <c r="E16">
        <v>36.200000000000003</v>
      </c>
      <c r="F16">
        <v>1.6</v>
      </c>
      <c r="G16">
        <v>1.2</v>
      </c>
      <c r="H16">
        <v>5.2</v>
      </c>
      <c r="I16">
        <v>48.2</v>
      </c>
      <c r="J16">
        <v>49.4</v>
      </c>
      <c r="K16">
        <v>26.7</v>
      </c>
    </row>
    <row r="17" spans="1:11" x14ac:dyDescent="0.25">
      <c r="A17" t="s">
        <v>295</v>
      </c>
      <c r="B17">
        <v>35.799999999999997</v>
      </c>
      <c r="C17">
        <v>30.4</v>
      </c>
      <c r="D17">
        <v>25</v>
      </c>
      <c r="E17">
        <v>39.9</v>
      </c>
      <c r="F17">
        <v>1.6</v>
      </c>
      <c r="G17">
        <v>1.9</v>
      </c>
      <c r="H17">
        <v>15.2</v>
      </c>
      <c r="I17">
        <v>40</v>
      </c>
      <c r="J17">
        <v>43</v>
      </c>
      <c r="K17">
        <v>23.8</v>
      </c>
    </row>
    <row r="18" spans="1:11" x14ac:dyDescent="0.25">
      <c r="A18" t="s">
        <v>296</v>
      </c>
      <c r="B18">
        <v>35</v>
      </c>
      <c r="C18">
        <v>31.2</v>
      </c>
      <c r="D18">
        <v>29</v>
      </c>
      <c r="E18">
        <v>45.1</v>
      </c>
      <c r="F18">
        <v>1.6</v>
      </c>
      <c r="G18">
        <v>1</v>
      </c>
      <c r="H18">
        <v>10.6</v>
      </c>
      <c r="I18">
        <v>52.6</v>
      </c>
      <c r="J18">
        <v>55.1</v>
      </c>
      <c r="K18">
        <v>31.4</v>
      </c>
    </row>
    <row r="19" spans="1:11" x14ac:dyDescent="0.25">
      <c r="A19" t="s">
        <v>297</v>
      </c>
      <c r="B19">
        <v>36.799999999999997</v>
      </c>
      <c r="C19">
        <v>32.6</v>
      </c>
      <c r="D19">
        <v>41.1</v>
      </c>
      <c r="E19">
        <v>61</v>
      </c>
      <c r="F19">
        <v>1.5</v>
      </c>
      <c r="G19">
        <v>1.1000000000000001</v>
      </c>
      <c r="H19">
        <v>11.5</v>
      </c>
      <c r="I19">
        <v>71.599999999999994</v>
      </c>
      <c r="J19">
        <v>75.400000000000006</v>
      </c>
      <c r="K19">
        <v>42.6</v>
      </c>
    </row>
    <row r="20" spans="1:11" x14ac:dyDescent="0.25">
      <c r="A20" t="s">
        <v>298</v>
      </c>
      <c r="B20">
        <v>32.6</v>
      </c>
      <c r="C20">
        <v>27.7</v>
      </c>
      <c r="D20">
        <v>32.700000000000003</v>
      </c>
      <c r="E20">
        <v>55.2</v>
      </c>
      <c r="F20">
        <v>1.7</v>
      </c>
      <c r="G20">
        <v>1.4</v>
      </c>
      <c r="H20">
        <v>15.1</v>
      </c>
      <c r="I20">
        <v>50.9</v>
      </c>
      <c r="J20">
        <v>54.2</v>
      </c>
      <c r="K20">
        <v>32.4</v>
      </c>
    </row>
    <row r="21" spans="1:11" x14ac:dyDescent="0.25">
      <c r="A21" t="s">
        <v>299</v>
      </c>
      <c r="B21">
        <v>31.8</v>
      </c>
      <c r="C21">
        <v>27.5</v>
      </c>
      <c r="D21">
        <v>24.8</v>
      </c>
      <c r="E21">
        <v>37.700000000000003</v>
      </c>
      <c r="F21">
        <v>1.5</v>
      </c>
      <c r="G21">
        <v>1.2</v>
      </c>
      <c r="H21">
        <v>13.3</v>
      </c>
      <c r="I21">
        <v>48.9</v>
      </c>
      <c r="J21">
        <v>53</v>
      </c>
      <c r="K21">
        <v>22.2</v>
      </c>
    </row>
    <row r="22" spans="1:11" x14ac:dyDescent="0.25">
      <c r="A22" t="s">
        <v>300</v>
      </c>
      <c r="B22">
        <v>53</v>
      </c>
      <c r="C22">
        <v>37.4</v>
      </c>
      <c r="D22">
        <v>32.9</v>
      </c>
      <c r="E22">
        <v>43.8</v>
      </c>
      <c r="F22">
        <v>1.3</v>
      </c>
      <c r="G22">
        <v>6.2</v>
      </c>
      <c r="H22">
        <v>29.3</v>
      </c>
      <c r="I22">
        <v>40.9</v>
      </c>
      <c r="J22">
        <v>46.9</v>
      </c>
      <c r="K22">
        <v>26.4</v>
      </c>
    </row>
    <row r="23" spans="1:11" x14ac:dyDescent="0.25">
      <c r="A23" t="s">
        <v>301</v>
      </c>
      <c r="B23">
        <v>43.1</v>
      </c>
      <c r="C23">
        <v>34.9</v>
      </c>
      <c r="D23">
        <v>30.5</v>
      </c>
      <c r="E23">
        <v>46.5</v>
      </c>
      <c r="F23">
        <v>1.5</v>
      </c>
      <c r="G23">
        <v>1.2</v>
      </c>
      <c r="H23">
        <v>19.100000000000001</v>
      </c>
      <c r="I23">
        <v>47.2</v>
      </c>
      <c r="J23">
        <v>52.2</v>
      </c>
      <c r="K23">
        <v>25.8</v>
      </c>
    </row>
    <row r="24" spans="1:11" x14ac:dyDescent="0.25">
      <c r="A24" t="s">
        <v>302</v>
      </c>
      <c r="B24">
        <v>52.4</v>
      </c>
      <c r="C24">
        <v>47.5</v>
      </c>
      <c r="D24">
        <v>30.4</v>
      </c>
      <c r="E24">
        <v>47.7</v>
      </c>
      <c r="F24">
        <v>1.6</v>
      </c>
      <c r="G24">
        <v>0.9</v>
      </c>
      <c r="H24">
        <v>9.3000000000000007</v>
      </c>
      <c r="I24">
        <v>42.9</v>
      </c>
      <c r="J24">
        <v>45.3</v>
      </c>
      <c r="K24">
        <v>20.3</v>
      </c>
    </row>
    <row r="25" spans="1:11" x14ac:dyDescent="0.25">
      <c r="A25" t="s">
        <v>303</v>
      </c>
      <c r="B25">
        <v>53</v>
      </c>
      <c r="C25">
        <v>40</v>
      </c>
      <c r="D25">
        <v>36.700000000000003</v>
      </c>
      <c r="E25">
        <v>53</v>
      </c>
      <c r="F25">
        <v>1.4</v>
      </c>
      <c r="G25">
        <v>1.5</v>
      </c>
      <c r="H25">
        <v>24.7</v>
      </c>
      <c r="I25">
        <v>60.6</v>
      </c>
      <c r="J25">
        <v>68.599999999999994</v>
      </c>
      <c r="K25">
        <v>36.299999999999997</v>
      </c>
    </row>
    <row r="26" spans="1:11" x14ac:dyDescent="0.25">
      <c r="A26" t="s">
        <v>304</v>
      </c>
      <c r="B26">
        <v>32.700000000000003</v>
      </c>
      <c r="C26">
        <v>28.9</v>
      </c>
      <c r="D26">
        <v>22.8</v>
      </c>
      <c r="E26">
        <v>36.9</v>
      </c>
      <c r="F26">
        <v>1.6</v>
      </c>
      <c r="G26">
        <v>2.1</v>
      </c>
      <c r="H26">
        <v>11.5</v>
      </c>
      <c r="I26">
        <v>56.4</v>
      </c>
      <c r="J26">
        <v>59.3</v>
      </c>
      <c r="K26">
        <v>34</v>
      </c>
    </row>
    <row r="27" spans="1:11" x14ac:dyDescent="0.25">
      <c r="A27" t="s">
        <v>305</v>
      </c>
      <c r="B27">
        <v>42.9</v>
      </c>
      <c r="C27">
        <v>31.8</v>
      </c>
      <c r="D27">
        <v>32.5</v>
      </c>
      <c r="E27">
        <v>41.1</v>
      </c>
      <c r="F27">
        <v>1.3</v>
      </c>
      <c r="G27">
        <v>1.4</v>
      </c>
      <c r="H27">
        <v>25.9</v>
      </c>
      <c r="I27">
        <v>34.799999999999997</v>
      </c>
      <c r="J27">
        <v>40.200000000000003</v>
      </c>
      <c r="K27">
        <v>19.3</v>
      </c>
    </row>
    <row r="28" spans="1:11" x14ac:dyDescent="0.25">
      <c r="A28" t="s">
        <v>306</v>
      </c>
      <c r="B28">
        <v>40.5</v>
      </c>
      <c r="C28">
        <v>30.4</v>
      </c>
      <c r="D28">
        <v>33.1</v>
      </c>
      <c r="E28">
        <v>39.299999999999997</v>
      </c>
      <c r="F28">
        <v>1.2</v>
      </c>
      <c r="G28">
        <v>1.7</v>
      </c>
      <c r="H28">
        <v>24.7</v>
      </c>
      <c r="I28">
        <v>38.299999999999997</v>
      </c>
      <c r="J28">
        <v>43.3</v>
      </c>
      <c r="K28">
        <v>23.3</v>
      </c>
    </row>
    <row r="29" spans="1:11" x14ac:dyDescent="0.25">
      <c r="A29" t="s">
        <v>307</v>
      </c>
      <c r="B29">
        <v>52.7</v>
      </c>
      <c r="C29">
        <v>43.4</v>
      </c>
      <c r="D29">
        <v>35.299999999999997</v>
      </c>
      <c r="E29">
        <v>50.1</v>
      </c>
      <c r="F29">
        <v>1.4</v>
      </c>
      <c r="G29">
        <v>1.1000000000000001</v>
      </c>
      <c r="H29">
        <v>17.600000000000001</v>
      </c>
      <c r="I29">
        <v>53.3</v>
      </c>
      <c r="J29">
        <v>57.9</v>
      </c>
      <c r="K29">
        <v>31.7</v>
      </c>
    </row>
    <row r="30" spans="1:11" x14ac:dyDescent="0.25">
      <c r="A30" t="s">
        <v>266</v>
      </c>
      <c r="B30">
        <v>44</v>
      </c>
      <c r="C30">
        <v>35</v>
      </c>
      <c r="D30">
        <v>32.9</v>
      </c>
      <c r="E30">
        <v>46.6</v>
      </c>
      <c r="F30">
        <v>1.4</v>
      </c>
      <c r="G30">
        <v>2.5</v>
      </c>
      <c r="H30">
        <v>20.3</v>
      </c>
      <c r="I30">
        <v>50.8</v>
      </c>
      <c r="J30">
        <v>56.4</v>
      </c>
      <c r="K30">
        <v>28.8</v>
      </c>
    </row>
    <row r="31" spans="1:11" x14ac:dyDescent="0.25">
      <c r="A31" t="s">
        <v>308</v>
      </c>
      <c r="B31">
        <v>34.4</v>
      </c>
      <c r="C31">
        <v>29</v>
      </c>
      <c r="D31">
        <v>36.799999999999997</v>
      </c>
      <c r="E31">
        <v>52.7</v>
      </c>
      <c r="F31">
        <v>1.4</v>
      </c>
      <c r="G31">
        <v>1.2</v>
      </c>
      <c r="H31">
        <v>15.6</v>
      </c>
      <c r="I31">
        <v>65.599999999999994</v>
      </c>
      <c r="J31">
        <v>69.900000000000006</v>
      </c>
      <c r="K31">
        <v>42.1</v>
      </c>
    </row>
    <row r="32" spans="1:11" x14ac:dyDescent="0.25">
      <c r="A32" t="s">
        <v>309</v>
      </c>
      <c r="B32">
        <v>46.5</v>
      </c>
      <c r="C32">
        <v>36.5</v>
      </c>
      <c r="D32">
        <v>32.200000000000003</v>
      </c>
      <c r="E32">
        <v>45.5</v>
      </c>
      <c r="F32">
        <v>1.4</v>
      </c>
      <c r="G32">
        <v>2.7</v>
      </c>
      <c r="H32">
        <v>21.5</v>
      </c>
      <c r="I32">
        <v>47.1</v>
      </c>
      <c r="J32">
        <v>52.8</v>
      </c>
      <c r="K32">
        <v>26.4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M31"/>
  <sheetViews>
    <sheetView workbookViewId="0">
      <selection sqref="A1:M1"/>
    </sheetView>
  </sheetViews>
  <sheetFormatPr defaultRowHeight="15" x14ac:dyDescent="0.25"/>
  <cols>
    <col min="1" max="1" width="24.140625" customWidth="1"/>
    <col min="2" max="2" width="11.85546875" customWidth="1"/>
    <col min="3" max="3" width="12" customWidth="1"/>
    <col min="5" max="5" width="11.85546875" customWidth="1"/>
    <col min="6" max="6" width="12" customWidth="1"/>
    <col min="7" max="7" width="11.85546875" customWidth="1"/>
    <col min="8" max="8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29" t="s">
        <v>599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413</v>
      </c>
      <c r="C2" s="29"/>
      <c r="D2" s="29" t="s">
        <v>600</v>
      </c>
      <c r="E2" s="29"/>
      <c r="F2" s="29" t="s">
        <v>601</v>
      </c>
      <c r="G2" s="29"/>
      <c r="H2" s="29" t="s">
        <v>602</v>
      </c>
      <c r="I2" s="29"/>
      <c r="J2" s="29" t="s">
        <v>603</v>
      </c>
      <c r="K2" s="29"/>
      <c r="L2" s="29"/>
      <c r="M2" s="29"/>
    </row>
    <row r="3" spans="1:13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413</v>
      </c>
      <c r="K3" t="s">
        <v>604</v>
      </c>
      <c r="L3" t="s">
        <v>605</v>
      </c>
      <c r="M3" t="s">
        <v>606</v>
      </c>
    </row>
    <row r="4" spans="1:13" x14ac:dyDescent="0.25">
      <c r="A4" t="s">
        <v>283</v>
      </c>
      <c r="B4">
        <v>15880</v>
      </c>
      <c r="C4">
        <v>7765</v>
      </c>
      <c r="D4">
        <v>99861</v>
      </c>
      <c r="E4">
        <v>48523</v>
      </c>
      <c r="F4">
        <v>56441</v>
      </c>
      <c r="G4">
        <v>27268</v>
      </c>
      <c r="H4">
        <v>60145</v>
      </c>
      <c r="I4">
        <v>29109</v>
      </c>
      <c r="J4">
        <v>104.5</v>
      </c>
      <c r="K4">
        <v>105.8</v>
      </c>
      <c r="L4">
        <v>107</v>
      </c>
      <c r="M4">
        <v>106.6</v>
      </c>
    </row>
    <row r="5" spans="1:13" x14ac:dyDescent="0.25">
      <c r="A5" t="s">
        <v>284</v>
      </c>
      <c r="B5">
        <v>23883</v>
      </c>
      <c r="C5">
        <v>11525</v>
      </c>
      <c r="D5">
        <v>151819</v>
      </c>
      <c r="E5">
        <v>73376</v>
      </c>
      <c r="F5">
        <v>88087</v>
      </c>
      <c r="G5">
        <v>42657</v>
      </c>
      <c r="H5">
        <v>95316</v>
      </c>
      <c r="I5">
        <v>45868</v>
      </c>
      <c r="J5">
        <v>107.2</v>
      </c>
      <c r="K5">
        <v>106.9</v>
      </c>
      <c r="L5">
        <v>106.5</v>
      </c>
      <c r="M5">
        <v>107.8</v>
      </c>
    </row>
    <row r="6" spans="1:13" x14ac:dyDescent="0.25">
      <c r="A6" t="s">
        <v>285</v>
      </c>
      <c r="B6">
        <v>18942</v>
      </c>
      <c r="C6">
        <v>9237</v>
      </c>
      <c r="D6">
        <v>121160</v>
      </c>
      <c r="E6">
        <v>59085</v>
      </c>
      <c r="F6">
        <v>68493</v>
      </c>
      <c r="G6">
        <v>33195</v>
      </c>
      <c r="H6">
        <v>71096</v>
      </c>
      <c r="I6">
        <v>33846</v>
      </c>
      <c r="J6">
        <v>105.1</v>
      </c>
      <c r="K6">
        <v>105.1</v>
      </c>
      <c r="L6">
        <v>106.3</v>
      </c>
      <c r="M6">
        <v>110.1</v>
      </c>
    </row>
    <row r="7" spans="1:13" x14ac:dyDescent="0.25">
      <c r="A7" t="s">
        <v>286</v>
      </c>
      <c r="B7">
        <v>11358</v>
      </c>
      <c r="C7">
        <v>5557</v>
      </c>
      <c r="D7">
        <v>71706</v>
      </c>
      <c r="E7">
        <v>35042</v>
      </c>
      <c r="F7">
        <v>40470</v>
      </c>
      <c r="G7">
        <v>19625</v>
      </c>
      <c r="H7">
        <v>41526</v>
      </c>
      <c r="I7">
        <v>19824</v>
      </c>
      <c r="J7">
        <v>104.4</v>
      </c>
      <c r="K7">
        <v>104.6</v>
      </c>
      <c r="L7">
        <v>106.2</v>
      </c>
      <c r="M7">
        <v>109.5</v>
      </c>
    </row>
    <row r="8" spans="1:13" x14ac:dyDescent="0.25">
      <c r="A8" t="s">
        <v>287</v>
      </c>
      <c r="B8">
        <v>16920</v>
      </c>
      <c r="C8">
        <v>8319</v>
      </c>
      <c r="D8">
        <v>108961</v>
      </c>
      <c r="E8">
        <v>53535</v>
      </c>
      <c r="F8">
        <v>61387</v>
      </c>
      <c r="G8">
        <v>29772</v>
      </c>
      <c r="H8">
        <v>61809</v>
      </c>
      <c r="I8">
        <v>29091</v>
      </c>
      <c r="J8">
        <v>103.4</v>
      </c>
      <c r="K8">
        <v>103.5</v>
      </c>
      <c r="L8">
        <v>106.2</v>
      </c>
      <c r="M8">
        <v>112.5</v>
      </c>
    </row>
    <row r="9" spans="1:13" x14ac:dyDescent="0.25">
      <c r="A9" t="s">
        <v>288</v>
      </c>
      <c r="B9">
        <v>14755</v>
      </c>
      <c r="C9">
        <v>7147</v>
      </c>
      <c r="D9">
        <v>94515</v>
      </c>
      <c r="E9">
        <v>45965</v>
      </c>
      <c r="F9">
        <v>52625</v>
      </c>
      <c r="G9">
        <v>25500</v>
      </c>
      <c r="H9">
        <v>53454</v>
      </c>
      <c r="I9">
        <v>25252</v>
      </c>
      <c r="J9">
        <v>106.5</v>
      </c>
      <c r="K9">
        <v>105.6</v>
      </c>
      <c r="L9">
        <v>106.4</v>
      </c>
      <c r="M9">
        <v>111.7</v>
      </c>
    </row>
    <row r="10" spans="1:13" x14ac:dyDescent="0.25">
      <c r="A10" t="s">
        <v>289</v>
      </c>
      <c r="B10">
        <v>12650</v>
      </c>
      <c r="C10">
        <v>6130</v>
      </c>
      <c r="D10">
        <v>83259</v>
      </c>
      <c r="E10">
        <v>40337</v>
      </c>
      <c r="F10">
        <v>48161</v>
      </c>
      <c r="G10">
        <v>23251</v>
      </c>
      <c r="H10">
        <v>48948</v>
      </c>
      <c r="I10">
        <v>23301</v>
      </c>
      <c r="J10">
        <v>106.4</v>
      </c>
      <c r="K10">
        <v>106.4</v>
      </c>
      <c r="L10">
        <v>107.1</v>
      </c>
      <c r="M10">
        <v>110.1</v>
      </c>
    </row>
    <row r="11" spans="1:13" x14ac:dyDescent="0.25">
      <c r="A11" t="s">
        <v>290</v>
      </c>
      <c r="B11">
        <v>22214</v>
      </c>
      <c r="C11">
        <v>10768</v>
      </c>
      <c r="D11">
        <v>138244</v>
      </c>
      <c r="E11">
        <v>66853</v>
      </c>
      <c r="F11">
        <v>80045</v>
      </c>
      <c r="G11">
        <v>38537</v>
      </c>
      <c r="H11">
        <v>88891</v>
      </c>
      <c r="I11">
        <v>42481</v>
      </c>
      <c r="J11">
        <v>106.3</v>
      </c>
      <c r="K11">
        <v>106.8</v>
      </c>
      <c r="L11">
        <v>107.7</v>
      </c>
      <c r="M11">
        <v>109.2</v>
      </c>
    </row>
    <row r="12" spans="1:13" x14ac:dyDescent="0.25">
      <c r="A12" t="s">
        <v>291</v>
      </c>
      <c r="B12">
        <v>1012</v>
      </c>
      <c r="C12">
        <v>484</v>
      </c>
      <c r="D12">
        <v>6694</v>
      </c>
      <c r="E12">
        <v>3195</v>
      </c>
      <c r="F12">
        <v>3897</v>
      </c>
      <c r="G12">
        <v>1856</v>
      </c>
      <c r="H12">
        <v>4039</v>
      </c>
      <c r="I12">
        <v>1916</v>
      </c>
      <c r="J12">
        <v>109.1</v>
      </c>
      <c r="K12">
        <v>109.5</v>
      </c>
      <c r="L12">
        <v>110</v>
      </c>
      <c r="M12">
        <v>110.8</v>
      </c>
    </row>
    <row r="13" spans="1:13" x14ac:dyDescent="0.25">
      <c r="A13" t="s">
        <v>292</v>
      </c>
      <c r="B13">
        <v>3197</v>
      </c>
      <c r="C13">
        <v>1536</v>
      </c>
      <c r="D13">
        <v>20113</v>
      </c>
      <c r="E13">
        <v>9716</v>
      </c>
      <c r="F13">
        <v>11285</v>
      </c>
      <c r="G13">
        <v>5507</v>
      </c>
      <c r="H13">
        <v>11728</v>
      </c>
      <c r="I13">
        <v>5700</v>
      </c>
      <c r="J13">
        <v>108.1</v>
      </c>
      <c r="K13">
        <v>107</v>
      </c>
      <c r="L13">
        <v>104.9</v>
      </c>
      <c r="M13">
        <v>105.8</v>
      </c>
    </row>
    <row r="14" spans="1:13" x14ac:dyDescent="0.25">
      <c r="A14" t="s">
        <v>293</v>
      </c>
      <c r="B14">
        <v>8829</v>
      </c>
      <c r="C14">
        <v>4335</v>
      </c>
      <c r="D14">
        <v>54340</v>
      </c>
      <c r="E14">
        <v>26780</v>
      </c>
      <c r="F14">
        <v>28446</v>
      </c>
      <c r="G14">
        <v>13981</v>
      </c>
      <c r="H14">
        <v>27912</v>
      </c>
      <c r="I14">
        <v>13399</v>
      </c>
      <c r="J14">
        <v>103.7</v>
      </c>
      <c r="K14">
        <v>102.9</v>
      </c>
      <c r="L14">
        <v>103.5</v>
      </c>
      <c r="M14">
        <v>108.3</v>
      </c>
    </row>
    <row r="15" spans="1:13" x14ac:dyDescent="0.25">
      <c r="A15" t="s">
        <v>294</v>
      </c>
      <c r="B15">
        <v>2102</v>
      </c>
      <c r="C15">
        <v>1025</v>
      </c>
      <c r="D15">
        <v>12766</v>
      </c>
      <c r="E15">
        <v>6249</v>
      </c>
      <c r="F15">
        <v>6373</v>
      </c>
      <c r="G15">
        <v>3140</v>
      </c>
      <c r="H15">
        <v>6173</v>
      </c>
      <c r="I15">
        <v>3025</v>
      </c>
      <c r="J15">
        <v>105.1</v>
      </c>
      <c r="K15">
        <v>104.3</v>
      </c>
      <c r="L15">
        <v>103</v>
      </c>
      <c r="M15">
        <v>104.1</v>
      </c>
    </row>
    <row r="16" spans="1:13" x14ac:dyDescent="0.25">
      <c r="A16" t="s">
        <v>295</v>
      </c>
      <c r="B16">
        <v>5842</v>
      </c>
      <c r="C16">
        <v>2831</v>
      </c>
      <c r="D16">
        <v>37105</v>
      </c>
      <c r="E16">
        <v>17903</v>
      </c>
      <c r="F16">
        <v>20198</v>
      </c>
      <c r="G16">
        <v>9731</v>
      </c>
      <c r="H16">
        <v>20625</v>
      </c>
      <c r="I16">
        <v>9959</v>
      </c>
      <c r="J16">
        <v>106.4</v>
      </c>
      <c r="K16">
        <v>107.3</v>
      </c>
      <c r="L16">
        <v>107.6</v>
      </c>
      <c r="M16">
        <v>107.1</v>
      </c>
    </row>
    <row r="17" spans="1:13" x14ac:dyDescent="0.25">
      <c r="A17" t="s">
        <v>296</v>
      </c>
      <c r="B17">
        <v>2154</v>
      </c>
      <c r="C17">
        <v>1039</v>
      </c>
      <c r="D17">
        <v>13044</v>
      </c>
      <c r="E17">
        <v>6272</v>
      </c>
      <c r="F17">
        <v>7416</v>
      </c>
      <c r="G17">
        <v>3579</v>
      </c>
      <c r="H17">
        <v>8551</v>
      </c>
      <c r="I17">
        <v>4159</v>
      </c>
      <c r="J17">
        <v>107.3</v>
      </c>
      <c r="K17">
        <v>108</v>
      </c>
      <c r="L17">
        <v>107.2</v>
      </c>
      <c r="M17">
        <v>105.6</v>
      </c>
    </row>
    <row r="18" spans="1:13" x14ac:dyDescent="0.25">
      <c r="A18" t="s">
        <v>297</v>
      </c>
      <c r="B18">
        <v>26274</v>
      </c>
      <c r="C18">
        <v>12649</v>
      </c>
      <c r="D18">
        <v>148551</v>
      </c>
      <c r="E18">
        <v>70742</v>
      </c>
      <c r="F18">
        <v>87176</v>
      </c>
      <c r="G18">
        <v>43014</v>
      </c>
      <c r="H18">
        <v>109992</v>
      </c>
      <c r="I18">
        <v>58361</v>
      </c>
      <c r="J18">
        <v>107.7</v>
      </c>
      <c r="K18">
        <v>110</v>
      </c>
      <c r="L18">
        <v>102.7</v>
      </c>
      <c r="M18">
        <v>88.5</v>
      </c>
    </row>
    <row r="19" spans="1:13" x14ac:dyDescent="0.25">
      <c r="A19" t="s">
        <v>298</v>
      </c>
      <c r="B19">
        <v>4897</v>
      </c>
      <c r="C19">
        <v>2366</v>
      </c>
      <c r="D19">
        <v>30917</v>
      </c>
      <c r="E19">
        <v>14916</v>
      </c>
      <c r="F19">
        <v>18452</v>
      </c>
      <c r="G19">
        <v>8943</v>
      </c>
      <c r="H19">
        <v>20754</v>
      </c>
      <c r="I19">
        <v>10083</v>
      </c>
      <c r="J19">
        <v>107</v>
      </c>
      <c r="K19">
        <v>107.3</v>
      </c>
      <c r="L19">
        <v>106.3</v>
      </c>
      <c r="M19">
        <v>105.8</v>
      </c>
    </row>
    <row r="20" spans="1:13" x14ac:dyDescent="0.25">
      <c r="A20" t="s">
        <v>299</v>
      </c>
      <c r="B20">
        <v>4813</v>
      </c>
      <c r="C20">
        <v>2374</v>
      </c>
      <c r="D20">
        <v>30016</v>
      </c>
      <c r="E20">
        <v>14743</v>
      </c>
      <c r="F20">
        <v>15665</v>
      </c>
      <c r="G20">
        <v>7650</v>
      </c>
      <c r="H20">
        <v>15445</v>
      </c>
      <c r="I20">
        <v>7502</v>
      </c>
      <c r="J20">
        <v>102.7</v>
      </c>
      <c r="K20">
        <v>103.6</v>
      </c>
      <c r="L20">
        <v>104.8</v>
      </c>
      <c r="M20">
        <v>105.9</v>
      </c>
    </row>
    <row r="21" spans="1:13" x14ac:dyDescent="0.25">
      <c r="A21" t="s">
        <v>300</v>
      </c>
      <c r="B21">
        <v>19778</v>
      </c>
      <c r="C21">
        <v>9643</v>
      </c>
      <c r="D21">
        <v>129753</v>
      </c>
      <c r="E21">
        <v>63225</v>
      </c>
      <c r="F21">
        <v>73954</v>
      </c>
      <c r="G21">
        <v>35491</v>
      </c>
      <c r="H21">
        <v>74357</v>
      </c>
      <c r="I21">
        <v>34407</v>
      </c>
      <c r="J21">
        <v>105.1</v>
      </c>
      <c r="K21">
        <v>105.2</v>
      </c>
      <c r="L21">
        <v>108.4</v>
      </c>
      <c r="M21">
        <v>116.1</v>
      </c>
    </row>
    <row r="22" spans="1:13" x14ac:dyDescent="0.25">
      <c r="A22" t="s">
        <v>301</v>
      </c>
      <c r="B22">
        <v>9165</v>
      </c>
      <c r="C22">
        <v>4414</v>
      </c>
      <c r="D22">
        <v>58235</v>
      </c>
      <c r="E22">
        <v>28046</v>
      </c>
      <c r="F22">
        <v>33469</v>
      </c>
      <c r="G22">
        <v>16164</v>
      </c>
      <c r="H22">
        <v>35915</v>
      </c>
      <c r="I22">
        <v>17311</v>
      </c>
      <c r="J22">
        <v>107.6</v>
      </c>
      <c r="K22">
        <v>107.6</v>
      </c>
      <c r="L22">
        <v>107.1</v>
      </c>
      <c r="M22">
        <v>107.5</v>
      </c>
    </row>
    <row r="23" spans="1:13" x14ac:dyDescent="0.25">
      <c r="A23" t="s">
        <v>302</v>
      </c>
      <c r="B23">
        <v>4616</v>
      </c>
      <c r="C23">
        <v>2275</v>
      </c>
      <c r="D23">
        <v>28654</v>
      </c>
      <c r="E23">
        <v>14020</v>
      </c>
      <c r="F23">
        <v>14486</v>
      </c>
      <c r="G23">
        <v>7012</v>
      </c>
      <c r="H23">
        <v>13749</v>
      </c>
      <c r="I23">
        <v>6616</v>
      </c>
      <c r="J23">
        <v>102.9</v>
      </c>
      <c r="K23">
        <v>104.4</v>
      </c>
      <c r="L23">
        <v>106.6</v>
      </c>
      <c r="M23">
        <v>107.8</v>
      </c>
    </row>
    <row r="24" spans="1:13" x14ac:dyDescent="0.25">
      <c r="A24" t="s">
        <v>303</v>
      </c>
      <c r="B24">
        <v>24008</v>
      </c>
      <c r="C24">
        <v>11547</v>
      </c>
      <c r="D24">
        <v>146645</v>
      </c>
      <c r="E24">
        <v>70503</v>
      </c>
      <c r="F24">
        <v>78839</v>
      </c>
      <c r="G24">
        <v>38046</v>
      </c>
      <c r="H24">
        <v>81226</v>
      </c>
      <c r="I24">
        <v>39280</v>
      </c>
      <c r="J24">
        <v>107.9</v>
      </c>
      <c r="K24">
        <v>108</v>
      </c>
      <c r="L24">
        <v>107.2</v>
      </c>
      <c r="M24">
        <v>106.8</v>
      </c>
    </row>
    <row r="25" spans="1:13" x14ac:dyDescent="0.25">
      <c r="A25" t="s">
        <v>304</v>
      </c>
      <c r="B25">
        <v>3197</v>
      </c>
      <c r="C25">
        <v>1574</v>
      </c>
      <c r="D25">
        <v>19551</v>
      </c>
      <c r="E25">
        <v>9625</v>
      </c>
      <c r="F25">
        <v>10128</v>
      </c>
      <c r="G25">
        <v>5001</v>
      </c>
      <c r="H25">
        <v>10371</v>
      </c>
      <c r="I25">
        <v>5138</v>
      </c>
      <c r="J25">
        <v>103.1</v>
      </c>
      <c r="K25">
        <v>103.1</v>
      </c>
      <c r="L25">
        <v>102.5</v>
      </c>
      <c r="M25">
        <v>101.8</v>
      </c>
    </row>
    <row r="26" spans="1:13" x14ac:dyDescent="0.25">
      <c r="A26" t="s">
        <v>305</v>
      </c>
      <c r="B26">
        <v>9392</v>
      </c>
      <c r="C26">
        <v>4649</v>
      </c>
      <c r="D26">
        <v>61528</v>
      </c>
      <c r="E26">
        <v>30316</v>
      </c>
      <c r="F26">
        <v>36129</v>
      </c>
      <c r="G26">
        <v>17355</v>
      </c>
      <c r="H26">
        <v>38199</v>
      </c>
      <c r="I26">
        <v>17557</v>
      </c>
      <c r="J26">
        <v>102</v>
      </c>
      <c r="K26">
        <v>103</v>
      </c>
      <c r="L26">
        <v>108.2</v>
      </c>
      <c r="M26">
        <v>117.6</v>
      </c>
    </row>
    <row r="27" spans="1:13" x14ac:dyDescent="0.25">
      <c r="A27" t="s">
        <v>306</v>
      </c>
      <c r="B27">
        <v>17367</v>
      </c>
      <c r="C27">
        <v>8432</v>
      </c>
      <c r="D27">
        <v>115626</v>
      </c>
      <c r="E27">
        <v>56163</v>
      </c>
      <c r="F27">
        <v>68263</v>
      </c>
      <c r="G27">
        <v>32752</v>
      </c>
      <c r="H27">
        <v>70699</v>
      </c>
      <c r="I27">
        <v>32857</v>
      </c>
      <c r="J27">
        <v>106</v>
      </c>
      <c r="K27">
        <v>105.9</v>
      </c>
      <c r="L27">
        <v>108.4</v>
      </c>
      <c r="M27">
        <v>115.2</v>
      </c>
    </row>
    <row r="28" spans="1:13" x14ac:dyDescent="0.25">
      <c r="A28" t="s">
        <v>307</v>
      </c>
      <c r="B28">
        <v>15424</v>
      </c>
      <c r="C28">
        <v>7484</v>
      </c>
      <c r="D28">
        <v>98658</v>
      </c>
      <c r="E28">
        <v>47884</v>
      </c>
      <c r="F28">
        <v>55776</v>
      </c>
      <c r="G28">
        <v>26904</v>
      </c>
      <c r="H28">
        <v>57891</v>
      </c>
      <c r="I28">
        <v>27425</v>
      </c>
      <c r="J28">
        <v>106.1</v>
      </c>
      <c r="K28">
        <v>106</v>
      </c>
      <c r="L28">
        <v>107.3</v>
      </c>
      <c r="M28">
        <v>111.1</v>
      </c>
    </row>
    <row r="29" spans="1:13" x14ac:dyDescent="0.25">
      <c r="A29" t="s">
        <v>266</v>
      </c>
      <c r="B29">
        <v>298669</v>
      </c>
      <c r="C29">
        <v>145105</v>
      </c>
      <c r="D29">
        <v>1881721</v>
      </c>
      <c r="E29">
        <v>913014</v>
      </c>
      <c r="F29">
        <v>1065661</v>
      </c>
      <c r="G29">
        <v>515931</v>
      </c>
      <c r="H29">
        <v>1128811</v>
      </c>
      <c r="I29">
        <v>543467</v>
      </c>
      <c r="J29">
        <v>105.8</v>
      </c>
      <c r="K29">
        <v>106.1</v>
      </c>
      <c r="L29">
        <v>106.6</v>
      </c>
      <c r="M29">
        <v>107.7</v>
      </c>
    </row>
    <row r="30" spans="1:13" x14ac:dyDescent="0.25">
      <c r="A30" t="s">
        <v>459</v>
      </c>
      <c r="B30">
        <v>61850</v>
      </c>
      <c r="C30">
        <v>29840</v>
      </c>
      <c r="D30">
        <v>372582</v>
      </c>
      <c r="E30">
        <v>178883</v>
      </c>
      <c r="F30">
        <v>212779</v>
      </c>
      <c r="G30">
        <v>103497</v>
      </c>
      <c r="H30">
        <v>241896</v>
      </c>
      <c r="I30">
        <v>121409</v>
      </c>
      <c r="J30">
        <v>107.3</v>
      </c>
      <c r="K30">
        <v>108.3</v>
      </c>
      <c r="L30">
        <v>105.6</v>
      </c>
      <c r="M30">
        <v>99.2</v>
      </c>
    </row>
    <row r="31" spans="1:13" x14ac:dyDescent="0.25">
      <c r="A31" t="s">
        <v>460</v>
      </c>
      <c r="B31">
        <v>236819</v>
      </c>
      <c r="C31">
        <v>115265</v>
      </c>
      <c r="D31">
        <v>1509139</v>
      </c>
      <c r="E31">
        <v>734131</v>
      </c>
      <c r="F31">
        <v>852882</v>
      </c>
      <c r="G31">
        <v>412434</v>
      </c>
      <c r="H31">
        <v>886915</v>
      </c>
      <c r="I31">
        <v>422058</v>
      </c>
      <c r="J31">
        <v>105.5</v>
      </c>
      <c r="K31">
        <v>105.6</v>
      </c>
      <c r="L31">
        <v>106.8</v>
      </c>
      <c r="M31">
        <v>110.1</v>
      </c>
    </row>
  </sheetData>
  <mergeCells count="7">
    <mergeCell ref="F2:G2"/>
    <mergeCell ref="B2:C2"/>
    <mergeCell ref="H2:I2"/>
    <mergeCell ref="A1:M1"/>
    <mergeCell ref="D2:E2"/>
    <mergeCell ref="A2:A3"/>
    <mergeCell ref="J2:M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K32"/>
  <sheetViews>
    <sheetView workbookViewId="0"/>
  </sheetViews>
  <sheetFormatPr defaultRowHeight="15" x14ac:dyDescent="0.25"/>
  <cols>
    <col min="1" max="1" width="23.28515625" customWidth="1"/>
    <col min="2" max="2" width="14.42578125" customWidth="1"/>
    <col min="5" max="5" width="14.140625" customWidth="1"/>
    <col min="6" max="6" width="14.42578125" customWidth="1"/>
    <col min="10" max="10" width="14.140625" customWidth="1"/>
    <col min="11" max="11" width="14.42578125" customWidth="1"/>
  </cols>
  <sheetData>
    <row r="1" spans="1:11" x14ac:dyDescent="0.25">
      <c r="A1" s="29" t="s">
        <v>607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21.5</v>
      </c>
      <c r="C5">
        <v>18</v>
      </c>
      <c r="D5">
        <v>45.7</v>
      </c>
      <c r="E5">
        <v>47.2</v>
      </c>
      <c r="F5">
        <v>1</v>
      </c>
      <c r="G5">
        <v>1.2</v>
      </c>
      <c r="H5">
        <v>15.9</v>
      </c>
      <c r="I5">
        <v>38.5</v>
      </c>
      <c r="J5">
        <v>39.9</v>
      </c>
      <c r="K5">
        <v>31.3</v>
      </c>
    </row>
    <row r="6" spans="1:11" x14ac:dyDescent="0.25">
      <c r="A6" t="s">
        <v>284</v>
      </c>
      <c r="B6">
        <v>22.8</v>
      </c>
      <c r="C6">
        <v>19.100000000000001</v>
      </c>
      <c r="D6">
        <v>44.8</v>
      </c>
      <c r="E6">
        <v>50.2</v>
      </c>
      <c r="F6">
        <v>1.1000000000000001</v>
      </c>
      <c r="G6">
        <v>1.2</v>
      </c>
      <c r="H6">
        <v>16.2</v>
      </c>
      <c r="I6">
        <v>44.3</v>
      </c>
      <c r="J6">
        <v>46.3</v>
      </c>
      <c r="K6">
        <v>33.5</v>
      </c>
    </row>
    <row r="7" spans="1:11" x14ac:dyDescent="0.25">
      <c r="A7" t="s">
        <v>285</v>
      </c>
      <c r="B7">
        <v>22.5</v>
      </c>
      <c r="C7">
        <v>18.5</v>
      </c>
      <c r="D7">
        <v>44.1</v>
      </c>
      <c r="E7">
        <v>48.3</v>
      </c>
      <c r="F7">
        <v>1.1000000000000001</v>
      </c>
      <c r="G7">
        <v>1.6</v>
      </c>
      <c r="H7">
        <v>17.899999999999999</v>
      </c>
      <c r="I7">
        <v>45.8</v>
      </c>
      <c r="J7">
        <v>48.5</v>
      </c>
      <c r="K7">
        <v>33.4</v>
      </c>
    </row>
    <row r="8" spans="1:11" x14ac:dyDescent="0.25">
      <c r="A8" t="s">
        <v>286</v>
      </c>
      <c r="B8">
        <v>23.6</v>
      </c>
      <c r="C8">
        <v>20.399999999999999</v>
      </c>
      <c r="D8">
        <v>47.9</v>
      </c>
      <c r="E8">
        <v>51.8</v>
      </c>
      <c r="F8">
        <v>1.1000000000000001</v>
      </c>
      <c r="G8">
        <v>2.8</v>
      </c>
      <c r="H8">
        <v>13.5</v>
      </c>
      <c r="I8">
        <v>38.200000000000003</v>
      </c>
      <c r="J8">
        <v>40.299999999999997</v>
      </c>
      <c r="K8">
        <v>24.6</v>
      </c>
    </row>
    <row r="9" spans="1:11" x14ac:dyDescent="0.25">
      <c r="A9" t="s">
        <v>287</v>
      </c>
      <c r="B9">
        <v>25.9</v>
      </c>
      <c r="C9">
        <v>22.4</v>
      </c>
      <c r="D9">
        <v>52.3</v>
      </c>
      <c r="E9">
        <v>60</v>
      </c>
      <c r="F9">
        <v>1.1000000000000001</v>
      </c>
      <c r="G9">
        <v>1.2</v>
      </c>
      <c r="H9">
        <v>13.4</v>
      </c>
      <c r="I9">
        <v>31.9</v>
      </c>
      <c r="J9">
        <v>34.200000000000003</v>
      </c>
      <c r="K9">
        <v>17.100000000000001</v>
      </c>
    </row>
    <row r="10" spans="1:11" x14ac:dyDescent="0.25">
      <c r="A10" t="s">
        <v>288</v>
      </c>
      <c r="B10">
        <v>25</v>
      </c>
      <c r="C10">
        <v>21.2</v>
      </c>
      <c r="D10">
        <v>45.9</v>
      </c>
      <c r="E10">
        <v>48.6</v>
      </c>
      <c r="F10">
        <v>1.1000000000000001</v>
      </c>
      <c r="G10">
        <v>1.2</v>
      </c>
      <c r="H10">
        <v>15.4</v>
      </c>
      <c r="I10">
        <v>42</v>
      </c>
      <c r="J10">
        <v>45.7</v>
      </c>
      <c r="K10">
        <v>21.7</v>
      </c>
    </row>
    <row r="11" spans="1:11" x14ac:dyDescent="0.25">
      <c r="A11" t="s">
        <v>289</v>
      </c>
      <c r="B11">
        <v>21.5</v>
      </c>
      <c r="C11">
        <v>18</v>
      </c>
      <c r="D11">
        <v>45.9</v>
      </c>
      <c r="E11">
        <v>50.8</v>
      </c>
      <c r="F11">
        <v>1.1000000000000001</v>
      </c>
      <c r="G11">
        <v>1.1000000000000001</v>
      </c>
      <c r="H11">
        <v>16.100000000000001</v>
      </c>
      <c r="I11">
        <v>37.799999999999997</v>
      </c>
      <c r="J11">
        <v>40.9</v>
      </c>
      <c r="K11">
        <v>21.3</v>
      </c>
    </row>
    <row r="12" spans="1:11" x14ac:dyDescent="0.25">
      <c r="A12" t="s">
        <v>290</v>
      </c>
      <c r="B12">
        <v>17.5</v>
      </c>
      <c r="C12">
        <v>15.3</v>
      </c>
      <c r="D12">
        <v>43.1</v>
      </c>
      <c r="E12">
        <v>46.8</v>
      </c>
      <c r="F12">
        <v>1.1000000000000001</v>
      </c>
      <c r="G12">
        <v>1.3</v>
      </c>
      <c r="H12">
        <v>12.7</v>
      </c>
      <c r="I12">
        <v>43</v>
      </c>
      <c r="J12">
        <v>46</v>
      </c>
      <c r="K12">
        <v>22.6</v>
      </c>
    </row>
    <row r="13" spans="1:11" x14ac:dyDescent="0.25">
      <c r="A13" t="s">
        <v>291</v>
      </c>
      <c r="B13">
        <v>13.1</v>
      </c>
      <c r="C13">
        <v>11.5</v>
      </c>
      <c r="D13">
        <v>36.799999999999997</v>
      </c>
      <c r="E13">
        <v>36.799999999999997</v>
      </c>
      <c r="F13">
        <v>1</v>
      </c>
      <c r="G13">
        <v>2.4</v>
      </c>
      <c r="H13">
        <v>12.3</v>
      </c>
      <c r="I13">
        <v>38.1</v>
      </c>
      <c r="J13">
        <v>41.1</v>
      </c>
      <c r="K13">
        <v>16.7</v>
      </c>
    </row>
    <row r="14" spans="1:11" x14ac:dyDescent="0.25">
      <c r="A14" t="s">
        <v>292</v>
      </c>
      <c r="B14">
        <v>19.2</v>
      </c>
      <c r="C14">
        <v>16.600000000000001</v>
      </c>
      <c r="D14">
        <v>39.299999999999997</v>
      </c>
      <c r="E14">
        <v>40.4</v>
      </c>
      <c r="F14">
        <v>1</v>
      </c>
      <c r="G14">
        <v>0.9</v>
      </c>
      <c r="H14">
        <v>13.1</v>
      </c>
      <c r="I14">
        <v>29.7</v>
      </c>
      <c r="J14">
        <v>31.3</v>
      </c>
      <c r="K14">
        <v>19.600000000000001</v>
      </c>
    </row>
    <row r="15" spans="1:11" x14ac:dyDescent="0.25">
      <c r="A15" t="s">
        <v>293</v>
      </c>
      <c r="B15">
        <v>19.7</v>
      </c>
      <c r="C15">
        <v>17.5</v>
      </c>
      <c r="D15">
        <v>46</v>
      </c>
      <c r="E15">
        <v>41.8</v>
      </c>
      <c r="F15">
        <v>0.9</v>
      </c>
      <c r="G15">
        <v>2</v>
      </c>
      <c r="H15">
        <v>11</v>
      </c>
      <c r="I15">
        <v>47.4</v>
      </c>
      <c r="J15">
        <v>50.7</v>
      </c>
      <c r="K15">
        <v>21.2</v>
      </c>
    </row>
    <row r="16" spans="1:11" x14ac:dyDescent="0.25">
      <c r="A16" t="s">
        <v>294</v>
      </c>
      <c r="B16">
        <v>18.7</v>
      </c>
      <c r="C16">
        <v>18.100000000000001</v>
      </c>
      <c r="D16">
        <v>44.4</v>
      </c>
      <c r="E16">
        <v>49.7</v>
      </c>
      <c r="F16">
        <v>1.1000000000000001</v>
      </c>
      <c r="G16">
        <v>1</v>
      </c>
      <c r="H16">
        <v>3.5</v>
      </c>
      <c r="I16">
        <v>33.299999999999997</v>
      </c>
      <c r="J16">
        <v>34.5</v>
      </c>
      <c r="K16">
        <v>0</v>
      </c>
    </row>
    <row r="17" spans="1:11" x14ac:dyDescent="0.25">
      <c r="A17" t="s">
        <v>295</v>
      </c>
      <c r="B17">
        <v>26.9</v>
      </c>
      <c r="C17">
        <v>23.5</v>
      </c>
      <c r="D17">
        <v>45.2</v>
      </c>
      <c r="E17">
        <v>46.4</v>
      </c>
      <c r="F17">
        <v>1</v>
      </c>
      <c r="G17">
        <v>77.599999999999994</v>
      </c>
      <c r="H17">
        <v>12.5</v>
      </c>
      <c r="I17">
        <v>30.8</v>
      </c>
      <c r="J17">
        <v>32.799999999999997</v>
      </c>
      <c r="K17">
        <v>16.399999999999999</v>
      </c>
    </row>
    <row r="18" spans="1:11" x14ac:dyDescent="0.25">
      <c r="A18" t="s">
        <v>296</v>
      </c>
      <c r="B18">
        <v>14.7</v>
      </c>
      <c r="C18">
        <v>13.1</v>
      </c>
      <c r="D18">
        <v>43.8</v>
      </c>
      <c r="E18">
        <v>44.7</v>
      </c>
      <c r="F18">
        <v>1</v>
      </c>
      <c r="G18">
        <v>1.3</v>
      </c>
      <c r="H18">
        <v>11</v>
      </c>
      <c r="I18">
        <v>36.700000000000003</v>
      </c>
      <c r="J18">
        <v>37.799999999999997</v>
      </c>
      <c r="K18">
        <v>27.8</v>
      </c>
    </row>
    <row r="19" spans="1:11" x14ac:dyDescent="0.25">
      <c r="A19" t="s">
        <v>297</v>
      </c>
      <c r="B19">
        <v>14.9</v>
      </c>
      <c r="C19">
        <v>13.7</v>
      </c>
      <c r="D19">
        <v>45.7</v>
      </c>
      <c r="E19">
        <v>64.900000000000006</v>
      </c>
      <c r="F19">
        <v>1.4</v>
      </c>
      <c r="G19">
        <v>2</v>
      </c>
      <c r="H19">
        <v>7.7</v>
      </c>
      <c r="I19">
        <v>44.7</v>
      </c>
      <c r="J19">
        <v>46</v>
      </c>
      <c r="K19">
        <v>29.8</v>
      </c>
    </row>
    <row r="20" spans="1:11" x14ac:dyDescent="0.25">
      <c r="A20" t="s">
        <v>298</v>
      </c>
      <c r="B20">
        <v>17.899999999999999</v>
      </c>
      <c r="C20">
        <v>15.7</v>
      </c>
      <c r="D20">
        <v>43.6</v>
      </c>
      <c r="E20">
        <v>39.200000000000003</v>
      </c>
      <c r="F20">
        <v>0.9</v>
      </c>
      <c r="G20">
        <v>1.6</v>
      </c>
      <c r="H20">
        <v>12.1</v>
      </c>
      <c r="I20">
        <v>32.799999999999997</v>
      </c>
      <c r="J20">
        <v>34.4</v>
      </c>
      <c r="K20">
        <v>21.3</v>
      </c>
    </row>
    <row r="21" spans="1:11" x14ac:dyDescent="0.25">
      <c r="A21" t="s">
        <v>299</v>
      </c>
      <c r="B21">
        <v>19.3</v>
      </c>
      <c r="C21">
        <v>17.8</v>
      </c>
      <c r="D21">
        <v>40.4</v>
      </c>
      <c r="E21">
        <v>41.6</v>
      </c>
      <c r="F21">
        <v>1</v>
      </c>
      <c r="G21">
        <v>1</v>
      </c>
      <c r="H21">
        <v>8</v>
      </c>
      <c r="I21">
        <v>37.4</v>
      </c>
      <c r="J21">
        <v>37.700000000000003</v>
      </c>
      <c r="K21">
        <v>34.4</v>
      </c>
    </row>
    <row r="22" spans="1:11" x14ac:dyDescent="0.25">
      <c r="A22" t="s">
        <v>300</v>
      </c>
      <c r="B22">
        <v>28.7</v>
      </c>
      <c r="C22">
        <v>23.1</v>
      </c>
      <c r="D22">
        <v>47</v>
      </c>
      <c r="E22">
        <v>50.1</v>
      </c>
      <c r="F22">
        <v>1.1000000000000001</v>
      </c>
      <c r="G22">
        <v>1.3</v>
      </c>
      <c r="H22">
        <v>19.3</v>
      </c>
      <c r="I22">
        <v>33.200000000000003</v>
      </c>
      <c r="J22">
        <v>36</v>
      </c>
      <c r="K22">
        <v>21.1</v>
      </c>
    </row>
    <row r="23" spans="1:11" x14ac:dyDescent="0.25">
      <c r="A23" t="s">
        <v>301</v>
      </c>
      <c r="B23">
        <v>18.399999999999999</v>
      </c>
      <c r="C23">
        <v>15.9</v>
      </c>
      <c r="D23">
        <v>43</v>
      </c>
      <c r="E23">
        <v>44.5</v>
      </c>
      <c r="F23">
        <v>1</v>
      </c>
      <c r="G23">
        <v>1.3</v>
      </c>
      <c r="H23">
        <v>13.5</v>
      </c>
      <c r="I23">
        <v>34.6</v>
      </c>
      <c r="J23">
        <v>36.6</v>
      </c>
      <c r="K23">
        <v>21.7</v>
      </c>
    </row>
    <row r="24" spans="1:11" x14ac:dyDescent="0.25">
      <c r="A24" t="s">
        <v>302</v>
      </c>
      <c r="B24">
        <v>24</v>
      </c>
      <c r="C24">
        <v>21.7</v>
      </c>
      <c r="D24">
        <v>48.4</v>
      </c>
      <c r="E24">
        <v>59.2</v>
      </c>
      <c r="F24">
        <v>1.2</v>
      </c>
      <c r="G24">
        <v>0.8</v>
      </c>
      <c r="H24">
        <v>9.6</v>
      </c>
      <c r="I24">
        <v>39.6</v>
      </c>
      <c r="J24">
        <v>41.5</v>
      </c>
      <c r="K24">
        <v>22</v>
      </c>
    </row>
    <row r="25" spans="1:11" x14ac:dyDescent="0.25">
      <c r="A25" t="s">
        <v>303</v>
      </c>
      <c r="B25">
        <v>30.1</v>
      </c>
      <c r="C25">
        <v>25.7</v>
      </c>
      <c r="D25">
        <v>50.1</v>
      </c>
      <c r="E25">
        <v>55.6</v>
      </c>
      <c r="F25">
        <v>1.1000000000000001</v>
      </c>
      <c r="G25">
        <v>1.5</v>
      </c>
      <c r="H25">
        <v>14.6</v>
      </c>
      <c r="I25">
        <v>44.7</v>
      </c>
      <c r="J25">
        <v>46.7</v>
      </c>
      <c r="K25">
        <v>33.200000000000003</v>
      </c>
    </row>
    <row r="26" spans="1:11" x14ac:dyDescent="0.25">
      <c r="A26" t="s">
        <v>304</v>
      </c>
      <c r="B26">
        <v>14.7</v>
      </c>
      <c r="C26">
        <v>13.3</v>
      </c>
      <c r="D26">
        <v>37.200000000000003</v>
      </c>
      <c r="E26">
        <v>37.200000000000003</v>
      </c>
      <c r="F26">
        <v>1</v>
      </c>
      <c r="G26">
        <v>2.4</v>
      </c>
      <c r="H26">
        <v>9.8000000000000007</v>
      </c>
      <c r="I26">
        <v>36.1</v>
      </c>
      <c r="J26">
        <v>38.1</v>
      </c>
      <c r="K26">
        <v>17.399999999999999</v>
      </c>
    </row>
    <row r="27" spans="1:11" x14ac:dyDescent="0.25">
      <c r="A27" t="s">
        <v>305</v>
      </c>
      <c r="B27">
        <v>20.9</v>
      </c>
      <c r="C27">
        <v>17.399999999999999</v>
      </c>
      <c r="D27">
        <v>44.1</v>
      </c>
      <c r="E27">
        <v>46.8</v>
      </c>
      <c r="F27">
        <v>1.1000000000000001</v>
      </c>
      <c r="G27">
        <v>1.2</v>
      </c>
      <c r="H27">
        <v>16.899999999999999</v>
      </c>
      <c r="I27">
        <v>27.3</v>
      </c>
      <c r="J27">
        <v>28.2</v>
      </c>
      <c r="K27">
        <v>23</v>
      </c>
    </row>
    <row r="28" spans="1:11" x14ac:dyDescent="0.25">
      <c r="A28" t="s">
        <v>306</v>
      </c>
      <c r="B28">
        <v>25.5</v>
      </c>
      <c r="C28">
        <v>20.6</v>
      </c>
      <c r="D28">
        <v>43.6</v>
      </c>
      <c r="E28">
        <v>44.9</v>
      </c>
      <c r="F28">
        <v>1</v>
      </c>
      <c r="G28">
        <v>1.4</v>
      </c>
      <c r="H28">
        <v>18.899999999999999</v>
      </c>
      <c r="I28">
        <v>28.2</v>
      </c>
      <c r="J28">
        <v>29.3</v>
      </c>
      <c r="K28">
        <v>23.3</v>
      </c>
    </row>
    <row r="29" spans="1:11" x14ac:dyDescent="0.25">
      <c r="A29" t="s">
        <v>307</v>
      </c>
      <c r="B29">
        <v>33.200000000000003</v>
      </c>
      <c r="C29">
        <v>28.7</v>
      </c>
      <c r="D29">
        <v>49.2</v>
      </c>
      <c r="E29">
        <v>53.8</v>
      </c>
      <c r="F29">
        <v>1.1000000000000001</v>
      </c>
      <c r="G29">
        <v>0.9</v>
      </c>
      <c r="H29">
        <v>13.7</v>
      </c>
      <c r="I29">
        <v>37.5</v>
      </c>
      <c r="J29">
        <v>39</v>
      </c>
      <c r="K29">
        <v>27.6</v>
      </c>
    </row>
    <row r="30" spans="1:11" x14ac:dyDescent="0.25">
      <c r="A30" t="s">
        <v>266</v>
      </c>
      <c r="B30">
        <v>21.9</v>
      </c>
      <c r="C30">
        <v>18.8</v>
      </c>
      <c r="D30">
        <v>45.7</v>
      </c>
      <c r="E30">
        <v>50</v>
      </c>
      <c r="F30">
        <v>1.1000000000000001</v>
      </c>
      <c r="G30">
        <v>2.4</v>
      </c>
      <c r="H30">
        <v>14.2</v>
      </c>
      <c r="I30">
        <v>38.9</v>
      </c>
      <c r="J30">
        <v>41.1</v>
      </c>
      <c r="K30">
        <v>25.6</v>
      </c>
    </row>
    <row r="31" spans="1:11" x14ac:dyDescent="0.25">
      <c r="A31" t="s">
        <v>308</v>
      </c>
      <c r="B31">
        <v>16.899999999999999</v>
      </c>
      <c r="C31">
        <v>15.1</v>
      </c>
      <c r="D31">
        <v>45.4</v>
      </c>
      <c r="E31">
        <v>53</v>
      </c>
      <c r="F31">
        <v>1.2</v>
      </c>
      <c r="G31">
        <v>1.9</v>
      </c>
      <c r="H31">
        <v>10.6</v>
      </c>
      <c r="I31">
        <v>43.9</v>
      </c>
      <c r="J31">
        <v>45.2</v>
      </c>
      <c r="K31">
        <v>33</v>
      </c>
    </row>
    <row r="32" spans="1:11" x14ac:dyDescent="0.25">
      <c r="A32" t="s">
        <v>309</v>
      </c>
      <c r="B32">
        <v>24.1</v>
      </c>
      <c r="C32">
        <v>20.3</v>
      </c>
      <c r="D32">
        <v>45.8</v>
      </c>
      <c r="E32">
        <v>49.2</v>
      </c>
      <c r="F32">
        <v>1.1000000000000001</v>
      </c>
      <c r="G32">
        <v>2.6</v>
      </c>
      <c r="H32">
        <v>15.6</v>
      </c>
      <c r="I32">
        <v>36.799999999999997</v>
      </c>
      <c r="J32">
        <v>39.200000000000003</v>
      </c>
      <c r="K32">
        <v>23.6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K18"/>
  <sheetViews>
    <sheetView workbookViewId="0"/>
  </sheetViews>
  <sheetFormatPr defaultRowHeight="15" x14ac:dyDescent="0.25"/>
  <cols>
    <col min="1" max="1" width="30.85546875" customWidth="1"/>
    <col min="2" max="2" width="13.28515625" customWidth="1"/>
    <col min="5" max="5" width="13.42578125" customWidth="1"/>
    <col min="6" max="6" width="13.28515625" customWidth="1"/>
    <col min="10" max="10" width="13.42578125" customWidth="1"/>
    <col min="11" max="11" width="13.28515625" customWidth="1"/>
  </cols>
  <sheetData>
    <row r="1" spans="1:11" x14ac:dyDescent="0.25">
      <c r="A1" s="29" t="s">
        <v>608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33.9</v>
      </c>
      <c r="C5">
        <v>28.1</v>
      </c>
      <c r="D5">
        <v>35.6</v>
      </c>
      <c r="E5">
        <v>46.4</v>
      </c>
      <c r="F5">
        <v>1.3</v>
      </c>
      <c r="G5">
        <v>2.4</v>
      </c>
      <c r="H5">
        <v>16.899999999999999</v>
      </c>
      <c r="I5">
        <v>47.8</v>
      </c>
      <c r="J5">
        <v>51.7</v>
      </c>
      <c r="K5">
        <v>28.5</v>
      </c>
    </row>
    <row r="6" spans="1:11" x14ac:dyDescent="0.25">
      <c r="A6" t="s">
        <v>267</v>
      </c>
      <c r="B6">
        <v>25</v>
      </c>
      <c r="C6">
        <v>21.8</v>
      </c>
      <c r="D6">
        <v>39.4</v>
      </c>
      <c r="E6">
        <v>51.8</v>
      </c>
      <c r="F6">
        <v>1.3</v>
      </c>
      <c r="G6">
        <v>1.5</v>
      </c>
      <c r="H6">
        <v>12.7</v>
      </c>
      <c r="I6">
        <v>55.5</v>
      </c>
      <c r="J6">
        <v>57.8</v>
      </c>
      <c r="K6">
        <v>39.799999999999997</v>
      </c>
    </row>
    <row r="7" spans="1:11" x14ac:dyDescent="0.25">
      <c r="A7" t="s">
        <v>268</v>
      </c>
      <c r="B7">
        <v>36.9</v>
      </c>
      <c r="C7">
        <v>30.1</v>
      </c>
      <c r="D7">
        <v>34.799999999999997</v>
      </c>
      <c r="E7">
        <v>45.3</v>
      </c>
      <c r="F7">
        <v>1.3</v>
      </c>
      <c r="G7">
        <v>2.6</v>
      </c>
      <c r="H7">
        <v>18.2</v>
      </c>
      <c r="I7">
        <v>45.3</v>
      </c>
      <c r="J7">
        <v>49.7</v>
      </c>
      <c r="K7">
        <v>26</v>
      </c>
    </row>
    <row r="8" spans="1:11" x14ac:dyDescent="0.25">
      <c r="A8" t="s">
        <v>269</v>
      </c>
      <c r="B8">
        <v>39.799999999999997</v>
      </c>
      <c r="C8">
        <v>38.1</v>
      </c>
      <c r="D8">
        <v>30.1</v>
      </c>
      <c r="E8">
        <v>33.9</v>
      </c>
      <c r="F8">
        <v>1.1000000000000001</v>
      </c>
      <c r="G8">
        <v>2.2000000000000002</v>
      </c>
      <c r="H8">
        <v>4.3</v>
      </c>
      <c r="I8">
        <v>95.3</v>
      </c>
      <c r="J8">
        <v>95.3</v>
      </c>
      <c r="K8">
        <v>93.6</v>
      </c>
    </row>
    <row r="9" spans="1:11" x14ac:dyDescent="0.25">
      <c r="A9" t="s">
        <v>270</v>
      </c>
      <c r="B9">
        <v>44</v>
      </c>
      <c r="C9">
        <v>35</v>
      </c>
      <c r="D9">
        <v>32.9</v>
      </c>
      <c r="E9">
        <v>46.6</v>
      </c>
      <c r="F9">
        <v>1.4</v>
      </c>
      <c r="G9">
        <v>2.5</v>
      </c>
      <c r="H9">
        <v>20.3</v>
      </c>
      <c r="I9">
        <v>50.8</v>
      </c>
      <c r="J9">
        <v>56.4</v>
      </c>
      <c r="K9">
        <v>28.8</v>
      </c>
    </row>
    <row r="10" spans="1:11" x14ac:dyDescent="0.25">
      <c r="A10" t="s">
        <v>581</v>
      </c>
      <c r="B10">
        <v>22.4</v>
      </c>
      <c r="C10">
        <v>18.7</v>
      </c>
      <c r="D10">
        <v>44.5</v>
      </c>
      <c r="E10">
        <v>48.2</v>
      </c>
      <c r="F10">
        <v>1.1000000000000001</v>
      </c>
      <c r="G10">
        <v>1.6</v>
      </c>
      <c r="H10">
        <v>16.3</v>
      </c>
      <c r="I10">
        <v>40.299999999999997</v>
      </c>
      <c r="J10">
        <v>43.8</v>
      </c>
      <c r="K10">
        <v>22.6</v>
      </c>
    </row>
    <row r="11" spans="1:11" x14ac:dyDescent="0.25">
      <c r="A11" t="s">
        <v>582</v>
      </c>
      <c r="B11">
        <v>21.6</v>
      </c>
      <c r="C11">
        <v>18.899999999999999</v>
      </c>
      <c r="D11">
        <v>46.3</v>
      </c>
      <c r="E11">
        <v>51.1</v>
      </c>
      <c r="F11">
        <v>1.1000000000000001</v>
      </c>
      <c r="G11">
        <v>2.9</v>
      </c>
      <c r="H11">
        <v>12.9</v>
      </c>
      <c r="I11">
        <v>38</v>
      </c>
      <c r="J11">
        <v>39.6</v>
      </c>
      <c r="K11">
        <v>27.8</v>
      </c>
    </row>
    <row r="12" spans="1:11" x14ac:dyDescent="0.25">
      <c r="A12" t="s">
        <v>583</v>
      </c>
      <c r="B12">
        <v>21.4</v>
      </c>
      <c r="C12">
        <v>18.2</v>
      </c>
      <c r="D12">
        <v>45.8</v>
      </c>
      <c r="E12">
        <v>50.1</v>
      </c>
      <c r="F12">
        <v>1.1000000000000001</v>
      </c>
      <c r="G12">
        <v>1.6</v>
      </c>
      <c r="H12">
        <v>14.7</v>
      </c>
      <c r="I12">
        <v>42.3</v>
      </c>
      <c r="J12">
        <v>45.3</v>
      </c>
      <c r="K12">
        <v>24.8</v>
      </c>
    </row>
    <row r="13" spans="1:11" x14ac:dyDescent="0.25">
      <c r="A13" t="s">
        <v>584</v>
      </c>
      <c r="B13">
        <v>23</v>
      </c>
      <c r="C13">
        <v>20</v>
      </c>
      <c r="D13">
        <v>45.5</v>
      </c>
      <c r="E13">
        <v>50.1</v>
      </c>
      <c r="F13">
        <v>1.1000000000000001</v>
      </c>
      <c r="G13">
        <v>2.9</v>
      </c>
      <c r="H13">
        <v>12.9</v>
      </c>
      <c r="I13">
        <v>31.5</v>
      </c>
      <c r="J13">
        <v>32.1</v>
      </c>
      <c r="K13">
        <v>27.7</v>
      </c>
    </row>
    <row r="14" spans="1:11" x14ac:dyDescent="0.25">
      <c r="A14" t="s">
        <v>276</v>
      </c>
      <c r="B14">
        <v>44.4</v>
      </c>
      <c r="C14">
        <v>34.9</v>
      </c>
      <c r="D14">
        <v>38.299999999999997</v>
      </c>
      <c r="E14">
        <v>52.9</v>
      </c>
      <c r="F14">
        <v>1.4</v>
      </c>
      <c r="G14">
        <v>2.5</v>
      </c>
      <c r="H14">
        <v>21.3</v>
      </c>
      <c r="I14">
        <v>56.5</v>
      </c>
      <c r="J14">
        <v>63.2</v>
      </c>
      <c r="K14">
        <v>31.6</v>
      </c>
    </row>
    <row r="15" spans="1:11" x14ac:dyDescent="0.25">
      <c r="A15" t="s">
        <v>277</v>
      </c>
      <c r="B15">
        <v>43.8</v>
      </c>
      <c r="C15">
        <v>35.1</v>
      </c>
      <c r="D15">
        <v>30.9</v>
      </c>
      <c r="E15">
        <v>44.2</v>
      </c>
      <c r="F15">
        <v>1.4</v>
      </c>
      <c r="G15">
        <v>2.4</v>
      </c>
      <c r="H15">
        <v>19.899999999999999</v>
      </c>
      <c r="I15">
        <v>48.2</v>
      </c>
      <c r="J15">
        <v>53.4</v>
      </c>
      <c r="K15">
        <v>27.4</v>
      </c>
    </row>
    <row r="16" spans="1:11" x14ac:dyDescent="0.25">
      <c r="A16" t="s">
        <v>279</v>
      </c>
      <c r="B16">
        <v>39.799999999999997</v>
      </c>
      <c r="C16">
        <v>33.1</v>
      </c>
      <c r="D16">
        <v>27.6</v>
      </c>
      <c r="E16">
        <v>39.700000000000003</v>
      </c>
      <c r="F16">
        <v>1.4</v>
      </c>
      <c r="G16">
        <v>12.7</v>
      </c>
      <c r="H16">
        <v>16.8</v>
      </c>
      <c r="I16">
        <v>47.9</v>
      </c>
      <c r="J16">
        <v>51.2</v>
      </c>
      <c r="K16">
        <v>31.6</v>
      </c>
    </row>
    <row r="17" spans="1:11" x14ac:dyDescent="0.25">
      <c r="A17" t="s">
        <v>280</v>
      </c>
      <c r="B17">
        <v>42.9</v>
      </c>
      <c r="C17">
        <v>33.5</v>
      </c>
      <c r="D17">
        <v>33.4</v>
      </c>
      <c r="E17">
        <v>44.5</v>
      </c>
      <c r="F17">
        <v>1.3</v>
      </c>
      <c r="G17">
        <v>8.6</v>
      </c>
      <c r="H17">
        <v>21.9</v>
      </c>
      <c r="I17">
        <v>48.5</v>
      </c>
      <c r="J17">
        <v>54.5</v>
      </c>
      <c r="K17">
        <v>27</v>
      </c>
    </row>
    <row r="18" spans="1:11" x14ac:dyDescent="0.25">
      <c r="A18" t="s">
        <v>281</v>
      </c>
      <c r="B18">
        <v>44.9</v>
      </c>
      <c r="C18">
        <v>40.4</v>
      </c>
      <c r="D18">
        <v>27.8</v>
      </c>
      <c r="E18">
        <v>79.900000000000006</v>
      </c>
      <c r="F18">
        <v>2.9</v>
      </c>
      <c r="G18">
        <v>1.8</v>
      </c>
      <c r="H18">
        <v>10.1</v>
      </c>
      <c r="I18">
        <v>57.2</v>
      </c>
      <c r="J18">
        <v>60.5</v>
      </c>
      <c r="K18">
        <v>28.6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M32"/>
  <sheetViews>
    <sheetView workbookViewId="0"/>
  </sheetViews>
  <sheetFormatPr defaultRowHeight="15" x14ac:dyDescent="0.25"/>
  <cols>
    <col min="1" max="1" width="24.140625" customWidth="1"/>
    <col min="2" max="2" width="11.85546875" customWidth="1"/>
    <col min="3" max="3" width="12" customWidth="1"/>
    <col min="5" max="5" width="11.85546875" customWidth="1"/>
    <col min="6" max="6" width="12" customWidth="1"/>
    <col min="8" max="8" width="11.85546875" customWidth="1"/>
    <col min="9" max="9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29" t="s">
        <v>609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610</v>
      </c>
      <c r="I2" s="29"/>
      <c r="J2" s="29"/>
      <c r="K2" s="29"/>
      <c r="L2" s="29" t="s">
        <v>591</v>
      </c>
      <c r="M2" s="29"/>
    </row>
    <row r="3" spans="1:13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29" t="s">
        <v>326</v>
      </c>
      <c r="I3" s="29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29"/>
      <c r="I4" s="29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31.4</v>
      </c>
      <c r="C5">
        <v>26.3</v>
      </c>
      <c r="D5">
        <v>32.700000000000003</v>
      </c>
      <c r="E5">
        <v>42</v>
      </c>
      <c r="F5">
        <v>1.3</v>
      </c>
      <c r="G5">
        <v>1.3</v>
      </c>
      <c r="H5">
        <v>10.5</v>
      </c>
      <c r="I5">
        <v>64.3</v>
      </c>
      <c r="J5">
        <v>17.5</v>
      </c>
      <c r="K5">
        <v>7.7</v>
      </c>
      <c r="L5">
        <v>16.3</v>
      </c>
      <c r="M5">
        <v>46</v>
      </c>
    </row>
    <row r="6" spans="1:13" x14ac:dyDescent="0.25">
      <c r="A6" t="s">
        <v>284</v>
      </c>
      <c r="B6">
        <v>35.799999999999997</v>
      </c>
      <c r="C6">
        <v>28.3</v>
      </c>
      <c r="D6">
        <v>33.6</v>
      </c>
      <c r="E6">
        <v>46.1</v>
      </c>
      <c r="F6">
        <v>1.4</v>
      </c>
      <c r="G6">
        <v>1.2</v>
      </c>
      <c r="H6">
        <v>7.1</v>
      </c>
      <c r="I6">
        <v>68.400000000000006</v>
      </c>
      <c r="J6">
        <v>16.899999999999999</v>
      </c>
      <c r="K6">
        <v>7.6</v>
      </c>
      <c r="L6">
        <v>20.8</v>
      </c>
      <c r="M6">
        <v>54.8</v>
      </c>
    </row>
    <row r="7" spans="1:13" x14ac:dyDescent="0.25">
      <c r="A7" t="s">
        <v>285</v>
      </c>
      <c r="B7">
        <v>38.299999999999997</v>
      </c>
      <c r="C7">
        <v>29.6</v>
      </c>
      <c r="D7">
        <v>38.200000000000003</v>
      </c>
      <c r="E7">
        <v>48.7</v>
      </c>
      <c r="F7">
        <v>1.3</v>
      </c>
      <c r="G7">
        <v>1.8</v>
      </c>
      <c r="H7">
        <v>6.9</v>
      </c>
      <c r="I7">
        <v>64.3</v>
      </c>
      <c r="J7">
        <v>19</v>
      </c>
      <c r="K7">
        <v>9.8000000000000007</v>
      </c>
      <c r="L7">
        <v>22.8</v>
      </c>
      <c r="M7">
        <v>53.1</v>
      </c>
    </row>
    <row r="8" spans="1:13" x14ac:dyDescent="0.25">
      <c r="A8" t="s">
        <v>286</v>
      </c>
      <c r="B8">
        <v>33.5</v>
      </c>
      <c r="C8">
        <v>28.1</v>
      </c>
      <c r="D8">
        <v>36.700000000000003</v>
      </c>
      <c r="E8">
        <v>48.6</v>
      </c>
      <c r="F8">
        <v>1.3</v>
      </c>
      <c r="G8">
        <v>2.2000000000000002</v>
      </c>
      <c r="H8">
        <v>5.6</v>
      </c>
      <c r="I8">
        <v>63.2</v>
      </c>
      <c r="J8">
        <v>21</v>
      </c>
      <c r="K8">
        <v>10.3</v>
      </c>
      <c r="L8">
        <v>16.100000000000001</v>
      </c>
      <c r="M8">
        <v>44.1</v>
      </c>
    </row>
    <row r="9" spans="1:13" x14ac:dyDescent="0.25">
      <c r="A9" t="s">
        <v>287</v>
      </c>
      <c r="B9">
        <v>38.4</v>
      </c>
      <c r="C9">
        <v>32.700000000000003</v>
      </c>
      <c r="D9">
        <v>41.3</v>
      </c>
      <c r="E9">
        <v>52</v>
      </c>
      <c r="F9">
        <v>1.3</v>
      </c>
      <c r="G9">
        <v>1.4</v>
      </c>
      <c r="H9">
        <v>5.2</v>
      </c>
      <c r="I9">
        <v>65.5</v>
      </c>
      <c r="J9">
        <v>20.6</v>
      </c>
      <c r="K9">
        <v>8.6999999999999993</v>
      </c>
      <c r="L9">
        <v>14.8</v>
      </c>
      <c r="M9">
        <v>39.799999999999997</v>
      </c>
    </row>
    <row r="10" spans="1:13" x14ac:dyDescent="0.25">
      <c r="A10" t="s">
        <v>288</v>
      </c>
      <c r="B10">
        <v>34.799999999999997</v>
      </c>
      <c r="C10">
        <v>29.9</v>
      </c>
      <c r="D10">
        <v>33.9</v>
      </c>
      <c r="E10">
        <v>43.8</v>
      </c>
      <c r="F10">
        <v>1.3</v>
      </c>
      <c r="G10">
        <v>1.3</v>
      </c>
      <c r="H10">
        <v>6.2</v>
      </c>
      <c r="I10">
        <v>65.7</v>
      </c>
      <c r="J10">
        <v>19.100000000000001</v>
      </c>
      <c r="K10">
        <v>8.9</v>
      </c>
      <c r="L10">
        <v>14.2</v>
      </c>
      <c r="M10">
        <v>50.1</v>
      </c>
    </row>
    <row r="11" spans="1:13" x14ac:dyDescent="0.25">
      <c r="A11" t="s">
        <v>289</v>
      </c>
      <c r="B11">
        <v>28</v>
      </c>
      <c r="C11">
        <v>23.4</v>
      </c>
      <c r="D11">
        <v>35.6</v>
      </c>
      <c r="E11">
        <v>42.3</v>
      </c>
      <c r="F11">
        <v>1.2</v>
      </c>
      <c r="G11">
        <v>1.3</v>
      </c>
      <c r="H11">
        <v>5.2</v>
      </c>
      <c r="I11">
        <v>60.1</v>
      </c>
      <c r="J11">
        <v>22.9</v>
      </c>
      <c r="K11">
        <v>11.8</v>
      </c>
      <c r="L11">
        <v>16.5</v>
      </c>
      <c r="M11">
        <v>43.8</v>
      </c>
    </row>
    <row r="12" spans="1:13" x14ac:dyDescent="0.25">
      <c r="A12" t="s">
        <v>290</v>
      </c>
      <c r="B12">
        <v>34.299999999999997</v>
      </c>
      <c r="C12">
        <v>28.4</v>
      </c>
      <c r="D12">
        <v>37.5</v>
      </c>
      <c r="E12">
        <v>48.8</v>
      </c>
      <c r="F12">
        <v>1.3</v>
      </c>
      <c r="G12">
        <v>1.2</v>
      </c>
      <c r="H12">
        <v>6</v>
      </c>
      <c r="I12">
        <v>64.099999999999994</v>
      </c>
      <c r="J12">
        <v>19.600000000000001</v>
      </c>
      <c r="K12">
        <v>10.3</v>
      </c>
      <c r="L12">
        <v>17.2</v>
      </c>
      <c r="M12">
        <v>50.6</v>
      </c>
    </row>
    <row r="13" spans="1:13" x14ac:dyDescent="0.25">
      <c r="A13" t="s">
        <v>291</v>
      </c>
      <c r="B13">
        <v>19.100000000000001</v>
      </c>
      <c r="C13">
        <v>15.9</v>
      </c>
      <c r="D13">
        <v>30.4</v>
      </c>
      <c r="E13">
        <v>34.200000000000003</v>
      </c>
      <c r="F13">
        <v>1.1000000000000001</v>
      </c>
      <c r="G13">
        <v>2.5</v>
      </c>
      <c r="H13">
        <v>10.4</v>
      </c>
      <c r="I13">
        <v>57.1</v>
      </c>
      <c r="J13">
        <v>20.5</v>
      </c>
      <c r="K13">
        <v>12</v>
      </c>
      <c r="L13">
        <v>16.600000000000001</v>
      </c>
      <c r="M13">
        <v>46.3</v>
      </c>
    </row>
    <row r="14" spans="1:13" x14ac:dyDescent="0.25">
      <c r="A14" t="s">
        <v>292</v>
      </c>
      <c r="B14">
        <v>26.1</v>
      </c>
      <c r="C14">
        <v>22.7</v>
      </c>
      <c r="D14">
        <v>24.8</v>
      </c>
      <c r="E14">
        <v>35.799999999999997</v>
      </c>
      <c r="F14">
        <v>1.4</v>
      </c>
      <c r="G14">
        <v>2</v>
      </c>
      <c r="H14">
        <v>8.1</v>
      </c>
      <c r="I14">
        <v>64.5</v>
      </c>
      <c r="J14">
        <v>18.2</v>
      </c>
      <c r="K14">
        <v>9.1999999999999993</v>
      </c>
      <c r="L14">
        <v>13</v>
      </c>
      <c r="M14">
        <v>41.5</v>
      </c>
    </row>
    <row r="15" spans="1:13" x14ac:dyDescent="0.25">
      <c r="A15" t="s">
        <v>293</v>
      </c>
      <c r="B15">
        <v>33.4</v>
      </c>
      <c r="C15">
        <v>29.5</v>
      </c>
      <c r="D15">
        <v>32.200000000000003</v>
      </c>
      <c r="E15">
        <v>44.9</v>
      </c>
      <c r="F15">
        <v>1.4</v>
      </c>
      <c r="G15">
        <v>19.7</v>
      </c>
      <c r="H15">
        <v>4.5</v>
      </c>
      <c r="I15">
        <v>73.3</v>
      </c>
      <c r="J15">
        <v>15.4</v>
      </c>
      <c r="K15">
        <v>6.8</v>
      </c>
      <c r="L15">
        <v>11.6</v>
      </c>
      <c r="M15">
        <v>58.2</v>
      </c>
    </row>
    <row r="16" spans="1:13" x14ac:dyDescent="0.25">
      <c r="A16" t="s">
        <v>294</v>
      </c>
      <c r="B16">
        <v>24.1</v>
      </c>
      <c r="C16">
        <v>23</v>
      </c>
      <c r="D16">
        <v>25.2</v>
      </c>
      <c r="E16">
        <v>38.299999999999997</v>
      </c>
      <c r="F16">
        <v>1.5</v>
      </c>
      <c r="G16">
        <v>1.2</v>
      </c>
      <c r="H16">
        <v>4.5999999999999996</v>
      </c>
      <c r="I16">
        <v>73.7</v>
      </c>
      <c r="J16">
        <v>15.3</v>
      </c>
      <c r="K16">
        <v>6.4</v>
      </c>
      <c r="L16">
        <v>4.5</v>
      </c>
      <c r="M16">
        <v>45.6</v>
      </c>
    </row>
    <row r="17" spans="1:13" x14ac:dyDescent="0.25">
      <c r="A17" t="s">
        <v>295</v>
      </c>
      <c r="B17">
        <v>33.4</v>
      </c>
      <c r="C17">
        <v>28.8</v>
      </c>
      <c r="D17">
        <v>28.2</v>
      </c>
      <c r="E17">
        <v>40.4</v>
      </c>
      <c r="F17">
        <v>1.4</v>
      </c>
      <c r="G17">
        <v>19.899999999999999</v>
      </c>
      <c r="H17">
        <v>6.4</v>
      </c>
      <c r="I17">
        <v>69.8</v>
      </c>
      <c r="J17">
        <v>17.100000000000001</v>
      </c>
      <c r="K17">
        <v>6.7</v>
      </c>
      <c r="L17">
        <v>13.7</v>
      </c>
      <c r="M17">
        <v>39.799999999999997</v>
      </c>
    </row>
    <row r="18" spans="1:13" x14ac:dyDescent="0.25">
      <c r="A18" t="s">
        <v>296</v>
      </c>
      <c r="B18">
        <v>25.4</v>
      </c>
      <c r="C18">
        <v>22.7</v>
      </c>
      <c r="D18">
        <v>31.8</v>
      </c>
      <c r="E18">
        <v>43.5</v>
      </c>
      <c r="F18">
        <v>1.4</v>
      </c>
      <c r="G18">
        <v>1.1000000000000001</v>
      </c>
      <c r="H18">
        <v>6.2</v>
      </c>
      <c r="I18">
        <v>66.2</v>
      </c>
      <c r="J18">
        <v>19.600000000000001</v>
      </c>
      <c r="K18">
        <v>8.1</v>
      </c>
      <c r="L18">
        <v>10.7</v>
      </c>
      <c r="M18">
        <v>46.9</v>
      </c>
    </row>
    <row r="19" spans="1:13" x14ac:dyDescent="0.25">
      <c r="A19" t="s">
        <v>297</v>
      </c>
      <c r="B19">
        <v>23.7</v>
      </c>
      <c r="C19">
        <v>21.5</v>
      </c>
      <c r="D19">
        <v>42.5</v>
      </c>
      <c r="E19">
        <v>61.2</v>
      </c>
      <c r="F19">
        <v>1.4</v>
      </c>
      <c r="G19">
        <v>1.4</v>
      </c>
      <c r="H19">
        <v>4.7</v>
      </c>
      <c r="I19">
        <v>58.4</v>
      </c>
      <c r="J19">
        <v>21</v>
      </c>
      <c r="K19">
        <v>15.9</v>
      </c>
      <c r="L19">
        <v>9.1999999999999993</v>
      </c>
      <c r="M19">
        <v>56.9</v>
      </c>
    </row>
    <row r="20" spans="1:13" x14ac:dyDescent="0.25">
      <c r="A20" t="s">
        <v>298</v>
      </c>
      <c r="B20">
        <v>26</v>
      </c>
      <c r="C20">
        <v>22.5</v>
      </c>
      <c r="D20">
        <v>34.799999999999997</v>
      </c>
      <c r="E20">
        <v>47.2</v>
      </c>
      <c r="F20">
        <v>1.4</v>
      </c>
      <c r="G20">
        <v>1.6</v>
      </c>
      <c r="H20">
        <v>5.2</v>
      </c>
      <c r="I20">
        <v>65</v>
      </c>
      <c r="J20">
        <v>19.7</v>
      </c>
      <c r="K20">
        <v>10.199999999999999</v>
      </c>
      <c r="L20">
        <v>13.3</v>
      </c>
      <c r="M20">
        <v>45.2</v>
      </c>
    </row>
    <row r="21" spans="1:13" x14ac:dyDescent="0.25">
      <c r="A21" t="s">
        <v>299</v>
      </c>
      <c r="B21">
        <v>27.7</v>
      </c>
      <c r="C21">
        <v>24.7</v>
      </c>
      <c r="D21">
        <v>27.5</v>
      </c>
      <c r="E21">
        <v>37.799999999999997</v>
      </c>
      <c r="F21">
        <v>1.4</v>
      </c>
      <c r="G21">
        <v>1.2</v>
      </c>
      <c r="H21">
        <v>6.3</v>
      </c>
      <c r="I21">
        <v>68.7</v>
      </c>
      <c r="J21">
        <v>17.2</v>
      </c>
      <c r="K21">
        <v>7.7</v>
      </c>
      <c r="L21">
        <v>11</v>
      </c>
      <c r="M21">
        <v>46.8</v>
      </c>
    </row>
    <row r="22" spans="1:13" x14ac:dyDescent="0.25">
      <c r="A22" t="s">
        <v>300</v>
      </c>
      <c r="B22">
        <v>40.9</v>
      </c>
      <c r="C22">
        <v>31.3</v>
      </c>
      <c r="D22">
        <v>35.700000000000003</v>
      </c>
      <c r="E22">
        <v>44.4</v>
      </c>
      <c r="F22">
        <v>1.2</v>
      </c>
      <c r="G22">
        <v>4.5999999999999996</v>
      </c>
      <c r="H22">
        <v>6.2</v>
      </c>
      <c r="I22">
        <v>64.099999999999994</v>
      </c>
      <c r="J22">
        <v>20.6</v>
      </c>
      <c r="K22">
        <v>9.1</v>
      </c>
      <c r="L22">
        <v>23.5</v>
      </c>
      <c r="M22">
        <v>41</v>
      </c>
    </row>
    <row r="23" spans="1:13" x14ac:dyDescent="0.25">
      <c r="A23" t="s">
        <v>301</v>
      </c>
      <c r="B23">
        <v>32.1</v>
      </c>
      <c r="C23">
        <v>26.9</v>
      </c>
      <c r="D23">
        <v>32.9</v>
      </c>
      <c r="E23">
        <v>44.3</v>
      </c>
      <c r="F23">
        <v>1.3</v>
      </c>
      <c r="G23">
        <v>1.3</v>
      </c>
      <c r="H23">
        <v>7.6</v>
      </c>
      <c r="I23">
        <v>66.900000000000006</v>
      </c>
      <c r="J23">
        <v>17.5</v>
      </c>
      <c r="K23">
        <v>8</v>
      </c>
      <c r="L23">
        <v>16.100000000000001</v>
      </c>
      <c r="M23">
        <v>44.2</v>
      </c>
    </row>
    <row r="24" spans="1:13" x14ac:dyDescent="0.25">
      <c r="A24" t="s">
        <v>302</v>
      </c>
      <c r="B24">
        <v>42.3</v>
      </c>
      <c r="C24">
        <v>38.5</v>
      </c>
      <c r="D24">
        <v>32.299999999999997</v>
      </c>
      <c r="E24">
        <v>47.9</v>
      </c>
      <c r="F24">
        <v>1.5</v>
      </c>
      <c r="G24">
        <v>0.9</v>
      </c>
      <c r="H24">
        <v>4.0999999999999996</v>
      </c>
      <c r="I24">
        <v>77.900000000000006</v>
      </c>
      <c r="J24">
        <v>13</v>
      </c>
      <c r="K24">
        <v>4.9000000000000004</v>
      </c>
      <c r="L24">
        <v>9.1</v>
      </c>
      <c r="M24">
        <v>44.4</v>
      </c>
    </row>
    <row r="25" spans="1:13" x14ac:dyDescent="0.25">
      <c r="A25" t="s">
        <v>303</v>
      </c>
      <c r="B25">
        <v>44.2</v>
      </c>
      <c r="C25">
        <v>35.5</v>
      </c>
      <c r="D25">
        <v>38.5</v>
      </c>
      <c r="E25">
        <v>52</v>
      </c>
      <c r="F25">
        <v>1.4</v>
      </c>
      <c r="G25">
        <v>1.6</v>
      </c>
      <c r="H25">
        <v>9.4</v>
      </c>
      <c r="I25">
        <v>63.5</v>
      </c>
      <c r="J25">
        <v>18.100000000000001</v>
      </c>
      <c r="K25">
        <v>9</v>
      </c>
      <c r="L25">
        <v>19.7</v>
      </c>
      <c r="M25">
        <v>57</v>
      </c>
    </row>
    <row r="26" spans="1:13" x14ac:dyDescent="0.25">
      <c r="A26" t="s">
        <v>304</v>
      </c>
      <c r="B26">
        <v>26.2</v>
      </c>
      <c r="C26">
        <v>23.3</v>
      </c>
      <c r="D26">
        <v>24.8</v>
      </c>
      <c r="E26">
        <v>36.6</v>
      </c>
      <c r="F26">
        <v>1.5</v>
      </c>
      <c r="G26">
        <v>2.4</v>
      </c>
      <c r="H26">
        <v>3.1</v>
      </c>
      <c r="I26">
        <v>77.5</v>
      </c>
      <c r="J26">
        <v>13.2</v>
      </c>
      <c r="K26">
        <v>6.1</v>
      </c>
      <c r="L26">
        <v>10.9</v>
      </c>
      <c r="M26">
        <v>51</v>
      </c>
    </row>
    <row r="27" spans="1:13" x14ac:dyDescent="0.25">
      <c r="A27" t="s">
        <v>305</v>
      </c>
      <c r="B27">
        <v>32</v>
      </c>
      <c r="C27">
        <v>25.3</v>
      </c>
      <c r="D27">
        <v>35.4</v>
      </c>
      <c r="E27">
        <v>41.8</v>
      </c>
      <c r="F27">
        <v>1.2</v>
      </c>
      <c r="G27">
        <v>1.3</v>
      </c>
      <c r="H27">
        <v>6.4</v>
      </c>
      <c r="I27">
        <v>61.5</v>
      </c>
      <c r="J27">
        <v>21.5</v>
      </c>
      <c r="K27">
        <v>10.6</v>
      </c>
      <c r="L27">
        <v>20.9</v>
      </c>
      <c r="M27">
        <v>33.9</v>
      </c>
    </row>
    <row r="28" spans="1:13" x14ac:dyDescent="0.25">
      <c r="A28" t="s">
        <v>306</v>
      </c>
      <c r="B28">
        <v>32.6</v>
      </c>
      <c r="C28">
        <v>25.8</v>
      </c>
      <c r="D28">
        <v>36.1</v>
      </c>
      <c r="E28">
        <v>40.5</v>
      </c>
      <c r="F28">
        <v>1.1000000000000001</v>
      </c>
      <c r="G28">
        <v>1.6</v>
      </c>
      <c r="H28">
        <v>5.8</v>
      </c>
      <c r="I28">
        <v>57.3</v>
      </c>
      <c r="J28">
        <v>23.2</v>
      </c>
      <c r="K28">
        <v>13.7</v>
      </c>
      <c r="L28">
        <v>20.9</v>
      </c>
      <c r="M28">
        <v>36.5</v>
      </c>
    </row>
    <row r="29" spans="1:13" x14ac:dyDescent="0.25">
      <c r="A29" t="s">
        <v>307</v>
      </c>
      <c r="B29">
        <v>46.8</v>
      </c>
      <c r="C29">
        <v>39.5</v>
      </c>
      <c r="D29">
        <v>37.299999999999997</v>
      </c>
      <c r="E29">
        <v>49.3</v>
      </c>
      <c r="F29">
        <v>1.3</v>
      </c>
      <c r="G29">
        <v>1.1000000000000001</v>
      </c>
      <c r="H29">
        <v>7.6</v>
      </c>
      <c r="I29">
        <v>67.900000000000006</v>
      </c>
      <c r="J29">
        <v>17.5</v>
      </c>
      <c r="K29">
        <v>6.9</v>
      </c>
      <c r="L29">
        <v>15.5</v>
      </c>
      <c r="M29">
        <v>49.7</v>
      </c>
    </row>
    <row r="30" spans="1:13" x14ac:dyDescent="0.25">
      <c r="A30" t="s">
        <v>266</v>
      </c>
      <c r="B30">
        <v>33.9</v>
      </c>
      <c r="C30">
        <v>28.1</v>
      </c>
      <c r="D30">
        <v>35.6</v>
      </c>
      <c r="E30">
        <v>46.4</v>
      </c>
      <c r="F30">
        <v>1.3</v>
      </c>
      <c r="G30">
        <v>2.4</v>
      </c>
      <c r="H30">
        <v>6.5</v>
      </c>
      <c r="I30">
        <v>64.5</v>
      </c>
      <c r="J30">
        <v>19.3</v>
      </c>
      <c r="K30">
        <v>9.6999999999999993</v>
      </c>
      <c r="L30">
        <v>16.899999999999999</v>
      </c>
      <c r="M30">
        <v>47.8</v>
      </c>
    </row>
    <row r="31" spans="1:13" x14ac:dyDescent="0.25">
      <c r="A31" t="s">
        <v>308</v>
      </c>
      <c r="B31">
        <v>25</v>
      </c>
      <c r="C31">
        <v>21.8</v>
      </c>
      <c r="D31">
        <v>39.4</v>
      </c>
      <c r="E31">
        <v>51.8</v>
      </c>
      <c r="F31">
        <v>1.3</v>
      </c>
      <c r="G31">
        <v>1.5</v>
      </c>
      <c r="H31">
        <v>6.4</v>
      </c>
      <c r="I31">
        <v>57</v>
      </c>
      <c r="J31">
        <v>20.399999999999999</v>
      </c>
      <c r="K31">
        <v>16.2</v>
      </c>
      <c r="L31">
        <v>12.7</v>
      </c>
      <c r="M31">
        <v>55.5</v>
      </c>
    </row>
    <row r="32" spans="1:13" x14ac:dyDescent="0.25">
      <c r="A32" t="s">
        <v>309</v>
      </c>
      <c r="B32">
        <v>36.9</v>
      </c>
      <c r="C32">
        <v>30.1</v>
      </c>
      <c r="D32">
        <v>34.799999999999997</v>
      </c>
      <c r="E32">
        <v>45.3</v>
      </c>
      <c r="F32">
        <v>1.3</v>
      </c>
      <c r="G32">
        <v>2.6</v>
      </c>
      <c r="H32">
        <v>6.6</v>
      </c>
      <c r="I32">
        <v>66.3</v>
      </c>
      <c r="J32">
        <v>19</v>
      </c>
      <c r="K32">
        <v>8.1999999999999993</v>
      </c>
      <c r="L32">
        <v>18.2</v>
      </c>
      <c r="M32">
        <v>45.3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J31"/>
  <sheetViews>
    <sheetView workbookViewId="0"/>
  </sheetViews>
  <sheetFormatPr defaultRowHeight="15" x14ac:dyDescent="0.25"/>
  <cols>
    <col min="1" max="1" width="22.85546875" customWidth="1"/>
    <col min="2" max="2" width="16" customWidth="1"/>
    <col min="3" max="3" width="16.140625" customWidth="1"/>
    <col min="4" max="4" width="16" customWidth="1"/>
    <col min="5" max="5" width="16.140625" customWidth="1"/>
    <col min="6" max="6" width="16" customWidth="1"/>
    <col min="7" max="7" width="16.140625" customWidth="1"/>
    <col min="8" max="8" width="16" customWidth="1"/>
    <col min="9" max="9" width="16.140625" customWidth="1"/>
    <col min="10" max="10" width="16" customWidth="1"/>
  </cols>
  <sheetData>
    <row r="1" spans="1:10" x14ac:dyDescent="0.25">
      <c r="A1" s="29" t="s">
        <v>615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 t="s">
        <v>252</v>
      </c>
      <c r="B2" s="29" t="s">
        <v>346</v>
      </c>
      <c r="C2" s="29"/>
      <c r="D2" s="29"/>
      <c r="E2" s="29" t="s">
        <v>616</v>
      </c>
      <c r="F2" s="29"/>
      <c r="G2" s="29"/>
      <c r="H2" s="29" t="s">
        <v>617</v>
      </c>
      <c r="I2" s="29"/>
      <c r="J2" s="29"/>
    </row>
    <row r="3" spans="1:10" x14ac:dyDescent="0.25">
      <c r="A3" s="29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263</v>
      </c>
      <c r="I3" t="s">
        <v>264</v>
      </c>
      <c r="J3" t="s">
        <v>618</v>
      </c>
    </row>
    <row r="4" spans="1:10" x14ac:dyDescent="0.25">
      <c r="A4" t="s">
        <v>283</v>
      </c>
      <c r="B4">
        <v>69.53</v>
      </c>
      <c r="C4">
        <v>74.25</v>
      </c>
      <c r="D4">
        <v>65.12</v>
      </c>
      <c r="E4">
        <v>34.65</v>
      </c>
      <c r="F4">
        <v>38.200000000000003</v>
      </c>
      <c r="G4">
        <v>31.32</v>
      </c>
      <c r="H4">
        <v>14.75</v>
      </c>
      <c r="I4">
        <v>16.53</v>
      </c>
      <c r="J4">
        <v>13.06</v>
      </c>
    </row>
    <row r="5" spans="1:10" x14ac:dyDescent="0.25">
      <c r="A5" t="s">
        <v>284</v>
      </c>
      <c r="B5">
        <v>77.430000000000007</v>
      </c>
      <c r="C5">
        <v>81.03</v>
      </c>
      <c r="D5">
        <v>74.040000000000006</v>
      </c>
      <c r="E5">
        <v>34.270000000000003</v>
      </c>
      <c r="F5">
        <v>38.56</v>
      </c>
      <c r="G5">
        <v>30.25</v>
      </c>
      <c r="H5">
        <v>15.87</v>
      </c>
      <c r="I5">
        <v>18.510000000000002</v>
      </c>
      <c r="J5">
        <v>13.42</v>
      </c>
    </row>
    <row r="6" spans="1:10" x14ac:dyDescent="0.25">
      <c r="A6" t="s">
        <v>285</v>
      </c>
      <c r="B6">
        <v>84.56</v>
      </c>
      <c r="C6">
        <v>88.12</v>
      </c>
      <c r="D6">
        <v>81.17</v>
      </c>
      <c r="E6">
        <v>47.46</v>
      </c>
      <c r="F6">
        <v>54.32</v>
      </c>
      <c r="G6">
        <v>41.09</v>
      </c>
      <c r="H6">
        <v>24.81</v>
      </c>
      <c r="I6">
        <v>29.51</v>
      </c>
      <c r="J6">
        <v>20.59</v>
      </c>
    </row>
    <row r="7" spans="1:10" x14ac:dyDescent="0.25">
      <c r="A7" t="s">
        <v>286</v>
      </c>
      <c r="B7">
        <v>80.92</v>
      </c>
      <c r="C7">
        <v>85.26</v>
      </c>
      <c r="D7">
        <v>76.78</v>
      </c>
      <c r="E7">
        <v>50.74</v>
      </c>
      <c r="F7">
        <v>57.5</v>
      </c>
      <c r="G7">
        <v>44.44</v>
      </c>
      <c r="H7">
        <v>23.05</v>
      </c>
      <c r="I7">
        <v>26.24</v>
      </c>
      <c r="J7">
        <v>20.16</v>
      </c>
    </row>
    <row r="8" spans="1:10" x14ac:dyDescent="0.25">
      <c r="A8" t="s">
        <v>287</v>
      </c>
      <c r="B8">
        <v>78.459999999999994</v>
      </c>
      <c r="C8">
        <v>78.349999999999994</v>
      </c>
      <c r="D8">
        <v>78.56</v>
      </c>
      <c r="E8">
        <v>46.2</v>
      </c>
      <c r="F8">
        <v>49.72</v>
      </c>
      <c r="G8">
        <v>42.95</v>
      </c>
      <c r="H8">
        <v>19.32</v>
      </c>
      <c r="I8">
        <v>20.149999999999999</v>
      </c>
      <c r="J8">
        <v>18.579999999999998</v>
      </c>
    </row>
    <row r="9" spans="1:10" x14ac:dyDescent="0.25">
      <c r="A9" t="s">
        <v>288</v>
      </c>
      <c r="B9">
        <v>78.75</v>
      </c>
      <c r="C9">
        <v>87.11</v>
      </c>
      <c r="D9">
        <v>70.760000000000005</v>
      </c>
      <c r="E9">
        <v>42.32</v>
      </c>
      <c r="F9">
        <v>48.49</v>
      </c>
      <c r="G9">
        <v>36.61</v>
      </c>
      <c r="H9">
        <v>21.32</v>
      </c>
      <c r="I9">
        <v>24.83</v>
      </c>
      <c r="J9">
        <v>18.22</v>
      </c>
    </row>
    <row r="10" spans="1:10" x14ac:dyDescent="0.25">
      <c r="A10" t="s">
        <v>289</v>
      </c>
      <c r="B10">
        <v>74.459999999999994</v>
      </c>
      <c r="C10">
        <v>77.510000000000005</v>
      </c>
      <c r="D10">
        <v>71.59</v>
      </c>
      <c r="E10">
        <v>51.6</v>
      </c>
      <c r="F10">
        <v>55.34</v>
      </c>
      <c r="G10">
        <v>48.14</v>
      </c>
      <c r="H10">
        <v>25.7</v>
      </c>
      <c r="I10">
        <v>27.27</v>
      </c>
      <c r="J10">
        <v>24.29</v>
      </c>
    </row>
    <row r="11" spans="1:10" x14ac:dyDescent="0.25">
      <c r="A11" t="s">
        <v>290</v>
      </c>
      <c r="B11">
        <v>82.82</v>
      </c>
      <c r="C11">
        <v>84.62</v>
      </c>
      <c r="D11">
        <v>81.14</v>
      </c>
      <c r="E11">
        <v>47.27</v>
      </c>
      <c r="F11">
        <v>53.1</v>
      </c>
      <c r="G11">
        <v>41.88</v>
      </c>
      <c r="H11">
        <v>22.61</v>
      </c>
      <c r="I11">
        <v>25.33</v>
      </c>
      <c r="J11">
        <v>20.12</v>
      </c>
    </row>
    <row r="12" spans="1:10" x14ac:dyDescent="0.25">
      <c r="A12" t="s">
        <v>291</v>
      </c>
      <c r="B12">
        <v>55.24</v>
      </c>
      <c r="C12">
        <v>56.73</v>
      </c>
      <c r="D12">
        <v>53.88</v>
      </c>
      <c r="E12">
        <v>36.159999999999997</v>
      </c>
      <c r="F12">
        <v>39.11</v>
      </c>
      <c r="G12">
        <v>33.479999999999997</v>
      </c>
      <c r="H12">
        <v>18.899999999999999</v>
      </c>
      <c r="I12">
        <v>20.41</v>
      </c>
      <c r="J12">
        <v>17.54</v>
      </c>
    </row>
    <row r="13" spans="1:10" x14ac:dyDescent="0.25">
      <c r="A13" t="s">
        <v>292</v>
      </c>
      <c r="B13">
        <v>59.63</v>
      </c>
      <c r="C13">
        <v>63.42</v>
      </c>
      <c r="D13">
        <v>56.03</v>
      </c>
      <c r="E13">
        <v>34.479999999999997</v>
      </c>
      <c r="F13">
        <v>34.979999999999997</v>
      </c>
      <c r="G13">
        <v>34.01</v>
      </c>
      <c r="H13">
        <v>17.86</v>
      </c>
      <c r="I13">
        <v>17.03</v>
      </c>
      <c r="J13">
        <v>18.649999999999999</v>
      </c>
    </row>
    <row r="14" spans="1:10" x14ac:dyDescent="0.25">
      <c r="A14" t="s">
        <v>293</v>
      </c>
      <c r="B14">
        <v>72.09</v>
      </c>
      <c r="C14">
        <v>75.88</v>
      </c>
      <c r="D14">
        <v>68.37</v>
      </c>
      <c r="E14">
        <v>34.840000000000003</v>
      </c>
      <c r="F14">
        <v>39.5</v>
      </c>
      <c r="G14">
        <v>30.39</v>
      </c>
      <c r="H14">
        <v>16.600000000000001</v>
      </c>
      <c r="I14">
        <v>19.04</v>
      </c>
      <c r="J14">
        <v>14.38</v>
      </c>
    </row>
    <row r="15" spans="1:10" x14ac:dyDescent="0.25">
      <c r="A15" t="s">
        <v>294</v>
      </c>
      <c r="B15">
        <v>71.08</v>
      </c>
      <c r="C15">
        <v>74.69</v>
      </c>
      <c r="D15">
        <v>67.58</v>
      </c>
      <c r="E15">
        <v>31.51</v>
      </c>
      <c r="F15">
        <v>35.29</v>
      </c>
      <c r="G15">
        <v>27.85</v>
      </c>
      <c r="H15">
        <v>15.99</v>
      </c>
      <c r="I15">
        <v>16.63</v>
      </c>
      <c r="J15">
        <v>15.38</v>
      </c>
    </row>
    <row r="16" spans="1:10" x14ac:dyDescent="0.25">
      <c r="A16" t="s">
        <v>295</v>
      </c>
      <c r="B16">
        <v>67.739999999999995</v>
      </c>
      <c r="C16">
        <v>70.87</v>
      </c>
      <c r="D16">
        <v>64.83</v>
      </c>
      <c r="E16">
        <v>32.6</v>
      </c>
      <c r="F16">
        <v>36.119999999999997</v>
      </c>
      <c r="G16">
        <v>29.33</v>
      </c>
      <c r="H16">
        <v>12.4</v>
      </c>
      <c r="I16">
        <v>13.35</v>
      </c>
      <c r="J16">
        <v>11.51</v>
      </c>
    </row>
    <row r="17" spans="1:10" x14ac:dyDescent="0.25">
      <c r="A17" t="s">
        <v>296</v>
      </c>
      <c r="B17">
        <v>56.89</v>
      </c>
      <c r="C17">
        <v>62.13</v>
      </c>
      <c r="D17">
        <v>52.04</v>
      </c>
      <c r="E17">
        <v>30.05</v>
      </c>
      <c r="F17">
        <v>32.880000000000003</v>
      </c>
      <c r="G17">
        <v>27.39</v>
      </c>
      <c r="H17">
        <v>11.15</v>
      </c>
      <c r="I17">
        <v>11.1</v>
      </c>
      <c r="J17">
        <v>11.21</v>
      </c>
    </row>
    <row r="18" spans="1:10" x14ac:dyDescent="0.25">
      <c r="A18" t="s">
        <v>297</v>
      </c>
      <c r="B18">
        <v>74.64</v>
      </c>
      <c r="C18">
        <v>78.8</v>
      </c>
      <c r="D18">
        <v>70.900000000000006</v>
      </c>
      <c r="E18">
        <v>45.39</v>
      </c>
      <c r="F18">
        <v>44.88</v>
      </c>
      <c r="G18">
        <v>45.92</v>
      </c>
      <c r="H18">
        <v>31.63</v>
      </c>
      <c r="I18">
        <v>29.11</v>
      </c>
      <c r="J18">
        <v>34.6</v>
      </c>
    </row>
    <row r="19" spans="1:10" x14ac:dyDescent="0.25">
      <c r="A19" t="s">
        <v>298</v>
      </c>
      <c r="B19">
        <v>68.150000000000006</v>
      </c>
      <c r="C19">
        <v>71.42</v>
      </c>
      <c r="D19">
        <v>65.09</v>
      </c>
      <c r="E19">
        <v>29.64</v>
      </c>
      <c r="F19">
        <v>31.77</v>
      </c>
      <c r="G19">
        <v>27.64</v>
      </c>
      <c r="H19">
        <v>17.04</v>
      </c>
      <c r="I19">
        <v>17.010000000000002</v>
      </c>
      <c r="J19">
        <v>17.079999999999998</v>
      </c>
    </row>
    <row r="20" spans="1:10" x14ac:dyDescent="0.25">
      <c r="A20" t="s">
        <v>299</v>
      </c>
      <c r="B20">
        <v>86.91</v>
      </c>
      <c r="C20">
        <v>96.73</v>
      </c>
      <c r="D20">
        <v>77.489999999999995</v>
      </c>
      <c r="E20">
        <v>47</v>
      </c>
      <c r="F20">
        <v>53.52</v>
      </c>
      <c r="G20">
        <v>40.81</v>
      </c>
      <c r="H20">
        <v>21.37</v>
      </c>
      <c r="I20">
        <v>23.5</v>
      </c>
      <c r="J20">
        <v>19.36</v>
      </c>
    </row>
    <row r="21" spans="1:10" x14ac:dyDescent="0.25">
      <c r="A21" t="s">
        <v>300</v>
      </c>
      <c r="B21">
        <v>86.45</v>
      </c>
      <c r="C21">
        <v>88.29</v>
      </c>
      <c r="D21">
        <v>84.7</v>
      </c>
      <c r="E21">
        <v>52.62</v>
      </c>
      <c r="F21">
        <v>58.71</v>
      </c>
      <c r="G21">
        <v>47.13</v>
      </c>
      <c r="H21">
        <v>23.04</v>
      </c>
      <c r="I21">
        <v>25.16</v>
      </c>
      <c r="J21">
        <v>21.26</v>
      </c>
    </row>
    <row r="22" spans="1:10" x14ac:dyDescent="0.25">
      <c r="A22" t="s">
        <v>301</v>
      </c>
      <c r="B22">
        <v>81.58</v>
      </c>
      <c r="C22">
        <v>87.55</v>
      </c>
      <c r="D22">
        <v>76</v>
      </c>
      <c r="E22">
        <v>40.869999999999997</v>
      </c>
      <c r="F22">
        <v>45.93</v>
      </c>
      <c r="G22">
        <v>36.15</v>
      </c>
      <c r="H22">
        <v>16.93</v>
      </c>
      <c r="I22">
        <v>18.149999999999999</v>
      </c>
      <c r="J22">
        <v>15.79</v>
      </c>
    </row>
    <row r="23" spans="1:10" x14ac:dyDescent="0.25">
      <c r="A23" t="s">
        <v>302</v>
      </c>
      <c r="B23">
        <v>79.23</v>
      </c>
      <c r="C23">
        <v>78.62</v>
      </c>
      <c r="D23">
        <v>79.8</v>
      </c>
      <c r="E23">
        <v>36.659999999999997</v>
      </c>
      <c r="F23">
        <v>34.450000000000003</v>
      </c>
      <c r="G23">
        <v>38.72</v>
      </c>
      <c r="H23">
        <v>14.49</v>
      </c>
      <c r="I23">
        <v>15.09</v>
      </c>
      <c r="J23">
        <v>13.93</v>
      </c>
    </row>
    <row r="24" spans="1:10" x14ac:dyDescent="0.25">
      <c r="A24" t="s">
        <v>303</v>
      </c>
      <c r="B24">
        <v>80.989999999999995</v>
      </c>
      <c r="C24">
        <v>86.75</v>
      </c>
      <c r="D24">
        <v>75.63</v>
      </c>
      <c r="E24">
        <v>44.19</v>
      </c>
      <c r="F24">
        <v>52.35</v>
      </c>
      <c r="G24">
        <v>36.58</v>
      </c>
      <c r="H24">
        <v>21.78</v>
      </c>
      <c r="I24">
        <v>25.61</v>
      </c>
      <c r="J24">
        <v>18.170000000000002</v>
      </c>
    </row>
    <row r="25" spans="1:10" x14ac:dyDescent="0.25">
      <c r="A25" t="s">
        <v>304</v>
      </c>
      <c r="B25">
        <v>69.489999999999995</v>
      </c>
      <c r="C25">
        <v>76.42</v>
      </c>
      <c r="D25">
        <v>62.76</v>
      </c>
      <c r="E25">
        <v>33.590000000000003</v>
      </c>
      <c r="F25">
        <v>33.99</v>
      </c>
      <c r="G25">
        <v>33.200000000000003</v>
      </c>
      <c r="H25">
        <v>18.010000000000002</v>
      </c>
      <c r="I25">
        <v>16.86</v>
      </c>
      <c r="J25">
        <v>19.149999999999999</v>
      </c>
    </row>
    <row r="26" spans="1:10" x14ac:dyDescent="0.25">
      <c r="A26" t="s">
        <v>305</v>
      </c>
      <c r="B26">
        <v>92.12</v>
      </c>
      <c r="C26">
        <v>95.04</v>
      </c>
      <c r="D26">
        <v>89.3</v>
      </c>
      <c r="E26">
        <v>55.2</v>
      </c>
      <c r="F26">
        <v>58.11</v>
      </c>
      <c r="G26">
        <v>52.59</v>
      </c>
      <c r="H26">
        <v>26.32</v>
      </c>
      <c r="I26">
        <v>26.89</v>
      </c>
      <c r="J26">
        <v>25.85</v>
      </c>
    </row>
    <row r="27" spans="1:10" x14ac:dyDescent="0.25">
      <c r="A27" t="s">
        <v>306</v>
      </c>
      <c r="B27">
        <v>82.17</v>
      </c>
      <c r="C27">
        <v>83.37</v>
      </c>
      <c r="D27">
        <v>81.03</v>
      </c>
      <c r="E27">
        <v>61.54</v>
      </c>
      <c r="F27">
        <v>65.709999999999994</v>
      </c>
      <c r="G27">
        <v>57.77</v>
      </c>
      <c r="H27">
        <v>34.549999999999997</v>
      </c>
      <c r="I27">
        <v>36.83</v>
      </c>
      <c r="J27">
        <v>32.61</v>
      </c>
    </row>
    <row r="28" spans="1:10" x14ac:dyDescent="0.25">
      <c r="A28" t="s">
        <v>307</v>
      </c>
      <c r="B28">
        <v>83.09</v>
      </c>
      <c r="C28">
        <v>86.33</v>
      </c>
      <c r="D28">
        <v>80.02</v>
      </c>
      <c r="E28">
        <v>39.36</v>
      </c>
      <c r="F28">
        <v>45.44</v>
      </c>
      <c r="G28">
        <v>33.76</v>
      </c>
      <c r="H28">
        <v>15</v>
      </c>
      <c r="I28">
        <v>17.03</v>
      </c>
      <c r="J28">
        <v>13.2</v>
      </c>
    </row>
    <row r="29" spans="1:10" x14ac:dyDescent="0.25">
      <c r="A29" t="s">
        <v>266</v>
      </c>
      <c r="B29">
        <v>79.06</v>
      </c>
      <c r="C29">
        <v>82.65</v>
      </c>
      <c r="D29">
        <v>75.680000000000007</v>
      </c>
      <c r="E29">
        <v>44.53</v>
      </c>
      <c r="F29">
        <v>48.97</v>
      </c>
      <c r="G29">
        <v>40.369999999999997</v>
      </c>
      <c r="H29">
        <v>22.1</v>
      </c>
      <c r="I29">
        <v>23.89</v>
      </c>
      <c r="J29">
        <v>20.45</v>
      </c>
    </row>
    <row r="30" spans="1:10" x14ac:dyDescent="0.25">
      <c r="A30" t="s">
        <v>459</v>
      </c>
      <c r="B30">
        <v>69.3</v>
      </c>
      <c r="C30">
        <v>72.52</v>
      </c>
      <c r="D30">
        <v>66.34</v>
      </c>
      <c r="E30">
        <v>45.58</v>
      </c>
      <c r="F30">
        <v>47.83</v>
      </c>
      <c r="G30">
        <v>43.4</v>
      </c>
      <c r="H30">
        <v>35.770000000000003</v>
      </c>
      <c r="I30">
        <v>36.04</v>
      </c>
      <c r="J30">
        <v>35.479999999999997</v>
      </c>
    </row>
    <row r="31" spans="1:10" x14ac:dyDescent="0.25">
      <c r="A31" t="s">
        <v>460</v>
      </c>
      <c r="B31">
        <v>81.42</v>
      </c>
      <c r="C31">
        <v>85.06</v>
      </c>
      <c r="D31">
        <v>77.97</v>
      </c>
      <c r="E31">
        <v>44.26</v>
      </c>
      <c r="F31">
        <v>49.27</v>
      </c>
      <c r="G31">
        <v>39.61</v>
      </c>
      <c r="H31">
        <v>18.21</v>
      </c>
      <c r="I31">
        <v>20.18</v>
      </c>
      <c r="J31">
        <v>16.440000000000001</v>
      </c>
    </row>
  </sheetData>
  <mergeCells count="5">
    <mergeCell ref="A1:J1"/>
    <mergeCell ref="E2:G2"/>
    <mergeCell ref="A2:A3"/>
    <mergeCell ref="H2:J2"/>
    <mergeCell ref="B2:D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M31"/>
  <sheetViews>
    <sheetView workbookViewId="0"/>
  </sheetViews>
  <sheetFormatPr defaultRowHeight="15" x14ac:dyDescent="0.25"/>
  <cols>
    <col min="1" max="1" width="24.42578125" customWidth="1"/>
    <col min="2" max="2" width="11.85546875" customWidth="1"/>
    <col min="3" max="3" width="12" customWidth="1"/>
    <col min="5" max="5" width="11.85546875" customWidth="1"/>
    <col min="6" max="6" width="12" customWidth="1"/>
    <col min="7" max="7" width="11.85546875" customWidth="1"/>
    <col min="8" max="8" width="12" customWidth="1"/>
    <col min="10" max="10" width="11.85546875" customWidth="1"/>
    <col min="11" max="11" width="12" customWidth="1"/>
    <col min="12" max="12" width="11.85546875" customWidth="1"/>
    <col min="13" max="13" width="12" customWidth="1"/>
  </cols>
  <sheetData>
    <row r="1" spans="1:13" x14ac:dyDescent="0.25">
      <c r="A1" s="29" t="s">
        <v>619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3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91.5</v>
      </c>
      <c r="C4">
        <v>3.7</v>
      </c>
      <c r="D4">
        <v>4.8</v>
      </c>
      <c r="E4">
        <v>80.400000000000006</v>
      </c>
      <c r="F4">
        <v>1.8</v>
      </c>
      <c r="G4">
        <v>17.8</v>
      </c>
      <c r="H4">
        <v>76</v>
      </c>
      <c r="I4">
        <v>1.6</v>
      </c>
      <c r="J4">
        <v>22.4</v>
      </c>
      <c r="K4">
        <v>11427</v>
      </c>
      <c r="L4">
        <v>5105</v>
      </c>
      <c r="M4">
        <v>1260</v>
      </c>
    </row>
    <row r="5" spans="1:13" x14ac:dyDescent="0.25">
      <c r="A5" t="s">
        <v>284</v>
      </c>
      <c r="B5">
        <v>88</v>
      </c>
      <c r="C5">
        <v>6.3</v>
      </c>
      <c r="D5">
        <v>5.7</v>
      </c>
      <c r="E5">
        <v>80.2</v>
      </c>
      <c r="F5">
        <v>3.1</v>
      </c>
      <c r="G5">
        <v>16.7</v>
      </c>
      <c r="H5">
        <v>79.2</v>
      </c>
      <c r="I5">
        <v>2.5</v>
      </c>
      <c r="J5">
        <v>18.3</v>
      </c>
      <c r="K5">
        <v>18206</v>
      </c>
      <c r="L5">
        <v>7961</v>
      </c>
      <c r="M5">
        <v>2463</v>
      </c>
    </row>
    <row r="6" spans="1:13" x14ac:dyDescent="0.25">
      <c r="A6" t="s">
        <v>285</v>
      </c>
      <c r="B6">
        <v>85.9</v>
      </c>
      <c r="C6">
        <v>9.3000000000000007</v>
      </c>
      <c r="D6">
        <v>4.8</v>
      </c>
      <c r="E6">
        <v>80.900000000000006</v>
      </c>
      <c r="F6">
        <v>3.4</v>
      </c>
      <c r="G6">
        <v>15.6</v>
      </c>
      <c r="H6">
        <v>73.900000000000006</v>
      </c>
      <c r="I6">
        <v>2.8</v>
      </c>
      <c r="J6">
        <v>23.3</v>
      </c>
      <c r="K6">
        <v>16681</v>
      </c>
      <c r="L6">
        <v>8692</v>
      </c>
      <c r="M6">
        <v>2518</v>
      </c>
    </row>
    <row r="7" spans="1:13" x14ac:dyDescent="0.25">
      <c r="A7" t="s">
        <v>286</v>
      </c>
      <c r="B7">
        <v>91.8</v>
      </c>
      <c r="C7">
        <v>6.1</v>
      </c>
      <c r="D7">
        <v>2.1</v>
      </c>
      <c r="E7">
        <v>84.9</v>
      </c>
      <c r="F7">
        <v>1.7</v>
      </c>
      <c r="G7">
        <v>13.4</v>
      </c>
      <c r="H7">
        <v>75.099999999999994</v>
      </c>
      <c r="I7">
        <v>3</v>
      </c>
      <c r="J7">
        <v>21.9</v>
      </c>
      <c r="K7">
        <v>9984</v>
      </c>
      <c r="L7">
        <v>5498</v>
      </c>
      <c r="M7">
        <v>1402</v>
      </c>
    </row>
    <row r="8" spans="1:13" x14ac:dyDescent="0.25">
      <c r="A8" t="s">
        <v>287</v>
      </c>
      <c r="B8">
        <v>92.4</v>
      </c>
      <c r="C8">
        <v>4.8</v>
      </c>
      <c r="D8">
        <v>2.8</v>
      </c>
      <c r="E8">
        <v>81.900000000000006</v>
      </c>
      <c r="F8">
        <v>1.3</v>
      </c>
      <c r="G8">
        <v>16.899999999999999</v>
      </c>
      <c r="H8">
        <v>85.3</v>
      </c>
      <c r="I8">
        <v>0.7</v>
      </c>
      <c r="J8">
        <v>14</v>
      </c>
      <c r="K8">
        <v>15288</v>
      </c>
      <c r="L8">
        <v>6975</v>
      </c>
      <c r="M8">
        <v>2714</v>
      </c>
    </row>
    <row r="9" spans="1:13" x14ac:dyDescent="0.25">
      <c r="A9" t="s">
        <v>288</v>
      </c>
      <c r="B9">
        <v>87.2</v>
      </c>
      <c r="C9">
        <v>8.1999999999999993</v>
      </c>
      <c r="D9">
        <v>4.5999999999999996</v>
      </c>
      <c r="E9">
        <v>81.5</v>
      </c>
      <c r="F9">
        <v>2.8</v>
      </c>
      <c r="G9">
        <v>15.8</v>
      </c>
      <c r="H9">
        <v>83.1</v>
      </c>
      <c r="I9">
        <v>1.9</v>
      </c>
      <c r="J9">
        <v>15</v>
      </c>
      <c r="K9">
        <v>12038</v>
      </c>
      <c r="L9">
        <v>5863</v>
      </c>
      <c r="M9">
        <v>2487</v>
      </c>
    </row>
    <row r="10" spans="1:13" x14ac:dyDescent="0.25">
      <c r="A10" t="s">
        <v>289</v>
      </c>
      <c r="B10">
        <v>91.7</v>
      </c>
      <c r="C10">
        <v>4.0999999999999996</v>
      </c>
      <c r="D10">
        <v>4.2</v>
      </c>
      <c r="E10">
        <v>80.8</v>
      </c>
      <c r="F10">
        <v>2.7</v>
      </c>
      <c r="G10">
        <v>16.5</v>
      </c>
      <c r="H10">
        <v>81.2</v>
      </c>
      <c r="I10">
        <v>2</v>
      </c>
      <c r="J10">
        <v>16.8</v>
      </c>
      <c r="K10">
        <v>12053</v>
      </c>
      <c r="L10">
        <v>6494</v>
      </c>
      <c r="M10">
        <v>2652</v>
      </c>
    </row>
    <row r="11" spans="1:13" x14ac:dyDescent="0.25">
      <c r="A11" t="s">
        <v>290</v>
      </c>
      <c r="B11">
        <v>89.3</v>
      </c>
      <c r="C11">
        <v>8.6999999999999993</v>
      </c>
      <c r="D11">
        <v>2</v>
      </c>
      <c r="E11">
        <v>82.1</v>
      </c>
      <c r="F11">
        <v>3.5</v>
      </c>
      <c r="G11">
        <v>14.4</v>
      </c>
      <c r="H11">
        <v>74.7</v>
      </c>
      <c r="I11">
        <v>3.3</v>
      </c>
      <c r="J11">
        <v>22</v>
      </c>
      <c r="K11">
        <v>19045</v>
      </c>
      <c r="L11">
        <v>10706</v>
      </c>
      <c r="M11">
        <v>3580</v>
      </c>
    </row>
    <row r="12" spans="1:13" x14ac:dyDescent="0.25">
      <c r="A12" t="s">
        <v>291</v>
      </c>
      <c r="B12">
        <v>93.5</v>
      </c>
      <c r="C12">
        <v>3.9</v>
      </c>
      <c r="D12">
        <v>2.6</v>
      </c>
      <c r="E12">
        <v>84.4</v>
      </c>
      <c r="F12">
        <v>4.2</v>
      </c>
      <c r="G12">
        <v>11.5</v>
      </c>
      <c r="H12">
        <v>89.7</v>
      </c>
      <c r="I12">
        <v>2.1</v>
      </c>
      <c r="J12">
        <v>8.1999999999999993</v>
      </c>
      <c r="K12">
        <v>661</v>
      </c>
      <c r="L12">
        <v>443</v>
      </c>
      <c r="M12">
        <v>240</v>
      </c>
    </row>
    <row r="13" spans="1:13" x14ac:dyDescent="0.25">
      <c r="A13" t="s">
        <v>292</v>
      </c>
      <c r="B13">
        <v>88</v>
      </c>
      <c r="C13">
        <v>4.4000000000000004</v>
      </c>
      <c r="D13">
        <v>7.7</v>
      </c>
      <c r="E13">
        <v>84.3</v>
      </c>
      <c r="F13">
        <v>2.2000000000000002</v>
      </c>
      <c r="G13">
        <v>13.5</v>
      </c>
      <c r="H13">
        <v>74.8</v>
      </c>
      <c r="I13">
        <v>2.8</v>
      </c>
      <c r="J13">
        <v>22.5</v>
      </c>
      <c r="K13">
        <v>1909</v>
      </c>
      <c r="L13">
        <v>1114</v>
      </c>
      <c r="M13">
        <v>324</v>
      </c>
    </row>
    <row r="14" spans="1:13" x14ac:dyDescent="0.25">
      <c r="A14" t="s">
        <v>293</v>
      </c>
      <c r="B14">
        <v>83.4</v>
      </c>
      <c r="C14">
        <v>8.1</v>
      </c>
      <c r="D14">
        <v>8.5</v>
      </c>
      <c r="E14">
        <v>80.900000000000006</v>
      </c>
      <c r="F14">
        <v>2.1</v>
      </c>
      <c r="G14">
        <v>17.100000000000001</v>
      </c>
      <c r="H14">
        <v>79</v>
      </c>
      <c r="I14">
        <v>3</v>
      </c>
      <c r="J14">
        <v>18</v>
      </c>
      <c r="K14">
        <v>5757</v>
      </c>
      <c r="L14">
        <v>2507</v>
      </c>
      <c r="M14">
        <v>844</v>
      </c>
    </row>
    <row r="15" spans="1:13" x14ac:dyDescent="0.25">
      <c r="A15" t="s">
        <v>294</v>
      </c>
      <c r="B15">
        <v>86.9</v>
      </c>
      <c r="C15">
        <v>4.5999999999999996</v>
      </c>
      <c r="D15">
        <v>8.5</v>
      </c>
      <c r="E15">
        <v>81.8</v>
      </c>
      <c r="F15">
        <v>3.6</v>
      </c>
      <c r="G15">
        <v>14.5</v>
      </c>
      <c r="H15">
        <v>89.8</v>
      </c>
      <c r="I15">
        <v>0.3</v>
      </c>
      <c r="J15">
        <v>9.9</v>
      </c>
      <c r="K15">
        <v>1344</v>
      </c>
      <c r="L15">
        <v>590</v>
      </c>
      <c r="M15">
        <v>228</v>
      </c>
    </row>
    <row r="16" spans="1:13" x14ac:dyDescent="0.25">
      <c r="A16" t="s">
        <v>295</v>
      </c>
      <c r="B16">
        <v>85.1</v>
      </c>
      <c r="C16">
        <v>7.4</v>
      </c>
      <c r="D16">
        <v>7.5</v>
      </c>
      <c r="E16">
        <v>78</v>
      </c>
      <c r="F16">
        <v>3.7</v>
      </c>
      <c r="G16">
        <v>18.3</v>
      </c>
      <c r="H16">
        <v>86</v>
      </c>
      <c r="I16">
        <v>1.3</v>
      </c>
      <c r="J16">
        <v>12.8</v>
      </c>
      <c r="K16">
        <v>3804</v>
      </c>
      <c r="L16">
        <v>1625</v>
      </c>
      <c r="M16">
        <v>705</v>
      </c>
    </row>
    <row r="17" spans="1:13" x14ac:dyDescent="0.25">
      <c r="A17" t="s">
        <v>296</v>
      </c>
      <c r="B17">
        <v>87.2</v>
      </c>
      <c r="C17">
        <v>6.3</v>
      </c>
      <c r="D17">
        <v>6.6</v>
      </c>
      <c r="E17">
        <v>77.8</v>
      </c>
      <c r="F17">
        <v>4.5</v>
      </c>
      <c r="G17">
        <v>17.8</v>
      </c>
      <c r="H17">
        <v>77.900000000000006</v>
      </c>
      <c r="I17">
        <v>2.8</v>
      </c>
      <c r="J17">
        <v>19.3</v>
      </c>
      <c r="K17">
        <v>1209</v>
      </c>
      <c r="L17">
        <v>518</v>
      </c>
      <c r="M17">
        <v>178</v>
      </c>
    </row>
    <row r="18" spans="1:13" x14ac:dyDescent="0.25">
      <c r="A18" t="s">
        <v>297</v>
      </c>
      <c r="B18">
        <v>96.8</v>
      </c>
      <c r="C18">
        <v>2.9</v>
      </c>
      <c r="D18">
        <v>0.3</v>
      </c>
      <c r="E18">
        <v>85.4</v>
      </c>
      <c r="F18">
        <v>2.6</v>
      </c>
      <c r="G18">
        <v>11.9</v>
      </c>
      <c r="H18">
        <v>80.599999999999994</v>
      </c>
      <c r="I18">
        <v>3</v>
      </c>
      <c r="J18">
        <v>16.399999999999999</v>
      </c>
      <c r="K18">
        <v>21513</v>
      </c>
      <c r="L18">
        <v>11000</v>
      </c>
      <c r="M18">
        <v>5798</v>
      </c>
    </row>
    <row r="19" spans="1:13" x14ac:dyDescent="0.25">
      <c r="A19" t="s">
        <v>298</v>
      </c>
      <c r="B19">
        <v>94</v>
      </c>
      <c r="C19">
        <v>3.2</v>
      </c>
      <c r="D19">
        <v>2.9</v>
      </c>
      <c r="E19">
        <v>79.599999999999994</v>
      </c>
      <c r="F19">
        <v>3</v>
      </c>
      <c r="G19">
        <v>17.5</v>
      </c>
      <c r="H19">
        <v>81</v>
      </c>
      <c r="I19">
        <v>1.1000000000000001</v>
      </c>
      <c r="J19">
        <v>18</v>
      </c>
      <c r="K19">
        <v>3498</v>
      </c>
      <c r="L19">
        <v>1694</v>
      </c>
      <c r="M19">
        <v>738</v>
      </c>
    </row>
    <row r="20" spans="1:13" x14ac:dyDescent="0.25">
      <c r="A20" t="s">
        <v>299</v>
      </c>
      <c r="B20">
        <v>83.2</v>
      </c>
      <c r="C20">
        <v>9.3000000000000007</v>
      </c>
      <c r="D20">
        <v>7.5</v>
      </c>
      <c r="E20">
        <v>82.8</v>
      </c>
      <c r="F20">
        <v>1.1000000000000001</v>
      </c>
      <c r="G20">
        <v>16</v>
      </c>
      <c r="H20">
        <v>88</v>
      </c>
      <c r="I20">
        <v>0.8</v>
      </c>
      <c r="J20">
        <v>11.2</v>
      </c>
      <c r="K20">
        <v>4001</v>
      </c>
      <c r="L20">
        <v>1791</v>
      </c>
      <c r="M20">
        <v>970</v>
      </c>
    </row>
    <row r="21" spans="1:13" x14ac:dyDescent="0.25">
      <c r="A21" t="s">
        <v>300</v>
      </c>
      <c r="B21">
        <v>90.5</v>
      </c>
      <c r="C21">
        <v>7.1</v>
      </c>
      <c r="D21">
        <v>2.4</v>
      </c>
      <c r="E21">
        <v>82.2</v>
      </c>
      <c r="F21">
        <v>1</v>
      </c>
      <c r="G21">
        <v>16.899999999999999</v>
      </c>
      <c r="H21">
        <v>81.900000000000006</v>
      </c>
      <c r="I21">
        <v>1.7</v>
      </c>
      <c r="J21">
        <v>16.3</v>
      </c>
      <c r="K21">
        <v>20275</v>
      </c>
      <c r="L21">
        <v>9593</v>
      </c>
      <c r="M21">
        <v>3739</v>
      </c>
    </row>
    <row r="22" spans="1:13" x14ac:dyDescent="0.25">
      <c r="A22" t="s">
        <v>301</v>
      </c>
      <c r="B22">
        <v>87</v>
      </c>
      <c r="C22">
        <v>8</v>
      </c>
      <c r="D22">
        <v>5</v>
      </c>
      <c r="E22">
        <v>83.3</v>
      </c>
      <c r="F22">
        <v>1.8</v>
      </c>
      <c r="G22">
        <v>14.9</v>
      </c>
      <c r="H22">
        <v>75</v>
      </c>
      <c r="I22">
        <v>3.1</v>
      </c>
      <c r="J22">
        <v>21.9</v>
      </c>
      <c r="K22">
        <v>7736</v>
      </c>
      <c r="L22">
        <v>3738</v>
      </c>
      <c r="M22">
        <v>954</v>
      </c>
    </row>
    <row r="23" spans="1:13" x14ac:dyDescent="0.25">
      <c r="A23" t="s">
        <v>302</v>
      </c>
      <c r="B23">
        <v>86.6</v>
      </c>
      <c r="C23">
        <v>4.5999999999999996</v>
      </c>
      <c r="D23">
        <v>8.8000000000000007</v>
      </c>
      <c r="E23">
        <v>83.9</v>
      </c>
      <c r="F23">
        <v>1.6</v>
      </c>
      <c r="G23">
        <v>14.5</v>
      </c>
      <c r="H23">
        <v>88.9</v>
      </c>
      <c r="I23">
        <v>0.4</v>
      </c>
      <c r="J23">
        <v>10.8</v>
      </c>
      <c r="K23">
        <v>2979</v>
      </c>
      <c r="L23">
        <v>1185</v>
      </c>
      <c r="M23">
        <v>437</v>
      </c>
    </row>
    <row r="24" spans="1:13" x14ac:dyDescent="0.25">
      <c r="A24" t="s">
        <v>303</v>
      </c>
      <c r="B24">
        <v>87.7</v>
      </c>
      <c r="C24">
        <v>7.9</v>
      </c>
      <c r="D24">
        <v>4.5</v>
      </c>
      <c r="E24">
        <v>82.4</v>
      </c>
      <c r="F24">
        <v>3.9</v>
      </c>
      <c r="G24">
        <v>13.8</v>
      </c>
      <c r="H24">
        <v>83</v>
      </c>
      <c r="I24">
        <v>2.1</v>
      </c>
      <c r="J24">
        <v>14.9</v>
      </c>
      <c r="K24">
        <v>18201</v>
      </c>
      <c r="L24">
        <v>9508</v>
      </c>
      <c r="M24">
        <v>3674</v>
      </c>
    </row>
    <row r="25" spans="1:13" x14ac:dyDescent="0.25">
      <c r="A25" t="s">
        <v>304</v>
      </c>
      <c r="B25">
        <v>80.900000000000006</v>
      </c>
      <c r="C25">
        <v>11.4</v>
      </c>
      <c r="D25">
        <v>7.7</v>
      </c>
      <c r="E25">
        <v>87.8</v>
      </c>
      <c r="F25">
        <v>0.9</v>
      </c>
      <c r="G25">
        <v>11.3</v>
      </c>
      <c r="H25">
        <v>88.9</v>
      </c>
      <c r="I25">
        <v>0.1</v>
      </c>
      <c r="J25">
        <v>11</v>
      </c>
      <c r="K25">
        <v>1946</v>
      </c>
      <c r="L25">
        <v>789</v>
      </c>
      <c r="M25">
        <v>412</v>
      </c>
    </row>
    <row r="26" spans="1:13" x14ac:dyDescent="0.25">
      <c r="A26" t="s">
        <v>305</v>
      </c>
      <c r="B26">
        <v>93.3</v>
      </c>
      <c r="C26">
        <v>4.5999999999999996</v>
      </c>
      <c r="D26">
        <v>2.1</v>
      </c>
      <c r="E26">
        <v>82.8</v>
      </c>
      <c r="F26">
        <v>2.2000000000000002</v>
      </c>
      <c r="G26">
        <v>15</v>
      </c>
      <c r="H26">
        <v>82</v>
      </c>
      <c r="I26">
        <v>1.2</v>
      </c>
      <c r="J26">
        <v>16.8</v>
      </c>
      <c r="K26">
        <v>9839</v>
      </c>
      <c r="L26">
        <v>5454</v>
      </c>
      <c r="M26">
        <v>1988</v>
      </c>
    </row>
    <row r="27" spans="1:13" x14ac:dyDescent="0.25">
      <c r="A27" t="s">
        <v>306</v>
      </c>
      <c r="B27">
        <v>91.5</v>
      </c>
      <c r="C27">
        <v>6.3</v>
      </c>
      <c r="D27">
        <v>2.2000000000000002</v>
      </c>
      <c r="E27">
        <v>84.4</v>
      </c>
      <c r="F27">
        <v>2.2999999999999998</v>
      </c>
      <c r="G27">
        <v>13.3</v>
      </c>
      <c r="H27">
        <v>74.3</v>
      </c>
      <c r="I27">
        <v>3.4</v>
      </c>
      <c r="J27">
        <v>22.3</v>
      </c>
      <c r="K27">
        <v>18155</v>
      </c>
      <c r="L27">
        <v>10686</v>
      </c>
      <c r="M27">
        <v>3213</v>
      </c>
    </row>
    <row r="28" spans="1:13" x14ac:dyDescent="0.25">
      <c r="A28" t="s">
        <v>307</v>
      </c>
      <c r="B28">
        <v>87.2</v>
      </c>
      <c r="C28">
        <v>6.2</v>
      </c>
      <c r="D28">
        <v>6.7</v>
      </c>
      <c r="E28">
        <v>77.2</v>
      </c>
      <c r="F28">
        <v>3.3</v>
      </c>
      <c r="G28">
        <v>19.5</v>
      </c>
      <c r="H28">
        <v>80.099999999999994</v>
      </c>
      <c r="I28">
        <v>2.6</v>
      </c>
      <c r="J28">
        <v>17.3</v>
      </c>
      <c r="K28">
        <v>13807</v>
      </c>
      <c r="L28">
        <v>5569</v>
      </c>
      <c r="M28">
        <v>1627</v>
      </c>
    </row>
    <row r="29" spans="1:13" x14ac:dyDescent="0.25">
      <c r="A29" t="s">
        <v>266</v>
      </c>
      <c r="B29">
        <v>89.4</v>
      </c>
      <c r="C29">
        <v>6.5</v>
      </c>
      <c r="D29">
        <v>4.0999999999999996</v>
      </c>
      <c r="E29">
        <v>82.1</v>
      </c>
      <c r="F29">
        <v>2.6</v>
      </c>
      <c r="G29">
        <v>15.4</v>
      </c>
      <c r="H29">
        <v>79.3</v>
      </c>
      <c r="I29">
        <v>2.4</v>
      </c>
      <c r="J29">
        <v>18.3</v>
      </c>
      <c r="K29">
        <v>251356</v>
      </c>
      <c r="L29">
        <v>125098</v>
      </c>
      <c r="M29">
        <v>45145</v>
      </c>
    </row>
    <row r="30" spans="1:13" x14ac:dyDescent="0.25">
      <c r="A30" t="s">
        <v>459</v>
      </c>
      <c r="B30">
        <v>93.1</v>
      </c>
      <c r="C30">
        <v>4.4000000000000004</v>
      </c>
      <c r="D30">
        <v>2.5</v>
      </c>
      <c r="E30">
        <v>84.6</v>
      </c>
      <c r="F30">
        <v>3.1</v>
      </c>
      <c r="G30">
        <v>12.2</v>
      </c>
      <c r="H30">
        <v>81.900000000000006</v>
      </c>
      <c r="I30">
        <v>2.6</v>
      </c>
      <c r="J30">
        <v>15.5</v>
      </c>
      <c r="K30">
        <v>46424</v>
      </c>
      <c r="L30">
        <v>26818</v>
      </c>
      <c r="M30">
        <v>15913</v>
      </c>
    </row>
    <row r="31" spans="1:13" x14ac:dyDescent="0.25">
      <c r="A31" t="s">
        <v>460</v>
      </c>
      <c r="B31">
        <v>88.6</v>
      </c>
      <c r="C31">
        <v>6.9</v>
      </c>
      <c r="D31">
        <v>4.4000000000000004</v>
      </c>
      <c r="E31">
        <v>81.400000000000006</v>
      </c>
      <c r="F31">
        <v>2.4</v>
      </c>
      <c r="G31">
        <v>16.100000000000001</v>
      </c>
      <c r="H31">
        <v>78.099999999999994</v>
      </c>
      <c r="I31">
        <v>2.2999999999999998</v>
      </c>
      <c r="J31">
        <v>19.7</v>
      </c>
      <c r="K31">
        <v>204932</v>
      </c>
      <c r="L31">
        <v>98280</v>
      </c>
      <c r="M31">
        <v>29232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M31"/>
  <sheetViews>
    <sheetView workbookViewId="0"/>
  </sheetViews>
  <sheetFormatPr defaultRowHeight="15" x14ac:dyDescent="0.25"/>
  <cols>
    <col min="1" max="1" width="25.28515625" customWidth="1"/>
    <col min="2" max="2" width="11.42578125" customWidth="1"/>
    <col min="3" max="3" width="11.85546875" customWidth="1"/>
    <col min="4" max="4" width="11.42578125" customWidth="1"/>
    <col min="5" max="5" width="12" customWidth="1"/>
    <col min="6" max="6" width="11.85546875" customWidth="1"/>
  </cols>
  <sheetData>
    <row r="1" spans="1:13" x14ac:dyDescent="0.25">
      <c r="A1" s="29" t="s">
        <v>627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3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93.5</v>
      </c>
      <c r="C4">
        <v>2.5</v>
      </c>
      <c r="D4">
        <v>4</v>
      </c>
      <c r="E4">
        <v>83</v>
      </c>
      <c r="F4">
        <v>1</v>
      </c>
      <c r="G4">
        <v>16.100000000000001</v>
      </c>
      <c r="H4">
        <v>78.2</v>
      </c>
      <c r="I4">
        <v>1.3</v>
      </c>
      <c r="J4">
        <v>20.6</v>
      </c>
      <c r="K4">
        <v>5870</v>
      </c>
      <c r="L4">
        <v>2770</v>
      </c>
      <c r="M4">
        <v>699</v>
      </c>
    </row>
    <row r="5" spans="1:13" x14ac:dyDescent="0.25">
      <c r="A5" t="s">
        <v>284</v>
      </c>
      <c r="B5">
        <v>90.3</v>
      </c>
      <c r="C5">
        <v>4.8</v>
      </c>
      <c r="D5">
        <v>4.9000000000000004</v>
      </c>
      <c r="E5">
        <v>82.5</v>
      </c>
      <c r="F5">
        <v>1.9</v>
      </c>
      <c r="G5">
        <v>15.6</v>
      </c>
      <c r="H5">
        <v>81</v>
      </c>
      <c r="I5">
        <v>2.2000000000000002</v>
      </c>
      <c r="J5">
        <v>16.8</v>
      </c>
      <c r="K5">
        <v>9559</v>
      </c>
      <c r="L5">
        <v>4385</v>
      </c>
      <c r="M5">
        <v>1401</v>
      </c>
    </row>
    <row r="6" spans="1:13" x14ac:dyDescent="0.25">
      <c r="A6" t="s">
        <v>285</v>
      </c>
      <c r="B6">
        <v>89.4</v>
      </c>
      <c r="C6">
        <v>7</v>
      </c>
      <c r="D6">
        <v>3.5</v>
      </c>
      <c r="E6">
        <v>83.6</v>
      </c>
      <c r="F6">
        <v>2.1</v>
      </c>
      <c r="G6">
        <v>14.4</v>
      </c>
      <c r="H6">
        <v>77.099999999999994</v>
      </c>
      <c r="I6">
        <v>2.1</v>
      </c>
      <c r="J6">
        <v>20.8</v>
      </c>
      <c r="K6">
        <v>8740</v>
      </c>
      <c r="L6">
        <v>4824</v>
      </c>
      <c r="M6">
        <v>1441</v>
      </c>
    </row>
    <row r="7" spans="1:13" x14ac:dyDescent="0.25">
      <c r="A7" t="s">
        <v>286</v>
      </c>
      <c r="B7">
        <v>94.2</v>
      </c>
      <c r="C7">
        <v>4.4000000000000004</v>
      </c>
      <c r="D7">
        <v>1.4</v>
      </c>
      <c r="E7">
        <v>87.2</v>
      </c>
      <c r="F7">
        <v>0.7</v>
      </c>
      <c r="G7">
        <v>12.1</v>
      </c>
      <c r="H7">
        <v>77.3</v>
      </c>
      <c r="I7">
        <v>1.9</v>
      </c>
      <c r="J7">
        <v>20.8</v>
      </c>
      <c r="K7">
        <v>5138</v>
      </c>
      <c r="L7">
        <v>3074</v>
      </c>
      <c r="M7">
        <v>806</v>
      </c>
    </row>
    <row r="8" spans="1:13" x14ac:dyDescent="0.25">
      <c r="A8" t="s">
        <v>287</v>
      </c>
      <c r="B8">
        <v>93.8</v>
      </c>
      <c r="C8">
        <v>3.7</v>
      </c>
      <c r="D8">
        <v>2.4</v>
      </c>
      <c r="E8">
        <v>82.2</v>
      </c>
      <c r="F8">
        <v>0.6</v>
      </c>
      <c r="G8">
        <v>17.2</v>
      </c>
      <c r="H8">
        <v>87.5</v>
      </c>
      <c r="I8">
        <v>0.6</v>
      </c>
      <c r="J8">
        <v>11.8</v>
      </c>
      <c r="K8">
        <v>7835</v>
      </c>
      <c r="L8">
        <v>3531</v>
      </c>
      <c r="M8">
        <v>1327</v>
      </c>
    </row>
    <row r="9" spans="1:13" x14ac:dyDescent="0.25">
      <c r="A9" t="s">
        <v>288</v>
      </c>
      <c r="B9">
        <v>89.9</v>
      </c>
      <c r="C9">
        <v>6.2</v>
      </c>
      <c r="D9">
        <v>4</v>
      </c>
      <c r="E9">
        <v>84</v>
      </c>
      <c r="F9">
        <v>1.6</v>
      </c>
      <c r="G9">
        <v>14.4</v>
      </c>
      <c r="H9">
        <v>84.8</v>
      </c>
      <c r="I9">
        <v>1.4</v>
      </c>
      <c r="J9">
        <v>13.8</v>
      </c>
      <c r="K9">
        <v>6371</v>
      </c>
      <c r="L9">
        <v>3334</v>
      </c>
      <c r="M9">
        <v>1361</v>
      </c>
    </row>
    <row r="10" spans="1:13" x14ac:dyDescent="0.25">
      <c r="A10" t="s">
        <v>289</v>
      </c>
      <c r="B10">
        <v>94.3</v>
      </c>
      <c r="C10">
        <v>2.9</v>
      </c>
      <c r="D10">
        <v>2.7</v>
      </c>
      <c r="E10">
        <v>83.9</v>
      </c>
      <c r="F10">
        <v>1.2</v>
      </c>
      <c r="G10">
        <v>14.9</v>
      </c>
      <c r="H10">
        <v>82.2</v>
      </c>
      <c r="I10">
        <v>1.6</v>
      </c>
      <c r="J10">
        <v>16.2</v>
      </c>
      <c r="K10">
        <v>6013</v>
      </c>
      <c r="L10">
        <v>3341</v>
      </c>
      <c r="M10">
        <v>1332</v>
      </c>
    </row>
    <row r="11" spans="1:13" x14ac:dyDescent="0.25">
      <c r="A11" t="s">
        <v>290</v>
      </c>
      <c r="B11">
        <v>92</v>
      </c>
      <c r="C11">
        <v>6.3</v>
      </c>
      <c r="D11">
        <v>1.7</v>
      </c>
      <c r="E11">
        <v>85.3</v>
      </c>
      <c r="F11">
        <v>2.2000000000000002</v>
      </c>
      <c r="G11">
        <v>12.5</v>
      </c>
      <c r="H11">
        <v>78.099999999999994</v>
      </c>
      <c r="I11">
        <v>2.5</v>
      </c>
      <c r="J11">
        <v>19.3</v>
      </c>
      <c r="K11">
        <v>9535</v>
      </c>
      <c r="L11">
        <v>5757</v>
      </c>
      <c r="M11">
        <v>1989</v>
      </c>
    </row>
    <row r="12" spans="1:13" x14ac:dyDescent="0.25">
      <c r="A12" t="s">
        <v>291</v>
      </c>
      <c r="B12">
        <v>96.2</v>
      </c>
      <c r="C12">
        <v>3</v>
      </c>
      <c r="D12">
        <v>0.8</v>
      </c>
      <c r="E12">
        <v>87.5</v>
      </c>
      <c r="F12">
        <v>2.2000000000000002</v>
      </c>
      <c r="G12">
        <v>10.3</v>
      </c>
      <c r="H12">
        <v>89.7</v>
      </c>
      <c r="I12">
        <v>2</v>
      </c>
      <c r="J12">
        <v>8.3000000000000007</v>
      </c>
      <c r="K12">
        <v>323</v>
      </c>
      <c r="L12">
        <v>233</v>
      </c>
      <c r="M12">
        <v>127</v>
      </c>
    </row>
    <row r="13" spans="1:13" x14ac:dyDescent="0.25">
      <c r="A13" t="s">
        <v>292</v>
      </c>
      <c r="B13">
        <v>90.2</v>
      </c>
      <c r="C13">
        <v>3.5</v>
      </c>
      <c r="D13">
        <v>6.3</v>
      </c>
      <c r="E13">
        <v>85.1</v>
      </c>
      <c r="F13">
        <v>1.4</v>
      </c>
      <c r="G13">
        <v>13.5</v>
      </c>
      <c r="H13">
        <v>75.7</v>
      </c>
      <c r="I13">
        <v>3.3</v>
      </c>
      <c r="J13">
        <v>21</v>
      </c>
      <c r="K13">
        <v>970</v>
      </c>
      <c r="L13">
        <v>521</v>
      </c>
      <c r="M13">
        <v>153</v>
      </c>
    </row>
    <row r="14" spans="1:13" x14ac:dyDescent="0.25">
      <c r="A14" t="s">
        <v>293</v>
      </c>
      <c r="B14">
        <v>86</v>
      </c>
      <c r="C14">
        <v>6.3</v>
      </c>
      <c r="D14">
        <v>7.7</v>
      </c>
      <c r="E14">
        <v>83</v>
      </c>
      <c r="F14">
        <v>1.3</v>
      </c>
      <c r="G14">
        <v>15.7</v>
      </c>
      <c r="H14">
        <v>81.3</v>
      </c>
      <c r="I14">
        <v>2.4</v>
      </c>
      <c r="J14">
        <v>16.3</v>
      </c>
      <c r="K14">
        <v>3090</v>
      </c>
      <c r="L14">
        <v>1382</v>
      </c>
      <c r="M14">
        <v>490</v>
      </c>
    </row>
    <row r="15" spans="1:13" x14ac:dyDescent="0.25">
      <c r="A15" t="s">
        <v>294</v>
      </c>
      <c r="B15">
        <v>89.2</v>
      </c>
      <c r="C15">
        <v>3.5</v>
      </c>
      <c r="D15">
        <v>7.3</v>
      </c>
      <c r="E15">
        <v>87.4</v>
      </c>
      <c r="F15">
        <v>1.9</v>
      </c>
      <c r="G15">
        <v>10.7</v>
      </c>
      <c r="H15">
        <v>90.2</v>
      </c>
      <c r="I15">
        <v>0</v>
      </c>
      <c r="J15">
        <v>9.8000000000000007</v>
      </c>
      <c r="K15">
        <v>720</v>
      </c>
      <c r="L15">
        <v>340</v>
      </c>
      <c r="M15">
        <v>115</v>
      </c>
    </row>
    <row r="16" spans="1:13" x14ac:dyDescent="0.25">
      <c r="A16" t="s">
        <v>295</v>
      </c>
      <c r="B16">
        <v>87.6</v>
      </c>
      <c r="C16">
        <v>5.5</v>
      </c>
      <c r="D16">
        <v>6.9</v>
      </c>
      <c r="E16">
        <v>78.7</v>
      </c>
      <c r="F16">
        <v>2.6</v>
      </c>
      <c r="G16">
        <v>18.7</v>
      </c>
      <c r="H16">
        <v>86.9</v>
      </c>
      <c r="I16">
        <v>0.7</v>
      </c>
      <c r="J16">
        <v>12.4</v>
      </c>
      <c r="K16">
        <v>1928</v>
      </c>
      <c r="L16">
        <v>865</v>
      </c>
      <c r="M16">
        <v>368</v>
      </c>
    </row>
    <row r="17" spans="1:13" x14ac:dyDescent="0.25">
      <c r="A17" t="s">
        <v>296</v>
      </c>
      <c r="B17">
        <v>89.6</v>
      </c>
      <c r="C17">
        <v>4.3</v>
      </c>
      <c r="D17">
        <v>6</v>
      </c>
      <c r="E17">
        <v>82.3</v>
      </c>
      <c r="F17">
        <v>2.2000000000000002</v>
      </c>
      <c r="G17">
        <v>15.5</v>
      </c>
      <c r="H17">
        <v>79.5</v>
      </c>
      <c r="I17">
        <v>2.9</v>
      </c>
      <c r="J17">
        <v>17.600000000000001</v>
      </c>
      <c r="K17">
        <v>640</v>
      </c>
      <c r="L17">
        <v>278</v>
      </c>
      <c r="M17">
        <v>93</v>
      </c>
    </row>
    <row r="18" spans="1:13" x14ac:dyDescent="0.25">
      <c r="A18" t="s">
        <v>297</v>
      </c>
      <c r="B18">
        <v>95.5</v>
      </c>
      <c r="C18">
        <v>2</v>
      </c>
      <c r="D18">
        <v>2.5</v>
      </c>
      <c r="E18">
        <v>87.1</v>
      </c>
      <c r="F18">
        <v>1.8</v>
      </c>
      <c r="G18">
        <v>11.1</v>
      </c>
      <c r="H18">
        <v>80.7</v>
      </c>
      <c r="I18">
        <v>2.7</v>
      </c>
      <c r="J18">
        <v>16.600000000000001</v>
      </c>
      <c r="K18">
        <v>8997</v>
      </c>
      <c r="L18">
        <v>5573</v>
      </c>
      <c r="M18">
        <v>3099</v>
      </c>
    </row>
    <row r="19" spans="1:13" x14ac:dyDescent="0.25">
      <c r="A19" t="s">
        <v>298</v>
      </c>
      <c r="B19">
        <v>95.1</v>
      </c>
      <c r="C19">
        <v>2.4</v>
      </c>
      <c r="D19">
        <v>2.4</v>
      </c>
      <c r="E19">
        <v>82.1</v>
      </c>
      <c r="F19">
        <v>2.1</v>
      </c>
      <c r="G19">
        <v>15.8</v>
      </c>
      <c r="H19">
        <v>83.8</v>
      </c>
      <c r="I19">
        <v>1</v>
      </c>
      <c r="J19">
        <v>15.2</v>
      </c>
      <c r="K19">
        <v>1734</v>
      </c>
      <c r="L19">
        <v>845</v>
      </c>
      <c r="M19">
        <v>380</v>
      </c>
    </row>
    <row r="20" spans="1:13" x14ac:dyDescent="0.25">
      <c r="A20" t="s">
        <v>299</v>
      </c>
      <c r="B20">
        <v>85.9</v>
      </c>
      <c r="C20">
        <v>7.8</v>
      </c>
      <c r="D20">
        <v>6.3</v>
      </c>
      <c r="E20">
        <v>82</v>
      </c>
      <c r="F20">
        <v>0.8</v>
      </c>
      <c r="G20">
        <v>17.2</v>
      </c>
      <c r="H20">
        <v>88.2</v>
      </c>
      <c r="I20">
        <v>0.8</v>
      </c>
      <c r="J20">
        <v>11</v>
      </c>
      <c r="K20">
        <v>2122</v>
      </c>
      <c r="L20">
        <v>966</v>
      </c>
      <c r="M20">
        <v>494</v>
      </c>
    </row>
    <row r="21" spans="1:13" x14ac:dyDescent="0.25">
      <c r="A21" t="s">
        <v>300</v>
      </c>
      <c r="B21">
        <v>92.4</v>
      </c>
      <c r="C21">
        <v>5.4</v>
      </c>
      <c r="D21">
        <v>2.2000000000000002</v>
      </c>
      <c r="E21">
        <v>83.8</v>
      </c>
      <c r="F21">
        <v>0.6</v>
      </c>
      <c r="G21">
        <v>15.7</v>
      </c>
      <c r="H21">
        <v>84.6</v>
      </c>
      <c r="I21">
        <v>1.4</v>
      </c>
      <c r="J21">
        <v>14</v>
      </c>
      <c r="K21">
        <v>9998</v>
      </c>
      <c r="L21">
        <v>4987</v>
      </c>
      <c r="M21">
        <v>1863</v>
      </c>
    </row>
    <row r="22" spans="1:13" x14ac:dyDescent="0.25">
      <c r="A22" t="s">
        <v>301</v>
      </c>
      <c r="B22">
        <v>89.5</v>
      </c>
      <c r="C22">
        <v>6.3</v>
      </c>
      <c r="D22">
        <v>4.0999999999999996</v>
      </c>
      <c r="E22">
        <v>85.5</v>
      </c>
      <c r="F22">
        <v>1.1000000000000001</v>
      </c>
      <c r="G22">
        <v>13.4</v>
      </c>
      <c r="H22">
        <v>76.2</v>
      </c>
      <c r="I22">
        <v>2.2000000000000002</v>
      </c>
      <c r="J22">
        <v>21.6</v>
      </c>
      <c r="K22">
        <v>4010</v>
      </c>
      <c r="L22">
        <v>1966</v>
      </c>
      <c r="M22">
        <v>533</v>
      </c>
    </row>
    <row r="23" spans="1:13" x14ac:dyDescent="0.25">
      <c r="A23" t="s">
        <v>302</v>
      </c>
      <c r="B23">
        <v>89.4</v>
      </c>
      <c r="C23">
        <v>4.2</v>
      </c>
      <c r="D23">
        <v>6.3</v>
      </c>
      <c r="E23">
        <v>87.7</v>
      </c>
      <c r="F23">
        <v>1.3</v>
      </c>
      <c r="G23">
        <v>11</v>
      </c>
      <c r="H23">
        <v>90.3</v>
      </c>
      <c r="I23">
        <v>0.2</v>
      </c>
      <c r="J23">
        <v>9.5</v>
      </c>
      <c r="K23">
        <v>1501</v>
      </c>
      <c r="L23">
        <v>604</v>
      </c>
      <c r="M23">
        <v>213</v>
      </c>
    </row>
    <row r="24" spans="1:13" x14ac:dyDescent="0.25">
      <c r="A24" t="s">
        <v>303</v>
      </c>
      <c r="B24">
        <v>90.4</v>
      </c>
      <c r="C24">
        <v>5.8</v>
      </c>
      <c r="D24">
        <v>3.7</v>
      </c>
      <c r="E24">
        <v>86</v>
      </c>
      <c r="F24">
        <v>2.2000000000000002</v>
      </c>
      <c r="G24">
        <v>11.8</v>
      </c>
      <c r="H24">
        <v>84.9</v>
      </c>
      <c r="I24">
        <v>1.7</v>
      </c>
      <c r="J24">
        <v>13.4</v>
      </c>
      <c r="K24">
        <v>9746</v>
      </c>
      <c r="L24">
        <v>5411</v>
      </c>
      <c r="M24">
        <v>2119</v>
      </c>
    </row>
    <row r="25" spans="1:13" x14ac:dyDescent="0.25">
      <c r="A25" t="s">
        <v>304</v>
      </c>
      <c r="B25">
        <v>83.2</v>
      </c>
      <c r="C25">
        <v>9.9</v>
      </c>
      <c r="D25">
        <v>6.9</v>
      </c>
      <c r="E25">
        <v>88.1</v>
      </c>
      <c r="F25">
        <v>0.2</v>
      </c>
      <c r="G25">
        <v>11.7</v>
      </c>
      <c r="H25">
        <v>92.2</v>
      </c>
      <c r="I25">
        <v>0</v>
      </c>
      <c r="J25">
        <v>7.8</v>
      </c>
      <c r="K25">
        <v>1051</v>
      </c>
      <c r="L25">
        <v>415</v>
      </c>
      <c r="M25">
        <v>229</v>
      </c>
    </row>
    <row r="26" spans="1:13" x14ac:dyDescent="0.25">
      <c r="A26" t="s">
        <v>305</v>
      </c>
      <c r="B26">
        <v>95.4</v>
      </c>
      <c r="C26">
        <v>3.2</v>
      </c>
      <c r="D26">
        <v>1.4</v>
      </c>
      <c r="E26">
        <v>84.5</v>
      </c>
      <c r="F26">
        <v>1</v>
      </c>
      <c r="G26">
        <v>14.6</v>
      </c>
      <c r="H26">
        <v>82.4</v>
      </c>
      <c r="I26">
        <v>0.8</v>
      </c>
      <c r="J26">
        <v>16.8</v>
      </c>
      <c r="K26">
        <v>4920</v>
      </c>
      <c r="L26">
        <v>2791</v>
      </c>
      <c r="M26">
        <v>902</v>
      </c>
    </row>
    <row r="27" spans="1:13" x14ac:dyDescent="0.25">
      <c r="A27" t="s">
        <v>306</v>
      </c>
      <c r="B27">
        <v>94.9</v>
      </c>
      <c r="C27">
        <v>4.4000000000000004</v>
      </c>
      <c r="D27">
        <v>0.6</v>
      </c>
      <c r="E27">
        <v>85.9</v>
      </c>
      <c r="F27">
        <v>1.4</v>
      </c>
      <c r="G27">
        <v>12.7</v>
      </c>
      <c r="H27">
        <v>76.2</v>
      </c>
      <c r="I27">
        <v>2.9</v>
      </c>
      <c r="J27">
        <v>20.9</v>
      </c>
      <c r="K27">
        <v>8882</v>
      </c>
      <c r="L27">
        <v>5521</v>
      </c>
      <c r="M27">
        <v>1671</v>
      </c>
    </row>
    <row r="28" spans="1:13" x14ac:dyDescent="0.25">
      <c r="A28" t="s">
        <v>307</v>
      </c>
      <c r="B28">
        <v>89.7</v>
      </c>
      <c r="C28">
        <v>4.9000000000000004</v>
      </c>
      <c r="D28">
        <v>5.4</v>
      </c>
      <c r="E28">
        <v>80.400000000000006</v>
      </c>
      <c r="F28">
        <v>2.2000000000000002</v>
      </c>
      <c r="G28">
        <v>17.399999999999999</v>
      </c>
      <c r="H28">
        <v>81</v>
      </c>
      <c r="I28">
        <v>1.8</v>
      </c>
      <c r="J28">
        <v>17.2</v>
      </c>
      <c r="K28">
        <v>7253</v>
      </c>
      <c r="L28">
        <v>3167</v>
      </c>
      <c r="M28">
        <v>888</v>
      </c>
    </row>
    <row r="29" spans="1:13" x14ac:dyDescent="0.25">
      <c r="A29" t="s">
        <v>266</v>
      </c>
      <c r="B29">
        <v>91.6</v>
      </c>
      <c r="C29">
        <v>4.9000000000000004</v>
      </c>
      <c r="D29">
        <v>3.5</v>
      </c>
      <c r="E29">
        <v>84.3</v>
      </c>
      <c r="F29">
        <v>1.5</v>
      </c>
      <c r="G29">
        <v>14.2</v>
      </c>
      <c r="H29">
        <v>81.099999999999994</v>
      </c>
      <c r="I29">
        <v>1.9</v>
      </c>
      <c r="J29">
        <v>17</v>
      </c>
      <c r="K29">
        <v>126946</v>
      </c>
      <c r="L29">
        <v>66881</v>
      </c>
      <c r="M29">
        <v>24093</v>
      </c>
    </row>
    <row r="30" spans="1:13" x14ac:dyDescent="0.25">
      <c r="A30" t="s">
        <v>459</v>
      </c>
      <c r="B30">
        <v>93.8</v>
      </c>
      <c r="C30">
        <v>3.2</v>
      </c>
      <c r="D30">
        <v>3</v>
      </c>
      <c r="E30">
        <v>87.1</v>
      </c>
      <c r="F30">
        <v>2</v>
      </c>
      <c r="G30">
        <v>10.9</v>
      </c>
      <c r="H30">
        <v>82.7</v>
      </c>
      <c r="I30">
        <v>2.2000000000000002</v>
      </c>
      <c r="J30">
        <v>15</v>
      </c>
      <c r="K30">
        <v>21631</v>
      </c>
      <c r="L30">
        <v>13872</v>
      </c>
      <c r="M30">
        <v>8544</v>
      </c>
    </row>
    <row r="31" spans="1:13" x14ac:dyDescent="0.25">
      <c r="A31" t="s">
        <v>460</v>
      </c>
      <c r="B31">
        <v>91.2</v>
      </c>
      <c r="C31">
        <v>5.3</v>
      </c>
      <c r="D31">
        <v>3.6</v>
      </c>
      <c r="E31">
        <v>83.6</v>
      </c>
      <c r="F31">
        <v>1.4</v>
      </c>
      <c r="G31">
        <v>15</v>
      </c>
      <c r="H31">
        <v>80.3</v>
      </c>
      <c r="I31">
        <v>1.8</v>
      </c>
      <c r="J31">
        <v>18</v>
      </c>
      <c r="K31">
        <v>105315</v>
      </c>
      <c r="L31">
        <v>53009</v>
      </c>
      <c r="M31">
        <v>15549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M31"/>
  <sheetViews>
    <sheetView workbookViewId="0"/>
  </sheetViews>
  <sheetFormatPr defaultRowHeight="15" x14ac:dyDescent="0.25"/>
  <cols>
    <col min="1" max="1" width="24.140625" customWidth="1"/>
    <col min="2" max="2" width="12" customWidth="1"/>
    <col min="9" max="9" width="11.85546875" customWidth="1"/>
    <col min="10" max="10" width="12" customWidth="1"/>
    <col min="11" max="11" width="11.42578125" customWidth="1"/>
  </cols>
  <sheetData>
    <row r="1" spans="1:13" x14ac:dyDescent="0.25">
      <c r="A1" s="29" t="s">
        <v>628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252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3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3" x14ac:dyDescent="0.25">
      <c r="A4" t="s">
        <v>283</v>
      </c>
      <c r="B4">
        <v>89.6</v>
      </c>
      <c r="C4">
        <v>4.8</v>
      </c>
      <c r="D4">
        <v>5.5</v>
      </c>
      <c r="E4">
        <v>77.7</v>
      </c>
      <c r="F4">
        <v>2.7</v>
      </c>
      <c r="G4">
        <v>19.600000000000001</v>
      </c>
      <c r="H4">
        <v>73.5</v>
      </c>
      <c r="I4">
        <v>2</v>
      </c>
      <c r="J4">
        <v>24.5</v>
      </c>
      <c r="K4">
        <v>5557</v>
      </c>
      <c r="L4">
        <v>2335</v>
      </c>
      <c r="M4">
        <v>561</v>
      </c>
    </row>
    <row r="5" spans="1:13" x14ac:dyDescent="0.25">
      <c r="A5" t="s">
        <v>284</v>
      </c>
      <c r="B5">
        <v>85.9</v>
      </c>
      <c r="C5">
        <v>7.6</v>
      </c>
      <c r="D5">
        <v>6.5</v>
      </c>
      <c r="E5">
        <v>77.599999999999994</v>
      </c>
      <c r="F5">
        <v>4.5</v>
      </c>
      <c r="G5">
        <v>17.899999999999999</v>
      </c>
      <c r="H5">
        <v>77.099999999999994</v>
      </c>
      <c r="I5">
        <v>2.9</v>
      </c>
      <c r="J5">
        <v>20</v>
      </c>
      <c r="K5">
        <v>8647</v>
      </c>
      <c r="L5">
        <v>3576</v>
      </c>
      <c r="M5">
        <v>1062</v>
      </c>
    </row>
    <row r="6" spans="1:13" x14ac:dyDescent="0.25">
      <c r="A6" t="s">
        <v>285</v>
      </c>
      <c r="B6">
        <v>82.7</v>
      </c>
      <c r="C6">
        <v>11.3</v>
      </c>
      <c r="D6">
        <v>5.9</v>
      </c>
      <c r="E6">
        <v>77.900000000000006</v>
      </c>
      <c r="F6">
        <v>5</v>
      </c>
      <c r="G6">
        <v>17.100000000000001</v>
      </c>
      <c r="H6">
        <v>70.2</v>
      </c>
      <c r="I6">
        <v>3.5</v>
      </c>
      <c r="J6">
        <v>26.2</v>
      </c>
      <c r="K6">
        <v>7941</v>
      </c>
      <c r="L6">
        <v>3868</v>
      </c>
      <c r="M6">
        <v>1077</v>
      </c>
    </row>
    <row r="7" spans="1:13" x14ac:dyDescent="0.25">
      <c r="A7" t="s">
        <v>286</v>
      </c>
      <c r="B7">
        <v>89.5</v>
      </c>
      <c r="C7">
        <v>7.7</v>
      </c>
      <c r="D7">
        <v>2.8</v>
      </c>
      <c r="E7">
        <v>82.1</v>
      </c>
      <c r="F7">
        <v>2.9</v>
      </c>
      <c r="G7">
        <v>14.9</v>
      </c>
      <c r="H7">
        <v>72.599999999999994</v>
      </c>
      <c r="I7">
        <v>4.3</v>
      </c>
      <c r="J7">
        <v>23.1</v>
      </c>
      <c r="K7">
        <v>4846</v>
      </c>
      <c r="L7">
        <v>2424</v>
      </c>
      <c r="M7">
        <v>596</v>
      </c>
    </row>
    <row r="8" spans="1:13" x14ac:dyDescent="0.25">
      <c r="A8" t="s">
        <v>287</v>
      </c>
      <c r="B8">
        <v>91.1</v>
      </c>
      <c r="C8">
        <v>5.8</v>
      </c>
      <c r="D8">
        <v>3.2</v>
      </c>
      <c r="E8">
        <v>81.599999999999994</v>
      </c>
      <c r="F8">
        <v>1.9</v>
      </c>
      <c r="G8">
        <v>16.5</v>
      </c>
      <c r="H8">
        <v>83.3</v>
      </c>
      <c r="I8">
        <v>0.7</v>
      </c>
      <c r="J8">
        <v>16.100000000000001</v>
      </c>
      <c r="K8">
        <v>7453</v>
      </c>
      <c r="L8">
        <v>3444</v>
      </c>
      <c r="M8">
        <v>1387</v>
      </c>
    </row>
    <row r="9" spans="1:13" x14ac:dyDescent="0.25">
      <c r="A9" t="s">
        <v>288</v>
      </c>
      <c r="B9">
        <v>84.7</v>
      </c>
      <c r="C9">
        <v>10.199999999999999</v>
      </c>
      <c r="D9">
        <v>5.2</v>
      </c>
      <c r="E9">
        <v>78.5</v>
      </c>
      <c r="F9">
        <v>4.2</v>
      </c>
      <c r="G9">
        <v>17.3</v>
      </c>
      <c r="H9">
        <v>81.2</v>
      </c>
      <c r="I9">
        <v>2.4</v>
      </c>
      <c r="J9">
        <v>16.399999999999999</v>
      </c>
      <c r="K9">
        <v>5667</v>
      </c>
      <c r="L9">
        <v>2529</v>
      </c>
      <c r="M9">
        <v>1126</v>
      </c>
    </row>
    <row r="10" spans="1:13" x14ac:dyDescent="0.25">
      <c r="A10" t="s">
        <v>289</v>
      </c>
      <c r="B10">
        <v>89.3</v>
      </c>
      <c r="C10">
        <v>5.2</v>
      </c>
      <c r="D10">
        <v>5.5</v>
      </c>
      <c r="E10">
        <v>77.7</v>
      </c>
      <c r="F10">
        <v>4.0999999999999996</v>
      </c>
      <c r="G10">
        <v>18.100000000000001</v>
      </c>
      <c r="H10">
        <v>80.2</v>
      </c>
      <c r="I10">
        <v>2.4</v>
      </c>
      <c r="J10">
        <v>17.399999999999999</v>
      </c>
      <c r="K10">
        <v>6040</v>
      </c>
      <c r="L10">
        <v>3153</v>
      </c>
      <c r="M10">
        <v>1320</v>
      </c>
    </row>
    <row r="11" spans="1:13" x14ac:dyDescent="0.25">
      <c r="A11" t="s">
        <v>290</v>
      </c>
      <c r="B11">
        <v>86.8</v>
      </c>
      <c r="C11">
        <v>10.8</v>
      </c>
      <c r="D11">
        <v>2.2999999999999998</v>
      </c>
      <c r="E11">
        <v>78.7</v>
      </c>
      <c r="F11">
        <v>4.9000000000000004</v>
      </c>
      <c r="G11">
        <v>16.399999999999999</v>
      </c>
      <c r="H11">
        <v>71</v>
      </c>
      <c r="I11">
        <v>4.0999999999999996</v>
      </c>
      <c r="J11">
        <v>25</v>
      </c>
      <c r="K11">
        <v>9510</v>
      </c>
      <c r="L11">
        <v>4949</v>
      </c>
      <c r="M11">
        <v>1591</v>
      </c>
    </row>
    <row r="12" spans="1:13" x14ac:dyDescent="0.25">
      <c r="A12" t="s">
        <v>291</v>
      </c>
      <c r="B12">
        <v>90.9</v>
      </c>
      <c r="C12">
        <v>4.7</v>
      </c>
      <c r="D12">
        <v>4.3</v>
      </c>
      <c r="E12">
        <v>81.3</v>
      </c>
      <c r="F12">
        <v>6</v>
      </c>
      <c r="G12">
        <v>12.6</v>
      </c>
      <c r="H12">
        <v>89.7</v>
      </c>
      <c r="I12">
        <v>2.2999999999999998</v>
      </c>
      <c r="J12">
        <v>8</v>
      </c>
      <c r="K12">
        <v>338</v>
      </c>
      <c r="L12">
        <v>210</v>
      </c>
      <c r="M12">
        <v>113</v>
      </c>
    </row>
    <row r="13" spans="1:13" x14ac:dyDescent="0.25">
      <c r="A13" t="s">
        <v>292</v>
      </c>
      <c r="B13">
        <v>85.8</v>
      </c>
      <c r="C13">
        <v>5.2</v>
      </c>
      <c r="D13">
        <v>9</v>
      </c>
      <c r="E13">
        <v>83.6</v>
      </c>
      <c r="F13">
        <v>2.9</v>
      </c>
      <c r="G13">
        <v>13.5</v>
      </c>
      <c r="H13">
        <v>73.900000000000006</v>
      </c>
      <c r="I13">
        <v>2.2999999999999998</v>
      </c>
      <c r="J13">
        <v>23.8</v>
      </c>
      <c r="K13">
        <v>939</v>
      </c>
      <c r="L13">
        <v>593</v>
      </c>
      <c r="M13">
        <v>171</v>
      </c>
    </row>
    <row r="14" spans="1:13" x14ac:dyDescent="0.25">
      <c r="A14" t="s">
        <v>293</v>
      </c>
      <c r="B14">
        <v>80.900000000000006</v>
      </c>
      <c r="C14">
        <v>9.8000000000000007</v>
      </c>
      <c r="D14">
        <v>9.4</v>
      </c>
      <c r="E14">
        <v>78.5</v>
      </c>
      <c r="F14">
        <v>2.9</v>
      </c>
      <c r="G14">
        <v>18.600000000000001</v>
      </c>
      <c r="H14">
        <v>76.400000000000006</v>
      </c>
      <c r="I14">
        <v>3.7</v>
      </c>
      <c r="J14">
        <v>19.899999999999999</v>
      </c>
      <c r="K14">
        <v>2667</v>
      </c>
      <c r="L14">
        <v>1125</v>
      </c>
      <c r="M14">
        <v>354</v>
      </c>
    </row>
    <row r="15" spans="1:13" x14ac:dyDescent="0.25">
      <c r="A15" t="s">
        <v>294</v>
      </c>
      <c r="B15">
        <v>84.7</v>
      </c>
      <c r="C15">
        <v>5.6</v>
      </c>
      <c r="D15">
        <v>9.8000000000000007</v>
      </c>
      <c r="E15">
        <v>75.900000000000006</v>
      </c>
      <c r="F15">
        <v>5.4</v>
      </c>
      <c r="G15">
        <v>18.7</v>
      </c>
      <c r="H15">
        <v>89.3</v>
      </c>
      <c r="I15">
        <v>0.6</v>
      </c>
      <c r="J15">
        <v>10.1</v>
      </c>
      <c r="K15">
        <v>624</v>
      </c>
      <c r="L15">
        <v>250</v>
      </c>
      <c r="M15">
        <v>113</v>
      </c>
    </row>
    <row r="16" spans="1:13" x14ac:dyDescent="0.25">
      <c r="A16" t="s">
        <v>295</v>
      </c>
      <c r="B16">
        <v>82.7</v>
      </c>
      <c r="C16">
        <v>9.1999999999999993</v>
      </c>
      <c r="D16">
        <v>8.1</v>
      </c>
      <c r="E16">
        <v>77.3</v>
      </c>
      <c r="F16">
        <v>4.9000000000000004</v>
      </c>
      <c r="G16">
        <v>17.8</v>
      </c>
      <c r="H16">
        <v>85.1</v>
      </c>
      <c r="I16">
        <v>1.9</v>
      </c>
      <c r="J16">
        <v>13.1</v>
      </c>
      <c r="K16">
        <v>1876</v>
      </c>
      <c r="L16">
        <v>760</v>
      </c>
      <c r="M16">
        <v>337</v>
      </c>
    </row>
    <row r="17" spans="1:13" x14ac:dyDescent="0.25">
      <c r="A17" t="s">
        <v>296</v>
      </c>
      <c r="B17">
        <v>84.9</v>
      </c>
      <c r="C17">
        <v>8.1</v>
      </c>
      <c r="D17">
        <v>7</v>
      </c>
      <c r="E17">
        <v>73.3</v>
      </c>
      <c r="F17">
        <v>6.8</v>
      </c>
      <c r="G17">
        <v>20</v>
      </c>
      <c r="H17">
        <v>76.400000000000006</v>
      </c>
      <c r="I17">
        <v>2.7</v>
      </c>
      <c r="J17">
        <v>20.9</v>
      </c>
      <c r="K17">
        <v>569</v>
      </c>
      <c r="L17">
        <v>240</v>
      </c>
      <c r="M17">
        <v>85</v>
      </c>
    </row>
    <row r="18" spans="1:13" x14ac:dyDescent="0.25">
      <c r="A18" t="s">
        <v>297</v>
      </c>
      <c r="B18">
        <v>98</v>
      </c>
      <c r="C18">
        <v>3.7</v>
      </c>
      <c r="D18" t="s">
        <v>629</v>
      </c>
      <c r="E18">
        <v>83.8</v>
      </c>
      <c r="F18">
        <v>3.5</v>
      </c>
      <c r="G18">
        <v>12.7</v>
      </c>
      <c r="H18">
        <v>80.5</v>
      </c>
      <c r="I18">
        <v>3.4</v>
      </c>
      <c r="J18">
        <v>16.100000000000001</v>
      </c>
      <c r="K18">
        <v>12516</v>
      </c>
      <c r="L18">
        <v>5427</v>
      </c>
      <c r="M18">
        <v>2699</v>
      </c>
    </row>
    <row r="19" spans="1:13" x14ac:dyDescent="0.25">
      <c r="A19" t="s">
        <v>298</v>
      </c>
      <c r="B19">
        <v>92.8</v>
      </c>
      <c r="C19">
        <v>3.8</v>
      </c>
      <c r="D19">
        <v>3.3</v>
      </c>
      <c r="E19">
        <v>77</v>
      </c>
      <c r="F19">
        <v>3.8</v>
      </c>
      <c r="G19">
        <v>19.100000000000001</v>
      </c>
      <c r="H19">
        <v>78.400000000000006</v>
      </c>
      <c r="I19">
        <v>1.1000000000000001</v>
      </c>
      <c r="J19">
        <v>20.5</v>
      </c>
      <c r="K19">
        <v>1764</v>
      </c>
      <c r="L19">
        <v>849</v>
      </c>
      <c r="M19">
        <v>358</v>
      </c>
    </row>
    <row r="20" spans="1:13" x14ac:dyDescent="0.25">
      <c r="A20" t="s">
        <v>299</v>
      </c>
      <c r="B20">
        <v>80.5</v>
      </c>
      <c r="C20">
        <v>10.8</v>
      </c>
      <c r="D20">
        <v>8.6999999999999993</v>
      </c>
      <c r="E20">
        <v>83.9</v>
      </c>
      <c r="F20">
        <v>1.6</v>
      </c>
      <c r="G20">
        <v>14.5</v>
      </c>
      <c r="H20">
        <v>87.9</v>
      </c>
      <c r="I20">
        <v>0.8</v>
      </c>
      <c r="J20">
        <v>11.3</v>
      </c>
      <c r="K20">
        <v>1879</v>
      </c>
      <c r="L20">
        <v>825</v>
      </c>
      <c r="M20">
        <v>476</v>
      </c>
    </row>
    <row r="21" spans="1:13" x14ac:dyDescent="0.25">
      <c r="A21" t="s">
        <v>300</v>
      </c>
      <c r="B21">
        <v>88.7</v>
      </c>
      <c r="C21">
        <v>8.6999999999999993</v>
      </c>
      <c r="D21">
        <v>2.5</v>
      </c>
      <c r="E21">
        <v>80.400000000000006</v>
      </c>
      <c r="F21">
        <v>1.4</v>
      </c>
      <c r="G21">
        <v>18.100000000000001</v>
      </c>
      <c r="H21">
        <v>79.400000000000006</v>
      </c>
      <c r="I21">
        <v>2.1</v>
      </c>
      <c r="J21">
        <v>18.5</v>
      </c>
      <c r="K21">
        <v>10277</v>
      </c>
      <c r="L21">
        <v>4606</v>
      </c>
      <c r="M21">
        <v>1876</v>
      </c>
    </row>
    <row r="22" spans="1:13" x14ac:dyDescent="0.25">
      <c r="A22" t="s">
        <v>301</v>
      </c>
      <c r="B22">
        <v>84.5</v>
      </c>
      <c r="C22">
        <v>9.6999999999999993</v>
      </c>
      <c r="D22">
        <v>5.8</v>
      </c>
      <c r="E22">
        <v>81</v>
      </c>
      <c r="F22">
        <v>2.5</v>
      </c>
      <c r="G22">
        <v>16.5</v>
      </c>
      <c r="H22">
        <v>73.7</v>
      </c>
      <c r="I22">
        <v>4.0999999999999996</v>
      </c>
      <c r="J22">
        <v>22.2</v>
      </c>
      <c r="K22">
        <v>3726</v>
      </c>
      <c r="L22">
        <v>1772</v>
      </c>
      <c r="M22">
        <v>421</v>
      </c>
    </row>
    <row r="23" spans="1:13" x14ac:dyDescent="0.25">
      <c r="A23" t="s">
        <v>302</v>
      </c>
      <c r="B23">
        <v>84.1</v>
      </c>
      <c r="C23">
        <v>4.8</v>
      </c>
      <c r="D23">
        <v>11.1</v>
      </c>
      <c r="E23">
        <v>80.5</v>
      </c>
      <c r="F23">
        <v>1.9</v>
      </c>
      <c r="G23">
        <v>17.600000000000001</v>
      </c>
      <c r="H23">
        <v>87.6</v>
      </c>
      <c r="I23">
        <v>0.5</v>
      </c>
      <c r="J23">
        <v>11.9</v>
      </c>
      <c r="K23">
        <v>1478</v>
      </c>
      <c r="L23">
        <v>581</v>
      </c>
      <c r="M23">
        <v>224</v>
      </c>
    </row>
    <row r="24" spans="1:13" x14ac:dyDescent="0.25">
      <c r="A24" t="s">
        <v>303</v>
      </c>
      <c r="B24">
        <v>85</v>
      </c>
      <c r="C24">
        <v>9.8000000000000007</v>
      </c>
      <c r="D24">
        <v>5.2</v>
      </c>
      <c r="E24">
        <v>78</v>
      </c>
      <c r="F24">
        <v>5.8</v>
      </c>
      <c r="G24">
        <v>16.2</v>
      </c>
      <c r="H24">
        <v>80.599999999999994</v>
      </c>
      <c r="I24">
        <v>2.7</v>
      </c>
      <c r="J24">
        <v>16.8</v>
      </c>
      <c r="K24">
        <v>8455</v>
      </c>
      <c r="L24">
        <v>4097</v>
      </c>
      <c r="M24">
        <v>1555</v>
      </c>
    </row>
    <row r="25" spans="1:13" x14ac:dyDescent="0.25">
      <c r="A25" t="s">
        <v>304</v>
      </c>
      <c r="B25">
        <v>78.5</v>
      </c>
      <c r="C25">
        <v>13</v>
      </c>
      <c r="D25">
        <v>8.5</v>
      </c>
      <c r="E25">
        <v>87.6</v>
      </c>
      <c r="F25">
        <v>1.5</v>
      </c>
      <c r="G25">
        <v>10.9</v>
      </c>
      <c r="H25">
        <v>85.9</v>
      </c>
      <c r="I25">
        <v>0.2</v>
      </c>
      <c r="J25">
        <v>13.9</v>
      </c>
      <c r="K25">
        <v>895</v>
      </c>
      <c r="L25">
        <v>374</v>
      </c>
      <c r="M25">
        <v>183</v>
      </c>
    </row>
    <row r="26" spans="1:13" x14ac:dyDescent="0.25">
      <c r="A26" t="s">
        <v>305</v>
      </c>
      <c r="B26">
        <v>91.3</v>
      </c>
      <c r="C26">
        <v>5.9</v>
      </c>
      <c r="D26">
        <v>2.8</v>
      </c>
      <c r="E26">
        <v>81.099999999999994</v>
      </c>
      <c r="F26">
        <v>3.5</v>
      </c>
      <c r="G26">
        <v>15.4</v>
      </c>
      <c r="H26">
        <v>81.7</v>
      </c>
      <c r="I26">
        <v>1.5</v>
      </c>
      <c r="J26">
        <v>16.8</v>
      </c>
      <c r="K26">
        <v>4919</v>
      </c>
      <c r="L26">
        <v>2663</v>
      </c>
      <c r="M26">
        <v>1086</v>
      </c>
    </row>
    <row r="27" spans="1:13" x14ac:dyDescent="0.25">
      <c r="A27" t="s">
        <v>306</v>
      </c>
      <c r="B27">
        <v>88.5</v>
      </c>
      <c r="C27">
        <v>7.9</v>
      </c>
      <c r="D27">
        <v>3.6</v>
      </c>
      <c r="E27">
        <v>82.9</v>
      </c>
      <c r="F27">
        <v>3.2</v>
      </c>
      <c r="G27">
        <v>13.9</v>
      </c>
      <c r="H27">
        <v>72.5</v>
      </c>
      <c r="I27">
        <v>3.8</v>
      </c>
      <c r="J27">
        <v>23.7</v>
      </c>
      <c r="K27">
        <v>9273</v>
      </c>
      <c r="L27">
        <v>5165</v>
      </c>
      <c r="M27">
        <v>1542</v>
      </c>
    </row>
    <row r="28" spans="1:13" x14ac:dyDescent="0.25">
      <c r="A28" t="s">
        <v>307</v>
      </c>
      <c r="B28">
        <v>84.8</v>
      </c>
      <c r="C28">
        <v>7.3</v>
      </c>
      <c r="D28">
        <v>7.9</v>
      </c>
      <c r="E28">
        <v>73.599999999999994</v>
      </c>
      <c r="F28">
        <v>4.5999999999999996</v>
      </c>
      <c r="G28">
        <v>21.8</v>
      </c>
      <c r="H28">
        <v>79</v>
      </c>
      <c r="I28">
        <v>3.6</v>
      </c>
      <c r="J28">
        <v>17.399999999999999</v>
      </c>
      <c r="K28">
        <v>6554</v>
      </c>
      <c r="L28">
        <v>2402</v>
      </c>
      <c r="M28">
        <v>739</v>
      </c>
    </row>
    <row r="29" spans="1:13" x14ac:dyDescent="0.25">
      <c r="A29" t="s">
        <v>266</v>
      </c>
      <c r="B29">
        <v>87.3</v>
      </c>
      <c r="C29">
        <v>8</v>
      </c>
      <c r="D29">
        <v>4.7</v>
      </c>
      <c r="E29">
        <v>79.7</v>
      </c>
      <c r="F29">
        <v>3.7</v>
      </c>
      <c r="G29">
        <v>16.600000000000001</v>
      </c>
      <c r="H29">
        <v>77.5</v>
      </c>
      <c r="I29">
        <v>2.9</v>
      </c>
      <c r="J29">
        <v>19.7</v>
      </c>
      <c r="K29">
        <v>124410</v>
      </c>
      <c r="L29">
        <v>58217</v>
      </c>
      <c r="M29">
        <v>21052</v>
      </c>
    </row>
    <row r="30" spans="1:13" x14ac:dyDescent="0.25">
      <c r="A30" t="s">
        <v>459</v>
      </c>
      <c r="B30">
        <v>92.4</v>
      </c>
      <c r="C30">
        <v>5.6</v>
      </c>
      <c r="D30">
        <v>2</v>
      </c>
      <c r="E30">
        <v>82.1</v>
      </c>
      <c r="F30">
        <v>4.2</v>
      </c>
      <c r="G30">
        <v>13.6</v>
      </c>
      <c r="H30">
        <v>81</v>
      </c>
      <c r="I30">
        <v>3</v>
      </c>
      <c r="J30">
        <v>16</v>
      </c>
      <c r="K30">
        <v>24793</v>
      </c>
      <c r="L30">
        <v>12946</v>
      </c>
      <c r="M30">
        <v>7369</v>
      </c>
    </row>
    <row r="31" spans="1:13" x14ac:dyDescent="0.25">
      <c r="A31" t="s">
        <v>460</v>
      </c>
      <c r="B31">
        <v>86.3</v>
      </c>
      <c r="C31">
        <v>8.5</v>
      </c>
      <c r="D31">
        <v>5.3</v>
      </c>
      <c r="E31">
        <v>79.099999999999994</v>
      </c>
      <c r="F31">
        <v>3.5</v>
      </c>
      <c r="G31">
        <v>17.399999999999999</v>
      </c>
      <c r="H31">
        <v>75.7</v>
      </c>
      <c r="I31">
        <v>2.8</v>
      </c>
      <c r="J31">
        <v>21.5</v>
      </c>
      <c r="K31">
        <v>99617</v>
      </c>
      <c r="L31">
        <v>45271</v>
      </c>
      <c r="M31">
        <v>13683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AK31"/>
  <sheetViews>
    <sheetView workbookViewId="0"/>
  </sheetViews>
  <sheetFormatPr defaultRowHeight="15" x14ac:dyDescent="0.25"/>
  <cols>
    <col min="1" max="1" width="26.85546875" customWidth="1"/>
    <col min="2" max="2" width="12" customWidth="1"/>
    <col min="5" max="5" width="11.42578125" customWidth="1"/>
  </cols>
  <sheetData>
    <row r="1" spans="1:37" x14ac:dyDescent="0.25">
      <c r="A1" s="29" t="s">
        <v>630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37" x14ac:dyDescent="0.25">
      <c r="A2" s="29" t="s">
        <v>252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89.5</v>
      </c>
      <c r="C4">
        <v>6.4</v>
      </c>
      <c r="D4">
        <v>4</v>
      </c>
      <c r="E4">
        <v>92</v>
      </c>
      <c r="F4">
        <v>4.5999999999999996</v>
      </c>
      <c r="G4">
        <v>3.4</v>
      </c>
      <c r="H4">
        <v>91</v>
      </c>
      <c r="I4">
        <v>3.5</v>
      </c>
      <c r="J4">
        <v>5.5</v>
      </c>
      <c r="K4">
        <v>91.8</v>
      </c>
      <c r="L4">
        <v>2.9</v>
      </c>
      <c r="M4">
        <v>5.2</v>
      </c>
      <c r="N4">
        <v>93.3</v>
      </c>
      <c r="O4">
        <v>1.9</v>
      </c>
      <c r="P4">
        <v>4.8</v>
      </c>
      <c r="Q4">
        <v>92.4</v>
      </c>
      <c r="R4">
        <v>1.1000000000000001</v>
      </c>
      <c r="S4">
        <v>6.5</v>
      </c>
      <c r="T4">
        <v>80.400000000000006</v>
      </c>
      <c r="U4">
        <v>1.9</v>
      </c>
      <c r="V4">
        <v>17.7</v>
      </c>
      <c r="W4">
        <v>83</v>
      </c>
      <c r="X4">
        <v>0.7</v>
      </c>
      <c r="Y4">
        <v>16.3</v>
      </c>
      <c r="Z4">
        <v>77.3</v>
      </c>
      <c r="AA4">
        <v>3</v>
      </c>
      <c r="AB4">
        <v>19.7</v>
      </c>
      <c r="AC4">
        <v>85.1</v>
      </c>
      <c r="AD4">
        <v>0.3</v>
      </c>
      <c r="AE4">
        <v>14.6</v>
      </c>
      <c r="AF4">
        <v>90.9</v>
      </c>
      <c r="AG4">
        <v>0.3</v>
      </c>
      <c r="AH4">
        <v>8.9</v>
      </c>
      <c r="AI4">
        <v>45.1</v>
      </c>
      <c r="AJ4">
        <v>5.0999999999999996</v>
      </c>
      <c r="AK4">
        <v>49.8</v>
      </c>
    </row>
    <row r="5" spans="1:37" x14ac:dyDescent="0.25">
      <c r="A5" t="s">
        <v>284</v>
      </c>
      <c r="B5">
        <v>83</v>
      </c>
      <c r="C5">
        <v>12.2</v>
      </c>
      <c r="D5">
        <v>4.8</v>
      </c>
      <c r="E5">
        <v>87.7</v>
      </c>
      <c r="F5">
        <v>7.6</v>
      </c>
      <c r="G5">
        <v>4.8</v>
      </c>
      <c r="H5">
        <v>89.7</v>
      </c>
      <c r="I5">
        <v>5.8</v>
      </c>
      <c r="J5">
        <v>4.5</v>
      </c>
      <c r="K5">
        <v>90.8</v>
      </c>
      <c r="L5">
        <v>4</v>
      </c>
      <c r="M5">
        <v>5.2</v>
      </c>
      <c r="N5">
        <v>90.7</v>
      </c>
      <c r="O5">
        <v>2.5</v>
      </c>
      <c r="P5">
        <v>6.8</v>
      </c>
      <c r="Q5">
        <v>87.9</v>
      </c>
      <c r="R5">
        <v>2.4</v>
      </c>
      <c r="S5">
        <v>9.6999999999999993</v>
      </c>
      <c r="T5">
        <v>79.5</v>
      </c>
      <c r="U5">
        <v>3.3</v>
      </c>
      <c r="V5">
        <v>17.2</v>
      </c>
      <c r="W5">
        <v>81.3</v>
      </c>
      <c r="X5">
        <v>2.6</v>
      </c>
      <c r="Y5">
        <v>16.100000000000001</v>
      </c>
      <c r="Z5">
        <v>79.8</v>
      </c>
      <c r="AA5">
        <v>3.5</v>
      </c>
      <c r="AB5">
        <v>16.7</v>
      </c>
      <c r="AC5">
        <v>86.6</v>
      </c>
      <c r="AD5">
        <v>1.2</v>
      </c>
      <c r="AE5">
        <v>12.2</v>
      </c>
      <c r="AF5">
        <v>92.9</v>
      </c>
      <c r="AG5">
        <v>0.8</v>
      </c>
      <c r="AH5">
        <v>6.3</v>
      </c>
      <c r="AI5">
        <v>52.6</v>
      </c>
      <c r="AJ5">
        <v>6.6</v>
      </c>
      <c r="AK5">
        <v>40.799999999999997</v>
      </c>
    </row>
    <row r="6" spans="1:37" x14ac:dyDescent="0.25">
      <c r="A6" t="s">
        <v>285</v>
      </c>
      <c r="B6">
        <v>82.3</v>
      </c>
      <c r="C6">
        <v>14.6</v>
      </c>
      <c r="D6">
        <v>3.1</v>
      </c>
      <c r="E6">
        <v>84.6</v>
      </c>
      <c r="F6">
        <v>11.3</v>
      </c>
      <c r="G6">
        <v>4.0999999999999996</v>
      </c>
      <c r="H6">
        <v>86.5</v>
      </c>
      <c r="I6">
        <v>9.3000000000000007</v>
      </c>
      <c r="J6">
        <v>4.2</v>
      </c>
      <c r="K6">
        <v>87.4</v>
      </c>
      <c r="L6">
        <v>7.7</v>
      </c>
      <c r="M6">
        <v>5</v>
      </c>
      <c r="N6">
        <v>88.8</v>
      </c>
      <c r="O6">
        <v>6.1</v>
      </c>
      <c r="P6">
        <v>5.0999999999999996</v>
      </c>
      <c r="Q6">
        <v>87.6</v>
      </c>
      <c r="R6">
        <v>3.9</v>
      </c>
      <c r="S6">
        <v>8.6</v>
      </c>
      <c r="T6">
        <v>80.7</v>
      </c>
      <c r="U6">
        <v>3.9</v>
      </c>
      <c r="V6">
        <v>15.4</v>
      </c>
      <c r="W6">
        <v>83.2</v>
      </c>
      <c r="X6">
        <v>2.6</v>
      </c>
      <c r="Y6">
        <v>14.2</v>
      </c>
      <c r="Z6">
        <v>78.599999999999994</v>
      </c>
      <c r="AA6">
        <v>3.8</v>
      </c>
      <c r="AB6">
        <v>17.600000000000001</v>
      </c>
      <c r="AC6">
        <v>83.2</v>
      </c>
      <c r="AD6">
        <v>1.9</v>
      </c>
      <c r="AE6">
        <v>14.9</v>
      </c>
      <c r="AF6">
        <v>90.7</v>
      </c>
      <c r="AG6">
        <v>0.8</v>
      </c>
      <c r="AH6">
        <v>8.6</v>
      </c>
      <c r="AI6">
        <v>43</v>
      </c>
      <c r="AJ6">
        <v>6</v>
      </c>
      <c r="AK6">
        <v>51</v>
      </c>
    </row>
    <row r="7" spans="1:37" x14ac:dyDescent="0.25">
      <c r="A7" t="s">
        <v>286</v>
      </c>
      <c r="B7">
        <v>88.1</v>
      </c>
      <c r="C7">
        <v>11</v>
      </c>
      <c r="D7">
        <v>0.9</v>
      </c>
      <c r="E7">
        <v>91.1</v>
      </c>
      <c r="F7">
        <v>7.9</v>
      </c>
      <c r="G7">
        <v>1</v>
      </c>
      <c r="H7">
        <v>92</v>
      </c>
      <c r="I7">
        <v>6.1</v>
      </c>
      <c r="J7">
        <v>1.9</v>
      </c>
      <c r="K7">
        <v>92.1</v>
      </c>
      <c r="L7">
        <v>4.7</v>
      </c>
      <c r="M7">
        <v>3.1</v>
      </c>
      <c r="N7">
        <v>94.6</v>
      </c>
      <c r="O7">
        <v>3.2</v>
      </c>
      <c r="P7">
        <v>2.2000000000000002</v>
      </c>
      <c r="Q7">
        <v>93.9</v>
      </c>
      <c r="R7">
        <v>2.1</v>
      </c>
      <c r="S7">
        <v>4.0999999999999996</v>
      </c>
      <c r="T7">
        <v>83.8</v>
      </c>
      <c r="U7">
        <v>2.2999999999999998</v>
      </c>
      <c r="V7">
        <v>13.9</v>
      </c>
      <c r="W7">
        <v>86.3</v>
      </c>
      <c r="X7">
        <v>1</v>
      </c>
      <c r="Y7">
        <v>12.7</v>
      </c>
      <c r="Z7">
        <v>84.6</v>
      </c>
      <c r="AA7">
        <v>1.7</v>
      </c>
      <c r="AB7">
        <v>13.6</v>
      </c>
      <c r="AC7">
        <v>83.9</v>
      </c>
      <c r="AD7">
        <v>0.9</v>
      </c>
      <c r="AE7">
        <v>15.2</v>
      </c>
      <c r="AF7">
        <v>89.9</v>
      </c>
      <c r="AG7">
        <v>0.8</v>
      </c>
      <c r="AH7">
        <v>9.1999999999999993</v>
      </c>
      <c r="AI7">
        <v>45.6</v>
      </c>
      <c r="AJ7">
        <v>8.5</v>
      </c>
      <c r="AK7">
        <v>45.9</v>
      </c>
    </row>
    <row r="8" spans="1:37" x14ac:dyDescent="0.25">
      <c r="A8" t="s">
        <v>287</v>
      </c>
      <c r="B8">
        <v>87</v>
      </c>
      <c r="C8">
        <v>8.9</v>
      </c>
      <c r="D8">
        <v>4</v>
      </c>
      <c r="E8">
        <v>93.8</v>
      </c>
      <c r="F8">
        <v>5.8</v>
      </c>
      <c r="G8">
        <v>0.4</v>
      </c>
      <c r="H8">
        <v>92.6</v>
      </c>
      <c r="I8">
        <v>4.2</v>
      </c>
      <c r="J8">
        <v>3.2</v>
      </c>
      <c r="K8">
        <v>94.3</v>
      </c>
      <c r="L8">
        <v>3.2</v>
      </c>
      <c r="M8">
        <v>2.5</v>
      </c>
      <c r="N8">
        <v>93</v>
      </c>
      <c r="O8">
        <v>2.7</v>
      </c>
      <c r="P8">
        <v>4.3</v>
      </c>
      <c r="Q8">
        <v>94.5</v>
      </c>
      <c r="R8">
        <v>2.8</v>
      </c>
      <c r="S8">
        <v>2.6</v>
      </c>
      <c r="T8">
        <v>80.599999999999994</v>
      </c>
      <c r="U8">
        <v>1.4</v>
      </c>
      <c r="V8">
        <v>18</v>
      </c>
      <c r="W8">
        <v>84.8</v>
      </c>
      <c r="X8">
        <v>0.5</v>
      </c>
      <c r="Y8">
        <v>14.7</v>
      </c>
      <c r="Z8">
        <v>80.3</v>
      </c>
      <c r="AA8">
        <v>1.9</v>
      </c>
      <c r="AB8">
        <v>17.8</v>
      </c>
      <c r="AC8">
        <v>84.9</v>
      </c>
      <c r="AD8">
        <v>0.1</v>
      </c>
      <c r="AE8">
        <v>15</v>
      </c>
      <c r="AF8">
        <v>94.9</v>
      </c>
      <c r="AG8">
        <v>0.2</v>
      </c>
      <c r="AH8">
        <v>4.9000000000000004</v>
      </c>
      <c r="AI8">
        <v>75</v>
      </c>
      <c r="AJ8">
        <v>2</v>
      </c>
      <c r="AK8">
        <v>23</v>
      </c>
    </row>
    <row r="9" spans="1:37" x14ac:dyDescent="0.25">
      <c r="A9" t="s">
        <v>288</v>
      </c>
      <c r="B9">
        <v>81.900000000000006</v>
      </c>
      <c r="C9">
        <v>15</v>
      </c>
      <c r="D9">
        <v>3.1</v>
      </c>
      <c r="E9">
        <v>88</v>
      </c>
      <c r="F9">
        <v>9.9</v>
      </c>
      <c r="G9">
        <v>2.1</v>
      </c>
      <c r="H9">
        <v>87.6</v>
      </c>
      <c r="I9">
        <v>7.7</v>
      </c>
      <c r="J9">
        <v>4.5999999999999996</v>
      </c>
      <c r="K9">
        <v>89.7</v>
      </c>
      <c r="L9">
        <v>6.5</v>
      </c>
      <c r="M9">
        <v>3.9</v>
      </c>
      <c r="N9">
        <v>89.6</v>
      </c>
      <c r="O9">
        <v>4.2</v>
      </c>
      <c r="P9">
        <v>6.2</v>
      </c>
      <c r="Q9">
        <v>87.9</v>
      </c>
      <c r="R9">
        <v>2.9</v>
      </c>
      <c r="S9">
        <v>9.1999999999999993</v>
      </c>
      <c r="T9">
        <v>78.7</v>
      </c>
      <c r="U9">
        <v>2.8</v>
      </c>
      <c r="V9">
        <v>18.5</v>
      </c>
      <c r="W9">
        <v>86</v>
      </c>
      <c r="X9">
        <v>1.5</v>
      </c>
      <c r="Y9">
        <v>12.5</v>
      </c>
      <c r="Z9">
        <v>80.400000000000006</v>
      </c>
      <c r="AA9">
        <v>4.2</v>
      </c>
      <c r="AB9">
        <v>15.3</v>
      </c>
      <c r="AC9">
        <v>85.5</v>
      </c>
      <c r="AD9">
        <v>2.1</v>
      </c>
      <c r="AE9">
        <v>12.4</v>
      </c>
      <c r="AF9">
        <v>93</v>
      </c>
      <c r="AG9">
        <v>0.3</v>
      </c>
      <c r="AH9">
        <v>6.7</v>
      </c>
      <c r="AI9">
        <v>68.900000000000006</v>
      </c>
      <c r="AJ9">
        <v>3.3</v>
      </c>
      <c r="AK9">
        <v>27.9</v>
      </c>
    </row>
    <row r="10" spans="1:37" x14ac:dyDescent="0.25">
      <c r="A10" t="s">
        <v>289</v>
      </c>
      <c r="B10">
        <v>87.8</v>
      </c>
      <c r="C10">
        <v>7.7</v>
      </c>
      <c r="D10">
        <v>4.5</v>
      </c>
      <c r="E10">
        <v>92.9</v>
      </c>
      <c r="F10">
        <v>5.4</v>
      </c>
      <c r="G10">
        <v>1.7</v>
      </c>
      <c r="H10">
        <v>91.8</v>
      </c>
      <c r="I10">
        <v>4.4000000000000004</v>
      </c>
      <c r="J10">
        <v>3.8</v>
      </c>
      <c r="K10">
        <v>92.8</v>
      </c>
      <c r="L10">
        <v>2.8</v>
      </c>
      <c r="M10">
        <v>4.5</v>
      </c>
      <c r="N10">
        <v>91.3</v>
      </c>
      <c r="O10">
        <v>2.4</v>
      </c>
      <c r="P10">
        <v>6.3</v>
      </c>
      <c r="Q10">
        <v>93.8</v>
      </c>
      <c r="R10">
        <v>1.5</v>
      </c>
      <c r="S10">
        <v>4.5999999999999996</v>
      </c>
      <c r="T10">
        <v>80.599999999999994</v>
      </c>
      <c r="U10">
        <v>2.6</v>
      </c>
      <c r="V10">
        <v>16.8</v>
      </c>
      <c r="W10">
        <v>83.9</v>
      </c>
      <c r="X10">
        <v>1.8</v>
      </c>
      <c r="Y10">
        <v>14.2</v>
      </c>
      <c r="Z10">
        <v>77.3</v>
      </c>
      <c r="AA10">
        <v>3.8</v>
      </c>
      <c r="AB10">
        <v>18.899999999999999</v>
      </c>
      <c r="AC10">
        <v>83.9</v>
      </c>
      <c r="AD10">
        <v>1.3</v>
      </c>
      <c r="AE10">
        <v>14.8</v>
      </c>
      <c r="AF10">
        <v>90.5</v>
      </c>
      <c r="AG10">
        <v>1.2</v>
      </c>
      <c r="AH10">
        <v>8.3000000000000007</v>
      </c>
      <c r="AI10">
        <v>66.599999999999994</v>
      </c>
      <c r="AJ10">
        <v>4</v>
      </c>
      <c r="AK10">
        <v>29.4</v>
      </c>
    </row>
    <row r="11" spans="1:37" x14ac:dyDescent="0.25">
      <c r="A11" t="s">
        <v>290</v>
      </c>
      <c r="B11">
        <v>86.1</v>
      </c>
      <c r="C11">
        <v>13.8</v>
      </c>
      <c r="D11">
        <v>0</v>
      </c>
      <c r="E11">
        <v>88.6</v>
      </c>
      <c r="F11">
        <v>10.6</v>
      </c>
      <c r="G11">
        <v>0.8</v>
      </c>
      <c r="H11">
        <v>89.6</v>
      </c>
      <c r="I11">
        <v>8.6999999999999993</v>
      </c>
      <c r="J11">
        <v>1.7</v>
      </c>
      <c r="K11">
        <v>89.9</v>
      </c>
      <c r="L11">
        <v>7</v>
      </c>
      <c r="M11">
        <v>3.1</v>
      </c>
      <c r="N11">
        <v>90.9</v>
      </c>
      <c r="O11">
        <v>5.8</v>
      </c>
      <c r="P11">
        <v>3.3</v>
      </c>
      <c r="Q11">
        <v>91.6</v>
      </c>
      <c r="R11">
        <v>4.2</v>
      </c>
      <c r="S11">
        <v>4.3</v>
      </c>
      <c r="T11">
        <v>80.599999999999994</v>
      </c>
      <c r="U11">
        <v>4.4000000000000004</v>
      </c>
      <c r="V11">
        <v>15</v>
      </c>
      <c r="W11">
        <v>85.1</v>
      </c>
      <c r="X11">
        <v>2.4</v>
      </c>
      <c r="Y11">
        <v>12.5</v>
      </c>
      <c r="Z11">
        <v>80.7</v>
      </c>
      <c r="AA11">
        <v>3.6</v>
      </c>
      <c r="AB11">
        <v>15.8</v>
      </c>
      <c r="AC11">
        <v>81.599999999999994</v>
      </c>
      <c r="AD11">
        <v>1.6</v>
      </c>
      <c r="AE11">
        <v>16.8</v>
      </c>
      <c r="AF11">
        <v>88.6</v>
      </c>
      <c r="AG11">
        <v>1.3</v>
      </c>
      <c r="AH11">
        <v>10.1</v>
      </c>
      <c r="AI11">
        <v>50.5</v>
      </c>
      <c r="AJ11">
        <v>7.6</v>
      </c>
      <c r="AK11">
        <v>41.9</v>
      </c>
    </row>
    <row r="12" spans="1:37" x14ac:dyDescent="0.25">
      <c r="A12" t="s">
        <v>291</v>
      </c>
      <c r="B12">
        <v>93.2</v>
      </c>
      <c r="C12">
        <v>9.3000000000000007</v>
      </c>
      <c r="D12" t="s">
        <v>629</v>
      </c>
      <c r="E12">
        <v>93.4</v>
      </c>
      <c r="F12">
        <v>4.3</v>
      </c>
      <c r="G12">
        <v>2.2999999999999998</v>
      </c>
      <c r="H12">
        <v>93.5</v>
      </c>
      <c r="I12">
        <v>3.2</v>
      </c>
      <c r="J12">
        <v>3.3</v>
      </c>
      <c r="K12">
        <v>96.8</v>
      </c>
      <c r="L12">
        <v>1.5</v>
      </c>
      <c r="M12">
        <v>1.7</v>
      </c>
      <c r="N12">
        <v>90.8</v>
      </c>
      <c r="O12">
        <v>1.2</v>
      </c>
      <c r="P12">
        <v>8</v>
      </c>
      <c r="Q12">
        <v>93.2</v>
      </c>
      <c r="R12">
        <v>3</v>
      </c>
      <c r="S12">
        <v>3.8</v>
      </c>
      <c r="T12">
        <v>80.3</v>
      </c>
      <c r="U12">
        <v>6</v>
      </c>
      <c r="V12">
        <v>13.8</v>
      </c>
      <c r="W12">
        <v>85.7</v>
      </c>
      <c r="X12">
        <v>2.2999999999999998</v>
      </c>
      <c r="Y12">
        <v>12</v>
      </c>
      <c r="Z12">
        <v>88.8</v>
      </c>
      <c r="AA12">
        <v>3.6</v>
      </c>
      <c r="AB12">
        <v>7.6</v>
      </c>
      <c r="AC12">
        <v>87.1</v>
      </c>
      <c r="AD12">
        <v>3.7</v>
      </c>
      <c r="AE12">
        <v>9.1999999999999993</v>
      </c>
      <c r="AF12">
        <v>92</v>
      </c>
      <c r="AG12">
        <v>1.4</v>
      </c>
      <c r="AH12">
        <v>6.5</v>
      </c>
      <c r="AI12">
        <v>91.3</v>
      </c>
      <c r="AJ12">
        <v>0.4</v>
      </c>
      <c r="AK12">
        <v>8.4</v>
      </c>
    </row>
    <row r="13" spans="1:37" x14ac:dyDescent="0.25">
      <c r="A13" t="s">
        <v>292</v>
      </c>
      <c r="B13">
        <v>81.7</v>
      </c>
      <c r="C13">
        <v>8.1</v>
      </c>
      <c r="D13">
        <v>10.199999999999999</v>
      </c>
      <c r="E13">
        <v>86.3</v>
      </c>
      <c r="F13">
        <v>6.1</v>
      </c>
      <c r="G13">
        <v>7.7</v>
      </c>
      <c r="H13">
        <v>89.4</v>
      </c>
      <c r="I13">
        <v>3.9</v>
      </c>
      <c r="J13">
        <v>6.8</v>
      </c>
      <c r="K13">
        <v>90</v>
      </c>
      <c r="L13">
        <v>2.6</v>
      </c>
      <c r="M13">
        <v>7.4</v>
      </c>
      <c r="N13">
        <v>91.3</v>
      </c>
      <c r="O13">
        <v>2.1</v>
      </c>
      <c r="P13">
        <v>6.6</v>
      </c>
      <c r="Q13">
        <v>92.8</v>
      </c>
      <c r="R13">
        <v>0.8</v>
      </c>
      <c r="S13">
        <v>6.4</v>
      </c>
      <c r="T13">
        <v>81.099999999999994</v>
      </c>
      <c r="U13">
        <v>0.5</v>
      </c>
      <c r="V13">
        <v>18.3</v>
      </c>
      <c r="W13">
        <v>88</v>
      </c>
      <c r="X13">
        <v>1.9</v>
      </c>
      <c r="Y13">
        <v>10.1</v>
      </c>
      <c r="Z13">
        <v>84.7</v>
      </c>
      <c r="AA13">
        <v>4.9000000000000004</v>
      </c>
      <c r="AB13">
        <v>10.5</v>
      </c>
      <c r="AC13">
        <v>83.3</v>
      </c>
      <c r="AD13">
        <v>0.1</v>
      </c>
      <c r="AE13">
        <v>16.600000000000001</v>
      </c>
      <c r="AF13">
        <v>93.6</v>
      </c>
      <c r="AG13">
        <v>0</v>
      </c>
      <c r="AH13">
        <v>6.4</v>
      </c>
      <c r="AI13">
        <v>45.1</v>
      </c>
      <c r="AJ13">
        <v>8.8000000000000007</v>
      </c>
      <c r="AK13">
        <v>46.1</v>
      </c>
    </row>
    <row r="14" spans="1:37" x14ac:dyDescent="0.25">
      <c r="A14" t="s">
        <v>293</v>
      </c>
      <c r="B14">
        <v>78.7</v>
      </c>
      <c r="C14">
        <v>14.3</v>
      </c>
      <c r="D14">
        <v>7.1</v>
      </c>
      <c r="E14">
        <v>84.2</v>
      </c>
      <c r="F14">
        <v>9.5</v>
      </c>
      <c r="G14">
        <v>6.4</v>
      </c>
      <c r="H14">
        <v>83.1</v>
      </c>
      <c r="I14">
        <v>7.3</v>
      </c>
      <c r="J14">
        <v>9.6</v>
      </c>
      <c r="K14">
        <v>86.3</v>
      </c>
      <c r="L14">
        <v>5.9</v>
      </c>
      <c r="M14">
        <v>7.9</v>
      </c>
      <c r="N14">
        <v>87.1</v>
      </c>
      <c r="O14">
        <v>3.4</v>
      </c>
      <c r="P14">
        <v>9.5</v>
      </c>
      <c r="Q14">
        <v>83.8</v>
      </c>
      <c r="R14">
        <v>2.6</v>
      </c>
      <c r="S14">
        <v>13.6</v>
      </c>
      <c r="T14">
        <v>80.2</v>
      </c>
      <c r="U14">
        <v>2.4</v>
      </c>
      <c r="V14">
        <v>17.399999999999999</v>
      </c>
      <c r="W14">
        <v>84.8</v>
      </c>
      <c r="X14">
        <v>0.9</v>
      </c>
      <c r="Y14">
        <v>14.2</v>
      </c>
      <c r="Z14">
        <v>77.2</v>
      </c>
      <c r="AA14">
        <v>2.8</v>
      </c>
      <c r="AB14">
        <v>20</v>
      </c>
      <c r="AC14">
        <v>86.2</v>
      </c>
      <c r="AD14">
        <v>1.1000000000000001</v>
      </c>
      <c r="AE14">
        <v>12.7</v>
      </c>
      <c r="AF14">
        <v>95.3</v>
      </c>
      <c r="AG14">
        <v>0.6</v>
      </c>
      <c r="AH14">
        <v>4.0999999999999996</v>
      </c>
      <c r="AI14">
        <v>53.4</v>
      </c>
      <c r="AJ14">
        <v>7.8</v>
      </c>
      <c r="AK14">
        <v>38.799999999999997</v>
      </c>
    </row>
    <row r="15" spans="1:37" x14ac:dyDescent="0.25">
      <c r="A15" t="s">
        <v>294</v>
      </c>
      <c r="B15">
        <v>83.7</v>
      </c>
      <c r="C15">
        <v>7.2</v>
      </c>
      <c r="D15">
        <v>9.1</v>
      </c>
      <c r="E15">
        <v>87.7</v>
      </c>
      <c r="F15">
        <v>5.6</v>
      </c>
      <c r="G15">
        <v>6.7</v>
      </c>
      <c r="H15">
        <v>86.9</v>
      </c>
      <c r="I15">
        <v>3.9</v>
      </c>
      <c r="J15">
        <v>9.1999999999999993</v>
      </c>
      <c r="K15">
        <v>89.1</v>
      </c>
      <c r="L15">
        <v>3.2</v>
      </c>
      <c r="M15">
        <v>7.7</v>
      </c>
      <c r="N15">
        <v>86.2</v>
      </c>
      <c r="O15">
        <v>2.7</v>
      </c>
      <c r="P15">
        <v>11.2</v>
      </c>
      <c r="Q15">
        <v>90.1</v>
      </c>
      <c r="R15">
        <v>2.1</v>
      </c>
      <c r="S15">
        <v>7.8</v>
      </c>
      <c r="T15">
        <v>80.8</v>
      </c>
      <c r="U15">
        <v>3.3</v>
      </c>
      <c r="V15">
        <v>15.9</v>
      </c>
      <c r="W15">
        <v>85.1</v>
      </c>
      <c r="X15">
        <v>2.1</v>
      </c>
      <c r="Y15">
        <v>12.8</v>
      </c>
      <c r="Z15">
        <v>80.099999999999994</v>
      </c>
      <c r="AA15">
        <v>5.7</v>
      </c>
      <c r="AB15">
        <v>14.2</v>
      </c>
      <c r="AC15">
        <v>83.6</v>
      </c>
      <c r="AD15">
        <v>0</v>
      </c>
      <c r="AE15">
        <v>16.399999999999999</v>
      </c>
      <c r="AF15">
        <v>95.9</v>
      </c>
      <c r="AG15">
        <v>0.3</v>
      </c>
      <c r="AH15">
        <v>3.8</v>
      </c>
      <c r="AI15">
        <v>91.9</v>
      </c>
      <c r="AJ15">
        <v>0.8</v>
      </c>
      <c r="AK15">
        <v>7.3</v>
      </c>
    </row>
    <row r="16" spans="1:37" x14ac:dyDescent="0.25">
      <c r="A16" t="s">
        <v>295</v>
      </c>
      <c r="B16">
        <v>79.400000000000006</v>
      </c>
      <c r="C16">
        <v>13</v>
      </c>
      <c r="D16">
        <v>7.6</v>
      </c>
      <c r="E16">
        <v>85.8</v>
      </c>
      <c r="F16">
        <v>8.5</v>
      </c>
      <c r="G16">
        <v>5.7</v>
      </c>
      <c r="H16">
        <v>87</v>
      </c>
      <c r="I16">
        <v>7.3</v>
      </c>
      <c r="J16">
        <v>5.7</v>
      </c>
      <c r="K16">
        <v>87.6</v>
      </c>
      <c r="L16">
        <v>5.3</v>
      </c>
      <c r="M16">
        <v>7.2</v>
      </c>
      <c r="N16">
        <v>88.7</v>
      </c>
      <c r="O16">
        <v>4</v>
      </c>
      <c r="P16">
        <v>7.4</v>
      </c>
      <c r="Q16">
        <v>83.9</v>
      </c>
      <c r="R16">
        <v>2.8</v>
      </c>
      <c r="S16">
        <v>13.3</v>
      </c>
      <c r="T16">
        <v>78.2</v>
      </c>
      <c r="U16">
        <v>3.4</v>
      </c>
      <c r="V16">
        <v>18.399999999999999</v>
      </c>
      <c r="W16">
        <v>81.900000000000006</v>
      </c>
      <c r="X16">
        <v>1.6</v>
      </c>
      <c r="Y16">
        <v>16.5</v>
      </c>
      <c r="Z16">
        <v>72.900000000000006</v>
      </c>
      <c r="AA16">
        <v>6.8</v>
      </c>
      <c r="AB16">
        <v>20.3</v>
      </c>
      <c r="AC16">
        <v>79.8</v>
      </c>
      <c r="AD16">
        <v>1.4</v>
      </c>
      <c r="AE16">
        <v>18.8</v>
      </c>
      <c r="AF16">
        <v>90.8</v>
      </c>
      <c r="AG16">
        <v>1</v>
      </c>
      <c r="AH16">
        <v>8.1999999999999993</v>
      </c>
      <c r="AI16">
        <v>90.7</v>
      </c>
      <c r="AJ16">
        <v>1.3</v>
      </c>
      <c r="AK16">
        <v>8</v>
      </c>
    </row>
    <row r="17" spans="1:37" x14ac:dyDescent="0.25">
      <c r="A17" t="s">
        <v>296</v>
      </c>
      <c r="B17">
        <v>81</v>
      </c>
      <c r="C17">
        <v>11.4</v>
      </c>
      <c r="D17">
        <v>7.6</v>
      </c>
      <c r="E17">
        <v>87.5</v>
      </c>
      <c r="F17">
        <v>8.1</v>
      </c>
      <c r="G17">
        <v>4.3</v>
      </c>
      <c r="H17">
        <v>86.9</v>
      </c>
      <c r="I17">
        <v>5.9</v>
      </c>
      <c r="J17">
        <v>7.1</v>
      </c>
      <c r="K17">
        <v>87.7</v>
      </c>
      <c r="L17">
        <v>4.7</v>
      </c>
      <c r="M17">
        <v>7.6</v>
      </c>
      <c r="N17">
        <v>90.5</v>
      </c>
      <c r="O17">
        <v>2.8</v>
      </c>
      <c r="P17">
        <v>6.7</v>
      </c>
      <c r="Q17">
        <v>92.9</v>
      </c>
      <c r="R17">
        <v>1.3</v>
      </c>
      <c r="S17">
        <v>5.8</v>
      </c>
      <c r="T17">
        <v>73</v>
      </c>
      <c r="U17">
        <v>5</v>
      </c>
      <c r="V17">
        <v>22</v>
      </c>
      <c r="W17">
        <v>86.2</v>
      </c>
      <c r="X17">
        <v>2.9</v>
      </c>
      <c r="Y17">
        <v>10.9</v>
      </c>
      <c r="Z17">
        <v>75.2</v>
      </c>
      <c r="AA17">
        <v>5.7</v>
      </c>
      <c r="AB17">
        <v>19.2</v>
      </c>
      <c r="AC17">
        <v>84.1</v>
      </c>
      <c r="AD17">
        <v>1.7</v>
      </c>
      <c r="AE17">
        <v>14.3</v>
      </c>
      <c r="AF17">
        <v>88</v>
      </c>
      <c r="AG17">
        <v>1.6</v>
      </c>
      <c r="AH17">
        <v>10.4</v>
      </c>
      <c r="AI17">
        <v>56.5</v>
      </c>
      <c r="AJ17">
        <v>6</v>
      </c>
      <c r="AK17">
        <v>37.5</v>
      </c>
    </row>
    <row r="18" spans="1:37" x14ac:dyDescent="0.25">
      <c r="A18" t="s">
        <v>297</v>
      </c>
      <c r="B18">
        <v>90</v>
      </c>
      <c r="C18">
        <v>6.3</v>
      </c>
      <c r="D18">
        <v>3.7</v>
      </c>
      <c r="E18">
        <v>94.6</v>
      </c>
      <c r="F18">
        <v>3.4</v>
      </c>
      <c r="G18">
        <v>2</v>
      </c>
      <c r="H18">
        <v>95.7</v>
      </c>
      <c r="I18">
        <v>2.6</v>
      </c>
      <c r="J18">
        <v>1.7</v>
      </c>
      <c r="K18">
        <v>96.3</v>
      </c>
      <c r="L18">
        <v>1.9</v>
      </c>
      <c r="M18">
        <v>1.8</v>
      </c>
      <c r="N18">
        <v>95</v>
      </c>
      <c r="O18">
        <v>1.5</v>
      </c>
      <c r="P18">
        <v>3.4</v>
      </c>
      <c r="Q18">
        <v>112.3</v>
      </c>
      <c r="R18">
        <v>0.8</v>
      </c>
      <c r="S18" t="s">
        <v>629</v>
      </c>
      <c r="T18">
        <v>85.8</v>
      </c>
      <c r="U18">
        <v>2.9</v>
      </c>
      <c r="V18">
        <v>11.3</v>
      </c>
      <c r="W18">
        <v>92.8</v>
      </c>
      <c r="X18">
        <v>1.8</v>
      </c>
      <c r="Y18">
        <v>5.3</v>
      </c>
      <c r="Z18">
        <v>77.099999999999994</v>
      </c>
      <c r="AA18">
        <v>3.2</v>
      </c>
      <c r="AB18">
        <v>19.7</v>
      </c>
      <c r="AC18">
        <v>93.5</v>
      </c>
      <c r="AD18">
        <v>0.9</v>
      </c>
      <c r="AE18">
        <v>5.6</v>
      </c>
      <c r="AF18">
        <v>105.1</v>
      </c>
      <c r="AG18">
        <v>0.6</v>
      </c>
      <c r="AH18" t="s">
        <v>629</v>
      </c>
      <c r="AI18">
        <v>45.5</v>
      </c>
      <c r="AJ18">
        <v>7.3</v>
      </c>
      <c r="AK18">
        <v>47.2</v>
      </c>
    </row>
    <row r="19" spans="1:37" x14ac:dyDescent="0.25">
      <c r="A19" t="s">
        <v>298</v>
      </c>
      <c r="B19">
        <v>92.1</v>
      </c>
      <c r="C19">
        <v>6.3</v>
      </c>
      <c r="D19">
        <v>1.6</v>
      </c>
      <c r="E19">
        <v>92.5</v>
      </c>
      <c r="F19">
        <v>4.3</v>
      </c>
      <c r="G19">
        <v>3.1</v>
      </c>
      <c r="H19">
        <v>95.6</v>
      </c>
      <c r="I19">
        <v>2.9</v>
      </c>
      <c r="J19">
        <v>1.5</v>
      </c>
      <c r="K19">
        <v>93</v>
      </c>
      <c r="L19">
        <v>2.4</v>
      </c>
      <c r="M19">
        <v>4.5</v>
      </c>
      <c r="N19">
        <v>98.9</v>
      </c>
      <c r="O19">
        <v>1</v>
      </c>
      <c r="P19">
        <v>0.1</v>
      </c>
      <c r="Q19">
        <v>92.2</v>
      </c>
      <c r="R19">
        <v>1.1000000000000001</v>
      </c>
      <c r="S19">
        <v>6.8</v>
      </c>
      <c r="T19">
        <v>80.2</v>
      </c>
      <c r="U19">
        <v>3.1</v>
      </c>
      <c r="V19">
        <v>16.7</v>
      </c>
      <c r="W19">
        <v>80.599999999999994</v>
      </c>
      <c r="X19">
        <v>2.2999999999999998</v>
      </c>
      <c r="Y19">
        <v>17</v>
      </c>
      <c r="Z19">
        <v>77.5</v>
      </c>
      <c r="AA19">
        <v>3.4</v>
      </c>
      <c r="AB19">
        <v>19.100000000000001</v>
      </c>
      <c r="AC19">
        <v>86.1</v>
      </c>
      <c r="AD19">
        <v>1.2</v>
      </c>
      <c r="AE19">
        <v>12.7</v>
      </c>
      <c r="AF19">
        <v>90.1</v>
      </c>
      <c r="AG19">
        <v>0.3</v>
      </c>
      <c r="AH19">
        <v>9.6</v>
      </c>
      <c r="AI19">
        <v>63.9</v>
      </c>
      <c r="AJ19">
        <v>1.7</v>
      </c>
      <c r="AK19">
        <v>34.4</v>
      </c>
    </row>
    <row r="20" spans="1:37" x14ac:dyDescent="0.25">
      <c r="A20" t="s">
        <v>299</v>
      </c>
      <c r="B20">
        <v>74.599999999999994</v>
      </c>
      <c r="C20">
        <v>19.3</v>
      </c>
      <c r="D20">
        <v>6.1</v>
      </c>
      <c r="E20">
        <v>80</v>
      </c>
      <c r="F20">
        <v>11.3</v>
      </c>
      <c r="G20">
        <v>8.6999999999999993</v>
      </c>
      <c r="H20">
        <v>86.5</v>
      </c>
      <c r="I20">
        <v>7.7</v>
      </c>
      <c r="J20">
        <v>5.7</v>
      </c>
      <c r="K20">
        <v>87.3</v>
      </c>
      <c r="L20">
        <v>5.3</v>
      </c>
      <c r="M20">
        <v>7.4</v>
      </c>
      <c r="N20">
        <v>87.4</v>
      </c>
      <c r="O20">
        <v>3</v>
      </c>
      <c r="P20">
        <v>9.6</v>
      </c>
      <c r="Q20">
        <v>88.7</v>
      </c>
      <c r="R20">
        <v>2.6</v>
      </c>
      <c r="S20">
        <v>8.6999999999999993</v>
      </c>
      <c r="T20">
        <v>82.5</v>
      </c>
      <c r="U20">
        <v>1.5</v>
      </c>
      <c r="V20">
        <v>16.100000000000001</v>
      </c>
      <c r="W20">
        <v>84.3</v>
      </c>
      <c r="X20">
        <v>0.4</v>
      </c>
      <c r="Y20">
        <v>15.3</v>
      </c>
      <c r="Z20">
        <v>81.5</v>
      </c>
      <c r="AA20">
        <v>1.5</v>
      </c>
      <c r="AB20">
        <v>16.899999999999999</v>
      </c>
      <c r="AC20">
        <v>86.3</v>
      </c>
      <c r="AD20">
        <v>0.6</v>
      </c>
      <c r="AE20">
        <v>13.1</v>
      </c>
      <c r="AF20">
        <v>93.4</v>
      </c>
      <c r="AG20">
        <v>0.2</v>
      </c>
      <c r="AH20">
        <v>6.4</v>
      </c>
      <c r="AI20">
        <v>84.8</v>
      </c>
      <c r="AJ20">
        <v>1.7</v>
      </c>
      <c r="AK20">
        <v>13.5</v>
      </c>
    </row>
    <row r="21" spans="1:37" x14ac:dyDescent="0.25">
      <c r="A21" t="s">
        <v>300</v>
      </c>
      <c r="B21">
        <v>85.1</v>
      </c>
      <c r="C21">
        <v>12.5</v>
      </c>
      <c r="D21">
        <v>2.4</v>
      </c>
      <c r="E21">
        <v>89.8</v>
      </c>
      <c r="F21">
        <v>8.3000000000000007</v>
      </c>
      <c r="G21">
        <v>1.9</v>
      </c>
      <c r="H21">
        <v>91.6</v>
      </c>
      <c r="I21">
        <v>7</v>
      </c>
      <c r="J21">
        <v>1.4</v>
      </c>
      <c r="K21">
        <v>91.8</v>
      </c>
      <c r="L21">
        <v>5.6</v>
      </c>
      <c r="M21">
        <v>2.6</v>
      </c>
      <c r="N21">
        <v>92</v>
      </c>
      <c r="O21">
        <v>4.0999999999999996</v>
      </c>
      <c r="P21">
        <v>4</v>
      </c>
      <c r="Q21">
        <v>93.9</v>
      </c>
      <c r="R21">
        <v>3.8</v>
      </c>
      <c r="S21">
        <v>2.2999999999999998</v>
      </c>
      <c r="T21">
        <v>83.3</v>
      </c>
      <c r="U21">
        <v>0.9</v>
      </c>
      <c r="V21">
        <v>15.8</v>
      </c>
      <c r="W21">
        <v>82.6</v>
      </c>
      <c r="X21">
        <v>0.4</v>
      </c>
      <c r="Y21">
        <v>17</v>
      </c>
      <c r="Z21">
        <v>79.7</v>
      </c>
      <c r="AA21">
        <v>2</v>
      </c>
      <c r="AB21">
        <v>18.3</v>
      </c>
      <c r="AC21">
        <v>82.5</v>
      </c>
      <c r="AD21">
        <v>0.5</v>
      </c>
      <c r="AE21">
        <v>16.899999999999999</v>
      </c>
      <c r="AF21">
        <v>90</v>
      </c>
      <c r="AG21">
        <v>0.3</v>
      </c>
      <c r="AH21">
        <v>9.6999999999999993</v>
      </c>
      <c r="AI21">
        <v>71.5</v>
      </c>
      <c r="AJ21">
        <v>5.3</v>
      </c>
      <c r="AK21">
        <v>23.2</v>
      </c>
    </row>
    <row r="22" spans="1:37" x14ac:dyDescent="0.25">
      <c r="A22" t="s">
        <v>301</v>
      </c>
      <c r="B22">
        <v>79.900000000000006</v>
      </c>
      <c r="C22">
        <v>14.9</v>
      </c>
      <c r="D22">
        <v>5.2</v>
      </c>
      <c r="E22">
        <v>85.6</v>
      </c>
      <c r="F22">
        <v>10.1</v>
      </c>
      <c r="G22">
        <v>4.2</v>
      </c>
      <c r="H22">
        <v>88.7</v>
      </c>
      <c r="I22">
        <v>7.4</v>
      </c>
      <c r="J22">
        <v>3.9</v>
      </c>
      <c r="K22">
        <v>89.4</v>
      </c>
      <c r="L22">
        <v>5.3</v>
      </c>
      <c r="M22">
        <v>5.3</v>
      </c>
      <c r="N22">
        <v>89.5</v>
      </c>
      <c r="O22">
        <v>4</v>
      </c>
      <c r="P22">
        <v>6.5</v>
      </c>
      <c r="Q22">
        <v>92.6</v>
      </c>
      <c r="R22">
        <v>2</v>
      </c>
      <c r="S22">
        <v>5.4</v>
      </c>
      <c r="T22">
        <v>81.400000000000006</v>
      </c>
      <c r="U22">
        <v>1.4</v>
      </c>
      <c r="V22">
        <v>17.2</v>
      </c>
      <c r="W22">
        <v>85.9</v>
      </c>
      <c r="X22">
        <v>1.4</v>
      </c>
      <c r="Y22">
        <v>12.7</v>
      </c>
      <c r="Z22">
        <v>83.2</v>
      </c>
      <c r="AA22">
        <v>2.8</v>
      </c>
      <c r="AB22">
        <v>14</v>
      </c>
      <c r="AC22">
        <v>82.1</v>
      </c>
      <c r="AD22">
        <v>1.9</v>
      </c>
      <c r="AE22">
        <v>15.9</v>
      </c>
      <c r="AF22">
        <v>90.4</v>
      </c>
      <c r="AG22">
        <v>1.7</v>
      </c>
      <c r="AH22">
        <v>7.9</v>
      </c>
      <c r="AI22">
        <v>47.2</v>
      </c>
      <c r="AJ22">
        <v>6.3</v>
      </c>
      <c r="AK22">
        <v>46.5</v>
      </c>
    </row>
    <row r="23" spans="1:37" x14ac:dyDescent="0.25">
      <c r="A23" t="s">
        <v>302</v>
      </c>
      <c r="B23">
        <v>82</v>
      </c>
      <c r="C23">
        <v>7.4</v>
      </c>
      <c r="D23">
        <v>10.6</v>
      </c>
      <c r="E23">
        <v>88.3</v>
      </c>
      <c r="F23">
        <v>5.2</v>
      </c>
      <c r="G23">
        <v>6.5</v>
      </c>
      <c r="H23">
        <v>89.8</v>
      </c>
      <c r="I23">
        <v>3.8</v>
      </c>
      <c r="J23">
        <v>6.4</v>
      </c>
      <c r="K23">
        <v>87.3</v>
      </c>
      <c r="L23">
        <v>2.8</v>
      </c>
      <c r="M23">
        <v>9.9</v>
      </c>
      <c r="N23">
        <v>87.7</v>
      </c>
      <c r="O23">
        <v>2.6</v>
      </c>
      <c r="P23">
        <v>9.6999999999999993</v>
      </c>
      <c r="Q23">
        <v>87.1</v>
      </c>
      <c r="R23">
        <v>1.7</v>
      </c>
      <c r="S23">
        <v>11.2</v>
      </c>
      <c r="T23">
        <v>78.099999999999994</v>
      </c>
      <c r="U23">
        <v>0.9</v>
      </c>
      <c r="V23">
        <v>21</v>
      </c>
      <c r="W23">
        <v>96</v>
      </c>
      <c r="X23">
        <v>0.9</v>
      </c>
      <c r="Y23">
        <v>3</v>
      </c>
      <c r="Z23">
        <v>78.8</v>
      </c>
      <c r="AA23">
        <v>3.7</v>
      </c>
      <c r="AB23">
        <v>17.5</v>
      </c>
      <c r="AC23">
        <v>84.3</v>
      </c>
      <c r="AD23">
        <v>0.3</v>
      </c>
      <c r="AE23">
        <v>15.4</v>
      </c>
      <c r="AF23">
        <v>96.3</v>
      </c>
      <c r="AG23">
        <v>0.4</v>
      </c>
      <c r="AH23">
        <v>3.3</v>
      </c>
      <c r="AI23">
        <v>87.2</v>
      </c>
      <c r="AJ23">
        <v>0.4</v>
      </c>
      <c r="AK23">
        <v>12.4</v>
      </c>
    </row>
    <row r="24" spans="1:37" x14ac:dyDescent="0.25">
      <c r="A24" t="s">
        <v>303</v>
      </c>
      <c r="B24">
        <v>85.4</v>
      </c>
      <c r="C24">
        <v>14.2</v>
      </c>
      <c r="D24">
        <v>0.3</v>
      </c>
      <c r="E24">
        <v>87</v>
      </c>
      <c r="F24">
        <v>9.8000000000000007</v>
      </c>
      <c r="G24">
        <v>3.3</v>
      </c>
      <c r="H24">
        <v>85.8</v>
      </c>
      <c r="I24">
        <v>7.4</v>
      </c>
      <c r="J24">
        <v>6.7</v>
      </c>
      <c r="K24">
        <v>90.8</v>
      </c>
      <c r="L24">
        <v>5.4</v>
      </c>
      <c r="M24">
        <v>3.8</v>
      </c>
      <c r="N24">
        <v>90.9</v>
      </c>
      <c r="O24">
        <v>3.7</v>
      </c>
      <c r="P24">
        <v>5.5</v>
      </c>
      <c r="Q24">
        <v>87.3</v>
      </c>
      <c r="R24">
        <v>3.1</v>
      </c>
      <c r="S24">
        <v>9.6</v>
      </c>
      <c r="T24">
        <v>79.8</v>
      </c>
      <c r="U24">
        <v>5</v>
      </c>
      <c r="V24">
        <v>15.3</v>
      </c>
      <c r="W24">
        <v>86</v>
      </c>
      <c r="X24">
        <v>2.2999999999999998</v>
      </c>
      <c r="Y24">
        <v>11.7</v>
      </c>
      <c r="Z24">
        <v>82.3</v>
      </c>
      <c r="AA24">
        <v>3.9</v>
      </c>
      <c r="AB24">
        <v>13.8</v>
      </c>
      <c r="AC24">
        <v>87.8</v>
      </c>
      <c r="AD24">
        <v>2.2000000000000002</v>
      </c>
      <c r="AE24">
        <v>10</v>
      </c>
      <c r="AF24">
        <v>92.3</v>
      </c>
      <c r="AG24">
        <v>1.2</v>
      </c>
      <c r="AH24">
        <v>6.5</v>
      </c>
      <c r="AI24">
        <v>65.3</v>
      </c>
      <c r="AJ24">
        <v>3.1</v>
      </c>
      <c r="AK24">
        <v>31.6</v>
      </c>
    </row>
    <row r="25" spans="1:37" x14ac:dyDescent="0.25">
      <c r="A25" t="s">
        <v>304</v>
      </c>
      <c r="B25">
        <v>76.2</v>
      </c>
      <c r="C25">
        <v>21.6</v>
      </c>
      <c r="D25">
        <v>2.2000000000000002</v>
      </c>
      <c r="E25">
        <v>81.7</v>
      </c>
      <c r="F25">
        <v>12.2</v>
      </c>
      <c r="G25">
        <v>6.1</v>
      </c>
      <c r="H25">
        <v>80.400000000000006</v>
      </c>
      <c r="I25">
        <v>8.9</v>
      </c>
      <c r="J25">
        <v>10.7</v>
      </c>
      <c r="K25">
        <v>87</v>
      </c>
      <c r="L25">
        <v>6.5</v>
      </c>
      <c r="M25">
        <v>6.5</v>
      </c>
      <c r="N25">
        <v>83.4</v>
      </c>
      <c r="O25">
        <v>4.8</v>
      </c>
      <c r="P25">
        <v>11.8</v>
      </c>
      <c r="Q25">
        <v>80.2</v>
      </c>
      <c r="R25">
        <v>3.2</v>
      </c>
      <c r="S25">
        <v>16.600000000000001</v>
      </c>
      <c r="T25">
        <v>88.3</v>
      </c>
      <c r="U25">
        <v>0.8</v>
      </c>
      <c r="V25">
        <v>10.9</v>
      </c>
      <c r="W25">
        <v>92.9</v>
      </c>
      <c r="X25">
        <v>0.3</v>
      </c>
      <c r="Y25">
        <v>6.7</v>
      </c>
      <c r="Z25">
        <v>80.7</v>
      </c>
      <c r="AA25">
        <v>1.6</v>
      </c>
      <c r="AB25">
        <v>17.7</v>
      </c>
      <c r="AC25">
        <v>89.6</v>
      </c>
      <c r="AD25">
        <v>0</v>
      </c>
      <c r="AE25">
        <v>10.4</v>
      </c>
      <c r="AF25">
        <v>97.5</v>
      </c>
      <c r="AG25">
        <v>0.2</v>
      </c>
      <c r="AH25">
        <v>2.4</v>
      </c>
      <c r="AI25">
        <v>77.7</v>
      </c>
      <c r="AJ25">
        <v>0.2</v>
      </c>
      <c r="AK25">
        <v>22.1</v>
      </c>
    </row>
    <row r="26" spans="1:37" x14ac:dyDescent="0.25">
      <c r="A26" t="s">
        <v>305</v>
      </c>
      <c r="B26">
        <v>89</v>
      </c>
      <c r="C26">
        <v>9.3000000000000007</v>
      </c>
      <c r="D26">
        <v>1.6</v>
      </c>
      <c r="E26">
        <v>93.3</v>
      </c>
      <c r="F26">
        <v>5.7</v>
      </c>
      <c r="G26">
        <v>1.1000000000000001</v>
      </c>
      <c r="H26">
        <v>93.9</v>
      </c>
      <c r="I26">
        <v>4.0999999999999996</v>
      </c>
      <c r="J26">
        <v>2.1</v>
      </c>
      <c r="K26">
        <v>95</v>
      </c>
      <c r="L26">
        <v>3.3</v>
      </c>
      <c r="M26">
        <v>1.7</v>
      </c>
      <c r="N26">
        <v>95.1</v>
      </c>
      <c r="O26">
        <v>2.1</v>
      </c>
      <c r="P26">
        <v>2.7</v>
      </c>
      <c r="Q26">
        <v>94</v>
      </c>
      <c r="R26">
        <v>1.7</v>
      </c>
      <c r="S26">
        <v>4.2</v>
      </c>
      <c r="T26">
        <v>83</v>
      </c>
      <c r="U26">
        <v>2.9</v>
      </c>
      <c r="V26">
        <v>14.1</v>
      </c>
      <c r="W26">
        <v>84</v>
      </c>
      <c r="X26">
        <v>0.9</v>
      </c>
      <c r="Y26">
        <v>15.1</v>
      </c>
      <c r="Z26">
        <v>81</v>
      </c>
      <c r="AA26">
        <v>2.8</v>
      </c>
      <c r="AB26">
        <v>16.2</v>
      </c>
      <c r="AC26">
        <v>83.4</v>
      </c>
      <c r="AD26">
        <v>0.4</v>
      </c>
      <c r="AE26">
        <v>16.2</v>
      </c>
      <c r="AF26">
        <v>93.2</v>
      </c>
      <c r="AG26">
        <v>0.3</v>
      </c>
      <c r="AH26">
        <v>6.5</v>
      </c>
      <c r="AI26">
        <v>66.5</v>
      </c>
      <c r="AJ26">
        <v>3.3</v>
      </c>
      <c r="AK26">
        <v>30.1</v>
      </c>
    </row>
    <row r="27" spans="1:37" x14ac:dyDescent="0.25">
      <c r="A27" t="s">
        <v>306</v>
      </c>
      <c r="B27">
        <v>85.3</v>
      </c>
      <c r="C27">
        <v>10.1</v>
      </c>
      <c r="D27">
        <v>4.5999999999999996</v>
      </c>
      <c r="E27">
        <v>91.7</v>
      </c>
      <c r="F27">
        <v>7.7</v>
      </c>
      <c r="G27">
        <v>0.6</v>
      </c>
      <c r="H27">
        <v>92.1</v>
      </c>
      <c r="I27">
        <v>6.4</v>
      </c>
      <c r="J27">
        <v>1.5</v>
      </c>
      <c r="K27">
        <v>92.3</v>
      </c>
      <c r="L27">
        <v>5.2</v>
      </c>
      <c r="M27">
        <v>2.5</v>
      </c>
      <c r="N27">
        <v>93.5</v>
      </c>
      <c r="O27">
        <v>4.4000000000000004</v>
      </c>
      <c r="P27">
        <v>2.1</v>
      </c>
      <c r="Q27">
        <v>95.1</v>
      </c>
      <c r="R27">
        <v>3</v>
      </c>
      <c r="S27">
        <v>1.9</v>
      </c>
      <c r="T27">
        <v>86.5</v>
      </c>
      <c r="U27">
        <v>2</v>
      </c>
      <c r="V27">
        <v>11.5</v>
      </c>
      <c r="W27">
        <v>87.9</v>
      </c>
      <c r="X27">
        <v>2.2000000000000002</v>
      </c>
      <c r="Y27">
        <v>9.9</v>
      </c>
      <c r="Z27">
        <v>77.5</v>
      </c>
      <c r="AA27">
        <v>3</v>
      </c>
      <c r="AB27">
        <v>19.5</v>
      </c>
      <c r="AC27">
        <v>85.6</v>
      </c>
      <c r="AD27">
        <v>1.8</v>
      </c>
      <c r="AE27">
        <v>12.6</v>
      </c>
      <c r="AF27">
        <v>89.9</v>
      </c>
      <c r="AG27">
        <v>1.3</v>
      </c>
      <c r="AH27">
        <v>8.8000000000000007</v>
      </c>
      <c r="AI27">
        <v>41.2</v>
      </c>
      <c r="AJ27">
        <v>8</v>
      </c>
      <c r="AK27">
        <v>50.8</v>
      </c>
    </row>
    <row r="28" spans="1:37" x14ac:dyDescent="0.25">
      <c r="A28" t="s">
        <v>307</v>
      </c>
      <c r="B28">
        <v>83.6</v>
      </c>
      <c r="C28">
        <v>9.8000000000000007</v>
      </c>
      <c r="D28">
        <v>6.5</v>
      </c>
      <c r="E28">
        <v>86.8</v>
      </c>
      <c r="F28">
        <v>7.7</v>
      </c>
      <c r="G28">
        <v>5.5</v>
      </c>
      <c r="H28">
        <v>87.5</v>
      </c>
      <c r="I28">
        <v>5.8</v>
      </c>
      <c r="J28">
        <v>6.7</v>
      </c>
      <c r="K28">
        <v>89.1</v>
      </c>
      <c r="L28">
        <v>5.4</v>
      </c>
      <c r="M28">
        <v>5.5</v>
      </c>
      <c r="N28">
        <v>88.5</v>
      </c>
      <c r="O28">
        <v>3.6</v>
      </c>
      <c r="P28">
        <v>7.9</v>
      </c>
      <c r="Q28">
        <v>88.9</v>
      </c>
      <c r="R28">
        <v>2.5</v>
      </c>
      <c r="S28">
        <v>8.6999999999999993</v>
      </c>
      <c r="T28">
        <v>73.8</v>
      </c>
      <c r="U28">
        <v>4.0999999999999996</v>
      </c>
      <c r="V28">
        <v>22</v>
      </c>
      <c r="W28">
        <v>81.599999999999994</v>
      </c>
      <c r="X28">
        <v>1.7</v>
      </c>
      <c r="Y28">
        <v>16.7</v>
      </c>
      <c r="Z28">
        <v>77.599999999999994</v>
      </c>
      <c r="AA28">
        <v>3.9</v>
      </c>
      <c r="AB28">
        <v>18.600000000000001</v>
      </c>
      <c r="AC28">
        <v>86</v>
      </c>
      <c r="AD28">
        <v>1.6</v>
      </c>
      <c r="AE28">
        <v>12.4</v>
      </c>
      <c r="AF28">
        <v>89.2</v>
      </c>
      <c r="AG28">
        <v>1</v>
      </c>
      <c r="AH28">
        <v>9.8000000000000007</v>
      </c>
      <c r="AI28">
        <v>60.1</v>
      </c>
      <c r="AJ28">
        <v>6.1</v>
      </c>
      <c r="AK28">
        <v>33.799999999999997</v>
      </c>
    </row>
    <row r="29" spans="1:37" x14ac:dyDescent="0.25">
      <c r="A29" t="s">
        <v>266</v>
      </c>
      <c r="B29">
        <v>84.6</v>
      </c>
      <c r="C29">
        <v>11.7</v>
      </c>
      <c r="D29">
        <v>3.7</v>
      </c>
      <c r="E29">
        <v>89</v>
      </c>
      <c r="F29">
        <v>8</v>
      </c>
      <c r="G29">
        <v>3.1</v>
      </c>
      <c r="H29">
        <v>89.8</v>
      </c>
      <c r="I29">
        <v>6.2</v>
      </c>
      <c r="J29">
        <v>4.0999999999999996</v>
      </c>
      <c r="K29">
        <v>91</v>
      </c>
      <c r="L29">
        <v>4.8</v>
      </c>
      <c r="M29">
        <v>4.2</v>
      </c>
      <c r="N29">
        <v>91.3</v>
      </c>
      <c r="O29">
        <v>3.5</v>
      </c>
      <c r="P29">
        <v>5.0999999999999996</v>
      </c>
      <c r="Q29">
        <v>92.3</v>
      </c>
      <c r="R29">
        <v>2.6</v>
      </c>
      <c r="S29">
        <v>5.0999999999999996</v>
      </c>
      <c r="T29">
        <v>81.3</v>
      </c>
      <c r="U29">
        <v>2.8</v>
      </c>
      <c r="V29">
        <v>15.9</v>
      </c>
      <c r="W29">
        <v>85.2</v>
      </c>
      <c r="X29">
        <v>1.6</v>
      </c>
      <c r="Y29">
        <v>13.1</v>
      </c>
      <c r="Z29">
        <v>79.5</v>
      </c>
      <c r="AA29">
        <v>3.2</v>
      </c>
      <c r="AB29">
        <v>17.3</v>
      </c>
      <c r="AC29">
        <v>85.5</v>
      </c>
      <c r="AD29">
        <v>1.3</v>
      </c>
      <c r="AE29">
        <v>13.2</v>
      </c>
      <c r="AF29">
        <v>93.1</v>
      </c>
      <c r="AG29">
        <v>0.8</v>
      </c>
      <c r="AH29">
        <v>6.1</v>
      </c>
      <c r="AI29">
        <v>55.7</v>
      </c>
      <c r="AJ29">
        <v>5.7</v>
      </c>
      <c r="AK29">
        <v>38.6</v>
      </c>
    </row>
    <row r="30" spans="1:37" x14ac:dyDescent="0.25">
      <c r="A30" t="s">
        <v>459</v>
      </c>
      <c r="B30">
        <v>87.9</v>
      </c>
      <c r="C30">
        <v>9.3000000000000007</v>
      </c>
      <c r="D30">
        <v>2.8</v>
      </c>
      <c r="E30">
        <v>91.8</v>
      </c>
      <c r="F30">
        <v>5.5</v>
      </c>
      <c r="G30">
        <v>2.7</v>
      </c>
      <c r="H30">
        <v>92.2</v>
      </c>
      <c r="I30">
        <v>4</v>
      </c>
      <c r="J30">
        <v>3.8</v>
      </c>
      <c r="K30">
        <v>94.4</v>
      </c>
      <c r="L30">
        <v>2.8</v>
      </c>
      <c r="M30">
        <v>2.8</v>
      </c>
      <c r="N30">
        <v>93.8</v>
      </c>
      <c r="O30">
        <v>2</v>
      </c>
      <c r="P30">
        <v>4.2</v>
      </c>
      <c r="Q30">
        <v>100.7</v>
      </c>
      <c r="R30">
        <v>1.3</v>
      </c>
      <c r="S30" t="s">
        <v>629</v>
      </c>
      <c r="T30">
        <v>83.2</v>
      </c>
      <c r="U30">
        <v>3.5</v>
      </c>
      <c r="V30">
        <v>13.3</v>
      </c>
      <c r="W30">
        <v>91.1</v>
      </c>
      <c r="X30">
        <v>2.1</v>
      </c>
      <c r="Y30">
        <v>6.9</v>
      </c>
      <c r="Z30">
        <v>79.5</v>
      </c>
      <c r="AA30">
        <v>3.8</v>
      </c>
      <c r="AB30">
        <v>16.7</v>
      </c>
      <c r="AC30">
        <v>90.9</v>
      </c>
      <c r="AD30">
        <v>1.3</v>
      </c>
      <c r="AE30">
        <v>7.8</v>
      </c>
      <c r="AF30">
        <v>100.8</v>
      </c>
      <c r="AG30">
        <v>0.7</v>
      </c>
      <c r="AH30" t="s">
        <v>629</v>
      </c>
      <c r="AI30">
        <v>53.3</v>
      </c>
      <c r="AJ30">
        <v>5.9</v>
      </c>
      <c r="AK30">
        <v>40.700000000000003</v>
      </c>
    </row>
    <row r="31" spans="1:37" x14ac:dyDescent="0.25">
      <c r="A31" t="s">
        <v>460</v>
      </c>
      <c r="B31">
        <v>84</v>
      </c>
      <c r="C31">
        <v>12.1</v>
      </c>
      <c r="D31">
        <v>3.9</v>
      </c>
      <c r="E31">
        <v>88.4</v>
      </c>
      <c r="F31">
        <v>8.4</v>
      </c>
      <c r="G31">
        <v>3.2</v>
      </c>
      <c r="H31">
        <v>89.3</v>
      </c>
      <c r="I31">
        <v>6.6</v>
      </c>
      <c r="J31">
        <v>4.0999999999999996</v>
      </c>
      <c r="K31">
        <v>90.4</v>
      </c>
      <c r="L31">
        <v>5.2</v>
      </c>
      <c r="M31">
        <v>4.4000000000000004</v>
      </c>
      <c r="N31">
        <v>90.8</v>
      </c>
      <c r="O31">
        <v>3.8</v>
      </c>
      <c r="P31">
        <v>5.3</v>
      </c>
      <c r="Q31">
        <v>90.5</v>
      </c>
      <c r="R31">
        <v>2.9</v>
      </c>
      <c r="S31">
        <v>6.6</v>
      </c>
      <c r="T31">
        <v>80.8</v>
      </c>
      <c r="U31">
        <v>2.7</v>
      </c>
      <c r="V31">
        <v>16.399999999999999</v>
      </c>
      <c r="W31">
        <v>83.8</v>
      </c>
      <c r="X31">
        <v>1.5</v>
      </c>
      <c r="Y31">
        <v>14.7</v>
      </c>
      <c r="Z31">
        <v>79.5</v>
      </c>
      <c r="AA31">
        <v>3.1</v>
      </c>
      <c r="AB31">
        <v>17.5</v>
      </c>
      <c r="AC31">
        <v>83.3</v>
      </c>
      <c r="AD31">
        <v>1.2</v>
      </c>
      <c r="AE31">
        <v>15.5</v>
      </c>
      <c r="AF31">
        <v>89.3</v>
      </c>
      <c r="AG31">
        <v>0.8</v>
      </c>
      <c r="AH31">
        <v>9.9</v>
      </c>
      <c r="AI31">
        <v>57.1</v>
      </c>
      <c r="AJ31">
        <v>5.6</v>
      </c>
      <c r="AK31">
        <v>37.4</v>
      </c>
    </row>
  </sheetData>
  <mergeCells count="14">
    <mergeCell ref="A1:M1"/>
    <mergeCell ref="AF2:AH2"/>
    <mergeCell ref="A2:A3"/>
    <mergeCell ref="H2:J2"/>
    <mergeCell ref="B2:D2"/>
    <mergeCell ref="Q2:S2"/>
    <mergeCell ref="W2:Y2"/>
    <mergeCell ref="T2:V2"/>
    <mergeCell ref="AI2:AK2"/>
    <mergeCell ref="Z2:AB2"/>
    <mergeCell ref="E2:G2"/>
    <mergeCell ref="K2:M2"/>
    <mergeCell ref="N2:P2"/>
    <mergeCell ref="AC2:A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AK31"/>
  <sheetViews>
    <sheetView workbookViewId="0"/>
  </sheetViews>
  <sheetFormatPr defaultRowHeight="15" x14ac:dyDescent="0.25"/>
  <cols>
    <col min="1" max="1" width="23.42578125" customWidth="1"/>
    <col min="2" max="2" width="12" customWidth="1"/>
    <col min="5" max="5" width="12.140625" customWidth="1"/>
    <col min="8" max="8" width="12" customWidth="1"/>
    <col min="11" max="11" width="11.42578125" customWidth="1"/>
  </cols>
  <sheetData>
    <row r="1" spans="1:37" x14ac:dyDescent="0.25">
      <c r="A1" s="29" t="s">
        <v>631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37" x14ac:dyDescent="0.25">
      <c r="A2" s="29" t="s">
        <v>252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91.8</v>
      </c>
      <c r="C4">
        <v>4.5999999999999996</v>
      </c>
      <c r="D4">
        <v>3.6</v>
      </c>
      <c r="E4">
        <v>93.2</v>
      </c>
      <c r="F4">
        <v>3.4</v>
      </c>
      <c r="G4">
        <v>3.4</v>
      </c>
      <c r="H4">
        <v>93.3</v>
      </c>
      <c r="I4">
        <v>2.5</v>
      </c>
      <c r="J4">
        <v>4.2</v>
      </c>
      <c r="K4">
        <v>94.7</v>
      </c>
      <c r="L4">
        <v>1.7</v>
      </c>
      <c r="M4">
        <v>3.7</v>
      </c>
      <c r="N4">
        <v>94.6</v>
      </c>
      <c r="O4">
        <v>1</v>
      </c>
      <c r="P4">
        <v>4.3</v>
      </c>
      <c r="Q4">
        <v>94.2</v>
      </c>
      <c r="R4">
        <v>0.6</v>
      </c>
      <c r="S4">
        <v>5.2</v>
      </c>
      <c r="T4">
        <v>83.1</v>
      </c>
      <c r="U4">
        <v>1</v>
      </c>
      <c r="V4">
        <v>15.9</v>
      </c>
      <c r="W4">
        <v>84.1</v>
      </c>
      <c r="X4">
        <v>0.4</v>
      </c>
      <c r="Y4">
        <v>15.5</v>
      </c>
      <c r="Z4">
        <v>81.400000000000006</v>
      </c>
      <c r="AA4">
        <v>1.5</v>
      </c>
      <c r="AB4">
        <v>17.100000000000001</v>
      </c>
      <c r="AC4">
        <v>85.7</v>
      </c>
      <c r="AD4">
        <v>0.3</v>
      </c>
      <c r="AE4">
        <v>14</v>
      </c>
      <c r="AF4">
        <v>92.2</v>
      </c>
      <c r="AG4">
        <v>0.1</v>
      </c>
      <c r="AH4">
        <v>7.6</v>
      </c>
      <c r="AI4">
        <v>49.2</v>
      </c>
      <c r="AJ4">
        <v>4.2</v>
      </c>
      <c r="AK4">
        <v>46.6</v>
      </c>
    </row>
    <row r="5" spans="1:37" x14ac:dyDescent="0.25">
      <c r="A5" t="s">
        <v>284</v>
      </c>
      <c r="B5">
        <v>85.3</v>
      </c>
      <c r="C5">
        <v>10.3</v>
      </c>
      <c r="D5">
        <v>4.4000000000000004</v>
      </c>
      <c r="E5">
        <v>89.4</v>
      </c>
      <c r="F5">
        <v>6</v>
      </c>
      <c r="G5">
        <v>4.5999999999999996</v>
      </c>
      <c r="H5">
        <v>92</v>
      </c>
      <c r="I5">
        <v>4.0999999999999996</v>
      </c>
      <c r="J5">
        <v>3.9</v>
      </c>
      <c r="K5">
        <v>93.2</v>
      </c>
      <c r="L5">
        <v>3</v>
      </c>
      <c r="M5">
        <v>3.9</v>
      </c>
      <c r="N5">
        <v>92.6</v>
      </c>
      <c r="O5">
        <v>1.7</v>
      </c>
      <c r="P5">
        <v>5.7</v>
      </c>
      <c r="Q5">
        <v>90.7</v>
      </c>
      <c r="R5">
        <v>1.5</v>
      </c>
      <c r="S5">
        <v>7.8</v>
      </c>
      <c r="T5">
        <v>82.8</v>
      </c>
      <c r="U5">
        <v>1.9</v>
      </c>
      <c r="V5">
        <v>15.4</v>
      </c>
      <c r="W5">
        <v>82.4</v>
      </c>
      <c r="X5">
        <v>1.6</v>
      </c>
      <c r="Y5">
        <v>16</v>
      </c>
      <c r="Z5">
        <v>82.2</v>
      </c>
      <c r="AA5">
        <v>2.2999999999999998</v>
      </c>
      <c r="AB5">
        <v>15.6</v>
      </c>
      <c r="AC5">
        <v>87.1</v>
      </c>
      <c r="AD5">
        <v>0.9</v>
      </c>
      <c r="AE5">
        <v>12</v>
      </c>
      <c r="AF5">
        <v>95.8</v>
      </c>
      <c r="AG5">
        <v>0.4</v>
      </c>
      <c r="AH5">
        <v>3.8</v>
      </c>
      <c r="AI5">
        <v>54.9</v>
      </c>
      <c r="AJ5">
        <v>6.3</v>
      </c>
      <c r="AK5">
        <v>38.799999999999997</v>
      </c>
    </row>
    <row r="6" spans="1:37" x14ac:dyDescent="0.25">
      <c r="A6" t="s">
        <v>285</v>
      </c>
      <c r="B6">
        <v>85.5</v>
      </c>
      <c r="C6">
        <v>12.8</v>
      </c>
      <c r="D6">
        <v>1.7</v>
      </c>
      <c r="E6">
        <v>88.7</v>
      </c>
      <c r="F6">
        <v>8.6</v>
      </c>
      <c r="G6">
        <v>2.7</v>
      </c>
      <c r="H6">
        <v>91</v>
      </c>
      <c r="I6">
        <v>6.8</v>
      </c>
      <c r="J6">
        <v>2.2000000000000002</v>
      </c>
      <c r="K6">
        <v>90.7</v>
      </c>
      <c r="L6">
        <v>5.4</v>
      </c>
      <c r="M6">
        <v>3.8</v>
      </c>
      <c r="N6">
        <v>91.8</v>
      </c>
      <c r="O6">
        <v>4.2</v>
      </c>
      <c r="P6">
        <v>4.0999999999999996</v>
      </c>
      <c r="Q6">
        <v>90</v>
      </c>
      <c r="R6">
        <v>2.5</v>
      </c>
      <c r="S6">
        <v>7.5</v>
      </c>
      <c r="T6">
        <v>83.8</v>
      </c>
      <c r="U6">
        <v>2.5</v>
      </c>
      <c r="V6">
        <v>13.7</v>
      </c>
      <c r="W6">
        <v>84.9</v>
      </c>
      <c r="X6">
        <v>1.6</v>
      </c>
      <c r="Y6">
        <v>13.5</v>
      </c>
      <c r="Z6">
        <v>81.7</v>
      </c>
      <c r="AA6">
        <v>2</v>
      </c>
      <c r="AB6">
        <v>16.3</v>
      </c>
      <c r="AC6">
        <v>85.1</v>
      </c>
      <c r="AD6">
        <v>1.4</v>
      </c>
      <c r="AE6">
        <v>13.5</v>
      </c>
      <c r="AF6">
        <v>94.7</v>
      </c>
      <c r="AG6">
        <v>0.6</v>
      </c>
      <c r="AH6">
        <v>4.7</v>
      </c>
      <c r="AI6">
        <v>46.4</v>
      </c>
      <c r="AJ6">
        <v>4.7</v>
      </c>
      <c r="AK6">
        <v>48.9</v>
      </c>
    </row>
    <row r="7" spans="1:37" x14ac:dyDescent="0.25">
      <c r="A7" t="s">
        <v>286</v>
      </c>
      <c r="B7">
        <v>89.7</v>
      </c>
      <c r="C7">
        <v>9.3000000000000007</v>
      </c>
      <c r="D7">
        <v>0.9</v>
      </c>
      <c r="E7">
        <v>93.2</v>
      </c>
      <c r="F7">
        <v>5.8</v>
      </c>
      <c r="G7">
        <v>0.9</v>
      </c>
      <c r="H7">
        <v>94.6</v>
      </c>
      <c r="I7">
        <v>4.2</v>
      </c>
      <c r="J7">
        <v>1.2</v>
      </c>
      <c r="K7">
        <v>94.9</v>
      </c>
      <c r="L7">
        <v>3.1</v>
      </c>
      <c r="M7">
        <v>2</v>
      </c>
      <c r="N7">
        <v>96.9</v>
      </c>
      <c r="O7">
        <v>2</v>
      </c>
      <c r="P7">
        <v>1.1000000000000001</v>
      </c>
      <c r="Q7">
        <v>96.4</v>
      </c>
      <c r="R7">
        <v>1.2</v>
      </c>
      <c r="S7">
        <v>2.4</v>
      </c>
      <c r="T7">
        <v>87.2</v>
      </c>
      <c r="U7">
        <v>0.8</v>
      </c>
      <c r="V7">
        <v>12</v>
      </c>
      <c r="W7">
        <v>87.7</v>
      </c>
      <c r="X7">
        <v>0.3</v>
      </c>
      <c r="Y7">
        <v>12</v>
      </c>
      <c r="Z7">
        <v>86.7</v>
      </c>
      <c r="AA7">
        <v>0.9</v>
      </c>
      <c r="AB7">
        <v>12.4</v>
      </c>
      <c r="AC7">
        <v>85.5</v>
      </c>
      <c r="AD7">
        <v>0.4</v>
      </c>
      <c r="AE7">
        <v>14.1</v>
      </c>
      <c r="AF7">
        <v>90.4</v>
      </c>
      <c r="AG7">
        <v>0.4</v>
      </c>
      <c r="AH7">
        <v>9.1999999999999993</v>
      </c>
      <c r="AI7">
        <v>50</v>
      </c>
      <c r="AJ7">
        <v>5.8</v>
      </c>
      <c r="AK7">
        <v>44.2</v>
      </c>
    </row>
    <row r="8" spans="1:37" x14ac:dyDescent="0.25">
      <c r="A8" t="s">
        <v>287</v>
      </c>
      <c r="B8">
        <v>87.9</v>
      </c>
      <c r="C8">
        <v>7.2</v>
      </c>
      <c r="D8">
        <v>4.9000000000000004</v>
      </c>
      <c r="E8">
        <v>95.8</v>
      </c>
      <c r="F8">
        <v>4.4000000000000004</v>
      </c>
      <c r="G8" t="s">
        <v>629</v>
      </c>
      <c r="H8">
        <v>94.3</v>
      </c>
      <c r="I8">
        <v>3.4</v>
      </c>
      <c r="J8">
        <v>2.2999999999999998</v>
      </c>
      <c r="K8">
        <v>96.4</v>
      </c>
      <c r="L8">
        <v>2.5</v>
      </c>
      <c r="M8">
        <v>1.2</v>
      </c>
      <c r="N8">
        <v>93.6</v>
      </c>
      <c r="O8">
        <v>2.2000000000000002</v>
      </c>
      <c r="P8">
        <v>4.2</v>
      </c>
      <c r="Q8">
        <v>95.3</v>
      </c>
      <c r="R8">
        <v>2.2000000000000002</v>
      </c>
      <c r="S8">
        <v>2.5</v>
      </c>
      <c r="T8">
        <v>81.7</v>
      </c>
      <c r="U8">
        <v>0.7</v>
      </c>
      <c r="V8">
        <v>17.600000000000001</v>
      </c>
      <c r="W8">
        <v>84.2</v>
      </c>
      <c r="X8">
        <v>0.3</v>
      </c>
      <c r="Y8">
        <v>15.5</v>
      </c>
      <c r="Z8">
        <v>80.3</v>
      </c>
      <c r="AA8">
        <v>0.9</v>
      </c>
      <c r="AB8">
        <v>18.8</v>
      </c>
      <c r="AC8">
        <v>85.6</v>
      </c>
      <c r="AD8">
        <v>0</v>
      </c>
      <c r="AE8">
        <v>14.4</v>
      </c>
      <c r="AF8">
        <v>97.7</v>
      </c>
      <c r="AG8">
        <v>0.2</v>
      </c>
      <c r="AH8">
        <v>2.2000000000000002</v>
      </c>
      <c r="AI8">
        <v>78.8</v>
      </c>
      <c r="AJ8">
        <v>2.2000000000000002</v>
      </c>
      <c r="AK8">
        <v>19</v>
      </c>
    </row>
    <row r="9" spans="1:37" x14ac:dyDescent="0.25">
      <c r="A9" t="s">
        <v>288</v>
      </c>
      <c r="B9">
        <v>85.4</v>
      </c>
      <c r="C9">
        <v>12.2</v>
      </c>
      <c r="D9">
        <v>2.4</v>
      </c>
      <c r="E9">
        <v>89.2</v>
      </c>
      <c r="F9">
        <v>8.1999999999999993</v>
      </c>
      <c r="G9">
        <v>2.5</v>
      </c>
      <c r="H9">
        <v>90.4</v>
      </c>
      <c r="I9">
        <v>6.1</v>
      </c>
      <c r="J9">
        <v>3.5</v>
      </c>
      <c r="K9">
        <v>92.7</v>
      </c>
      <c r="L9">
        <v>3.7</v>
      </c>
      <c r="M9">
        <v>3.6</v>
      </c>
      <c r="N9">
        <v>92.5</v>
      </c>
      <c r="O9">
        <v>2.9</v>
      </c>
      <c r="P9">
        <v>4.5999999999999996</v>
      </c>
      <c r="Q9">
        <v>89.8</v>
      </c>
      <c r="R9">
        <v>2.1</v>
      </c>
      <c r="S9">
        <v>8.1999999999999993</v>
      </c>
      <c r="T9">
        <v>82.2</v>
      </c>
      <c r="U9">
        <v>1.8</v>
      </c>
      <c r="V9">
        <v>16</v>
      </c>
      <c r="W9">
        <v>86</v>
      </c>
      <c r="X9">
        <v>0.8</v>
      </c>
      <c r="Y9">
        <v>13.2</v>
      </c>
      <c r="Z9">
        <v>84.5</v>
      </c>
      <c r="AA9">
        <v>2.1</v>
      </c>
      <c r="AB9">
        <v>13.4</v>
      </c>
      <c r="AC9">
        <v>86.9</v>
      </c>
      <c r="AD9">
        <v>1.6</v>
      </c>
      <c r="AE9">
        <v>11.4</v>
      </c>
      <c r="AF9">
        <v>94.1</v>
      </c>
      <c r="AG9">
        <v>0.2</v>
      </c>
      <c r="AH9">
        <v>5.7</v>
      </c>
      <c r="AI9">
        <v>71.099999999999994</v>
      </c>
      <c r="AJ9">
        <v>2.6</v>
      </c>
      <c r="AK9">
        <v>26.3</v>
      </c>
    </row>
    <row r="10" spans="1:37" x14ac:dyDescent="0.25">
      <c r="A10" t="s">
        <v>289</v>
      </c>
      <c r="B10">
        <v>91.5</v>
      </c>
      <c r="C10">
        <v>6.1</v>
      </c>
      <c r="D10">
        <v>2.4</v>
      </c>
      <c r="E10">
        <v>95.1</v>
      </c>
      <c r="F10">
        <v>3.8</v>
      </c>
      <c r="G10">
        <v>1.1000000000000001</v>
      </c>
      <c r="H10">
        <v>94.5</v>
      </c>
      <c r="I10">
        <v>2.8</v>
      </c>
      <c r="J10">
        <v>2.8</v>
      </c>
      <c r="K10">
        <v>94.7</v>
      </c>
      <c r="L10">
        <v>1.9</v>
      </c>
      <c r="M10">
        <v>3.4</v>
      </c>
      <c r="N10">
        <v>94.8</v>
      </c>
      <c r="O10">
        <v>1.8</v>
      </c>
      <c r="P10">
        <v>3.5</v>
      </c>
      <c r="Q10">
        <v>95.7</v>
      </c>
      <c r="R10">
        <v>1</v>
      </c>
      <c r="S10">
        <v>3.3</v>
      </c>
      <c r="T10">
        <v>84.3</v>
      </c>
      <c r="U10">
        <v>1.4</v>
      </c>
      <c r="V10">
        <v>14.3</v>
      </c>
      <c r="W10">
        <v>85.8</v>
      </c>
      <c r="X10">
        <v>0.8</v>
      </c>
      <c r="Y10">
        <v>13.4</v>
      </c>
      <c r="Z10">
        <v>80.8</v>
      </c>
      <c r="AA10">
        <v>1.5</v>
      </c>
      <c r="AB10">
        <v>17.7</v>
      </c>
      <c r="AC10">
        <v>84.4</v>
      </c>
      <c r="AD10">
        <v>0.8</v>
      </c>
      <c r="AE10">
        <v>14.8</v>
      </c>
      <c r="AF10">
        <v>91.1</v>
      </c>
      <c r="AG10">
        <v>0.8</v>
      </c>
      <c r="AH10">
        <v>8.1</v>
      </c>
      <c r="AI10">
        <v>68.400000000000006</v>
      </c>
      <c r="AJ10">
        <v>3.6</v>
      </c>
      <c r="AK10">
        <v>28</v>
      </c>
    </row>
    <row r="11" spans="1:37" x14ac:dyDescent="0.25">
      <c r="A11" t="s">
        <v>290</v>
      </c>
      <c r="B11">
        <v>88.4</v>
      </c>
      <c r="C11">
        <v>11.2</v>
      </c>
      <c r="D11">
        <v>0.4</v>
      </c>
      <c r="E11">
        <v>90.7</v>
      </c>
      <c r="F11">
        <v>7.8</v>
      </c>
      <c r="G11">
        <v>1.5</v>
      </c>
      <c r="H11">
        <v>93.1</v>
      </c>
      <c r="I11">
        <v>6.3</v>
      </c>
      <c r="J11">
        <v>0.6</v>
      </c>
      <c r="K11">
        <v>93.2</v>
      </c>
      <c r="L11">
        <v>4.7</v>
      </c>
      <c r="M11">
        <v>2.1</v>
      </c>
      <c r="N11">
        <v>93.5</v>
      </c>
      <c r="O11">
        <v>4</v>
      </c>
      <c r="P11">
        <v>2.5</v>
      </c>
      <c r="Q11">
        <v>93.9</v>
      </c>
      <c r="R11">
        <v>2.7</v>
      </c>
      <c r="S11">
        <v>3.4</v>
      </c>
      <c r="T11">
        <v>84.6</v>
      </c>
      <c r="U11">
        <v>2.7</v>
      </c>
      <c r="V11">
        <v>12.7</v>
      </c>
      <c r="W11">
        <v>87.1</v>
      </c>
      <c r="X11">
        <v>1.5</v>
      </c>
      <c r="Y11">
        <v>11.4</v>
      </c>
      <c r="Z11">
        <v>84</v>
      </c>
      <c r="AA11">
        <v>2.4</v>
      </c>
      <c r="AB11">
        <v>13.6</v>
      </c>
      <c r="AC11">
        <v>84.7</v>
      </c>
      <c r="AD11">
        <v>1.1000000000000001</v>
      </c>
      <c r="AE11">
        <v>14.2</v>
      </c>
      <c r="AF11">
        <v>91.5</v>
      </c>
      <c r="AG11">
        <v>0.7</v>
      </c>
      <c r="AH11">
        <v>7.8</v>
      </c>
      <c r="AI11">
        <v>54.7</v>
      </c>
      <c r="AJ11">
        <v>6.5</v>
      </c>
      <c r="AK11">
        <v>38.799999999999997</v>
      </c>
    </row>
    <row r="12" spans="1:37" x14ac:dyDescent="0.25">
      <c r="A12" t="s">
        <v>291</v>
      </c>
      <c r="B12">
        <v>97.1</v>
      </c>
      <c r="C12">
        <v>8</v>
      </c>
      <c r="D12" t="s">
        <v>629</v>
      </c>
      <c r="E12">
        <v>97.7</v>
      </c>
      <c r="F12">
        <v>2.8</v>
      </c>
      <c r="G12" t="s">
        <v>629</v>
      </c>
      <c r="H12">
        <v>98</v>
      </c>
      <c r="I12">
        <v>2.8</v>
      </c>
      <c r="J12" t="s">
        <v>629</v>
      </c>
      <c r="K12">
        <v>96.9</v>
      </c>
      <c r="L12">
        <v>0.8</v>
      </c>
      <c r="M12">
        <v>2.2000000000000002</v>
      </c>
      <c r="N12">
        <v>90</v>
      </c>
      <c r="O12">
        <v>1.4</v>
      </c>
      <c r="P12">
        <v>8.6</v>
      </c>
      <c r="Q12">
        <v>97</v>
      </c>
      <c r="R12">
        <v>1.5</v>
      </c>
      <c r="S12">
        <v>1.5</v>
      </c>
      <c r="T12">
        <v>82.8</v>
      </c>
      <c r="U12">
        <v>3.8</v>
      </c>
      <c r="V12">
        <v>13.3</v>
      </c>
      <c r="W12">
        <v>90.4</v>
      </c>
      <c r="X12">
        <v>0.7</v>
      </c>
      <c r="Y12">
        <v>8.8000000000000007</v>
      </c>
      <c r="Z12">
        <v>90.7</v>
      </c>
      <c r="AA12">
        <v>1.6</v>
      </c>
      <c r="AB12">
        <v>7.8</v>
      </c>
      <c r="AC12">
        <v>88.3</v>
      </c>
      <c r="AD12">
        <v>4</v>
      </c>
      <c r="AE12">
        <v>7.6</v>
      </c>
      <c r="AF12">
        <v>90.9</v>
      </c>
      <c r="AG12">
        <v>0</v>
      </c>
      <c r="AH12">
        <v>9.1</v>
      </c>
      <c r="AI12">
        <v>90.7</v>
      </c>
      <c r="AJ12">
        <v>0.7</v>
      </c>
      <c r="AK12">
        <v>8.6</v>
      </c>
    </row>
    <row r="13" spans="1:37" x14ac:dyDescent="0.25">
      <c r="A13" t="s">
        <v>292</v>
      </c>
      <c r="B13">
        <v>83.8</v>
      </c>
      <c r="C13">
        <v>6.7</v>
      </c>
      <c r="D13">
        <v>9.4</v>
      </c>
      <c r="E13">
        <v>88.7</v>
      </c>
      <c r="F13">
        <v>5.7</v>
      </c>
      <c r="G13">
        <v>5.7</v>
      </c>
      <c r="H13">
        <v>93.8</v>
      </c>
      <c r="I13">
        <v>2.7</v>
      </c>
      <c r="J13">
        <v>3.5</v>
      </c>
      <c r="K13">
        <v>91.4</v>
      </c>
      <c r="L13">
        <v>1.9</v>
      </c>
      <c r="M13">
        <v>6.7</v>
      </c>
      <c r="N13">
        <v>93.8</v>
      </c>
      <c r="O13">
        <v>0.9</v>
      </c>
      <c r="P13">
        <v>5.2</v>
      </c>
      <c r="Q13">
        <v>91.9</v>
      </c>
      <c r="R13">
        <v>1</v>
      </c>
      <c r="S13">
        <v>7.1</v>
      </c>
      <c r="T13">
        <v>81.599999999999994</v>
      </c>
      <c r="U13">
        <v>0.1</v>
      </c>
      <c r="V13">
        <v>18.3</v>
      </c>
      <c r="W13">
        <v>86.7</v>
      </c>
      <c r="X13">
        <v>1.2</v>
      </c>
      <c r="Y13">
        <v>12.1</v>
      </c>
      <c r="Z13">
        <v>88.6</v>
      </c>
      <c r="AA13">
        <v>3.7</v>
      </c>
      <c r="AB13">
        <v>7.7</v>
      </c>
      <c r="AC13">
        <v>83.4</v>
      </c>
      <c r="AD13">
        <v>0</v>
      </c>
      <c r="AE13">
        <v>16.600000000000001</v>
      </c>
      <c r="AF13">
        <v>97.3</v>
      </c>
      <c r="AG13">
        <v>0</v>
      </c>
      <c r="AH13">
        <v>2.7</v>
      </c>
      <c r="AI13">
        <v>45</v>
      </c>
      <c r="AJ13">
        <v>10.6</v>
      </c>
      <c r="AK13">
        <v>44.4</v>
      </c>
    </row>
    <row r="14" spans="1:37" x14ac:dyDescent="0.25">
      <c r="A14" t="s">
        <v>293</v>
      </c>
      <c r="B14">
        <v>80.599999999999994</v>
      </c>
      <c r="C14">
        <v>11.9</v>
      </c>
      <c r="D14">
        <v>7.5</v>
      </c>
      <c r="E14">
        <v>86.3</v>
      </c>
      <c r="F14">
        <v>7.5</v>
      </c>
      <c r="G14">
        <v>6.2</v>
      </c>
      <c r="H14">
        <v>86.1</v>
      </c>
      <c r="I14">
        <v>5.5</v>
      </c>
      <c r="J14">
        <v>8.4</v>
      </c>
      <c r="K14">
        <v>90.5</v>
      </c>
      <c r="L14">
        <v>3.9</v>
      </c>
      <c r="M14">
        <v>5.6</v>
      </c>
      <c r="N14">
        <v>90.2</v>
      </c>
      <c r="O14">
        <v>3</v>
      </c>
      <c r="P14">
        <v>6.9</v>
      </c>
      <c r="Q14">
        <v>85.2</v>
      </c>
      <c r="R14">
        <v>1.8</v>
      </c>
      <c r="S14">
        <v>13</v>
      </c>
      <c r="T14">
        <v>83.5</v>
      </c>
      <c r="U14">
        <v>1.8</v>
      </c>
      <c r="V14">
        <v>14.7</v>
      </c>
      <c r="W14">
        <v>84.9</v>
      </c>
      <c r="X14">
        <v>0.3</v>
      </c>
      <c r="Y14">
        <v>14.8</v>
      </c>
      <c r="Z14">
        <v>79.7</v>
      </c>
      <c r="AA14">
        <v>1.8</v>
      </c>
      <c r="AB14">
        <v>18.399999999999999</v>
      </c>
      <c r="AC14">
        <v>85.7</v>
      </c>
      <c r="AD14">
        <v>1</v>
      </c>
      <c r="AE14">
        <v>13.3</v>
      </c>
      <c r="AF14">
        <v>94.9</v>
      </c>
      <c r="AG14">
        <v>0.6</v>
      </c>
      <c r="AH14">
        <v>4.5999999999999996</v>
      </c>
      <c r="AI14">
        <v>61</v>
      </c>
      <c r="AJ14">
        <v>6.2</v>
      </c>
      <c r="AK14">
        <v>32.799999999999997</v>
      </c>
    </row>
    <row r="15" spans="1:37" x14ac:dyDescent="0.25">
      <c r="A15" t="s">
        <v>294</v>
      </c>
      <c r="B15">
        <v>85.6</v>
      </c>
      <c r="C15">
        <v>5.9</v>
      </c>
      <c r="D15">
        <v>8.5</v>
      </c>
      <c r="E15">
        <v>89.5</v>
      </c>
      <c r="F15">
        <v>4.5999999999999996</v>
      </c>
      <c r="G15">
        <v>5.9</v>
      </c>
      <c r="H15">
        <v>89</v>
      </c>
      <c r="I15">
        <v>3.6</v>
      </c>
      <c r="J15">
        <v>7.4</v>
      </c>
      <c r="K15">
        <v>91</v>
      </c>
      <c r="L15">
        <v>2</v>
      </c>
      <c r="M15">
        <v>7</v>
      </c>
      <c r="N15">
        <v>90.1</v>
      </c>
      <c r="O15">
        <v>1.4</v>
      </c>
      <c r="P15">
        <v>8.6</v>
      </c>
      <c r="Q15">
        <v>92.4</v>
      </c>
      <c r="R15">
        <v>1.4</v>
      </c>
      <c r="S15">
        <v>6.2</v>
      </c>
      <c r="T15">
        <v>84.6</v>
      </c>
      <c r="U15">
        <v>2.2999999999999998</v>
      </c>
      <c r="V15">
        <v>13.1</v>
      </c>
      <c r="W15">
        <v>91</v>
      </c>
      <c r="X15">
        <v>0.5</v>
      </c>
      <c r="Y15">
        <v>8.5</v>
      </c>
      <c r="Z15">
        <v>87.9</v>
      </c>
      <c r="AA15">
        <v>2.8</v>
      </c>
      <c r="AB15">
        <v>9.3000000000000007</v>
      </c>
      <c r="AC15">
        <v>84.3</v>
      </c>
      <c r="AD15">
        <v>0</v>
      </c>
      <c r="AE15">
        <v>15.7</v>
      </c>
      <c r="AF15">
        <v>94.3</v>
      </c>
      <c r="AG15">
        <v>0</v>
      </c>
      <c r="AH15">
        <v>5.7</v>
      </c>
      <c r="AI15">
        <v>95</v>
      </c>
      <c r="AJ15">
        <v>0</v>
      </c>
      <c r="AK15">
        <v>5</v>
      </c>
    </row>
    <row r="16" spans="1:37" x14ac:dyDescent="0.25">
      <c r="A16" t="s">
        <v>295</v>
      </c>
      <c r="B16">
        <v>81.3</v>
      </c>
      <c r="C16">
        <v>10.4</v>
      </c>
      <c r="D16">
        <v>8.1999999999999993</v>
      </c>
      <c r="E16">
        <v>89</v>
      </c>
      <c r="F16">
        <v>7</v>
      </c>
      <c r="G16">
        <v>4</v>
      </c>
      <c r="H16">
        <v>88.7</v>
      </c>
      <c r="I16">
        <v>4.9000000000000004</v>
      </c>
      <c r="J16">
        <v>6.4</v>
      </c>
      <c r="K16">
        <v>89.8</v>
      </c>
      <c r="L16">
        <v>3.8</v>
      </c>
      <c r="M16">
        <v>6.5</v>
      </c>
      <c r="N16">
        <v>91.7</v>
      </c>
      <c r="O16">
        <v>2.7</v>
      </c>
      <c r="P16">
        <v>5.6</v>
      </c>
      <c r="Q16">
        <v>87.3</v>
      </c>
      <c r="R16">
        <v>1.3</v>
      </c>
      <c r="S16">
        <v>11.4</v>
      </c>
      <c r="T16">
        <v>77.400000000000006</v>
      </c>
      <c r="U16">
        <v>2</v>
      </c>
      <c r="V16">
        <v>20.6</v>
      </c>
      <c r="W16">
        <v>82.9</v>
      </c>
      <c r="X16">
        <v>1</v>
      </c>
      <c r="Y16">
        <v>16.100000000000001</v>
      </c>
      <c r="Z16">
        <v>75.5</v>
      </c>
      <c r="AA16">
        <v>5.5</v>
      </c>
      <c r="AB16">
        <v>19</v>
      </c>
      <c r="AC16">
        <v>78.8</v>
      </c>
      <c r="AD16">
        <v>1.1000000000000001</v>
      </c>
      <c r="AE16">
        <v>20.2</v>
      </c>
      <c r="AF16">
        <v>91.9</v>
      </c>
      <c r="AG16">
        <v>0.4</v>
      </c>
      <c r="AH16">
        <v>7.7</v>
      </c>
      <c r="AI16">
        <v>94.4</v>
      </c>
      <c r="AJ16">
        <v>0.3</v>
      </c>
      <c r="AK16">
        <v>5.4</v>
      </c>
    </row>
    <row r="17" spans="1:37" x14ac:dyDescent="0.25">
      <c r="A17" t="s">
        <v>296</v>
      </c>
      <c r="B17">
        <v>81.900000000000006</v>
      </c>
      <c r="C17">
        <v>9.1</v>
      </c>
      <c r="D17">
        <v>9</v>
      </c>
      <c r="E17">
        <v>90</v>
      </c>
      <c r="F17">
        <v>5.9</v>
      </c>
      <c r="G17">
        <v>4.0999999999999996</v>
      </c>
      <c r="H17">
        <v>91.8</v>
      </c>
      <c r="I17">
        <v>3.5</v>
      </c>
      <c r="J17">
        <v>4.7</v>
      </c>
      <c r="K17">
        <v>90.1</v>
      </c>
      <c r="L17">
        <v>3.2</v>
      </c>
      <c r="M17">
        <v>6.8</v>
      </c>
      <c r="N17">
        <v>93.6</v>
      </c>
      <c r="O17">
        <v>1.4</v>
      </c>
      <c r="P17">
        <v>5</v>
      </c>
      <c r="Q17">
        <v>92.5</v>
      </c>
      <c r="R17">
        <v>1</v>
      </c>
      <c r="S17">
        <v>6.5</v>
      </c>
      <c r="T17">
        <v>78</v>
      </c>
      <c r="U17">
        <v>2.5</v>
      </c>
      <c r="V17">
        <v>19.5</v>
      </c>
      <c r="W17">
        <v>87.5</v>
      </c>
      <c r="X17">
        <v>0.6</v>
      </c>
      <c r="Y17">
        <v>11.9</v>
      </c>
      <c r="Z17">
        <v>82.5</v>
      </c>
      <c r="AA17">
        <v>3.9</v>
      </c>
      <c r="AB17">
        <v>13.6</v>
      </c>
      <c r="AC17">
        <v>89.5</v>
      </c>
      <c r="AD17">
        <v>0.4</v>
      </c>
      <c r="AE17">
        <v>10.1</v>
      </c>
      <c r="AF17">
        <v>87.4</v>
      </c>
      <c r="AG17">
        <v>1.6</v>
      </c>
      <c r="AH17">
        <v>10.9</v>
      </c>
      <c r="AI17">
        <v>56.4</v>
      </c>
      <c r="AJ17">
        <v>7.9</v>
      </c>
      <c r="AK17">
        <v>35.799999999999997</v>
      </c>
    </row>
    <row r="18" spans="1:37" x14ac:dyDescent="0.25">
      <c r="A18" t="s">
        <v>297</v>
      </c>
      <c r="B18">
        <v>91.3</v>
      </c>
      <c r="C18">
        <v>5.3</v>
      </c>
      <c r="D18">
        <v>3.4</v>
      </c>
      <c r="E18">
        <v>96</v>
      </c>
      <c r="F18">
        <v>2.4</v>
      </c>
      <c r="G18">
        <v>1.6</v>
      </c>
      <c r="H18">
        <v>96.8</v>
      </c>
      <c r="I18">
        <v>1.6</v>
      </c>
      <c r="J18">
        <v>1.6</v>
      </c>
      <c r="K18">
        <v>97.9</v>
      </c>
      <c r="L18">
        <v>1.2</v>
      </c>
      <c r="M18">
        <v>0.8</v>
      </c>
      <c r="N18">
        <v>95.6</v>
      </c>
      <c r="O18">
        <v>1</v>
      </c>
      <c r="P18">
        <v>3.4</v>
      </c>
      <c r="Q18">
        <v>95.1</v>
      </c>
      <c r="R18">
        <v>0.4</v>
      </c>
      <c r="S18">
        <v>4.4000000000000004</v>
      </c>
      <c r="T18">
        <v>86.2</v>
      </c>
      <c r="U18">
        <v>2</v>
      </c>
      <c r="V18">
        <v>11.8</v>
      </c>
      <c r="W18">
        <v>94.7</v>
      </c>
      <c r="X18">
        <v>1.3</v>
      </c>
      <c r="Y18">
        <v>3.9</v>
      </c>
      <c r="Z18">
        <v>80.099999999999994</v>
      </c>
      <c r="AA18">
        <v>2</v>
      </c>
      <c r="AB18">
        <v>17.899999999999999</v>
      </c>
      <c r="AC18">
        <v>89.9</v>
      </c>
      <c r="AD18">
        <v>0.8</v>
      </c>
      <c r="AE18">
        <v>9.3000000000000007</v>
      </c>
      <c r="AF18">
        <v>103.4</v>
      </c>
      <c r="AG18">
        <v>0.4</v>
      </c>
      <c r="AH18" t="s">
        <v>629</v>
      </c>
      <c r="AI18">
        <v>49.7</v>
      </c>
      <c r="AJ18">
        <v>6.7</v>
      </c>
      <c r="AK18">
        <v>43.6</v>
      </c>
    </row>
    <row r="19" spans="1:37" x14ac:dyDescent="0.25">
      <c r="A19" t="s">
        <v>298</v>
      </c>
      <c r="B19">
        <v>94.1</v>
      </c>
      <c r="C19">
        <v>5.5</v>
      </c>
      <c r="D19">
        <v>0.4</v>
      </c>
      <c r="E19">
        <v>94.2</v>
      </c>
      <c r="F19">
        <v>3.1</v>
      </c>
      <c r="G19">
        <v>2.7</v>
      </c>
      <c r="H19">
        <v>96.5</v>
      </c>
      <c r="I19">
        <v>2.2000000000000002</v>
      </c>
      <c r="J19">
        <v>1.2</v>
      </c>
      <c r="K19">
        <v>93.9</v>
      </c>
      <c r="L19">
        <v>1.9</v>
      </c>
      <c r="M19">
        <v>4.2</v>
      </c>
      <c r="N19">
        <v>99.1</v>
      </c>
      <c r="O19">
        <v>0.7</v>
      </c>
      <c r="P19">
        <v>0.2</v>
      </c>
      <c r="Q19">
        <v>93.1</v>
      </c>
      <c r="R19">
        <v>0.6</v>
      </c>
      <c r="S19">
        <v>6.3</v>
      </c>
      <c r="T19">
        <v>82.5</v>
      </c>
      <c r="U19">
        <v>2.2999999999999998</v>
      </c>
      <c r="V19">
        <v>15.1</v>
      </c>
      <c r="W19">
        <v>82.7</v>
      </c>
      <c r="X19">
        <v>1.3</v>
      </c>
      <c r="Y19">
        <v>15.9</v>
      </c>
      <c r="Z19">
        <v>80.7</v>
      </c>
      <c r="AA19">
        <v>2.5</v>
      </c>
      <c r="AB19">
        <v>16.8</v>
      </c>
      <c r="AC19">
        <v>89.1</v>
      </c>
      <c r="AD19">
        <v>1</v>
      </c>
      <c r="AE19">
        <v>9.9</v>
      </c>
      <c r="AF19">
        <v>89.7</v>
      </c>
      <c r="AG19">
        <v>0.2</v>
      </c>
      <c r="AH19">
        <v>10.199999999999999</v>
      </c>
      <c r="AI19">
        <v>70</v>
      </c>
      <c r="AJ19">
        <v>2</v>
      </c>
      <c r="AK19">
        <v>28</v>
      </c>
    </row>
    <row r="20" spans="1:37" x14ac:dyDescent="0.25">
      <c r="A20" t="s">
        <v>299</v>
      </c>
      <c r="B20">
        <v>77.900000000000006</v>
      </c>
      <c r="C20">
        <v>17.2</v>
      </c>
      <c r="D20">
        <v>4.9000000000000004</v>
      </c>
      <c r="E20">
        <v>82.3</v>
      </c>
      <c r="F20">
        <v>10.1</v>
      </c>
      <c r="G20">
        <v>7.6</v>
      </c>
      <c r="H20">
        <v>89.8</v>
      </c>
      <c r="I20">
        <v>6.3</v>
      </c>
      <c r="J20">
        <v>4</v>
      </c>
      <c r="K20">
        <v>89.5</v>
      </c>
      <c r="L20">
        <v>4.0999999999999996</v>
      </c>
      <c r="M20">
        <v>6.4</v>
      </c>
      <c r="N20">
        <v>90.1</v>
      </c>
      <c r="O20">
        <v>2.4</v>
      </c>
      <c r="P20">
        <v>7.5</v>
      </c>
      <c r="Q20">
        <v>89.3</v>
      </c>
      <c r="R20">
        <v>2.2000000000000002</v>
      </c>
      <c r="S20">
        <v>8.5</v>
      </c>
      <c r="T20">
        <v>81.599999999999994</v>
      </c>
      <c r="U20">
        <v>1.2</v>
      </c>
      <c r="V20">
        <v>17.2</v>
      </c>
      <c r="W20">
        <v>82.2</v>
      </c>
      <c r="X20">
        <v>0.2</v>
      </c>
      <c r="Y20">
        <v>17.5</v>
      </c>
      <c r="Z20">
        <v>82.3</v>
      </c>
      <c r="AA20">
        <v>0.9</v>
      </c>
      <c r="AB20">
        <v>16.899999999999999</v>
      </c>
      <c r="AC20">
        <v>82.1</v>
      </c>
      <c r="AD20">
        <v>0.8</v>
      </c>
      <c r="AE20">
        <v>17.2</v>
      </c>
      <c r="AF20">
        <v>95.4</v>
      </c>
      <c r="AG20">
        <v>0.2</v>
      </c>
      <c r="AH20">
        <v>4.4000000000000004</v>
      </c>
      <c r="AI20">
        <v>89</v>
      </c>
      <c r="AJ20">
        <v>1.6</v>
      </c>
      <c r="AK20">
        <v>9.4</v>
      </c>
    </row>
    <row r="21" spans="1:37" x14ac:dyDescent="0.25">
      <c r="A21" t="s">
        <v>300</v>
      </c>
      <c r="B21">
        <v>86.9</v>
      </c>
      <c r="C21">
        <v>9.6999999999999993</v>
      </c>
      <c r="D21">
        <v>3.5</v>
      </c>
      <c r="E21">
        <v>91.9</v>
      </c>
      <c r="F21">
        <v>6.3</v>
      </c>
      <c r="G21">
        <v>1.8</v>
      </c>
      <c r="H21">
        <v>94</v>
      </c>
      <c r="I21">
        <v>5.5</v>
      </c>
      <c r="J21">
        <v>0.5</v>
      </c>
      <c r="K21">
        <v>93.7</v>
      </c>
      <c r="L21">
        <v>3.9</v>
      </c>
      <c r="M21">
        <v>2.2999999999999998</v>
      </c>
      <c r="N21">
        <v>93.6</v>
      </c>
      <c r="O21">
        <v>3</v>
      </c>
      <c r="P21">
        <v>3.4</v>
      </c>
      <c r="Q21">
        <v>95.4</v>
      </c>
      <c r="R21">
        <v>2.9</v>
      </c>
      <c r="S21">
        <v>1.6</v>
      </c>
      <c r="T21">
        <v>85.6</v>
      </c>
      <c r="U21">
        <v>0.5</v>
      </c>
      <c r="V21">
        <v>13.9</v>
      </c>
      <c r="W21">
        <v>82.6</v>
      </c>
      <c r="X21">
        <v>0.3</v>
      </c>
      <c r="Y21">
        <v>17.100000000000001</v>
      </c>
      <c r="Z21">
        <v>82.3</v>
      </c>
      <c r="AA21">
        <v>1</v>
      </c>
      <c r="AB21">
        <v>16.600000000000001</v>
      </c>
      <c r="AC21">
        <v>84.8</v>
      </c>
      <c r="AD21">
        <v>0.1</v>
      </c>
      <c r="AE21">
        <v>15.2</v>
      </c>
      <c r="AF21">
        <v>92</v>
      </c>
      <c r="AG21">
        <v>0.3</v>
      </c>
      <c r="AH21">
        <v>7.8</v>
      </c>
      <c r="AI21">
        <v>75.099999999999994</v>
      </c>
      <c r="AJ21">
        <v>5</v>
      </c>
      <c r="AK21">
        <v>19.899999999999999</v>
      </c>
    </row>
    <row r="22" spans="1:37" x14ac:dyDescent="0.25">
      <c r="A22" t="s">
        <v>301</v>
      </c>
      <c r="B22">
        <v>81.900000000000006</v>
      </c>
      <c r="C22">
        <v>12.9</v>
      </c>
      <c r="D22">
        <v>5.2</v>
      </c>
      <c r="E22">
        <v>88.8</v>
      </c>
      <c r="F22">
        <v>8.6999999999999993</v>
      </c>
      <c r="G22">
        <v>2.5</v>
      </c>
      <c r="H22">
        <v>91.6</v>
      </c>
      <c r="I22">
        <v>5.7</v>
      </c>
      <c r="J22">
        <v>2.7</v>
      </c>
      <c r="K22">
        <v>92.1</v>
      </c>
      <c r="L22">
        <v>3.7</v>
      </c>
      <c r="M22">
        <v>4.0999999999999996</v>
      </c>
      <c r="N22">
        <v>91.6</v>
      </c>
      <c r="O22">
        <v>2.2999999999999998</v>
      </c>
      <c r="P22">
        <v>6.1</v>
      </c>
      <c r="Q22">
        <v>94.3</v>
      </c>
      <c r="R22">
        <v>1.2</v>
      </c>
      <c r="S22">
        <v>4.5999999999999996</v>
      </c>
      <c r="T22">
        <v>84.2</v>
      </c>
      <c r="U22">
        <v>0.9</v>
      </c>
      <c r="V22">
        <v>14.9</v>
      </c>
      <c r="W22">
        <v>86.8</v>
      </c>
      <c r="X22">
        <v>1</v>
      </c>
      <c r="Y22">
        <v>12.3</v>
      </c>
      <c r="Z22">
        <v>86</v>
      </c>
      <c r="AA22">
        <v>1.3</v>
      </c>
      <c r="AB22">
        <v>12.7</v>
      </c>
      <c r="AC22">
        <v>82.1</v>
      </c>
      <c r="AD22">
        <v>0.7</v>
      </c>
      <c r="AE22">
        <v>17.2</v>
      </c>
      <c r="AF22">
        <v>90.7</v>
      </c>
      <c r="AG22">
        <v>1.6</v>
      </c>
      <c r="AH22">
        <v>7.7</v>
      </c>
      <c r="AI22">
        <v>51.1</v>
      </c>
      <c r="AJ22">
        <v>5</v>
      </c>
      <c r="AK22">
        <v>43.9</v>
      </c>
    </row>
    <row r="23" spans="1:37" x14ac:dyDescent="0.25">
      <c r="A23" t="s">
        <v>302</v>
      </c>
      <c r="B23">
        <v>85.7</v>
      </c>
      <c r="C23">
        <v>7.5</v>
      </c>
      <c r="D23">
        <v>6.8</v>
      </c>
      <c r="E23">
        <v>89.4</v>
      </c>
      <c r="F23">
        <v>4.4000000000000004</v>
      </c>
      <c r="G23">
        <v>6.2</v>
      </c>
      <c r="H23">
        <v>92.5</v>
      </c>
      <c r="I23">
        <v>3.6</v>
      </c>
      <c r="J23">
        <v>3.9</v>
      </c>
      <c r="K23">
        <v>92.1</v>
      </c>
      <c r="L23">
        <v>2.4</v>
      </c>
      <c r="M23">
        <v>5.5</v>
      </c>
      <c r="N23">
        <v>90.5</v>
      </c>
      <c r="O23">
        <v>2.2000000000000002</v>
      </c>
      <c r="P23">
        <v>7.3</v>
      </c>
      <c r="Q23">
        <v>88.1</v>
      </c>
      <c r="R23">
        <v>1.5</v>
      </c>
      <c r="S23">
        <v>10.4</v>
      </c>
      <c r="T23">
        <v>83.4</v>
      </c>
      <c r="U23">
        <v>0.6</v>
      </c>
      <c r="V23">
        <v>16</v>
      </c>
      <c r="W23">
        <v>92.1</v>
      </c>
      <c r="X23">
        <v>0.9</v>
      </c>
      <c r="Y23">
        <v>7</v>
      </c>
      <c r="Z23">
        <v>89.6</v>
      </c>
      <c r="AA23">
        <v>3.1</v>
      </c>
      <c r="AB23">
        <v>7.3</v>
      </c>
      <c r="AC23">
        <v>84.3</v>
      </c>
      <c r="AD23">
        <v>0.2</v>
      </c>
      <c r="AE23">
        <v>15.5</v>
      </c>
      <c r="AF23">
        <v>97.3</v>
      </c>
      <c r="AG23">
        <v>0.3</v>
      </c>
      <c r="AH23">
        <v>2.4</v>
      </c>
      <c r="AI23">
        <v>91.4</v>
      </c>
      <c r="AJ23">
        <v>0</v>
      </c>
      <c r="AK23">
        <v>8.6</v>
      </c>
    </row>
    <row r="24" spans="1:37" x14ac:dyDescent="0.25">
      <c r="A24" t="s">
        <v>303</v>
      </c>
      <c r="B24">
        <v>86.8</v>
      </c>
      <c r="C24">
        <v>12.2</v>
      </c>
      <c r="D24">
        <v>1</v>
      </c>
      <c r="E24">
        <v>90.8</v>
      </c>
      <c r="F24">
        <v>7.2</v>
      </c>
      <c r="G24">
        <v>2</v>
      </c>
      <c r="H24">
        <v>88.8</v>
      </c>
      <c r="I24">
        <v>5.4</v>
      </c>
      <c r="J24">
        <v>5.9</v>
      </c>
      <c r="K24">
        <v>94.2</v>
      </c>
      <c r="L24">
        <v>3.7</v>
      </c>
      <c r="M24">
        <v>2.1</v>
      </c>
      <c r="N24">
        <v>92.7</v>
      </c>
      <c r="O24">
        <v>2.2000000000000002</v>
      </c>
      <c r="P24">
        <v>5.0999999999999996</v>
      </c>
      <c r="Q24">
        <v>90.5</v>
      </c>
      <c r="R24">
        <v>2</v>
      </c>
      <c r="S24">
        <v>7.4</v>
      </c>
      <c r="T24">
        <v>85.8</v>
      </c>
      <c r="U24">
        <v>2.7</v>
      </c>
      <c r="V24">
        <v>11.5</v>
      </c>
      <c r="W24">
        <v>87.9</v>
      </c>
      <c r="X24">
        <v>1.4</v>
      </c>
      <c r="Y24">
        <v>10.7</v>
      </c>
      <c r="Z24">
        <v>84.1</v>
      </c>
      <c r="AA24">
        <v>2.5</v>
      </c>
      <c r="AB24">
        <v>13.4</v>
      </c>
      <c r="AC24">
        <v>89.8</v>
      </c>
      <c r="AD24">
        <v>2</v>
      </c>
      <c r="AE24">
        <v>8.3000000000000007</v>
      </c>
      <c r="AF24">
        <v>93.8</v>
      </c>
      <c r="AG24">
        <v>0.7</v>
      </c>
      <c r="AH24">
        <v>5.6</v>
      </c>
      <c r="AI24">
        <v>67.7</v>
      </c>
      <c r="AJ24">
        <v>2.6</v>
      </c>
      <c r="AK24">
        <v>29.7</v>
      </c>
    </row>
    <row r="25" spans="1:37" x14ac:dyDescent="0.25">
      <c r="A25" t="s">
        <v>304</v>
      </c>
      <c r="B25">
        <v>78.2</v>
      </c>
      <c r="C25">
        <v>20.2</v>
      </c>
      <c r="D25">
        <v>1.6</v>
      </c>
      <c r="E25">
        <v>84.8</v>
      </c>
      <c r="F25">
        <v>10.4</v>
      </c>
      <c r="G25">
        <v>4.8</v>
      </c>
      <c r="H25">
        <v>82.5</v>
      </c>
      <c r="I25">
        <v>7.4</v>
      </c>
      <c r="J25">
        <v>10.199999999999999</v>
      </c>
      <c r="K25">
        <v>89.5</v>
      </c>
      <c r="L25">
        <v>5.5</v>
      </c>
      <c r="M25">
        <v>5</v>
      </c>
      <c r="N25">
        <v>86.4</v>
      </c>
      <c r="O25">
        <v>3.5</v>
      </c>
      <c r="P25">
        <v>10</v>
      </c>
      <c r="Q25">
        <v>81</v>
      </c>
      <c r="R25">
        <v>2.6</v>
      </c>
      <c r="S25">
        <v>16.3</v>
      </c>
      <c r="T25">
        <v>88.1</v>
      </c>
      <c r="U25">
        <v>0.1</v>
      </c>
      <c r="V25">
        <v>11.8</v>
      </c>
      <c r="W25">
        <v>91.4</v>
      </c>
      <c r="X25">
        <v>0.3</v>
      </c>
      <c r="Y25">
        <v>8.3000000000000007</v>
      </c>
      <c r="Z25">
        <v>83.8</v>
      </c>
      <c r="AA25">
        <v>0.2</v>
      </c>
      <c r="AB25">
        <v>16</v>
      </c>
      <c r="AC25">
        <v>91.7</v>
      </c>
      <c r="AD25">
        <v>0</v>
      </c>
      <c r="AE25">
        <v>8.3000000000000007</v>
      </c>
      <c r="AF25">
        <v>99.3</v>
      </c>
      <c r="AG25">
        <v>0</v>
      </c>
      <c r="AH25">
        <v>0.7</v>
      </c>
      <c r="AI25">
        <v>85.1</v>
      </c>
      <c r="AJ25">
        <v>0</v>
      </c>
      <c r="AK25">
        <v>14.9</v>
      </c>
    </row>
    <row r="26" spans="1:37" x14ac:dyDescent="0.25">
      <c r="A26" t="s">
        <v>305</v>
      </c>
      <c r="B26">
        <v>92.8</v>
      </c>
      <c r="C26">
        <v>7.3</v>
      </c>
      <c r="D26" t="s">
        <v>629</v>
      </c>
      <c r="E26">
        <v>95.4</v>
      </c>
      <c r="F26">
        <v>4.4000000000000004</v>
      </c>
      <c r="G26">
        <v>0.2</v>
      </c>
      <c r="H26">
        <v>95.5</v>
      </c>
      <c r="I26">
        <v>2.6</v>
      </c>
      <c r="J26">
        <v>1.9</v>
      </c>
      <c r="K26">
        <v>97.2</v>
      </c>
      <c r="L26">
        <v>1.6</v>
      </c>
      <c r="M26">
        <v>1.2</v>
      </c>
      <c r="N26">
        <v>96.2</v>
      </c>
      <c r="O26">
        <v>1.4</v>
      </c>
      <c r="P26">
        <v>2.4</v>
      </c>
      <c r="Q26">
        <v>95.6</v>
      </c>
      <c r="R26">
        <v>1</v>
      </c>
      <c r="S26">
        <v>3.4</v>
      </c>
      <c r="T26">
        <v>86</v>
      </c>
      <c r="U26">
        <v>1.4</v>
      </c>
      <c r="V26">
        <v>12.6</v>
      </c>
      <c r="W26">
        <v>83.4</v>
      </c>
      <c r="X26">
        <v>0.4</v>
      </c>
      <c r="Y26">
        <v>16.3</v>
      </c>
      <c r="Z26">
        <v>83.5</v>
      </c>
      <c r="AA26">
        <v>1</v>
      </c>
      <c r="AB26">
        <v>15.4</v>
      </c>
      <c r="AC26">
        <v>84</v>
      </c>
      <c r="AD26">
        <v>0</v>
      </c>
      <c r="AE26">
        <v>15.9</v>
      </c>
      <c r="AF26">
        <v>92.6</v>
      </c>
      <c r="AG26">
        <v>0.1</v>
      </c>
      <c r="AH26">
        <v>7.4</v>
      </c>
      <c r="AI26">
        <v>67.099999999999994</v>
      </c>
      <c r="AJ26">
        <v>2.8</v>
      </c>
      <c r="AK26">
        <v>30.1</v>
      </c>
    </row>
    <row r="27" spans="1:37" x14ac:dyDescent="0.25">
      <c r="A27" t="s">
        <v>306</v>
      </c>
      <c r="B27">
        <v>92.2</v>
      </c>
      <c r="C27">
        <v>8</v>
      </c>
      <c r="D27" t="s">
        <v>629</v>
      </c>
      <c r="E27">
        <v>95.1</v>
      </c>
      <c r="F27">
        <v>5.3</v>
      </c>
      <c r="G27" t="s">
        <v>629</v>
      </c>
      <c r="H27">
        <v>95.3</v>
      </c>
      <c r="I27">
        <v>4.8</v>
      </c>
      <c r="J27" t="s">
        <v>629</v>
      </c>
      <c r="K27">
        <v>95</v>
      </c>
      <c r="L27">
        <v>3.3</v>
      </c>
      <c r="M27">
        <v>1.7</v>
      </c>
      <c r="N27">
        <v>95.6</v>
      </c>
      <c r="O27">
        <v>3</v>
      </c>
      <c r="P27">
        <v>1.3</v>
      </c>
      <c r="Q27">
        <v>96.7</v>
      </c>
      <c r="R27">
        <v>1.8</v>
      </c>
      <c r="S27">
        <v>1.5</v>
      </c>
      <c r="T27">
        <v>88</v>
      </c>
      <c r="U27">
        <v>1.3</v>
      </c>
      <c r="V27">
        <v>10.7</v>
      </c>
      <c r="W27">
        <v>87.7</v>
      </c>
      <c r="X27">
        <v>1.6</v>
      </c>
      <c r="Y27">
        <v>10.6</v>
      </c>
      <c r="Z27">
        <v>80.900000000000006</v>
      </c>
      <c r="AA27">
        <v>1.4</v>
      </c>
      <c r="AB27">
        <v>17.7</v>
      </c>
      <c r="AC27">
        <v>85.2</v>
      </c>
      <c r="AD27">
        <v>1.5</v>
      </c>
      <c r="AE27">
        <v>13.2</v>
      </c>
      <c r="AF27">
        <v>91.2</v>
      </c>
      <c r="AG27">
        <v>0.8</v>
      </c>
      <c r="AH27">
        <v>7.9</v>
      </c>
      <c r="AI27">
        <v>45.4</v>
      </c>
      <c r="AJ27">
        <v>7.4</v>
      </c>
      <c r="AK27">
        <v>47.2</v>
      </c>
    </row>
    <row r="28" spans="1:37" x14ac:dyDescent="0.25">
      <c r="A28" t="s">
        <v>307</v>
      </c>
      <c r="B28">
        <v>87</v>
      </c>
      <c r="C28">
        <v>8.5</v>
      </c>
      <c r="D28">
        <v>4.5</v>
      </c>
      <c r="E28">
        <v>89.1</v>
      </c>
      <c r="F28">
        <v>6.1</v>
      </c>
      <c r="G28">
        <v>4.8</v>
      </c>
      <c r="H28">
        <v>89.1</v>
      </c>
      <c r="I28">
        <v>4.8</v>
      </c>
      <c r="J28">
        <v>6.1</v>
      </c>
      <c r="K28">
        <v>91.8</v>
      </c>
      <c r="L28">
        <v>3.9</v>
      </c>
      <c r="M28">
        <v>4.3</v>
      </c>
      <c r="N28">
        <v>91.5</v>
      </c>
      <c r="O28">
        <v>2.7</v>
      </c>
      <c r="P28">
        <v>5.8</v>
      </c>
      <c r="Q28">
        <v>91.1</v>
      </c>
      <c r="R28">
        <v>1.9</v>
      </c>
      <c r="S28">
        <v>7</v>
      </c>
      <c r="T28">
        <v>77.7</v>
      </c>
      <c r="U28">
        <v>2.9</v>
      </c>
      <c r="V28">
        <v>19.399999999999999</v>
      </c>
      <c r="W28">
        <v>83.4</v>
      </c>
      <c r="X28">
        <v>1</v>
      </c>
      <c r="Y28">
        <v>15.6</v>
      </c>
      <c r="Z28">
        <v>81.099999999999994</v>
      </c>
      <c r="AA28">
        <v>2.5</v>
      </c>
      <c r="AB28">
        <v>16.399999999999999</v>
      </c>
      <c r="AC28">
        <v>87.2</v>
      </c>
      <c r="AD28">
        <v>1.2</v>
      </c>
      <c r="AE28">
        <v>11.6</v>
      </c>
      <c r="AF28">
        <v>88.1</v>
      </c>
      <c r="AG28">
        <v>0.7</v>
      </c>
      <c r="AH28">
        <v>11.2</v>
      </c>
      <c r="AI28">
        <v>62.4</v>
      </c>
      <c r="AJ28">
        <v>4.0999999999999996</v>
      </c>
      <c r="AK28">
        <v>33.5</v>
      </c>
    </row>
    <row r="29" spans="1:37" x14ac:dyDescent="0.25">
      <c r="A29" t="s">
        <v>266</v>
      </c>
      <c r="B29">
        <v>87.1</v>
      </c>
      <c r="C29">
        <v>9.6999999999999993</v>
      </c>
      <c r="D29">
        <v>3.1</v>
      </c>
      <c r="E29">
        <v>91.3</v>
      </c>
      <c r="F29">
        <v>6.1</v>
      </c>
      <c r="G29">
        <v>2.6</v>
      </c>
      <c r="H29">
        <v>92.3</v>
      </c>
      <c r="I29">
        <v>4.5999999999999996</v>
      </c>
      <c r="J29">
        <v>3.1</v>
      </c>
      <c r="K29">
        <v>93.7</v>
      </c>
      <c r="L29">
        <v>3.3</v>
      </c>
      <c r="M29">
        <v>3.1</v>
      </c>
      <c r="N29">
        <v>93.4</v>
      </c>
      <c r="O29">
        <v>2.4</v>
      </c>
      <c r="P29">
        <v>4.2</v>
      </c>
      <c r="Q29">
        <v>92.8</v>
      </c>
      <c r="R29">
        <v>1.8</v>
      </c>
      <c r="S29">
        <v>5.4</v>
      </c>
      <c r="T29">
        <v>84.1</v>
      </c>
      <c r="U29">
        <v>1.7</v>
      </c>
      <c r="V29">
        <v>14.2</v>
      </c>
      <c r="W29">
        <v>86.1</v>
      </c>
      <c r="X29">
        <v>1</v>
      </c>
      <c r="Y29">
        <v>12.9</v>
      </c>
      <c r="Z29">
        <v>82.4</v>
      </c>
      <c r="AA29">
        <v>1.8</v>
      </c>
      <c r="AB29">
        <v>15.8</v>
      </c>
      <c r="AC29">
        <v>86.1</v>
      </c>
      <c r="AD29">
        <v>0.9</v>
      </c>
      <c r="AE29">
        <v>12.9</v>
      </c>
      <c r="AF29">
        <v>94.2</v>
      </c>
      <c r="AG29">
        <v>0.5</v>
      </c>
      <c r="AH29">
        <v>5.3</v>
      </c>
      <c r="AI29">
        <v>59.1</v>
      </c>
      <c r="AJ29">
        <v>4.9000000000000004</v>
      </c>
      <c r="AK29">
        <v>36</v>
      </c>
    </row>
    <row r="30" spans="1:37" x14ac:dyDescent="0.25">
      <c r="A30" t="s">
        <v>459</v>
      </c>
      <c r="B30">
        <v>89.5</v>
      </c>
      <c r="C30">
        <v>7.8</v>
      </c>
      <c r="D30">
        <v>2.6</v>
      </c>
      <c r="E30">
        <v>93.9</v>
      </c>
      <c r="F30">
        <v>3.8</v>
      </c>
      <c r="G30">
        <v>2.2999999999999998</v>
      </c>
      <c r="H30">
        <v>94.1</v>
      </c>
      <c r="I30">
        <v>2.7</v>
      </c>
      <c r="J30">
        <v>3.2</v>
      </c>
      <c r="K30">
        <v>96.4</v>
      </c>
      <c r="L30">
        <v>1.8</v>
      </c>
      <c r="M30">
        <v>1.8</v>
      </c>
      <c r="N30">
        <v>94.5</v>
      </c>
      <c r="O30">
        <v>1.3</v>
      </c>
      <c r="P30">
        <v>4.2</v>
      </c>
      <c r="Q30">
        <v>94.7</v>
      </c>
      <c r="R30">
        <v>0.8</v>
      </c>
      <c r="S30">
        <v>4.5999999999999996</v>
      </c>
      <c r="T30">
        <v>86.2</v>
      </c>
      <c r="U30">
        <v>2.1</v>
      </c>
      <c r="V30">
        <v>11.8</v>
      </c>
      <c r="W30">
        <v>92.7</v>
      </c>
      <c r="X30">
        <v>1.4</v>
      </c>
      <c r="Y30">
        <v>6</v>
      </c>
      <c r="Z30">
        <v>82.1</v>
      </c>
      <c r="AA30">
        <v>2.7</v>
      </c>
      <c r="AB30">
        <v>15.2</v>
      </c>
      <c r="AC30">
        <v>90.3</v>
      </c>
      <c r="AD30">
        <v>1.2</v>
      </c>
      <c r="AE30">
        <v>8.6</v>
      </c>
      <c r="AF30">
        <v>99.8</v>
      </c>
      <c r="AG30">
        <v>0.5</v>
      </c>
      <c r="AH30" t="s">
        <v>629</v>
      </c>
      <c r="AI30">
        <v>57</v>
      </c>
      <c r="AJ30">
        <v>5.0999999999999996</v>
      </c>
      <c r="AK30">
        <v>37.9</v>
      </c>
    </row>
    <row r="31" spans="1:37" x14ac:dyDescent="0.25">
      <c r="A31" t="s">
        <v>460</v>
      </c>
      <c r="B31">
        <v>86.7</v>
      </c>
      <c r="C31">
        <v>10.1</v>
      </c>
      <c r="D31">
        <v>3.2</v>
      </c>
      <c r="E31">
        <v>90.8</v>
      </c>
      <c r="F31">
        <v>6.6</v>
      </c>
      <c r="G31">
        <v>2.6</v>
      </c>
      <c r="H31">
        <v>92</v>
      </c>
      <c r="I31">
        <v>4.9000000000000004</v>
      </c>
      <c r="J31">
        <v>3.1</v>
      </c>
      <c r="K31">
        <v>93.1</v>
      </c>
      <c r="L31">
        <v>3.6</v>
      </c>
      <c r="M31">
        <v>3.3</v>
      </c>
      <c r="N31">
        <v>93.2</v>
      </c>
      <c r="O31">
        <v>2.7</v>
      </c>
      <c r="P31">
        <v>4.2</v>
      </c>
      <c r="Q31">
        <v>92.5</v>
      </c>
      <c r="R31">
        <v>2</v>
      </c>
      <c r="S31">
        <v>5.6</v>
      </c>
      <c r="T31">
        <v>83.7</v>
      </c>
      <c r="U31">
        <v>1.6</v>
      </c>
      <c r="V31">
        <v>14.7</v>
      </c>
      <c r="W31">
        <v>84.5</v>
      </c>
      <c r="X31">
        <v>0.9</v>
      </c>
      <c r="Y31">
        <v>14.6</v>
      </c>
      <c r="Z31">
        <v>82.5</v>
      </c>
      <c r="AA31">
        <v>1.6</v>
      </c>
      <c r="AB31">
        <v>15.9</v>
      </c>
      <c r="AC31">
        <v>84.5</v>
      </c>
      <c r="AD31">
        <v>0.8</v>
      </c>
      <c r="AE31">
        <v>14.7</v>
      </c>
      <c r="AF31">
        <v>91.4</v>
      </c>
      <c r="AG31">
        <v>0.5</v>
      </c>
      <c r="AH31">
        <v>8.1</v>
      </c>
      <c r="AI31">
        <v>60.3</v>
      </c>
      <c r="AJ31">
        <v>4.8</v>
      </c>
      <c r="AK31">
        <v>34.799999999999997</v>
      </c>
    </row>
  </sheetData>
  <mergeCells count="14">
    <mergeCell ref="A1:M1"/>
    <mergeCell ref="AF2:AH2"/>
    <mergeCell ref="A2:A3"/>
    <mergeCell ref="H2:J2"/>
    <mergeCell ref="B2:D2"/>
    <mergeCell ref="Q2:S2"/>
    <mergeCell ref="W2:Y2"/>
    <mergeCell ref="T2:V2"/>
    <mergeCell ref="AI2:AK2"/>
    <mergeCell ref="Z2:AB2"/>
    <mergeCell ref="E2:G2"/>
    <mergeCell ref="K2:M2"/>
    <mergeCell ref="N2:P2"/>
    <mergeCell ref="AC2:A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AK31"/>
  <sheetViews>
    <sheetView workbookViewId="0"/>
  </sheetViews>
  <sheetFormatPr defaultRowHeight="15" x14ac:dyDescent="0.25"/>
  <cols>
    <col min="1" max="1" width="25.28515625" customWidth="1"/>
    <col min="2" max="2" width="12.140625" customWidth="1"/>
    <col min="5" max="5" width="11.85546875" customWidth="1"/>
    <col min="6" max="6" width="11.42578125" customWidth="1"/>
    <col min="7" max="7" width="11.85546875" customWidth="1"/>
    <col min="9" max="9" width="11.42578125" customWidth="1"/>
    <col min="10" max="10" width="11.85546875" customWidth="1"/>
    <col min="11" max="11" width="11.42578125" customWidth="1"/>
    <col min="12" max="12" width="11.85546875" customWidth="1"/>
    <col min="13" max="13" width="11.42578125" customWidth="1"/>
  </cols>
  <sheetData>
    <row r="1" spans="1:37" x14ac:dyDescent="0.25">
      <c r="A1" s="29" t="s">
        <v>632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37" x14ac:dyDescent="0.25">
      <c r="A2" s="29" t="s">
        <v>252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87.5</v>
      </c>
      <c r="C4">
        <v>8</v>
      </c>
      <c r="D4">
        <v>4.4000000000000004</v>
      </c>
      <c r="E4">
        <v>90.9</v>
      </c>
      <c r="F4">
        <v>5.7</v>
      </c>
      <c r="G4">
        <v>3.4</v>
      </c>
      <c r="H4">
        <v>88.9</v>
      </c>
      <c r="I4">
        <v>4.5</v>
      </c>
      <c r="J4">
        <v>6.7</v>
      </c>
      <c r="K4">
        <v>89</v>
      </c>
      <c r="L4">
        <v>4.2</v>
      </c>
      <c r="M4">
        <v>6.8</v>
      </c>
      <c r="N4">
        <v>91.9</v>
      </c>
      <c r="O4">
        <v>2.8</v>
      </c>
      <c r="P4">
        <v>5.3</v>
      </c>
      <c r="Q4">
        <v>90.5</v>
      </c>
      <c r="R4">
        <v>1.7</v>
      </c>
      <c r="S4">
        <v>7.7</v>
      </c>
      <c r="T4">
        <v>77.5</v>
      </c>
      <c r="U4">
        <v>2.9</v>
      </c>
      <c r="V4">
        <v>19.600000000000001</v>
      </c>
      <c r="W4">
        <v>81.8</v>
      </c>
      <c r="X4">
        <v>0.9</v>
      </c>
      <c r="Y4">
        <v>17.2</v>
      </c>
      <c r="Z4">
        <v>72.900000000000006</v>
      </c>
      <c r="AA4">
        <v>4.7</v>
      </c>
      <c r="AB4">
        <v>22.4</v>
      </c>
      <c r="AC4">
        <v>84.5</v>
      </c>
      <c r="AD4">
        <v>0.3</v>
      </c>
      <c r="AE4">
        <v>15.3</v>
      </c>
      <c r="AF4">
        <v>89.3</v>
      </c>
      <c r="AG4">
        <v>0.5</v>
      </c>
      <c r="AH4">
        <v>10.3</v>
      </c>
      <c r="AI4">
        <v>40.9</v>
      </c>
      <c r="AJ4">
        <v>6</v>
      </c>
      <c r="AK4">
        <v>53.1</v>
      </c>
    </row>
    <row r="5" spans="1:37" x14ac:dyDescent="0.25">
      <c r="A5" t="s">
        <v>284</v>
      </c>
      <c r="B5">
        <v>81</v>
      </c>
      <c r="C5">
        <v>13.8</v>
      </c>
      <c r="D5">
        <v>5.2</v>
      </c>
      <c r="E5">
        <v>86.1</v>
      </c>
      <c r="F5">
        <v>8.9</v>
      </c>
      <c r="G5">
        <v>4.9000000000000004</v>
      </c>
      <c r="H5">
        <v>87.6</v>
      </c>
      <c r="I5">
        <v>7.3</v>
      </c>
      <c r="J5">
        <v>5.0999999999999996</v>
      </c>
      <c r="K5">
        <v>88.6</v>
      </c>
      <c r="L5">
        <v>4.9000000000000004</v>
      </c>
      <c r="M5">
        <v>6.5</v>
      </c>
      <c r="N5">
        <v>88.8</v>
      </c>
      <c r="O5">
        <v>3.3</v>
      </c>
      <c r="P5">
        <v>7.8</v>
      </c>
      <c r="Q5">
        <v>85</v>
      </c>
      <c r="R5">
        <v>3.3</v>
      </c>
      <c r="S5">
        <v>11.7</v>
      </c>
      <c r="T5">
        <v>76</v>
      </c>
      <c r="U5">
        <v>4.8</v>
      </c>
      <c r="V5">
        <v>19.2</v>
      </c>
      <c r="W5">
        <v>80.2</v>
      </c>
      <c r="X5">
        <v>3.8</v>
      </c>
      <c r="Y5">
        <v>16.100000000000001</v>
      </c>
      <c r="Z5">
        <v>77.099999999999994</v>
      </c>
      <c r="AA5">
        <v>4.9000000000000004</v>
      </c>
      <c r="AB5">
        <v>18</v>
      </c>
      <c r="AC5">
        <v>86</v>
      </c>
      <c r="AD5">
        <v>1.5</v>
      </c>
      <c r="AE5">
        <v>12.5</v>
      </c>
      <c r="AF5">
        <v>89.5</v>
      </c>
      <c r="AG5">
        <v>1.2</v>
      </c>
      <c r="AH5">
        <v>9.3000000000000007</v>
      </c>
      <c r="AI5">
        <v>49.9</v>
      </c>
      <c r="AJ5">
        <v>7</v>
      </c>
      <c r="AK5">
        <v>43.2</v>
      </c>
    </row>
    <row r="6" spans="1:37" x14ac:dyDescent="0.25">
      <c r="A6" t="s">
        <v>285</v>
      </c>
      <c r="B6">
        <v>79.7</v>
      </c>
      <c r="C6">
        <v>16.100000000000001</v>
      </c>
      <c r="D6">
        <v>4.2</v>
      </c>
      <c r="E6">
        <v>81.099999999999994</v>
      </c>
      <c r="F6">
        <v>13.7</v>
      </c>
      <c r="G6">
        <v>5.3</v>
      </c>
      <c r="H6">
        <v>82.5</v>
      </c>
      <c r="I6">
        <v>11.6</v>
      </c>
      <c r="J6">
        <v>5.9</v>
      </c>
      <c r="K6">
        <v>84.2</v>
      </c>
      <c r="L6">
        <v>9.8000000000000007</v>
      </c>
      <c r="M6">
        <v>6</v>
      </c>
      <c r="N6">
        <v>86</v>
      </c>
      <c r="O6">
        <v>8</v>
      </c>
      <c r="P6">
        <v>6</v>
      </c>
      <c r="Q6">
        <v>85</v>
      </c>
      <c r="R6">
        <v>5.3</v>
      </c>
      <c r="S6">
        <v>9.6</v>
      </c>
      <c r="T6">
        <v>77.3</v>
      </c>
      <c r="U6">
        <v>5.4</v>
      </c>
      <c r="V6">
        <v>17.3</v>
      </c>
      <c r="W6">
        <v>81.2</v>
      </c>
      <c r="X6">
        <v>3.8</v>
      </c>
      <c r="Y6">
        <v>15</v>
      </c>
      <c r="Z6">
        <v>75</v>
      </c>
      <c r="AA6">
        <v>5.9</v>
      </c>
      <c r="AB6">
        <v>19.100000000000001</v>
      </c>
      <c r="AC6">
        <v>81</v>
      </c>
      <c r="AD6">
        <v>2.5</v>
      </c>
      <c r="AE6">
        <v>16.5</v>
      </c>
      <c r="AF6">
        <v>85.9</v>
      </c>
      <c r="AG6">
        <v>1</v>
      </c>
      <c r="AH6">
        <v>13</v>
      </c>
      <c r="AI6">
        <v>39.1</v>
      </c>
      <c r="AJ6">
        <v>7.6</v>
      </c>
      <c r="AK6">
        <v>53.3</v>
      </c>
    </row>
    <row r="7" spans="1:37" x14ac:dyDescent="0.25">
      <c r="A7" t="s">
        <v>286</v>
      </c>
      <c r="B7">
        <v>86.7</v>
      </c>
      <c r="C7">
        <v>12.4</v>
      </c>
      <c r="D7">
        <v>0.9</v>
      </c>
      <c r="E7">
        <v>89.1</v>
      </c>
      <c r="F7">
        <v>9.8000000000000007</v>
      </c>
      <c r="G7">
        <v>1.1000000000000001</v>
      </c>
      <c r="H7">
        <v>89.5</v>
      </c>
      <c r="I7">
        <v>7.9</v>
      </c>
      <c r="J7">
        <v>2.6</v>
      </c>
      <c r="K7">
        <v>89.4</v>
      </c>
      <c r="L7">
        <v>6.3</v>
      </c>
      <c r="M7">
        <v>4.3</v>
      </c>
      <c r="N7">
        <v>92.2</v>
      </c>
      <c r="O7">
        <v>4.5</v>
      </c>
      <c r="P7">
        <v>3.4</v>
      </c>
      <c r="Q7">
        <v>91.3</v>
      </c>
      <c r="R7">
        <v>3</v>
      </c>
      <c r="S7">
        <v>5.7</v>
      </c>
      <c r="T7">
        <v>80</v>
      </c>
      <c r="U7">
        <v>4</v>
      </c>
      <c r="V7">
        <v>16</v>
      </c>
      <c r="W7">
        <v>84.6</v>
      </c>
      <c r="X7">
        <v>1.7</v>
      </c>
      <c r="Y7">
        <v>13.6</v>
      </c>
      <c r="Z7">
        <v>82.2</v>
      </c>
      <c r="AA7">
        <v>2.7</v>
      </c>
      <c r="AB7">
        <v>15.1</v>
      </c>
      <c r="AC7">
        <v>82</v>
      </c>
      <c r="AD7">
        <v>1.5</v>
      </c>
      <c r="AE7">
        <v>16.5</v>
      </c>
      <c r="AF7">
        <v>89.4</v>
      </c>
      <c r="AG7">
        <v>1.3</v>
      </c>
      <c r="AH7">
        <v>9.1999999999999993</v>
      </c>
      <c r="AI7">
        <v>40.799999999999997</v>
      </c>
      <c r="AJ7">
        <v>11.5</v>
      </c>
      <c r="AK7">
        <v>47.7</v>
      </c>
    </row>
    <row r="8" spans="1:37" x14ac:dyDescent="0.25">
      <c r="A8" t="s">
        <v>287</v>
      </c>
      <c r="B8">
        <v>86.3</v>
      </c>
      <c r="C8">
        <v>10.5</v>
      </c>
      <c r="D8">
        <v>3.3</v>
      </c>
      <c r="E8">
        <v>91.9</v>
      </c>
      <c r="F8">
        <v>7.1</v>
      </c>
      <c r="G8">
        <v>1.1000000000000001</v>
      </c>
      <c r="H8">
        <v>91</v>
      </c>
      <c r="I8">
        <v>5</v>
      </c>
      <c r="J8">
        <v>4</v>
      </c>
      <c r="K8">
        <v>92.3</v>
      </c>
      <c r="L8">
        <v>3.9</v>
      </c>
      <c r="M8">
        <v>3.9</v>
      </c>
      <c r="N8">
        <v>92.5</v>
      </c>
      <c r="O8">
        <v>3.1</v>
      </c>
      <c r="P8">
        <v>4.4000000000000004</v>
      </c>
      <c r="Q8">
        <v>93.7</v>
      </c>
      <c r="R8">
        <v>3.5</v>
      </c>
      <c r="S8">
        <v>2.8</v>
      </c>
      <c r="T8">
        <v>79.3</v>
      </c>
      <c r="U8">
        <v>2.2000000000000002</v>
      </c>
      <c r="V8">
        <v>18.399999999999999</v>
      </c>
      <c r="W8">
        <v>85.4</v>
      </c>
      <c r="X8">
        <v>0.8</v>
      </c>
      <c r="Y8">
        <v>13.8</v>
      </c>
      <c r="Z8">
        <v>80.2</v>
      </c>
      <c r="AA8">
        <v>3</v>
      </c>
      <c r="AB8">
        <v>16.8</v>
      </c>
      <c r="AC8">
        <v>84.2</v>
      </c>
      <c r="AD8">
        <v>0.1</v>
      </c>
      <c r="AE8">
        <v>15.7</v>
      </c>
      <c r="AF8">
        <v>92.4</v>
      </c>
      <c r="AG8">
        <v>0.3</v>
      </c>
      <c r="AH8">
        <v>7.3</v>
      </c>
      <c r="AI8">
        <v>71.7</v>
      </c>
      <c r="AJ8">
        <v>1.9</v>
      </c>
      <c r="AK8">
        <v>26.4</v>
      </c>
    </row>
    <row r="9" spans="1:37" x14ac:dyDescent="0.25">
      <c r="A9" t="s">
        <v>288</v>
      </c>
      <c r="B9">
        <v>78.8</v>
      </c>
      <c r="C9">
        <v>17.399999999999999</v>
      </c>
      <c r="D9">
        <v>3.7</v>
      </c>
      <c r="E9">
        <v>86.9</v>
      </c>
      <c r="F9">
        <v>11.4</v>
      </c>
      <c r="G9">
        <v>1.7</v>
      </c>
      <c r="H9">
        <v>85</v>
      </c>
      <c r="I9">
        <v>9.3000000000000007</v>
      </c>
      <c r="J9">
        <v>5.7</v>
      </c>
      <c r="K9">
        <v>86.7</v>
      </c>
      <c r="L9">
        <v>9.1</v>
      </c>
      <c r="M9">
        <v>4.0999999999999996</v>
      </c>
      <c r="N9">
        <v>86.4</v>
      </c>
      <c r="O9">
        <v>5.6</v>
      </c>
      <c r="P9">
        <v>7.9</v>
      </c>
      <c r="Q9">
        <v>85.9</v>
      </c>
      <c r="R9">
        <v>3.8</v>
      </c>
      <c r="S9">
        <v>10.199999999999999</v>
      </c>
      <c r="T9">
        <v>74.8</v>
      </c>
      <c r="U9">
        <v>3.9</v>
      </c>
      <c r="V9">
        <v>21.3</v>
      </c>
      <c r="W9">
        <v>86.1</v>
      </c>
      <c r="X9">
        <v>2.4</v>
      </c>
      <c r="Y9">
        <v>11.5</v>
      </c>
      <c r="Z9">
        <v>75.7</v>
      </c>
      <c r="AA9">
        <v>6.7</v>
      </c>
      <c r="AB9">
        <v>17.600000000000001</v>
      </c>
      <c r="AC9">
        <v>83.8</v>
      </c>
      <c r="AD9">
        <v>2.6</v>
      </c>
      <c r="AE9">
        <v>13.5</v>
      </c>
      <c r="AF9">
        <v>91.6</v>
      </c>
      <c r="AG9">
        <v>0.5</v>
      </c>
      <c r="AH9">
        <v>7.9</v>
      </c>
      <c r="AI9">
        <v>66.3</v>
      </c>
      <c r="AJ9">
        <v>4.0999999999999996</v>
      </c>
      <c r="AK9">
        <v>29.6</v>
      </c>
    </row>
    <row r="10" spans="1:37" x14ac:dyDescent="0.25">
      <c r="A10" t="s">
        <v>289</v>
      </c>
      <c r="B10">
        <v>84.6</v>
      </c>
      <c r="C10">
        <v>9.1999999999999993</v>
      </c>
      <c r="D10">
        <v>6.3</v>
      </c>
      <c r="E10">
        <v>91</v>
      </c>
      <c r="F10">
        <v>6.8</v>
      </c>
      <c r="G10">
        <v>2.2000000000000002</v>
      </c>
      <c r="H10">
        <v>89.4</v>
      </c>
      <c r="I10">
        <v>5.8</v>
      </c>
      <c r="J10">
        <v>4.8</v>
      </c>
      <c r="K10">
        <v>90.9</v>
      </c>
      <c r="L10">
        <v>3.6</v>
      </c>
      <c r="M10">
        <v>5.5</v>
      </c>
      <c r="N10">
        <v>88.1</v>
      </c>
      <c r="O10">
        <v>3</v>
      </c>
      <c r="P10">
        <v>8.9</v>
      </c>
      <c r="Q10">
        <v>92.1</v>
      </c>
      <c r="R10">
        <v>2</v>
      </c>
      <c r="S10">
        <v>5.9</v>
      </c>
      <c r="T10">
        <v>77</v>
      </c>
      <c r="U10">
        <v>3.9</v>
      </c>
      <c r="V10">
        <v>19.2</v>
      </c>
      <c r="W10">
        <v>82</v>
      </c>
      <c r="X10">
        <v>2.8</v>
      </c>
      <c r="Y10">
        <v>15.2</v>
      </c>
      <c r="Z10">
        <v>73.900000000000006</v>
      </c>
      <c r="AA10">
        <v>6</v>
      </c>
      <c r="AB10">
        <v>20.100000000000001</v>
      </c>
      <c r="AC10">
        <v>83.3</v>
      </c>
      <c r="AD10">
        <v>1.8</v>
      </c>
      <c r="AE10">
        <v>14.9</v>
      </c>
      <c r="AF10">
        <v>89.9</v>
      </c>
      <c r="AG10">
        <v>1.5</v>
      </c>
      <c r="AH10">
        <v>8.6</v>
      </c>
      <c r="AI10">
        <v>64.900000000000006</v>
      </c>
      <c r="AJ10">
        <v>4.4000000000000004</v>
      </c>
      <c r="AK10">
        <v>30.8</v>
      </c>
    </row>
    <row r="11" spans="1:37" x14ac:dyDescent="0.25">
      <c r="A11" t="s">
        <v>290</v>
      </c>
      <c r="B11">
        <v>84.2</v>
      </c>
      <c r="C11">
        <v>16.100000000000001</v>
      </c>
      <c r="D11" t="s">
        <v>629</v>
      </c>
      <c r="E11">
        <v>86.7</v>
      </c>
      <c r="F11">
        <v>13.1</v>
      </c>
      <c r="G11">
        <v>0.2</v>
      </c>
      <c r="H11">
        <v>86.5</v>
      </c>
      <c r="I11">
        <v>10.8</v>
      </c>
      <c r="J11">
        <v>2.6</v>
      </c>
      <c r="K11">
        <v>86.8</v>
      </c>
      <c r="L11">
        <v>9.1</v>
      </c>
      <c r="M11">
        <v>4.0999999999999996</v>
      </c>
      <c r="N11">
        <v>88.6</v>
      </c>
      <c r="O11">
        <v>7.5</v>
      </c>
      <c r="P11">
        <v>4</v>
      </c>
      <c r="Q11">
        <v>89.3</v>
      </c>
      <c r="R11">
        <v>5.5</v>
      </c>
      <c r="S11">
        <v>5.0999999999999996</v>
      </c>
      <c r="T11">
        <v>76.5</v>
      </c>
      <c r="U11">
        <v>6.2</v>
      </c>
      <c r="V11">
        <v>17.3</v>
      </c>
      <c r="W11">
        <v>82.9</v>
      </c>
      <c r="X11">
        <v>3.3</v>
      </c>
      <c r="Y11">
        <v>13.8</v>
      </c>
      <c r="Z11">
        <v>77.099999999999994</v>
      </c>
      <c r="AA11">
        <v>4.8</v>
      </c>
      <c r="AB11">
        <v>18</v>
      </c>
      <c r="AC11">
        <v>78.2</v>
      </c>
      <c r="AD11">
        <v>2.1</v>
      </c>
      <c r="AE11">
        <v>19.600000000000001</v>
      </c>
      <c r="AF11">
        <v>85.5</v>
      </c>
      <c r="AG11">
        <v>2</v>
      </c>
      <c r="AH11">
        <v>12.5</v>
      </c>
      <c r="AI11">
        <v>46.1</v>
      </c>
      <c r="AJ11">
        <v>8.6999999999999993</v>
      </c>
      <c r="AK11">
        <v>45.2</v>
      </c>
    </row>
    <row r="12" spans="1:37" x14ac:dyDescent="0.25">
      <c r="A12" t="s">
        <v>291</v>
      </c>
      <c r="B12">
        <v>89.8</v>
      </c>
      <c r="C12">
        <v>10.5</v>
      </c>
      <c r="D12" t="s">
        <v>629</v>
      </c>
      <c r="E12">
        <v>88.9</v>
      </c>
      <c r="F12">
        <v>5.9</v>
      </c>
      <c r="G12">
        <v>5.2</v>
      </c>
      <c r="H12">
        <v>89.4</v>
      </c>
      <c r="I12">
        <v>3.6</v>
      </c>
      <c r="J12">
        <v>7</v>
      </c>
      <c r="K12">
        <v>96.6</v>
      </c>
      <c r="L12">
        <v>2.1</v>
      </c>
      <c r="M12">
        <v>1.3</v>
      </c>
      <c r="N12">
        <v>91.6</v>
      </c>
      <c r="O12">
        <v>1.1000000000000001</v>
      </c>
      <c r="P12">
        <v>7.4</v>
      </c>
      <c r="Q12">
        <v>89.9</v>
      </c>
      <c r="R12">
        <v>4.3</v>
      </c>
      <c r="S12">
        <v>5.9</v>
      </c>
      <c r="T12">
        <v>78</v>
      </c>
      <c r="U12">
        <v>7.9</v>
      </c>
      <c r="V12">
        <v>14.1</v>
      </c>
      <c r="W12">
        <v>81.099999999999994</v>
      </c>
      <c r="X12">
        <v>3.8</v>
      </c>
      <c r="Y12">
        <v>15</v>
      </c>
      <c r="Z12">
        <v>86.8</v>
      </c>
      <c r="AA12">
        <v>5.8</v>
      </c>
      <c r="AB12">
        <v>7.4</v>
      </c>
      <c r="AC12">
        <v>85.5</v>
      </c>
      <c r="AD12">
        <v>3.4</v>
      </c>
      <c r="AE12">
        <v>11.2</v>
      </c>
      <c r="AF12">
        <v>93.2</v>
      </c>
      <c r="AG12">
        <v>3</v>
      </c>
      <c r="AH12">
        <v>3.8</v>
      </c>
      <c r="AI12">
        <v>91.9</v>
      </c>
      <c r="AJ12">
        <v>0</v>
      </c>
      <c r="AK12">
        <v>8.1</v>
      </c>
    </row>
    <row r="13" spans="1:37" x14ac:dyDescent="0.25">
      <c r="A13" t="s">
        <v>292</v>
      </c>
      <c r="B13">
        <v>79.900000000000006</v>
      </c>
      <c r="C13">
        <v>9.1999999999999993</v>
      </c>
      <c r="D13">
        <v>10.9</v>
      </c>
      <c r="E13">
        <v>84.1</v>
      </c>
      <c r="F13">
        <v>6.4</v>
      </c>
      <c r="G13">
        <v>9.5</v>
      </c>
      <c r="H13">
        <v>85.2</v>
      </c>
      <c r="I13">
        <v>5</v>
      </c>
      <c r="J13">
        <v>9.8000000000000007</v>
      </c>
      <c r="K13">
        <v>88.6</v>
      </c>
      <c r="L13">
        <v>3.3</v>
      </c>
      <c r="M13">
        <v>8.1</v>
      </c>
      <c r="N13">
        <v>88.8</v>
      </c>
      <c r="O13">
        <v>3.3</v>
      </c>
      <c r="P13">
        <v>7.9</v>
      </c>
      <c r="Q13">
        <v>93.7</v>
      </c>
      <c r="R13">
        <v>0.6</v>
      </c>
      <c r="S13">
        <v>5.7</v>
      </c>
      <c r="T13">
        <v>80.599999999999994</v>
      </c>
      <c r="U13">
        <v>1</v>
      </c>
      <c r="V13">
        <v>18.399999999999999</v>
      </c>
      <c r="W13">
        <v>89.3</v>
      </c>
      <c r="X13">
        <v>2.5</v>
      </c>
      <c r="Y13">
        <v>8.1999999999999993</v>
      </c>
      <c r="Z13">
        <v>81.5</v>
      </c>
      <c r="AA13">
        <v>5.8</v>
      </c>
      <c r="AB13">
        <v>12.8</v>
      </c>
      <c r="AC13">
        <v>83.1</v>
      </c>
      <c r="AD13">
        <v>0.2</v>
      </c>
      <c r="AE13">
        <v>16.600000000000001</v>
      </c>
      <c r="AF13">
        <v>90.6</v>
      </c>
      <c r="AG13">
        <v>0</v>
      </c>
      <c r="AH13">
        <v>9.4</v>
      </c>
      <c r="AI13">
        <v>45.2</v>
      </c>
      <c r="AJ13">
        <v>7.1</v>
      </c>
      <c r="AK13">
        <v>47.6</v>
      </c>
    </row>
    <row r="14" spans="1:37" x14ac:dyDescent="0.25">
      <c r="A14" t="s">
        <v>293</v>
      </c>
      <c r="B14">
        <v>77</v>
      </c>
      <c r="C14">
        <v>16.399999999999999</v>
      </c>
      <c r="D14">
        <v>6.6</v>
      </c>
      <c r="E14">
        <v>82.2</v>
      </c>
      <c r="F14">
        <v>11.3</v>
      </c>
      <c r="G14">
        <v>6.5</v>
      </c>
      <c r="H14">
        <v>80.2</v>
      </c>
      <c r="I14">
        <v>9</v>
      </c>
      <c r="J14">
        <v>10.8</v>
      </c>
      <c r="K14">
        <v>82.4</v>
      </c>
      <c r="L14">
        <v>7.7</v>
      </c>
      <c r="M14">
        <v>9.9</v>
      </c>
      <c r="N14">
        <v>84</v>
      </c>
      <c r="O14">
        <v>3.8</v>
      </c>
      <c r="P14">
        <v>12.2</v>
      </c>
      <c r="Q14">
        <v>82.2</v>
      </c>
      <c r="R14">
        <v>3.5</v>
      </c>
      <c r="S14">
        <v>14.4</v>
      </c>
      <c r="T14">
        <v>76.5</v>
      </c>
      <c r="U14">
        <v>3.2</v>
      </c>
      <c r="V14">
        <v>20.3</v>
      </c>
      <c r="W14">
        <v>84.7</v>
      </c>
      <c r="X14">
        <v>1.7</v>
      </c>
      <c r="Y14">
        <v>13.5</v>
      </c>
      <c r="Z14">
        <v>74.400000000000006</v>
      </c>
      <c r="AA14">
        <v>3.9</v>
      </c>
      <c r="AB14">
        <v>21.7</v>
      </c>
      <c r="AC14">
        <v>86.7</v>
      </c>
      <c r="AD14">
        <v>1.3</v>
      </c>
      <c r="AE14">
        <v>12</v>
      </c>
      <c r="AF14">
        <v>95.8</v>
      </c>
      <c r="AG14">
        <v>0.7</v>
      </c>
      <c r="AH14">
        <v>3.5</v>
      </c>
      <c r="AI14">
        <v>45.4</v>
      </c>
      <c r="AJ14">
        <v>9.5</v>
      </c>
      <c r="AK14">
        <v>45.1</v>
      </c>
    </row>
    <row r="15" spans="1:37" x14ac:dyDescent="0.25">
      <c r="A15" t="s">
        <v>294</v>
      </c>
      <c r="B15">
        <v>81.900000000000006</v>
      </c>
      <c r="C15">
        <v>8.5</v>
      </c>
      <c r="D15">
        <v>9.6</v>
      </c>
      <c r="E15">
        <v>86.1</v>
      </c>
      <c r="F15">
        <v>6.4</v>
      </c>
      <c r="G15">
        <v>7.5</v>
      </c>
      <c r="H15">
        <v>84.8</v>
      </c>
      <c r="I15">
        <v>4.2</v>
      </c>
      <c r="J15">
        <v>11</v>
      </c>
      <c r="K15">
        <v>87.1</v>
      </c>
      <c r="L15">
        <v>4.5</v>
      </c>
      <c r="M15">
        <v>8.4</v>
      </c>
      <c r="N15">
        <v>82.3</v>
      </c>
      <c r="O15">
        <v>3.9</v>
      </c>
      <c r="P15">
        <v>13.8</v>
      </c>
      <c r="Q15">
        <v>87.5</v>
      </c>
      <c r="R15">
        <v>2.9</v>
      </c>
      <c r="S15">
        <v>9.5</v>
      </c>
      <c r="T15">
        <v>76.8</v>
      </c>
      <c r="U15">
        <v>4.4000000000000004</v>
      </c>
      <c r="V15">
        <v>18.8</v>
      </c>
      <c r="W15">
        <v>78.8</v>
      </c>
      <c r="X15">
        <v>3.7</v>
      </c>
      <c r="Y15">
        <v>17.5</v>
      </c>
      <c r="Z15">
        <v>71.400000000000006</v>
      </c>
      <c r="AA15">
        <v>8.9</v>
      </c>
      <c r="AB15">
        <v>19.7</v>
      </c>
      <c r="AC15">
        <v>82.7</v>
      </c>
      <c r="AD15">
        <v>0</v>
      </c>
      <c r="AE15">
        <v>17.3</v>
      </c>
      <c r="AF15">
        <v>97.5</v>
      </c>
      <c r="AG15">
        <v>0.6</v>
      </c>
      <c r="AH15">
        <v>1.8</v>
      </c>
      <c r="AI15">
        <v>89</v>
      </c>
      <c r="AJ15">
        <v>1.6</v>
      </c>
      <c r="AK15">
        <v>9.4</v>
      </c>
    </row>
    <row r="16" spans="1:37" x14ac:dyDescent="0.25">
      <c r="A16" t="s">
        <v>295</v>
      </c>
      <c r="B16">
        <v>77.7</v>
      </c>
      <c r="C16">
        <v>15.1</v>
      </c>
      <c r="D16">
        <v>7.1</v>
      </c>
      <c r="E16">
        <v>83</v>
      </c>
      <c r="F16">
        <v>9.8000000000000007</v>
      </c>
      <c r="G16">
        <v>7.1</v>
      </c>
      <c r="H16">
        <v>85.4</v>
      </c>
      <c r="I16">
        <v>9.6</v>
      </c>
      <c r="J16">
        <v>5</v>
      </c>
      <c r="K16">
        <v>85.4</v>
      </c>
      <c r="L16">
        <v>6.8</v>
      </c>
      <c r="M16">
        <v>7.9</v>
      </c>
      <c r="N16">
        <v>85.8</v>
      </c>
      <c r="O16">
        <v>5.2</v>
      </c>
      <c r="P16">
        <v>9</v>
      </c>
      <c r="Q16">
        <v>80.8</v>
      </c>
      <c r="R16">
        <v>4.2</v>
      </c>
      <c r="S16">
        <v>15</v>
      </c>
      <c r="T16">
        <v>79.099999999999994</v>
      </c>
      <c r="U16">
        <v>4.8</v>
      </c>
      <c r="V16">
        <v>16.100000000000001</v>
      </c>
      <c r="W16">
        <v>80.8</v>
      </c>
      <c r="X16">
        <v>2.2999999999999998</v>
      </c>
      <c r="Y16">
        <v>17</v>
      </c>
      <c r="Z16">
        <v>70.099999999999994</v>
      </c>
      <c r="AA16">
        <v>8.1999999999999993</v>
      </c>
      <c r="AB16">
        <v>21.7</v>
      </c>
      <c r="AC16">
        <v>80.8</v>
      </c>
      <c r="AD16">
        <v>1.8</v>
      </c>
      <c r="AE16">
        <v>17.399999999999999</v>
      </c>
      <c r="AF16">
        <v>89.7</v>
      </c>
      <c r="AG16">
        <v>1.5</v>
      </c>
      <c r="AH16">
        <v>8.8000000000000007</v>
      </c>
      <c r="AI16">
        <v>87.1</v>
      </c>
      <c r="AJ16">
        <v>2.2999999999999998</v>
      </c>
      <c r="AK16">
        <v>10.6</v>
      </c>
    </row>
    <row r="17" spans="1:37" x14ac:dyDescent="0.25">
      <c r="A17" t="s">
        <v>296</v>
      </c>
      <c r="B17">
        <v>80.2</v>
      </c>
      <c r="C17">
        <v>13.3</v>
      </c>
      <c r="D17">
        <v>6.5</v>
      </c>
      <c r="E17">
        <v>85.2</v>
      </c>
      <c r="F17">
        <v>10.199999999999999</v>
      </c>
      <c r="G17">
        <v>4.5</v>
      </c>
      <c r="H17">
        <v>82.6</v>
      </c>
      <c r="I17">
        <v>8.1</v>
      </c>
      <c r="J17">
        <v>9.3000000000000007</v>
      </c>
      <c r="K17">
        <v>85.4</v>
      </c>
      <c r="L17">
        <v>6.1</v>
      </c>
      <c r="M17">
        <v>8.5</v>
      </c>
      <c r="N17">
        <v>87.3</v>
      </c>
      <c r="O17">
        <v>4.3</v>
      </c>
      <c r="P17">
        <v>8.4</v>
      </c>
      <c r="Q17">
        <v>93.3</v>
      </c>
      <c r="R17">
        <v>1.6</v>
      </c>
      <c r="S17">
        <v>5.0999999999999996</v>
      </c>
      <c r="T17">
        <v>68.099999999999994</v>
      </c>
      <c r="U17">
        <v>7.4</v>
      </c>
      <c r="V17">
        <v>24.5</v>
      </c>
      <c r="W17">
        <v>84.8</v>
      </c>
      <c r="X17">
        <v>5.3</v>
      </c>
      <c r="Y17">
        <v>9.9</v>
      </c>
      <c r="Z17">
        <v>68.2</v>
      </c>
      <c r="AA17">
        <v>7.4</v>
      </c>
      <c r="AB17">
        <v>24.4</v>
      </c>
      <c r="AC17">
        <v>78.900000000000006</v>
      </c>
      <c r="AD17">
        <v>2.8</v>
      </c>
      <c r="AE17">
        <v>18.3</v>
      </c>
      <c r="AF17">
        <v>88.5</v>
      </c>
      <c r="AG17">
        <v>1.6</v>
      </c>
      <c r="AH17">
        <v>9.9</v>
      </c>
      <c r="AI17">
        <v>56.7</v>
      </c>
      <c r="AJ17">
        <v>4</v>
      </c>
      <c r="AK17">
        <v>39.299999999999997</v>
      </c>
    </row>
    <row r="18" spans="1:37" x14ac:dyDescent="0.25">
      <c r="A18" t="s">
        <v>297</v>
      </c>
      <c r="B18">
        <v>88.8</v>
      </c>
      <c r="C18">
        <v>7.2</v>
      </c>
      <c r="D18">
        <v>4.0999999999999996</v>
      </c>
      <c r="E18">
        <v>93.3</v>
      </c>
      <c r="F18">
        <v>4.4000000000000004</v>
      </c>
      <c r="G18">
        <v>2.2999999999999998</v>
      </c>
      <c r="H18">
        <v>94.8</v>
      </c>
      <c r="I18">
        <v>3.5</v>
      </c>
      <c r="J18">
        <v>1.8</v>
      </c>
      <c r="K18">
        <v>94.7</v>
      </c>
      <c r="L18">
        <v>2.6</v>
      </c>
      <c r="M18">
        <v>2.7</v>
      </c>
      <c r="N18">
        <v>94.5</v>
      </c>
      <c r="O18">
        <v>2.1</v>
      </c>
      <c r="P18">
        <v>3.4</v>
      </c>
      <c r="Q18">
        <v>129</v>
      </c>
      <c r="R18">
        <v>1.1000000000000001</v>
      </c>
      <c r="S18" t="s">
        <v>629</v>
      </c>
      <c r="T18">
        <v>85.4</v>
      </c>
      <c r="U18">
        <v>3.8</v>
      </c>
      <c r="V18">
        <v>10.8</v>
      </c>
      <c r="W18">
        <v>91</v>
      </c>
      <c r="X18">
        <v>2.2999999999999998</v>
      </c>
      <c r="Y18">
        <v>6.7</v>
      </c>
      <c r="Z18">
        <v>74.099999999999994</v>
      </c>
      <c r="AA18">
        <v>4.4000000000000004</v>
      </c>
      <c r="AB18">
        <v>21.5</v>
      </c>
      <c r="AC18">
        <v>97.1</v>
      </c>
      <c r="AD18">
        <v>1.1000000000000001</v>
      </c>
      <c r="AE18">
        <v>1.8</v>
      </c>
      <c r="AF18">
        <v>106.8</v>
      </c>
      <c r="AG18">
        <v>0.7</v>
      </c>
      <c r="AH18" t="s">
        <v>629</v>
      </c>
      <c r="AI18">
        <v>41.5</v>
      </c>
      <c r="AJ18">
        <v>7.9</v>
      </c>
      <c r="AK18">
        <v>50.6</v>
      </c>
    </row>
    <row r="19" spans="1:37" x14ac:dyDescent="0.25">
      <c r="A19" t="s">
        <v>298</v>
      </c>
      <c r="B19">
        <v>90.3</v>
      </c>
      <c r="C19">
        <v>7</v>
      </c>
      <c r="D19">
        <v>2.7</v>
      </c>
      <c r="E19">
        <v>90.9</v>
      </c>
      <c r="F19">
        <v>5.6</v>
      </c>
      <c r="G19">
        <v>3.5</v>
      </c>
      <c r="H19">
        <v>94.8</v>
      </c>
      <c r="I19">
        <v>3.4</v>
      </c>
      <c r="J19">
        <v>1.8</v>
      </c>
      <c r="K19">
        <v>92.2</v>
      </c>
      <c r="L19">
        <v>3</v>
      </c>
      <c r="M19">
        <v>4.8</v>
      </c>
      <c r="N19">
        <v>98.6</v>
      </c>
      <c r="O19">
        <v>1.4</v>
      </c>
      <c r="P19">
        <v>0.1</v>
      </c>
      <c r="Q19">
        <v>91.3</v>
      </c>
      <c r="R19">
        <v>1.5</v>
      </c>
      <c r="S19">
        <v>7.2</v>
      </c>
      <c r="T19">
        <v>77.8</v>
      </c>
      <c r="U19">
        <v>3.9</v>
      </c>
      <c r="V19">
        <v>18.3</v>
      </c>
      <c r="W19">
        <v>78.400000000000006</v>
      </c>
      <c r="X19">
        <v>3.4</v>
      </c>
      <c r="Y19">
        <v>18.2</v>
      </c>
      <c r="Z19">
        <v>74.5</v>
      </c>
      <c r="AA19">
        <v>4.2</v>
      </c>
      <c r="AB19">
        <v>21.2</v>
      </c>
      <c r="AC19">
        <v>83.5</v>
      </c>
      <c r="AD19">
        <v>1.4</v>
      </c>
      <c r="AE19">
        <v>15.1</v>
      </c>
      <c r="AF19">
        <v>90.4</v>
      </c>
      <c r="AG19">
        <v>0.4</v>
      </c>
      <c r="AH19">
        <v>9.1</v>
      </c>
      <c r="AI19">
        <v>58.5</v>
      </c>
      <c r="AJ19">
        <v>1.5</v>
      </c>
      <c r="AK19">
        <v>40</v>
      </c>
    </row>
    <row r="20" spans="1:37" x14ac:dyDescent="0.25">
      <c r="A20" t="s">
        <v>299</v>
      </c>
      <c r="B20">
        <v>71.7</v>
      </c>
      <c r="C20">
        <v>21.2</v>
      </c>
      <c r="D20">
        <v>7.1</v>
      </c>
      <c r="E20">
        <v>77.900000000000006</v>
      </c>
      <c r="F20">
        <v>12.4</v>
      </c>
      <c r="G20">
        <v>9.6999999999999993</v>
      </c>
      <c r="H20">
        <v>83.4</v>
      </c>
      <c r="I20">
        <v>9.1999999999999993</v>
      </c>
      <c r="J20">
        <v>7.4</v>
      </c>
      <c r="K20">
        <v>85.1</v>
      </c>
      <c r="L20">
        <v>6.6</v>
      </c>
      <c r="M20">
        <v>8.4</v>
      </c>
      <c r="N20">
        <v>84.5</v>
      </c>
      <c r="O20">
        <v>3.6</v>
      </c>
      <c r="P20">
        <v>11.9</v>
      </c>
      <c r="Q20">
        <v>88</v>
      </c>
      <c r="R20">
        <v>3</v>
      </c>
      <c r="S20">
        <v>8.9</v>
      </c>
      <c r="T20">
        <v>83.6</v>
      </c>
      <c r="U20">
        <v>1.7</v>
      </c>
      <c r="V20">
        <v>14.6</v>
      </c>
      <c r="W20">
        <v>87</v>
      </c>
      <c r="X20">
        <v>0.7</v>
      </c>
      <c r="Y20">
        <v>12.3</v>
      </c>
      <c r="Z20">
        <v>80.599999999999994</v>
      </c>
      <c r="AA20">
        <v>2.2999999999999998</v>
      </c>
      <c r="AB20">
        <v>17</v>
      </c>
      <c r="AC20">
        <v>91.2</v>
      </c>
      <c r="AD20">
        <v>0.4</v>
      </c>
      <c r="AE20">
        <v>8.4</v>
      </c>
      <c r="AF20">
        <v>91.3</v>
      </c>
      <c r="AG20">
        <v>0.2</v>
      </c>
      <c r="AH20">
        <v>8.5</v>
      </c>
      <c r="AI20">
        <v>80.8</v>
      </c>
      <c r="AJ20">
        <v>1.7</v>
      </c>
      <c r="AK20">
        <v>17.5</v>
      </c>
    </row>
    <row r="21" spans="1:37" x14ac:dyDescent="0.25">
      <c r="A21" t="s">
        <v>300</v>
      </c>
      <c r="B21">
        <v>83.6</v>
      </c>
      <c r="C21">
        <v>15</v>
      </c>
      <c r="D21">
        <v>1.4</v>
      </c>
      <c r="E21">
        <v>88</v>
      </c>
      <c r="F21">
        <v>10</v>
      </c>
      <c r="G21">
        <v>2</v>
      </c>
      <c r="H21">
        <v>89.5</v>
      </c>
      <c r="I21">
        <v>8.4</v>
      </c>
      <c r="J21">
        <v>2.1</v>
      </c>
      <c r="K21">
        <v>90</v>
      </c>
      <c r="L21">
        <v>7</v>
      </c>
      <c r="M21">
        <v>2.9</v>
      </c>
      <c r="N21">
        <v>90.4</v>
      </c>
      <c r="O21">
        <v>5.0999999999999996</v>
      </c>
      <c r="P21">
        <v>4.5</v>
      </c>
      <c r="Q21">
        <v>92.5</v>
      </c>
      <c r="R21">
        <v>4.5999999999999996</v>
      </c>
      <c r="S21">
        <v>2.9</v>
      </c>
      <c r="T21">
        <v>80.900000000000006</v>
      </c>
      <c r="U21">
        <v>1.3</v>
      </c>
      <c r="V21">
        <v>17.899999999999999</v>
      </c>
      <c r="W21">
        <v>82.5</v>
      </c>
      <c r="X21">
        <v>0.5</v>
      </c>
      <c r="Y21">
        <v>17</v>
      </c>
      <c r="Z21">
        <v>77</v>
      </c>
      <c r="AA21">
        <v>2.9</v>
      </c>
      <c r="AB21">
        <v>20.100000000000001</v>
      </c>
      <c r="AC21">
        <v>80.2</v>
      </c>
      <c r="AD21">
        <v>1</v>
      </c>
      <c r="AE21">
        <v>18.8</v>
      </c>
      <c r="AF21">
        <v>88.1</v>
      </c>
      <c r="AG21">
        <v>0.3</v>
      </c>
      <c r="AH21">
        <v>11.6</v>
      </c>
      <c r="AI21">
        <v>68.2</v>
      </c>
      <c r="AJ21">
        <v>5.6</v>
      </c>
      <c r="AK21">
        <v>26.1</v>
      </c>
    </row>
    <row r="22" spans="1:37" x14ac:dyDescent="0.25">
      <c r="A22" t="s">
        <v>301</v>
      </c>
      <c r="B22">
        <v>78.099999999999994</v>
      </c>
      <c r="C22">
        <v>16.7</v>
      </c>
      <c r="D22">
        <v>5.2</v>
      </c>
      <c r="E22">
        <v>82.7</v>
      </c>
      <c r="F22">
        <v>11.5</v>
      </c>
      <c r="G22">
        <v>5.8</v>
      </c>
      <c r="H22">
        <v>86.1</v>
      </c>
      <c r="I22">
        <v>9</v>
      </c>
      <c r="J22">
        <v>4.9000000000000004</v>
      </c>
      <c r="K22">
        <v>86.8</v>
      </c>
      <c r="L22">
        <v>6.9</v>
      </c>
      <c r="M22">
        <v>6.3</v>
      </c>
      <c r="N22">
        <v>87.4</v>
      </c>
      <c r="O22">
        <v>5.8</v>
      </c>
      <c r="P22">
        <v>6.9</v>
      </c>
      <c r="Q22">
        <v>90.8</v>
      </c>
      <c r="R22">
        <v>2.9</v>
      </c>
      <c r="S22">
        <v>6.2</v>
      </c>
      <c r="T22">
        <v>78.5</v>
      </c>
      <c r="U22">
        <v>1.8</v>
      </c>
      <c r="V22">
        <v>19.7</v>
      </c>
      <c r="W22">
        <v>84.8</v>
      </c>
      <c r="X22">
        <v>1.9</v>
      </c>
      <c r="Y22">
        <v>13.3</v>
      </c>
      <c r="Z22">
        <v>80.3</v>
      </c>
      <c r="AA22">
        <v>4.4000000000000004</v>
      </c>
      <c r="AB22">
        <v>15.3</v>
      </c>
      <c r="AC22">
        <v>82.1</v>
      </c>
      <c r="AD22">
        <v>3.3</v>
      </c>
      <c r="AE22">
        <v>14.6</v>
      </c>
      <c r="AF22">
        <v>90</v>
      </c>
      <c r="AG22">
        <v>1.8</v>
      </c>
      <c r="AH22">
        <v>8.1999999999999993</v>
      </c>
      <c r="AI22">
        <v>43.1</v>
      </c>
      <c r="AJ22">
        <v>7.7</v>
      </c>
      <c r="AK22">
        <v>49.2</v>
      </c>
    </row>
    <row r="23" spans="1:37" x14ac:dyDescent="0.25">
      <c r="A23" t="s">
        <v>302</v>
      </c>
      <c r="B23">
        <v>78.7</v>
      </c>
      <c r="C23">
        <v>7.3</v>
      </c>
      <c r="D23">
        <v>14</v>
      </c>
      <c r="E23">
        <v>87.3</v>
      </c>
      <c r="F23">
        <v>5.9</v>
      </c>
      <c r="G23">
        <v>6.8</v>
      </c>
      <c r="H23">
        <v>87.2</v>
      </c>
      <c r="I23">
        <v>4</v>
      </c>
      <c r="J23">
        <v>8.8000000000000007</v>
      </c>
      <c r="K23">
        <v>82.8</v>
      </c>
      <c r="L23">
        <v>3.3</v>
      </c>
      <c r="M23">
        <v>13.9</v>
      </c>
      <c r="N23">
        <v>85.3</v>
      </c>
      <c r="O23">
        <v>2.8</v>
      </c>
      <c r="P23">
        <v>11.8</v>
      </c>
      <c r="Q23">
        <v>86.2</v>
      </c>
      <c r="R23">
        <v>1.9</v>
      </c>
      <c r="S23">
        <v>12</v>
      </c>
      <c r="T23">
        <v>73.3</v>
      </c>
      <c r="U23">
        <v>1.3</v>
      </c>
      <c r="V23">
        <v>25.5</v>
      </c>
      <c r="W23">
        <v>99.6</v>
      </c>
      <c r="X23">
        <v>0.9</v>
      </c>
      <c r="Y23" t="s">
        <v>629</v>
      </c>
      <c r="Z23">
        <v>70.099999999999994</v>
      </c>
      <c r="AA23">
        <v>4.0999999999999996</v>
      </c>
      <c r="AB23">
        <v>25.8</v>
      </c>
      <c r="AC23">
        <v>84.4</v>
      </c>
      <c r="AD23">
        <v>0.4</v>
      </c>
      <c r="AE23">
        <v>15.2</v>
      </c>
      <c r="AF23">
        <v>95.3</v>
      </c>
      <c r="AG23">
        <v>0.6</v>
      </c>
      <c r="AH23">
        <v>4.0999999999999996</v>
      </c>
      <c r="AI23">
        <v>83.6</v>
      </c>
      <c r="AJ23">
        <v>0.7</v>
      </c>
      <c r="AK23">
        <v>15.7</v>
      </c>
    </row>
    <row r="24" spans="1:37" x14ac:dyDescent="0.25">
      <c r="A24" t="s">
        <v>303</v>
      </c>
      <c r="B24">
        <v>84.3</v>
      </c>
      <c r="C24">
        <v>15.9</v>
      </c>
      <c r="D24" t="s">
        <v>629</v>
      </c>
      <c r="E24">
        <v>83.6</v>
      </c>
      <c r="F24">
        <v>12.1</v>
      </c>
      <c r="G24">
        <v>4.4000000000000004</v>
      </c>
      <c r="H24">
        <v>83.1</v>
      </c>
      <c r="I24">
        <v>9.3000000000000007</v>
      </c>
      <c r="J24">
        <v>7.5</v>
      </c>
      <c r="K24">
        <v>87.6</v>
      </c>
      <c r="L24">
        <v>7.1</v>
      </c>
      <c r="M24">
        <v>5.3</v>
      </c>
      <c r="N24">
        <v>89</v>
      </c>
      <c r="O24">
        <v>5.0999999999999996</v>
      </c>
      <c r="P24">
        <v>5.9</v>
      </c>
      <c r="Q24">
        <v>83.8</v>
      </c>
      <c r="R24">
        <v>4.3</v>
      </c>
      <c r="S24">
        <v>11.9</v>
      </c>
      <c r="T24">
        <v>73.2</v>
      </c>
      <c r="U24">
        <v>7.5</v>
      </c>
      <c r="V24">
        <v>19.3</v>
      </c>
      <c r="W24">
        <v>83.5</v>
      </c>
      <c r="X24">
        <v>3.4</v>
      </c>
      <c r="Y24">
        <v>13.1</v>
      </c>
      <c r="Z24">
        <v>80</v>
      </c>
      <c r="AA24">
        <v>5.7</v>
      </c>
      <c r="AB24">
        <v>14.3</v>
      </c>
      <c r="AC24">
        <v>85.3</v>
      </c>
      <c r="AD24">
        <v>2.6</v>
      </c>
      <c r="AE24">
        <v>12.2</v>
      </c>
      <c r="AF24">
        <v>90.6</v>
      </c>
      <c r="AG24">
        <v>1.8</v>
      </c>
      <c r="AH24">
        <v>7.6</v>
      </c>
      <c r="AI24">
        <v>62.3</v>
      </c>
      <c r="AJ24">
        <v>3.8</v>
      </c>
      <c r="AK24">
        <v>33.9</v>
      </c>
    </row>
    <row r="25" spans="1:37" x14ac:dyDescent="0.25">
      <c r="A25" t="s">
        <v>304</v>
      </c>
      <c r="B25">
        <v>74.400000000000006</v>
      </c>
      <c r="C25">
        <v>22.9</v>
      </c>
      <c r="D25">
        <v>2.7</v>
      </c>
      <c r="E25">
        <v>78.7</v>
      </c>
      <c r="F25">
        <v>13.9</v>
      </c>
      <c r="G25">
        <v>7.4</v>
      </c>
      <c r="H25">
        <v>78.400000000000006</v>
      </c>
      <c r="I25">
        <v>10.4</v>
      </c>
      <c r="J25">
        <v>11.2</v>
      </c>
      <c r="K25">
        <v>84.5</v>
      </c>
      <c r="L25">
        <v>7.5</v>
      </c>
      <c r="M25">
        <v>7.9</v>
      </c>
      <c r="N25">
        <v>80</v>
      </c>
      <c r="O25">
        <v>6.2</v>
      </c>
      <c r="P25">
        <v>13.7</v>
      </c>
      <c r="Q25">
        <v>79.3</v>
      </c>
      <c r="R25">
        <v>3.9</v>
      </c>
      <c r="S25">
        <v>16.8</v>
      </c>
      <c r="T25">
        <v>88.5</v>
      </c>
      <c r="U25">
        <v>1.5</v>
      </c>
      <c r="V25">
        <v>10</v>
      </c>
      <c r="W25">
        <v>94.6</v>
      </c>
      <c r="X25">
        <v>0.3</v>
      </c>
      <c r="Y25">
        <v>5.0999999999999996</v>
      </c>
      <c r="Z25">
        <v>77.400000000000006</v>
      </c>
      <c r="AA25">
        <v>3.1</v>
      </c>
      <c r="AB25">
        <v>19.5</v>
      </c>
      <c r="AC25">
        <v>87.6</v>
      </c>
      <c r="AD25">
        <v>0</v>
      </c>
      <c r="AE25">
        <v>12.4</v>
      </c>
      <c r="AF25">
        <v>96</v>
      </c>
      <c r="AG25">
        <v>0.3</v>
      </c>
      <c r="AH25">
        <v>3.7</v>
      </c>
      <c r="AI25">
        <v>70.099999999999994</v>
      </c>
      <c r="AJ25">
        <v>0.4</v>
      </c>
      <c r="AK25">
        <v>29.5</v>
      </c>
    </row>
    <row r="26" spans="1:37" x14ac:dyDescent="0.25">
      <c r="A26" t="s">
        <v>305</v>
      </c>
      <c r="B26">
        <v>85.8</v>
      </c>
      <c r="C26">
        <v>11.1</v>
      </c>
      <c r="D26">
        <v>3.1</v>
      </c>
      <c r="E26">
        <v>91.3</v>
      </c>
      <c r="F26">
        <v>6.9</v>
      </c>
      <c r="G26">
        <v>1.9</v>
      </c>
      <c r="H26">
        <v>92.4</v>
      </c>
      <c r="I26">
        <v>5.5</v>
      </c>
      <c r="J26">
        <v>2.2000000000000002</v>
      </c>
      <c r="K26">
        <v>93</v>
      </c>
      <c r="L26">
        <v>4.9000000000000004</v>
      </c>
      <c r="M26">
        <v>2.2000000000000002</v>
      </c>
      <c r="N26">
        <v>94.1</v>
      </c>
      <c r="O26">
        <v>2.8</v>
      </c>
      <c r="P26">
        <v>3</v>
      </c>
      <c r="Q26">
        <v>92.5</v>
      </c>
      <c r="R26">
        <v>2.5</v>
      </c>
      <c r="S26">
        <v>5.0999999999999996</v>
      </c>
      <c r="T26">
        <v>79.900000000000006</v>
      </c>
      <c r="U26">
        <v>4.4000000000000004</v>
      </c>
      <c r="V26">
        <v>15.6</v>
      </c>
      <c r="W26">
        <v>84.6</v>
      </c>
      <c r="X26">
        <v>1.5</v>
      </c>
      <c r="Y26">
        <v>13.9</v>
      </c>
      <c r="Z26">
        <v>78.5</v>
      </c>
      <c r="AA26">
        <v>4.5</v>
      </c>
      <c r="AB26">
        <v>17</v>
      </c>
      <c r="AC26">
        <v>82.8</v>
      </c>
      <c r="AD26">
        <v>0.8</v>
      </c>
      <c r="AE26">
        <v>16.399999999999999</v>
      </c>
      <c r="AF26">
        <v>93.8</v>
      </c>
      <c r="AG26">
        <v>0.5</v>
      </c>
      <c r="AH26">
        <v>5.7</v>
      </c>
      <c r="AI26">
        <v>66.099999999999994</v>
      </c>
      <c r="AJ26">
        <v>3.8</v>
      </c>
      <c r="AK26">
        <v>30.2</v>
      </c>
    </row>
    <row r="27" spans="1:37" x14ac:dyDescent="0.25">
      <c r="A27" t="s">
        <v>306</v>
      </c>
      <c r="B27">
        <v>79.900000000000006</v>
      </c>
      <c r="C27">
        <v>11.7</v>
      </c>
      <c r="D27">
        <v>8.4</v>
      </c>
      <c r="E27">
        <v>88.7</v>
      </c>
      <c r="F27">
        <v>9.8000000000000007</v>
      </c>
      <c r="G27">
        <v>1.5</v>
      </c>
      <c r="H27">
        <v>89.2</v>
      </c>
      <c r="I27">
        <v>7.9</v>
      </c>
      <c r="J27">
        <v>2.9</v>
      </c>
      <c r="K27">
        <v>89.8</v>
      </c>
      <c r="L27">
        <v>7</v>
      </c>
      <c r="M27">
        <v>3.2</v>
      </c>
      <c r="N27">
        <v>91.5</v>
      </c>
      <c r="O27">
        <v>5.6</v>
      </c>
      <c r="P27">
        <v>2.9</v>
      </c>
      <c r="Q27">
        <v>93.6</v>
      </c>
      <c r="R27">
        <v>4.2</v>
      </c>
      <c r="S27">
        <v>2.2000000000000002</v>
      </c>
      <c r="T27">
        <v>85</v>
      </c>
      <c r="U27">
        <v>2.7</v>
      </c>
      <c r="V27">
        <v>12.3</v>
      </c>
      <c r="W27">
        <v>88.1</v>
      </c>
      <c r="X27">
        <v>2.8</v>
      </c>
      <c r="Y27">
        <v>9.1999999999999993</v>
      </c>
      <c r="Z27">
        <v>74.2</v>
      </c>
      <c r="AA27">
        <v>4.5</v>
      </c>
      <c r="AB27">
        <v>21.3</v>
      </c>
      <c r="AC27">
        <v>86</v>
      </c>
      <c r="AD27">
        <v>2</v>
      </c>
      <c r="AE27">
        <v>12</v>
      </c>
      <c r="AF27">
        <v>88.7</v>
      </c>
      <c r="AG27">
        <v>1.6</v>
      </c>
      <c r="AH27">
        <v>9.6999999999999993</v>
      </c>
      <c r="AI27">
        <v>37.4</v>
      </c>
      <c r="AJ27">
        <v>8.5</v>
      </c>
      <c r="AK27">
        <v>54.1</v>
      </c>
    </row>
    <row r="28" spans="1:37" x14ac:dyDescent="0.25">
      <c r="A28" t="s">
        <v>307</v>
      </c>
      <c r="B28">
        <v>80.8</v>
      </c>
      <c r="C28">
        <v>10.9</v>
      </c>
      <c r="D28">
        <v>8.1999999999999993</v>
      </c>
      <c r="E28">
        <v>84.7</v>
      </c>
      <c r="F28">
        <v>9.1</v>
      </c>
      <c r="G28">
        <v>6.2</v>
      </c>
      <c r="H28">
        <v>86.1</v>
      </c>
      <c r="I28">
        <v>6.7</v>
      </c>
      <c r="J28">
        <v>7.2</v>
      </c>
      <c r="K28">
        <v>86.5</v>
      </c>
      <c r="L28">
        <v>6.9</v>
      </c>
      <c r="M28">
        <v>6.6</v>
      </c>
      <c r="N28">
        <v>85.7</v>
      </c>
      <c r="O28">
        <v>4.4000000000000004</v>
      </c>
      <c r="P28">
        <v>9.9</v>
      </c>
      <c r="Q28">
        <v>86.5</v>
      </c>
      <c r="R28">
        <v>3.1</v>
      </c>
      <c r="S28">
        <v>10.4</v>
      </c>
      <c r="T28">
        <v>69.599999999999994</v>
      </c>
      <c r="U28">
        <v>5.5</v>
      </c>
      <c r="V28">
        <v>24.8</v>
      </c>
      <c r="W28">
        <v>79.400000000000006</v>
      </c>
      <c r="X28">
        <v>2.5</v>
      </c>
      <c r="Y28">
        <v>18</v>
      </c>
      <c r="Z28">
        <v>73.400000000000006</v>
      </c>
      <c r="AA28">
        <v>5.5</v>
      </c>
      <c r="AB28">
        <v>21.1</v>
      </c>
      <c r="AC28">
        <v>84.5</v>
      </c>
      <c r="AD28">
        <v>2.1</v>
      </c>
      <c r="AE28">
        <v>13.3</v>
      </c>
      <c r="AF28">
        <v>90.5</v>
      </c>
      <c r="AG28">
        <v>1.3</v>
      </c>
      <c r="AH28">
        <v>8.1999999999999993</v>
      </c>
      <c r="AI28">
        <v>57.5</v>
      </c>
      <c r="AJ28">
        <v>8.3000000000000007</v>
      </c>
      <c r="AK28">
        <v>34.200000000000003</v>
      </c>
    </row>
    <row r="29" spans="1:37" x14ac:dyDescent="0.25">
      <c r="A29" t="s">
        <v>266</v>
      </c>
      <c r="B29">
        <v>82.4</v>
      </c>
      <c r="C29">
        <v>13.3</v>
      </c>
      <c r="D29">
        <v>4.3</v>
      </c>
      <c r="E29">
        <v>86.8</v>
      </c>
      <c r="F29">
        <v>9.6</v>
      </c>
      <c r="G29">
        <v>3.6</v>
      </c>
      <c r="H29">
        <v>87.4</v>
      </c>
      <c r="I29">
        <v>7.7</v>
      </c>
      <c r="J29">
        <v>5</v>
      </c>
      <c r="K29">
        <v>88.5</v>
      </c>
      <c r="L29">
        <v>6.3</v>
      </c>
      <c r="M29">
        <v>5.2</v>
      </c>
      <c r="N29">
        <v>89.3</v>
      </c>
      <c r="O29">
        <v>4.5999999999999996</v>
      </c>
      <c r="P29">
        <v>6.1</v>
      </c>
      <c r="Q29">
        <v>91.7</v>
      </c>
      <c r="R29">
        <v>3.5</v>
      </c>
      <c r="S29">
        <v>4.8</v>
      </c>
      <c r="T29">
        <v>78.3</v>
      </c>
      <c r="U29">
        <v>4.0999999999999996</v>
      </c>
      <c r="V29">
        <v>17.600000000000001</v>
      </c>
      <c r="W29">
        <v>84.3</v>
      </c>
      <c r="X29">
        <v>2.2999999999999998</v>
      </c>
      <c r="Y29">
        <v>13.4</v>
      </c>
      <c r="Z29">
        <v>76.3</v>
      </c>
      <c r="AA29">
        <v>4.7</v>
      </c>
      <c r="AB29">
        <v>19</v>
      </c>
      <c r="AC29">
        <v>84.8</v>
      </c>
      <c r="AD29">
        <v>1.6</v>
      </c>
      <c r="AE29">
        <v>13.6</v>
      </c>
      <c r="AF29">
        <v>91.9</v>
      </c>
      <c r="AG29">
        <v>1.1000000000000001</v>
      </c>
      <c r="AH29">
        <v>7</v>
      </c>
      <c r="AI29">
        <v>52.3</v>
      </c>
      <c r="AJ29">
        <v>6.5</v>
      </c>
      <c r="AK29">
        <v>41.3</v>
      </c>
    </row>
    <row r="30" spans="1:37" x14ac:dyDescent="0.25">
      <c r="A30" t="s">
        <v>459</v>
      </c>
      <c r="B30">
        <v>86.5</v>
      </c>
      <c r="C30">
        <v>10.5</v>
      </c>
      <c r="D30">
        <v>2.9</v>
      </c>
      <c r="E30">
        <v>89.9</v>
      </c>
      <c r="F30">
        <v>7</v>
      </c>
      <c r="G30">
        <v>3.2</v>
      </c>
      <c r="H30">
        <v>90.4</v>
      </c>
      <c r="I30">
        <v>5.2</v>
      </c>
      <c r="J30">
        <v>4.5</v>
      </c>
      <c r="K30">
        <v>92.4</v>
      </c>
      <c r="L30">
        <v>3.8</v>
      </c>
      <c r="M30">
        <v>3.8</v>
      </c>
      <c r="N30">
        <v>93.1</v>
      </c>
      <c r="O30">
        <v>2.8</v>
      </c>
      <c r="P30">
        <v>4.0999999999999996</v>
      </c>
      <c r="Q30">
        <v>106.7</v>
      </c>
      <c r="R30">
        <v>1.7</v>
      </c>
      <c r="S30" t="s">
        <v>629</v>
      </c>
      <c r="T30">
        <v>80.3</v>
      </c>
      <c r="U30">
        <v>4.8</v>
      </c>
      <c r="V30">
        <v>14.9</v>
      </c>
      <c r="W30">
        <v>89.4</v>
      </c>
      <c r="X30">
        <v>2.8</v>
      </c>
      <c r="Y30">
        <v>7.8</v>
      </c>
      <c r="Z30">
        <v>76.8</v>
      </c>
      <c r="AA30">
        <v>5</v>
      </c>
      <c r="AB30">
        <v>18.2</v>
      </c>
      <c r="AC30">
        <v>91.6</v>
      </c>
      <c r="AD30">
        <v>1.5</v>
      </c>
      <c r="AE30">
        <v>7</v>
      </c>
      <c r="AF30">
        <v>101.9</v>
      </c>
      <c r="AG30">
        <v>0.9</v>
      </c>
      <c r="AH30" t="s">
        <v>629</v>
      </c>
      <c r="AI30">
        <v>49.6</v>
      </c>
      <c r="AJ30">
        <v>6.8</v>
      </c>
      <c r="AK30">
        <v>43.6</v>
      </c>
    </row>
    <row r="31" spans="1:37" x14ac:dyDescent="0.25">
      <c r="A31" t="s">
        <v>460</v>
      </c>
      <c r="B31">
        <v>81.599999999999994</v>
      </c>
      <c r="C31">
        <v>13.8</v>
      </c>
      <c r="D31">
        <v>4.5</v>
      </c>
      <c r="E31">
        <v>86.2</v>
      </c>
      <c r="F31">
        <v>10.1</v>
      </c>
      <c r="G31">
        <v>3.7</v>
      </c>
      <c r="H31">
        <v>86.8</v>
      </c>
      <c r="I31">
        <v>8.1</v>
      </c>
      <c r="J31">
        <v>5</v>
      </c>
      <c r="K31">
        <v>87.7</v>
      </c>
      <c r="L31">
        <v>6.8</v>
      </c>
      <c r="M31">
        <v>5.5</v>
      </c>
      <c r="N31">
        <v>88.6</v>
      </c>
      <c r="O31">
        <v>5</v>
      </c>
      <c r="P31">
        <v>6.5</v>
      </c>
      <c r="Q31">
        <v>88.6</v>
      </c>
      <c r="R31">
        <v>3.9</v>
      </c>
      <c r="S31">
        <v>7.6</v>
      </c>
      <c r="T31">
        <v>77.8</v>
      </c>
      <c r="U31">
        <v>3.9</v>
      </c>
      <c r="V31">
        <v>18.3</v>
      </c>
      <c r="W31">
        <v>83</v>
      </c>
      <c r="X31">
        <v>2.2000000000000002</v>
      </c>
      <c r="Y31">
        <v>14.8</v>
      </c>
      <c r="Z31">
        <v>76.2</v>
      </c>
      <c r="AA31">
        <v>4.5999999999999996</v>
      </c>
      <c r="AB31">
        <v>19.2</v>
      </c>
      <c r="AC31">
        <v>82</v>
      </c>
      <c r="AD31">
        <v>1.7</v>
      </c>
      <c r="AE31">
        <v>16.3</v>
      </c>
      <c r="AF31">
        <v>87</v>
      </c>
      <c r="AG31">
        <v>1.2</v>
      </c>
      <c r="AH31">
        <v>11.8</v>
      </c>
      <c r="AI31">
        <v>53.8</v>
      </c>
      <c r="AJ31">
        <v>6.3</v>
      </c>
      <c r="AK31">
        <v>39.9</v>
      </c>
    </row>
  </sheetData>
  <mergeCells count="14">
    <mergeCell ref="A1:M1"/>
    <mergeCell ref="AF2:AH2"/>
    <mergeCell ref="A2:A3"/>
    <mergeCell ref="H2:J2"/>
    <mergeCell ref="B2:D2"/>
    <mergeCell ref="Q2:S2"/>
    <mergeCell ref="W2:Y2"/>
    <mergeCell ref="T2:V2"/>
    <mergeCell ref="AI2:AK2"/>
    <mergeCell ref="Z2:AB2"/>
    <mergeCell ref="E2:G2"/>
    <mergeCell ref="K2:M2"/>
    <mergeCell ref="N2:P2"/>
    <mergeCell ref="AC2:A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66CC"/>
  </sheetPr>
  <dimension ref="A1:L31"/>
  <sheetViews>
    <sheetView workbookViewId="0"/>
  </sheetViews>
  <sheetFormatPr defaultRowHeight="15" x14ac:dyDescent="0.25"/>
  <cols>
    <col min="1" max="1" width="22.140625" customWidth="1"/>
    <col min="2" max="2" width="12.42578125" customWidth="1"/>
    <col min="3" max="3" width="12.7109375" customWidth="1"/>
    <col min="4" max="4" width="10.7109375" customWidth="1"/>
    <col min="5" max="5" width="11.42578125" customWidth="1"/>
    <col min="7" max="7" width="26.140625" customWidth="1"/>
    <col min="8" max="8" width="10" customWidth="1"/>
    <col min="9" max="9" width="12.42578125" customWidth="1"/>
    <col min="11" max="11" width="12.140625" customWidth="1"/>
    <col min="12" max="12" width="12.42578125" customWidth="1"/>
  </cols>
  <sheetData>
    <row r="1" spans="1:12" x14ac:dyDescent="0.25">
      <c r="A1" s="29" t="s">
        <v>633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252</v>
      </c>
      <c r="B2" s="29" t="s">
        <v>634</v>
      </c>
      <c r="C2" s="29" t="s">
        <v>635</v>
      </c>
      <c r="D2" s="29" t="s">
        <v>636</v>
      </c>
      <c r="E2" s="29"/>
      <c r="F2" s="29"/>
      <c r="G2" t="s">
        <v>637</v>
      </c>
      <c r="H2" s="29" t="s">
        <v>638</v>
      </c>
      <c r="I2" s="29"/>
      <c r="J2" s="29"/>
      <c r="K2" s="29"/>
      <c r="L2" s="29"/>
    </row>
    <row r="3" spans="1:12" x14ac:dyDescent="0.25">
      <c r="A3" s="29"/>
      <c r="B3" s="29"/>
      <c r="C3" s="29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2" x14ac:dyDescent="0.25">
      <c r="A4" t="s">
        <v>283</v>
      </c>
      <c r="B4">
        <v>0.98</v>
      </c>
      <c r="C4">
        <v>1.03</v>
      </c>
      <c r="D4">
        <v>1</v>
      </c>
      <c r="E4">
        <v>1.17</v>
      </c>
      <c r="F4">
        <v>1.24</v>
      </c>
      <c r="G4">
        <v>1.03</v>
      </c>
      <c r="H4" t="s">
        <v>648</v>
      </c>
      <c r="I4">
        <v>1.25</v>
      </c>
      <c r="J4">
        <v>0.74</v>
      </c>
      <c r="K4">
        <v>0.63</v>
      </c>
      <c r="L4">
        <v>0.66</v>
      </c>
    </row>
    <row r="5" spans="1:12" x14ac:dyDescent="0.25">
      <c r="A5" t="s">
        <v>284</v>
      </c>
      <c r="B5">
        <v>0.98</v>
      </c>
      <c r="C5">
        <v>1.03</v>
      </c>
      <c r="D5">
        <v>0.98</v>
      </c>
      <c r="E5">
        <v>1.18</v>
      </c>
      <c r="F5">
        <v>1.32</v>
      </c>
      <c r="G5">
        <v>1.01</v>
      </c>
      <c r="H5">
        <v>14.16</v>
      </c>
      <c r="I5">
        <v>1.75</v>
      </c>
      <c r="J5">
        <v>0.94</v>
      </c>
      <c r="K5">
        <v>0.79</v>
      </c>
      <c r="L5">
        <v>0.86</v>
      </c>
    </row>
    <row r="6" spans="1:12" x14ac:dyDescent="0.25">
      <c r="A6" t="s">
        <v>285</v>
      </c>
      <c r="B6">
        <v>0.91</v>
      </c>
      <c r="C6">
        <v>1.01</v>
      </c>
      <c r="D6">
        <v>0.96</v>
      </c>
      <c r="E6">
        <v>1.22</v>
      </c>
      <c r="F6">
        <v>1.36</v>
      </c>
      <c r="G6">
        <v>0.97</v>
      </c>
      <c r="H6">
        <v>12</v>
      </c>
      <c r="I6">
        <v>1.78</v>
      </c>
      <c r="J6">
        <v>1.0900000000000001</v>
      </c>
      <c r="K6">
        <v>0.88</v>
      </c>
      <c r="L6">
        <v>0.94</v>
      </c>
    </row>
    <row r="7" spans="1:12" x14ac:dyDescent="0.25">
      <c r="A7" t="s">
        <v>286</v>
      </c>
      <c r="B7">
        <v>0.97</v>
      </c>
      <c r="C7">
        <v>0.98</v>
      </c>
      <c r="D7">
        <v>1</v>
      </c>
      <c r="E7">
        <v>1.21</v>
      </c>
      <c r="F7">
        <v>1.31</v>
      </c>
      <c r="G7">
        <v>1.02</v>
      </c>
      <c r="H7" t="s">
        <v>648</v>
      </c>
      <c r="I7">
        <v>0.98</v>
      </c>
      <c r="J7">
        <v>0.88</v>
      </c>
      <c r="K7">
        <v>0.57999999999999996</v>
      </c>
      <c r="L7">
        <v>0.68</v>
      </c>
    </row>
    <row r="8" spans="1:12" x14ac:dyDescent="0.25">
      <c r="A8" t="s">
        <v>287</v>
      </c>
      <c r="B8">
        <v>0.94</v>
      </c>
      <c r="C8">
        <v>0.98</v>
      </c>
      <c r="D8">
        <v>0.96</v>
      </c>
      <c r="E8">
        <v>1.1499999999999999</v>
      </c>
      <c r="F8">
        <v>1.1200000000000001</v>
      </c>
      <c r="G8">
        <v>0.98</v>
      </c>
      <c r="H8">
        <v>14.76</v>
      </c>
      <c r="I8">
        <v>0.83</v>
      </c>
      <c r="J8">
        <v>0.56000000000000005</v>
      </c>
      <c r="K8">
        <v>0.49</v>
      </c>
      <c r="L8">
        <v>0.52</v>
      </c>
    </row>
    <row r="9" spans="1:12" x14ac:dyDescent="0.25">
      <c r="A9" t="s">
        <v>288</v>
      </c>
      <c r="B9">
        <v>0.99</v>
      </c>
      <c r="C9">
        <v>1.02</v>
      </c>
      <c r="D9">
        <v>1.01</v>
      </c>
      <c r="E9">
        <v>1.24</v>
      </c>
      <c r="F9">
        <v>1.38</v>
      </c>
      <c r="G9">
        <v>1.02</v>
      </c>
      <c r="H9">
        <v>44.17</v>
      </c>
      <c r="I9">
        <v>1.22</v>
      </c>
      <c r="J9">
        <v>0.88</v>
      </c>
      <c r="K9">
        <v>0.82</v>
      </c>
      <c r="L9">
        <v>0.84</v>
      </c>
    </row>
    <row r="10" spans="1:12" x14ac:dyDescent="0.25">
      <c r="A10" t="s">
        <v>289</v>
      </c>
      <c r="B10">
        <v>0.94</v>
      </c>
      <c r="C10">
        <v>0.97</v>
      </c>
      <c r="D10">
        <v>0.99</v>
      </c>
      <c r="E10">
        <v>1.0900000000000001</v>
      </c>
      <c r="F10">
        <v>1.1399999999999999</v>
      </c>
      <c r="G10">
        <v>1.01</v>
      </c>
      <c r="H10">
        <v>23.9</v>
      </c>
      <c r="I10">
        <v>1.03</v>
      </c>
      <c r="J10">
        <v>0.78</v>
      </c>
      <c r="K10">
        <v>0.62</v>
      </c>
      <c r="L10">
        <v>0.69</v>
      </c>
    </row>
    <row r="11" spans="1:12" x14ac:dyDescent="0.25">
      <c r="A11" t="s">
        <v>290</v>
      </c>
      <c r="B11">
        <v>0.96</v>
      </c>
      <c r="C11">
        <v>0.99</v>
      </c>
      <c r="D11">
        <v>0.95</v>
      </c>
      <c r="E11">
        <v>1.17</v>
      </c>
      <c r="F11">
        <v>1.27</v>
      </c>
      <c r="G11">
        <v>0.97</v>
      </c>
      <c r="H11">
        <v>22.6</v>
      </c>
      <c r="I11">
        <v>1.76</v>
      </c>
      <c r="J11">
        <v>1</v>
      </c>
      <c r="K11">
        <v>0.77</v>
      </c>
      <c r="L11">
        <v>0.85</v>
      </c>
    </row>
    <row r="12" spans="1:12" x14ac:dyDescent="0.25">
      <c r="A12" t="s">
        <v>291</v>
      </c>
      <c r="B12">
        <v>0.95</v>
      </c>
      <c r="C12">
        <v>0.99</v>
      </c>
      <c r="D12">
        <v>1.05</v>
      </c>
      <c r="E12">
        <v>1.03</v>
      </c>
      <c r="F12">
        <v>1.24</v>
      </c>
      <c r="G12">
        <v>1.07</v>
      </c>
      <c r="H12">
        <v>29</v>
      </c>
      <c r="I12">
        <v>1.29</v>
      </c>
      <c r="J12">
        <v>0.56999999999999995</v>
      </c>
      <c r="K12">
        <v>0.8</v>
      </c>
      <c r="L12">
        <v>0.7</v>
      </c>
    </row>
    <row r="13" spans="1:12" x14ac:dyDescent="0.25">
      <c r="A13" t="s">
        <v>292</v>
      </c>
      <c r="B13">
        <v>0.97</v>
      </c>
      <c r="C13">
        <v>1.08</v>
      </c>
      <c r="D13">
        <v>1.01</v>
      </c>
      <c r="E13">
        <v>1.08</v>
      </c>
      <c r="F13">
        <v>0.94</v>
      </c>
      <c r="G13">
        <v>1.05</v>
      </c>
      <c r="H13">
        <v>7.75</v>
      </c>
      <c r="I13">
        <v>1</v>
      </c>
      <c r="J13">
        <v>0.36</v>
      </c>
      <c r="K13">
        <v>0.54</v>
      </c>
      <c r="L13">
        <v>0.45</v>
      </c>
    </row>
    <row r="14" spans="1:12" x14ac:dyDescent="0.25">
      <c r="A14" t="s">
        <v>293</v>
      </c>
      <c r="B14">
        <v>0.92</v>
      </c>
      <c r="C14">
        <v>0.97</v>
      </c>
      <c r="D14">
        <v>0.96</v>
      </c>
      <c r="E14">
        <v>1.22</v>
      </c>
      <c r="F14">
        <v>1.2</v>
      </c>
      <c r="G14">
        <v>0.98</v>
      </c>
      <c r="H14">
        <v>133</v>
      </c>
      <c r="I14">
        <v>1.93</v>
      </c>
      <c r="J14">
        <v>1.19</v>
      </c>
      <c r="K14">
        <v>0.88</v>
      </c>
      <c r="L14">
        <v>1.03</v>
      </c>
    </row>
    <row r="15" spans="1:12" x14ac:dyDescent="0.25">
      <c r="A15" t="s">
        <v>294</v>
      </c>
      <c r="B15">
        <v>0.99</v>
      </c>
      <c r="C15">
        <v>0.99</v>
      </c>
      <c r="D15">
        <v>1.02</v>
      </c>
      <c r="E15">
        <v>1.1499999999999999</v>
      </c>
      <c r="F15">
        <v>1.19</v>
      </c>
      <c r="G15">
        <v>1.05</v>
      </c>
      <c r="H15">
        <v>26</v>
      </c>
      <c r="I15">
        <v>0.97</v>
      </c>
      <c r="J15">
        <v>0.57999999999999996</v>
      </c>
      <c r="K15">
        <v>0.5</v>
      </c>
      <c r="L15">
        <v>0.53</v>
      </c>
    </row>
    <row r="16" spans="1:12" x14ac:dyDescent="0.25">
      <c r="A16" t="s">
        <v>295</v>
      </c>
      <c r="B16">
        <v>0.97</v>
      </c>
      <c r="C16">
        <v>0.99</v>
      </c>
      <c r="D16">
        <v>0.99</v>
      </c>
      <c r="E16">
        <v>1.1100000000000001</v>
      </c>
      <c r="F16">
        <v>1.1000000000000001</v>
      </c>
      <c r="G16">
        <v>1.02</v>
      </c>
      <c r="H16">
        <v>15.6</v>
      </c>
      <c r="I16">
        <v>0.75</v>
      </c>
      <c r="J16">
        <v>0.51</v>
      </c>
      <c r="K16">
        <v>0.47</v>
      </c>
      <c r="L16">
        <v>0.49</v>
      </c>
    </row>
    <row r="17" spans="1:12" x14ac:dyDescent="0.25">
      <c r="A17" t="s">
        <v>296</v>
      </c>
      <c r="B17">
        <v>0.89</v>
      </c>
      <c r="C17">
        <v>0.98</v>
      </c>
      <c r="D17">
        <v>0.98</v>
      </c>
      <c r="E17">
        <v>1.1000000000000001</v>
      </c>
      <c r="F17">
        <v>1.1599999999999999</v>
      </c>
      <c r="G17">
        <v>1.01</v>
      </c>
      <c r="H17" t="s">
        <v>648</v>
      </c>
      <c r="I17">
        <v>1.23</v>
      </c>
      <c r="J17">
        <v>0.66</v>
      </c>
      <c r="K17">
        <v>0.56000000000000005</v>
      </c>
      <c r="L17">
        <v>0.61</v>
      </c>
    </row>
    <row r="18" spans="1:12" x14ac:dyDescent="0.25">
      <c r="A18" t="s">
        <v>297</v>
      </c>
      <c r="B18">
        <v>0.93</v>
      </c>
      <c r="C18">
        <v>0.98</v>
      </c>
      <c r="D18">
        <v>1.02</v>
      </c>
      <c r="E18">
        <v>1.01</v>
      </c>
      <c r="F18">
        <v>0.87</v>
      </c>
      <c r="G18">
        <v>1.04</v>
      </c>
      <c r="H18">
        <v>109.33</v>
      </c>
      <c r="I18">
        <v>3.06</v>
      </c>
      <c r="J18">
        <v>1.05</v>
      </c>
      <c r="K18">
        <v>0.82</v>
      </c>
      <c r="L18">
        <v>0.85</v>
      </c>
    </row>
    <row r="19" spans="1:12" x14ac:dyDescent="0.25">
      <c r="A19" t="s">
        <v>298</v>
      </c>
      <c r="B19">
        <v>0.98</v>
      </c>
      <c r="C19">
        <v>1.04</v>
      </c>
      <c r="D19">
        <v>1.01</v>
      </c>
      <c r="E19">
        <v>1.07</v>
      </c>
      <c r="F19">
        <v>1.04</v>
      </c>
      <c r="G19">
        <v>1.05</v>
      </c>
      <c r="H19">
        <v>74</v>
      </c>
      <c r="I19">
        <v>1.19</v>
      </c>
      <c r="J19">
        <v>0.65</v>
      </c>
      <c r="K19">
        <v>0.44</v>
      </c>
      <c r="L19">
        <v>0.52</v>
      </c>
    </row>
    <row r="20" spans="1:12" x14ac:dyDescent="0.25">
      <c r="A20" t="s">
        <v>299</v>
      </c>
      <c r="B20">
        <v>0.96</v>
      </c>
      <c r="C20">
        <v>0.97</v>
      </c>
      <c r="D20">
        <v>1.01</v>
      </c>
      <c r="E20">
        <v>1.23</v>
      </c>
      <c r="F20">
        <v>1.1399999999999999</v>
      </c>
      <c r="G20">
        <v>1.02</v>
      </c>
      <c r="H20">
        <v>39.5</v>
      </c>
      <c r="I20">
        <v>1.1299999999999999</v>
      </c>
      <c r="J20">
        <v>0.59</v>
      </c>
      <c r="K20">
        <v>0.63</v>
      </c>
      <c r="L20">
        <v>0.6</v>
      </c>
    </row>
    <row r="21" spans="1:12" x14ac:dyDescent="0.25">
      <c r="A21" t="s">
        <v>300</v>
      </c>
      <c r="B21">
        <v>0.93</v>
      </c>
      <c r="C21">
        <v>0.94</v>
      </c>
      <c r="D21">
        <v>0.94</v>
      </c>
      <c r="E21">
        <v>1.17</v>
      </c>
      <c r="F21">
        <v>1.22</v>
      </c>
      <c r="G21">
        <v>0.98</v>
      </c>
      <c r="H21">
        <v>12.56</v>
      </c>
      <c r="I21">
        <v>0.88</v>
      </c>
      <c r="J21">
        <v>0.63</v>
      </c>
      <c r="K21">
        <v>0.53</v>
      </c>
      <c r="L21">
        <v>0.56000000000000005</v>
      </c>
    </row>
    <row r="22" spans="1:12" x14ac:dyDescent="0.25">
      <c r="A22" t="s">
        <v>301</v>
      </c>
      <c r="B22">
        <v>0.97</v>
      </c>
      <c r="C22">
        <v>0.99</v>
      </c>
      <c r="D22">
        <v>1.01</v>
      </c>
      <c r="E22">
        <v>1.18</v>
      </c>
      <c r="F22">
        <v>1.1499999999999999</v>
      </c>
      <c r="G22">
        <v>1.02</v>
      </c>
      <c r="H22">
        <v>19.440000000000001</v>
      </c>
      <c r="I22">
        <v>1.0900000000000001</v>
      </c>
      <c r="J22">
        <v>0.67</v>
      </c>
      <c r="K22">
        <v>0.49</v>
      </c>
      <c r="L22">
        <v>0.57999999999999996</v>
      </c>
    </row>
    <row r="23" spans="1:12" x14ac:dyDescent="0.25">
      <c r="A23" t="s">
        <v>302</v>
      </c>
      <c r="B23">
        <v>0.93</v>
      </c>
      <c r="C23">
        <v>0.95</v>
      </c>
      <c r="D23">
        <v>0.99</v>
      </c>
      <c r="E23">
        <v>0.98</v>
      </c>
      <c r="F23">
        <v>0.98</v>
      </c>
      <c r="G23">
        <v>0.99</v>
      </c>
      <c r="H23">
        <v>12.2</v>
      </c>
      <c r="I23">
        <v>0.83</v>
      </c>
      <c r="J23">
        <v>0.79</v>
      </c>
      <c r="K23">
        <v>0.67</v>
      </c>
      <c r="L23">
        <v>0.71</v>
      </c>
    </row>
    <row r="24" spans="1:12" x14ac:dyDescent="0.25">
      <c r="A24" t="s">
        <v>303</v>
      </c>
      <c r="B24">
        <v>0.98</v>
      </c>
      <c r="C24">
        <v>1.02</v>
      </c>
      <c r="D24">
        <v>1</v>
      </c>
      <c r="E24">
        <v>1.29</v>
      </c>
      <c r="F24">
        <v>1.39</v>
      </c>
      <c r="G24">
        <v>1.03</v>
      </c>
      <c r="H24">
        <v>83.4</v>
      </c>
      <c r="I24">
        <v>2.1800000000000002</v>
      </c>
      <c r="J24">
        <v>1.27</v>
      </c>
      <c r="K24">
        <v>0.74</v>
      </c>
      <c r="L24">
        <v>0.88</v>
      </c>
    </row>
    <row r="25" spans="1:12" x14ac:dyDescent="0.25">
      <c r="A25" t="s">
        <v>304</v>
      </c>
      <c r="B25">
        <v>0.97</v>
      </c>
      <c r="C25">
        <v>1.03</v>
      </c>
      <c r="D25">
        <v>1.01</v>
      </c>
      <c r="E25">
        <v>1.0900000000000001</v>
      </c>
      <c r="F25">
        <v>0.99</v>
      </c>
      <c r="G25">
        <v>0.99</v>
      </c>
      <c r="H25" t="s">
        <v>648</v>
      </c>
      <c r="I25">
        <v>1.46</v>
      </c>
      <c r="J25">
        <v>0.67</v>
      </c>
      <c r="K25">
        <v>0.56999999999999995</v>
      </c>
      <c r="L25">
        <v>0.62</v>
      </c>
    </row>
    <row r="26" spans="1:12" x14ac:dyDescent="0.25">
      <c r="A26" t="s">
        <v>305</v>
      </c>
      <c r="B26">
        <v>0.94</v>
      </c>
      <c r="C26">
        <v>1</v>
      </c>
      <c r="D26">
        <v>0.97</v>
      </c>
      <c r="E26">
        <v>1.08</v>
      </c>
      <c r="F26">
        <v>1.1299999999999999</v>
      </c>
      <c r="G26">
        <v>0.98</v>
      </c>
      <c r="H26">
        <v>29.67</v>
      </c>
      <c r="I26">
        <v>0.67</v>
      </c>
      <c r="J26">
        <v>0.37</v>
      </c>
      <c r="K26">
        <v>0.4</v>
      </c>
      <c r="L26">
        <v>0.39</v>
      </c>
    </row>
    <row r="27" spans="1:12" x14ac:dyDescent="0.25">
      <c r="A27" t="s">
        <v>306</v>
      </c>
      <c r="B27">
        <v>0.95</v>
      </c>
      <c r="C27">
        <v>0.96</v>
      </c>
      <c r="D27">
        <v>0.97</v>
      </c>
      <c r="E27">
        <v>1.07</v>
      </c>
      <c r="F27">
        <v>1.1599999999999999</v>
      </c>
      <c r="G27">
        <v>0.99</v>
      </c>
      <c r="H27">
        <v>11.61</v>
      </c>
      <c r="I27">
        <v>0.76</v>
      </c>
      <c r="J27">
        <v>0.44</v>
      </c>
      <c r="K27">
        <v>0.41</v>
      </c>
      <c r="L27">
        <v>0.41</v>
      </c>
    </row>
    <row r="28" spans="1:12" x14ac:dyDescent="0.25">
      <c r="A28" t="s">
        <v>307</v>
      </c>
      <c r="B28">
        <v>0.98</v>
      </c>
      <c r="C28">
        <v>1.06</v>
      </c>
      <c r="D28">
        <v>0.99</v>
      </c>
      <c r="E28">
        <v>1.23</v>
      </c>
      <c r="F28">
        <v>1.35</v>
      </c>
      <c r="G28">
        <v>1.02</v>
      </c>
      <c r="H28">
        <v>11.73</v>
      </c>
      <c r="I28">
        <v>1.38</v>
      </c>
      <c r="J28">
        <v>0.71</v>
      </c>
      <c r="K28">
        <v>0.61</v>
      </c>
      <c r="L28">
        <v>0.64</v>
      </c>
    </row>
    <row r="29" spans="1:12" x14ac:dyDescent="0.25">
      <c r="A29" t="s">
        <v>266</v>
      </c>
      <c r="B29">
        <v>0.96</v>
      </c>
      <c r="C29">
        <v>1</v>
      </c>
      <c r="D29">
        <v>0.98</v>
      </c>
      <c r="E29">
        <v>1.1499999999999999</v>
      </c>
      <c r="F29">
        <v>1.18</v>
      </c>
      <c r="G29">
        <v>1.01</v>
      </c>
      <c r="H29">
        <v>20.43</v>
      </c>
      <c r="I29">
        <v>1.29</v>
      </c>
      <c r="J29">
        <v>0.78</v>
      </c>
      <c r="K29">
        <v>0.65</v>
      </c>
      <c r="L29">
        <v>0.7</v>
      </c>
    </row>
    <row r="30" spans="1:12" x14ac:dyDescent="0.25">
      <c r="A30" t="s">
        <v>459</v>
      </c>
      <c r="B30">
        <v>0.96</v>
      </c>
      <c r="C30">
        <v>1.01</v>
      </c>
      <c r="D30">
        <v>1</v>
      </c>
      <c r="E30">
        <v>1.07</v>
      </c>
      <c r="F30">
        <v>1.03</v>
      </c>
      <c r="G30">
        <v>1.03</v>
      </c>
      <c r="H30">
        <v>101.4</v>
      </c>
      <c r="I30">
        <v>2.33</v>
      </c>
      <c r="J30">
        <v>1.05</v>
      </c>
      <c r="K30">
        <v>0.77</v>
      </c>
      <c r="L30">
        <v>0.83</v>
      </c>
    </row>
    <row r="31" spans="1:12" x14ac:dyDescent="0.25">
      <c r="A31" t="s">
        <v>460</v>
      </c>
      <c r="B31">
        <v>0.96</v>
      </c>
      <c r="C31">
        <v>1</v>
      </c>
      <c r="D31">
        <v>0.98</v>
      </c>
      <c r="E31">
        <v>1.18</v>
      </c>
      <c r="F31">
        <v>1.24</v>
      </c>
      <c r="G31">
        <v>1</v>
      </c>
      <c r="H31">
        <v>16.920000000000002</v>
      </c>
      <c r="I31">
        <v>1.1200000000000001</v>
      </c>
      <c r="J31">
        <v>0.73</v>
      </c>
      <c r="K31">
        <v>0.59</v>
      </c>
      <c r="L31">
        <v>0.65</v>
      </c>
    </row>
  </sheetData>
  <mergeCells count="6">
    <mergeCell ref="D2:F2"/>
    <mergeCell ref="H2:L2"/>
    <mergeCell ref="A1:L1"/>
    <mergeCell ref="B2:B3"/>
    <mergeCell ref="A2:A3"/>
    <mergeCell ref="C2:C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08080"/>
  </sheetPr>
  <dimension ref="A1:Q42"/>
  <sheetViews>
    <sheetView workbookViewId="0"/>
  </sheetViews>
  <sheetFormatPr defaultRowHeight="15" x14ac:dyDescent="0.25"/>
  <cols>
    <col min="1" max="1" width="18.7109375" customWidth="1"/>
    <col min="2" max="2" width="9.28515625" customWidth="1"/>
    <col min="4" max="4" width="9.42578125" customWidth="1"/>
    <col min="5" max="5" width="9.28515625" customWidth="1"/>
    <col min="7" max="7" width="9.42578125" customWidth="1"/>
    <col min="8" max="8" width="9.28515625" customWidth="1"/>
    <col min="16" max="16" width="9.42578125" customWidth="1"/>
    <col min="17" max="17" width="9.28515625" customWidth="1"/>
  </cols>
  <sheetData>
    <row r="1" spans="1:17" x14ac:dyDescent="0.25">
      <c r="A1" s="29" t="s">
        <v>649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252</v>
      </c>
      <c r="B2" s="29" t="s">
        <v>261</v>
      </c>
      <c r="C2" s="29"/>
      <c r="D2" s="29"/>
      <c r="E2" s="29"/>
      <c r="F2" s="29" t="s">
        <v>256</v>
      </c>
      <c r="G2" s="29"/>
      <c r="H2" s="29"/>
      <c r="I2" s="29"/>
      <c r="J2" s="29" t="s">
        <v>650</v>
      </c>
      <c r="K2" s="29"/>
      <c r="L2" s="29"/>
      <c r="M2" s="29"/>
      <c r="N2" s="29" t="s">
        <v>115</v>
      </c>
      <c r="O2" s="29"/>
      <c r="P2" s="29"/>
      <c r="Q2" s="29"/>
    </row>
    <row r="3" spans="1:17" x14ac:dyDescent="0.25">
      <c r="A3" s="29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511</v>
      </c>
      <c r="F42">
        <v>6825</v>
      </c>
      <c r="G42">
        <v>61635</v>
      </c>
      <c r="H42">
        <v>13218</v>
      </c>
      <c r="I42">
        <v>6685</v>
      </c>
      <c r="J42">
        <v>205492</v>
      </c>
      <c r="K42">
        <v>2028694</v>
      </c>
      <c r="L42">
        <v>605173</v>
      </c>
      <c r="M42">
        <v>303893</v>
      </c>
      <c r="N42">
        <v>5398</v>
      </c>
      <c r="O42">
        <v>57915</v>
      </c>
      <c r="P42">
        <v>33181</v>
      </c>
      <c r="Q42">
        <v>15176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4472C4"/>
  </sheetPr>
  <dimension ref="A1:U13"/>
  <sheetViews>
    <sheetView workbookViewId="0"/>
  </sheetViews>
  <sheetFormatPr defaultRowHeight="15" x14ac:dyDescent="0.25"/>
  <cols>
    <col min="1" max="1" width="25.42578125" customWidth="1"/>
    <col min="2" max="2" width="8" customWidth="1"/>
    <col min="3" max="3" width="7.42578125" customWidth="1"/>
    <col min="4" max="4" width="6.140625" customWidth="1"/>
    <col min="5" max="5" width="8.140625" customWidth="1"/>
    <col min="6" max="6" width="7.42578125" customWidth="1"/>
    <col min="7" max="7" width="6.42578125" customWidth="1"/>
    <col min="8" max="8" width="6.85546875" customWidth="1"/>
    <col min="9" max="9" width="9.85546875" customWidth="1"/>
    <col min="10" max="10" width="5.85546875" customWidth="1"/>
    <col min="11" max="11" width="8.85546875" customWidth="1"/>
    <col min="12" max="12" width="9.85546875" customWidth="1"/>
    <col min="13" max="13" width="7.28515625" customWidth="1"/>
    <col min="15" max="15" width="8" customWidth="1"/>
    <col min="16" max="16" width="7.140625" customWidth="1"/>
    <col min="17" max="17" width="8.140625" customWidth="1"/>
    <col min="18" max="18" width="8" customWidth="1"/>
    <col min="19" max="19" width="6.85546875" customWidth="1"/>
    <col min="20" max="20" width="8.42578125" customWidth="1"/>
    <col min="21" max="21" width="4.85546875" customWidth="1"/>
  </cols>
  <sheetData>
    <row r="1" spans="1:21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 t="s">
        <v>253</v>
      </c>
      <c r="B2" s="29" t="s">
        <v>358</v>
      </c>
      <c r="C2" s="29" t="s">
        <v>693</v>
      </c>
      <c r="D2" s="29" t="s">
        <v>261</v>
      </c>
      <c r="E2" s="29"/>
      <c r="F2" s="29"/>
      <c r="G2" s="29"/>
      <c r="H2" s="29"/>
      <c r="I2" s="29"/>
      <c r="J2" s="29"/>
      <c r="K2" s="29" t="s">
        <v>72</v>
      </c>
      <c r="L2" s="29"/>
      <c r="M2" s="29" t="s">
        <v>257</v>
      </c>
      <c r="N2" s="29"/>
      <c r="O2" s="29" t="s">
        <v>258</v>
      </c>
      <c r="P2" s="29"/>
      <c r="Q2" s="29" t="s">
        <v>259</v>
      </c>
      <c r="R2" s="29"/>
      <c r="S2" s="29" t="s">
        <v>694</v>
      </c>
      <c r="T2" s="29" t="s">
        <v>695</v>
      </c>
    </row>
    <row r="3" spans="1:21" x14ac:dyDescent="0.25">
      <c r="A3" s="29"/>
      <c r="B3" s="29"/>
      <c r="C3" s="29"/>
      <c r="D3" t="s">
        <v>696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702</v>
      </c>
      <c r="K3" t="s">
        <v>263</v>
      </c>
      <c r="L3" t="s">
        <v>264</v>
      </c>
      <c r="M3" t="s">
        <v>263</v>
      </c>
      <c r="N3" t="s">
        <v>264</v>
      </c>
      <c r="O3" t="s">
        <v>263</v>
      </c>
      <c r="P3" t="s">
        <v>265</v>
      </c>
      <c r="Q3" t="s">
        <v>263</v>
      </c>
      <c r="R3" t="s">
        <v>265</v>
      </c>
      <c r="S3" s="29"/>
      <c r="T3" s="29"/>
    </row>
    <row r="4" spans="1:21" x14ac:dyDescent="0.25">
      <c r="A4" t="s">
        <v>266</v>
      </c>
      <c r="B4">
        <v>1222</v>
      </c>
      <c r="C4">
        <v>8990</v>
      </c>
      <c r="D4">
        <v>975</v>
      </c>
      <c r="E4">
        <v>55</v>
      </c>
      <c r="F4">
        <v>28</v>
      </c>
      <c r="G4">
        <v>1</v>
      </c>
      <c r="H4">
        <v>160</v>
      </c>
      <c r="I4">
        <v>1</v>
      </c>
      <c r="J4">
        <v>2</v>
      </c>
      <c r="K4">
        <v>218357</v>
      </c>
      <c r="L4">
        <v>108580</v>
      </c>
      <c r="M4">
        <v>2986</v>
      </c>
      <c r="N4">
        <v>1183</v>
      </c>
      <c r="O4">
        <v>13496</v>
      </c>
      <c r="P4">
        <v>8143</v>
      </c>
      <c r="Q4">
        <v>5318</v>
      </c>
      <c r="R4">
        <v>3034</v>
      </c>
      <c r="S4">
        <v>5069</v>
      </c>
      <c r="T4">
        <v>1792</v>
      </c>
    </row>
    <row r="5" spans="1:21" x14ac:dyDescent="0.25">
      <c r="A5" t="s">
        <v>703</v>
      </c>
      <c r="B5">
        <v>509</v>
      </c>
      <c r="C5">
        <v>2051</v>
      </c>
      <c r="D5">
        <v>373</v>
      </c>
      <c r="E5">
        <v>19</v>
      </c>
      <c r="F5">
        <v>5</v>
      </c>
      <c r="G5">
        <v>1</v>
      </c>
      <c r="H5">
        <v>110</v>
      </c>
      <c r="I5">
        <v>0</v>
      </c>
      <c r="J5">
        <v>1</v>
      </c>
      <c r="K5">
        <v>48318</v>
      </c>
      <c r="L5">
        <v>23849</v>
      </c>
      <c r="M5">
        <v>0</v>
      </c>
      <c r="N5">
        <v>0</v>
      </c>
      <c r="O5">
        <v>2740</v>
      </c>
      <c r="P5">
        <v>2338</v>
      </c>
      <c r="Q5">
        <v>1474</v>
      </c>
      <c r="R5">
        <v>954</v>
      </c>
      <c r="S5">
        <v>271</v>
      </c>
      <c r="T5">
        <v>594</v>
      </c>
    </row>
    <row r="6" spans="1:21" x14ac:dyDescent="0.25">
      <c r="A6" t="s">
        <v>327</v>
      </c>
      <c r="B6">
        <v>488</v>
      </c>
      <c r="C6">
        <v>5047</v>
      </c>
      <c r="D6">
        <v>406</v>
      </c>
      <c r="E6">
        <v>26</v>
      </c>
      <c r="F6">
        <v>17</v>
      </c>
      <c r="G6">
        <v>0</v>
      </c>
      <c r="H6">
        <v>37</v>
      </c>
      <c r="I6">
        <v>1</v>
      </c>
      <c r="J6">
        <v>1</v>
      </c>
      <c r="K6">
        <v>122886</v>
      </c>
      <c r="L6">
        <v>61136</v>
      </c>
      <c r="M6">
        <v>2425</v>
      </c>
      <c r="N6">
        <v>989</v>
      </c>
      <c r="O6">
        <v>5742</v>
      </c>
      <c r="P6">
        <v>3887</v>
      </c>
      <c r="Q6">
        <v>2384</v>
      </c>
      <c r="R6">
        <v>1360</v>
      </c>
      <c r="S6">
        <v>1593</v>
      </c>
      <c r="T6">
        <v>711</v>
      </c>
    </row>
    <row r="7" spans="1:21" x14ac:dyDescent="0.25">
      <c r="A7" t="s">
        <v>704</v>
      </c>
      <c r="B7">
        <v>78</v>
      </c>
      <c r="C7">
        <v>216</v>
      </c>
      <c r="D7">
        <v>62</v>
      </c>
      <c r="E7">
        <v>10</v>
      </c>
      <c r="F7">
        <v>1</v>
      </c>
      <c r="G7">
        <v>0</v>
      </c>
      <c r="H7">
        <v>5</v>
      </c>
      <c r="I7">
        <v>0</v>
      </c>
      <c r="J7">
        <v>0</v>
      </c>
      <c r="K7">
        <v>4017</v>
      </c>
      <c r="L7">
        <v>2067</v>
      </c>
      <c r="M7">
        <v>6</v>
      </c>
      <c r="N7">
        <v>3</v>
      </c>
      <c r="O7">
        <v>687</v>
      </c>
      <c r="P7">
        <v>305</v>
      </c>
      <c r="Q7">
        <v>255</v>
      </c>
      <c r="R7">
        <v>156</v>
      </c>
      <c r="S7">
        <v>392</v>
      </c>
      <c r="T7">
        <v>202</v>
      </c>
    </row>
    <row r="8" spans="1:21" x14ac:dyDescent="0.25">
      <c r="A8" t="s">
        <v>705</v>
      </c>
      <c r="B8">
        <v>2</v>
      </c>
      <c r="C8">
        <v>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238</v>
      </c>
      <c r="L8">
        <v>146</v>
      </c>
      <c r="M8">
        <v>0</v>
      </c>
      <c r="N8">
        <v>0</v>
      </c>
      <c r="O8">
        <v>35</v>
      </c>
      <c r="P8">
        <v>10</v>
      </c>
      <c r="Q8">
        <v>7</v>
      </c>
      <c r="R8">
        <v>3</v>
      </c>
      <c r="S8">
        <v>33</v>
      </c>
      <c r="T8">
        <v>1</v>
      </c>
    </row>
    <row r="9" spans="1:21" x14ac:dyDescent="0.25">
      <c r="A9" t="s">
        <v>706</v>
      </c>
      <c r="B9">
        <v>145</v>
      </c>
      <c r="C9">
        <v>1670</v>
      </c>
      <c r="D9">
        <v>132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  <c r="K9">
        <v>42898</v>
      </c>
      <c r="L9">
        <v>21382</v>
      </c>
      <c r="M9">
        <v>555</v>
      </c>
      <c r="N9">
        <v>191</v>
      </c>
      <c r="O9">
        <v>4292</v>
      </c>
      <c r="P9">
        <v>1603</v>
      </c>
      <c r="Q9">
        <v>1198</v>
      </c>
      <c r="R9">
        <v>561</v>
      </c>
      <c r="S9">
        <v>2780</v>
      </c>
      <c r="T9">
        <v>284</v>
      </c>
    </row>
    <row r="10" spans="1:21" x14ac:dyDescent="0.25">
      <c r="A10" t="s">
        <v>707</v>
      </c>
      <c r="B10">
        <v>223</v>
      </c>
      <c r="C10">
        <v>1125</v>
      </c>
      <c r="D10">
        <v>194</v>
      </c>
      <c r="E10">
        <v>10</v>
      </c>
      <c r="F10">
        <v>6</v>
      </c>
      <c r="G10">
        <v>0</v>
      </c>
      <c r="H10">
        <v>13</v>
      </c>
      <c r="I10">
        <v>0</v>
      </c>
      <c r="J10">
        <v>0</v>
      </c>
      <c r="K10">
        <v>28451</v>
      </c>
      <c r="L10">
        <v>14139</v>
      </c>
      <c r="M10">
        <v>330</v>
      </c>
      <c r="N10">
        <v>98</v>
      </c>
    </row>
    <row r="11" spans="1:21" x14ac:dyDescent="0.25">
      <c r="A11" t="s">
        <v>708</v>
      </c>
      <c r="B11">
        <v>147</v>
      </c>
      <c r="C11">
        <v>767</v>
      </c>
      <c r="D11">
        <v>134</v>
      </c>
      <c r="E11">
        <v>0</v>
      </c>
      <c r="F11">
        <v>5</v>
      </c>
      <c r="G11">
        <v>0</v>
      </c>
      <c r="H11">
        <v>8</v>
      </c>
      <c r="I11">
        <v>0</v>
      </c>
      <c r="J11">
        <v>0</v>
      </c>
      <c r="K11">
        <v>18702</v>
      </c>
      <c r="L11">
        <v>9456</v>
      </c>
      <c r="M11">
        <v>231</v>
      </c>
      <c r="N11">
        <v>96</v>
      </c>
    </row>
    <row r="12" spans="1:21" x14ac:dyDescent="0.25">
      <c r="A12" t="s">
        <v>459</v>
      </c>
      <c r="B12">
        <v>994</v>
      </c>
      <c r="C12">
        <v>7722</v>
      </c>
      <c r="D12">
        <v>829</v>
      </c>
      <c r="E12">
        <v>33</v>
      </c>
      <c r="F12">
        <v>6</v>
      </c>
      <c r="G12">
        <v>1</v>
      </c>
      <c r="H12">
        <v>122</v>
      </c>
      <c r="I12">
        <v>1</v>
      </c>
      <c r="J12">
        <v>2</v>
      </c>
      <c r="K12">
        <v>182846</v>
      </c>
      <c r="L12">
        <v>90481</v>
      </c>
      <c r="M12">
        <v>2335</v>
      </c>
      <c r="N12">
        <v>924</v>
      </c>
      <c r="O12">
        <v>11549</v>
      </c>
      <c r="P12">
        <v>7049</v>
      </c>
      <c r="Q12">
        <v>4914</v>
      </c>
      <c r="R12">
        <v>2879</v>
      </c>
      <c r="S12">
        <v>4483</v>
      </c>
      <c r="T12">
        <v>1619</v>
      </c>
    </row>
    <row r="13" spans="1:21" x14ac:dyDescent="0.25">
      <c r="A13" t="s">
        <v>460</v>
      </c>
      <c r="B13">
        <v>228</v>
      </c>
      <c r="C13">
        <v>1268</v>
      </c>
      <c r="D13">
        <v>146</v>
      </c>
      <c r="E13">
        <v>22</v>
      </c>
      <c r="F13">
        <v>22</v>
      </c>
      <c r="G13">
        <v>0</v>
      </c>
      <c r="H13">
        <v>38</v>
      </c>
      <c r="I13">
        <v>0</v>
      </c>
      <c r="J13">
        <v>0</v>
      </c>
      <c r="K13">
        <v>35511</v>
      </c>
      <c r="L13">
        <v>18099</v>
      </c>
      <c r="M13">
        <v>651</v>
      </c>
      <c r="N13">
        <v>259</v>
      </c>
      <c r="O13">
        <v>1947</v>
      </c>
      <c r="P13">
        <v>1094</v>
      </c>
      <c r="Q13">
        <v>404</v>
      </c>
      <c r="R13">
        <v>155</v>
      </c>
      <c r="S13">
        <v>586</v>
      </c>
      <c r="T13">
        <v>173</v>
      </c>
    </row>
  </sheetData>
  <mergeCells count="11">
    <mergeCell ref="B2:B3"/>
    <mergeCell ref="A2:A3"/>
    <mergeCell ref="D2:J2"/>
    <mergeCell ref="C2:C3"/>
    <mergeCell ref="A1:U1"/>
    <mergeCell ref="S2:S3"/>
    <mergeCell ref="O2:P2"/>
    <mergeCell ref="M2:N2"/>
    <mergeCell ref="T2:T3"/>
    <mergeCell ref="Q2:R2"/>
    <mergeCell ref="K2:L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4472C4"/>
  </sheetPr>
  <dimension ref="A1:P31"/>
  <sheetViews>
    <sheetView workbookViewId="0"/>
  </sheetViews>
  <sheetFormatPr defaultRowHeight="15" x14ac:dyDescent="0.25"/>
  <cols>
    <col min="1" max="1" width="20" customWidth="1"/>
    <col min="2" max="2" width="10.140625" customWidth="1"/>
    <col min="4" max="4" width="10.42578125" customWidth="1"/>
    <col min="6" max="6" width="9.42578125" customWidth="1"/>
    <col min="7" max="7" width="9.85546875" customWidth="1"/>
    <col min="8" max="8" width="9.42578125" customWidth="1"/>
    <col min="9" max="9" width="9.85546875" customWidth="1"/>
    <col min="10" max="10" width="9.42578125" customWidth="1"/>
    <col min="11" max="11" width="11.28515625" customWidth="1"/>
    <col min="12" max="12" width="11.140625" customWidth="1"/>
    <col min="13" max="13" width="10.140625" customWidth="1"/>
    <col min="14" max="14" width="10.42578125" customWidth="1"/>
    <col min="15" max="15" width="11.140625" customWidth="1"/>
    <col min="16" max="16" width="13.42578125" customWidth="1"/>
  </cols>
  <sheetData>
    <row r="1" spans="1:16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709</v>
      </c>
      <c r="B2" s="29" t="s">
        <v>710</v>
      </c>
      <c r="C2" s="29" t="s">
        <v>711</v>
      </c>
      <c r="D2" s="29" t="s">
        <v>72</v>
      </c>
      <c r="E2" s="29"/>
      <c r="F2" s="29" t="s">
        <v>258</v>
      </c>
      <c r="G2" s="29"/>
      <c r="H2" s="29" t="s">
        <v>259</v>
      </c>
      <c r="I2" s="29"/>
      <c r="J2" s="29" t="s">
        <v>694</v>
      </c>
      <c r="K2" s="29" t="s">
        <v>695</v>
      </c>
      <c r="L2" s="29"/>
      <c r="M2" s="29" t="s">
        <v>526</v>
      </c>
      <c r="N2" s="29" t="s">
        <v>527</v>
      </c>
      <c r="O2" s="29" t="s">
        <v>313</v>
      </c>
    </row>
    <row r="3" spans="1:16" x14ac:dyDescent="0.25">
      <c r="A3" s="29"/>
      <c r="B3" s="29"/>
      <c r="C3" s="29"/>
      <c r="D3" t="s">
        <v>263</v>
      </c>
      <c r="E3" t="s">
        <v>264</v>
      </c>
      <c r="F3" t="s">
        <v>263</v>
      </c>
      <c r="G3" t="s">
        <v>265</v>
      </c>
      <c r="H3" t="s">
        <v>263</v>
      </c>
      <c r="I3" t="s">
        <v>265</v>
      </c>
      <c r="J3" s="29"/>
      <c r="K3" t="s">
        <v>263</v>
      </c>
      <c r="L3" t="s">
        <v>265</v>
      </c>
      <c r="M3" s="29"/>
      <c r="N3" s="29"/>
      <c r="O3" s="29"/>
    </row>
    <row r="4" spans="1:16" x14ac:dyDescent="0.25">
      <c r="A4" t="s">
        <v>283</v>
      </c>
      <c r="B4">
        <v>121</v>
      </c>
      <c r="C4">
        <v>894</v>
      </c>
      <c r="D4">
        <v>21942</v>
      </c>
      <c r="E4">
        <v>10611</v>
      </c>
      <c r="F4">
        <v>1053</v>
      </c>
      <c r="G4">
        <v>580</v>
      </c>
      <c r="H4">
        <v>252</v>
      </c>
      <c r="I4">
        <v>113</v>
      </c>
      <c r="J4">
        <v>269</v>
      </c>
      <c r="K4">
        <v>49</v>
      </c>
      <c r="L4">
        <v>25</v>
      </c>
      <c r="M4">
        <v>132</v>
      </c>
      <c r="N4">
        <v>1382</v>
      </c>
      <c r="O4">
        <v>703</v>
      </c>
    </row>
    <row r="5" spans="1:16" x14ac:dyDescent="0.25">
      <c r="A5" t="s">
        <v>284</v>
      </c>
      <c r="B5">
        <v>45</v>
      </c>
      <c r="C5">
        <v>406</v>
      </c>
      <c r="D5">
        <v>8804</v>
      </c>
      <c r="E5">
        <v>4371</v>
      </c>
      <c r="F5">
        <v>779</v>
      </c>
      <c r="G5">
        <v>488</v>
      </c>
      <c r="H5">
        <v>165</v>
      </c>
      <c r="I5">
        <v>82</v>
      </c>
      <c r="J5">
        <v>552</v>
      </c>
      <c r="K5">
        <v>38</v>
      </c>
      <c r="L5">
        <v>27</v>
      </c>
      <c r="M5">
        <v>57</v>
      </c>
      <c r="N5">
        <v>632</v>
      </c>
      <c r="O5">
        <v>361</v>
      </c>
    </row>
    <row r="6" spans="1:16" x14ac:dyDescent="0.25">
      <c r="A6" t="s">
        <v>285</v>
      </c>
      <c r="B6">
        <v>25</v>
      </c>
      <c r="C6">
        <v>158</v>
      </c>
      <c r="D6">
        <v>4010</v>
      </c>
      <c r="E6">
        <v>1969</v>
      </c>
      <c r="F6">
        <v>214</v>
      </c>
      <c r="G6">
        <v>130</v>
      </c>
      <c r="H6">
        <v>34</v>
      </c>
      <c r="I6">
        <v>14</v>
      </c>
      <c r="J6">
        <v>54</v>
      </c>
      <c r="K6">
        <v>7</v>
      </c>
      <c r="L6">
        <v>6</v>
      </c>
      <c r="M6">
        <v>52</v>
      </c>
      <c r="N6">
        <v>295</v>
      </c>
      <c r="O6">
        <v>140</v>
      </c>
    </row>
    <row r="7" spans="1:16" x14ac:dyDescent="0.25">
      <c r="A7" t="s">
        <v>286</v>
      </c>
      <c r="B7">
        <v>25</v>
      </c>
      <c r="C7">
        <v>190</v>
      </c>
      <c r="D7">
        <v>4505</v>
      </c>
      <c r="E7">
        <v>2055</v>
      </c>
      <c r="F7">
        <v>356</v>
      </c>
      <c r="G7">
        <v>242</v>
      </c>
      <c r="H7">
        <v>87</v>
      </c>
      <c r="I7">
        <v>46</v>
      </c>
      <c r="J7">
        <v>132</v>
      </c>
      <c r="K7">
        <v>13</v>
      </c>
      <c r="L7">
        <v>9</v>
      </c>
      <c r="M7">
        <v>51</v>
      </c>
      <c r="N7">
        <v>326</v>
      </c>
      <c r="O7">
        <v>183</v>
      </c>
    </row>
    <row r="8" spans="1:16" x14ac:dyDescent="0.25">
      <c r="A8" t="s">
        <v>287</v>
      </c>
      <c r="B8">
        <v>50</v>
      </c>
      <c r="C8">
        <v>328</v>
      </c>
      <c r="D8">
        <v>8134</v>
      </c>
      <c r="E8">
        <v>4179</v>
      </c>
      <c r="F8">
        <v>444</v>
      </c>
      <c r="G8">
        <v>279</v>
      </c>
      <c r="H8">
        <v>109</v>
      </c>
      <c r="I8">
        <v>41</v>
      </c>
      <c r="J8">
        <v>116</v>
      </c>
      <c r="K8">
        <v>49</v>
      </c>
      <c r="L8">
        <v>36</v>
      </c>
      <c r="M8">
        <v>67</v>
      </c>
      <c r="N8">
        <v>517</v>
      </c>
      <c r="O8">
        <v>296</v>
      </c>
    </row>
    <row r="9" spans="1:16" x14ac:dyDescent="0.25">
      <c r="A9" t="s">
        <v>288</v>
      </c>
      <c r="B9">
        <v>15</v>
      </c>
      <c r="C9">
        <v>58</v>
      </c>
      <c r="D9">
        <v>1699</v>
      </c>
      <c r="E9">
        <v>754</v>
      </c>
      <c r="F9">
        <v>110</v>
      </c>
      <c r="G9">
        <v>71</v>
      </c>
      <c r="H9">
        <v>34</v>
      </c>
      <c r="I9">
        <v>18</v>
      </c>
      <c r="J9">
        <v>64</v>
      </c>
      <c r="K9">
        <v>7</v>
      </c>
      <c r="L9">
        <v>7</v>
      </c>
      <c r="M9">
        <v>38</v>
      </c>
      <c r="N9">
        <v>166</v>
      </c>
      <c r="O9">
        <v>58</v>
      </c>
    </row>
    <row r="10" spans="1:16" x14ac:dyDescent="0.25">
      <c r="A10" t="s">
        <v>289</v>
      </c>
      <c r="B10">
        <v>48</v>
      </c>
      <c r="C10">
        <v>296</v>
      </c>
      <c r="D10">
        <v>9588</v>
      </c>
      <c r="E10">
        <v>5022</v>
      </c>
      <c r="F10">
        <v>543</v>
      </c>
      <c r="G10">
        <v>304</v>
      </c>
      <c r="H10">
        <v>61</v>
      </c>
      <c r="I10">
        <v>32</v>
      </c>
      <c r="J10">
        <v>182</v>
      </c>
      <c r="K10">
        <v>66</v>
      </c>
      <c r="L10">
        <v>40</v>
      </c>
      <c r="M10">
        <v>69</v>
      </c>
      <c r="N10">
        <v>465</v>
      </c>
      <c r="O10">
        <v>287</v>
      </c>
    </row>
    <row r="11" spans="1:16" x14ac:dyDescent="0.25">
      <c r="A11" t="s">
        <v>290</v>
      </c>
      <c r="B11">
        <v>63</v>
      </c>
      <c r="C11">
        <v>419</v>
      </c>
      <c r="D11">
        <v>10697</v>
      </c>
      <c r="E11">
        <v>5119</v>
      </c>
      <c r="F11">
        <v>694</v>
      </c>
      <c r="G11">
        <v>395</v>
      </c>
      <c r="H11">
        <v>284</v>
      </c>
      <c r="I11">
        <v>146</v>
      </c>
      <c r="J11">
        <v>353</v>
      </c>
      <c r="K11">
        <v>68</v>
      </c>
      <c r="L11">
        <v>48</v>
      </c>
      <c r="M11">
        <v>79</v>
      </c>
      <c r="N11">
        <v>1129</v>
      </c>
      <c r="O11">
        <v>362</v>
      </c>
    </row>
    <row r="12" spans="1:16" x14ac:dyDescent="0.25">
      <c r="A12" t="s">
        <v>291</v>
      </c>
      <c r="B12">
        <v>4</v>
      </c>
      <c r="C12">
        <v>18</v>
      </c>
      <c r="D12">
        <v>836</v>
      </c>
      <c r="E12">
        <v>446</v>
      </c>
      <c r="F12">
        <v>24</v>
      </c>
      <c r="G12">
        <v>14</v>
      </c>
      <c r="H12">
        <v>5</v>
      </c>
      <c r="I12">
        <v>4</v>
      </c>
      <c r="J12">
        <v>2</v>
      </c>
      <c r="K12">
        <v>8</v>
      </c>
      <c r="L12">
        <v>4</v>
      </c>
      <c r="M12">
        <v>8</v>
      </c>
      <c r="N12">
        <v>20</v>
      </c>
      <c r="O12">
        <v>18</v>
      </c>
    </row>
    <row r="13" spans="1:16" x14ac:dyDescent="0.25">
      <c r="A13" t="s">
        <v>292</v>
      </c>
      <c r="B13">
        <v>18</v>
      </c>
      <c r="C13">
        <v>110</v>
      </c>
      <c r="D13">
        <v>3259</v>
      </c>
      <c r="E13">
        <v>1674</v>
      </c>
      <c r="F13">
        <v>188</v>
      </c>
      <c r="G13">
        <v>99</v>
      </c>
      <c r="H13">
        <v>24</v>
      </c>
      <c r="I13">
        <v>11</v>
      </c>
      <c r="J13">
        <v>44</v>
      </c>
      <c r="K13">
        <v>13</v>
      </c>
      <c r="L13">
        <v>11</v>
      </c>
      <c r="M13">
        <v>39</v>
      </c>
      <c r="N13">
        <v>186</v>
      </c>
      <c r="O13">
        <v>105</v>
      </c>
    </row>
    <row r="14" spans="1:16" x14ac:dyDescent="0.25">
      <c r="A14" t="s">
        <v>293</v>
      </c>
      <c r="B14">
        <v>8</v>
      </c>
      <c r="C14">
        <v>44</v>
      </c>
      <c r="D14">
        <v>1499</v>
      </c>
      <c r="E14">
        <v>880</v>
      </c>
      <c r="F14">
        <v>14</v>
      </c>
      <c r="G14">
        <v>13</v>
      </c>
      <c r="H14">
        <v>15</v>
      </c>
      <c r="I14">
        <v>4</v>
      </c>
      <c r="J14">
        <v>8</v>
      </c>
      <c r="K14">
        <v>15</v>
      </c>
      <c r="L14">
        <v>8</v>
      </c>
      <c r="M14">
        <v>3</v>
      </c>
      <c r="N14">
        <v>9</v>
      </c>
      <c r="O14">
        <v>44</v>
      </c>
    </row>
    <row r="15" spans="1:16" x14ac:dyDescent="0.25">
      <c r="A15" t="s">
        <v>294</v>
      </c>
      <c r="B15">
        <v>5</v>
      </c>
      <c r="C15">
        <v>17</v>
      </c>
      <c r="D15">
        <v>345</v>
      </c>
      <c r="E15">
        <v>140</v>
      </c>
      <c r="F15">
        <v>20</v>
      </c>
      <c r="G15">
        <v>17</v>
      </c>
      <c r="H15">
        <v>16</v>
      </c>
      <c r="I15">
        <v>12</v>
      </c>
      <c r="J15">
        <v>1</v>
      </c>
      <c r="K15">
        <v>3</v>
      </c>
      <c r="L15">
        <v>1</v>
      </c>
      <c r="M15">
        <v>4</v>
      </c>
      <c r="N15">
        <v>23</v>
      </c>
      <c r="O15">
        <v>17</v>
      </c>
    </row>
    <row r="16" spans="1:16" x14ac:dyDescent="0.25">
      <c r="A16" t="s">
        <v>295</v>
      </c>
      <c r="B16">
        <v>6</v>
      </c>
      <c r="C16">
        <v>45</v>
      </c>
      <c r="D16">
        <v>1473</v>
      </c>
      <c r="E16">
        <v>662</v>
      </c>
      <c r="F16">
        <v>35</v>
      </c>
      <c r="G16">
        <v>25</v>
      </c>
      <c r="H16">
        <v>5</v>
      </c>
      <c r="I16">
        <v>3</v>
      </c>
      <c r="J16">
        <v>0</v>
      </c>
      <c r="K16">
        <v>0</v>
      </c>
      <c r="L16">
        <v>0</v>
      </c>
      <c r="M16">
        <v>9</v>
      </c>
      <c r="N16">
        <v>37</v>
      </c>
      <c r="O16">
        <v>29</v>
      </c>
    </row>
    <row r="17" spans="1:15" x14ac:dyDescent="0.25">
      <c r="A17" t="s">
        <v>296</v>
      </c>
      <c r="B17">
        <v>18</v>
      </c>
      <c r="C17">
        <v>105</v>
      </c>
      <c r="D17">
        <v>2245</v>
      </c>
      <c r="E17">
        <v>1098</v>
      </c>
      <c r="F17">
        <v>151</v>
      </c>
      <c r="G17">
        <v>113</v>
      </c>
      <c r="H17">
        <v>45</v>
      </c>
      <c r="I17">
        <v>16</v>
      </c>
      <c r="J17">
        <v>24</v>
      </c>
      <c r="K17">
        <v>3</v>
      </c>
      <c r="L17">
        <v>1</v>
      </c>
      <c r="M17">
        <v>36</v>
      </c>
      <c r="N17">
        <v>234</v>
      </c>
      <c r="O17">
        <v>93</v>
      </c>
    </row>
    <row r="18" spans="1:15" x14ac:dyDescent="0.25">
      <c r="A18" t="s">
        <v>297</v>
      </c>
      <c r="B18">
        <v>530</v>
      </c>
      <c r="C18">
        <v>4385</v>
      </c>
      <c r="D18">
        <v>101287</v>
      </c>
      <c r="E18">
        <v>50777</v>
      </c>
      <c r="F18">
        <v>6488</v>
      </c>
      <c r="G18">
        <v>3910</v>
      </c>
      <c r="H18">
        <v>3562</v>
      </c>
      <c r="I18">
        <v>2108</v>
      </c>
      <c r="J18">
        <v>2334</v>
      </c>
      <c r="K18">
        <v>1111</v>
      </c>
      <c r="L18">
        <v>632</v>
      </c>
      <c r="M18">
        <v>581</v>
      </c>
      <c r="N18">
        <v>9040</v>
      </c>
      <c r="O18">
        <v>3500</v>
      </c>
    </row>
    <row r="19" spans="1:15" x14ac:dyDescent="0.25">
      <c r="A19" t="s">
        <v>298</v>
      </c>
      <c r="B19">
        <v>45</v>
      </c>
      <c r="C19">
        <v>358</v>
      </c>
      <c r="D19">
        <v>8938</v>
      </c>
      <c r="E19">
        <v>4327</v>
      </c>
      <c r="F19">
        <v>521</v>
      </c>
      <c r="G19">
        <v>274</v>
      </c>
      <c r="H19">
        <v>136</v>
      </c>
      <c r="I19">
        <v>87</v>
      </c>
      <c r="J19">
        <v>222</v>
      </c>
      <c r="K19">
        <v>86</v>
      </c>
      <c r="L19">
        <v>67</v>
      </c>
      <c r="M19">
        <v>56</v>
      </c>
      <c r="N19">
        <v>663</v>
      </c>
      <c r="O19">
        <v>314</v>
      </c>
    </row>
    <row r="20" spans="1:15" x14ac:dyDescent="0.25">
      <c r="A20" t="s">
        <v>299</v>
      </c>
      <c r="B20">
        <v>4</v>
      </c>
      <c r="C20">
        <v>18</v>
      </c>
      <c r="D20">
        <v>265</v>
      </c>
      <c r="E20">
        <v>123</v>
      </c>
      <c r="F20">
        <v>19</v>
      </c>
      <c r="G20">
        <v>16</v>
      </c>
      <c r="H20">
        <v>1</v>
      </c>
      <c r="I20">
        <v>1</v>
      </c>
      <c r="J20">
        <v>1</v>
      </c>
      <c r="K20">
        <v>5</v>
      </c>
      <c r="L20">
        <v>1</v>
      </c>
      <c r="M20">
        <v>4</v>
      </c>
      <c r="N20">
        <v>41</v>
      </c>
      <c r="O20">
        <v>5</v>
      </c>
    </row>
    <row r="21" spans="1:15" x14ac:dyDescent="0.25">
      <c r="A21" t="s">
        <v>300</v>
      </c>
      <c r="B21">
        <v>7</v>
      </c>
      <c r="C21">
        <v>16</v>
      </c>
      <c r="D21">
        <v>349</v>
      </c>
      <c r="E21">
        <v>206</v>
      </c>
      <c r="F21">
        <v>42</v>
      </c>
      <c r="G21">
        <v>25</v>
      </c>
      <c r="H21">
        <v>14</v>
      </c>
      <c r="I21">
        <v>8</v>
      </c>
      <c r="J21">
        <v>20</v>
      </c>
      <c r="K21">
        <v>1</v>
      </c>
      <c r="L21">
        <v>0</v>
      </c>
      <c r="M21">
        <v>7</v>
      </c>
      <c r="N21">
        <v>31</v>
      </c>
      <c r="O21">
        <v>16</v>
      </c>
    </row>
    <row r="22" spans="1:15" x14ac:dyDescent="0.25">
      <c r="A22" t="s">
        <v>301</v>
      </c>
      <c r="B22">
        <v>8</v>
      </c>
      <c r="C22">
        <v>58</v>
      </c>
      <c r="D22">
        <v>2050</v>
      </c>
      <c r="E22">
        <v>1064</v>
      </c>
      <c r="F22">
        <v>69</v>
      </c>
      <c r="G22">
        <v>68</v>
      </c>
      <c r="H22">
        <v>17</v>
      </c>
      <c r="I22">
        <v>11</v>
      </c>
      <c r="J22">
        <v>13</v>
      </c>
      <c r="K22">
        <v>0</v>
      </c>
      <c r="L22">
        <v>0</v>
      </c>
      <c r="M22">
        <v>9</v>
      </c>
      <c r="N22">
        <v>93</v>
      </c>
      <c r="O22">
        <v>55</v>
      </c>
    </row>
    <row r="23" spans="1:15" x14ac:dyDescent="0.25">
      <c r="A23" t="s">
        <v>302</v>
      </c>
      <c r="B23">
        <v>14</v>
      </c>
      <c r="C23">
        <v>134</v>
      </c>
      <c r="D23">
        <v>3473</v>
      </c>
      <c r="E23">
        <v>1431</v>
      </c>
      <c r="F23">
        <v>175</v>
      </c>
      <c r="G23">
        <v>109</v>
      </c>
      <c r="H23">
        <v>46</v>
      </c>
      <c r="I23">
        <v>25</v>
      </c>
      <c r="J23">
        <v>112</v>
      </c>
      <c r="K23">
        <v>0</v>
      </c>
      <c r="L23">
        <v>0</v>
      </c>
      <c r="M23">
        <v>39</v>
      </c>
      <c r="N23">
        <v>383</v>
      </c>
      <c r="O23">
        <v>116</v>
      </c>
    </row>
    <row r="24" spans="1:15" x14ac:dyDescent="0.25">
      <c r="A24" t="s">
        <v>303</v>
      </c>
      <c r="B24">
        <v>102</v>
      </c>
      <c r="C24">
        <v>651</v>
      </c>
      <c r="D24">
        <v>15204</v>
      </c>
      <c r="E24">
        <v>7437</v>
      </c>
      <c r="F24">
        <v>1037</v>
      </c>
      <c r="G24">
        <v>699</v>
      </c>
      <c r="H24">
        <v>267</v>
      </c>
      <c r="I24">
        <v>181</v>
      </c>
      <c r="J24">
        <v>462</v>
      </c>
      <c r="K24">
        <v>200</v>
      </c>
      <c r="L24">
        <v>143</v>
      </c>
      <c r="M24">
        <v>98</v>
      </c>
      <c r="N24">
        <v>1136</v>
      </c>
      <c r="O24">
        <v>571</v>
      </c>
    </row>
    <row r="25" spans="1:15" x14ac:dyDescent="0.25">
      <c r="A25" t="s">
        <v>304</v>
      </c>
      <c r="B25">
        <v>4</v>
      </c>
      <c r="C25">
        <v>15</v>
      </c>
      <c r="D25">
        <v>283</v>
      </c>
      <c r="E25">
        <v>132</v>
      </c>
      <c r="F25">
        <v>17</v>
      </c>
      <c r="G25">
        <v>10</v>
      </c>
      <c r="H25">
        <v>2</v>
      </c>
      <c r="I25">
        <v>2</v>
      </c>
      <c r="J25">
        <v>0</v>
      </c>
      <c r="K25">
        <v>6</v>
      </c>
      <c r="L25">
        <v>6</v>
      </c>
      <c r="M25">
        <v>5</v>
      </c>
      <c r="N25">
        <v>16</v>
      </c>
      <c r="O25">
        <v>15</v>
      </c>
    </row>
    <row r="26" spans="1:15" x14ac:dyDescent="0.25">
      <c r="A26" t="s">
        <v>305</v>
      </c>
      <c r="B26">
        <v>6</v>
      </c>
      <c r="C26">
        <v>16</v>
      </c>
      <c r="D26">
        <v>304</v>
      </c>
      <c r="E26">
        <v>141</v>
      </c>
      <c r="F26">
        <v>30</v>
      </c>
      <c r="G26">
        <v>28</v>
      </c>
      <c r="H26">
        <v>4</v>
      </c>
      <c r="I26">
        <v>1</v>
      </c>
      <c r="J26">
        <v>1</v>
      </c>
      <c r="K26">
        <v>15</v>
      </c>
      <c r="L26">
        <v>15</v>
      </c>
      <c r="M26">
        <v>7</v>
      </c>
      <c r="N26">
        <v>74</v>
      </c>
      <c r="O26">
        <v>13</v>
      </c>
    </row>
    <row r="27" spans="1:15" x14ac:dyDescent="0.25">
      <c r="A27" t="s">
        <v>306</v>
      </c>
      <c r="B27">
        <v>24</v>
      </c>
      <c r="C27">
        <v>119</v>
      </c>
      <c r="D27">
        <v>2860</v>
      </c>
      <c r="E27">
        <v>1336</v>
      </c>
      <c r="F27">
        <v>241</v>
      </c>
      <c r="G27">
        <v>99</v>
      </c>
      <c r="H27">
        <v>81</v>
      </c>
      <c r="I27">
        <v>44</v>
      </c>
      <c r="J27">
        <v>79</v>
      </c>
      <c r="K27">
        <v>0</v>
      </c>
      <c r="L27">
        <v>0</v>
      </c>
      <c r="M27">
        <v>39</v>
      </c>
      <c r="N27">
        <v>272</v>
      </c>
      <c r="O27">
        <v>119</v>
      </c>
    </row>
    <row r="28" spans="1:15" x14ac:dyDescent="0.25">
      <c r="A28" t="s">
        <v>307</v>
      </c>
      <c r="B28">
        <v>27</v>
      </c>
      <c r="C28">
        <v>132</v>
      </c>
      <c r="D28">
        <v>4308</v>
      </c>
      <c r="E28">
        <v>2626</v>
      </c>
      <c r="F28">
        <v>232</v>
      </c>
      <c r="G28">
        <v>135</v>
      </c>
      <c r="H28">
        <v>52</v>
      </c>
      <c r="I28">
        <v>24</v>
      </c>
      <c r="J28">
        <v>24</v>
      </c>
      <c r="K28">
        <v>29</v>
      </c>
      <c r="L28">
        <v>24</v>
      </c>
      <c r="M28">
        <v>38</v>
      </c>
      <c r="N28">
        <v>297</v>
      </c>
      <c r="O28">
        <v>122</v>
      </c>
    </row>
    <row r="29" spans="1:15" x14ac:dyDescent="0.25">
      <c r="A29" t="s">
        <v>266</v>
      </c>
      <c r="B29">
        <v>1222</v>
      </c>
      <c r="C29">
        <v>8990</v>
      </c>
      <c r="D29">
        <v>218357</v>
      </c>
      <c r="E29">
        <v>108580</v>
      </c>
      <c r="F29">
        <v>13496</v>
      </c>
      <c r="G29">
        <v>8143</v>
      </c>
      <c r="H29">
        <v>5318</v>
      </c>
      <c r="I29">
        <v>3034</v>
      </c>
      <c r="J29">
        <v>5069</v>
      </c>
      <c r="K29">
        <v>1792</v>
      </c>
      <c r="L29">
        <v>1111</v>
      </c>
      <c r="M29">
        <v>1527</v>
      </c>
      <c r="N29">
        <v>17467</v>
      </c>
      <c r="O29">
        <v>7542</v>
      </c>
    </row>
    <row r="30" spans="1:15" x14ac:dyDescent="0.25">
      <c r="A30" t="s">
        <v>459</v>
      </c>
      <c r="B30">
        <v>994</v>
      </c>
      <c r="C30">
        <v>7722</v>
      </c>
      <c r="D30">
        <v>182846</v>
      </c>
      <c r="E30">
        <v>90481</v>
      </c>
      <c r="F30">
        <v>11549</v>
      </c>
      <c r="G30">
        <v>7049</v>
      </c>
      <c r="H30">
        <v>4914</v>
      </c>
      <c r="I30">
        <v>2879</v>
      </c>
      <c r="J30">
        <v>4483</v>
      </c>
      <c r="K30">
        <v>1619</v>
      </c>
      <c r="L30">
        <v>996</v>
      </c>
      <c r="M30">
        <v>1144</v>
      </c>
      <c r="N30">
        <v>15259</v>
      </c>
      <c r="O30">
        <v>6362</v>
      </c>
    </row>
    <row r="31" spans="1:15" x14ac:dyDescent="0.25">
      <c r="A31" t="s">
        <v>460</v>
      </c>
      <c r="B31">
        <v>228</v>
      </c>
      <c r="C31">
        <v>1268</v>
      </c>
      <c r="D31">
        <v>35511</v>
      </c>
      <c r="E31">
        <v>18099</v>
      </c>
      <c r="F31">
        <v>1947</v>
      </c>
      <c r="G31">
        <v>1094</v>
      </c>
      <c r="H31">
        <v>404</v>
      </c>
      <c r="I31">
        <v>155</v>
      </c>
      <c r="J31">
        <v>586</v>
      </c>
      <c r="K31">
        <v>173</v>
      </c>
      <c r="L31">
        <v>115</v>
      </c>
      <c r="M31">
        <v>383</v>
      </c>
      <c r="N31">
        <v>2208</v>
      </c>
      <c r="O31">
        <v>1180</v>
      </c>
    </row>
  </sheetData>
  <mergeCells count="12">
    <mergeCell ref="F2:G2"/>
    <mergeCell ref="H2:I2"/>
    <mergeCell ref="D2:E2"/>
    <mergeCell ref="A1:P1"/>
    <mergeCell ref="K2:L2"/>
    <mergeCell ref="O2:O3"/>
    <mergeCell ref="M2:M3"/>
    <mergeCell ref="B2:B3"/>
    <mergeCell ref="A2:A3"/>
    <mergeCell ref="N2:N3"/>
    <mergeCell ref="C2:C3"/>
    <mergeCell ref="J2:J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ED7D31"/>
  </sheetPr>
  <dimension ref="A1:O18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10</v>
      </c>
      <c r="C3">
        <v>29</v>
      </c>
      <c r="D3">
        <v>715</v>
      </c>
      <c r="E3">
        <v>366</v>
      </c>
      <c r="F3">
        <v>110</v>
      </c>
      <c r="G3">
        <v>46</v>
      </c>
      <c r="H3">
        <v>12</v>
      </c>
      <c r="I3">
        <v>3</v>
      </c>
      <c r="J3">
        <v>54</v>
      </c>
      <c r="K3">
        <v>14</v>
      </c>
      <c r="L3">
        <v>8</v>
      </c>
      <c r="M3">
        <v>15</v>
      </c>
      <c r="N3">
        <v>84</v>
      </c>
      <c r="O3">
        <v>29</v>
      </c>
    </row>
    <row r="4" spans="1:15" x14ac:dyDescent="0.25">
      <c r="A4" t="s">
        <v>285</v>
      </c>
      <c r="B4">
        <v>2</v>
      </c>
      <c r="C4">
        <v>4</v>
      </c>
      <c r="D4">
        <v>57</v>
      </c>
      <c r="E4">
        <v>23</v>
      </c>
      <c r="F4">
        <v>11</v>
      </c>
      <c r="G4">
        <v>7</v>
      </c>
      <c r="H4">
        <v>3</v>
      </c>
      <c r="I4">
        <v>1</v>
      </c>
      <c r="J4">
        <v>0</v>
      </c>
      <c r="K4">
        <v>0</v>
      </c>
      <c r="L4">
        <v>0</v>
      </c>
      <c r="M4">
        <v>5</v>
      </c>
      <c r="N4">
        <v>28</v>
      </c>
      <c r="O4">
        <v>4</v>
      </c>
    </row>
    <row r="5" spans="1:15" x14ac:dyDescent="0.25">
      <c r="A5" t="s">
        <v>286</v>
      </c>
      <c r="B5">
        <v>1</v>
      </c>
      <c r="C5">
        <v>3</v>
      </c>
      <c r="D5">
        <v>91</v>
      </c>
      <c r="E5">
        <v>42</v>
      </c>
      <c r="F5">
        <v>14</v>
      </c>
      <c r="G5">
        <v>3</v>
      </c>
      <c r="H5">
        <v>3</v>
      </c>
      <c r="I5">
        <v>1</v>
      </c>
      <c r="J5">
        <v>12</v>
      </c>
      <c r="K5">
        <v>1</v>
      </c>
      <c r="L5">
        <v>0</v>
      </c>
      <c r="M5">
        <v>0</v>
      </c>
      <c r="N5">
        <v>0</v>
      </c>
      <c r="O5">
        <v>3</v>
      </c>
    </row>
    <row r="6" spans="1:15" x14ac:dyDescent="0.25">
      <c r="A6" t="s">
        <v>287</v>
      </c>
      <c r="B6">
        <v>3</v>
      </c>
      <c r="C6">
        <v>10</v>
      </c>
      <c r="D6">
        <v>327</v>
      </c>
      <c r="E6">
        <v>170</v>
      </c>
      <c r="F6">
        <v>29</v>
      </c>
      <c r="G6">
        <v>9</v>
      </c>
      <c r="H6">
        <v>9</v>
      </c>
      <c r="I6">
        <v>6</v>
      </c>
      <c r="J6">
        <v>4</v>
      </c>
      <c r="K6">
        <v>2</v>
      </c>
      <c r="L6">
        <v>1</v>
      </c>
      <c r="M6">
        <v>7</v>
      </c>
      <c r="N6">
        <v>51</v>
      </c>
      <c r="O6">
        <v>10</v>
      </c>
    </row>
    <row r="7" spans="1:15" x14ac:dyDescent="0.25">
      <c r="A7" t="s">
        <v>288</v>
      </c>
      <c r="B7">
        <v>1</v>
      </c>
      <c r="C7">
        <v>2</v>
      </c>
      <c r="D7">
        <v>18</v>
      </c>
      <c r="E7">
        <v>9</v>
      </c>
      <c r="F7">
        <v>0</v>
      </c>
      <c r="G7">
        <v>0</v>
      </c>
      <c r="H7">
        <v>2</v>
      </c>
      <c r="I7">
        <v>1</v>
      </c>
      <c r="J7">
        <v>8</v>
      </c>
      <c r="K7">
        <v>0</v>
      </c>
      <c r="L7">
        <v>0</v>
      </c>
      <c r="M7">
        <v>2</v>
      </c>
      <c r="N7">
        <v>15</v>
      </c>
      <c r="O7">
        <v>2</v>
      </c>
    </row>
    <row r="8" spans="1:15" x14ac:dyDescent="0.25">
      <c r="A8" t="s">
        <v>289</v>
      </c>
      <c r="B8">
        <v>6</v>
      </c>
      <c r="C8">
        <v>18</v>
      </c>
      <c r="D8">
        <v>422</v>
      </c>
      <c r="E8">
        <v>232</v>
      </c>
      <c r="F8">
        <v>52</v>
      </c>
      <c r="G8">
        <v>19</v>
      </c>
      <c r="H8">
        <v>1</v>
      </c>
      <c r="I8">
        <v>1</v>
      </c>
      <c r="J8">
        <v>30</v>
      </c>
      <c r="K8">
        <v>12</v>
      </c>
      <c r="L8">
        <v>10</v>
      </c>
      <c r="M8">
        <v>22</v>
      </c>
      <c r="N8">
        <v>107</v>
      </c>
      <c r="O8">
        <v>18</v>
      </c>
    </row>
    <row r="9" spans="1:15" x14ac:dyDescent="0.25">
      <c r="A9" t="s">
        <v>290</v>
      </c>
      <c r="B9">
        <v>4</v>
      </c>
      <c r="C9">
        <v>11</v>
      </c>
      <c r="D9">
        <v>172</v>
      </c>
      <c r="E9">
        <v>84</v>
      </c>
      <c r="F9">
        <v>34</v>
      </c>
      <c r="G9">
        <v>19</v>
      </c>
      <c r="H9">
        <v>14</v>
      </c>
      <c r="I9">
        <v>8</v>
      </c>
      <c r="J9">
        <v>28</v>
      </c>
      <c r="K9">
        <v>7</v>
      </c>
      <c r="L9">
        <v>6</v>
      </c>
      <c r="M9">
        <v>5</v>
      </c>
      <c r="N9">
        <v>109</v>
      </c>
      <c r="O9">
        <v>11</v>
      </c>
    </row>
    <row r="10" spans="1:15" x14ac:dyDescent="0.25">
      <c r="A10" t="s">
        <v>292</v>
      </c>
      <c r="B10">
        <v>2</v>
      </c>
      <c r="C10">
        <v>5</v>
      </c>
      <c r="D10">
        <v>77</v>
      </c>
      <c r="E10">
        <v>37</v>
      </c>
      <c r="F10">
        <v>19</v>
      </c>
      <c r="G10">
        <v>7</v>
      </c>
      <c r="H10">
        <v>0</v>
      </c>
      <c r="I10">
        <v>0</v>
      </c>
      <c r="J10">
        <v>0</v>
      </c>
      <c r="K10">
        <v>2</v>
      </c>
      <c r="L10">
        <v>2</v>
      </c>
      <c r="M10">
        <v>3</v>
      </c>
      <c r="N10">
        <v>18</v>
      </c>
      <c r="O10">
        <v>5</v>
      </c>
    </row>
    <row r="11" spans="1:15" x14ac:dyDescent="0.25">
      <c r="A11" t="s">
        <v>297</v>
      </c>
      <c r="B11">
        <v>32</v>
      </c>
      <c r="C11">
        <v>96</v>
      </c>
      <c r="D11">
        <v>1597</v>
      </c>
      <c r="E11">
        <v>835</v>
      </c>
      <c r="F11">
        <v>283</v>
      </c>
      <c r="G11">
        <v>130</v>
      </c>
      <c r="H11">
        <v>182</v>
      </c>
      <c r="I11">
        <v>118</v>
      </c>
      <c r="J11">
        <v>188</v>
      </c>
      <c r="K11">
        <v>93</v>
      </c>
      <c r="L11">
        <v>41</v>
      </c>
      <c r="M11">
        <v>35</v>
      </c>
      <c r="N11">
        <v>445</v>
      </c>
      <c r="O11">
        <v>90</v>
      </c>
    </row>
    <row r="12" spans="1:15" x14ac:dyDescent="0.25">
      <c r="A12" t="s">
        <v>298</v>
      </c>
      <c r="B12">
        <v>4</v>
      </c>
      <c r="C12">
        <v>9</v>
      </c>
      <c r="D12">
        <v>138</v>
      </c>
      <c r="E12">
        <v>71</v>
      </c>
      <c r="F12">
        <v>28</v>
      </c>
      <c r="G12">
        <v>5</v>
      </c>
      <c r="H12">
        <v>2</v>
      </c>
      <c r="I12">
        <v>1</v>
      </c>
      <c r="J12">
        <v>14</v>
      </c>
      <c r="K12">
        <v>22</v>
      </c>
      <c r="L12">
        <v>18</v>
      </c>
      <c r="M12">
        <v>5</v>
      </c>
      <c r="N12">
        <v>47</v>
      </c>
      <c r="O12">
        <v>9</v>
      </c>
    </row>
    <row r="13" spans="1:15" x14ac:dyDescent="0.25">
      <c r="A13" t="s">
        <v>302</v>
      </c>
      <c r="B13">
        <v>1</v>
      </c>
      <c r="C13">
        <v>3</v>
      </c>
      <c r="D13">
        <v>51</v>
      </c>
      <c r="E13">
        <v>16</v>
      </c>
      <c r="F13">
        <v>6</v>
      </c>
      <c r="G13">
        <v>4</v>
      </c>
      <c r="H13">
        <v>13</v>
      </c>
      <c r="I13">
        <v>5</v>
      </c>
      <c r="J13">
        <v>1</v>
      </c>
      <c r="K13">
        <v>0</v>
      </c>
      <c r="L13">
        <v>0</v>
      </c>
      <c r="M13">
        <v>2</v>
      </c>
      <c r="N13">
        <v>33</v>
      </c>
      <c r="O13">
        <v>3</v>
      </c>
    </row>
    <row r="14" spans="1:15" x14ac:dyDescent="0.25">
      <c r="A14" t="s">
        <v>303</v>
      </c>
      <c r="B14">
        <v>9</v>
      </c>
      <c r="C14">
        <v>20</v>
      </c>
      <c r="D14">
        <v>165</v>
      </c>
      <c r="E14">
        <v>80</v>
      </c>
      <c r="F14">
        <v>80</v>
      </c>
      <c r="G14">
        <v>50</v>
      </c>
      <c r="H14">
        <v>14</v>
      </c>
      <c r="I14">
        <v>11</v>
      </c>
      <c r="J14">
        <v>43</v>
      </c>
      <c r="K14">
        <v>45</v>
      </c>
      <c r="L14">
        <v>20</v>
      </c>
      <c r="M14">
        <v>5</v>
      </c>
      <c r="N14">
        <v>50</v>
      </c>
      <c r="O14">
        <v>20</v>
      </c>
    </row>
    <row r="15" spans="1:15" x14ac:dyDescent="0.25">
      <c r="A15" t="s">
        <v>307</v>
      </c>
      <c r="B15">
        <v>3</v>
      </c>
      <c r="C15">
        <v>6</v>
      </c>
      <c r="D15">
        <v>187</v>
      </c>
      <c r="E15">
        <v>102</v>
      </c>
      <c r="F15">
        <v>21</v>
      </c>
      <c r="G15">
        <v>6</v>
      </c>
      <c r="H15">
        <v>0</v>
      </c>
      <c r="I15">
        <v>0</v>
      </c>
      <c r="J15">
        <v>10</v>
      </c>
      <c r="K15">
        <v>4</v>
      </c>
      <c r="L15">
        <v>2</v>
      </c>
      <c r="M15">
        <v>4</v>
      </c>
      <c r="N15">
        <v>49</v>
      </c>
      <c r="O15">
        <v>6</v>
      </c>
    </row>
    <row r="16" spans="1:15" x14ac:dyDescent="0.25">
      <c r="A16" t="s">
        <v>266</v>
      </c>
      <c r="B16">
        <v>78</v>
      </c>
      <c r="C16">
        <v>216</v>
      </c>
      <c r="D16">
        <v>4017</v>
      </c>
      <c r="E16">
        <v>2067</v>
      </c>
      <c r="F16">
        <v>687</v>
      </c>
      <c r="G16">
        <v>305</v>
      </c>
      <c r="H16">
        <v>255</v>
      </c>
      <c r="I16">
        <v>156</v>
      </c>
      <c r="J16">
        <v>392</v>
      </c>
      <c r="K16">
        <v>202</v>
      </c>
      <c r="L16">
        <v>108</v>
      </c>
      <c r="M16">
        <v>110</v>
      </c>
      <c r="N16">
        <v>1036</v>
      </c>
      <c r="O16">
        <v>210</v>
      </c>
    </row>
    <row r="17" spans="1:15" x14ac:dyDescent="0.25">
      <c r="A17" t="s">
        <v>459</v>
      </c>
      <c r="B17">
        <v>62</v>
      </c>
      <c r="C17">
        <v>173</v>
      </c>
      <c r="D17">
        <v>2935</v>
      </c>
      <c r="E17">
        <v>1500</v>
      </c>
      <c r="F17">
        <v>562</v>
      </c>
      <c r="G17">
        <v>265</v>
      </c>
      <c r="H17">
        <v>246</v>
      </c>
      <c r="I17">
        <v>152</v>
      </c>
      <c r="J17">
        <v>329</v>
      </c>
      <c r="K17">
        <v>188</v>
      </c>
      <c r="L17">
        <v>100</v>
      </c>
      <c r="M17">
        <v>70</v>
      </c>
      <c r="N17">
        <v>798</v>
      </c>
      <c r="O17">
        <v>167</v>
      </c>
    </row>
    <row r="18" spans="1:15" x14ac:dyDescent="0.25">
      <c r="A18" t="s">
        <v>460</v>
      </c>
      <c r="B18">
        <v>16</v>
      </c>
      <c r="C18">
        <v>43</v>
      </c>
      <c r="D18">
        <v>1082</v>
      </c>
      <c r="E18">
        <v>567</v>
      </c>
      <c r="F18">
        <v>125</v>
      </c>
      <c r="G18">
        <v>40</v>
      </c>
      <c r="H18">
        <v>9</v>
      </c>
      <c r="I18">
        <v>4</v>
      </c>
      <c r="J18">
        <v>63</v>
      </c>
      <c r="K18">
        <v>14</v>
      </c>
      <c r="L18">
        <v>8</v>
      </c>
      <c r="M18">
        <v>40</v>
      </c>
      <c r="N18">
        <v>238</v>
      </c>
      <c r="O18">
        <v>43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ED7D31"/>
  </sheetPr>
  <dimension ref="A1:O22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29" t="s">
        <v>712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11</v>
      </c>
      <c r="C3">
        <v>132</v>
      </c>
      <c r="D3">
        <v>3502</v>
      </c>
      <c r="E3">
        <v>1713</v>
      </c>
      <c r="F3">
        <v>287</v>
      </c>
      <c r="G3">
        <v>88</v>
      </c>
      <c r="H3">
        <v>56</v>
      </c>
      <c r="I3">
        <v>16</v>
      </c>
      <c r="J3">
        <v>163</v>
      </c>
      <c r="K3">
        <v>14</v>
      </c>
      <c r="L3">
        <v>5</v>
      </c>
      <c r="M3">
        <v>18</v>
      </c>
      <c r="N3">
        <v>316</v>
      </c>
      <c r="O3">
        <v>128</v>
      </c>
    </row>
    <row r="4" spans="1:15" x14ac:dyDescent="0.25">
      <c r="A4" t="s">
        <v>284</v>
      </c>
      <c r="B4">
        <v>11</v>
      </c>
      <c r="C4">
        <v>113</v>
      </c>
      <c r="D4">
        <v>3183</v>
      </c>
      <c r="E4">
        <v>1627</v>
      </c>
      <c r="F4">
        <v>448</v>
      </c>
      <c r="G4">
        <v>196</v>
      </c>
      <c r="H4">
        <v>92</v>
      </c>
      <c r="I4">
        <v>34</v>
      </c>
      <c r="J4">
        <v>371</v>
      </c>
      <c r="K4">
        <v>4</v>
      </c>
      <c r="L4">
        <v>0</v>
      </c>
      <c r="M4">
        <v>14</v>
      </c>
      <c r="N4">
        <v>258</v>
      </c>
      <c r="O4">
        <v>115</v>
      </c>
    </row>
    <row r="5" spans="1:15" x14ac:dyDescent="0.25">
      <c r="A5" t="s">
        <v>285</v>
      </c>
      <c r="B5">
        <v>2</v>
      </c>
      <c r="C5">
        <v>19</v>
      </c>
      <c r="D5">
        <v>568</v>
      </c>
      <c r="E5">
        <v>278</v>
      </c>
      <c r="F5">
        <v>58</v>
      </c>
      <c r="G5">
        <v>21</v>
      </c>
      <c r="H5">
        <v>9</v>
      </c>
      <c r="I5">
        <v>5</v>
      </c>
      <c r="J5">
        <v>40</v>
      </c>
      <c r="K5">
        <v>1</v>
      </c>
      <c r="L5">
        <v>0</v>
      </c>
      <c r="M5">
        <v>4</v>
      </c>
      <c r="N5">
        <v>79</v>
      </c>
      <c r="O5">
        <v>19</v>
      </c>
    </row>
    <row r="6" spans="1:15" x14ac:dyDescent="0.25">
      <c r="A6" t="s">
        <v>286</v>
      </c>
      <c r="B6">
        <v>4</v>
      </c>
      <c r="C6">
        <v>38</v>
      </c>
      <c r="D6">
        <v>977</v>
      </c>
      <c r="E6">
        <v>372</v>
      </c>
      <c r="F6">
        <v>130</v>
      </c>
      <c r="G6">
        <v>71</v>
      </c>
      <c r="H6">
        <v>6</v>
      </c>
      <c r="I6">
        <v>1</v>
      </c>
      <c r="J6">
        <v>95</v>
      </c>
      <c r="K6">
        <v>0</v>
      </c>
      <c r="L6">
        <v>0</v>
      </c>
      <c r="M6">
        <v>21</v>
      </c>
      <c r="N6">
        <v>104</v>
      </c>
      <c r="O6">
        <v>38</v>
      </c>
    </row>
    <row r="7" spans="1:15" x14ac:dyDescent="0.25">
      <c r="A7" t="s">
        <v>287</v>
      </c>
      <c r="B7">
        <v>5</v>
      </c>
      <c r="C7">
        <v>30</v>
      </c>
      <c r="D7">
        <v>614</v>
      </c>
      <c r="E7">
        <v>306</v>
      </c>
      <c r="F7">
        <v>86</v>
      </c>
      <c r="G7">
        <v>36</v>
      </c>
      <c r="H7">
        <v>19</v>
      </c>
      <c r="I7">
        <v>4</v>
      </c>
      <c r="J7">
        <v>47</v>
      </c>
      <c r="K7">
        <v>10</v>
      </c>
      <c r="L7">
        <v>6</v>
      </c>
      <c r="M7">
        <v>6</v>
      </c>
      <c r="N7">
        <v>81</v>
      </c>
      <c r="O7">
        <v>29</v>
      </c>
    </row>
    <row r="8" spans="1:15" x14ac:dyDescent="0.25">
      <c r="A8" t="s">
        <v>288</v>
      </c>
      <c r="B8">
        <v>2</v>
      </c>
      <c r="C8">
        <v>12</v>
      </c>
      <c r="D8">
        <v>290</v>
      </c>
      <c r="E8">
        <v>130</v>
      </c>
      <c r="F8">
        <v>34</v>
      </c>
      <c r="G8">
        <v>11</v>
      </c>
      <c r="H8">
        <v>8</v>
      </c>
      <c r="I8">
        <v>4</v>
      </c>
      <c r="J8">
        <v>31</v>
      </c>
      <c r="K8">
        <v>2</v>
      </c>
      <c r="L8">
        <v>2</v>
      </c>
      <c r="M8">
        <v>12</v>
      </c>
      <c r="N8">
        <v>32</v>
      </c>
      <c r="O8">
        <v>12</v>
      </c>
    </row>
    <row r="9" spans="1:15" x14ac:dyDescent="0.25">
      <c r="A9" t="s">
        <v>289</v>
      </c>
      <c r="B9">
        <v>8</v>
      </c>
      <c r="C9">
        <v>66</v>
      </c>
      <c r="D9">
        <v>1934</v>
      </c>
      <c r="E9">
        <v>1006</v>
      </c>
      <c r="F9">
        <v>186</v>
      </c>
      <c r="G9">
        <v>72</v>
      </c>
      <c r="H9">
        <v>23</v>
      </c>
      <c r="I9">
        <v>16</v>
      </c>
      <c r="J9">
        <v>105</v>
      </c>
      <c r="K9">
        <v>7</v>
      </c>
      <c r="L9">
        <v>1</v>
      </c>
      <c r="M9">
        <v>16</v>
      </c>
      <c r="N9">
        <v>151</v>
      </c>
      <c r="O9">
        <v>66</v>
      </c>
    </row>
    <row r="10" spans="1:15" x14ac:dyDescent="0.25">
      <c r="A10" t="s">
        <v>290</v>
      </c>
      <c r="B10">
        <v>6</v>
      </c>
      <c r="C10">
        <v>108</v>
      </c>
      <c r="D10">
        <v>2868</v>
      </c>
      <c r="E10">
        <v>1200</v>
      </c>
      <c r="F10">
        <v>205</v>
      </c>
      <c r="G10">
        <v>60</v>
      </c>
      <c r="H10">
        <v>58</v>
      </c>
      <c r="I10">
        <v>20</v>
      </c>
      <c r="J10">
        <v>207</v>
      </c>
      <c r="K10">
        <v>0</v>
      </c>
      <c r="L10">
        <v>0</v>
      </c>
      <c r="M10">
        <v>19</v>
      </c>
      <c r="N10">
        <v>316</v>
      </c>
      <c r="O10">
        <v>98</v>
      </c>
    </row>
    <row r="11" spans="1:15" x14ac:dyDescent="0.25">
      <c r="A11" t="s">
        <v>292</v>
      </c>
      <c r="B11">
        <v>1</v>
      </c>
      <c r="C11">
        <v>9</v>
      </c>
      <c r="D11">
        <v>272</v>
      </c>
      <c r="E11">
        <v>117</v>
      </c>
      <c r="F11">
        <v>32</v>
      </c>
      <c r="G11">
        <v>8</v>
      </c>
      <c r="H11">
        <v>8</v>
      </c>
      <c r="I11">
        <v>2</v>
      </c>
      <c r="J11">
        <v>3</v>
      </c>
      <c r="K11">
        <v>0</v>
      </c>
      <c r="L11">
        <v>0</v>
      </c>
      <c r="M11">
        <v>3</v>
      </c>
      <c r="N11">
        <v>16</v>
      </c>
      <c r="O11">
        <v>9</v>
      </c>
    </row>
    <row r="12" spans="1:15" x14ac:dyDescent="0.25">
      <c r="A12" t="s">
        <v>297</v>
      </c>
      <c r="B12">
        <v>70</v>
      </c>
      <c r="C12">
        <v>894</v>
      </c>
      <c r="D12">
        <v>22303</v>
      </c>
      <c r="E12">
        <v>11252</v>
      </c>
      <c r="F12">
        <v>2111</v>
      </c>
      <c r="G12">
        <v>791</v>
      </c>
      <c r="H12">
        <v>783</v>
      </c>
      <c r="I12">
        <v>387</v>
      </c>
      <c r="J12">
        <v>1229</v>
      </c>
      <c r="K12">
        <v>215</v>
      </c>
      <c r="L12">
        <v>96</v>
      </c>
      <c r="M12">
        <v>104</v>
      </c>
      <c r="N12">
        <v>2289</v>
      </c>
      <c r="O12">
        <v>722</v>
      </c>
    </row>
    <row r="13" spans="1:15" x14ac:dyDescent="0.25">
      <c r="A13" t="s">
        <v>298</v>
      </c>
      <c r="B13">
        <v>6</v>
      </c>
      <c r="C13">
        <v>75</v>
      </c>
      <c r="D13">
        <v>2035</v>
      </c>
      <c r="E13">
        <v>956</v>
      </c>
      <c r="F13">
        <v>182</v>
      </c>
      <c r="G13">
        <v>41</v>
      </c>
      <c r="H13">
        <v>27</v>
      </c>
      <c r="I13">
        <v>15</v>
      </c>
      <c r="J13">
        <v>141</v>
      </c>
      <c r="K13">
        <v>7</v>
      </c>
      <c r="L13">
        <v>3</v>
      </c>
      <c r="M13">
        <v>13</v>
      </c>
      <c r="N13">
        <v>184</v>
      </c>
      <c r="O13">
        <v>72</v>
      </c>
    </row>
    <row r="14" spans="1:15" x14ac:dyDescent="0.25">
      <c r="A14" t="s">
        <v>300</v>
      </c>
      <c r="B14">
        <v>1</v>
      </c>
      <c r="C14">
        <v>3</v>
      </c>
      <c r="D14">
        <v>133</v>
      </c>
      <c r="E14">
        <v>78</v>
      </c>
      <c r="F14">
        <v>22</v>
      </c>
      <c r="G14">
        <v>5</v>
      </c>
      <c r="H14">
        <v>3</v>
      </c>
      <c r="I14">
        <v>2</v>
      </c>
      <c r="J14">
        <v>20</v>
      </c>
      <c r="K14">
        <v>1</v>
      </c>
      <c r="L14">
        <v>0</v>
      </c>
      <c r="M14">
        <v>3</v>
      </c>
      <c r="N14">
        <v>8</v>
      </c>
      <c r="O14">
        <v>3</v>
      </c>
    </row>
    <row r="15" spans="1:15" x14ac:dyDescent="0.25">
      <c r="A15" t="s">
        <v>302</v>
      </c>
      <c r="B15">
        <v>3</v>
      </c>
      <c r="C15">
        <v>23</v>
      </c>
      <c r="D15">
        <v>420</v>
      </c>
      <c r="E15">
        <v>186</v>
      </c>
      <c r="F15">
        <v>65</v>
      </c>
      <c r="G15">
        <v>23</v>
      </c>
      <c r="H15">
        <v>15</v>
      </c>
      <c r="I15">
        <v>11</v>
      </c>
      <c r="J15">
        <v>54</v>
      </c>
      <c r="K15">
        <v>0</v>
      </c>
      <c r="L15">
        <v>0</v>
      </c>
      <c r="M15">
        <v>15</v>
      </c>
      <c r="N15">
        <v>119</v>
      </c>
      <c r="O15">
        <v>23</v>
      </c>
    </row>
    <row r="16" spans="1:15" x14ac:dyDescent="0.25">
      <c r="A16" t="s">
        <v>303</v>
      </c>
      <c r="B16">
        <v>9</v>
      </c>
      <c r="C16">
        <v>93</v>
      </c>
      <c r="D16">
        <v>2312</v>
      </c>
      <c r="E16">
        <v>1138</v>
      </c>
      <c r="F16">
        <v>307</v>
      </c>
      <c r="G16">
        <v>143</v>
      </c>
      <c r="H16">
        <v>46</v>
      </c>
      <c r="I16">
        <v>23</v>
      </c>
      <c r="J16">
        <v>253</v>
      </c>
      <c r="K16">
        <v>22</v>
      </c>
      <c r="L16">
        <v>10</v>
      </c>
      <c r="M16">
        <v>6</v>
      </c>
      <c r="N16">
        <v>197</v>
      </c>
      <c r="O16">
        <v>81</v>
      </c>
    </row>
    <row r="17" spans="1:15" x14ac:dyDescent="0.25">
      <c r="A17" t="s">
        <v>304</v>
      </c>
      <c r="B17">
        <v>1</v>
      </c>
      <c r="C17">
        <v>6</v>
      </c>
      <c r="D17">
        <v>21</v>
      </c>
      <c r="E17">
        <v>10</v>
      </c>
      <c r="F17">
        <v>5</v>
      </c>
      <c r="G17">
        <v>1</v>
      </c>
      <c r="H17">
        <v>0</v>
      </c>
      <c r="I17">
        <v>0</v>
      </c>
      <c r="J17">
        <v>0</v>
      </c>
      <c r="K17">
        <v>2</v>
      </c>
      <c r="L17">
        <v>2</v>
      </c>
      <c r="M17">
        <v>1</v>
      </c>
      <c r="N17">
        <v>6</v>
      </c>
      <c r="O17">
        <v>6</v>
      </c>
    </row>
    <row r="18" spans="1:15" x14ac:dyDescent="0.25">
      <c r="A18" t="s">
        <v>306</v>
      </c>
      <c r="B18">
        <v>5</v>
      </c>
      <c r="C18">
        <v>31</v>
      </c>
      <c r="D18">
        <v>627</v>
      </c>
      <c r="E18">
        <v>287</v>
      </c>
      <c r="F18">
        <v>121</v>
      </c>
      <c r="G18">
        <v>30</v>
      </c>
      <c r="H18">
        <v>42</v>
      </c>
      <c r="I18">
        <v>21</v>
      </c>
      <c r="J18">
        <v>54</v>
      </c>
      <c r="K18">
        <v>0</v>
      </c>
      <c r="L18">
        <v>0</v>
      </c>
      <c r="M18">
        <v>12</v>
      </c>
      <c r="N18">
        <v>104</v>
      </c>
      <c r="O18">
        <v>31</v>
      </c>
    </row>
    <row r="19" spans="1:15" x14ac:dyDescent="0.25">
      <c r="A19" t="s">
        <v>307</v>
      </c>
      <c r="B19">
        <v>2</v>
      </c>
      <c r="C19">
        <v>24</v>
      </c>
      <c r="D19">
        <v>1077</v>
      </c>
      <c r="E19">
        <v>872</v>
      </c>
      <c r="F19">
        <v>48</v>
      </c>
      <c r="G19">
        <v>16</v>
      </c>
      <c r="H19">
        <v>10</v>
      </c>
      <c r="I19">
        <v>3</v>
      </c>
      <c r="J19">
        <v>0</v>
      </c>
      <c r="K19">
        <v>0</v>
      </c>
      <c r="L19">
        <v>0</v>
      </c>
      <c r="M19">
        <v>6</v>
      </c>
      <c r="N19">
        <v>39</v>
      </c>
      <c r="O19">
        <v>14</v>
      </c>
    </row>
    <row r="20" spans="1:15" x14ac:dyDescent="0.25">
      <c r="A20" t="s">
        <v>266</v>
      </c>
      <c r="B20">
        <v>147</v>
      </c>
      <c r="C20">
        <v>1676</v>
      </c>
      <c r="D20">
        <v>43136</v>
      </c>
      <c r="E20">
        <v>21528</v>
      </c>
      <c r="F20">
        <v>4327</v>
      </c>
      <c r="G20">
        <v>1613</v>
      </c>
      <c r="H20">
        <v>1205</v>
      </c>
      <c r="I20">
        <v>564</v>
      </c>
      <c r="J20">
        <v>2813</v>
      </c>
      <c r="K20">
        <v>285</v>
      </c>
      <c r="L20">
        <v>125</v>
      </c>
      <c r="M20">
        <v>273</v>
      </c>
      <c r="N20">
        <v>4299</v>
      </c>
      <c r="O20">
        <v>1466</v>
      </c>
    </row>
    <row r="21" spans="1:15" x14ac:dyDescent="0.25">
      <c r="A21" t="s">
        <v>459</v>
      </c>
      <c r="B21">
        <v>127</v>
      </c>
      <c r="C21">
        <v>1510</v>
      </c>
      <c r="D21">
        <v>38427</v>
      </c>
      <c r="E21">
        <v>19154</v>
      </c>
      <c r="F21">
        <v>3940</v>
      </c>
      <c r="G21">
        <v>1498</v>
      </c>
      <c r="H21">
        <v>1129</v>
      </c>
      <c r="I21">
        <v>545</v>
      </c>
      <c r="J21">
        <v>2583</v>
      </c>
      <c r="K21">
        <v>260</v>
      </c>
      <c r="L21">
        <v>113</v>
      </c>
      <c r="M21">
        <v>221</v>
      </c>
      <c r="N21">
        <v>3880</v>
      </c>
      <c r="O21">
        <v>1311</v>
      </c>
    </row>
    <row r="22" spans="1:15" x14ac:dyDescent="0.25">
      <c r="A22" t="s">
        <v>460</v>
      </c>
      <c r="B22">
        <v>20</v>
      </c>
      <c r="C22">
        <v>166</v>
      </c>
      <c r="D22">
        <v>4709</v>
      </c>
      <c r="E22">
        <v>2374</v>
      </c>
      <c r="F22">
        <v>387</v>
      </c>
      <c r="G22">
        <v>115</v>
      </c>
      <c r="H22">
        <v>76</v>
      </c>
      <c r="I22">
        <v>19</v>
      </c>
      <c r="J22">
        <v>230</v>
      </c>
      <c r="K22">
        <v>25</v>
      </c>
      <c r="L22">
        <v>12</v>
      </c>
      <c r="M22">
        <v>52</v>
      </c>
      <c r="N22">
        <v>419</v>
      </c>
      <c r="O22">
        <v>155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7109375" customWidth="1"/>
    <col min="4" max="4" width="8.85546875" customWidth="1"/>
    <col min="7" max="7" width="9.28515625" customWidth="1"/>
    <col min="8" max="8" width="8.85546875" customWidth="1"/>
    <col min="11" max="11" width="11.28515625" customWidth="1"/>
    <col min="13" max="13" width="10.140625" customWidth="1"/>
    <col min="15" max="15" width="12.140625" customWidth="1"/>
  </cols>
  <sheetData>
    <row r="1" spans="1:15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46</v>
      </c>
      <c r="C3">
        <v>137</v>
      </c>
      <c r="D3">
        <v>3393</v>
      </c>
      <c r="E3">
        <v>1653</v>
      </c>
      <c r="F3">
        <v>148</v>
      </c>
      <c r="G3">
        <v>139</v>
      </c>
      <c r="H3">
        <v>39</v>
      </c>
      <c r="I3">
        <v>27</v>
      </c>
      <c r="J3">
        <v>8</v>
      </c>
      <c r="K3">
        <v>8</v>
      </c>
      <c r="L3">
        <v>6</v>
      </c>
      <c r="M3">
        <v>30</v>
      </c>
      <c r="N3">
        <v>309</v>
      </c>
      <c r="O3">
        <v>110</v>
      </c>
    </row>
    <row r="4" spans="1:15" x14ac:dyDescent="0.25">
      <c r="A4" t="s">
        <v>284</v>
      </c>
      <c r="B4">
        <v>16</v>
      </c>
      <c r="C4">
        <v>74</v>
      </c>
      <c r="D4">
        <v>1273</v>
      </c>
      <c r="E4">
        <v>605</v>
      </c>
      <c r="F4">
        <v>88</v>
      </c>
      <c r="G4">
        <v>80</v>
      </c>
      <c r="H4">
        <v>24</v>
      </c>
      <c r="I4">
        <v>20</v>
      </c>
      <c r="J4">
        <v>18</v>
      </c>
      <c r="K4">
        <v>22</v>
      </c>
      <c r="L4">
        <v>18</v>
      </c>
      <c r="M4">
        <v>11</v>
      </c>
      <c r="N4">
        <v>118</v>
      </c>
      <c r="O4">
        <v>71</v>
      </c>
    </row>
    <row r="5" spans="1:15" x14ac:dyDescent="0.25">
      <c r="A5" t="s">
        <v>285</v>
      </c>
      <c r="B5">
        <v>7</v>
      </c>
      <c r="C5">
        <v>22</v>
      </c>
      <c r="D5">
        <v>853</v>
      </c>
      <c r="E5">
        <v>455</v>
      </c>
      <c r="F5">
        <v>35</v>
      </c>
      <c r="G5">
        <v>32</v>
      </c>
      <c r="H5">
        <v>4</v>
      </c>
      <c r="I5">
        <v>2</v>
      </c>
      <c r="J5">
        <v>2</v>
      </c>
      <c r="K5">
        <v>0</v>
      </c>
      <c r="L5">
        <v>0</v>
      </c>
      <c r="M5">
        <v>6</v>
      </c>
      <c r="N5">
        <v>40</v>
      </c>
      <c r="O5">
        <v>22</v>
      </c>
    </row>
    <row r="6" spans="1:15" x14ac:dyDescent="0.25">
      <c r="A6" t="s">
        <v>286</v>
      </c>
      <c r="B6">
        <v>11</v>
      </c>
      <c r="C6">
        <v>63</v>
      </c>
      <c r="D6">
        <v>1532</v>
      </c>
      <c r="E6">
        <v>736</v>
      </c>
      <c r="F6">
        <v>69</v>
      </c>
      <c r="G6">
        <v>67</v>
      </c>
      <c r="H6">
        <v>28</v>
      </c>
      <c r="I6">
        <v>21</v>
      </c>
      <c r="J6">
        <v>0</v>
      </c>
      <c r="K6">
        <v>5</v>
      </c>
      <c r="L6">
        <v>3</v>
      </c>
      <c r="M6">
        <v>11</v>
      </c>
      <c r="N6">
        <v>65</v>
      </c>
      <c r="O6">
        <v>57</v>
      </c>
    </row>
    <row r="7" spans="1:15" x14ac:dyDescent="0.25">
      <c r="A7" t="s">
        <v>287</v>
      </c>
      <c r="B7">
        <v>25</v>
      </c>
      <c r="C7">
        <v>133</v>
      </c>
      <c r="D7">
        <v>2917</v>
      </c>
      <c r="E7">
        <v>1514</v>
      </c>
      <c r="F7">
        <v>142</v>
      </c>
      <c r="G7">
        <v>110</v>
      </c>
      <c r="H7">
        <v>50</v>
      </c>
      <c r="I7">
        <v>22</v>
      </c>
      <c r="J7">
        <v>24</v>
      </c>
      <c r="K7">
        <v>21</v>
      </c>
      <c r="L7">
        <v>16</v>
      </c>
      <c r="M7">
        <v>19</v>
      </c>
      <c r="N7">
        <v>158</v>
      </c>
      <c r="O7">
        <v>112</v>
      </c>
    </row>
    <row r="8" spans="1:15" x14ac:dyDescent="0.25">
      <c r="A8" t="s">
        <v>288</v>
      </c>
      <c r="B8">
        <v>7</v>
      </c>
      <c r="C8">
        <v>13</v>
      </c>
      <c r="D8">
        <v>342</v>
      </c>
      <c r="E8">
        <v>148</v>
      </c>
      <c r="F8">
        <v>13</v>
      </c>
      <c r="G8">
        <v>13</v>
      </c>
      <c r="H8">
        <v>6</v>
      </c>
      <c r="I8">
        <v>4</v>
      </c>
      <c r="J8">
        <v>4</v>
      </c>
      <c r="K8">
        <v>3</v>
      </c>
      <c r="L8">
        <v>3</v>
      </c>
      <c r="M8">
        <v>10</v>
      </c>
      <c r="N8">
        <v>47</v>
      </c>
      <c r="O8">
        <v>13</v>
      </c>
    </row>
    <row r="9" spans="1:15" x14ac:dyDescent="0.25">
      <c r="A9" t="s">
        <v>289</v>
      </c>
      <c r="B9">
        <v>15</v>
      </c>
      <c r="C9">
        <v>40</v>
      </c>
      <c r="D9">
        <v>998</v>
      </c>
      <c r="E9">
        <v>499</v>
      </c>
      <c r="F9">
        <v>61</v>
      </c>
      <c r="G9">
        <v>61</v>
      </c>
      <c r="H9">
        <v>4</v>
      </c>
      <c r="I9">
        <v>3</v>
      </c>
      <c r="J9">
        <v>3</v>
      </c>
      <c r="K9">
        <v>12</v>
      </c>
      <c r="L9">
        <v>4</v>
      </c>
      <c r="M9">
        <v>0</v>
      </c>
      <c r="N9">
        <v>39</v>
      </c>
      <c r="O9">
        <v>37</v>
      </c>
    </row>
    <row r="10" spans="1:15" x14ac:dyDescent="0.25">
      <c r="A10" t="s">
        <v>290</v>
      </c>
      <c r="B10">
        <v>33</v>
      </c>
      <c r="C10">
        <v>89</v>
      </c>
      <c r="D10">
        <v>1974</v>
      </c>
      <c r="E10">
        <v>1001</v>
      </c>
      <c r="F10">
        <v>226</v>
      </c>
      <c r="G10">
        <v>160</v>
      </c>
      <c r="H10">
        <v>117</v>
      </c>
      <c r="I10">
        <v>66</v>
      </c>
      <c r="J10">
        <v>48</v>
      </c>
      <c r="K10">
        <v>37</v>
      </c>
      <c r="L10">
        <v>25</v>
      </c>
      <c r="M10">
        <v>25</v>
      </c>
      <c r="N10">
        <v>307</v>
      </c>
      <c r="O10">
        <v>88</v>
      </c>
    </row>
    <row r="11" spans="1:15" x14ac:dyDescent="0.25">
      <c r="A11" t="s">
        <v>291</v>
      </c>
      <c r="B11">
        <v>3</v>
      </c>
      <c r="C11">
        <v>5</v>
      </c>
      <c r="D11">
        <v>121</v>
      </c>
      <c r="E11">
        <v>61</v>
      </c>
      <c r="F11">
        <v>8</v>
      </c>
      <c r="G11">
        <v>4</v>
      </c>
      <c r="H11">
        <v>5</v>
      </c>
      <c r="I11">
        <v>4</v>
      </c>
      <c r="J11">
        <v>1</v>
      </c>
      <c r="K11">
        <v>3</v>
      </c>
      <c r="L11">
        <v>2</v>
      </c>
      <c r="M11">
        <v>2</v>
      </c>
      <c r="N11">
        <v>6</v>
      </c>
      <c r="O11">
        <v>5</v>
      </c>
    </row>
    <row r="12" spans="1:15" x14ac:dyDescent="0.25">
      <c r="A12" t="s">
        <v>292</v>
      </c>
      <c r="B12">
        <v>4</v>
      </c>
      <c r="C12">
        <v>9</v>
      </c>
      <c r="D12">
        <v>316</v>
      </c>
      <c r="E12">
        <v>183</v>
      </c>
      <c r="F12">
        <v>11</v>
      </c>
      <c r="G12">
        <v>7</v>
      </c>
      <c r="H12">
        <v>2</v>
      </c>
      <c r="I12">
        <v>2</v>
      </c>
      <c r="J12">
        <v>2</v>
      </c>
      <c r="K12">
        <v>0</v>
      </c>
      <c r="L12">
        <v>0</v>
      </c>
      <c r="M12">
        <v>1</v>
      </c>
      <c r="N12">
        <v>15</v>
      </c>
      <c r="O12">
        <v>7</v>
      </c>
    </row>
    <row r="13" spans="1:15" x14ac:dyDescent="0.25">
      <c r="A13" t="s">
        <v>293</v>
      </c>
      <c r="B13">
        <v>3</v>
      </c>
      <c r="C13">
        <v>6</v>
      </c>
      <c r="D13">
        <v>162</v>
      </c>
      <c r="E13">
        <v>80</v>
      </c>
      <c r="F13">
        <v>11</v>
      </c>
      <c r="G13">
        <v>11</v>
      </c>
      <c r="H13">
        <v>15</v>
      </c>
      <c r="I13">
        <v>4</v>
      </c>
      <c r="J13">
        <v>0</v>
      </c>
      <c r="K13">
        <v>0</v>
      </c>
      <c r="L13">
        <v>0</v>
      </c>
      <c r="M13">
        <v>2</v>
      </c>
      <c r="N13">
        <v>5</v>
      </c>
      <c r="O13">
        <v>6</v>
      </c>
    </row>
    <row r="14" spans="1:15" x14ac:dyDescent="0.25">
      <c r="A14" t="s">
        <v>294</v>
      </c>
      <c r="B14">
        <v>3</v>
      </c>
      <c r="C14">
        <v>7</v>
      </c>
      <c r="D14">
        <v>140</v>
      </c>
      <c r="E14">
        <v>65</v>
      </c>
      <c r="F14">
        <v>8</v>
      </c>
      <c r="G14">
        <v>8</v>
      </c>
      <c r="H14">
        <v>1</v>
      </c>
      <c r="I14">
        <v>1</v>
      </c>
      <c r="J14">
        <v>1</v>
      </c>
      <c r="K14">
        <v>0</v>
      </c>
      <c r="L14">
        <v>0</v>
      </c>
      <c r="M14">
        <v>2</v>
      </c>
      <c r="N14">
        <v>7</v>
      </c>
      <c r="O14">
        <v>7</v>
      </c>
    </row>
    <row r="15" spans="1:15" x14ac:dyDescent="0.25">
      <c r="A15" t="s">
        <v>295</v>
      </c>
      <c r="B15">
        <v>3</v>
      </c>
      <c r="C15">
        <v>8</v>
      </c>
      <c r="D15">
        <v>272</v>
      </c>
      <c r="E15">
        <v>114</v>
      </c>
      <c r="F15">
        <v>8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5</v>
      </c>
      <c r="O15">
        <v>7</v>
      </c>
    </row>
    <row r="16" spans="1:15" x14ac:dyDescent="0.25">
      <c r="A16" t="s">
        <v>296</v>
      </c>
      <c r="B16">
        <v>9</v>
      </c>
      <c r="C16">
        <v>31</v>
      </c>
      <c r="D16">
        <v>718</v>
      </c>
      <c r="E16">
        <v>335</v>
      </c>
      <c r="F16">
        <v>64</v>
      </c>
      <c r="G16">
        <v>53</v>
      </c>
      <c r="H16">
        <v>17</v>
      </c>
      <c r="I16">
        <v>7</v>
      </c>
      <c r="J16">
        <v>10</v>
      </c>
      <c r="K16">
        <v>0</v>
      </c>
      <c r="L16">
        <v>0</v>
      </c>
      <c r="M16">
        <v>14</v>
      </c>
      <c r="N16">
        <v>90</v>
      </c>
      <c r="O16">
        <v>28</v>
      </c>
    </row>
    <row r="17" spans="1:15" x14ac:dyDescent="0.25">
      <c r="A17" t="s">
        <v>297</v>
      </c>
      <c r="B17">
        <v>213</v>
      </c>
      <c r="C17">
        <v>887</v>
      </c>
      <c r="D17">
        <v>19816</v>
      </c>
      <c r="E17">
        <v>9839</v>
      </c>
      <c r="F17">
        <v>1208</v>
      </c>
      <c r="G17">
        <v>1039</v>
      </c>
      <c r="H17">
        <v>907</v>
      </c>
      <c r="I17">
        <v>602</v>
      </c>
      <c r="J17">
        <v>78</v>
      </c>
      <c r="K17">
        <v>369</v>
      </c>
      <c r="L17">
        <v>240</v>
      </c>
      <c r="M17">
        <v>141</v>
      </c>
      <c r="N17">
        <v>1419</v>
      </c>
      <c r="O17">
        <v>767</v>
      </c>
    </row>
    <row r="18" spans="1:15" x14ac:dyDescent="0.25">
      <c r="A18" t="s">
        <v>298</v>
      </c>
      <c r="B18">
        <v>20</v>
      </c>
      <c r="C18">
        <v>107</v>
      </c>
      <c r="D18">
        <v>2542</v>
      </c>
      <c r="E18">
        <v>1271</v>
      </c>
      <c r="F18">
        <v>113</v>
      </c>
      <c r="G18">
        <v>104</v>
      </c>
      <c r="H18">
        <v>59</v>
      </c>
      <c r="I18">
        <v>42</v>
      </c>
      <c r="J18">
        <v>15</v>
      </c>
      <c r="K18">
        <v>13</v>
      </c>
      <c r="L18">
        <v>12</v>
      </c>
      <c r="M18">
        <v>11</v>
      </c>
      <c r="N18">
        <v>155</v>
      </c>
      <c r="O18">
        <v>96</v>
      </c>
    </row>
    <row r="19" spans="1:15" x14ac:dyDescent="0.25">
      <c r="A19" t="s">
        <v>299</v>
      </c>
      <c r="B19">
        <v>2</v>
      </c>
      <c r="C19">
        <v>5</v>
      </c>
      <c r="D19">
        <v>79</v>
      </c>
      <c r="E19">
        <v>47</v>
      </c>
      <c r="F19">
        <v>5</v>
      </c>
      <c r="G19">
        <v>5</v>
      </c>
      <c r="H19">
        <v>0</v>
      </c>
      <c r="I19">
        <v>0</v>
      </c>
      <c r="J19">
        <v>1</v>
      </c>
      <c r="K19">
        <v>3</v>
      </c>
      <c r="L19">
        <v>1</v>
      </c>
      <c r="M19">
        <v>2</v>
      </c>
      <c r="N19">
        <v>14</v>
      </c>
      <c r="O19">
        <v>5</v>
      </c>
    </row>
    <row r="20" spans="1:15" x14ac:dyDescent="0.25">
      <c r="A20" t="s">
        <v>300</v>
      </c>
      <c r="B20">
        <v>5</v>
      </c>
      <c r="C20">
        <v>8</v>
      </c>
      <c r="D20">
        <v>138</v>
      </c>
      <c r="E20">
        <v>81</v>
      </c>
      <c r="F20">
        <v>13</v>
      </c>
      <c r="G20">
        <v>13</v>
      </c>
      <c r="H20">
        <v>9</v>
      </c>
      <c r="I20">
        <v>6</v>
      </c>
      <c r="J20">
        <v>0</v>
      </c>
      <c r="K20">
        <v>0</v>
      </c>
      <c r="L20">
        <v>0</v>
      </c>
      <c r="M20">
        <v>3</v>
      </c>
      <c r="N20">
        <v>15</v>
      </c>
      <c r="O20">
        <v>8</v>
      </c>
    </row>
    <row r="21" spans="1:15" x14ac:dyDescent="0.25">
      <c r="A21" t="s">
        <v>301</v>
      </c>
      <c r="B21">
        <v>4</v>
      </c>
      <c r="C21">
        <v>30</v>
      </c>
      <c r="D21">
        <v>1019</v>
      </c>
      <c r="E21">
        <v>505</v>
      </c>
      <c r="F21">
        <v>42</v>
      </c>
      <c r="G21">
        <v>41</v>
      </c>
      <c r="H21">
        <v>12</v>
      </c>
      <c r="I21">
        <v>8</v>
      </c>
      <c r="J21">
        <v>6</v>
      </c>
      <c r="K21">
        <v>0</v>
      </c>
      <c r="L21">
        <v>0</v>
      </c>
      <c r="M21">
        <v>4</v>
      </c>
      <c r="N21">
        <v>54</v>
      </c>
      <c r="O21">
        <v>30</v>
      </c>
    </row>
    <row r="22" spans="1:15" x14ac:dyDescent="0.25">
      <c r="A22" t="s">
        <v>302</v>
      </c>
      <c r="B22">
        <v>5</v>
      </c>
      <c r="C22">
        <v>36</v>
      </c>
      <c r="D22">
        <v>1269</v>
      </c>
      <c r="E22">
        <v>415</v>
      </c>
      <c r="F22">
        <v>31</v>
      </c>
      <c r="G22">
        <v>30</v>
      </c>
      <c r="H22">
        <v>2</v>
      </c>
      <c r="I22">
        <v>1</v>
      </c>
      <c r="J22">
        <v>2</v>
      </c>
      <c r="K22">
        <v>0</v>
      </c>
      <c r="L22">
        <v>0</v>
      </c>
      <c r="M22">
        <v>8</v>
      </c>
      <c r="N22">
        <v>97</v>
      </c>
      <c r="O22">
        <v>31</v>
      </c>
    </row>
    <row r="23" spans="1:15" x14ac:dyDescent="0.25">
      <c r="A23" t="s">
        <v>303</v>
      </c>
      <c r="B23">
        <v>49</v>
      </c>
      <c r="C23">
        <v>272</v>
      </c>
      <c r="D23">
        <v>6530</v>
      </c>
      <c r="E23">
        <v>3265</v>
      </c>
      <c r="F23">
        <v>323</v>
      </c>
      <c r="G23">
        <v>255</v>
      </c>
      <c r="H23">
        <v>138</v>
      </c>
      <c r="I23">
        <v>93</v>
      </c>
      <c r="J23">
        <v>35</v>
      </c>
      <c r="K23">
        <v>76</v>
      </c>
      <c r="L23">
        <v>68</v>
      </c>
      <c r="M23">
        <v>19</v>
      </c>
      <c r="N23">
        <v>333</v>
      </c>
      <c r="O23">
        <v>230</v>
      </c>
    </row>
    <row r="24" spans="1:15" x14ac:dyDescent="0.25">
      <c r="A24" t="s">
        <v>304</v>
      </c>
      <c r="B24">
        <v>2</v>
      </c>
      <c r="C24">
        <v>3</v>
      </c>
      <c r="D24">
        <v>108</v>
      </c>
      <c r="E24">
        <v>60</v>
      </c>
      <c r="F24">
        <v>8</v>
      </c>
      <c r="G24">
        <v>8</v>
      </c>
      <c r="H24">
        <v>0</v>
      </c>
      <c r="I24">
        <v>0</v>
      </c>
      <c r="J24">
        <v>0</v>
      </c>
      <c r="K24">
        <v>2</v>
      </c>
      <c r="L24">
        <v>2</v>
      </c>
      <c r="M24">
        <v>3</v>
      </c>
      <c r="N24">
        <v>4</v>
      </c>
      <c r="O24">
        <v>3</v>
      </c>
    </row>
    <row r="25" spans="1:15" x14ac:dyDescent="0.25">
      <c r="A25" t="s">
        <v>305</v>
      </c>
      <c r="B25">
        <v>3</v>
      </c>
      <c r="C25">
        <v>5</v>
      </c>
      <c r="D25">
        <v>106</v>
      </c>
      <c r="E25">
        <v>46</v>
      </c>
      <c r="F25">
        <v>10</v>
      </c>
      <c r="G25">
        <v>10</v>
      </c>
      <c r="H25">
        <v>0</v>
      </c>
      <c r="I25">
        <v>0</v>
      </c>
      <c r="J25">
        <v>1</v>
      </c>
      <c r="K25">
        <v>7</v>
      </c>
      <c r="L25">
        <v>7</v>
      </c>
      <c r="M25">
        <v>3</v>
      </c>
      <c r="N25">
        <v>23</v>
      </c>
      <c r="O25">
        <v>5</v>
      </c>
    </row>
    <row r="26" spans="1:15" x14ac:dyDescent="0.25">
      <c r="A26" t="s">
        <v>306</v>
      </c>
      <c r="B26">
        <v>9</v>
      </c>
      <c r="C26">
        <v>24</v>
      </c>
      <c r="D26">
        <v>593</v>
      </c>
      <c r="E26">
        <v>282</v>
      </c>
      <c r="F26">
        <v>27</v>
      </c>
      <c r="G26">
        <v>26</v>
      </c>
      <c r="H26">
        <v>12</v>
      </c>
      <c r="I26">
        <v>8</v>
      </c>
      <c r="J26">
        <v>10</v>
      </c>
      <c r="K26">
        <v>0</v>
      </c>
      <c r="L26">
        <v>0</v>
      </c>
      <c r="M26">
        <v>6</v>
      </c>
      <c r="N26">
        <v>46</v>
      </c>
      <c r="O26">
        <v>24</v>
      </c>
    </row>
    <row r="27" spans="1:15" x14ac:dyDescent="0.25">
      <c r="A27" t="s">
        <v>307</v>
      </c>
      <c r="B27">
        <v>12</v>
      </c>
      <c r="C27">
        <v>37</v>
      </c>
      <c r="D27">
        <v>1107</v>
      </c>
      <c r="E27">
        <v>589</v>
      </c>
      <c r="F27">
        <v>68</v>
      </c>
      <c r="G27">
        <v>54</v>
      </c>
      <c r="H27">
        <v>23</v>
      </c>
      <c r="I27">
        <v>11</v>
      </c>
      <c r="J27">
        <v>2</v>
      </c>
      <c r="K27">
        <v>13</v>
      </c>
      <c r="L27">
        <v>11</v>
      </c>
      <c r="M27">
        <v>8</v>
      </c>
      <c r="N27">
        <v>75</v>
      </c>
      <c r="O27">
        <v>37</v>
      </c>
    </row>
    <row r="28" spans="1:15" x14ac:dyDescent="0.25">
      <c r="A28" t="s">
        <v>266</v>
      </c>
      <c r="B28">
        <v>509</v>
      </c>
      <c r="C28">
        <v>2051</v>
      </c>
      <c r="D28">
        <v>48318</v>
      </c>
      <c r="E28">
        <v>23849</v>
      </c>
      <c r="F28">
        <v>2740</v>
      </c>
      <c r="G28">
        <v>2338</v>
      </c>
      <c r="H28">
        <v>1474</v>
      </c>
      <c r="I28">
        <v>954</v>
      </c>
      <c r="J28">
        <v>271</v>
      </c>
      <c r="K28">
        <v>594</v>
      </c>
      <c r="L28">
        <v>418</v>
      </c>
      <c r="M28">
        <v>342</v>
      </c>
      <c r="N28">
        <v>3446</v>
      </c>
      <c r="O28">
        <v>1806</v>
      </c>
    </row>
    <row r="29" spans="1:15" x14ac:dyDescent="0.25">
      <c r="A29" t="s">
        <v>459</v>
      </c>
      <c r="B29">
        <v>410</v>
      </c>
      <c r="C29">
        <v>1740</v>
      </c>
      <c r="D29">
        <v>41048</v>
      </c>
      <c r="E29">
        <v>20118</v>
      </c>
      <c r="F29">
        <v>2259</v>
      </c>
      <c r="G29">
        <v>1981</v>
      </c>
      <c r="H29">
        <v>1333</v>
      </c>
      <c r="I29">
        <v>887</v>
      </c>
      <c r="J29">
        <v>171</v>
      </c>
      <c r="K29">
        <v>543</v>
      </c>
      <c r="L29">
        <v>383</v>
      </c>
      <c r="M29">
        <v>269</v>
      </c>
      <c r="N29">
        <v>2924</v>
      </c>
      <c r="O29">
        <v>1526</v>
      </c>
    </row>
    <row r="30" spans="1:15" x14ac:dyDescent="0.25">
      <c r="A30" t="s">
        <v>460</v>
      </c>
      <c r="B30">
        <v>99</v>
      </c>
      <c r="C30">
        <v>311</v>
      </c>
      <c r="D30">
        <v>7270</v>
      </c>
      <c r="E30">
        <v>3731</v>
      </c>
      <c r="F30">
        <v>481</v>
      </c>
      <c r="G30">
        <v>357</v>
      </c>
      <c r="H30">
        <v>141</v>
      </c>
      <c r="I30">
        <v>67</v>
      </c>
      <c r="J30">
        <v>100</v>
      </c>
      <c r="K30">
        <v>51</v>
      </c>
      <c r="L30">
        <v>35</v>
      </c>
      <c r="M30">
        <v>73</v>
      </c>
      <c r="N30">
        <v>522</v>
      </c>
      <c r="O30">
        <v>280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ED7D31"/>
  </sheetPr>
  <dimension ref="A1:O30"/>
  <sheetViews>
    <sheetView workbookViewId="0"/>
  </sheetViews>
  <sheetFormatPr defaultRowHeight="15" x14ac:dyDescent="0.25"/>
  <cols>
    <col min="1" max="1" width="22.140625" customWidth="1"/>
    <col min="2" max="2" width="10.140625" customWidth="1"/>
    <col min="3" max="3" width="10.42578125" customWidth="1"/>
    <col min="5" max="5" width="9.28515625" customWidth="1"/>
    <col min="6" max="6" width="8.85546875" customWidth="1"/>
    <col min="9" max="9" width="9.28515625" customWidth="1"/>
    <col min="10" max="10" width="9.85546875" customWidth="1"/>
    <col min="11" max="11" width="11.42578125" customWidth="1"/>
    <col min="13" max="13" width="9.85546875" customWidth="1"/>
    <col min="15" max="15" width="10.85546875" customWidth="1"/>
  </cols>
  <sheetData>
    <row r="1" spans="1:15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54</v>
      </c>
      <c r="C3">
        <v>596</v>
      </c>
      <c r="D3">
        <v>14332</v>
      </c>
      <c r="E3">
        <v>6879</v>
      </c>
      <c r="F3">
        <v>508</v>
      </c>
      <c r="G3">
        <v>307</v>
      </c>
      <c r="H3">
        <v>145</v>
      </c>
      <c r="I3">
        <v>67</v>
      </c>
      <c r="J3">
        <v>44</v>
      </c>
      <c r="K3">
        <v>13</v>
      </c>
      <c r="L3">
        <v>6</v>
      </c>
      <c r="M3">
        <v>69</v>
      </c>
      <c r="N3">
        <v>673</v>
      </c>
      <c r="O3">
        <v>436</v>
      </c>
    </row>
    <row r="4" spans="1:15" x14ac:dyDescent="0.25">
      <c r="A4" t="s">
        <v>284</v>
      </c>
      <c r="B4">
        <v>18</v>
      </c>
      <c r="C4">
        <v>219</v>
      </c>
      <c r="D4">
        <v>4348</v>
      </c>
      <c r="E4">
        <v>2139</v>
      </c>
      <c r="F4">
        <v>243</v>
      </c>
      <c r="G4">
        <v>212</v>
      </c>
      <c r="H4">
        <v>49</v>
      </c>
      <c r="I4">
        <v>28</v>
      </c>
      <c r="J4">
        <v>163</v>
      </c>
      <c r="K4">
        <v>12</v>
      </c>
      <c r="L4">
        <v>9</v>
      </c>
      <c r="M4">
        <v>32</v>
      </c>
      <c r="N4">
        <v>256</v>
      </c>
      <c r="O4">
        <v>175</v>
      </c>
    </row>
    <row r="5" spans="1:15" x14ac:dyDescent="0.25">
      <c r="A5" t="s">
        <v>285</v>
      </c>
      <c r="B5">
        <v>14</v>
      </c>
      <c r="C5">
        <v>113</v>
      </c>
      <c r="D5">
        <v>2532</v>
      </c>
      <c r="E5">
        <v>1213</v>
      </c>
      <c r="F5">
        <v>110</v>
      </c>
      <c r="G5">
        <v>70</v>
      </c>
      <c r="H5">
        <v>18</v>
      </c>
      <c r="I5">
        <v>6</v>
      </c>
      <c r="J5">
        <v>12</v>
      </c>
      <c r="K5">
        <v>6</v>
      </c>
      <c r="L5">
        <v>6</v>
      </c>
      <c r="M5">
        <v>37</v>
      </c>
      <c r="N5">
        <v>148</v>
      </c>
      <c r="O5">
        <v>95</v>
      </c>
    </row>
    <row r="6" spans="1:15" x14ac:dyDescent="0.25">
      <c r="A6" t="s">
        <v>286</v>
      </c>
      <c r="B6">
        <v>9</v>
      </c>
      <c r="C6">
        <v>86</v>
      </c>
      <c r="D6">
        <v>1905</v>
      </c>
      <c r="E6">
        <v>905</v>
      </c>
      <c r="F6">
        <v>143</v>
      </c>
      <c r="G6">
        <v>101</v>
      </c>
      <c r="H6">
        <v>50</v>
      </c>
      <c r="I6">
        <v>23</v>
      </c>
      <c r="J6">
        <v>25</v>
      </c>
      <c r="K6">
        <v>7</v>
      </c>
      <c r="L6">
        <v>6</v>
      </c>
      <c r="M6">
        <v>19</v>
      </c>
      <c r="N6">
        <v>157</v>
      </c>
      <c r="O6">
        <v>85</v>
      </c>
    </row>
    <row r="7" spans="1:15" x14ac:dyDescent="0.25">
      <c r="A7" t="s">
        <v>287</v>
      </c>
      <c r="B7">
        <v>17</v>
      </c>
      <c r="C7">
        <v>155</v>
      </c>
      <c r="D7">
        <v>4276</v>
      </c>
      <c r="E7">
        <v>2189</v>
      </c>
      <c r="F7">
        <v>187</v>
      </c>
      <c r="G7">
        <v>124</v>
      </c>
      <c r="H7">
        <v>31</v>
      </c>
      <c r="I7">
        <v>9</v>
      </c>
      <c r="J7">
        <v>41</v>
      </c>
      <c r="K7">
        <v>16</v>
      </c>
      <c r="L7">
        <v>13</v>
      </c>
      <c r="M7">
        <v>35</v>
      </c>
      <c r="N7">
        <v>227</v>
      </c>
      <c r="O7">
        <v>145</v>
      </c>
    </row>
    <row r="8" spans="1:15" x14ac:dyDescent="0.25">
      <c r="A8" t="s">
        <v>288</v>
      </c>
      <c r="B8">
        <v>5</v>
      </c>
      <c r="C8">
        <v>31</v>
      </c>
      <c r="D8">
        <v>1049</v>
      </c>
      <c r="E8">
        <v>467</v>
      </c>
      <c r="F8">
        <v>63</v>
      </c>
      <c r="G8">
        <v>47</v>
      </c>
      <c r="H8">
        <v>18</v>
      </c>
      <c r="I8">
        <v>9</v>
      </c>
      <c r="J8">
        <v>21</v>
      </c>
      <c r="K8">
        <v>2</v>
      </c>
      <c r="L8">
        <v>2</v>
      </c>
      <c r="M8">
        <v>14</v>
      </c>
      <c r="N8">
        <v>72</v>
      </c>
      <c r="O8">
        <v>31</v>
      </c>
    </row>
    <row r="9" spans="1:15" x14ac:dyDescent="0.25">
      <c r="A9" t="s">
        <v>289</v>
      </c>
      <c r="B9">
        <v>19</v>
      </c>
      <c r="C9">
        <v>172</v>
      </c>
      <c r="D9">
        <v>6234</v>
      </c>
      <c r="E9">
        <v>3285</v>
      </c>
      <c r="F9">
        <v>244</v>
      </c>
      <c r="G9">
        <v>152</v>
      </c>
      <c r="H9">
        <v>33</v>
      </c>
      <c r="I9">
        <v>12</v>
      </c>
      <c r="J9">
        <v>44</v>
      </c>
      <c r="K9">
        <v>35</v>
      </c>
      <c r="L9">
        <v>25</v>
      </c>
      <c r="M9">
        <v>31</v>
      </c>
      <c r="N9">
        <v>168</v>
      </c>
      <c r="O9">
        <v>166</v>
      </c>
    </row>
    <row r="10" spans="1:15" x14ac:dyDescent="0.25">
      <c r="A10" t="s">
        <v>290</v>
      </c>
      <c r="B10">
        <v>20</v>
      </c>
      <c r="C10">
        <v>211</v>
      </c>
      <c r="D10">
        <v>5683</v>
      </c>
      <c r="E10">
        <v>2834</v>
      </c>
      <c r="F10">
        <v>229</v>
      </c>
      <c r="G10">
        <v>156</v>
      </c>
      <c r="H10">
        <v>95</v>
      </c>
      <c r="I10">
        <v>52</v>
      </c>
      <c r="J10">
        <v>70</v>
      </c>
      <c r="K10">
        <v>24</v>
      </c>
      <c r="L10">
        <v>17</v>
      </c>
      <c r="M10">
        <v>30</v>
      </c>
      <c r="N10">
        <v>397</v>
      </c>
      <c r="O10">
        <v>165</v>
      </c>
    </row>
    <row r="11" spans="1:15" x14ac:dyDescent="0.25">
      <c r="A11" t="s">
        <v>291</v>
      </c>
      <c r="B11">
        <v>1</v>
      </c>
      <c r="C11">
        <v>13</v>
      </c>
      <c r="D11">
        <v>715</v>
      </c>
      <c r="E11">
        <v>385</v>
      </c>
      <c r="F11">
        <v>16</v>
      </c>
      <c r="G11">
        <v>10</v>
      </c>
      <c r="H11">
        <v>0</v>
      </c>
      <c r="I11">
        <v>0</v>
      </c>
      <c r="J11">
        <v>1</v>
      </c>
      <c r="K11">
        <v>5</v>
      </c>
      <c r="L11">
        <v>2</v>
      </c>
      <c r="M11">
        <v>6</v>
      </c>
      <c r="N11">
        <v>14</v>
      </c>
      <c r="O11">
        <v>13</v>
      </c>
    </row>
    <row r="12" spans="1:15" x14ac:dyDescent="0.25">
      <c r="A12" t="s">
        <v>292</v>
      </c>
      <c r="B12">
        <v>11</v>
      </c>
      <c r="C12">
        <v>87</v>
      </c>
      <c r="D12">
        <v>2594</v>
      </c>
      <c r="E12">
        <v>1337</v>
      </c>
      <c r="F12">
        <v>126</v>
      </c>
      <c r="G12">
        <v>77</v>
      </c>
      <c r="H12">
        <v>14</v>
      </c>
      <c r="I12">
        <v>7</v>
      </c>
      <c r="J12">
        <v>39</v>
      </c>
      <c r="K12">
        <v>11</v>
      </c>
      <c r="L12">
        <v>9</v>
      </c>
      <c r="M12">
        <v>32</v>
      </c>
      <c r="N12">
        <v>137</v>
      </c>
      <c r="O12">
        <v>84</v>
      </c>
    </row>
    <row r="13" spans="1:15" x14ac:dyDescent="0.25">
      <c r="A13" t="s">
        <v>293</v>
      </c>
      <c r="B13">
        <v>5</v>
      </c>
      <c r="C13">
        <v>38</v>
      </c>
      <c r="D13">
        <v>1337</v>
      </c>
      <c r="E13">
        <v>800</v>
      </c>
      <c r="F13">
        <v>3</v>
      </c>
      <c r="G13">
        <v>2</v>
      </c>
      <c r="H13">
        <v>0</v>
      </c>
      <c r="I13">
        <v>0</v>
      </c>
      <c r="J13">
        <v>8</v>
      </c>
      <c r="K13">
        <v>15</v>
      </c>
      <c r="L13">
        <v>8</v>
      </c>
      <c r="M13">
        <v>1</v>
      </c>
      <c r="N13">
        <v>4</v>
      </c>
      <c r="O13">
        <v>38</v>
      </c>
    </row>
    <row r="14" spans="1:15" x14ac:dyDescent="0.25">
      <c r="A14" t="s">
        <v>294</v>
      </c>
      <c r="B14">
        <v>2</v>
      </c>
      <c r="C14">
        <v>10</v>
      </c>
      <c r="D14">
        <v>205</v>
      </c>
      <c r="E14">
        <v>75</v>
      </c>
      <c r="F14">
        <v>12</v>
      </c>
      <c r="G14">
        <v>9</v>
      </c>
      <c r="H14">
        <v>15</v>
      </c>
      <c r="I14">
        <v>11</v>
      </c>
      <c r="J14">
        <v>0</v>
      </c>
      <c r="K14">
        <v>3</v>
      </c>
      <c r="L14">
        <v>1</v>
      </c>
      <c r="M14">
        <v>2</v>
      </c>
      <c r="N14">
        <v>16</v>
      </c>
      <c r="O14">
        <v>10</v>
      </c>
    </row>
    <row r="15" spans="1:15" x14ac:dyDescent="0.25">
      <c r="A15" t="s">
        <v>295</v>
      </c>
      <c r="B15">
        <v>3</v>
      </c>
      <c r="C15">
        <v>37</v>
      </c>
      <c r="D15">
        <v>1201</v>
      </c>
      <c r="E15">
        <v>548</v>
      </c>
      <c r="F15">
        <v>27</v>
      </c>
      <c r="G15">
        <v>17</v>
      </c>
      <c r="H15">
        <v>5</v>
      </c>
      <c r="I15">
        <v>3</v>
      </c>
      <c r="J15">
        <v>0</v>
      </c>
      <c r="K15">
        <v>0</v>
      </c>
      <c r="L15">
        <v>0</v>
      </c>
      <c r="M15">
        <v>8</v>
      </c>
      <c r="N15">
        <v>32</v>
      </c>
      <c r="O15">
        <v>22</v>
      </c>
    </row>
    <row r="16" spans="1:15" x14ac:dyDescent="0.25">
      <c r="A16" t="s">
        <v>296</v>
      </c>
      <c r="B16">
        <v>9</v>
      </c>
      <c r="C16">
        <v>74</v>
      </c>
      <c r="D16">
        <v>1527</v>
      </c>
      <c r="E16">
        <v>763</v>
      </c>
      <c r="F16">
        <v>87</v>
      </c>
      <c r="G16">
        <v>60</v>
      </c>
      <c r="H16">
        <v>28</v>
      </c>
      <c r="I16">
        <v>9</v>
      </c>
      <c r="J16">
        <v>14</v>
      </c>
      <c r="K16">
        <v>3</v>
      </c>
      <c r="L16">
        <v>1</v>
      </c>
      <c r="M16">
        <v>22</v>
      </c>
      <c r="N16">
        <v>144</v>
      </c>
      <c r="O16">
        <v>65</v>
      </c>
    </row>
    <row r="17" spans="1:15" x14ac:dyDescent="0.25">
      <c r="A17" t="s">
        <v>297</v>
      </c>
      <c r="B17">
        <v>215</v>
      </c>
      <c r="C17">
        <v>2508</v>
      </c>
      <c r="D17">
        <v>57571</v>
      </c>
      <c r="E17">
        <v>28851</v>
      </c>
      <c r="F17">
        <v>2886</v>
      </c>
      <c r="G17">
        <v>1950</v>
      </c>
      <c r="H17">
        <v>1690</v>
      </c>
      <c r="I17">
        <v>1001</v>
      </c>
      <c r="J17">
        <v>839</v>
      </c>
      <c r="K17">
        <v>434</v>
      </c>
      <c r="L17">
        <v>255</v>
      </c>
      <c r="M17">
        <v>301</v>
      </c>
      <c r="N17">
        <v>4887</v>
      </c>
      <c r="O17">
        <v>1921</v>
      </c>
    </row>
    <row r="18" spans="1:15" x14ac:dyDescent="0.25">
      <c r="A18" t="s">
        <v>298</v>
      </c>
      <c r="B18">
        <v>15</v>
      </c>
      <c r="C18">
        <v>167</v>
      </c>
      <c r="D18">
        <v>4223</v>
      </c>
      <c r="E18">
        <v>2029</v>
      </c>
      <c r="F18">
        <v>198</v>
      </c>
      <c r="G18">
        <v>124</v>
      </c>
      <c r="H18">
        <v>48</v>
      </c>
      <c r="I18">
        <v>29</v>
      </c>
      <c r="J18">
        <v>52</v>
      </c>
      <c r="K18">
        <v>44</v>
      </c>
      <c r="L18">
        <v>34</v>
      </c>
      <c r="M18">
        <v>27</v>
      </c>
      <c r="N18">
        <v>277</v>
      </c>
      <c r="O18">
        <v>137</v>
      </c>
    </row>
    <row r="19" spans="1:15" x14ac:dyDescent="0.25">
      <c r="A19" t="s">
        <v>299</v>
      </c>
      <c r="B19">
        <v>2</v>
      </c>
      <c r="C19">
        <v>13</v>
      </c>
      <c r="D19">
        <v>186</v>
      </c>
      <c r="E19">
        <v>76</v>
      </c>
      <c r="F19">
        <v>14</v>
      </c>
      <c r="G19">
        <v>11</v>
      </c>
      <c r="H19">
        <v>1</v>
      </c>
      <c r="I19">
        <v>1</v>
      </c>
      <c r="J19">
        <v>0</v>
      </c>
      <c r="K19">
        <v>2</v>
      </c>
      <c r="L19">
        <v>0</v>
      </c>
      <c r="M19">
        <v>2</v>
      </c>
      <c r="N19">
        <v>27</v>
      </c>
      <c r="O19">
        <v>0</v>
      </c>
    </row>
    <row r="20" spans="1:15" x14ac:dyDescent="0.25">
      <c r="A20" t="s">
        <v>300</v>
      </c>
      <c r="B20">
        <v>1</v>
      </c>
      <c r="C20">
        <v>5</v>
      </c>
      <c r="D20">
        <v>78</v>
      </c>
      <c r="E20">
        <v>47</v>
      </c>
      <c r="F20">
        <v>7</v>
      </c>
      <c r="G20">
        <v>7</v>
      </c>
      <c r="H20">
        <v>2</v>
      </c>
      <c r="I20">
        <v>0</v>
      </c>
      <c r="J20">
        <v>0</v>
      </c>
      <c r="K20">
        <v>0</v>
      </c>
      <c r="L20">
        <v>0</v>
      </c>
      <c r="M20">
        <v>1</v>
      </c>
      <c r="N20">
        <v>8</v>
      </c>
      <c r="O20">
        <v>5</v>
      </c>
    </row>
    <row r="21" spans="1:15" x14ac:dyDescent="0.25">
      <c r="A21" t="s">
        <v>301</v>
      </c>
      <c r="B21">
        <v>4</v>
      </c>
      <c r="C21">
        <v>28</v>
      </c>
      <c r="D21">
        <v>1031</v>
      </c>
      <c r="E21">
        <v>559</v>
      </c>
      <c r="F21">
        <v>27</v>
      </c>
      <c r="G21">
        <v>27</v>
      </c>
      <c r="H21">
        <v>5</v>
      </c>
      <c r="I21">
        <v>3</v>
      </c>
      <c r="J21">
        <v>7</v>
      </c>
      <c r="K21">
        <v>0</v>
      </c>
      <c r="L21">
        <v>0</v>
      </c>
      <c r="M21">
        <v>5</v>
      </c>
      <c r="N21">
        <v>39</v>
      </c>
      <c r="O21">
        <v>25</v>
      </c>
    </row>
    <row r="22" spans="1:15" x14ac:dyDescent="0.25">
      <c r="A22" t="s">
        <v>302</v>
      </c>
      <c r="B22">
        <v>5</v>
      </c>
      <c r="C22">
        <v>72</v>
      </c>
      <c r="D22">
        <v>1733</v>
      </c>
      <c r="E22">
        <v>814</v>
      </c>
      <c r="F22">
        <v>73</v>
      </c>
      <c r="G22">
        <v>52</v>
      </c>
      <c r="H22">
        <v>16</v>
      </c>
      <c r="I22">
        <v>8</v>
      </c>
      <c r="J22">
        <v>55</v>
      </c>
      <c r="K22">
        <v>0</v>
      </c>
      <c r="L22">
        <v>0</v>
      </c>
      <c r="M22">
        <v>14</v>
      </c>
      <c r="N22">
        <v>134</v>
      </c>
      <c r="O22">
        <v>59</v>
      </c>
    </row>
    <row r="23" spans="1:15" x14ac:dyDescent="0.25">
      <c r="A23" t="s">
        <v>303</v>
      </c>
      <c r="B23">
        <v>35</v>
      </c>
      <c r="C23">
        <v>266</v>
      </c>
      <c r="D23">
        <v>6197</v>
      </c>
      <c r="E23">
        <v>2954</v>
      </c>
      <c r="F23">
        <v>327</v>
      </c>
      <c r="G23">
        <v>251</v>
      </c>
      <c r="H23">
        <v>69</v>
      </c>
      <c r="I23">
        <v>54</v>
      </c>
      <c r="J23">
        <v>131</v>
      </c>
      <c r="K23">
        <v>57</v>
      </c>
      <c r="L23">
        <v>45</v>
      </c>
      <c r="M23">
        <v>68</v>
      </c>
      <c r="N23">
        <v>556</v>
      </c>
      <c r="O23">
        <v>240</v>
      </c>
    </row>
    <row r="24" spans="1:15" x14ac:dyDescent="0.25">
      <c r="A24" t="s">
        <v>304</v>
      </c>
      <c r="B24">
        <v>1</v>
      </c>
      <c r="C24">
        <v>6</v>
      </c>
      <c r="D24">
        <v>154</v>
      </c>
      <c r="E24">
        <v>62</v>
      </c>
      <c r="F24">
        <v>4</v>
      </c>
      <c r="G24">
        <v>1</v>
      </c>
      <c r="H24">
        <v>2</v>
      </c>
      <c r="I24">
        <v>2</v>
      </c>
      <c r="J24">
        <v>0</v>
      </c>
      <c r="K24">
        <v>2</v>
      </c>
      <c r="L24">
        <v>2</v>
      </c>
      <c r="M24">
        <v>1</v>
      </c>
      <c r="N24">
        <v>6</v>
      </c>
      <c r="O24">
        <v>6</v>
      </c>
    </row>
    <row r="25" spans="1:15" x14ac:dyDescent="0.25">
      <c r="A25" t="s">
        <v>305</v>
      </c>
      <c r="B25">
        <v>3</v>
      </c>
      <c r="C25">
        <v>11</v>
      </c>
      <c r="D25">
        <v>198</v>
      </c>
      <c r="E25">
        <v>95</v>
      </c>
      <c r="F25">
        <v>20</v>
      </c>
      <c r="G25">
        <v>18</v>
      </c>
      <c r="H25">
        <v>4</v>
      </c>
      <c r="I25">
        <v>1</v>
      </c>
      <c r="J25">
        <v>0</v>
      </c>
      <c r="K25">
        <v>8</v>
      </c>
      <c r="L25">
        <v>8</v>
      </c>
      <c r="M25">
        <v>4</v>
      </c>
      <c r="N25">
        <v>51</v>
      </c>
      <c r="O25">
        <v>8</v>
      </c>
    </row>
    <row r="26" spans="1:15" x14ac:dyDescent="0.25">
      <c r="A26" t="s">
        <v>306</v>
      </c>
      <c r="B26">
        <v>10</v>
      </c>
      <c r="C26">
        <v>64</v>
      </c>
      <c r="D26">
        <v>1640</v>
      </c>
      <c r="E26">
        <v>767</v>
      </c>
      <c r="F26">
        <v>93</v>
      </c>
      <c r="G26">
        <v>43</v>
      </c>
      <c r="H26">
        <v>27</v>
      </c>
      <c r="I26">
        <v>15</v>
      </c>
      <c r="J26">
        <v>15</v>
      </c>
      <c r="K26">
        <v>0</v>
      </c>
      <c r="L26">
        <v>0</v>
      </c>
      <c r="M26">
        <v>21</v>
      </c>
      <c r="N26">
        <v>122</v>
      </c>
      <c r="O26">
        <v>64</v>
      </c>
    </row>
    <row r="27" spans="1:15" x14ac:dyDescent="0.25">
      <c r="A27" t="s">
        <v>307</v>
      </c>
      <c r="B27">
        <v>10</v>
      </c>
      <c r="C27">
        <v>65</v>
      </c>
      <c r="D27">
        <v>1937</v>
      </c>
      <c r="E27">
        <v>1063</v>
      </c>
      <c r="F27">
        <v>95</v>
      </c>
      <c r="G27">
        <v>59</v>
      </c>
      <c r="H27">
        <v>19</v>
      </c>
      <c r="I27">
        <v>10</v>
      </c>
      <c r="J27">
        <v>12</v>
      </c>
      <c r="K27">
        <v>12</v>
      </c>
      <c r="L27">
        <v>11</v>
      </c>
      <c r="M27">
        <v>20</v>
      </c>
      <c r="N27">
        <v>134</v>
      </c>
      <c r="O27">
        <v>65</v>
      </c>
    </row>
    <row r="28" spans="1:15" x14ac:dyDescent="0.25">
      <c r="A28" t="s">
        <v>266</v>
      </c>
      <c r="B28">
        <v>488</v>
      </c>
      <c r="C28">
        <v>5047</v>
      </c>
      <c r="D28">
        <v>122886</v>
      </c>
      <c r="E28">
        <v>61136</v>
      </c>
      <c r="F28">
        <v>5742</v>
      </c>
      <c r="G28">
        <v>3887</v>
      </c>
      <c r="H28">
        <v>2384</v>
      </c>
      <c r="I28">
        <v>1360</v>
      </c>
      <c r="J28">
        <v>1593</v>
      </c>
      <c r="K28">
        <v>711</v>
      </c>
      <c r="L28">
        <v>460</v>
      </c>
      <c r="M28">
        <v>802</v>
      </c>
      <c r="N28">
        <v>8686</v>
      </c>
      <c r="O28">
        <v>4060</v>
      </c>
    </row>
    <row r="29" spans="1:15" x14ac:dyDescent="0.25">
      <c r="A29" t="s">
        <v>459</v>
      </c>
      <c r="B29">
        <v>395</v>
      </c>
      <c r="C29">
        <v>4299</v>
      </c>
      <c r="D29">
        <v>100436</v>
      </c>
      <c r="E29">
        <v>49709</v>
      </c>
      <c r="F29">
        <v>4788</v>
      </c>
      <c r="G29">
        <v>3305</v>
      </c>
      <c r="H29">
        <v>2206</v>
      </c>
      <c r="I29">
        <v>1295</v>
      </c>
      <c r="J29">
        <v>1400</v>
      </c>
      <c r="K29">
        <v>628</v>
      </c>
      <c r="L29">
        <v>400</v>
      </c>
      <c r="M29">
        <v>584</v>
      </c>
      <c r="N29">
        <v>7657</v>
      </c>
      <c r="O29">
        <v>3358</v>
      </c>
    </row>
    <row r="30" spans="1:15" x14ac:dyDescent="0.25">
      <c r="A30" t="s">
        <v>460</v>
      </c>
      <c r="B30">
        <v>93</v>
      </c>
      <c r="C30">
        <v>748</v>
      </c>
      <c r="D30">
        <v>22450</v>
      </c>
      <c r="E30">
        <v>11427</v>
      </c>
      <c r="F30">
        <v>954</v>
      </c>
      <c r="G30">
        <v>582</v>
      </c>
      <c r="H30">
        <v>178</v>
      </c>
      <c r="I30">
        <v>65</v>
      </c>
      <c r="J30">
        <v>193</v>
      </c>
      <c r="K30">
        <v>83</v>
      </c>
      <c r="L30">
        <v>60</v>
      </c>
      <c r="M30">
        <v>218</v>
      </c>
      <c r="N30">
        <v>1029</v>
      </c>
      <c r="O30">
        <v>702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ED7D31"/>
  </sheetPr>
  <dimension ref="A1:O22"/>
  <sheetViews>
    <sheetView workbookViewId="0"/>
  </sheetViews>
  <sheetFormatPr defaultRowHeight="15" x14ac:dyDescent="0.25"/>
  <cols>
    <col min="1" max="1" width="24.140625" customWidth="1"/>
    <col min="2" max="2" width="10.140625" customWidth="1"/>
    <col min="4" max="4" width="9.28515625" customWidth="1"/>
    <col min="8" max="8" width="8.85546875" customWidth="1"/>
    <col min="9" max="9" width="9.28515625" customWidth="1"/>
    <col min="11" max="11" width="11.28515625" customWidth="1"/>
    <col min="12" max="12" width="11.140625" customWidth="1"/>
    <col min="13" max="13" width="9.85546875" customWidth="1"/>
    <col min="15" max="15" width="11.140625" customWidth="1"/>
  </cols>
  <sheetData>
    <row r="1" spans="1:15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21</v>
      </c>
      <c r="C3">
        <v>161</v>
      </c>
      <c r="D3">
        <v>4217</v>
      </c>
      <c r="E3">
        <v>2079</v>
      </c>
      <c r="F3">
        <v>397</v>
      </c>
      <c r="G3">
        <v>134</v>
      </c>
      <c r="H3">
        <v>68</v>
      </c>
      <c r="I3">
        <v>19</v>
      </c>
      <c r="J3">
        <v>217</v>
      </c>
      <c r="K3">
        <v>28</v>
      </c>
      <c r="L3">
        <v>13</v>
      </c>
      <c r="M3">
        <v>33</v>
      </c>
      <c r="N3">
        <v>400</v>
      </c>
      <c r="O3">
        <v>157</v>
      </c>
    </row>
    <row r="4" spans="1:15" x14ac:dyDescent="0.25">
      <c r="A4" t="s">
        <v>284</v>
      </c>
      <c r="B4">
        <v>11</v>
      </c>
      <c r="C4">
        <v>113</v>
      </c>
      <c r="D4">
        <v>3183</v>
      </c>
      <c r="E4">
        <v>1627</v>
      </c>
      <c r="F4">
        <v>448</v>
      </c>
      <c r="G4">
        <v>196</v>
      </c>
      <c r="H4">
        <v>92</v>
      </c>
      <c r="I4">
        <v>34</v>
      </c>
      <c r="J4">
        <v>371</v>
      </c>
      <c r="K4">
        <v>4</v>
      </c>
      <c r="L4">
        <v>0</v>
      </c>
      <c r="M4">
        <v>14</v>
      </c>
      <c r="N4">
        <v>258</v>
      </c>
      <c r="O4">
        <v>115</v>
      </c>
    </row>
    <row r="5" spans="1:15" x14ac:dyDescent="0.25">
      <c r="A5" t="s">
        <v>285</v>
      </c>
      <c r="B5">
        <v>4</v>
      </c>
      <c r="C5">
        <v>23</v>
      </c>
      <c r="D5">
        <v>625</v>
      </c>
      <c r="E5">
        <v>301</v>
      </c>
      <c r="F5">
        <v>69</v>
      </c>
      <c r="G5">
        <v>28</v>
      </c>
      <c r="H5">
        <v>12</v>
      </c>
      <c r="I5">
        <v>6</v>
      </c>
      <c r="J5">
        <v>40</v>
      </c>
      <c r="K5">
        <v>1</v>
      </c>
      <c r="L5">
        <v>0</v>
      </c>
      <c r="M5">
        <v>9</v>
      </c>
      <c r="N5">
        <v>107</v>
      </c>
      <c r="O5">
        <v>23</v>
      </c>
    </row>
    <row r="6" spans="1:15" x14ac:dyDescent="0.25">
      <c r="A6" t="s">
        <v>286</v>
      </c>
      <c r="B6">
        <v>5</v>
      </c>
      <c r="C6">
        <v>41</v>
      </c>
      <c r="D6">
        <v>1068</v>
      </c>
      <c r="E6">
        <v>414</v>
      </c>
      <c r="F6">
        <v>144</v>
      </c>
      <c r="G6">
        <v>74</v>
      </c>
      <c r="H6">
        <v>9</v>
      </c>
      <c r="I6">
        <v>2</v>
      </c>
      <c r="J6">
        <v>107</v>
      </c>
      <c r="K6">
        <v>1</v>
      </c>
      <c r="L6">
        <v>0</v>
      </c>
      <c r="M6">
        <v>21</v>
      </c>
      <c r="N6">
        <v>104</v>
      </c>
      <c r="O6">
        <v>41</v>
      </c>
    </row>
    <row r="7" spans="1:15" x14ac:dyDescent="0.25">
      <c r="A7" t="s">
        <v>287</v>
      </c>
      <c r="B7">
        <v>8</v>
      </c>
      <c r="C7">
        <v>40</v>
      </c>
      <c r="D7">
        <v>941</v>
      </c>
      <c r="E7">
        <v>476</v>
      </c>
      <c r="F7">
        <v>115</v>
      </c>
      <c r="G7">
        <v>45</v>
      </c>
      <c r="H7">
        <v>28</v>
      </c>
      <c r="I7">
        <v>10</v>
      </c>
      <c r="J7">
        <v>51</v>
      </c>
      <c r="K7">
        <v>12</v>
      </c>
      <c r="L7">
        <v>7</v>
      </c>
      <c r="M7">
        <v>13</v>
      </c>
      <c r="N7">
        <v>132</v>
      </c>
      <c r="O7">
        <v>39</v>
      </c>
    </row>
    <row r="8" spans="1:15" x14ac:dyDescent="0.25">
      <c r="A8" t="s">
        <v>288</v>
      </c>
      <c r="B8">
        <v>3</v>
      </c>
      <c r="C8">
        <v>14</v>
      </c>
      <c r="D8">
        <v>308</v>
      </c>
      <c r="E8">
        <v>139</v>
      </c>
      <c r="F8">
        <v>34</v>
      </c>
      <c r="G8">
        <v>11</v>
      </c>
      <c r="H8">
        <v>10</v>
      </c>
      <c r="I8">
        <v>5</v>
      </c>
      <c r="J8">
        <v>39</v>
      </c>
      <c r="K8">
        <v>2</v>
      </c>
      <c r="L8">
        <v>2</v>
      </c>
      <c r="M8">
        <v>14</v>
      </c>
      <c r="N8">
        <v>47</v>
      </c>
      <c r="O8">
        <v>14</v>
      </c>
    </row>
    <row r="9" spans="1:15" x14ac:dyDescent="0.25">
      <c r="A9" t="s">
        <v>289</v>
      </c>
      <c r="B9">
        <v>14</v>
      </c>
      <c r="C9">
        <v>84</v>
      </c>
      <c r="D9">
        <v>2356</v>
      </c>
      <c r="E9">
        <v>1238</v>
      </c>
      <c r="F9">
        <v>238</v>
      </c>
      <c r="G9">
        <v>91</v>
      </c>
      <c r="H9">
        <v>24</v>
      </c>
      <c r="I9">
        <v>17</v>
      </c>
      <c r="J9">
        <v>135</v>
      </c>
      <c r="K9">
        <v>19</v>
      </c>
      <c r="L9">
        <v>11</v>
      </c>
      <c r="M9">
        <v>38</v>
      </c>
      <c r="N9">
        <v>258</v>
      </c>
      <c r="O9">
        <v>84</v>
      </c>
    </row>
    <row r="10" spans="1:15" x14ac:dyDescent="0.25">
      <c r="A10" t="s">
        <v>290</v>
      </c>
      <c r="B10">
        <v>10</v>
      </c>
      <c r="C10">
        <v>119</v>
      </c>
      <c r="D10">
        <v>3040</v>
      </c>
      <c r="E10">
        <v>1284</v>
      </c>
      <c r="F10">
        <v>239</v>
      </c>
      <c r="G10">
        <v>79</v>
      </c>
      <c r="H10">
        <v>72</v>
      </c>
      <c r="I10">
        <v>28</v>
      </c>
      <c r="J10">
        <v>235</v>
      </c>
      <c r="K10">
        <v>7</v>
      </c>
      <c r="L10">
        <v>6</v>
      </c>
      <c r="M10">
        <v>24</v>
      </c>
      <c r="N10">
        <v>425</v>
      </c>
      <c r="O10">
        <v>109</v>
      </c>
    </row>
    <row r="11" spans="1:15" x14ac:dyDescent="0.25">
      <c r="A11" t="s">
        <v>292</v>
      </c>
      <c r="B11">
        <v>3</v>
      </c>
      <c r="C11">
        <v>14</v>
      </c>
      <c r="D11">
        <v>349</v>
      </c>
      <c r="E11">
        <v>154</v>
      </c>
      <c r="F11">
        <v>51</v>
      </c>
      <c r="G11">
        <v>15</v>
      </c>
      <c r="H11">
        <v>8</v>
      </c>
      <c r="I11">
        <v>2</v>
      </c>
      <c r="J11">
        <v>3</v>
      </c>
      <c r="K11">
        <v>2</v>
      </c>
      <c r="L11">
        <v>2</v>
      </c>
      <c r="M11">
        <v>6</v>
      </c>
      <c r="N11">
        <v>34</v>
      </c>
      <c r="O11">
        <v>14</v>
      </c>
    </row>
    <row r="12" spans="1:15" x14ac:dyDescent="0.25">
      <c r="A12" t="s">
        <v>297</v>
      </c>
      <c r="B12">
        <v>102</v>
      </c>
      <c r="C12">
        <v>990</v>
      </c>
      <c r="D12">
        <v>23900</v>
      </c>
      <c r="E12">
        <v>12087</v>
      </c>
      <c r="F12">
        <v>2394</v>
      </c>
      <c r="G12">
        <v>921</v>
      </c>
      <c r="H12">
        <v>965</v>
      </c>
      <c r="I12">
        <v>505</v>
      </c>
      <c r="J12">
        <v>1417</v>
      </c>
      <c r="K12">
        <v>308</v>
      </c>
      <c r="L12">
        <v>137</v>
      </c>
      <c r="M12">
        <v>139</v>
      </c>
      <c r="N12">
        <v>2734</v>
      </c>
      <c r="O12">
        <v>812</v>
      </c>
    </row>
    <row r="13" spans="1:15" x14ac:dyDescent="0.25">
      <c r="A13" t="s">
        <v>298</v>
      </c>
      <c r="B13">
        <v>10</v>
      </c>
      <c r="C13">
        <v>84</v>
      </c>
      <c r="D13">
        <v>2173</v>
      </c>
      <c r="E13">
        <v>1027</v>
      </c>
      <c r="F13">
        <v>210</v>
      </c>
      <c r="G13">
        <v>46</v>
      </c>
      <c r="H13">
        <v>29</v>
      </c>
      <c r="I13">
        <v>16</v>
      </c>
      <c r="J13">
        <v>155</v>
      </c>
      <c r="K13">
        <v>29</v>
      </c>
      <c r="L13">
        <v>21</v>
      </c>
      <c r="M13">
        <v>18</v>
      </c>
      <c r="N13">
        <v>231</v>
      </c>
      <c r="O13">
        <v>81</v>
      </c>
    </row>
    <row r="14" spans="1:15" x14ac:dyDescent="0.25">
      <c r="A14" t="s">
        <v>300</v>
      </c>
      <c r="B14">
        <v>1</v>
      </c>
      <c r="C14">
        <v>3</v>
      </c>
      <c r="D14">
        <v>133</v>
      </c>
      <c r="E14">
        <v>78</v>
      </c>
      <c r="F14">
        <v>22</v>
      </c>
      <c r="G14">
        <v>5</v>
      </c>
      <c r="H14">
        <v>3</v>
      </c>
      <c r="I14">
        <v>2</v>
      </c>
      <c r="J14">
        <v>20</v>
      </c>
      <c r="K14">
        <v>1</v>
      </c>
      <c r="L14">
        <v>0</v>
      </c>
      <c r="M14">
        <v>3</v>
      </c>
      <c r="N14">
        <v>8</v>
      </c>
      <c r="O14">
        <v>3</v>
      </c>
    </row>
    <row r="15" spans="1:15" x14ac:dyDescent="0.25">
      <c r="A15" t="s">
        <v>302</v>
      </c>
      <c r="B15">
        <v>4</v>
      </c>
      <c r="C15">
        <v>26</v>
      </c>
      <c r="D15">
        <v>471</v>
      </c>
      <c r="E15">
        <v>202</v>
      </c>
      <c r="F15">
        <v>71</v>
      </c>
      <c r="G15">
        <v>27</v>
      </c>
      <c r="H15">
        <v>28</v>
      </c>
      <c r="I15">
        <v>16</v>
      </c>
      <c r="J15">
        <v>55</v>
      </c>
      <c r="K15">
        <v>0</v>
      </c>
      <c r="L15">
        <v>0</v>
      </c>
      <c r="M15">
        <v>17</v>
      </c>
      <c r="N15">
        <v>152</v>
      </c>
      <c r="O15">
        <v>26</v>
      </c>
    </row>
    <row r="16" spans="1:15" x14ac:dyDescent="0.25">
      <c r="A16" t="s">
        <v>303</v>
      </c>
      <c r="B16">
        <v>18</v>
      </c>
      <c r="C16">
        <v>113</v>
      </c>
      <c r="D16">
        <v>2477</v>
      </c>
      <c r="E16">
        <v>1218</v>
      </c>
      <c r="F16">
        <v>387</v>
      </c>
      <c r="G16">
        <v>193</v>
      </c>
      <c r="H16">
        <v>60</v>
      </c>
      <c r="I16">
        <v>34</v>
      </c>
      <c r="J16">
        <v>296</v>
      </c>
      <c r="K16">
        <v>67</v>
      </c>
      <c r="L16">
        <v>30</v>
      </c>
      <c r="M16">
        <v>11</v>
      </c>
      <c r="N16">
        <v>247</v>
      </c>
      <c r="O16">
        <v>101</v>
      </c>
    </row>
    <row r="17" spans="1:15" x14ac:dyDescent="0.25">
      <c r="A17" t="s">
        <v>304</v>
      </c>
      <c r="B17">
        <v>1</v>
      </c>
      <c r="C17">
        <v>6</v>
      </c>
      <c r="D17">
        <v>21</v>
      </c>
      <c r="E17">
        <v>10</v>
      </c>
      <c r="F17">
        <v>5</v>
      </c>
      <c r="G17">
        <v>1</v>
      </c>
      <c r="H17">
        <v>0</v>
      </c>
      <c r="I17">
        <v>0</v>
      </c>
      <c r="J17">
        <v>0</v>
      </c>
      <c r="K17">
        <v>2</v>
      </c>
      <c r="L17">
        <v>2</v>
      </c>
      <c r="M17">
        <v>1</v>
      </c>
      <c r="N17">
        <v>6</v>
      </c>
      <c r="O17">
        <v>6</v>
      </c>
    </row>
    <row r="18" spans="1:15" x14ac:dyDescent="0.25">
      <c r="A18" t="s">
        <v>306</v>
      </c>
      <c r="B18">
        <v>5</v>
      </c>
      <c r="C18">
        <v>31</v>
      </c>
      <c r="D18">
        <v>627</v>
      </c>
      <c r="E18">
        <v>287</v>
      </c>
      <c r="F18">
        <v>121</v>
      </c>
      <c r="G18">
        <v>30</v>
      </c>
      <c r="H18">
        <v>42</v>
      </c>
      <c r="I18">
        <v>21</v>
      </c>
      <c r="J18">
        <v>54</v>
      </c>
      <c r="K18">
        <v>0</v>
      </c>
      <c r="L18">
        <v>0</v>
      </c>
      <c r="M18">
        <v>12</v>
      </c>
      <c r="N18">
        <v>104</v>
      </c>
      <c r="O18">
        <v>31</v>
      </c>
    </row>
    <row r="19" spans="1:15" x14ac:dyDescent="0.25">
      <c r="A19" t="s">
        <v>307</v>
      </c>
      <c r="B19">
        <v>5</v>
      </c>
      <c r="C19">
        <v>30</v>
      </c>
      <c r="D19">
        <v>1264</v>
      </c>
      <c r="E19">
        <v>974</v>
      </c>
      <c r="F19">
        <v>69</v>
      </c>
      <c r="G19">
        <v>22</v>
      </c>
      <c r="H19">
        <v>10</v>
      </c>
      <c r="I19">
        <v>3</v>
      </c>
      <c r="J19">
        <v>10</v>
      </c>
      <c r="K19">
        <v>4</v>
      </c>
      <c r="L19">
        <v>2</v>
      </c>
      <c r="M19">
        <v>10</v>
      </c>
      <c r="N19">
        <v>88</v>
      </c>
      <c r="O19">
        <v>20</v>
      </c>
    </row>
    <row r="20" spans="1:15" x14ac:dyDescent="0.25">
      <c r="A20" t="s">
        <v>266</v>
      </c>
      <c r="B20">
        <v>225</v>
      </c>
      <c r="C20">
        <v>1892</v>
      </c>
      <c r="D20">
        <v>47153</v>
      </c>
      <c r="E20">
        <v>23595</v>
      </c>
      <c r="F20">
        <v>5014</v>
      </c>
      <c r="G20">
        <v>1918</v>
      </c>
      <c r="H20">
        <v>1460</v>
      </c>
      <c r="I20">
        <v>720</v>
      </c>
      <c r="J20">
        <v>3205</v>
      </c>
      <c r="K20">
        <v>487</v>
      </c>
      <c r="L20">
        <v>233</v>
      </c>
      <c r="M20">
        <v>383</v>
      </c>
      <c r="N20">
        <v>5335</v>
      </c>
      <c r="O20">
        <v>1676</v>
      </c>
    </row>
    <row r="21" spans="1:15" x14ac:dyDescent="0.25">
      <c r="A21" t="s">
        <v>459</v>
      </c>
      <c r="B21">
        <v>189</v>
      </c>
      <c r="C21">
        <v>1683</v>
      </c>
      <c r="D21">
        <v>41362</v>
      </c>
      <c r="E21">
        <v>20654</v>
      </c>
      <c r="F21">
        <v>4502</v>
      </c>
      <c r="G21">
        <v>1763</v>
      </c>
      <c r="H21">
        <v>1375</v>
      </c>
      <c r="I21">
        <v>697</v>
      </c>
      <c r="J21">
        <v>2912</v>
      </c>
      <c r="K21">
        <v>448</v>
      </c>
      <c r="L21">
        <v>213</v>
      </c>
      <c r="M21">
        <v>291</v>
      </c>
      <c r="N21">
        <v>4678</v>
      </c>
      <c r="O21">
        <v>1478</v>
      </c>
    </row>
    <row r="22" spans="1:15" x14ac:dyDescent="0.25">
      <c r="A22" t="s">
        <v>460</v>
      </c>
      <c r="B22">
        <v>36</v>
      </c>
      <c r="C22">
        <v>209</v>
      </c>
      <c r="D22">
        <v>5791</v>
      </c>
      <c r="E22">
        <v>2941</v>
      </c>
      <c r="F22">
        <v>512</v>
      </c>
      <c r="G22">
        <v>155</v>
      </c>
      <c r="H22">
        <v>85</v>
      </c>
      <c r="I22">
        <v>23</v>
      </c>
      <c r="J22">
        <v>293</v>
      </c>
      <c r="K22">
        <v>39</v>
      </c>
      <c r="L22">
        <v>20</v>
      </c>
      <c r="M22">
        <v>92</v>
      </c>
      <c r="N22">
        <v>657</v>
      </c>
      <c r="O22">
        <v>198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70AD47"/>
  </sheetPr>
  <dimension ref="A1:J30"/>
  <sheetViews>
    <sheetView workbookViewId="0"/>
  </sheetViews>
  <sheetFormatPr defaultRowHeight="15" x14ac:dyDescent="0.25"/>
  <cols>
    <col min="1" max="1" width="26.140625" customWidth="1"/>
    <col min="2" max="2" width="14.85546875" customWidth="1"/>
    <col min="3" max="3" width="15.140625" customWidth="1"/>
    <col min="5" max="5" width="14.85546875" customWidth="1"/>
    <col min="6" max="6" width="15.140625" customWidth="1"/>
    <col min="7" max="7" width="14.85546875" customWidth="1"/>
    <col min="8" max="8" width="15.140625" customWidth="1"/>
    <col min="10" max="10" width="14.85546875" customWidth="1"/>
  </cols>
  <sheetData>
    <row r="1" spans="1:10" x14ac:dyDescent="0.25">
      <c r="A1" s="29" t="s">
        <v>252</v>
      </c>
      <c r="B1" s="29" t="s">
        <v>358</v>
      </c>
      <c r="C1" s="29"/>
      <c r="D1" s="29"/>
      <c r="E1" s="29"/>
      <c r="F1" s="29" t="s">
        <v>713</v>
      </c>
      <c r="G1" s="29" t="s">
        <v>714</v>
      </c>
      <c r="H1" s="29"/>
      <c r="I1" s="29"/>
      <c r="J1" s="29"/>
    </row>
    <row r="2" spans="1:10" x14ac:dyDescent="0.25">
      <c r="A2" s="29"/>
      <c r="B2" t="s">
        <v>715</v>
      </c>
      <c r="C2" t="s">
        <v>346</v>
      </c>
      <c r="D2" t="s">
        <v>365</v>
      </c>
      <c r="E2" t="s">
        <v>366</v>
      </c>
      <c r="F2" s="29"/>
      <c r="G2" t="s">
        <v>263</v>
      </c>
      <c r="H2" t="s">
        <v>265</v>
      </c>
      <c r="I2" t="s">
        <v>716</v>
      </c>
      <c r="J2" t="s">
        <v>717</v>
      </c>
    </row>
    <row r="3" spans="1:10" x14ac:dyDescent="0.25">
      <c r="A3" t="s">
        <v>283</v>
      </c>
      <c r="B3">
        <v>46</v>
      </c>
      <c r="C3">
        <v>54</v>
      </c>
      <c r="D3">
        <v>10</v>
      </c>
      <c r="E3">
        <v>11</v>
      </c>
      <c r="F3">
        <v>49</v>
      </c>
      <c r="G3">
        <v>98</v>
      </c>
      <c r="H3">
        <v>23</v>
      </c>
      <c r="I3">
        <v>37.6</v>
      </c>
      <c r="J3">
        <v>12.8</v>
      </c>
    </row>
    <row r="4" spans="1:10" x14ac:dyDescent="0.25">
      <c r="A4" t="s">
        <v>284</v>
      </c>
      <c r="B4">
        <v>16</v>
      </c>
      <c r="C4">
        <v>18</v>
      </c>
      <c r="D4">
        <v>0</v>
      </c>
      <c r="E4">
        <v>11</v>
      </c>
      <c r="F4">
        <v>11</v>
      </c>
      <c r="G4">
        <v>42</v>
      </c>
      <c r="H4">
        <v>3</v>
      </c>
      <c r="I4">
        <v>50.1</v>
      </c>
      <c r="J4">
        <v>22.8</v>
      </c>
    </row>
    <row r="5" spans="1:10" x14ac:dyDescent="0.25">
      <c r="A5" t="s">
        <v>285</v>
      </c>
      <c r="B5">
        <v>7</v>
      </c>
      <c r="C5">
        <v>14</v>
      </c>
      <c r="D5">
        <v>2</v>
      </c>
      <c r="E5">
        <v>2</v>
      </c>
      <c r="F5">
        <v>9</v>
      </c>
      <c r="G5">
        <v>20</v>
      </c>
      <c r="H5">
        <v>5</v>
      </c>
      <c r="I5">
        <v>43.3</v>
      </c>
      <c r="J5">
        <v>15.6</v>
      </c>
    </row>
    <row r="6" spans="1:10" x14ac:dyDescent="0.25">
      <c r="A6" t="s">
        <v>286</v>
      </c>
      <c r="B6">
        <v>11</v>
      </c>
      <c r="C6">
        <v>9</v>
      </c>
      <c r="D6">
        <v>1</v>
      </c>
      <c r="E6">
        <v>4</v>
      </c>
      <c r="F6">
        <v>7</v>
      </c>
      <c r="G6">
        <v>21</v>
      </c>
      <c r="H6">
        <v>4</v>
      </c>
      <c r="I6">
        <v>47.3</v>
      </c>
      <c r="J6">
        <v>17</v>
      </c>
    </row>
    <row r="7" spans="1:10" x14ac:dyDescent="0.25">
      <c r="A7" t="s">
        <v>287</v>
      </c>
      <c r="B7">
        <v>25</v>
      </c>
      <c r="C7">
        <v>17</v>
      </c>
      <c r="D7">
        <v>3</v>
      </c>
      <c r="E7">
        <v>5</v>
      </c>
      <c r="F7">
        <v>11</v>
      </c>
      <c r="G7">
        <v>35</v>
      </c>
      <c r="H7">
        <v>15</v>
      </c>
      <c r="I7">
        <v>37</v>
      </c>
      <c r="J7">
        <v>11.4</v>
      </c>
    </row>
    <row r="8" spans="1:10" x14ac:dyDescent="0.25">
      <c r="A8" t="s">
        <v>288</v>
      </c>
      <c r="B8">
        <v>7</v>
      </c>
      <c r="C8">
        <v>5</v>
      </c>
      <c r="D8">
        <v>1</v>
      </c>
      <c r="E8">
        <v>2</v>
      </c>
      <c r="F8">
        <v>5</v>
      </c>
      <c r="G8">
        <v>13</v>
      </c>
      <c r="H8">
        <v>2</v>
      </c>
      <c r="I8">
        <v>44.4</v>
      </c>
      <c r="J8">
        <v>18</v>
      </c>
    </row>
    <row r="9" spans="1:10" x14ac:dyDescent="0.25">
      <c r="A9" t="s">
        <v>289</v>
      </c>
      <c r="B9">
        <v>15</v>
      </c>
      <c r="C9">
        <v>19</v>
      </c>
      <c r="D9">
        <v>6</v>
      </c>
      <c r="E9">
        <v>8</v>
      </c>
      <c r="F9">
        <v>25</v>
      </c>
      <c r="G9">
        <v>31</v>
      </c>
      <c r="H9">
        <v>17</v>
      </c>
      <c r="I9">
        <v>34.5</v>
      </c>
      <c r="J9">
        <v>12.1</v>
      </c>
    </row>
    <row r="10" spans="1:10" x14ac:dyDescent="0.25">
      <c r="A10" t="s">
        <v>290</v>
      </c>
      <c r="B10">
        <v>33</v>
      </c>
      <c r="C10">
        <v>20</v>
      </c>
      <c r="D10">
        <v>4</v>
      </c>
      <c r="E10">
        <v>6</v>
      </c>
      <c r="F10">
        <v>20</v>
      </c>
      <c r="G10">
        <v>55</v>
      </c>
      <c r="H10">
        <v>8</v>
      </c>
      <c r="I10">
        <v>41.1</v>
      </c>
      <c r="J10">
        <v>15</v>
      </c>
    </row>
    <row r="11" spans="1:10" x14ac:dyDescent="0.25">
      <c r="A11" t="s">
        <v>291</v>
      </c>
      <c r="B11">
        <v>3</v>
      </c>
      <c r="C11">
        <v>1</v>
      </c>
      <c r="D11">
        <v>0</v>
      </c>
      <c r="E11">
        <v>0</v>
      </c>
      <c r="F11">
        <v>1</v>
      </c>
      <c r="G11">
        <v>2</v>
      </c>
      <c r="H11">
        <v>2</v>
      </c>
      <c r="I11">
        <v>44.6</v>
      </c>
      <c r="J11">
        <v>2.2999999999999998</v>
      </c>
    </row>
    <row r="12" spans="1:10" x14ac:dyDescent="0.25">
      <c r="A12" t="s">
        <v>292</v>
      </c>
      <c r="B12">
        <v>4</v>
      </c>
      <c r="C12">
        <v>11</v>
      </c>
      <c r="D12">
        <v>2</v>
      </c>
      <c r="E12">
        <v>1</v>
      </c>
      <c r="F12">
        <v>11</v>
      </c>
      <c r="G12">
        <v>15</v>
      </c>
      <c r="H12">
        <v>3</v>
      </c>
      <c r="I12">
        <v>40</v>
      </c>
      <c r="J12">
        <v>10.7</v>
      </c>
    </row>
    <row r="13" spans="1:10" x14ac:dyDescent="0.25">
      <c r="A13" t="s">
        <v>293</v>
      </c>
      <c r="B13">
        <v>3</v>
      </c>
      <c r="C13">
        <v>5</v>
      </c>
      <c r="D13">
        <v>0</v>
      </c>
      <c r="E13">
        <v>0</v>
      </c>
      <c r="F13">
        <v>4</v>
      </c>
      <c r="G13">
        <v>7</v>
      </c>
      <c r="H13">
        <v>1</v>
      </c>
      <c r="I13">
        <v>40.1</v>
      </c>
      <c r="J13">
        <v>15.4</v>
      </c>
    </row>
    <row r="14" spans="1:10" x14ac:dyDescent="0.25">
      <c r="A14" t="s">
        <v>294</v>
      </c>
      <c r="B14">
        <v>3</v>
      </c>
      <c r="C14">
        <v>2</v>
      </c>
      <c r="D14">
        <v>0</v>
      </c>
      <c r="E14">
        <v>0</v>
      </c>
      <c r="F14">
        <v>1</v>
      </c>
      <c r="G14">
        <v>4</v>
      </c>
      <c r="H14">
        <v>1</v>
      </c>
      <c r="I14">
        <v>36.6</v>
      </c>
      <c r="J14">
        <v>6.8</v>
      </c>
    </row>
    <row r="15" spans="1:10" x14ac:dyDescent="0.25">
      <c r="A15" t="s">
        <v>295</v>
      </c>
      <c r="B15">
        <v>3</v>
      </c>
      <c r="C15">
        <v>3</v>
      </c>
      <c r="D15">
        <v>0</v>
      </c>
      <c r="E15">
        <v>0</v>
      </c>
      <c r="F15">
        <v>3</v>
      </c>
      <c r="G15">
        <v>6</v>
      </c>
      <c r="H15">
        <v>0</v>
      </c>
      <c r="I15">
        <v>40.9</v>
      </c>
      <c r="J15">
        <v>20.7</v>
      </c>
    </row>
    <row r="16" spans="1:10" x14ac:dyDescent="0.25">
      <c r="A16" t="s">
        <v>296</v>
      </c>
      <c r="B16">
        <v>9</v>
      </c>
      <c r="C16">
        <v>9</v>
      </c>
      <c r="D16">
        <v>0</v>
      </c>
      <c r="E16">
        <v>0</v>
      </c>
      <c r="F16">
        <v>4</v>
      </c>
      <c r="G16">
        <v>16</v>
      </c>
      <c r="H16">
        <v>2</v>
      </c>
      <c r="I16">
        <v>37.799999999999997</v>
      </c>
      <c r="J16">
        <v>16.8</v>
      </c>
    </row>
    <row r="17" spans="1:10" x14ac:dyDescent="0.25">
      <c r="A17" t="s">
        <v>297</v>
      </c>
      <c r="B17">
        <v>213</v>
      </c>
      <c r="C17">
        <v>215</v>
      </c>
      <c r="D17">
        <v>32</v>
      </c>
      <c r="E17">
        <v>70</v>
      </c>
      <c r="F17">
        <v>218</v>
      </c>
      <c r="G17">
        <v>421</v>
      </c>
      <c r="H17">
        <v>109</v>
      </c>
      <c r="I17">
        <v>42.6</v>
      </c>
      <c r="J17">
        <v>15</v>
      </c>
    </row>
    <row r="18" spans="1:10" x14ac:dyDescent="0.25">
      <c r="A18" t="s">
        <v>298</v>
      </c>
      <c r="B18">
        <v>20</v>
      </c>
      <c r="C18">
        <v>15</v>
      </c>
      <c r="D18">
        <v>4</v>
      </c>
      <c r="E18">
        <v>6</v>
      </c>
      <c r="F18">
        <v>21</v>
      </c>
      <c r="G18">
        <v>38</v>
      </c>
      <c r="H18">
        <v>7</v>
      </c>
      <c r="I18">
        <v>43</v>
      </c>
      <c r="J18">
        <v>16.7</v>
      </c>
    </row>
    <row r="19" spans="1:10" x14ac:dyDescent="0.25">
      <c r="A19" t="s">
        <v>299</v>
      </c>
      <c r="B19">
        <v>2</v>
      </c>
      <c r="C19">
        <v>2</v>
      </c>
      <c r="D19">
        <v>0</v>
      </c>
      <c r="E19">
        <v>0</v>
      </c>
      <c r="F19">
        <v>0</v>
      </c>
      <c r="G19">
        <v>3</v>
      </c>
      <c r="H19">
        <v>1</v>
      </c>
      <c r="I19">
        <v>32.1</v>
      </c>
      <c r="J19">
        <v>8.5</v>
      </c>
    </row>
    <row r="20" spans="1:10" x14ac:dyDescent="0.25">
      <c r="A20" t="s">
        <v>300</v>
      </c>
      <c r="B20">
        <v>5</v>
      </c>
      <c r="C20">
        <v>1</v>
      </c>
      <c r="D20">
        <v>0</v>
      </c>
      <c r="E20">
        <v>1</v>
      </c>
      <c r="F20">
        <v>1</v>
      </c>
      <c r="G20">
        <v>5</v>
      </c>
      <c r="H20">
        <v>2</v>
      </c>
      <c r="I20">
        <v>47.2</v>
      </c>
      <c r="J20">
        <v>23.6</v>
      </c>
    </row>
    <row r="21" spans="1:10" x14ac:dyDescent="0.25">
      <c r="A21" t="s">
        <v>301</v>
      </c>
      <c r="B21">
        <v>4</v>
      </c>
      <c r="C21">
        <v>4</v>
      </c>
      <c r="D21">
        <v>0</v>
      </c>
      <c r="E21">
        <v>0</v>
      </c>
      <c r="F21">
        <v>2</v>
      </c>
      <c r="G21">
        <v>8</v>
      </c>
      <c r="H21">
        <v>0</v>
      </c>
      <c r="I21">
        <v>40.200000000000003</v>
      </c>
      <c r="J21">
        <v>13.9</v>
      </c>
    </row>
    <row r="22" spans="1:10" x14ac:dyDescent="0.25">
      <c r="A22" t="s">
        <v>302</v>
      </c>
      <c r="B22">
        <v>5</v>
      </c>
      <c r="C22">
        <v>5</v>
      </c>
      <c r="D22">
        <v>1</v>
      </c>
      <c r="E22">
        <v>3</v>
      </c>
      <c r="F22">
        <v>5</v>
      </c>
      <c r="G22">
        <v>14</v>
      </c>
      <c r="H22">
        <v>0</v>
      </c>
      <c r="I22">
        <v>34.6</v>
      </c>
      <c r="J22">
        <v>8.5</v>
      </c>
    </row>
    <row r="23" spans="1:10" x14ac:dyDescent="0.25">
      <c r="A23" t="s">
        <v>303</v>
      </c>
      <c r="B23">
        <v>49</v>
      </c>
      <c r="C23">
        <v>35</v>
      </c>
      <c r="D23">
        <v>9</v>
      </c>
      <c r="E23">
        <v>9</v>
      </c>
      <c r="F23">
        <v>25</v>
      </c>
      <c r="G23">
        <v>81</v>
      </c>
      <c r="H23">
        <v>21</v>
      </c>
      <c r="I23">
        <v>10.9</v>
      </c>
      <c r="J23">
        <v>16.5</v>
      </c>
    </row>
    <row r="24" spans="1:10" x14ac:dyDescent="0.25">
      <c r="A24" t="s">
        <v>304</v>
      </c>
      <c r="B24">
        <v>2</v>
      </c>
      <c r="C24">
        <v>1</v>
      </c>
      <c r="D24">
        <v>0</v>
      </c>
      <c r="E24">
        <v>1</v>
      </c>
      <c r="F24">
        <v>2</v>
      </c>
      <c r="G24">
        <v>4</v>
      </c>
      <c r="H24">
        <v>0</v>
      </c>
      <c r="I24">
        <v>55.4</v>
      </c>
      <c r="J24">
        <v>13.3</v>
      </c>
    </row>
    <row r="25" spans="1:10" x14ac:dyDescent="0.25">
      <c r="A25" t="s">
        <v>305</v>
      </c>
      <c r="B25">
        <v>3</v>
      </c>
      <c r="C25">
        <v>3</v>
      </c>
      <c r="D25">
        <v>0</v>
      </c>
      <c r="E25">
        <v>0</v>
      </c>
      <c r="F25">
        <v>0</v>
      </c>
      <c r="G25">
        <v>5</v>
      </c>
      <c r="H25">
        <v>1</v>
      </c>
      <c r="I25">
        <v>44.6</v>
      </c>
      <c r="J25">
        <v>22.7</v>
      </c>
    </row>
    <row r="26" spans="1:10" x14ac:dyDescent="0.25">
      <c r="A26" t="s">
        <v>306</v>
      </c>
      <c r="B26">
        <v>9</v>
      </c>
      <c r="C26">
        <v>10</v>
      </c>
      <c r="D26">
        <v>0</v>
      </c>
      <c r="E26">
        <v>5</v>
      </c>
      <c r="F26">
        <v>7</v>
      </c>
      <c r="G26">
        <v>18</v>
      </c>
      <c r="H26">
        <v>6</v>
      </c>
      <c r="I26">
        <v>41</v>
      </c>
      <c r="J26">
        <v>15.2</v>
      </c>
    </row>
    <row r="27" spans="1:10" x14ac:dyDescent="0.25">
      <c r="A27" t="s">
        <v>307</v>
      </c>
      <c r="B27">
        <v>12</v>
      </c>
      <c r="C27">
        <v>10</v>
      </c>
      <c r="D27">
        <v>3</v>
      </c>
      <c r="E27">
        <v>2</v>
      </c>
      <c r="F27">
        <v>12</v>
      </c>
      <c r="G27">
        <v>24</v>
      </c>
      <c r="H27">
        <v>2</v>
      </c>
      <c r="I27">
        <v>40.799999999999997</v>
      </c>
      <c r="J27">
        <v>11.4</v>
      </c>
    </row>
    <row r="28" spans="1:10" x14ac:dyDescent="0.25">
      <c r="A28" t="s">
        <v>266</v>
      </c>
      <c r="B28">
        <v>509</v>
      </c>
      <c r="C28">
        <v>488</v>
      </c>
      <c r="D28">
        <v>78</v>
      </c>
      <c r="E28">
        <v>147</v>
      </c>
      <c r="F28">
        <v>454</v>
      </c>
      <c r="G28">
        <v>986</v>
      </c>
      <c r="H28">
        <v>235</v>
      </c>
      <c r="I28">
        <v>40.299999999999997</v>
      </c>
      <c r="J28">
        <v>14.5</v>
      </c>
    </row>
    <row r="29" spans="1:10" x14ac:dyDescent="0.25">
      <c r="A29" t="s">
        <v>459</v>
      </c>
      <c r="B29">
        <v>410</v>
      </c>
      <c r="C29">
        <v>395</v>
      </c>
      <c r="D29">
        <v>62</v>
      </c>
      <c r="E29">
        <v>127</v>
      </c>
      <c r="F29">
        <v>377</v>
      </c>
      <c r="G29">
        <v>792</v>
      </c>
      <c r="H29">
        <v>202</v>
      </c>
      <c r="I29">
        <v>38.9</v>
      </c>
      <c r="J29">
        <v>15.4</v>
      </c>
    </row>
    <row r="30" spans="1:10" x14ac:dyDescent="0.25">
      <c r="A30" t="s">
        <v>460</v>
      </c>
      <c r="B30">
        <v>99</v>
      </c>
      <c r="C30">
        <v>93</v>
      </c>
      <c r="D30">
        <v>16</v>
      </c>
      <c r="E30">
        <v>20</v>
      </c>
      <c r="F30">
        <v>77</v>
      </c>
      <c r="G30">
        <v>194</v>
      </c>
      <c r="H30">
        <v>33</v>
      </c>
      <c r="I30">
        <v>39.6</v>
      </c>
      <c r="J30">
        <v>12.7</v>
      </c>
    </row>
  </sheetData>
  <mergeCells count="4">
    <mergeCell ref="F1:F2"/>
    <mergeCell ref="B1:E1"/>
    <mergeCell ref="G1:J1"/>
    <mergeCell ref="A1:A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AD47"/>
  </sheetPr>
  <dimension ref="A1:O30"/>
  <sheetViews>
    <sheetView workbookViewId="0"/>
  </sheetViews>
  <sheetFormatPr defaultRowHeight="15" x14ac:dyDescent="0.25"/>
  <cols>
    <col min="1" max="1" width="26.140625" customWidth="1"/>
    <col min="2" max="2" width="9.42578125" customWidth="1"/>
    <col min="3" max="3" width="10.85546875" customWidth="1"/>
    <col min="4" max="4" width="9.85546875" customWidth="1"/>
    <col min="5" max="5" width="9.42578125" customWidth="1"/>
    <col min="7" max="7" width="9.85546875" customWidth="1"/>
    <col min="8" max="8" width="9.42578125" customWidth="1"/>
    <col min="10" max="10" width="9.85546875" customWidth="1"/>
    <col min="11" max="11" width="9.42578125" customWidth="1"/>
    <col min="12" max="12" width="9.85546875" customWidth="1"/>
    <col min="13" max="13" width="9.42578125" customWidth="1"/>
    <col min="15" max="15" width="9.85546875" customWidth="1"/>
  </cols>
  <sheetData>
    <row r="1" spans="1:15" x14ac:dyDescent="0.25">
      <c r="A1" s="29" t="s">
        <v>252</v>
      </c>
      <c r="B1" s="29" t="s">
        <v>715</v>
      </c>
      <c r="C1" s="29"/>
      <c r="D1" s="29" t="s">
        <v>718</v>
      </c>
      <c r="E1" s="29"/>
      <c r="F1" s="29"/>
      <c r="G1" s="29"/>
      <c r="H1" s="29"/>
      <c r="I1" s="29"/>
      <c r="J1" s="29" t="s">
        <v>719</v>
      </c>
      <c r="K1" s="29"/>
      <c r="L1" s="29"/>
      <c r="M1" s="29"/>
      <c r="N1" s="29"/>
      <c r="O1" s="29"/>
    </row>
    <row r="2" spans="1:15" x14ac:dyDescent="0.25">
      <c r="A2" s="29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46</v>
      </c>
      <c r="C3">
        <v>29</v>
      </c>
      <c r="D3">
        <v>2</v>
      </c>
      <c r="E3">
        <v>0</v>
      </c>
      <c r="F3">
        <v>2</v>
      </c>
      <c r="G3">
        <v>2</v>
      </c>
      <c r="H3">
        <v>5</v>
      </c>
      <c r="I3">
        <v>43</v>
      </c>
      <c r="J3">
        <v>1</v>
      </c>
      <c r="K3">
        <v>2</v>
      </c>
      <c r="L3">
        <v>7</v>
      </c>
      <c r="M3">
        <v>2</v>
      </c>
      <c r="N3">
        <v>1</v>
      </c>
      <c r="O3">
        <v>8</v>
      </c>
    </row>
    <row r="4" spans="1:15" x14ac:dyDescent="0.25">
      <c r="A4" t="s">
        <v>284</v>
      </c>
      <c r="B4">
        <v>16</v>
      </c>
      <c r="C4">
        <v>8</v>
      </c>
      <c r="D4">
        <v>0</v>
      </c>
      <c r="E4">
        <v>0</v>
      </c>
      <c r="F4">
        <v>0</v>
      </c>
      <c r="G4">
        <v>1</v>
      </c>
      <c r="H4">
        <v>1</v>
      </c>
      <c r="I4">
        <v>16</v>
      </c>
      <c r="J4">
        <v>0</v>
      </c>
      <c r="K4">
        <v>0</v>
      </c>
      <c r="L4">
        <v>0</v>
      </c>
      <c r="M4">
        <v>0</v>
      </c>
      <c r="N4">
        <v>1</v>
      </c>
      <c r="O4">
        <v>10</v>
      </c>
    </row>
    <row r="5" spans="1:15" x14ac:dyDescent="0.25">
      <c r="A5" t="s">
        <v>285</v>
      </c>
      <c r="B5">
        <v>7</v>
      </c>
      <c r="C5">
        <v>5</v>
      </c>
      <c r="D5">
        <v>0</v>
      </c>
      <c r="E5">
        <v>0</v>
      </c>
      <c r="F5">
        <v>0</v>
      </c>
      <c r="G5">
        <v>0</v>
      </c>
      <c r="H5">
        <v>2</v>
      </c>
      <c r="I5">
        <v>12</v>
      </c>
      <c r="J5">
        <v>1</v>
      </c>
      <c r="K5">
        <v>0</v>
      </c>
      <c r="L5">
        <v>1</v>
      </c>
      <c r="M5">
        <v>0</v>
      </c>
      <c r="N5">
        <v>0</v>
      </c>
      <c r="O5">
        <v>2</v>
      </c>
    </row>
    <row r="6" spans="1:15" x14ac:dyDescent="0.25">
      <c r="A6" t="s">
        <v>286</v>
      </c>
      <c r="B6">
        <v>11</v>
      </c>
      <c r="C6">
        <v>3</v>
      </c>
      <c r="D6">
        <v>0</v>
      </c>
      <c r="E6">
        <v>2</v>
      </c>
      <c r="F6">
        <v>0</v>
      </c>
      <c r="G6">
        <v>0</v>
      </c>
      <c r="H6">
        <v>0</v>
      </c>
      <c r="I6">
        <v>7</v>
      </c>
      <c r="J6">
        <v>0</v>
      </c>
      <c r="K6">
        <v>0</v>
      </c>
      <c r="L6">
        <v>1</v>
      </c>
      <c r="M6">
        <v>0</v>
      </c>
      <c r="N6">
        <v>0</v>
      </c>
      <c r="O6">
        <v>4</v>
      </c>
    </row>
    <row r="7" spans="1:15" x14ac:dyDescent="0.25">
      <c r="A7" t="s">
        <v>287</v>
      </c>
      <c r="B7">
        <v>25</v>
      </c>
      <c r="C7">
        <v>9</v>
      </c>
      <c r="D7">
        <v>0</v>
      </c>
      <c r="E7">
        <v>0</v>
      </c>
      <c r="F7">
        <v>1</v>
      </c>
      <c r="G7">
        <v>2</v>
      </c>
      <c r="H7">
        <v>1</v>
      </c>
      <c r="I7">
        <v>13</v>
      </c>
      <c r="J7">
        <v>0</v>
      </c>
      <c r="K7">
        <v>0</v>
      </c>
      <c r="L7">
        <v>3</v>
      </c>
      <c r="M7">
        <v>1</v>
      </c>
      <c r="N7">
        <v>1</v>
      </c>
      <c r="O7">
        <v>3</v>
      </c>
    </row>
    <row r="8" spans="1:15" x14ac:dyDescent="0.25">
      <c r="A8" t="s">
        <v>288</v>
      </c>
      <c r="B8">
        <v>7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</row>
    <row r="9" spans="1:15" x14ac:dyDescent="0.25">
      <c r="A9" t="s">
        <v>289</v>
      </c>
      <c r="B9">
        <v>15</v>
      </c>
      <c r="C9">
        <v>2</v>
      </c>
      <c r="D9">
        <v>1</v>
      </c>
      <c r="E9">
        <v>2</v>
      </c>
      <c r="F9">
        <v>2</v>
      </c>
      <c r="G9">
        <v>0</v>
      </c>
      <c r="H9">
        <v>0</v>
      </c>
      <c r="I9">
        <v>14</v>
      </c>
      <c r="J9">
        <v>0</v>
      </c>
      <c r="K9">
        <v>1</v>
      </c>
      <c r="L9">
        <v>5</v>
      </c>
      <c r="M9">
        <v>1</v>
      </c>
      <c r="N9">
        <v>1</v>
      </c>
      <c r="O9">
        <v>6</v>
      </c>
    </row>
    <row r="10" spans="1:15" x14ac:dyDescent="0.25">
      <c r="A10" t="s">
        <v>290</v>
      </c>
      <c r="B10">
        <v>33</v>
      </c>
      <c r="C10">
        <v>17</v>
      </c>
      <c r="D10">
        <v>0</v>
      </c>
      <c r="E10">
        <v>2</v>
      </c>
      <c r="F10">
        <v>1</v>
      </c>
      <c r="G10">
        <v>0</v>
      </c>
      <c r="H10">
        <v>0</v>
      </c>
      <c r="I10">
        <v>17</v>
      </c>
      <c r="J10">
        <v>2</v>
      </c>
      <c r="K10">
        <v>0</v>
      </c>
      <c r="L10">
        <v>2</v>
      </c>
      <c r="M10">
        <v>0</v>
      </c>
      <c r="N10">
        <v>1</v>
      </c>
      <c r="O10">
        <v>5</v>
      </c>
    </row>
    <row r="11" spans="1:15" x14ac:dyDescent="0.25">
      <c r="A11" t="s">
        <v>291</v>
      </c>
      <c r="B11">
        <v>3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4</v>
      </c>
      <c r="C12">
        <v>2</v>
      </c>
      <c r="D12">
        <v>0</v>
      </c>
      <c r="E12">
        <v>1</v>
      </c>
      <c r="F12">
        <v>0</v>
      </c>
      <c r="G12">
        <v>0</v>
      </c>
      <c r="H12">
        <v>2</v>
      </c>
      <c r="I12">
        <v>8</v>
      </c>
      <c r="J12">
        <v>0</v>
      </c>
      <c r="K12">
        <v>1</v>
      </c>
      <c r="L12">
        <v>1</v>
      </c>
      <c r="M12">
        <v>1</v>
      </c>
      <c r="N12">
        <v>0</v>
      </c>
      <c r="O12">
        <v>0</v>
      </c>
    </row>
    <row r="13" spans="1:15" x14ac:dyDescent="0.25">
      <c r="A13" t="s">
        <v>293</v>
      </c>
      <c r="B13">
        <v>3</v>
      </c>
      <c r="C13">
        <v>0</v>
      </c>
      <c r="D13">
        <v>0</v>
      </c>
      <c r="E13">
        <v>0</v>
      </c>
      <c r="F13">
        <v>0</v>
      </c>
      <c r="G13">
        <v>1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294</v>
      </c>
      <c r="B14">
        <v>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295</v>
      </c>
      <c r="B15">
        <v>3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9</v>
      </c>
      <c r="C16">
        <v>2</v>
      </c>
      <c r="D16">
        <v>0</v>
      </c>
      <c r="E16">
        <v>1</v>
      </c>
      <c r="F16">
        <v>0</v>
      </c>
      <c r="G16">
        <v>0</v>
      </c>
      <c r="H16">
        <v>2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213</v>
      </c>
      <c r="C17">
        <v>91</v>
      </c>
      <c r="D17">
        <v>2</v>
      </c>
      <c r="E17">
        <v>8</v>
      </c>
      <c r="F17">
        <v>4</v>
      </c>
      <c r="G17">
        <v>14</v>
      </c>
      <c r="H17">
        <v>25</v>
      </c>
      <c r="I17">
        <v>162</v>
      </c>
      <c r="J17">
        <v>10</v>
      </c>
      <c r="K17">
        <v>5</v>
      </c>
      <c r="L17">
        <v>17</v>
      </c>
      <c r="M17">
        <v>10</v>
      </c>
      <c r="N17">
        <v>6</v>
      </c>
      <c r="O17">
        <v>54</v>
      </c>
    </row>
    <row r="18" spans="1:15" x14ac:dyDescent="0.25">
      <c r="A18" t="s">
        <v>298</v>
      </c>
      <c r="B18">
        <v>20</v>
      </c>
      <c r="C18">
        <v>7</v>
      </c>
      <c r="D18">
        <v>0</v>
      </c>
      <c r="E18">
        <v>0</v>
      </c>
      <c r="F18">
        <v>0</v>
      </c>
      <c r="G18">
        <v>0</v>
      </c>
      <c r="H18">
        <v>0</v>
      </c>
      <c r="I18">
        <v>15</v>
      </c>
      <c r="J18">
        <v>1</v>
      </c>
      <c r="K18">
        <v>1</v>
      </c>
      <c r="L18">
        <v>2</v>
      </c>
      <c r="M18">
        <v>1</v>
      </c>
      <c r="N18">
        <v>0</v>
      </c>
      <c r="O18">
        <v>5</v>
      </c>
    </row>
    <row r="19" spans="1:15" x14ac:dyDescent="0.25">
      <c r="A19" t="s">
        <v>299</v>
      </c>
      <c r="B19">
        <v>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4</v>
      </c>
      <c r="C21">
        <v>3</v>
      </c>
      <c r="D21">
        <v>0</v>
      </c>
      <c r="E21">
        <v>0</v>
      </c>
      <c r="F21">
        <v>0</v>
      </c>
      <c r="G21">
        <v>2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1</v>
      </c>
      <c r="M22">
        <v>0</v>
      </c>
      <c r="N22">
        <v>1</v>
      </c>
      <c r="O22">
        <v>2</v>
      </c>
    </row>
    <row r="23" spans="1:15" x14ac:dyDescent="0.25">
      <c r="A23" t="s">
        <v>303</v>
      </c>
      <c r="B23">
        <v>49</v>
      </c>
      <c r="C23">
        <v>25</v>
      </c>
      <c r="D23">
        <v>1</v>
      </c>
      <c r="E23">
        <v>2</v>
      </c>
      <c r="F23">
        <v>1</v>
      </c>
      <c r="G23">
        <v>3</v>
      </c>
      <c r="H23">
        <v>4</v>
      </c>
      <c r="I23">
        <v>24</v>
      </c>
      <c r="J23">
        <v>2</v>
      </c>
      <c r="K23">
        <v>3</v>
      </c>
      <c r="L23">
        <v>4</v>
      </c>
      <c r="M23">
        <v>1</v>
      </c>
      <c r="N23">
        <v>1</v>
      </c>
      <c r="O23">
        <v>7</v>
      </c>
    </row>
    <row r="24" spans="1:15" x14ac:dyDescent="0.25">
      <c r="A24" t="s">
        <v>304</v>
      </c>
      <c r="B24">
        <v>2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</row>
    <row r="25" spans="1:15" x14ac:dyDescent="0.25">
      <c r="A25" t="s">
        <v>305</v>
      </c>
      <c r="B25">
        <v>3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9</v>
      </c>
      <c r="C26">
        <v>3</v>
      </c>
      <c r="D26">
        <v>0</v>
      </c>
      <c r="E26">
        <v>1</v>
      </c>
      <c r="F26">
        <v>0</v>
      </c>
      <c r="G26">
        <v>1</v>
      </c>
      <c r="H26">
        <v>2</v>
      </c>
      <c r="I26">
        <v>6</v>
      </c>
      <c r="J26">
        <v>0</v>
      </c>
      <c r="K26">
        <v>0</v>
      </c>
      <c r="L26">
        <v>0</v>
      </c>
      <c r="M26">
        <v>1</v>
      </c>
      <c r="N26">
        <v>0</v>
      </c>
      <c r="O26">
        <v>4</v>
      </c>
    </row>
    <row r="27" spans="1:15" x14ac:dyDescent="0.25">
      <c r="A27" t="s">
        <v>307</v>
      </c>
      <c r="B27">
        <v>12</v>
      </c>
      <c r="C27">
        <v>6</v>
      </c>
      <c r="D27">
        <v>0</v>
      </c>
      <c r="E27">
        <v>0</v>
      </c>
      <c r="F27">
        <v>1</v>
      </c>
      <c r="G27">
        <v>1</v>
      </c>
      <c r="H27">
        <v>2</v>
      </c>
      <c r="I27">
        <v>6</v>
      </c>
      <c r="J27">
        <v>2</v>
      </c>
      <c r="K27">
        <v>1</v>
      </c>
      <c r="L27">
        <v>0</v>
      </c>
      <c r="M27">
        <v>0</v>
      </c>
      <c r="N27">
        <v>0</v>
      </c>
      <c r="O27">
        <v>2</v>
      </c>
    </row>
    <row r="28" spans="1:15" x14ac:dyDescent="0.25">
      <c r="A28" t="s">
        <v>318</v>
      </c>
      <c r="B28">
        <v>509</v>
      </c>
      <c r="C28">
        <v>224</v>
      </c>
      <c r="D28">
        <v>7</v>
      </c>
      <c r="E28">
        <v>19</v>
      </c>
      <c r="F28">
        <v>13</v>
      </c>
      <c r="G28">
        <v>27</v>
      </c>
      <c r="H28">
        <v>49</v>
      </c>
      <c r="I28">
        <v>373</v>
      </c>
      <c r="J28">
        <v>19</v>
      </c>
      <c r="K28">
        <v>14</v>
      </c>
      <c r="L28">
        <v>45</v>
      </c>
      <c r="M28">
        <v>18</v>
      </c>
      <c r="N28">
        <v>14</v>
      </c>
      <c r="O28">
        <v>115</v>
      </c>
    </row>
    <row r="29" spans="1:15" x14ac:dyDescent="0.25">
      <c r="A29" t="s">
        <v>308</v>
      </c>
      <c r="B29">
        <v>410</v>
      </c>
      <c r="C29">
        <v>170</v>
      </c>
      <c r="D29">
        <v>7</v>
      </c>
      <c r="E29">
        <v>11</v>
      </c>
      <c r="F29">
        <v>10</v>
      </c>
      <c r="G29">
        <v>23</v>
      </c>
      <c r="H29">
        <v>41</v>
      </c>
      <c r="I29">
        <v>303</v>
      </c>
      <c r="J29">
        <v>16</v>
      </c>
      <c r="K29">
        <v>11</v>
      </c>
      <c r="L29">
        <v>35</v>
      </c>
      <c r="M29">
        <v>17</v>
      </c>
      <c r="N29">
        <v>11</v>
      </c>
      <c r="O29">
        <v>99</v>
      </c>
    </row>
    <row r="30" spans="1:15" x14ac:dyDescent="0.25">
      <c r="A30" t="s">
        <v>309</v>
      </c>
      <c r="B30">
        <v>99</v>
      </c>
      <c r="C30">
        <v>54</v>
      </c>
      <c r="D30">
        <v>0</v>
      </c>
      <c r="E30">
        <v>8</v>
      </c>
      <c r="F30">
        <v>3</v>
      </c>
      <c r="G30">
        <v>4</v>
      </c>
      <c r="H30">
        <v>8</v>
      </c>
      <c r="I30">
        <v>70</v>
      </c>
      <c r="J30">
        <v>3</v>
      </c>
      <c r="K30">
        <v>3</v>
      </c>
      <c r="L30">
        <v>10</v>
      </c>
      <c r="M30">
        <v>1</v>
      </c>
      <c r="N30">
        <v>3</v>
      </c>
      <c r="O30">
        <v>16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5B9BD5"/>
  </sheetPr>
  <dimension ref="A1:BA31"/>
  <sheetViews>
    <sheetView workbookViewId="0">
      <selection sqref="A1:A3"/>
    </sheetView>
  </sheetViews>
  <sheetFormatPr defaultRowHeight="15" x14ac:dyDescent="0.25"/>
  <cols>
    <col min="1" max="1" width="22.7109375" customWidth="1"/>
    <col min="2" max="2" width="11.85546875" customWidth="1"/>
    <col min="4" max="4" width="11.42578125" customWidth="1"/>
    <col min="5" max="5" width="11.85546875" customWidth="1"/>
    <col min="8" max="8" width="11.42578125" customWidth="1"/>
    <col min="9" max="9" width="11.85546875" customWidth="1"/>
    <col min="13" max="13" width="11.42578125" customWidth="1"/>
  </cols>
  <sheetData>
    <row r="1" spans="1:53" x14ac:dyDescent="0.25">
      <c r="A1" s="29" t="s">
        <v>252</v>
      </c>
      <c r="B1" s="29" t="s">
        <v>334</v>
      </c>
      <c r="C1" s="29"/>
      <c r="D1" s="29"/>
      <c r="E1" s="29"/>
      <c r="F1" s="29" t="s">
        <v>335</v>
      </c>
      <c r="G1" s="29"/>
      <c r="H1" s="29"/>
      <c r="I1" s="29"/>
      <c r="J1" s="29" t="s">
        <v>336</v>
      </c>
      <c r="K1" s="29"/>
      <c r="L1" s="29"/>
      <c r="M1" s="29"/>
      <c r="N1" s="29" t="s">
        <v>337</v>
      </c>
      <c r="O1" s="29"/>
      <c r="P1" s="29"/>
      <c r="Q1" s="29"/>
      <c r="R1" s="29" t="s">
        <v>338</v>
      </c>
      <c r="S1" s="29"/>
      <c r="T1" s="29"/>
      <c r="U1" s="29"/>
      <c r="V1" s="29" t="s">
        <v>339</v>
      </c>
      <c r="W1" s="29"/>
      <c r="X1" s="29"/>
      <c r="Y1" s="29"/>
      <c r="Z1" s="29" t="s">
        <v>340</v>
      </c>
      <c r="AA1" s="29"/>
      <c r="AB1" s="29"/>
      <c r="AC1" s="29"/>
      <c r="AD1" s="29" t="s">
        <v>341</v>
      </c>
      <c r="AE1" s="29"/>
      <c r="AF1" s="29"/>
      <c r="AG1" s="29"/>
      <c r="AH1" s="29" t="s">
        <v>342</v>
      </c>
      <c r="AI1" s="29"/>
      <c r="AJ1" s="29"/>
      <c r="AK1" s="29"/>
      <c r="AL1" s="29" t="s">
        <v>343</v>
      </c>
      <c r="AM1" s="29"/>
      <c r="AN1" s="29"/>
      <c r="AO1" s="29"/>
      <c r="AP1" s="29" t="s">
        <v>344</v>
      </c>
      <c r="AQ1" s="29"/>
      <c r="AR1" s="29"/>
      <c r="AS1" s="29"/>
      <c r="AT1" s="29" t="s">
        <v>345</v>
      </c>
      <c r="AU1" s="29"/>
      <c r="AV1" s="29"/>
      <c r="AW1" s="29"/>
      <c r="AX1" s="29" t="s">
        <v>263</v>
      </c>
      <c r="AY1" s="29"/>
      <c r="AZ1" s="29"/>
      <c r="BA1" s="29"/>
    </row>
    <row r="2" spans="1:53" x14ac:dyDescent="0.25">
      <c r="A2" s="29"/>
      <c r="B2" s="29" t="s">
        <v>72</v>
      </c>
      <c r="C2" s="29"/>
      <c r="D2" s="29" t="s">
        <v>257</v>
      </c>
      <c r="E2" s="29"/>
      <c r="F2" s="29" t="s">
        <v>72</v>
      </c>
      <c r="G2" s="29"/>
      <c r="H2" s="29" t="s">
        <v>257</v>
      </c>
      <c r="I2" s="29"/>
      <c r="J2" s="29" t="s">
        <v>72</v>
      </c>
      <c r="K2" s="29"/>
      <c r="L2" s="29" t="s">
        <v>257</v>
      </c>
      <c r="M2" s="29"/>
      <c r="N2" s="29" t="s">
        <v>72</v>
      </c>
      <c r="O2" s="29"/>
      <c r="P2" s="29" t="s">
        <v>257</v>
      </c>
      <c r="Q2" s="29"/>
      <c r="R2" s="29" t="s">
        <v>72</v>
      </c>
      <c r="S2" s="29"/>
      <c r="T2" s="29" t="s">
        <v>257</v>
      </c>
      <c r="U2" s="29"/>
      <c r="V2" s="29" t="s">
        <v>72</v>
      </c>
      <c r="W2" s="29"/>
      <c r="X2" s="29" t="s">
        <v>257</v>
      </c>
      <c r="Y2" s="29"/>
      <c r="Z2" s="29" t="s">
        <v>72</v>
      </c>
      <c r="AA2" s="29"/>
      <c r="AB2" s="29" t="s">
        <v>257</v>
      </c>
      <c r="AC2" s="29"/>
      <c r="AD2" s="29" t="s">
        <v>72</v>
      </c>
      <c r="AE2" s="29"/>
      <c r="AF2" s="29" t="s">
        <v>257</v>
      </c>
      <c r="AG2" s="29"/>
      <c r="AH2" s="29" t="s">
        <v>72</v>
      </c>
      <c r="AI2" s="29"/>
      <c r="AJ2" s="29" t="s">
        <v>257</v>
      </c>
      <c r="AK2" s="29"/>
      <c r="AL2" s="29" t="s">
        <v>72</v>
      </c>
      <c r="AM2" s="29"/>
      <c r="AN2" s="29" t="s">
        <v>257</v>
      </c>
      <c r="AO2" s="29"/>
      <c r="AP2" s="29" t="s">
        <v>72</v>
      </c>
      <c r="AQ2" s="29"/>
      <c r="AR2" s="29" t="s">
        <v>257</v>
      </c>
      <c r="AS2" s="29"/>
      <c r="AT2" s="29" t="s">
        <v>72</v>
      </c>
      <c r="AU2" s="29"/>
      <c r="AV2" s="29" t="s">
        <v>257</v>
      </c>
      <c r="AW2" s="29"/>
      <c r="AX2" s="29" t="s">
        <v>72</v>
      </c>
      <c r="AY2" s="29"/>
      <c r="AZ2" s="29" t="s">
        <v>257</v>
      </c>
      <c r="BA2" s="29"/>
    </row>
    <row r="3" spans="1:53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3270</v>
      </c>
      <c r="C4">
        <v>1518</v>
      </c>
      <c r="D4">
        <v>157</v>
      </c>
      <c r="E4">
        <v>64</v>
      </c>
      <c r="F4">
        <v>2972</v>
      </c>
      <c r="G4">
        <v>1444</v>
      </c>
      <c r="H4">
        <v>85</v>
      </c>
      <c r="I4">
        <v>24</v>
      </c>
      <c r="J4">
        <v>2594</v>
      </c>
      <c r="K4">
        <v>1200</v>
      </c>
      <c r="L4">
        <v>63</v>
      </c>
      <c r="M4">
        <v>18</v>
      </c>
      <c r="N4">
        <v>2166</v>
      </c>
      <c r="O4">
        <v>1044</v>
      </c>
      <c r="P4">
        <v>14</v>
      </c>
      <c r="Q4">
        <v>5</v>
      </c>
      <c r="R4">
        <v>1829</v>
      </c>
      <c r="S4">
        <v>901</v>
      </c>
      <c r="T4">
        <v>16</v>
      </c>
      <c r="U4">
        <v>6</v>
      </c>
      <c r="V4">
        <v>1501</v>
      </c>
      <c r="W4">
        <v>772</v>
      </c>
      <c r="X4">
        <v>12</v>
      </c>
      <c r="Y4">
        <v>4</v>
      </c>
      <c r="Z4">
        <v>1229</v>
      </c>
      <c r="AA4">
        <v>602</v>
      </c>
      <c r="AB4">
        <v>12</v>
      </c>
      <c r="AC4">
        <v>4</v>
      </c>
      <c r="AD4">
        <v>904</v>
      </c>
      <c r="AE4">
        <v>421</v>
      </c>
      <c r="AF4">
        <v>9</v>
      </c>
      <c r="AG4">
        <v>3</v>
      </c>
      <c r="AH4">
        <v>784</v>
      </c>
      <c r="AI4">
        <v>398</v>
      </c>
      <c r="AJ4">
        <v>16</v>
      </c>
      <c r="AK4">
        <v>4</v>
      </c>
      <c r="AL4">
        <v>515</v>
      </c>
      <c r="AM4">
        <v>276</v>
      </c>
      <c r="AN4">
        <v>0</v>
      </c>
      <c r="AO4">
        <v>0</v>
      </c>
      <c r="AP4">
        <v>427</v>
      </c>
      <c r="AQ4">
        <v>215</v>
      </c>
      <c r="AR4">
        <v>1</v>
      </c>
      <c r="AS4">
        <v>0</v>
      </c>
      <c r="AT4">
        <v>358</v>
      </c>
      <c r="AU4">
        <v>167</v>
      </c>
      <c r="AV4">
        <v>7</v>
      </c>
      <c r="AW4">
        <v>1</v>
      </c>
      <c r="AX4">
        <v>21942</v>
      </c>
      <c r="AY4">
        <v>10611</v>
      </c>
      <c r="AZ4">
        <v>392</v>
      </c>
      <c r="BA4">
        <v>133</v>
      </c>
    </row>
    <row r="5" spans="1:53" x14ac:dyDescent="0.25">
      <c r="A5" t="s">
        <v>284</v>
      </c>
      <c r="B5">
        <v>1028</v>
      </c>
      <c r="C5">
        <v>487</v>
      </c>
      <c r="D5">
        <v>3</v>
      </c>
      <c r="E5">
        <v>0</v>
      </c>
      <c r="F5">
        <v>828</v>
      </c>
      <c r="G5">
        <v>386</v>
      </c>
      <c r="H5">
        <v>8</v>
      </c>
      <c r="I5">
        <v>0</v>
      </c>
      <c r="J5">
        <v>689</v>
      </c>
      <c r="K5">
        <v>352</v>
      </c>
      <c r="L5">
        <v>10</v>
      </c>
      <c r="M5">
        <v>4</v>
      </c>
      <c r="N5">
        <v>620</v>
      </c>
      <c r="O5">
        <v>310</v>
      </c>
      <c r="P5">
        <v>5</v>
      </c>
      <c r="Q5">
        <v>1</v>
      </c>
      <c r="R5">
        <v>608</v>
      </c>
      <c r="S5">
        <v>312</v>
      </c>
      <c r="T5">
        <v>7</v>
      </c>
      <c r="U5">
        <v>0</v>
      </c>
      <c r="V5">
        <v>575</v>
      </c>
      <c r="W5">
        <v>292</v>
      </c>
      <c r="X5">
        <v>4</v>
      </c>
      <c r="Y5">
        <v>2</v>
      </c>
      <c r="Z5">
        <v>545</v>
      </c>
      <c r="AA5">
        <v>277</v>
      </c>
      <c r="AB5">
        <v>14</v>
      </c>
      <c r="AC5">
        <v>2</v>
      </c>
      <c r="AD5">
        <v>547</v>
      </c>
      <c r="AE5">
        <v>250</v>
      </c>
      <c r="AF5">
        <v>9</v>
      </c>
      <c r="AG5">
        <v>1</v>
      </c>
      <c r="AH5">
        <v>569</v>
      </c>
      <c r="AI5">
        <v>286</v>
      </c>
      <c r="AJ5">
        <v>14</v>
      </c>
      <c r="AK5">
        <v>2</v>
      </c>
      <c r="AL5">
        <v>540</v>
      </c>
      <c r="AM5">
        <v>285</v>
      </c>
      <c r="AN5">
        <v>5</v>
      </c>
      <c r="AO5">
        <v>3</v>
      </c>
      <c r="AP5">
        <v>529</v>
      </c>
      <c r="AQ5">
        <v>284</v>
      </c>
      <c r="AR5">
        <v>2</v>
      </c>
      <c r="AS5">
        <v>1</v>
      </c>
      <c r="AT5">
        <v>453</v>
      </c>
      <c r="AU5">
        <v>245</v>
      </c>
      <c r="AV5">
        <v>17</v>
      </c>
      <c r="AW5">
        <v>7</v>
      </c>
      <c r="AX5">
        <v>8804</v>
      </c>
      <c r="AY5">
        <v>4371</v>
      </c>
      <c r="AZ5">
        <v>98</v>
      </c>
      <c r="BA5">
        <v>23</v>
      </c>
    </row>
    <row r="6" spans="1:53" x14ac:dyDescent="0.25">
      <c r="A6" t="s">
        <v>285</v>
      </c>
      <c r="B6">
        <v>545</v>
      </c>
      <c r="C6">
        <v>278</v>
      </c>
      <c r="D6">
        <v>32</v>
      </c>
      <c r="E6">
        <v>10</v>
      </c>
      <c r="F6">
        <v>528</v>
      </c>
      <c r="G6">
        <v>253</v>
      </c>
      <c r="H6">
        <v>27</v>
      </c>
      <c r="I6">
        <v>13</v>
      </c>
      <c r="J6">
        <v>455</v>
      </c>
      <c r="K6">
        <v>215</v>
      </c>
      <c r="L6">
        <v>17</v>
      </c>
      <c r="M6">
        <v>6</v>
      </c>
      <c r="N6">
        <v>337</v>
      </c>
      <c r="O6">
        <v>145</v>
      </c>
      <c r="P6">
        <v>8</v>
      </c>
      <c r="Q6">
        <v>3</v>
      </c>
      <c r="R6">
        <v>381</v>
      </c>
      <c r="S6">
        <v>177</v>
      </c>
      <c r="T6">
        <v>0</v>
      </c>
      <c r="U6">
        <v>0</v>
      </c>
      <c r="V6">
        <v>286</v>
      </c>
      <c r="W6">
        <v>145</v>
      </c>
      <c r="X6">
        <v>4</v>
      </c>
      <c r="Y6">
        <v>4</v>
      </c>
      <c r="Z6">
        <v>159</v>
      </c>
      <c r="AA6">
        <v>72</v>
      </c>
      <c r="AB6">
        <v>2</v>
      </c>
      <c r="AC6">
        <v>1</v>
      </c>
      <c r="AD6">
        <v>142</v>
      </c>
      <c r="AE6">
        <v>66</v>
      </c>
      <c r="AF6">
        <v>2</v>
      </c>
      <c r="AG6">
        <v>0</v>
      </c>
      <c r="AH6">
        <v>106</v>
      </c>
      <c r="AI6">
        <v>54</v>
      </c>
      <c r="AJ6">
        <v>0</v>
      </c>
      <c r="AK6">
        <v>0</v>
      </c>
      <c r="AL6">
        <v>89</v>
      </c>
      <c r="AM6">
        <v>48</v>
      </c>
      <c r="AN6">
        <v>1</v>
      </c>
      <c r="AO6">
        <v>0</v>
      </c>
      <c r="AP6">
        <v>71</v>
      </c>
      <c r="AQ6">
        <v>33</v>
      </c>
      <c r="AR6">
        <v>0</v>
      </c>
      <c r="AS6">
        <v>0</v>
      </c>
      <c r="AT6">
        <v>58</v>
      </c>
      <c r="AU6">
        <v>28</v>
      </c>
      <c r="AV6">
        <v>0</v>
      </c>
      <c r="AW6">
        <v>0</v>
      </c>
      <c r="AX6">
        <v>4010</v>
      </c>
      <c r="AY6">
        <v>1969</v>
      </c>
      <c r="AZ6">
        <v>93</v>
      </c>
      <c r="BA6">
        <v>37</v>
      </c>
    </row>
    <row r="7" spans="1:53" x14ac:dyDescent="0.25">
      <c r="A7" t="s">
        <v>286</v>
      </c>
      <c r="B7">
        <v>499</v>
      </c>
      <c r="C7">
        <v>261</v>
      </c>
      <c r="D7">
        <v>3</v>
      </c>
      <c r="E7">
        <v>1</v>
      </c>
      <c r="F7">
        <v>426</v>
      </c>
      <c r="G7">
        <v>191</v>
      </c>
      <c r="H7">
        <v>3</v>
      </c>
      <c r="I7">
        <v>1</v>
      </c>
      <c r="J7">
        <v>246</v>
      </c>
      <c r="K7">
        <v>121</v>
      </c>
      <c r="L7">
        <v>0</v>
      </c>
      <c r="M7">
        <v>0</v>
      </c>
      <c r="N7">
        <v>278</v>
      </c>
      <c r="O7">
        <v>124</v>
      </c>
      <c r="P7">
        <v>0</v>
      </c>
      <c r="Q7">
        <v>0</v>
      </c>
      <c r="R7">
        <v>254</v>
      </c>
      <c r="S7">
        <v>119</v>
      </c>
      <c r="T7">
        <v>0</v>
      </c>
      <c r="U7">
        <v>0</v>
      </c>
      <c r="V7">
        <v>202</v>
      </c>
      <c r="W7">
        <v>89</v>
      </c>
      <c r="X7">
        <v>0</v>
      </c>
      <c r="Y7">
        <v>0</v>
      </c>
      <c r="Z7">
        <v>211</v>
      </c>
      <c r="AA7">
        <v>80</v>
      </c>
      <c r="AB7">
        <v>5</v>
      </c>
      <c r="AC7">
        <v>1</v>
      </c>
      <c r="AD7">
        <v>182</v>
      </c>
      <c r="AE7">
        <v>68</v>
      </c>
      <c r="AF7">
        <v>0</v>
      </c>
      <c r="AG7">
        <v>0</v>
      </c>
      <c r="AH7">
        <v>215</v>
      </c>
      <c r="AI7">
        <v>82</v>
      </c>
      <c r="AJ7">
        <v>1</v>
      </c>
      <c r="AK7">
        <v>0</v>
      </c>
      <c r="AL7">
        <v>119</v>
      </c>
      <c r="AM7">
        <v>36</v>
      </c>
      <c r="AN7">
        <v>2</v>
      </c>
      <c r="AO7">
        <v>0</v>
      </c>
      <c r="AP7">
        <v>165</v>
      </c>
      <c r="AQ7">
        <v>75</v>
      </c>
      <c r="AR7">
        <v>0</v>
      </c>
      <c r="AS7">
        <v>0</v>
      </c>
      <c r="AT7">
        <v>176</v>
      </c>
      <c r="AU7">
        <v>73</v>
      </c>
      <c r="AV7">
        <v>1</v>
      </c>
      <c r="AW7">
        <v>1</v>
      </c>
      <c r="AX7">
        <v>4505</v>
      </c>
      <c r="AY7">
        <v>2055</v>
      </c>
      <c r="AZ7">
        <v>15</v>
      </c>
      <c r="BA7">
        <v>4</v>
      </c>
    </row>
    <row r="8" spans="1:53" x14ac:dyDescent="0.25">
      <c r="A8" t="s">
        <v>287</v>
      </c>
      <c r="B8">
        <v>1091</v>
      </c>
      <c r="C8">
        <v>552</v>
      </c>
      <c r="D8">
        <v>29</v>
      </c>
      <c r="E8">
        <v>12</v>
      </c>
      <c r="F8">
        <v>825</v>
      </c>
      <c r="G8">
        <v>412</v>
      </c>
      <c r="H8">
        <v>21</v>
      </c>
      <c r="I8">
        <v>7</v>
      </c>
      <c r="J8">
        <v>741</v>
      </c>
      <c r="K8">
        <v>376</v>
      </c>
      <c r="L8">
        <v>12</v>
      </c>
      <c r="M8">
        <v>5</v>
      </c>
      <c r="N8">
        <v>626</v>
      </c>
      <c r="O8">
        <v>312</v>
      </c>
      <c r="P8">
        <v>5</v>
      </c>
      <c r="Q8">
        <v>3</v>
      </c>
      <c r="R8">
        <v>502</v>
      </c>
      <c r="S8">
        <v>261</v>
      </c>
      <c r="T8">
        <v>9</v>
      </c>
      <c r="U8">
        <v>4</v>
      </c>
      <c r="V8">
        <v>491</v>
      </c>
      <c r="W8">
        <v>276</v>
      </c>
      <c r="X8">
        <v>18</v>
      </c>
      <c r="Y8">
        <v>13</v>
      </c>
      <c r="Z8">
        <v>288</v>
      </c>
      <c r="AA8">
        <v>133</v>
      </c>
      <c r="AB8">
        <v>4</v>
      </c>
      <c r="AC8">
        <v>1</v>
      </c>
      <c r="AD8">
        <v>246</v>
      </c>
      <c r="AE8">
        <v>118</v>
      </c>
      <c r="AF8">
        <v>2</v>
      </c>
      <c r="AG8">
        <v>2</v>
      </c>
      <c r="AH8">
        <v>206</v>
      </c>
      <c r="AI8">
        <v>121</v>
      </c>
      <c r="AJ8">
        <v>1</v>
      </c>
      <c r="AK8">
        <v>0</v>
      </c>
      <c r="AL8">
        <v>105</v>
      </c>
      <c r="AM8">
        <v>55</v>
      </c>
      <c r="AN8">
        <v>0</v>
      </c>
      <c r="AO8">
        <v>0</v>
      </c>
      <c r="AP8">
        <v>58</v>
      </c>
      <c r="AQ8">
        <v>30</v>
      </c>
      <c r="AR8">
        <v>0</v>
      </c>
      <c r="AS8">
        <v>0</v>
      </c>
      <c r="AT8">
        <v>38</v>
      </c>
      <c r="AU8">
        <v>19</v>
      </c>
      <c r="AV8">
        <v>0</v>
      </c>
      <c r="AW8">
        <v>0</v>
      </c>
      <c r="AX8">
        <v>8134</v>
      </c>
      <c r="AY8">
        <v>4179</v>
      </c>
      <c r="AZ8">
        <v>101</v>
      </c>
      <c r="BA8">
        <v>47</v>
      </c>
    </row>
    <row r="9" spans="1:53" x14ac:dyDescent="0.25">
      <c r="A9" t="s">
        <v>288</v>
      </c>
      <c r="B9">
        <v>233</v>
      </c>
      <c r="C9">
        <v>91</v>
      </c>
      <c r="D9">
        <v>1</v>
      </c>
      <c r="E9">
        <v>0</v>
      </c>
      <c r="F9">
        <v>191</v>
      </c>
      <c r="G9">
        <v>84</v>
      </c>
      <c r="H9">
        <v>1</v>
      </c>
      <c r="I9">
        <v>0</v>
      </c>
      <c r="J9">
        <v>208</v>
      </c>
      <c r="K9">
        <v>106</v>
      </c>
      <c r="L9">
        <v>0</v>
      </c>
      <c r="M9">
        <v>0</v>
      </c>
      <c r="N9">
        <v>147</v>
      </c>
      <c r="O9">
        <v>68</v>
      </c>
      <c r="P9">
        <v>0</v>
      </c>
      <c r="Q9">
        <v>0</v>
      </c>
      <c r="R9">
        <v>151</v>
      </c>
      <c r="S9">
        <v>63</v>
      </c>
      <c r="T9">
        <v>0</v>
      </c>
      <c r="U9">
        <v>0</v>
      </c>
      <c r="V9">
        <v>119</v>
      </c>
      <c r="W9">
        <v>55</v>
      </c>
      <c r="X9">
        <v>0</v>
      </c>
      <c r="Y9">
        <v>0</v>
      </c>
      <c r="Z9">
        <v>71</v>
      </c>
      <c r="AA9">
        <v>26</v>
      </c>
      <c r="AB9">
        <v>0</v>
      </c>
      <c r="AC9">
        <v>0</v>
      </c>
      <c r="AD9">
        <v>83</v>
      </c>
      <c r="AE9">
        <v>41</v>
      </c>
      <c r="AF9">
        <v>0</v>
      </c>
      <c r="AG9">
        <v>0</v>
      </c>
      <c r="AH9">
        <v>56</v>
      </c>
      <c r="AI9">
        <v>22</v>
      </c>
      <c r="AJ9">
        <v>3</v>
      </c>
      <c r="AK9">
        <v>1</v>
      </c>
      <c r="AL9">
        <v>55</v>
      </c>
      <c r="AM9">
        <v>25</v>
      </c>
      <c r="AN9">
        <v>0</v>
      </c>
      <c r="AO9">
        <v>0</v>
      </c>
      <c r="AP9">
        <v>29</v>
      </c>
      <c r="AQ9">
        <v>19</v>
      </c>
      <c r="AR9">
        <v>0</v>
      </c>
      <c r="AS9">
        <v>0</v>
      </c>
      <c r="AT9">
        <v>14</v>
      </c>
      <c r="AU9">
        <v>6</v>
      </c>
      <c r="AV9">
        <v>0</v>
      </c>
      <c r="AW9">
        <v>0</v>
      </c>
      <c r="AX9">
        <v>1699</v>
      </c>
      <c r="AY9">
        <v>754</v>
      </c>
      <c r="AZ9">
        <v>5</v>
      </c>
      <c r="BA9">
        <v>1</v>
      </c>
    </row>
    <row r="10" spans="1:53" x14ac:dyDescent="0.25">
      <c r="A10" t="s">
        <v>289</v>
      </c>
      <c r="B10">
        <v>2074</v>
      </c>
      <c r="C10">
        <v>1079</v>
      </c>
      <c r="D10">
        <v>48</v>
      </c>
      <c r="E10">
        <v>30</v>
      </c>
      <c r="F10">
        <v>1230</v>
      </c>
      <c r="G10">
        <v>632</v>
      </c>
      <c r="H10">
        <v>27</v>
      </c>
      <c r="I10">
        <v>13</v>
      </c>
      <c r="J10">
        <v>877</v>
      </c>
      <c r="K10">
        <v>491</v>
      </c>
      <c r="L10">
        <v>30</v>
      </c>
      <c r="M10">
        <v>18</v>
      </c>
      <c r="N10">
        <v>797</v>
      </c>
      <c r="O10">
        <v>418</v>
      </c>
      <c r="P10">
        <v>10</v>
      </c>
      <c r="Q10">
        <v>5</v>
      </c>
      <c r="R10">
        <v>697</v>
      </c>
      <c r="S10">
        <v>369</v>
      </c>
      <c r="T10">
        <v>8</v>
      </c>
      <c r="U10">
        <v>3</v>
      </c>
      <c r="V10">
        <v>559</v>
      </c>
      <c r="W10">
        <v>296</v>
      </c>
      <c r="X10">
        <v>4</v>
      </c>
      <c r="Y10">
        <v>0</v>
      </c>
      <c r="Z10">
        <v>565</v>
      </c>
      <c r="AA10">
        <v>307</v>
      </c>
      <c r="AB10">
        <v>7</v>
      </c>
      <c r="AC10">
        <v>5</v>
      </c>
      <c r="AD10">
        <v>388</v>
      </c>
      <c r="AE10">
        <v>219</v>
      </c>
      <c r="AF10">
        <v>0</v>
      </c>
      <c r="AG10">
        <v>0</v>
      </c>
      <c r="AH10">
        <v>384</v>
      </c>
      <c r="AI10">
        <v>201</v>
      </c>
      <c r="AJ10">
        <v>1</v>
      </c>
      <c r="AK10">
        <v>0</v>
      </c>
      <c r="AL10">
        <v>369</v>
      </c>
      <c r="AM10">
        <v>184</v>
      </c>
      <c r="AN10">
        <v>0</v>
      </c>
      <c r="AO10">
        <v>0</v>
      </c>
      <c r="AP10">
        <v>304</v>
      </c>
      <c r="AQ10">
        <v>153</v>
      </c>
      <c r="AR10">
        <v>0</v>
      </c>
      <c r="AS10">
        <v>0</v>
      </c>
      <c r="AT10">
        <v>346</v>
      </c>
      <c r="AU10">
        <v>174</v>
      </c>
      <c r="AV10">
        <v>23</v>
      </c>
      <c r="AW10">
        <v>11</v>
      </c>
      <c r="AX10">
        <v>9588</v>
      </c>
      <c r="AY10">
        <v>5022</v>
      </c>
      <c r="AZ10">
        <v>158</v>
      </c>
      <c r="BA10">
        <v>85</v>
      </c>
    </row>
    <row r="11" spans="1:53" x14ac:dyDescent="0.25">
      <c r="A11" t="s">
        <v>290</v>
      </c>
      <c r="B11">
        <v>1586</v>
      </c>
      <c r="C11">
        <v>815</v>
      </c>
      <c r="D11">
        <v>103</v>
      </c>
      <c r="E11">
        <v>39</v>
      </c>
      <c r="F11">
        <v>1172</v>
      </c>
      <c r="G11">
        <v>580</v>
      </c>
      <c r="H11">
        <v>93</v>
      </c>
      <c r="I11">
        <v>32</v>
      </c>
      <c r="J11">
        <v>892</v>
      </c>
      <c r="K11">
        <v>437</v>
      </c>
      <c r="L11">
        <v>51</v>
      </c>
      <c r="M11">
        <v>18</v>
      </c>
      <c r="N11">
        <v>788</v>
      </c>
      <c r="O11">
        <v>375</v>
      </c>
      <c r="P11">
        <v>35</v>
      </c>
      <c r="Q11">
        <v>12</v>
      </c>
      <c r="R11">
        <v>688</v>
      </c>
      <c r="S11">
        <v>338</v>
      </c>
      <c r="T11">
        <v>15</v>
      </c>
      <c r="U11">
        <v>4</v>
      </c>
      <c r="V11">
        <v>557</v>
      </c>
      <c r="W11">
        <v>289</v>
      </c>
      <c r="X11">
        <v>19</v>
      </c>
      <c r="Y11">
        <v>4</v>
      </c>
      <c r="Z11">
        <v>757</v>
      </c>
      <c r="AA11">
        <v>294</v>
      </c>
      <c r="AB11">
        <v>6</v>
      </c>
      <c r="AC11">
        <v>2</v>
      </c>
      <c r="AD11">
        <v>620</v>
      </c>
      <c r="AE11">
        <v>243</v>
      </c>
      <c r="AF11">
        <v>5</v>
      </c>
      <c r="AG11">
        <v>4</v>
      </c>
      <c r="AH11">
        <v>526</v>
      </c>
      <c r="AI11">
        <v>225</v>
      </c>
      <c r="AJ11">
        <v>3</v>
      </c>
      <c r="AK11">
        <v>1</v>
      </c>
      <c r="AL11">
        <v>407</v>
      </c>
      <c r="AM11">
        <v>182</v>
      </c>
      <c r="AN11">
        <v>3</v>
      </c>
      <c r="AO11">
        <v>2</v>
      </c>
      <c r="AP11">
        <v>380</v>
      </c>
      <c r="AQ11">
        <v>173</v>
      </c>
      <c r="AR11">
        <v>3</v>
      </c>
      <c r="AS11">
        <v>0</v>
      </c>
      <c r="AT11">
        <v>350</v>
      </c>
      <c r="AU11">
        <v>167</v>
      </c>
      <c r="AV11">
        <v>10</v>
      </c>
      <c r="AW11">
        <v>7</v>
      </c>
      <c r="AX11">
        <v>10697</v>
      </c>
      <c r="AY11">
        <v>5119</v>
      </c>
      <c r="AZ11">
        <v>346</v>
      </c>
      <c r="BA11">
        <v>125</v>
      </c>
    </row>
    <row r="12" spans="1:53" x14ac:dyDescent="0.25">
      <c r="A12" t="s">
        <v>291</v>
      </c>
      <c r="B12">
        <v>289</v>
      </c>
      <c r="C12">
        <v>143</v>
      </c>
      <c r="D12">
        <v>0</v>
      </c>
      <c r="E12">
        <v>0</v>
      </c>
      <c r="F12">
        <v>102</v>
      </c>
      <c r="G12">
        <v>56</v>
      </c>
      <c r="H12">
        <v>0</v>
      </c>
      <c r="I12">
        <v>0</v>
      </c>
      <c r="J12">
        <v>90</v>
      </c>
      <c r="K12">
        <v>55</v>
      </c>
      <c r="L12">
        <v>0</v>
      </c>
      <c r="M12">
        <v>0</v>
      </c>
      <c r="N12">
        <v>104</v>
      </c>
      <c r="O12">
        <v>64</v>
      </c>
      <c r="P12">
        <v>0</v>
      </c>
      <c r="Q12">
        <v>0</v>
      </c>
      <c r="R12">
        <v>82</v>
      </c>
      <c r="S12">
        <v>46</v>
      </c>
      <c r="T12">
        <v>0</v>
      </c>
      <c r="U12">
        <v>0</v>
      </c>
      <c r="V12">
        <v>48</v>
      </c>
      <c r="W12">
        <v>21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836</v>
      </c>
      <c r="AY12">
        <v>446</v>
      </c>
      <c r="AZ12">
        <v>0</v>
      </c>
      <c r="BA12">
        <v>0</v>
      </c>
    </row>
    <row r="13" spans="1:53" x14ac:dyDescent="0.25">
      <c r="A13" t="s">
        <v>292</v>
      </c>
      <c r="B13">
        <v>732</v>
      </c>
      <c r="C13">
        <v>364</v>
      </c>
      <c r="D13">
        <v>12</v>
      </c>
      <c r="E13">
        <v>2</v>
      </c>
      <c r="F13">
        <v>577</v>
      </c>
      <c r="G13">
        <v>294</v>
      </c>
      <c r="H13">
        <v>20</v>
      </c>
      <c r="I13">
        <v>6</v>
      </c>
      <c r="J13">
        <v>395</v>
      </c>
      <c r="K13">
        <v>201</v>
      </c>
      <c r="L13">
        <v>1</v>
      </c>
      <c r="M13">
        <v>0</v>
      </c>
      <c r="N13">
        <v>373</v>
      </c>
      <c r="O13">
        <v>196</v>
      </c>
      <c r="P13">
        <v>3</v>
      </c>
      <c r="Q13">
        <v>0</v>
      </c>
      <c r="R13">
        <v>282</v>
      </c>
      <c r="S13">
        <v>137</v>
      </c>
      <c r="T13">
        <v>3</v>
      </c>
      <c r="U13">
        <v>3</v>
      </c>
      <c r="V13">
        <v>235</v>
      </c>
      <c r="W13">
        <v>145</v>
      </c>
      <c r="X13">
        <v>0</v>
      </c>
      <c r="Y13">
        <v>0</v>
      </c>
      <c r="Z13">
        <v>137</v>
      </c>
      <c r="AA13">
        <v>57</v>
      </c>
      <c r="AB13">
        <v>0</v>
      </c>
      <c r="AC13">
        <v>0</v>
      </c>
      <c r="AD13">
        <v>117</v>
      </c>
      <c r="AE13">
        <v>56</v>
      </c>
      <c r="AF13">
        <v>1</v>
      </c>
      <c r="AG13">
        <v>0</v>
      </c>
      <c r="AH13">
        <v>78</v>
      </c>
      <c r="AI13">
        <v>34</v>
      </c>
      <c r="AJ13">
        <v>0</v>
      </c>
      <c r="AK13">
        <v>0</v>
      </c>
      <c r="AL13">
        <v>17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3259</v>
      </c>
      <c r="AY13">
        <v>1674</v>
      </c>
      <c r="AZ13">
        <v>40</v>
      </c>
      <c r="BA13">
        <v>11</v>
      </c>
    </row>
    <row r="14" spans="1:53" x14ac:dyDescent="0.25">
      <c r="A14" t="s">
        <v>293</v>
      </c>
      <c r="B14">
        <v>764</v>
      </c>
      <c r="C14">
        <v>463</v>
      </c>
      <c r="D14">
        <v>11</v>
      </c>
      <c r="E14">
        <v>9</v>
      </c>
      <c r="F14">
        <v>276</v>
      </c>
      <c r="G14">
        <v>174</v>
      </c>
      <c r="H14">
        <v>0</v>
      </c>
      <c r="I14">
        <v>0</v>
      </c>
      <c r="J14">
        <v>156</v>
      </c>
      <c r="K14">
        <v>91</v>
      </c>
      <c r="L14">
        <v>2</v>
      </c>
      <c r="M14">
        <v>1</v>
      </c>
      <c r="N14">
        <v>80</v>
      </c>
      <c r="O14">
        <v>46</v>
      </c>
      <c r="P14">
        <v>0</v>
      </c>
      <c r="Q14">
        <v>0</v>
      </c>
      <c r="R14">
        <v>43</v>
      </c>
      <c r="S14">
        <v>20</v>
      </c>
      <c r="T14">
        <v>0</v>
      </c>
      <c r="U14">
        <v>0</v>
      </c>
      <c r="V14">
        <v>18</v>
      </c>
      <c r="W14">
        <v>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1499</v>
      </c>
      <c r="AY14">
        <v>880</v>
      </c>
      <c r="AZ14">
        <v>13</v>
      </c>
      <c r="BA14">
        <v>10</v>
      </c>
    </row>
    <row r="15" spans="1:53" x14ac:dyDescent="0.25">
      <c r="A15" t="s">
        <v>294</v>
      </c>
      <c r="B15">
        <v>66</v>
      </c>
      <c r="C15">
        <v>19</v>
      </c>
      <c r="D15">
        <v>0</v>
      </c>
      <c r="E15">
        <v>0</v>
      </c>
      <c r="F15">
        <v>43</v>
      </c>
      <c r="G15">
        <v>15</v>
      </c>
      <c r="H15">
        <v>0</v>
      </c>
      <c r="I15">
        <v>0</v>
      </c>
      <c r="J15">
        <v>29</v>
      </c>
      <c r="K15">
        <v>9</v>
      </c>
      <c r="L15">
        <v>0</v>
      </c>
      <c r="M15">
        <v>0</v>
      </c>
      <c r="N15">
        <v>30</v>
      </c>
      <c r="O15">
        <v>13</v>
      </c>
      <c r="P15">
        <v>0</v>
      </c>
      <c r="Q15">
        <v>0</v>
      </c>
      <c r="R15">
        <v>23</v>
      </c>
      <c r="S15">
        <v>13</v>
      </c>
      <c r="T15">
        <v>0</v>
      </c>
      <c r="U15">
        <v>0</v>
      </c>
      <c r="V15">
        <v>14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345</v>
      </c>
      <c r="AY15">
        <v>140</v>
      </c>
      <c r="AZ15">
        <v>0</v>
      </c>
      <c r="BA15">
        <v>0</v>
      </c>
    </row>
    <row r="16" spans="1:53" x14ac:dyDescent="0.25">
      <c r="A16" t="s">
        <v>295</v>
      </c>
      <c r="B16">
        <v>314</v>
      </c>
      <c r="C16">
        <v>130</v>
      </c>
      <c r="D16">
        <v>8</v>
      </c>
      <c r="E16">
        <v>4</v>
      </c>
      <c r="F16">
        <v>248</v>
      </c>
      <c r="G16">
        <v>120</v>
      </c>
      <c r="H16">
        <v>4</v>
      </c>
      <c r="I16">
        <v>1</v>
      </c>
      <c r="J16">
        <v>170</v>
      </c>
      <c r="K16">
        <v>70</v>
      </c>
      <c r="L16">
        <v>6</v>
      </c>
      <c r="M16">
        <v>3</v>
      </c>
      <c r="N16">
        <v>197</v>
      </c>
      <c r="O16">
        <v>100</v>
      </c>
      <c r="P16">
        <v>0</v>
      </c>
      <c r="Q16">
        <v>0</v>
      </c>
      <c r="R16">
        <v>165</v>
      </c>
      <c r="S16">
        <v>77</v>
      </c>
      <c r="T16">
        <v>0</v>
      </c>
      <c r="U16">
        <v>0</v>
      </c>
      <c r="V16">
        <v>107</v>
      </c>
      <c r="W16">
        <v>51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1473</v>
      </c>
      <c r="AY16">
        <v>662</v>
      </c>
      <c r="AZ16">
        <v>18</v>
      </c>
      <c r="BA16">
        <v>8</v>
      </c>
    </row>
    <row r="17" spans="1:53" x14ac:dyDescent="0.25">
      <c r="A17" t="s">
        <v>296</v>
      </c>
      <c r="B17">
        <v>425</v>
      </c>
      <c r="C17">
        <v>195</v>
      </c>
      <c r="D17">
        <v>14</v>
      </c>
      <c r="E17">
        <v>5</v>
      </c>
      <c r="F17">
        <v>313</v>
      </c>
      <c r="G17">
        <v>158</v>
      </c>
      <c r="H17">
        <v>6</v>
      </c>
      <c r="I17">
        <v>1</v>
      </c>
      <c r="J17">
        <v>262</v>
      </c>
      <c r="K17">
        <v>127</v>
      </c>
      <c r="L17">
        <v>1</v>
      </c>
      <c r="M17">
        <v>0</v>
      </c>
      <c r="N17">
        <v>191</v>
      </c>
      <c r="O17">
        <v>98</v>
      </c>
      <c r="P17">
        <v>1</v>
      </c>
      <c r="Q17">
        <v>0</v>
      </c>
      <c r="R17">
        <v>188</v>
      </c>
      <c r="S17">
        <v>101</v>
      </c>
      <c r="T17">
        <v>5</v>
      </c>
      <c r="U17">
        <v>1</v>
      </c>
      <c r="V17">
        <v>148</v>
      </c>
      <c r="W17">
        <v>84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2245</v>
      </c>
      <c r="AY17">
        <v>1098</v>
      </c>
      <c r="AZ17">
        <v>27</v>
      </c>
      <c r="BA17">
        <v>7</v>
      </c>
    </row>
    <row r="18" spans="1:53" x14ac:dyDescent="0.25">
      <c r="A18" t="s">
        <v>297</v>
      </c>
      <c r="B18">
        <v>12845</v>
      </c>
      <c r="C18">
        <v>6420</v>
      </c>
      <c r="D18">
        <v>245</v>
      </c>
      <c r="E18">
        <v>111</v>
      </c>
      <c r="F18">
        <v>10761</v>
      </c>
      <c r="G18">
        <v>5286</v>
      </c>
      <c r="H18">
        <v>173</v>
      </c>
      <c r="I18">
        <v>75</v>
      </c>
      <c r="J18">
        <v>9169</v>
      </c>
      <c r="K18">
        <v>4537</v>
      </c>
      <c r="L18">
        <v>159</v>
      </c>
      <c r="M18">
        <v>71</v>
      </c>
      <c r="N18">
        <v>9234</v>
      </c>
      <c r="O18">
        <v>4680</v>
      </c>
      <c r="P18">
        <v>105</v>
      </c>
      <c r="Q18">
        <v>41</v>
      </c>
      <c r="R18">
        <v>8458</v>
      </c>
      <c r="S18">
        <v>4265</v>
      </c>
      <c r="T18">
        <v>209</v>
      </c>
      <c r="U18">
        <v>93</v>
      </c>
      <c r="V18">
        <v>7104</v>
      </c>
      <c r="W18">
        <v>3663</v>
      </c>
      <c r="X18">
        <v>65</v>
      </c>
      <c r="Y18">
        <v>33</v>
      </c>
      <c r="Z18">
        <v>4974</v>
      </c>
      <c r="AA18">
        <v>2481</v>
      </c>
      <c r="AB18">
        <v>45</v>
      </c>
      <c r="AC18">
        <v>14</v>
      </c>
      <c r="AD18">
        <v>4495</v>
      </c>
      <c r="AE18">
        <v>2290</v>
      </c>
      <c r="AF18">
        <v>29</v>
      </c>
      <c r="AG18">
        <v>9</v>
      </c>
      <c r="AH18">
        <v>4354</v>
      </c>
      <c r="AI18">
        <v>2214</v>
      </c>
      <c r="AJ18">
        <v>70</v>
      </c>
      <c r="AK18">
        <v>16</v>
      </c>
      <c r="AL18">
        <v>3716</v>
      </c>
      <c r="AM18">
        <v>1794</v>
      </c>
      <c r="AN18">
        <v>6</v>
      </c>
      <c r="AO18">
        <v>1</v>
      </c>
      <c r="AP18">
        <v>3274</v>
      </c>
      <c r="AQ18">
        <v>1695</v>
      </c>
      <c r="AR18">
        <v>5</v>
      </c>
      <c r="AS18">
        <v>1</v>
      </c>
      <c r="AT18">
        <v>3087</v>
      </c>
      <c r="AU18">
        <v>1613</v>
      </c>
      <c r="AV18">
        <v>109</v>
      </c>
      <c r="AW18">
        <v>42</v>
      </c>
      <c r="AX18">
        <v>101287</v>
      </c>
      <c r="AY18">
        <v>50777</v>
      </c>
      <c r="AZ18">
        <v>1220</v>
      </c>
      <c r="BA18">
        <v>507</v>
      </c>
    </row>
    <row r="19" spans="1:53" x14ac:dyDescent="0.25">
      <c r="A19" t="s">
        <v>298</v>
      </c>
      <c r="B19">
        <v>992</v>
      </c>
      <c r="C19">
        <v>482</v>
      </c>
      <c r="D19">
        <v>66</v>
      </c>
      <c r="E19">
        <v>27</v>
      </c>
      <c r="F19">
        <v>902</v>
      </c>
      <c r="G19">
        <v>442</v>
      </c>
      <c r="H19">
        <v>30</v>
      </c>
      <c r="I19">
        <v>12</v>
      </c>
      <c r="J19">
        <v>642</v>
      </c>
      <c r="K19">
        <v>291</v>
      </c>
      <c r="L19">
        <v>19</v>
      </c>
      <c r="M19">
        <v>4</v>
      </c>
      <c r="N19">
        <v>625</v>
      </c>
      <c r="O19">
        <v>292</v>
      </c>
      <c r="P19">
        <v>5</v>
      </c>
      <c r="Q19">
        <v>2</v>
      </c>
      <c r="R19">
        <v>583</v>
      </c>
      <c r="S19">
        <v>299</v>
      </c>
      <c r="T19">
        <v>9</v>
      </c>
      <c r="U19">
        <v>5</v>
      </c>
      <c r="V19">
        <v>479</v>
      </c>
      <c r="W19">
        <v>223</v>
      </c>
      <c r="X19">
        <v>5</v>
      </c>
      <c r="Y19">
        <v>0</v>
      </c>
      <c r="Z19">
        <v>506</v>
      </c>
      <c r="AA19">
        <v>231</v>
      </c>
      <c r="AB19">
        <v>22</v>
      </c>
      <c r="AC19">
        <v>2</v>
      </c>
      <c r="AD19">
        <v>420</v>
      </c>
      <c r="AE19">
        <v>219</v>
      </c>
      <c r="AF19">
        <v>7</v>
      </c>
      <c r="AG19">
        <v>4</v>
      </c>
      <c r="AH19">
        <v>405</v>
      </c>
      <c r="AI19">
        <v>193</v>
      </c>
      <c r="AJ19">
        <v>12</v>
      </c>
      <c r="AK19">
        <v>6</v>
      </c>
      <c r="AL19">
        <v>317</v>
      </c>
      <c r="AM19">
        <v>145</v>
      </c>
      <c r="AN19">
        <v>0</v>
      </c>
      <c r="AO19">
        <v>0</v>
      </c>
      <c r="AP19">
        <v>262</v>
      </c>
      <c r="AQ19">
        <v>121</v>
      </c>
      <c r="AR19">
        <v>0</v>
      </c>
      <c r="AS19">
        <v>0</v>
      </c>
      <c r="AT19">
        <v>263</v>
      </c>
      <c r="AU19">
        <v>118</v>
      </c>
      <c r="AV19">
        <v>5</v>
      </c>
      <c r="AW19">
        <v>2</v>
      </c>
      <c r="AX19">
        <v>8938</v>
      </c>
      <c r="AY19">
        <v>4327</v>
      </c>
      <c r="AZ19">
        <v>180</v>
      </c>
      <c r="BA19">
        <v>64</v>
      </c>
    </row>
    <row r="20" spans="1:53" x14ac:dyDescent="0.25">
      <c r="A20" t="s">
        <v>299</v>
      </c>
      <c r="B20">
        <v>63</v>
      </c>
      <c r="C20">
        <v>23</v>
      </c>
      <c r="D20">
        <v>0</v>
      </c>
      <c r="E20">
        <v>0</v>
      </c>
      <c r="F20">
        <v>30</v>
      </c>
      <c r="G20">
        <v>14</v>
      </c>
      <c r="H20">
        <v>0</v>
      </c>
      <c r="I20">
        <v>0</v>
      </c>
      <c r="J20">
        <v>31</v>
      </c>
      <c r="K20">
        <v>10</v>
      </c>
      <c r="L20">
        <v>3</v>
      </c>
      <c r="M20">
        <v>0</v>
      </c>
      <c r="N20">
        <v>24</v>
      </c>
      <c r="O20">
        <v>12</v>
      </c>
      <c r="P20">
        <v>0</v>
      </c>
      <c r="Q20">
        <v>0</v>
      </c>
      <c r="R20">
        <v>22</v>
      </c>
      <c r="S20">
        <v>10</v>
      </c>
      <c r="T20">
        <v>0</v>
      </c>
      <c r="U20">
        <v>0</v>
      </c>
      <c r="V20">
        <v>16</v>
      </c>
      <c r="W20">
        <v>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265</v>
      </c>
      <c r="AY20">
        <v>123</v>
      </c>
      <c r="AZ20">
        <v>3</v>
      </c>
      <c r="BA20">
        <v>0</v>
      </c>
    </row>
    <row r="21" spans="1:53" x14ac:dyDescent="0.25">
      <c r="A21" t="s">
        <v>300</v>
      </c>
      <c r="B21">
        <v>23</v>
      </c>
      <c r="C21">
        <v>14</v>
      </c>
      <c r="D21">
        <v>0</v>
      </c>
      <c r="E21">
        <v>0</v>
      </c>
      <c r="F21">
        <v>16</v>
      </c>
      <c r="G21">
        <v>9</v>
      </c>
      <c r="H21">
        <v>0</v>
      </c>
      <c r="I21">
        <v>0</v>
      </c>
      <c r="J21">
        <v>14</v>
      </c>
      <c r="K21">
        <v>8</v>
      </c>
      <c r="L21">
        <v>0</v>
      </c>
      <c r="M21">
        <v>0</v>
      </c>
      <c r="N21">
        <v>17</v>
      </c>
      <c r="O21">
        <v>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45</v>
      </c>
      <c r="AM21">
        <v>31</v>
      </c>
      <c r="AN21">
        <v>0</v>
      </c>
      <c r="AO21">
        <v>0</v>
      </c>
      <c r="AP21">
        <v>45</v>
      </c>
      <c r="AQ21">
        <v>22</v>
      </c>
      <c r="AR21">
        <v>0</v>
      </c>
      <c r="AS21">
        <v>0</v>
      </c>
      <c r="AT21">
        <v>43</v>
      </c>
      <c r="AU21">
        <v>25</v>
      </c>
      <c r="AV21">
        <v>0</v>
      </c>
      <c r="AW21">
        <v>0</v>
      </c>
      <c r="AX21">
        <v>349</v>
      </c>
      <c r="AY21">
        <v>206</v>
      </c>
      <c r="AZ21">
        <v>0</v>
      </c>
      <c r="BA21">
        <v>0</v>
      </c>
    </row>
    <row r="22" spans="1:53" x14ac:dyDescent="0.25">
      <c r="A22" t="s">
        <v>301</v>
      </c>
      <c r="B22">
        <v>436</v>
      </c>
      <c r="C22">
        <v>240</v>
      </c>
      <c r="D22">
        <v>0</v>
      </c>
      <c r="E22">
        <v>0</v>
      </c>
      <c r="F22">
        <v>113</v>
      </c>
      <c r="G22">
        <v>70</v>
      </c>
      <c r="H22">
        <v>0</v>
      </c>
      <c r="I22">
        <v>0</v>
      </c>
      <c r="J22">
        <v>125</v>
      </c>
      <c r="K22">
        <v>55</v>
      </c>
      <c r="L22">
        <v>0</v>
      </c>
      <c r="M22">
        <v>0</v>
      </c>
      <c r="N22">
        <v>114</v>
      </c>
      <c r="O22">
        <v>67</v>
      </c>
      <c r="P22">
        <v>0</v>
      </c>
      <c r="Q22">
        <v>0</v>
      </c>
      <c r="R22">
        <v>92</v>
      </c>
      <c r="S22">
        <v>52</v>
      </c>
      <c r="T22">
        <v>0</v>
      </c>
      <c r="U22">
        <v>0</v>
      </c>
      <c r="V22">
        <v>151</v>
      </c>
      <c r="W22">
        <v>75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2050</v>
      </c>
      <c r="AY22">
        <v>1064</v>
      </c>
      <c r="AZ22">
        <v>0</v>
      </c>
      <c r="BA22">
        <v>0</v>
      </c>
    </row>
    <row r="23" spans="1:53" x14ac:dyDescent="0.25">
      <c r="A23" t="s">
        <v>302</v>
      </c>
      <c r="B23">
        <v>438</v>
      </c>
      <c r="C23">
        <v>198</v>
      </c>
      <c r="D23">
        <v>14</v>
      </c>
      <c r="E23">
        <v>5</v>
      </c>
      <c r="F23">
        <v>386</v>
      </c>
      <c r="G23">
        <v>175</v>
      </c>
      <c r="H23">
        <v>2</v>
      </c>
      <c r="I23">
        <v>1</v>
      </c>
      <c r="J23">
        <v>287</v>
      </c>
      <c r="K23">
        <v>146</v>
      </c>
      <c r="L23">
        <v>11</v>
      </c>
      <c r="M23">
        <v>6</v>
      </c>
      <c r="N23">
        <v>278</v>
      </c>
      <c r="O23">
        <v>132</v>
      </c>
      <c r="P23">
        <v>5</v>
      </c>
      <c r="Q23">
        <v>2</v>
      </c>
      <c r="R23">
        <v>198</v>
      </c>
      <c r="S23">
        <v>95</v>
      </c>
      <c r="T23">
        <v>3</v>
      </c>
      <c r="U23">
        <v>1</v>
      </c>
      <c r="V23">
        <v>146</v>
      </c>
      <c r="W23">
        <v>68</v>
      </c>
      <c r="X23">
        <v>0</v>
      </c>
      <c r="Y23">
        <v>0</v>
      </c>
      <c r="Z23">
        <v>125</v>
      </c>
      <c r="AA23">
        <v>50</v>
      </c>
      <c r="AB23">
        <v>0</v>
      </c>
      <c r="AC23">
        <v>0</v>
      </c>
      <c r="AD23">
        <v>96</v>
      </c>
      <c r="AE23">
        <v>39</v>
      </c>
      <c r="AF23">
        <v>0</v>
      </c>
      <c r="AG23">
        <v>0</v>
      </c>
      <c r="AH23">
        <v>101</v>
      </c>
      <c r="AI23">
        <v>39</v>
      </c>
      <c r="AJ23">
        <v>0</v>
      </c>
      <c r="AK23">
        <v>0</v>
      </c>
      <c r="AL23">
        <v>49</v>
      </c>
      <c r="AM23">
        <v>21</v>
      </c>
      <c r="AN23">
        <v>0</v>
      </c>
      <c r="AO23">
        <v>0</v>
      </c>
      <c r="AP23">
        <v>50</v>
      </c>
      <c r="AQ23">
        <v>29</v>
      </c>
      <c r="AR23">
        <v>0</v>
      </c>
      <c r="AS23">
        <v>0</v>
      </c>
      <c r="AT23">
        <v>50</v>
      </c>
      <c r="AU23">
        <v>24</v>
      </c>
      <c r="AV23">
        <v>4</v>
      </c>
      <c r="AW23">
        <v>3</v>
      </c>
      <c r="AX23">
        <v>3473</v>
      </c>
      <c r="AY23">
        <v>1431</v>
      </c>
      <c r="AZ23">
        <v>39</v>
      </c>
      <c r="BA23">
        <v>18</v>
      </c>
    </row>
    <row r="24" spans="1:53" x14ac:dyDescent="0.25">
      <c r="A24" t="s">
        <v>303</v>
      </c>
      <c r="B24">
        <v>1595</v>
      </c>
      <c r="C24">
        <v>747</v>
      </c>
      <c r="D24">
        <v>38</v>
      </c>
      <c r="E24">
        <v>15</v>
      </c>
      <c r="F24">
        <v>1139</v>
      </c>
      <c r="G24">
        <v>546</v>
      </c>
      <c r="H24">
        <v>13</v>
      </c>
      <c r="I24">
        <v>5</v>
      </c>
      <c r="J24">
        <v>907</v>
      </c>
      <c r="K24">
        <v>433</v>
      </c>
      <c r="L24">
        <v>6</v>
      </c>
      <c r="M24">
        <v>1</v>
      </c>
      <c r="N24">
        <v>953</v>
      </c>
      <c r="O24">
        <v>473</v>
      </c>
      <c r="P24">
        <v>7</v>
      </c>
      <c r="Q24">
        <v>4</v>
      </c>
      <c r="R24">
        <v>836</v>
      </c>
      <c r="S24">
        <v>390</v>
      </c>
      <c r="T24">
        <v>9</v>
      </c>
      <c r="U24">
        <v>3</v>
      </c>
      <c r="V24">
        <v>767</v>
      </c>
      <c r="W24">
        <v>365</v>
      </c>
      <c r="X24">
        <v>5</v>
      </c>
      <c r="Y24">
        <v>2</v>
      </c>
      <c r="Z24">
        <v>583</v>
      </c>
      <c r="AA24">
        <v>287</v>
      </c>
      <c r="AB24">
        <v>8</v>
      </c>
      <c r="AC24">
        <v>3</v>
      </c>
      <c r="AD24">
        <v>534</v>
      </c>
      <c r="AE24">
        <v>262</v>
      </c>
      <c r="AF24">
        <v>6</v>
      </c>
      <c r="AG24">
        <v>4</v>
      </c>
      <c r="AH24">
        <v>440</v>
      </c>
      <c r="AI24">
        <v>214</v>
      </c>
      <c r="AJ24">
        <v>5</v>
      </c>
      <c r="AK24">
        <v>1</v>
      </c>
      <c r="AL24">
        <v>369</v>
      </c>
      <c r="AM24">
        <v>159</v>
      </c>
      <c r="AN24">
        <v>2</v>
      </c>
      <c r="AO24">
        <v>0</v>
      </c>
      <c r="AP24">
        <v>299</v>
      </c>
      <c r="AQ24">
        <v>166</v>
      </c>
      <c r="AR24">
        <v>0</v>
      </c>
      <c r="AS24">
        <v>0</v>
      </c>
      <c r="AT24">
        <v>252</v>
      </c>
      <c r="AU24">
        <v>130</v>
      </c>
      <c r="AV24">
        <v>7</v>
      </c>
      <c r="AW24">
        <v>7</v>
      </c>
      <c r="AX24">
        <v>15204</v>
      </c>
      <c r="AY24">
        <v>7437</v>
      </c>
      <c r="AZ24">
        <v>106</v>
      </c>
      <c r="BA24">
        <v>45</v>
      </c>
    </row>
    <row r="25" spans="1:53" x14ac:dyDescent="0.25">
      <c r="A25" t="s">
        <v>304</v>
      </c>
      <c r="B25">
        <v>47</v>
      </c>
      <c r="C25">
        <v>22</v>
      </c>
      <c r="D25">
        <v>6</v>
      </c>
      <c r="E25">
        <v>3</v>
      </c>
      <c r="F25">
        <v>36</v>
      </c>
      <c r="G25">
        <v>14</v>
      </c>
      <c r="H25">
        <v>3</v>
      </c>
      <c r="I25">
        <v>2</v>
      </c>
      <c r="J25">
        <v>27</v>
      </c>
      <c r="K25">
        <v>5</v>
      </c>
      <c r="L25">
        <v>1</v>
      </c>
      <c r="M25">
        <v>0</v>
      </c>
      <c r="N25">
        <v>18</v>
      </c>
      <c r="O25">
        <v>9</v>
      </c>
      <c r="P25">
        <v>0</v>
      </c>
      <c r="Q25">
        <v>0</v>
      </c>
      <c r="R25">
        <v>13</v>
      </c>
      <c r="S25">
        <v>6</v>
      </c>
      <c r="T25">
        <v>0</v>
      </c>
      <c r="U25">
        <v>0</v>
      </c>
      <c r="V25">
        <v>13</v>
      </c>
      <c r="W25">
        <v>6</v>
      </c>
      <c r="X25">
        <v>0</v>
      </c>
      <c r="Y25">
        <v>0</v>
      </c>
      <c r="Z25">
        <v>5</v>
      </c>
      <c r="AA25">
        <v>1</v>
      </c>
      <c r="AB25">
        <v>0</v>
      </c>
      <c r="AC25">
        <v>0</v>
      </c>
      <c r="AD25">
        <v>2</v>
      </c>
      <c r="AE25">
        <v>1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6</v>
      </c>
      <c r="AM25">
        <v>4</v>
      </c>
      <c r="AN25">
        <v>0</v>
      </c>
      <c r="AO25">
        <v>0</v>
      </c>
      <c r="AP25">
        <v>2</v>
      </c>
      <c r="AQ25">
        <v>1</v>
      </c>
      <c r="AR25">
        <v>0</v>
      </c>
      <c r="AS25">
        <v>0</v>
      </c>
      <c r="AT25">
        <v>5</v>
      </c>
      <c r="AU25">
        <v>2</v>
      </c>
      <c r="AV25">
        <v>0</v>
      </c>
      <c r="AW25">
        <v>0</v>
      </c>
      <c r="AX25">
        <v>283</v>
      </c>
      <c r="AY25">
        <v>132</v>
      </c>
      <c r="AZ25">
        <v>10</v>
      </c>
      <c r="BA25">
        <v>5</v>
      </c>
    </row>
    <row r="26" spans="1:53" x14ac:dyDescent="0.25">
      <c r="A26" t="s">
        <v>305</v>
      </c>
      <c r="B26">
        <v>72</v>
      </c>
      <c r="C26">
        <v>34</v>
      </c>
      <c r="D26">
        <v>0</v>
      </c>
      <c r="E26">
        <v>0</v>
      </c>
      <c r="F26">
        <v>45</v>
      </c>
      <c r="G26">
        <v>21</v>
      </c>
      <c r="H26">
        <v>0</v>
      </c>
      <c r="I26">
        <v>0</v>
      </c>
      <c r="J26">
        <v>21</v>
      </c>
      <c r="K26">
        <v>11</v>
      </c>
      <c r="L26">
        <v>0</v>
      </c>
      <c r="M26">
        <v>0</v>
      </c>
      <c r="N26">
        <v>19</v>
      </c>
      <c r="O26">
        <v>7</v>
      </c>
      <c r="P26">
        <v>0</v>
      </c>
      <c r="Q26">
        <v>0</v>
      </c>
      <c r="R26">
        <v>20</v>
      </c>
      <c r="S26">
        <v>9</v>
      </c>
      <c r="T26">
        <v>0</v>
      </c>
      <c r="U26">
        <v>0</v>
      </c>
      <c r="V26">
        <v>21</v>
      </c>
      <c r="W26">
        <v>13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304</v>
      </c>
      <c r="AY26">
        <v>141</v>
      </c>
      <c r="AZ26">
        <v>0</v>
      </c>
      <c r="BA26">
        <v>0</v>
      </c>
    </row>
    <row r="27" spans="1:53" x14ac:dyDescent="0.25">
      <c r="A27" t="s">
        <v>306</v>
      </c>
      <c r="B27">
        <v>477</v>
      </c>
      <c r="C27">
        <v>238</v>
      </c>
      <c r="D27">
        <v>8</v>
      </c>
      <c r="E27">
        <v>1</v>
      </c>
      <c r="F27">
        <v>356</v>
      </c>
      <c r="G27">
        <v>172</v>
      </c>
      <c r="H27">
        <v>2</v>
      </c>
      <c r="I27">
        <v>1</v>
      </c>
      <c r="J27">
        <v>286</v>
      </c>
      <c r="K27">
        <v>141</v>
      </c>
      <c r="L27">
        <v>1</v>
      </c>
      <c r="M27">
        <v>0</v>
      </c>
      <c r="N27">
        <v>230</v>
      </c>
      <c r="O27">
        <v>101</v>
      </c>
      <c r="P27">
        <v>0</v>
      </c>
      <c r="Q27">
        <v>0</v>
      </c>
      <c r="R27">
        <v>174</v>
      </c>
      <c r="S27">
        <v>69</v>
      </c>
      <c r="T27">
        <v>1</v>
      </c>
      <c r="U27">
        <v>0</v>
      </c>
      <c r="V27">
        <v>117</v>
      </c>
      <c r="W27">
        <v>46</v>
      </c>
      <c r="X27">
        <v>2</v>
      </c>
      <c r="Y27">
        <v>0</v>
      </c>
      <c r="Z27">
        <v>144</v>
      </c>
      <c r="AA27">
        <v>58</v>
      </c>
      <c r="AB27">
        <v>5</v>
      </c>
      <c r="AC27">
        <v>3</v>
      </c>
      <c r="AD27">
        <v>132</v>
      </c>
      <c r="AE27">
        <v>50</v>
      </c>
      <c r="AF27">
        <v>1</v>
      </c>
      <c r="AG27">
        <v>0</v>
      </c>
      <c r="AH27">
        <v>104</v>
      </c>
      <c r="AI27">
        <v>47</v>
      </c>
      <c r="AJ27">
        <v>0</v>
      </c>
      <c r="AK27">
        <v>0</v>
      </c>
      <c r="AL27">
        <v>73</v>
      </c>
      <c r="AM27">
        <v>28</v>
      </c>
      <c r="AN27">
        <v>1</v>
      </c>
      <c r="AO27">
        <v>0</v>
      </c>
      <c r="AP27">
        <v>101</v>
      </c>
      <c r="AQ27">
        <v>58</v>
      </c>
      <c r="AR27">
        <v>2</v>
      </c>
      <c r="AS27">
        <v>1</v>
      </c>
      <c r="AT27">
        <v>73</v>
      </c>
      <c r="AU27">
        <v>46</v>
      </c>
      <c r="AV27">
        <v>0</v>
      </c>
      <c r="AW27">
        <v>0</v>
      </c>
      <c r="AX27">
        <v>2860</v>
      </c>
      <c r="AY27">
        <v>1336</v>
      </c>
      <c r="AZ27">
        <v>23</v>
      </c>
      <c r="BA27">
        <v>6</v>
      </c>
    </row>
    <row r="28" spans="1:53" x14ac:dyDescent="0.25">
      <c r="A28" t="s">
        <v>307</v>
      </c>
      <c r="B28">
        <v>454</v>
      </c>
      <c r="C28">
        <v>235</v>
      </c>
      <c r="D28">
        <v>24</v>
      </c>
      <c r="E28">
        <v>9</v>
      </c>
      <c r="F28">
        <v>355</v>
      </c>
      <c r="G28">
        <v>179</v>
      </c>
      <c r="H28">
        <v>12</v>
      </c>
      <c r="I28">
        <v>5</v>
      </c>
      <c r="J28">
        <v>291</v>
      </c>
      <c r="K28">
        <v>151</v>
      </c>
      <c r="L28">
        <v>14</v>
      </c>
      <c r="M28">
        <v>4</v>
      </c>
      <c r="N28">
        <v>356</v>
      </c>
      <c r="O28">
        <v>205</v>
      </c>
      <c r="P28">
        <v>17</v>
      </c>
      <c r="Q28">
        <v>12</v>
      </c>
      <c r="R28">
        <v>243</v>
      </c>
      <c r="S28">
        <v>150</v>
      </c>
      <c r="T28">
        <v>8</v>
      </c>
      <c r="U28">
        <v>6</v>
      </c>
      <c r="V28">
        <v>238</v>
      </c>
      <c r="W28">
        <v>143</v>
      </c>
      <c r="X28">
        <v>6</v>
      </c>
      <c r="Y28">
        <v>3</v>
      </c>
      <c r="Z28">
        <v>447</v>
      </c>
      <c r="AA28">
        <v>324</v>
      </c>
      <c r="AB28">
        <v>0</v>
      </c>
      <c r="AC28">
        <v>0</v>
      </c>
      <c r="AD28">
        <v>281</v>
      </c>
      <c r="AE28">
        <v>232</v>
      </c>
      <c r="AF28">
        <v>1</v>
      </c>
      <c r="AG28">
        <v>0</v>
      </c>
      <c r="AH28">
        <v>187</v>
      </c>
      <c r="AI28">
        <v>153</v>
      </c>
      <c r="AJ28">
        <v>2</v>
      </c>
      <c r="AK28">
        <v>2</v>
      </c>
      <c r="AL28">
        <v>125</v>
      </c>
      <c r="AM28">
        <v>98</v>
      </c>
      <c r="AN28">
        <v>0</v>
      </c>
      <c r="AO28">
        <v>0</v>
      </c>
      <c r="AP28">
        <v>116</v>
      </c>
      <c r="AQ28">
        <v>95</v>
      </c>
      <c r="AR28">
        <v>0</v>
      </c>
      <c r="AS28">
        <v>0</v>
      </c>
      <c r="AT28">
        <v>108</v>
      </c>
      <c r="AU28">
        <v>72</v>
      </c>
      <c r="AV28">
        <v>15</v>
      </c>
      <c r="AW28">
        <v>6</v>
      </c>
      <c r="AX28">
        <v>4308</v>
      </c>
      <c r="AY28">
        <v>2626</v>
      </c>
      <c r="AZ28">
        <v>99</v>
      </c>
      <c r="BA28">
        <v>47</v>
      </c>
    </row>
    <row r="29" spans="1:53" x14ac:dyDescent="0.25">
      <c r="A29" t="s">
        <v>266</v>
      </c>
      <c r="B29">
        <v>30358</v>
      </c>
      <c r="C29">
        <v>15048</v>
      </c>
      <c r="D29">
        <v>822</v>
      </c>
      <c r="E29">
        <v>347</v>
      </c>
      <c r="F29">
        <v>23870</v>
      </c>
      <c r="G29">
        <v>11727</v>
      </c>
      <c r="H29">
        <v>530</v>
      </c>
      <c r="I29">
        <v>199</v>
      </c>
      <c r="J29">
        <v>19604</v>
      </c>
      <c r="K29">
        <v>9639</v>
      </c>
      <c r="L29">
        <v>407</v>
      </c>
      <c r="M29">
        <v>159</v>
      </c>
      <c r="N29">
        <v>18602</v>
      </c>
      <c r="O29">
        <v>9301</v>
      </c>
      <c r="P29">
        <v>220</v>
      </c>
      <c r="Q29">
        <v>90</v>
      </c>
      <c r="R29">
        <v>16532</v>
      </c>
      <c r="S29">
        <v>8279</v>
      </c>
      <c r="T29">
        <v>302</v>
      </c>
      <c r="U29">
        <v>129</v>
      </c>
      <c r="V29">
        <v>13920</v>
      </c>
      <c r="W29">
        <v>7142</v>
      </c>
      <c r="X29">
        <v>144</v>
      </c>
      <c r="Y29">
        <v>65</v>
      </c>
      <c r="Z29">
        <v>10746</v>
      </c>
      <c r="AA29">
        <v>5280</v>
      </c>
      <c r="AB29">
        <v>130</v>
      </c>
      <c r="AC29">
        <v>38</v>
      </c>
      <c r="AD29">
        <v>9189</v>
      </c>
      <c r="AE29">
        <v>4575</v>
      </c>
      <c r="AF29">
        <v>72</v>
      </c>
      <c r="AG29">
        <v>27</v>
      </c>
      <c r="AH29">
        <v>8516</v>
      </c>
      <c r="AI29">
        <v>4284</v>
      </c>
      <c r="AJ29">
        <v>128</v>
      </c>
      <c r="AK29">
        <v>33</v>
      </c>
      <c r="AL29">
        <v>6916</v>
      </c>
      <c r="AM29">
        <v>3378</v>
      </c>
      <c r="AN29">
        <v>20</v>
      </c>
      <c r="AO29">
        <v>6</v>
      </c>
      <c r="AP29">
        <v>6112</v>
      </c>
      <c r="AQ29">
        <v>3169</v>
      </c>
      <c r="AR29">
        <v>13</v>
      </c>
      <c r="AS29">
        <v>3</v>
      </c>
      <c r="AT29">
        <v>5674</v>
      </c>
      <c r="AU29">
        <v>2909</v>
      </c>
      <c r="AV29">
        <v>198</v>
      </c>
      <c r="AW29">
        <v>87</v>
      </c>
      <c r="AX29">
        <v>218357</v>
      </c>
      <c r="AY29">
        <v>108580</v>
      </c>
      <c r="AZ29">
        <v>2986</v>
      </c>
      <c r="BA29">
        <v>1183</v>
      </c>
    </row>
    <row r="30" spans="1:53" x14ac:dyDescent="0.25">
      <c r="A30" t="s">
        <v>459</v>
      </c>
      <c r="B30">
        <v>23711</v>
      </c>
      <c r="C30">
        <v>11635</v>
      </c>
      <c r="D30">
        <v>603</v>
      </c>
      <c r="E30">
        <v>258</v>
      </c>
      <c r="F30">
        <v>19376</v>
      </c>
      <c r="G30">
        <v>9486</v>
      </c>
      <c r="H30">
        <v>376</v>
      </c>
      <c r="I30">
        <v>151</v>
      </c>
      <c r="J30">
        <v>16168</v>
      </c>
      <c r="K30">
        <v>7865</v>
      </c>
      <c r="L30">
        <v>307</v>
      </c>
      <c r="M30">
        <v>114</v>
      </c>
      <c r="N30">
        <v>15599</v>
      </c>
      <c r="O30">
        <v>7784</v>
      </c>
      <c r="P30">
        <v>168</v>
      </c>
      <c r="Q30">
        <v>67</v>
      </c>
      <c r="R30">
        <v>13863</v>
      </c>
      <c r="S30">
        <v>6916</v>
      </c>
      <c r="T30">
        <v>265</v>
      </c>
      <c r="U30">
        <v>115</v>
      </c>
      <c r="V30">
        <v>11719</v>
      </c>
      <c r="W30">
        <v>6023</v>
      </c>
      <c r="X30">
        <v>99</v>
      </c>
      <c r="Y30">
        <v>40</v>
      </c>
      <c r="Z30">
        <v>8984</v>
      </c>
      <c r="AA30">
        <v>4399</v>
      </c>
      <c r="AB30">
        <v>117</v>
      </c>
      <c r="AC30">
        <v>34</v>
      </c>
      <c r="AD30">
        <v>7836</v>
      </c>
      <c r="AE30">
        <v>3883</v>
      </c>
      <c r="AF30">
        <v>69</v>
      </c>
      <c r="AG30">
        <v>27</v>
      </c>
      <c r="AH30">
        <v>7473</v>
      </c>
      <c r="AI30">
        <v>3735</v>
      </c>
      <c r="AJ30">
        <v>120</v>
      </c>
      <c r="AK30">
        <v>29</v>
      </c>
      <c r="AL30">
        <v>6283</v>
      </c>
      <c r="AM30">
        <v>3073</v>
      </c>
      <c r="AN30">
        <v>18</v>
      </c>
      <c r="AO30">
        <v>6</v>
      </c>
      <c r="AP30">
        <v>5550</v>
      </c>
      <c r="AQ30">
        <v>2878</v>
      </c>
      <c r="AR30">
        <v>11</v>
      </c>
      <c r="AS30">
        <v>2</v>
      </c>
      <c r="AT30">
        <v>5236</v>
      </c>
      <c r="AU30">
        <v>2686</v>
      </c>
      <c r="AV30">
        <v>182</v>
      </c>
      <c r="AW30">
        <v>81</v>
      </c>
      <c r="AX30">
        <v>182846</v>
      </c>
      <c r="AY30">
        <v>90481</v>
      </c>
      <c r="AZ30">
        <v>2335</v>
      </c>
      <c r="BA30">
        <v>924</v>
      </c>
    </row>
    <row r="31" spans="1:53" x14ac:dyDescent="0.25">
      <c r="A31" t="s">
        <v>460</v>
      </c>
      <c r="B31">
        <v>6647</v>
      </c>
      <c r="C31">
        <v>3413</v>
      </c>
      <c r="D31">
        <v>219</v>
      </c>
      <c r="E31">
        <v>89</v>
      </c>
      <c r="F31">
        <v>4494</v>
      </c>
      <c r="G31">
        <v>2241</v>
      </c>
      <c r="H31">
        <v>154</v>
      </c>
      <c r="I31">
        <v>48</v>
      </c>
      <c r="J31">
        <v>3436</v>
      </c>
      <c r="K31">
        <v>1774</v>
      </c>
      <c r="L31">
        <v>100</v>
      </c>
      <c r="M31">
        <v>45</v>
      </c>
      <c r="N31">
        <v>3003</v>
      </c>
      <c r="O31">
        <v>1517</v>
      </c>
      <c r="P31">
        <v>52</v>
      </c>
      <c r="Q31">
        <v>23</v>
      </c>
      <c r="R31">
        <v>2669</v>
      </c>
      <c r="S31">
        <v>1363</v>
      </c>
      <c r="T31">
        <v>37</v>
      </c>
      <c r="U31">
        <v>14</v>
      </c>
      <c r="V31">
        <v>2201</v>
      </c>
      <c r="W31">
        <v>1119</v>
      </c>
      <c r="X31">
        <v>45</v>
      </c>
      <c r="Y31">
        <v>25</v>
      </c>
      <c r="Z31">
        <v>1762</v>
      </c>
      <c r="AA31">
        <v>881</v>
      </c>
      <c r="AB31">
        <v>13</v>
      </c>
      <c r="AC31">
        <v>4</v>
      </c>
      <c r="AD31">
        <v>1353</v>
      </c>
      <c r="AE31">
        <v>692</v>
      </c>
      <c r="AF31">
        <v>3</v>
      </c>
      <c r="AG31">
        <v>0</v>
      </c>
      <c r="AH31">
        <v>1043</v>
      </c>
      <c r="AI31">
        <v>549</v>
      </c>
      <c r="AJ31">
        <v>8</v>
      </c>
      <c r="AK31">
        <v>4</v>
      </c>
      <c r="AL31">
        <v>633</v>
      </c>
      <c r="AM31">
        <v>305</v>
      </c>
      <c r="AN31">
        <v>2</v>
      </c>
      <c r="AO31">
        <v>0</v>
      </c>
      <c r="AP31">
        <v>562</v>
      </c>
      <c r="AQ31">
        <v>291</v>
      </c>
      <c r="AR31">
        <v>2</v>
      </c>
      <c r="AS31">
        <v>1</v>
      </c>
      <c r="AT31">
        <v>438</v>
      </c>
      <c r="AU31">
        <v>223</v>
      </c>
      <c r="AV31">
        <v>16</v>
      </c>
      <c r="AW31">
        <v>6</v>
      </c>
      <c r="AX31">
        <v>35511</v>
      </c>
      <c r="AY31">
        <v>18099</v>
      </c>
      <c r="AZ31">
        <v>651</v>
      </c>
      <c r="BA31">
        <v>259</v>
      </c>
    </row>
  </sheetData>
  <mergeCells count="40">
    <mergeCell ref="AT2:AU2"/>
    <mergeCell ref="AZ2:BA2"/>
    <mergeCell ref="R2:S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X2:Y2"/>
    <mergeCell ref="AJ2:AK2"/>
    <mergeCell ref="AL2:AM2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3.42578125" customWidth="1"/>
    <col min="3" max="3" width="10.42578125" customWidth="1"/>
    <col min="4" max="4" width="10.7109375" customWidth="1"/>
    <col min="7" max="7" width="10.42578125" customWidth="1"/>
    <col min="8" max="8" width="10.7109375" customWidth="1"/>
    <col min="11" max="11" width="10.42578125" customWidth="1"/>
    <col min="12" max="12" width="10.7109375" customWidth="1"/>
    <col min="13" max="13" width="10.85546875" customWidth="1"/>
    <col min="14" max="14" width="11.140625" customWidth="1"/>
  </cols>
  <sheetData>
    <row r="1" spans="1:14" x14ac:dyDescent="0.25">
      <c r="A1" s="29" t="s">
        <v>252</v>
      </c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99</v>
      </c>
      <c r="C3">
        <v>2839</v>
      </c>
      <c r="D3">
        <v>1399</v>
      </c>
      <c r="E3">
        <v>11658</v>
      </c>
      <c r="F3">
        <v>5716</v>
      </c>
      <c r="G3">
        <v>2411</v>
      </c>
      <c r="H3">
        <v>1125</v>
      </c>
      <c r="I3">
        <v>1103</v>
      </c>
      <c r="J3">
        <v>501</v>
      </c>
      <c r="K3">
        <v>18011</v>
      </c>
      <c r="L3">
        <v>8741</v>
      </c>
      <c r="M3">
        <v>49</v>
      </c>
      <c r="N3">
        <v>48.5</v>
      </c>
    </row>
    <row r="4" spans="1:14" x14ac:dyDescent="0.25">
      <c r="A4" t="s">
        <v>284</v>
      </c>
      <c r="B4">
        <v>45</v>
      </c>
      <c r="C4">
        <v>1932</v>
      </c>
      <c r="D4">
        <v>925</v>
      </c>
      <c r="E4">
        <v>4083</v>
      </c>
      <c r="F4">
        <v>1974</v>
      </c>
      <c r="G4">
        <v>1501</v>
      </c>
      <c r="H4">
        <v>749</v>
      </c>
      <c r="I4">
        <v>1491</v>
      </c>
      <c r="J4">
        <v>746</v>
      </c>
      <c r="K4">
        <v>9007</v>
      </c>
      <c r="L4">
        <v>4394</v>
      </c>
      <c r="M4">
        <v>48.3</v>
      </c>
      <c r="N4">
        <v>48.8</v>
      </c>
    </row>
    <row r="5" spans="1:14" x14ac:dyDescent="0.25">
      <c r="A5" t="s">
        <v>285</v>
      </c>
      <c r="B5">
        <v>22</v>
      </c>
      <c r="C5">
        <v>482</v>
      </c>
      <c r="D5">
        <v>220</v>
      </c>
      <c r="E5">
        <v>2261</v>
      </c>
      <c r="F5">
        <v>1055</v>
      </c>
      <c r="G5">
        <v>373</v>
      </c>
      <c r="H5">
        <v>182</v>
      </c>
      <c r="I5">
        <v>203</v>
      </c>
      <c r="J5">
        <v>91</v>
      </c>
      <c r="K5">
        <v>3319</v>
      </c>
      <c r="L5">
        <v>1548</v>
      </c>
      <c r="M5">
        <v>46.7</v>
      </c>
      <c r="N5">
        <v>46.6</v>
      </c>
    </row>
    <row r="6" spans="1:14" x14ac:dyDescent="0.25">
      <c r="A6" t="s">
        <v>286</v>
      </c>
      <c r="B6">
        <v>21</v>
      </c>
      <c r="C6">
        <v>1485</v>
      </c>
      <c r="D6">
        <v>767</v>
      </c>
      <c r="E6">
        <v>1758</v>
      </c>
      <c r="F6">
        <v>813</v>
      </c>
      <c r="G6">
        <v>477</v>
      </c>
      <c r="H6">
        <v>165</v>
      </c>
      <c r="I6">
        <v>320</v>
      </c>
      <c r="J6">
        <v>118</v>
      </c>
      <c r="K6">
        <v>4040</v>
      </c>
      <c r="L6">
        <v>1863</v>
      </c>
      <c r="M6">
        <v>46.2</v>
      </c>
      <c r="N6">
        <v>46.1</v>
      </c>
    </row>
    <row r="7" spans="1:14" x14ac:dyDescent="0.25">
      <c r="A7" t="s">
        <v>287</v>
      </c>
      <c r="B7">
        <v>36</v>
      </c>
      <c r="C7">
        <v>1853</v>
      </c>
      <c r="D7">
        <v>848</v>
      </c>
      <c r="E7">
        <v>2605</v>
      </c>
      <c r="F7">
        <v>1217</v>
      </c>
      <c r="G7">
        <v>577</v>
      </c>
      <c r="H7">
        <v>253</v>
      </c>
      <c r="I7">
        <v>92</v>
      </c>
      <c r="J7">
        <v>43</v>
      </c>
      <c r="K7">
        <v>5127</v>
      </c>
      <c r="L7">
        <v>2361</v>
      </c>
      <c r="M7">
        <v>46.7</v>
      </c>
      <c r="N7">
        <v>46.1</v>
      </c>
    </row>
    <row r="8" spans="1:14" x14ac:dyDescent="0.25">
      <c r="A8" t="s">
        <v>288</v>
      </c>
      <c r="B8">
        <v>19</v>
      </c>
      <c r="C8">
        <v>1378</v>
      </c>
      <c r="D8">
        <v>681</v>
      </c>
      <c r="E8">
        <v>1012</v>
      </c>
      <c r="F8">
        <v>469</v>
      </c>
      <c r="G8">
        <v>322</v>
      </c>
      <c r="H8">
        <v>146</v>
      </c>
      <c r="I8">
        <v>106</v>
      </c>
      <c r="J8">
        <v>57</v>
      </c>
      <c r="K8">
        <v>2818</v>
      </c>
      <c r="L8">
        <v>1353</v>
      </c>
      <c r="M8">
        <v>46.3</v>
      </c>
      <c r="N8">
        <v>48</v>
      </c>
    </row>
    <row r="9" spans="1:14" x14ac:dyDescent="0.25">
      <c r="A9" t="s">
        <v>289</v>
      </c>
      <c r="B9">
        <v>43</v>
      </c>
      <c r="C9">
        <v>986</v>
      </c>
      <c r="D9">
        <v>473</v>
      </c>
      <c r="E9">
        <v>4944</v>
      </c>
      <c r="F9">
        <v>2621</v>
      </c>
      <c r="G9">
        <v>1071</v>
      </c>
      <c r="H9">
        <v>565</v>
      </c>
      <c r="I9">
        <v>1020</v>
      </c>
      <c r="J9">
        <v>497</v>
      </c>
      <c r="K9">
        <v>8021</v>
      </c>
      <c r="L9">
        <v>4156</v>
      </c>
      <c r="M9">
        <v>53</v>
      </c>
      <c r="N9">
        <v>51.8</v>
      </c>
    </row>
    <row r="10" spans="1:14" x14ac:dyDescent="0.25">
      <c r="A10" t="s">
        <v>290</v>
      </c>
      <c r="B10">
        <v>29</v>
      </c>
      <c r="C10">
        <v>1217</v>
      </c>
      <c r="D10">
        <v>632</v>
      </c>
      <c r="E10">
        <v>4386</v>
      </c>
      <c r="F10">
        <v>2318</v>
      </c>
      <c r="G10">
        <v>1475</v>
      </c>
      <c r="H10">
        <v>614</v>
      </c>
      <c r="I10">
        <v>946</v>
      </c>
      <c r="J10">
        <v>429</v>
      </c>
      <c r="K10">
        <v>8024</v>
      </c>
      <c r="L10">
        <v>3993</v>
      </c>
      <c r="M10">
        <v>52.8</v>
      </c>
      <c r="N10">
        <v>49.8</v>
      </c>
    </row>
    <row r="11" spans="1:14" x14ac:dyDescent="0.25">
      <c r="A11" t="s">
        <v>291</v>
      </c>
      <c r="B11">
        <v>3</v>
      </c>
      <c r="C11">
        <v>54</v>
      </c>
      <c r="D11">
        <v>21</v>
      </c>
      <c r="E11">
        <v>533</v>
      </c>
      <c r="F11">
        <v>317</v>
      </c>
      <c r="G11">
        <v>0</v>
      </c>
      <c r="H11">
        <v>0</v>
      </c>
      <c r="I11">
        <v>0</v>
      </c>
      <c r="J11">
        <v>0</v>
      </c>
      <c r="K11">
        <v>587</v>
      </c>
      <c r="L11">
        <v>338</v>
      </c>
      <c r="M11">
        <v>59.5</v>
      </c>
      <c r="N11">
        <v>57.6</v>
      </c>
    </row>
    <row r="12" spans="1:14" x14ac:dyDescent="0.25">
      <c r="A12" t="s">
        <v>292</v>
      </c>
      <c r="B12">
        <v>23</v>
      </c>
      <c r="C12">
        <v>1032</v>
      </c>
      <c r="D12">
        <v>545</v>
      </c>
      <c r="E12">
        <v>2208</v>
      </c>
      <c r="F12">
        <v>1135</v>
      </c>
      <c r="G12">
        <v>350</v>
      </c>
      <c r="H12">
        <v>168</v>
      </c>
      <c r="I12">
        <v>46</v>
      </c>
      <c r="J12">
        <v>16</v>
      </c>
      <c r="K12">
        <v>3636</v>
      </c>
      <c r="L12">
        <v>1864</v>
      </c>
      <c r="M12">
        <v>51.4</v>
      </c>
      <c r="N12">
        <v>51.3</v>
      </c>
    </row>
    <row r="13" spans="1:14" x14ac:dyDescent="0.25">
      <c r="A13" t="s">
        <v>293</v>
      </c>
      <c r="B13">
        <v>9</v>
      </c>
      <c r="C13">
        <v>222</v>
      </c>
      <c r="D13">
        <v>109</v>
      </c>
      <c r="E13">
        <v>735</v>
      </c>
      <c r="F13">
        <v>424</v>
      </c>
      <c r="G13">
        <v>0</v>
      </c>
      <c r="H13">
        <v>0</v>
      </c>
      <c r="I13">
        <v>0</v>
      </c>
      <c r="J13">
        <v>0</v>
      </c>
      <c r="K13">
        <v>957</v>
      </c>
      <c r="L13">
        <v>533</v>
      </c>
      <c r="M13">
        <v>57.7</v>
      </c>
      <c r="N13">
        <v>55.7</v>
      </c>
    </row>
    <row r="14" spans="1:14" x14ac:dyDescent="0.25">
      <c r="A14" t="s">
        <v>294</v>
      </c>
      <c r="B14">
        <v>7</v>
      </c>
      <c r="C14">
        <v>130</v>
      </c>
      <c r="D14">
        <v>67</v>
      </c>
      <c r="E14">
        <v>252</v>
      </c>
      <c r="F14">
        <v>121</v>
      </c>
      <c r="G14">
        <v>0</v>
      </c>
      <c r="H14">
        <v>0</v>
      </c>
      <c r="I14">
        <v>0</v>
      </c>
      <c r="J14">
        <v>0</v>
      </c>
      <c r="K14">
        <v>382</v>
      </c>
      <c r="L14">
        <v>188</v>
      </c>
      <c r="M14">
        <v>48</v>
      </c>
      <c r="N14">
        <v>49.2</v>
      </c>
    </row>
    <row r="15" spans="1:14" x14ac:dyDescent="0.25">
      <c r="A15" t="s">
        <v>295</v>
      </c>
      <c r="B15">
        <v>6</v>
      </c>
      <c r="C15">
        <v>283</v>
      </c>
      <c r="D15">
        <v>123</v>
      </c>
      <c r="E15">
        <v>1070</v>
      </c>
      <c r="F15">
        <v>536</v>
      </c>
      <c r="G15">
        <v>0</v>
      </c>
      <c r="H15">
        <v>0</v>
      </c>
      <c r="I15">
        <v>0</v>
      </c>
      <c r="J15">
        <v>0</v>
      </c>
      <c r="K15">
        <v>1353</v>
      </c>
      <c r="L15">
        <v>659</v>
      </c>
      <c r="M15">
        <v>50.1</v>
      </c>
      <c r="N15">
        <v>48.7</v>
      </c>
    </row>
    <row r="16" spans="1:14" x14ac:dyDescent="0.25">
      <c r="A16" t="s">
        <v>296</v>
      </c>
      <c r="B16">
        <v>18</v>
      </c>
      <c r="C16">
        <v>770</v>
      </c>
      <c r="D16">
        <v>351</v>
      </c>
      <c r="E16">
        <v>1528</v>
      </c>
      <c r="F16">
        <v>748</v>
      </c>
      <c r="G16">
        <v>0</v>
      </c>
      <c r="H16">
        <v>0</v>
      </c>
      <c r="I16">
        <v>0</v>
      </c>
      <c r="J16">
        <v>0</v>
      </c>
      <c r="K16">
        <v>2298</v>
      </c>
      <c r="L16">
        <v>1099</v>
      </c>
      <c r="M16">
        <v>49</v>
      </c>
      <c r="N16">
        <v>47.8</v>
      </c>
    </row>
    <row r="17" spans="1:14" x14ac:dyDescent="0.25">
      <c r="A17" t="s">
        <v>297</v>
      </c>
      <c r="B17">
        <v>457</v>
      </c>
      <c r="C17">
        <v>19609</v>
      </c>
      <c r="D17">
        <v>9974</v>
      </c>
      <c r="E17">
        <v>57286</v>
      </c>
      <c r="F17">
        <v>28416</v>
      </c>
      <c r="G17">
        <v>13283</v>
      </c>
      <c r="H17">
        <v>6580</v>
      </c>
      <c r="I17">
        <v>9988</v>
      </c>
      <c r="J17">
        <v>4822</v>
      </c>
      <c r="K17">
        <v>100166</v>
      </c>
      <c r="L17">
        <v>49792</v>
      </c>
      <c r="M17">
        <v>49.6</v>
      </c>
      <c r="N17">
        <v>49.7</v>
      </c>
    </row>
    <row r="18" spans="1:14" x14ac:dyDescent="0.25">
      <c r="A18" t="s">
        <v>298</v>
      </c>
      <c r="B18">
        <v>47</v>
      </c>
      <c r="C18">
        <v>2261</v>
      </c>
      <c r="D18">
        <v>1098</v>
      </c>
      <c r="E18">
        <v>3939</v>
      </c>
      <c r="F18">
        <v>1862</v>
      </c>
      <c r="G18">
        <v>1171</v>
      </c>
      <c r="H18">
        <v>553</v>
      </c>
      <c r="I18">
        <v>814</v>
      </c>
      <c r="J18">
        <v>387</v>
      </c>
      <c r="K18">
        <v>8185</v>
      </c>
      <c r="L18">
        <v>3900</v>
      </c>
      <c r="M18">
        <v>47.3</v>
      </c>
      <c r="N18">
        <v>47.6</v>
      </c>
    </row>
    <row r="19" spans="1:14" x14ac:dyDescent="0.25">
      <c r="A19" t="s">
        <v>299</v>
      </c>
      <c r="B19">
        <v>4</v>
      </c>
      <c r="C19">
        <v>93</v>
      </c>
      <c r="D19">
        <v>44</v>
      </c>
      <c r="E19">
        <v>177</v>
      </c>
      <c r="F19">
        <v>73</v>
      </c>
      <c r="G19">
        <v>0</v>
      </c>
      <c r="H19">
        <v>0</v>
      </c>
      <c r="I19">
        <v>0</v>
      </c>
      <c r="J19">
        <v>0</v>
      </c>
      <c r="K19">
        <v>270</v>
      </c>
      <c r="L19">
        <v>117</v>
      </c>
      <c r="M19">
        <v>41.2</v>
      </c>
      <c r="N19">
        <v>43.3</v>
      </c>
    </row>
    <row r="20" spans="1:14" x14ac:dyDescent="0.25">
      <c r="A20" t="s">
        <v>300</v>
      </c>
      <c r="B20">
        <v>6</v>
      </c>
      <c r="C20">
        <v>134</v>
      </c>
      <c r="D20">
        <v>76</v>
      </c>
      <c r="E20">
        <v>78</v>
      </c>
      <c r="F20">
        <v>37</v>
      </c>
      <c r="G20">
        <v>0</v>
      </c>
      <c r="H20">
        <v>0</v>
      </c>
      <c r="I20">
        <v>133</v>
      </c>
      <c r="J20">
        <v>78</v>
      </c>
      <c r="K20">
        <v>345</v>
      </c>
      <c r="L20">
        <v>191</v>
      </c>
      <c r="M20">
        <v>47.4</v>
      </c>
      <c r="N20">
        <v>55.4</v>
      </c>
    </row>
    <row r="21" spans="1:14" x14ac:dyDescent="0.25">
      <c r="A21" t="s">
        <v>301</v>
      </c>
      <c r="B21">
        <v>7</v>
      </c>
      <c r="C21">
        <v>838</v>
      </c>
      <c r="D21">
        <v>400</v>
      </c>
      <c r="E21">
        <v>1016</v>
      </c>
      <c r="F21">
        <v>522</v>
      </c>
      <c r="G21">
        <v>0</v>
      </c>
      <c r="H21">
        <v>0</v>
      </c>
      <c r="I21">
        <v>0</v>
      </c>
      <c r="J21">
        <v>0</v>
      </c>
      <c r="K21">
        <v>1854</v>
      </c>
      <c r="L21">
        <v>922</v>
      </c>
      <c r="M21">
        <v>51.4</v>
      </c>
      <c r="N21">
        <v>49.7</v>
      </c>
    </row>
    <row r="22" spans="1:14" x14ac:dyDescent="0.25">
      <c r="A22" t="s">
        <v>302</v>
      </c>
      <c r="B22">
        <v>14</v>
      </c>
      <c r="C22">
        <v>984</v>
      </c>
      <c r="D22">
        <v>496</v>
      </c>
      <c r="E22">
        <v>1609</v>
      </c>
      <c r="F22">
        <v>721</v>
      </c>
      <c r="G22">
        <v>235</v>
      </c>
      <c r="H22">
        <v>114</v>
      </c>
      <c r="I22">
        <v>19</v>
      </c>
      <c r="J22">
        <v>9</v>
      </c>
      <c r="K22">
        <v>2847</v>
      </c>
      <c r="L22">
        <v>1340</v>
      </c>
      <c r="M22">
        <v>44.8</v>
      </c>
      <c r="N22">
        <v>47.1</v>
      </c>
    </row>
    <row r="23" spans="1:14" x14ac:dyDescent="0.25">
      <c r="A23" t="s">
        <v>303</v>
      </c>
      <c r="B23">
        <v>102</v>
      </c>
      <c r="C23">
        <v>6671</v>
      </c>
      <c r="D23">
        <v>3438</v>
      </c>
      <c r="E23">
        <v>5408</v>
      </c>
      <c r="F23">
        <v>2478</v>
      </c>
      <c r="G23">
        <v>1946</v>
      </c>
      <c r="H23">
        <v>934</v>
      </c>
      <c r="I23">
        <v>1323</v>
      </c>
      <c r="J23">
        <v>664</v>
      </c>
      <c r="K23">
        <v>15348</v>
      </c>
      <c r="L23">
        <v>7514</v>
      </c>
      <c r="M23">
        <v>45.8</v>
      </c>
      <c r="N23">
        <v>49</v>
      </c>
    </row>
    <row r="24" spans="1:14" x14ac:dyDescent="0.25">
      <c r="A24" t="s">
        <v>304</v>
      </c>
      <c r="B24">
        <v>5</v>
      </c>
      <c r="C24">
        <v>351</v>
      </c>
      <c r="D24">
        <v>174</v>
      </c>
      <c r="E24">
        <v>0</v>
      </c>
      <c r="F24">
        <v>0</v>
      </c>
      <c r="G24">
        <v>17</v>
      </c>
      <c r="H24">
        <v>10</v>
      </c>
      <c r="I24">
        <v>10</v>
      </c>
      <c r="J24">
        <v>5</v>
      </c>
      <c r="K24">
        <v>378</v>
      </c>
      <c r="L24">
        <v>189</v>
      </c>
      <c r="N24">
        <v>50</v>
      </c>
    </row>
    <row r="25" spans="1:14" x14ac:dyDescent="0.25">
      <c r="A25" t="s">
        <v>305</v>
      </c>
      <c r="B25">
        <v>6</v>
      </c>
      <c r="C25">
        <v>113</v>
      </c>
      <c r="D25">
        <v>54</v>
      </c>
      <c r="E25">
        <v>219</v>
      </c>
      <c r="F25">
        <v>117</v>
      </c>
      <c r="G25">
        <v>0</v>
      </c>
      <c r="H25">
        <v>0</v>
      </c>
      <c r="I25">
        <v>0</v>
      </c>
      <c r="J25">
        <v>0</v>
      </c>
      <c r="K25">
        <v>332</v>
      </c>
      <c r="L25">
        <v>171</v>
      </c>
      <c r="M25">
        <v>53.4</v>
      </c>
      <c r="N25">
        <v>51.5</v>
      </c>
    </row>
    <row r="26" spans="1:14" x14ac:dyDescent="0.25">
      <c r="A26" t="s">
        <v>306</v>
      </c>
      <c r="B26">
        <v>34</v>
      </c>
      <c r="C26">
        <v>1201</v>
      </c>
      <c r="D26">
        <v>627</v>
      </c>
      <c r="E26">
        <v>1945</v>
      </c>
      <c r="F26">
        <v>928</v>
      </c>
      <c r="G26">
        <v>509</v>
      </c>
      <c r="H26">
        <v>226</v>
      </c>
      <c r="I26">
        <v>335</v>
      </c>
      <c r="J26">
        <v>193</v>
      </c>
      <c r="K26">
        <v>3990</v>
      </c>
      <c r="L26">
        <v>1974</v>
      </c>
      <c r="M26">
        <v>47.7</v>
      </c>
      <c r="N26">
        <v>49.5</v>
      </c>
    </row>
    <row r="27" spans="1:14" x14ac:dyDescent="0.25">
      <c r="A27" t="s">
        <v>307</v>
      </c>
      <c r="B27">
        <v>14</v>
      </c>
      <c r="C27">
        <v>333</v>
      </c>
      <c r="D27">
        <v>159</v>
      </c>
      <c r="E27">
        <v>1088</v>
      </c>
      <c r="F27">
        <v>476</v>
      </c>
      <c r="G27">
        <v>210</v>
      </c>
      <c r="H27">
        <v>108</v>
      </c>
      <c r="I27">
        <v>158</v>
      </c>
      <c r="J27">
        <v>88</v>
      </c>
      <c r="K27">
        <v>1789</v>
      </c>
      <c r="L27">
        <v>831</v>
      </c>
      <c r="M27">
        <v>43.8</v>
      </c>
      <c r="N27">
        <v>46.5</v>
      </c>
    </row>
    <row r="28" spans="1:14" x14ac:dyDescent="0.25">
      <c r="A28" t="s">
        <v>266</v>
      </c>
      <c r="B28">
        <v>1076</v>
      </c>
      <c r="C28">
        <v>47251</v>
      </c>
      <c r="D28">
        <v>23701</v>
      </c>
      <c r="E28">
        <v>111798</v>
      </c>
      <c r="F28">
        <v>55094</v>
      </c>
      <c r="G28">
        <v>25928</v>
      </c>
      <c r="H28">
        <v>12492</v>
      </c>
      <c r="I28">
        <v>18107</v>
      </c>
      <c r="J28">
        <v>8744</v>
      </c>
      <c r="K28">
        <v>203084</v>
      </c>
      <c r="L28">
        <v>100031</v>
      </c>
      <c r="M28">
        <v>49.3</v>
      </c>
      <c r="N28">
        <v>49.3</v>
      </c>
    </row>
    <row r="29" spans="1:14" x14ac:dyDescent="0.25">
      <c r="A29" t="s">
        <v>459</v>
      </c>
      <c r="B29">
        <v>880</v>
      </c>
      <c r="C29">
        <v>39636</v>
      </c>
      <c r="D29">
        <v>20011</v>
      </c>
      <c r="E29">
        <v>93224</v>
      </c>
      <c r="F29">
        <v>45790</v>
      </c>
      <c r="G29">
        <v>22731</v>
      </c>
      <c r="H29">
        <v>11102</v>
      </c>
      <c r="I29">
        <v>16663</v>
      </c>
      <c r="J29">
        <v>8061</v>
      </c>
      <c r="K29">
        <v>172254</v>
      </c>
      <c r="L29">
        <v>84964</v>
      </c>
      <c r="M29">
        <v>49.1</v>
      </c>
      <c r="N29">
        <v>49.3</v>
      </c>
    </row>
    <row r="30" spans="1:14" x14ac:dyDescent="0.25">
      <c r="A30" t="s">
        <v>460</v>
      </c>
      <c r="B30">
        <v>196</v>
      </c>
      <c r="C30">
        <v>7615</v>
      </c>
      <c r="D30">
        <v>3690</v>
      </c>
      <c r="E30">
        <v>18574</v>
      </c>
      <c r="F30">
        <v>9304</v>
      </c>
      <c r="G30">
        <v>3197</v>
      </c>
      <c r="H30">
        <v>1390</v>
      </c>
      <c r="I30">
        <v>1444</v>
      </c>
      <c r="J30">
        <v>683</v>
      </c>
      <c r="K30">
        <v>30830</v>
      </c>
      <c r="L30">
        <v>15067</v>
      </c>
      <c r="M30">
        <v>50.1</v>
      </c>
      <c r="N30">
        <v>48.9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0.7109375" customWidth="1"/>
    <col min="3" max="3" width="10.42578125" customWidth="1"/>
    <col min="4" max="4" width="10.7109375" customWidth="1"/>
    <col min="7" max="7" width="10.42578125" customWidth="1"/>
    <col min="8" max="8" width="10.7109375" customWidth="1"/>
    <col min="11" max="11" width="10.42578125" customWidth="1"/>
    <col min="12" max="12" width="10.7109375" customWidth="1"/>
  </cols>
  <sheetData>
    <row r="1" spans="1:14" x14ac:dyDescent="0.25">
      <c r="A1" s="29" t="s">
        <v>252</v>
      </c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121</v>
      </c>
      <c r="C3">
        <v>3393</v>
      </c>
      <c r="D3">
        <v>1653</v>
      </c>
      <c r="E3">
        <v>14332</v>
      </c>
      <c r="F3">
        <v>6879</v>
      </c>
      <c r="G3">
        <v>2917</v>
      </c>
      <c r="H3">
        <v>1421</v>
      </c>
      <c r="I3">
        <v>1300</v>
      </c>
      <c r="J3">
        <v>658</v>
      </c>
      <c r="K3">
        <v>21942</v>
      </c>
      <c r="L3">
        <v>10611</v>
      </c>
      <c r="M3">
        <v>48</v>
      </c>
      <c r="N3">
        <v>48.4</v>
      </c>
    </row>
    <row r="4" spans="1:14" x14ac:dyDescent="0.25">
      <c r="A4" t="s">
        <v>284</v>
      </c>
      <c r="B4">
        <v>45</v>
      </c>
      <c r="C4">
        <v>1273</v>
      </c>
      <c r="D4">
        <v>605</v>
      </c>
      <c r="E4">
        <v>4348</v>
      </c>
      <c r="F4">
        <v>2139</v>
      </c>
      <c r="G4">
        <v>1661</v>
      </c>
      <c r="H4">
        <v>813</v>
      </c>
      <c r="I4">
        <v>1522</v>
      </c>
      <c r="J4">
        <v>814</v>
      </c>
      <c r="K4">
        <v>8804</v>
      </c>
      <c r="L4">
        <v>4371</v>
      </c>
      <c r="M4">
        <v>49.2</v>
      </c>
      <c r="N4">
        <v>49.6</v>
      </c>
    </row>
    <row r="5" spans="1:14" x14ac:dyDescent="0.25">
      <c r="A5" t="s">
        <v>285</v>
      </c>
      <c r="B5">
        <v>25</v>
      </c>
      <c r="C5">
        <v>853</v>
      </c>
      <c r="D5">
        <v>455</v>
      </c>
      <c r="E5">
        <v>2532</v>
      </c>
      <c r="F5">
        <v>1213</v>
      </c>
      <c r="G5">
        <v>407</v>
      </c>
      <c r="H5">
        <v>192</v>
      </c>
      <c r="I5">
        <v>218</v>
      </c>
      <c r="J5">
        <v>109</v>
      </c>
      <c r="K5">
        <v>4010</v>
      </c>
      <c r="L5">
        <v>1969</v>
      </c>
      <c r="M5">
        <v>47.9</v>
      </c>
      <c r="N5">
        <v>49.1</v>
      </c>
    </row>
    <row r="6" spans="1:14" x14ac:dyDescent="0.25">
      <c r="A6" t="s">
        <v>286</v>
      </c>
      <c r="B6">
        <v>25</v>
      </c>
      <c r="C6">
        <v>1532</v>
      </c>
      <c r="D6">
        <v>736</v>
      </c>
      <c r="E6">
        <v>1905</v>
      </c>
      <c r="F6">
        <v>905</v>
      </c>
      <c r="G6">
        <v>608</v>
      </c>
      <c r="H6">
        <v>230</v>
      </c>
      <c r="I6">
        <v>460</v>
      </c>
      <c r="J6">
        <v>184</v>
      </c>
      <c r="K6">
        <v>4505</v>
      </c>
      <c r="L6">
        <v>2055</v>
      </c>
      <c r="M6">
        <v>47.5</v>
      </c>
      <c r="N6">
        <v>45.6</v>
      </c>
    </row>
    <row r="7" spans="1:14" x14ac:dyDescent="0.25">
      <c r="A7" t="s">
        <v>287</v>
      </c>
      <c r="B7">
        <v>50</v>
      </c>
      <c r="C7">
        <v>2917</v>
      </c>
      <c r="D7">
        <v>1514</v>
      </c>
      <c r="E7">
        <v>4276</v>
      </c>
      <c r="F7">
        <v>2189</v>
      </c>
      <c r="G7">
        <v>740</v>
      </c>
      <c r="H7">
        <v>372</v>
      </c>
      <c r="I7">
        <v>201</v>
      </c>
      <c r="J7">
        <v>104</v>
      </c>
      <c r="K7">
        <v>8134</v>
      </c>
      <c r="L7">
        <v>4179</v>
      </c>
      <c r="M7">
        <v>51.2</v>
      </c>
      <c r="N7">
        <v>51.4</v>
      </c>
    </row>
    <row r="8" spans="1:14" x14ac:dyDescent="0.25">
      <c r="A8" t="s">
        <v>288</v>
      </c>
      <c r="B8">
        <v>15</v>
      </c>
      <c r="C8">
        <v>342</v>
      </c>
      <c r="D8">
        <v>148</v>
      </c>
      <c r="E8">
        <v>1049</v>
      </c>
      <c r="F8">
        <v>467</v>
      </c>
      <c r="G8">
        <v>210</v>
      </c>
      <c r="H8">
        <v>89</v>
      </c>
      <c r="I8">
        <v>98</v>
      </c>
      <c r="J8">
        <v>50</v>
      </c>
      <c r="K8">
        <v>1699</v>
      </c>
      <c r="L8">
        <v>754</v>
      </c>
      <c r="M8">
        <v>44.5</v>
      </c>
      <c r="N8">
        <v>44.4</v>
      </c>
    </row>
    <row r="9" spans="1:14" x14ac:dyDescent="0.25">
      <c r="A9" t="s">
        <v>289</v>
      </c>
      <c r="B9">
        <v>48</v>
      </c>
      <c r="C9">
        <v>998</v>
      </c>
      <c r="D9">
        <v>499</v>
      </c>
      <c r="E9">
        <v>6234</v>
      </c>
      <c r="F9">
        <v>3285</v>
      </c>
      <c r="G9">
        <v>1337</v>
      </c>
      <c r="H9">
        <v>727</v>
      </c>
      <c r="I9">
        <v>1019</v>
      </c>
      <c r="J9">
        <v>511</v>
      </c>
      <c r="K9">
        <v>9588</v>
      </c>
      <c r="L9">
        <v>5022</v>
      </c>
      <c r="M9">
        <v>52.7</v>
      </c>
      <c r="N9">
        <v>52.4</v>
      </c>
    </row>
    <row r="10" spans="1:14" x14ac:dyDescent="0.25">
      <c r="A10" t="s">
        <v>290</v>
      </c>
      <c r="B10">
        <v>63</v>
      </c>
      <c r="C10">
        <v>1974</v>
      </c>
      <c r="D10">
        <v>1001</v>
      </c>
      <c r="E10">
        <v>5683</v>
      </c>
      <c r="F10">
        <v>2834</v>
      </c>
      <c r="G10">
        <v>1903</v>
      </c>
      <c r="H10">
        <v>762</v>
      </c>
      <c r="I10">
        <v>1137</v>
      </c>
      <c r="J10">
        <v>522</v>
      </c>
      <c r="K10">
        <v>10697</v>
      </c>
      <c r="L10">
        <v>5119</v>
      </c>
      <c r="M10">
        <v>49.9</v>
      </c>
      <c r="N10">
        <v>47.9</v>
      </c>
    </row>
    <row r="11" spans="1:14" x14ac:dyDescent="0.25">
      <c r="A11" t="s">
        <v>291</v>
      </c>
      <c r="B11">
        <v>4</v>
      </c>
      <c r="C11">
        <v>121</v>
      </c>
      <c r="D11">
        <v>61</v>
      </c>
      <c r="E11">
        <v>715</v>
      </c>
      <c r="F11">
        <v>385</v>
      </c>
      <c r="G11">
        <v>0</v>
      </c>
      <c r="H11">
        <v>0</v>
      </c>
      <c r="I11">
        <v>0</v>
      </c>
      <c r="J11">
        <v>0</v>
      </c>
      <c r="K11">
        <v>836</v>
      </c>
      <c r="L11">
        <v>446</v>
      </c>
      <c r="M11">
        <v>53.8</v>
      </c>
      <c r="N11">
        <v>53.3</v>
      </c>
    </row>
    <row r="12" spans="1:14" x14ac:dyDescent="0.25">
      <c r="A12" t="s">
        <v>292</v>
      </c>
      <c r="B12">
        <v>18</v>
      </c>
      <c r="C12">
        <v>316</v>
      </c>
      <c r="D12">
        <v>183</v>
      </c>
      <c r="E12">
        <v>2594</v>
      </c>
      <c r="F12">
        <v>1337</v>
      </c>
      <c r="G12">
        <v>332</v>
      </c>
      <c r="H12">
        <v>147</v>
      </c>
      <c r="I12">
        <v>17</v>
      </c>
      <c r="J12">
        <v>7</v>
      </c>
      <c r="K12">
        <v>3259</v>
      </c>
      <c r="L12">
        <v>1674</v>
      </c>
      <c r="M12">
        <v>51.5</v>
      </c>
      <c r="N12">
        <v>51.4</v>
      </c>
    </row>
    <row r="13" spans="1:14" x14ac:dyDescent="0.25">
      <c r="A13" t="s">
        <v>293</v>
      </c>
      <c r="B13">
        <v>8</v>
      </c>
      <c r="C13">
        <v>162</v>
      </c>
      <c r="D13">
        <v>80</v>
      </c>
      <c r="E13">
        <v>1337</v>
      </c>
      <c r="F13">
        <v>800</v>
      </c>
      <c r="G13">
        <v>0</v>
      </c>
      <c r="H13">
        <v>0</v>
      </c>
      <c r="I13">
        <v>0</v>
      </c>
      <c r="J13">
        <v>0</v>
      </c>
      <c r="K13">
        <v>1499</v>
      </c>
      <c r="L13">
        <v>880</v>
      </c>
      <c r="M13">
        <v>59.8</v>
      </c>
      <c r="N13">
        <v>58.7</v>
      </c>
    </row>
    <row r="14" spans="1:14" x14ac:dyDescent="0.25">
      <c r="A14" t="s">
        <v>294</v>
      </c>
      <c r="B14">
        <v>5</v>
      </c>
      <c r="C14">
        <v>140</v>
      </c>
      <c r="D14">
        <v>65</v>
      </c>
      <c r="E14">
        <v>205</v>
      </c>
      <c r="F14">
        <v>75</v>
      </c>
      <c r="G14">
        <v>0</v>
      </c>
      <c r="H14">
        <v>0</v>
      </c>
      <c r="I14">
        <v>0</v>
      </c>
      <c r="J14">
        <v>0</v>
      </c>
      <c r="K14">
        <v>345</v>
      </c>
      <c r="L14">
        <v>140</v>
      </c>
      <c r="M14">
        <v>36.6</v>
      </c>
      <c r="N14">
        <v>40.6</v>
      </c>
    </row>
    <row r="15" spans="1:14" x14ac:dyDescent="0.25">
      <c r="A15" t="s">
        <v>295</v>
      </c>
      <c r="B15">
        <v>6</v>
      </c>
      <c r="C15">
        <v>272</v>
      </c>
      <c r="D15">
        <v>114</v>
      </c>
      <c r="E15">
        <v>1201</v>
      </c>
      <c r="F15">
        <v>548</v>
      </c>
      <c r="G15">
        <v>0</v>
      </c>
      <c r="H15">
        <v>0</v>
      </c>
      <c r="I15">
        <v>0</v>
      </c>
      <c r="J15">
        <v>0</v>
      </c>
      <c r="K15">
        <v>1473</v>
      </c>
      <c r="L15">
        <v>662</v>
      </c>
      <c r="M15">
        <v>45.6</v>
      </c>
      <c r="N15">
        <v>44.9</v>
      </c>
    </row>
    <row r="16" spans="1:14" x14ac:dyDescent="0.25">
      <c r="A16" t="s">
        <v>296</v>
      </c>
      <c r="B16">
        <v>18</v>
      </c>
      <c r="C16">
        <v>718</v>
      </c>
      <c r="D16">
        <v>335</v>
      </c>
      <c r="E16">
        <v>1527</v>
      </c>
      <c r="F16">
        <v>763</v>
      </c>
      <c r="G16">
        <v>0</v>
      </c>
      <c r="H16">
        <v>0</v>
      </c>
      <c r="I16">
        <v>0</v>
      </c>
      <c r="J16">
        <v>0</v>
      </c>
      <c r="K16">
        <v>2245</v>
      </c>
      <c r="L16">
        <v>1098</v>
      </c>
      <c r="M16">
        <v>50</v>
      </c>
      <c r="N16">
        <v>48.9</v>
      </c>
    </row>
    <row r="17" spans="1:14" x14ac:dyDescent="0.25">
      <c r="A17" t="s">
        <v>297</v>
      </c>
      <c r="B17">
        <v>530</v>
      </c>
      <c r="C17">
        <v>19816</v>
      </c>
      <c r="D17">
        <v>9839</v>
      </c>
      <c r="E17">
        <v>57571</v>
      </c>
      <c r="F17">
        <v>28851</v>
      </c>
      <c r="G17">
        <v>13823</v>
      </c>
      <c r="H17">
        <v>6985</v>
      </c>
      <c r="I17">
        <v>10077</v>
      </c>
      <c r="J17">
        <v>5102</v>
      </c>
      <c r="K17">
        <v>101287</v>
      </c>
      <c r="L17">
        <v>50777</v>
      </c>
      <c r="M17">
        <v>50.1</v>
      </c>
      <c r="N17">
        <v>50.1</v>
      </c>
    </row>
    <row r="18" spans="1:14" x14ac:dyDescent="0.25">
      <c r="A18" t="s">
        <v>298</v>
      </c>
      <c r="B18">
        <v>45</v>
      </c>
      <c r="C18">
        <v>2542</v>
      </c>
      <c r="D18">
        <v>1271</v>
      </c>
      <c r="E18">
        <v>4223</v>
      </c>
      <c r="F18">
        <v>2029</v>
      </c>
      <c r="G18">
        <v>1331</v>
      </c>
      <c r="H18">
        <v>643</v>
      </c>
      <c r="I18">
        <v>842</v>
      </c>
      <c r="J18">
        <v>384</v>
      </c>
      <c r="K18">
        <v>8938</v>
      </c>
      <c r="L18">
        <v>4327</v>
      </c>
      <c r="M18">
        <v>48</v>
      </c>
      <c r="N18">
        <v>48.4</v>
      </c>
    </row>
    <row r="19" spans="1:14" x14ac:dyDescent="0.25">
      <c r="A19" t="s">
        <v>299</v>
      </c>
      <c r="B19">
        <v>4</v>
      </c>
      <c r="C19">
        <v>79</v>
      </c>
      <c r="D19">
        <v>47</v>
      </c>
      <c r="E19">
        <v>186</v>
      </c>
      <c r="F19">
        <v>76</v>
      </c>
      <c r="G19">
        <v>0</v>
      </c>
      <c r="H19">
        <v>0</v>
      </c>
      <c r="I19">
        <v>0</v>
      </c>
      <c r="J19">
        <v>0</v>
      </c>
      <c r="K19">
        <v>265</v>
      </c>
      <c r="L19">
        <v>123</v>
      </c>
      <c r="M19">
        <v>40.9</v>
      </c>
      <c r="N19">
        <v>46.4</v>
      </c>
    </row>
    <row r="20" spans="1:14" x14ac:dyDescent="0.25">
      <c r="A20" t="s">
        <v>300</v>
      </c>
      <c r="B20">
        <v>7</v>
      </c>
      <c r="C20">
        <v>138</v>
      </c>
      <c r="D20">
        <v>81</v>
      </c>
      <c r="E20">
        <v>78</v>
      </c>
      <c r="F20">
        <v>47</v>
      </c>
      <c r="G20">
        <v>0</v>
      </c>
      <c r="H20">
        <v>0</v>
      </c>
      <c r="I20">
        <v>133</v>
      </c>
      <c r="J20">
        <v>78</v>
      </c>
      <c r="K20">
        <v>349</v>
      </c>
      <c r="L20">
        <v>206</v>
      </c>
      <c r="M20">
        <v>60.3</v>
      </c>
      <c r="N20">
        <v>59</v>
      </c>
    </row>
    <row r="21" spans="1:14" x14ac:dyDescent="0.25">
      <c r="A21" t="s">
        <v>301</v>
      </c>
      <c r="B21">
        <v>8</v>
      </c>
      <c r="C21">
        <v>1019</v>
      </c>
      <c r="D21">
        <v>505</v>
      </c>
      <c r="E21">
        <v>1031</v>
      </c>
      <c r="F21">
        <v>559</v>
      </c>
      <c r="G21">
        <v>0</v>
      </c>
      <c r="H21">
        <v>0</v>
      </c>
      <c r="I21">
        <v>0</v>
      </c>
      <c r="J21">
        <v>0</v>
      </c>
      <c r="K21">
        <v>2050</v>
      </c>
      <c r="L21">
        <v>1064</v>
      </c>
      <c r="M21">
        <v>54.2</v>
      </c>
      <c r="N21">
        <v>51.9</v>
      </c>
    </row>
    <row r="22" spans="1:14" x14ac:dyDescent="0.25">
      <c r="A22" t="s">
        <v>302</v>
      </c>
      <c r="B22">
        <v>14</v>
      </c>
      <c r="C22">
        <v>1269</v>
      </c>
      <c r="D22">
        <v>415</v>
      </c>
      <c r="E22">
        <v>1733</v>
      </c>
      <c r="F22">
        <v>814</v>
      </c>
      <c r="G22">
        <v>322</v>
      </c>
      <c r="H22">
        <v>128</v>
      </c>
      <c r="I22">
        <v>149</v>
      </c>
      <c r="J22">
        <v>74</v>
      </c>
      <c r="K22">
        <v>3473</v>
      </c>
      <c r="L22">
        <v>1431</v>
      </c>
      <c r="M22">
        <v>47</v>
      </c>
      <c r="N22">
        <v>41.2</v>
      </c>
    </row>
    <row r="23" spans="1:14" x14ac:dyDescent="0.25">
      <c r="A23" t="s">
        <v>303</v>
      </c>
      <c r="B23">
        <v>102</v>
      </c>
      <c r="C23">
        <v>6530</v>
      </c>
      <c r="D23">
        <v>3265</v>
      </c>
      <c r="E23">
        <v>6197</v>
      </c>
      <c r="F23">
        <v>2954</v>
      </c>
      <c r="G23">
        <v>1557</v>
      </c>
      <c r="H23">
        <v>763</v>
      </c>
      <c r="I23">
        <v>920</v>
      </c>
      <c r="J23">
        <v>455</v>
      </c>
      <c r="K23">
        <v>15204</v>
      </c>
      <c r="L23">
        <v>7437</v>
      </c>
      <c r="M23">
        <v>47.7</v>
      </c>
      <c r="N23">
        <v>48.9</v>
      </c>
    </row>
    <row r="24" spans="1:14" x14ac:dyDescent="0.25">
      <c r="A24" t="s">
        <v>304</v>
      </c>
      <c r="B24">
        <v>4</v>
      </c>
      <c r="C24">
        <v>108</v>
      </c>
      <c r="D24">
        <v>60</v>
      </c>
      <c r="E24">
        <v>154</v>
      </c>
      <c r="F24">
        <v>62</v>
      </c>
      <c r="G24">
        <v>8</v>
      </c>
      <c r="H24">
        <v>3</v>
      </c>
      <c r="I24">
        <v>13</v>
      </c>
      <c r="J24">
        <v>7</v>
      </c>
      <c r="K24">
        <v>283</v>
      </c>
      <c r="L24">
        <v>132</v>
      </c>
      <c r="M24">
        <v>40.299999999999997</v>
      </c>
      <c r="N24">
        <v>46.6</v>
      </c>
    </row>
    <row r="25" spans="1:14" x14ac:dyDescent="0.25">
      <c r="A25" t="s">
        <v>305</v>
      </c>
      <c r="B25">
        <v>6</v>
      </c>
      <c r="C25">
        <v>106</v>
      </c>
      <c r="D25">
        <v>46</v>
      </c>
      <c r="E25">
        <v>198</v>
      </c>
      <c r="F25">
        <v>95</v>
      </c>
      <c r="G25">
        <v>0</v>
      </c>
      <c r="H25">
        <v>0</v>
      </c>
      <c r="I25">
        <v>0</v>
      </c>
      <c r="J25">
        <v>0</v>
      </c>
      <c r="K25">
        <v>304</v>
      </c>
      <c r="L25">
        <v>141</v>
      </c>
      <c r="M25">
        <v>48</v>
      </c>
      <c r="N25">
        <v>46.4</v>
      </c>
    </row>
    <row r="26" spans="1:14" x14ac:dyDescent="0.25">
      <c r="A26" t="s">
        <v>306</v>
      </c>
      <c r="B26">
        <v>24</v>
      </c>
      <c r="C26">
        <v>593</v>
      </c>
      <c r="D26">
        <v>282</v>
      </c>
      <c r="E26">
        <v>1640</v>
      </c>
      <c r="F26">
        <v>767</v>
      </c>
      <c r="G26">
        <v>380</v>
      </c>
      <c r="H26">
        <v>155</v>
      </c>
      <c r="I26">
        <v>247</v>
      </c>
      <c r="J26">
        <v>132</v>
      </c>
      <c r="K26">
        <v>2860</v>
      </c>
      <c r="L26">
        <v>1336</v>
      </c>
      <c r="M26">
        <v>46.8</v>
      </c>
      <c r="N26">
        <v>46.7</v>
      </c>
    </row>
    <row r="27" spans="1:14" x14ac:dyDescent="0.25">
      <c r="A27" t="s">
        <v>307</v>
      </c>
      <c r="B27">
        <v>27</v>
      </c>
      <c r="C27">
        <v>1107</v>
      </c>
      <c r="D27">
        <v>589</v>
      </c>
      <c r="E27">
        <v>1937</v>
      </c>
      <c r="F27">
        <v>1063</v>
      </c>
      <c r="G27">
        <v>915</v>
      </c>
      <c r="H27">
        <v>709</v>
      </c>
      <c r="I27">
        <v>349</v>
      </c>
      <c r="J27">
        <v>265</v>
      </c>
      <c r="K27">
        <v>4308</v>
      </c>
      <c r="L27">
        <v>2626</v>
      </c>
      <c r="M27">
        <v>54.9</v>
      </c>
      <c r="N27">
        <v>61</v>
      </c>
    </row>
    <row r="28" spans="1:14" x14ac:dyDescent="0.25">
      <c r="A28" t="s">
        <v>266</v>
      </c>
      <c r="B28">
        <v>1222</v>
      </c>
      <c r="C28">
        <v>48318</v>
      </c>
      <c r="D28">
        <v>23849</v>
      </c>
      <c r="E28">
        <v>122886</v>
      </c>
      <c r="F28">
        <v>61136</v>
      </c>
      <c r="G28">
        <v>28451</v>
      </c>
      <c r="H28">
        <v>14139</v>
      </c>
      <c r="I28">
        <v>18702</v>
      </c>
      <c r="J28">
        <v>9456</v>
      </c>
      <c r="K28">
        <v>218357</v>
      </c>
      <c r="L28">
        <v>108580</v>
      </c>
      <c r="M28">
        <v>49.8</v>
      </c>
      <c r="N28">
        <v>49.7</v>
      </c>
    </row>
    <row r="29" spans="1:14" x14ac:dyDescent="0.25">
      <c r="A29" t="s">
        <v>459</v>
      </c>
      <c r="B29">
        <v>994</v>
      </c>
      <c r="C29">
        <v>41048</v>
      </c>
      <c r="D29">
        <v>20118</v>
      </c>
      <c r="E29">
        <v>100436</v>
      </c>
      <c r="F29">
        <v>49709</v>
      </c>
      <c r="G29">
        <v>24293</v>
      </c>
      <c r="H29">
        <v>12017</v>
      </c>
      <c r="I29">
        <v>17069</v>
      </c>
      <c r="J29">
        <v>8637</v>
      </c>
      <c r="K29">
        <v>182846</v>
      </c>
      <c r="L29">
        <v>90481</v>
      </c>
      <c r="M29">
        <v>49.5</v>
      </c>
      <c r="N29">
        <v>49.5</v>
      </c>
    </row>
    <row r="30" spans="1:14" x14ac:dyDescent="0.25">
      <c r="A30" t="s">
        <v>460</v>
      </c>
      <c r="B30">
        <v>228</v>
      </c>
      <c r="C30">
        <v>7270</v>
      </c>
      <c r="D30">
        <v>3731</v>
      </c>
      <c r="E30">
        <v>22450</v>
      </c>
      <c r="F30">
        <v>11427</v>
      </c>
      <c r="G30">
        <v>4158</v>
      </c>
      <c r="H30">
        <v>2122</v>
      </c>
      <c r="I30">
        <v>1633</v>
      </c>
      <c r="J30">
        <v>819</v>
      </c>
      <c r="K30">
        <v>35511</v>
      </c>
      <c r="L30">
        <v>18099</v>
      </c>
      <c r="M30">
        <v>50.9</v>
      </c>
      <c r="N30">
        <v>51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5B9BD5"/>
  </sheetPr>
  <dimension ref="A1:P30"/>
  <sheetViews>
    <sheetView workbookViewId="0">
      <selection sqref="A1:A2"/>
    </sheetView>
  </sheetViews>
  <sheetFormatPr defaultRowHeight="15" x14ac:dyDescent="0.25"/>
  <cols>
    <col min="1" max="1" width="20.140625" customWidth="1"/>
    <col min="2" max="2" width="9.42578125" customWidth="1"/>
    <col min="4" max="4" width="10.85546875" customWidth="1"/>
    <col min="5" max="5" width="9.42578125" customWidth="1"/>
    <col min="6" max="6" width="9.28515625" customWidth="1"/>
    <col min="7" max="7" width="9.42578125" customWidth="1"/>
    <col min="9" max="9" width="9.28515625" customWidth="1"/>
    <col min="10" max="10" width="9.42578125" customWidth="1"/>
    <col min="12" max="12" width="9.28515625" customWidth="1"/>
    <col min="13" max="13" width="9.42578125" customWidth="1"/>
    <col min="16" max="16" width="9.28515625" customWidth="1"/>
  </cols>
  <sheetData>
    <row r="1" spans="1:16" x14ac:dyDescent="0.25">
      <c r="A1" s="29" t="s">
        <v>252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3113</v>
      </c>
      <c r="C3">
        <v>1953</v>
      </c>
      <c r="D3">
        <v>14332</v>
      </c>
      <c r="E3">
        <v>1304</v>
      </c>
      <c r="F3">
        <v>1217</v>
      </c>
      <c r="G3">
        <v>732</v>
      </c>
      <c r="H3">
        <v>2917</v>
      </c>
      <c r="I3">
        <v>536</v>
      </c>
      <c r="J3">
        <v>515</v>
      </c>
      <c r="K3">
        <v>348</v>
      </c>
      <c r="L3">
        <v>1300</v>
      </c>
      <c r="M3">
        <v>194</v>
      </c>
      <c r="N3">
        <v>9.1</v>
      </c>
      <c r="O3">
        <v>18.399999999999999</v>
      </c>
      <c r="P3">
        <v>14.9</v>
      </c>
    </row>
    <row r="4" spans="1:16" x14ac:dyDescent="0.25">
      <c r="A4" t="s">
        <v>284</v>
      </c>
      <c r="B4">
        <v>1025</v>
      </c>
      <c r="C4">
        <v>573</v>
      </c>
      <c r="D4">
        <v>4348</v>
      </c>
      <c r="E4">
        <v>531</v>
      </c>
      <c r="F4">
        <v>531</v>
      </c>
      <c r="G4">
        <v>364</v>
      </c>
      <c r="H4">
        <v>1661</v>
      </c>
      <c r="I4">
        <v>292</v>
      </c>
      <c r="J4">
        <v>535</v>
      </c>
      <c r="K4">
        <v>367</v>
      </c>
      <c r="L4">
        <v>1522</v>
      </c>
      <c r="M4">
        <v>278</v>
      </c>
      <c r="N4">
        <v>12.2</v>
      </c>
      <c r="O4">
        <v>17.600000000000001</v>
      </c>
      <c r="P4">
        <v>18.3</v>
      </c>
    </row>
    <row r="5" spans="1:16" x14ac:dyDescent="0.25">
      <c r="A5" t="s">
        <v>285</v>
      </c>
      <c r="B5">
        <v>513</v>
      </c>
      <c r="C5">
        <v>248</v>
      </c>
      <c r="D5">
        <v>2532</v>
      </c>
      <c r="E5">
        <v>605</v>
      </c>
      <c r="F5">
        <v>157</v>
      </c>
      <c r="G5">
        <v>109</v>
      </c>
      <c r="H5">
        <v>407</v>
      </c>
      <c r="I5">
        <v>55</v>
      </c>
      <c r="J5">
        <v>88</v>
      </c>
      <c r="K5">
        <v>64</v>
      </c>
      <c r="L5">
        <v>218</v>
      </c>
      <c r="M5">
        <v>17</v>
      </c>
      <c r="N5">
        <v>23.9</v>
      </c>
      <c r="O5">
        <v>13.5</v>
      </c>
      <c r="P5">
        <v>7.8</v>
      </c>
    </row>
    <row r="6" spans="1:16" x14ac:dyDescent="0.25">
      <c r="A6" t="s">
        <v>286</v>
      </c>
      <c r="B6">
        <v>496</v>
      </c>
      <c r="C6">
        <v>459</v>
      </c>
      <c r="D6">
        <v>1905</v>
      </c>
      <c r="E6">
        <v>56</v>
      </c>
      <c r="F6">
        <v>206</v>
      </c>
      <c r="G6">
        <v>95</v>
      </c>
      <c r="H6">
        <v>608</v>
      </c>
      <c r="I6">
        <v>150</v>
      </c>
      <c r="J6">
        <v>117</v>
      </c>
      <c r="K6">
        <v>59</v>
      </c>
      <c r="L6">
        <v>460</v>
      </c>
      <c r="M6">
        <v>65</v>
      </c>
      <c r="N6">
        <v>2.9</v>
      </c>
      <c r="O6">
        <v>24.7</v>
      </c>
      <c r="P6">
        <v>14.1</v>
      </c>
    </row>
    <row r="7" spans="1:16" x14ac:dyDescent="0.25">
      <c r="A7" t="s">
        <v>287</v>
      </c>
      <c r="B7">
        <v>1062</v>
      </c>
      <c r="C7">
        <v>658</v>
      </c>
      <c r="D7">
        <v>4276</v>
      </c>
      <c r="E7">
        <v>850</v>
      </c>
      <c r="F7">
        <v>284</v>
      </c>
      <c r="G7">
        <v>138</v>
      </c>
      <c r="H7">
        <v>740</v>
      </c>
      <c r="I7">
        <v>207</v>
      </c>
      <c r="J7">
        <v>105</v>
      </c>
      <c r="K7">
        <v>58</v>
      </c>
      <c r="L7">
        <v>201</v>
      </c>
      <c r="M7">
        <v>22</v>
      </c>
      <c r="N7">
        <v>19.899999999999999</v>
      </c>
      <c r="O7">
        <v>28</v>
      </c>
      <c r="P7">
        <v>10.9</v>
      </c>
    </row>
    <row r="8" spans="1:16" x14ac:dyDescent="0.25">
      <c r="A8" t="s">
        <v>288</v>
      </c>
      <c r="B8">
        <v>232</v>
      </c>
      <c r="C8">
        <v>119</v>
      </c>
      <c r="D8">
        <v>1049</v>
      </c>
      <c r="E8">
        <v>117</v>
      </c>
      <c r="F8">
        <v>71</v>
      </c>
      <c r="G8">
        <v>30</v>
      </c>
      <c r="H8">
        <v>210</v>
      </c>
      <c r="I8">
        <v>96</v>
      </c>
      <c r="J8">
        <v>55</v>
      </c>
      <c r="K8">
        <v>20</v>
      </c>
      <c r="L8">
        <v>98</v>
      </c>
      <c r="M8">
        <v>34</v>
      </c>
      <c r="N8">
        <v>11.2</v>
      </c>
      <c r="O8">
        <v>45.7</v>
      </c>
      <c r="P8">
        <v>34.700000000000003</v>
      </c>
    </row>
    <row r="9" spans="1:16" x14ac:dyDescent="0.25">
      <c r="A9" t="s">
        <v>289</v>
      </c>
      <c r="B9">
        <v>2026</v>
      </c>
      <c r="C9">
        <v>473</v>
      </c>
      <c r="D9">
        <v>6234</v>
      </c>
      <c r="E9">
        <v>2487</v>
      </c>
      <c r="F9">
        <v>558</v>
      </c>
      <c r="G9">
        <v>292</v>
      </c>
      <c r="H9">
        <v>1337</v>
      </c>
      <c r="I9">
        <v>364</v>
      </c>
      <c r="J9">
        <v>369</v>
      </c>
      <c r="K9">
        <v>270</v>
      </c>
      <c r="L9">
        <v>1019</v>
      </c>
      <c r="M9">
        <v>153</v>
      </c>
      <c r="N9">
        <v>39.9</v>
      </c>
      <c r="O9">
        <v>27.2</v>
      </c>
      <c r="P9">
        <v>15</v>
      </c>
    </row>
    <row r="10" spans="1:16" x14ac:dyDescent="0.25">
      <c r="A10" t="s">
        <v>290</v>
      </c>
      <c r="B10">
        <v>1483</v>
      </c>
      <c r="C10">
        <v>651</v>
      </c>
      <c r="D10">
        <v>5683</v>
      </c>
      <c r="E10">
        <v>1100</v>
      </c>
      <c r="F10">
        <v>751</v>
      </c>
      <c r="G10">
        <v>405</v>
      </c>
      <c r="H10">
        <v>1903</v>
      </c>
      <c r="I10">
        <v>331</v>
      </c>
      <c r="J10">
        <v>404</v>
      </c>
      <c r="K10">
        <v>307</v>
      </c>
      <c r="L10">
        <v>1137</v>
      </c>
      <c r="M10">
        <v>191</v>
      </c>
      <c r="N10">
        <v>19.399999999999999</v>
      </c>
      <c r="O10">
        <v>17.399999999999999</v>
      </c>
      <c r="P10">
        <v>16.8</v>
      </c>
    </row>
    <row r="11" spans="1:16" x14ac:dyDescent="0.25">
      <c r="A11" t="s">
        <v>291</v>
      </c>
      <c r="B11">
        <v>289</v>
      </c>
      <c r="C11">
        <v>0</v>
      </c>
      <c r="D11">
        <v>715</v>
      </c>
      <c r="E11">
        <v>596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83.4</v>
      </c>
      <c r="O11">
        <v>0</v>
      </c>
      <c r="P11">
        <v>0</v>
      </c>
    </row>
    <row r="12" spans="1:16" x14ac:dyDescent="0.25">
      <c r="A12" t="s">
        <v>292</v>
      </c>
      <c r="B12">
        <v>720</v>
      </c>
      <c r="C12">
        <v>286</v>
      </c>
      <c r="D12">
        <v>2594</v>
      </c>
      <c r="E12">
        <v>420</v>
      </c>
      <c r="F12">
        <v>137</v>
      </c>
      <c r="G12">
        <v>79</v>
      </c>
      <c r="H12">
        <v>332</v>
      </c>
      <c r="I12">
        <v>49</v>
      </c>
      <c r="J12">
        <v>17</v>
      </c>
      <c r="K12">
        <v>14</v>
      </c>
      <c r="L12">
        <v>17</v>
      </c>
      <c r="M12">
        <v>0</v>
      </c>
      <c r="N12">
        <v>16.2</v>
      </c>
      <c r="O12">
        <v>14.8</v>
      </c>
      <c r="P12">
        <v>0</v>
      </c>
    </row>
    <row r="13" spans="1:16" x14ac:dyDescent="0.25">
      <c r="A13" t="s">
        <v>293</v>
      </c>
      <c r="B13">
        <v>753</v>
      </c>
      <c r="C13">
        <v>36</v>
      </c>
      <c r="D13">
        <v>1337</v>
      </c>
      <c r="E13">
        <v>1034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77.3</v>
      </c>
      <c r="O13">
        <v>0</v>
      </c>
      <c r="P13">
        <v>0</v>
      </c>
    </row>
    <row r="14" spans="1:16" x14ac:dyDescent="0.25">
      <c r="A14" t="s">
        <v>294</v>
      </c>
      <c r="B14">
        <v>66</v>
      </c>
      <c r="C14">
        <v>34</v>
      </c>
      <c r="D14">
        <v>205</v>
      </c>
      <c r="E14">
        <v>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8.3000000000000007</v>
      </c>
      <c r="O14">
        <v>0</v>
      </c>
      <c r="P14">
        <v>0</v>
      </c>
    </row>
    <row r="15" spans="1:16" x14ac:dyDescent="0.25">
      <c r="A15" t="s">
        <v>295</v>
      </c>
      <c r="B15">
        <v>306</v>
      </c>
      <c r="C15">
        <v>233</v>
      </c>
      <c r="D15">
        <v>1201</v>
      </c>
      <c r="E15">
        <v>30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2.5</v>
      </c>
      <c r="O15">
        <v>0</v>
      </c>
      <c r="P15">
        <v>0</v>
      </c>
    </row>
    <row r="16" spans="1:16" x14ac:dyDescent="0.25">
      <c r="A16" t="s">
        <v>296</v>
      </c>
      <c r="B16">
        <v>411</v>
      </c>
      <c r="C16">
        <v>297</v>
      </c>
      <c r="D16">
        <v>1527</v>
      </c>
      <c r="E16">
        <v>91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</v>
      </c>
      <c r="O16">
        <v>0</v>
      </c>
      <c r="P16">
        <v>0</v>
      </c>
    </row>
    <row r="17" spans="1:16" x14ac:dyDescent="0.25">
      <c r="A17" t="s">
        <v>297</v>
      </c>
      <c r="B17">
        <v>12600</v>
      </c>
      <c r="C17">
        <v>9478</v>
      </c>
      <c r="D17">
        <v>57571</v>
      </c>
      <c r="E17">
        <v>4047</v>
      </c>
      <c r="F17">
        <v>4929</v>
      </c>
      <c r="G17">
        <v>3614</v>
      </c>
      <c r="H17">
        <v>13823</v>
      </c>
      <c r="I17">
        <v>1646</v>
      </c>
      <c r="J17">
        <v>3710</v>
      </c>
      <c r="K17">
        <v>2794</v>
      </c>
      <c r="L17">
        <v>10077</v>
      </c>
      <c r="M17">
        <v>1151</v>
      </c>
      <c r="N17">
        <v>7</v>
      </c>
      <c r="O17">
        <v>11.9</v>
      </c>
      <c r="P17">
        <v>11.4</v>
      </c>
    </row>
    <row r="18" spans="1:16" x14ac:dyDescent="0.25">
      <c r="A18" t="s">
        <v>298</v>
      </c>
      <c r="B18">
        <v>926</v>
      </c>
      <c r="C18">
        <v>421</v>
      </c>
      <c r="D18">
        <v>4223</v>
      </c>
      <c r="E18">
        <v>577</v>
      </c>
      <c r="F18">
        <v>484</v>
      </c>
      <c r="G18">
        <v>329</v>
      </c>
      <c r="H18">
        <v>1331</v>
      </c>
      <c r="I18">
        <v>217</v>
      </c>
      <c r="J18">
        <v>317</v>
      </c>
      <c r="K18">
        <v>213</v>
      </c>
      <c r="L18">
        <v>842</v>
      </c>
      <c r="M18">
        <v>132</v>
      </c>
      <c r="N18">
        <v>13.7</v>
      </c>
      <c r="O18">
        <v>16.3</v>
      </c>
      <c r="P18">
        <v>15.7</v>
      </c>
    </row>
    <row r="19" spans="1:16" x14ac:dyDescent="0.25">
      <c r="A19" t="s">
        <v>299</v>
      </c>
      <c r="B19">
        <v>63</v>
      </c>
      <c r="C19">
        <v>43</v>
      </c>
      <c r="D19">
        <v>186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4.3</v>
      </c>
      <c r="O19">
        <v>0</v>
      </c>
      <c r="P19">
        <v>0</v>
      </c>
    </row>
    <row r="20" spans="1:16" x14ac:dyDescent="0.25">
      <c r="A20" t="s">
        <v>300</v>
      </c>
      <c r="B20">
        <v>23</v>
      </c>
      <c r="C20">
        <v>12</v>
      </c>
      <c r="D20">
        <v>78</v>
      </c>
      <c r="E20">
        <v>2</v>
      </c>
      <c r="F20">
        <v>0</v>
      </c>
      <c r="G20">
        <v>0</v>
      </c>
      <c r="H20">
        <v>0</v>
      </c>
      <c r="I20">
        <v>0</v>
      </c>
      <c r="J20">
        <v>45</v>
      </c>
      <c r="K20">
        <v>35</v>
      </c>
      <c r="L20">
        <v>133</v>
      </c>
      <c r="M20">
        <v>28</v>
      </c>
      <c r="N20">
        <v>2.6</v>
      </c>
      <c r="O20">
        <v>0</v>
      </c>
      <c r="P20">
        <v>21.1</v>
      </c>
    </row>
    <row r="21" spans="1:16" x14ac:dyDescent="0.25">
      <c r="A21" t="s">
        <v>301</v>
      </c>
      <c r="B21">
        <v>436</v>
      </c>
      <c r="C21">
        <v>131</v>
      </c>
      <c r="D21">
        <v>1031</v>
      </c>
      <c r="E21">
        <v>234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22.7</v>
      </c>
      <c r="O21">
        <v>0</v>
      </c>
      <c r="P21">
        <v>0</v>
      </c>
    </row>
    <row r="22" spans="1:16" x14ac:dyDescent="0.25">
      <c r="A22" t="s">
        <v>302</v>
      </c>
      <c r="B22">
        <v>424</v>
      </c>
      <c r="C22">
        <v>354</v>
      </c>
      <c r="D22">
        <v>1733</v>
      </c>
      <c r="E22">
        <v>60</v>
      </c>
      <c r="F22">
        <v>125</v>
      </c>
      <c r="G22">
        <v>95</v>
      </c>
      <c r="H22">
        <v>322</v>
      </c>
      <c r="I22">
        <v>47</v>
      </c>
      <c r="J22">
        <v>49</v>
      </c>
      <c r="K22">
        <v>49</v>
      </c>
      <c r="L22">
        <v>149</v>
      </c>
      <c r="M22">
        <v>4</v>
      </c>
      <c r="N22">
        <v>3.5</v>
      </c>
      <c r="O22">
        <v>14.6</v>
      </c>
      <c r="P22">
        <v>2.7</v>
      </c>
    </row>
    <row r="23" spans="1:16" x14ac:dyDescent="0.25">
      <c r="A23" t="s">
        <v>303</v>
      </c>
      <c r="B23">
        <v>1557</v>
      </c>
      <c r="C23">
        <v>1012</v>
      </c>
      <c r="D23">
        <v>6197</v>
      </c>
      <c r="E23">
        <v>469</v>
      </c>
      <c r="F23">
        <v>575</v>
      </c>
      <c r="G23">
        <v>386</v>
      </c>
      <c r="H23">
        <v>1557</v>
      </c>
      <c r="I23">
        <v>254</v>
      </c>
      <c r="J23">
        <v>367</v>
      </c>
      <c r="K23">
        <v>255</v>
      </c>
      <c r="L23">
        <v>920</v>
      </c>
      <c r="M23">
        <v>171</v>
      </c>
      <c r="N23">
        <v>7.6</v>
      </c>
      <c r="O23">
        <v>16.3</v>
      </c>
      <c r="P23">
        <v>18.600000000000001</v>
      </c>
    </row>
    <row r="24" spans="1:16" x14ac:dyDescent="0.25">
      <c r="A24" t="s">
        <v>304</v>
      </c>
      <c r="B24">
        <v>41</v>
      </c>
      <c r="C24">
        <v>23</v>
      </c>
      <c r="D24">
        <v>154</v>
      </c>
      <c r="E24">
        <v>9</v>
      </c>
      <c r="F24">
        <v>5</v>
      </c>
      <c r="G24">
        <v>2</v>
      </c>
      <c r="H24">
        <v>8</v>
      </c>
      <c r="I24">
        <v>0</v>
      </c>
      <c r="J24">
        <v>6</v>
      </c>
      <c r="K24">
        <v>3</v>
      </c>
      <c r="L24">
        <v>13</v>
      </c>
      <c r="M24">
        <v>5</v>
      </c>
      <c r="N24">
        <v>5.8</v>
      </c>
      <c r="O24">
        <v>0</v>
      </c>
      <c r="P24">
        <v>38.5</v>
      </c>
    </row>
    <row r="25" spans="1:16" x14ac:dyDescent="0.25">
      <c r="A25" t="s">
        <v>305</v>
      </c>
      <c r="B25">
        <v>72</v>
      </c>
      <c r="C25">
        <v>55</v>
      </c>
      <c r="D25">
        <v>198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2.5</v>
      </c>
      <c r="O25">
        <v>0</v>
      </c>
      <c r="P25">
        <v>0</v>
      </c>
    </row>
    <row r="26" spans="1:16" x14ac:dyDescent="0.25">
      <c r="A26" t="s">
        <v>306</v>
      </c>
      <c r="B26">
        <v>469</v>
      </c>
      <c r="C26">
        <v>353</v>
      </c>
      <c r="D26">
        <v>1640</v>
      </c>
      <c r="E26">
        <v>50</v>
      </c>
      <c r="F26">
        <v>139</v>
      </c>
      <c r="G26">
        <v>113</v>
      </c>
      <c r="H26">
        <v>380</v>
      </c>
      <c r="I26">
        <v>23</v>
      </c>
      <c r="J26">
        <v>72</v>
      </c>
      <c r="K26">
        <v>53</v>
      </c>
      <c r="L26">
        <v>247</v>
      </c>
      <c r="M26">
        <v>22</v>
      </c>
      <c r="N26">
        <v>3</v>
      </c>
      <c r="O26">
        <v>6.1</v>
      </c>
      <c r="P26">
        <v>8.9</v>
      </c>
    </row>
    <row r="27" spans="1:16" x14ac:dyDescent="0.25">
      <c r="A27" t="s">
        <v>307</v>
      </c>
      <c r="B27">
        <v>430</v>
      </c>
      <c r="C27">
        <v>222</v>
      </c>
      <c r="D27">
        <v>1937</v>
      </c>
      <c r="E27">
        <v>486</v>
      </c>
      <c r="F27">
        <v>447</v>
      </c>
      <c r="G27">
        <v>142</v>
      </c>
      <c r="H27">
        <v>915</v>
      </c>
      <c r="I27">
        <v>304</v>
      </c>
      <c r="J27">
        <v>125</v>
      </c>
      <c r="K27">
        <v>41</v>
      </c>
      <c r="L27">
        <v>349</v>
      </c>
      <c r="M27">
        <v>168</v>
      </c>
      <c r="N27">
        <v>25.1</v>
      </c>
      <c r="O27">
        <v>33.200000000000003</v>
      </c>
      <c r="P27">
        <v>48.1</v>
      </c>
    </row>
    <row r="28" spans="1:16" x14ac:dyDescent="0.25">
      <c r="A28" t="s">
        <v>266</v>
      </c>
      <c r="B28">
        <v>29536</v>
      </c>
      <c r="C28">
        <v>18124</v>
      </c>
      <c r="D28">
        <v>122886</v>
      </c>
      <c r="E28">
        <v>15185</v>
      </c>
      <c r="F28">
        <v>10616</v>
      </c>
      <c r="G28">
        <v>6925</v>
      </c>
      <c r="H28">
        <v>28451</v>
      </c>
      <c r="I28">
        <v>4571</v>
      </c>
      <c r="J28">
        <v>6896</v>
      </c>
      <c r="K28">
        <v>4950</v>
      </c>
      <c r="L28">
        <v>18702</v>
      </c>
      <c r="M28">
        <v>2635</v>
      </c>
      <c r="N28">
        <v>12.4</v>
      </c>
      <c r="O28">
        <v>16.100000000000001</v>
      </c>
      <c r="P28">
        <v>14.1</v>
      </c>
    </row>
    <row r="29" spans="1:16" x14ac:dyDescent="0.25">
      <c r="A29" t="s">
        <v>459</v>
      </c>
      <c r="B29">
        <v>23108</v>
      </c>
      <c r="C29">
        <v>15821</v>
      </c>
      <c r="D29">
        <v>100436</v>
      </c>
      <c r="E29">
        <v>8544</v>
      </c>
      <c r="F29">
        <v>8867</v>
      </c>
      <c r="G29">
        <v>6153</v>
      </c>
      <c r="H29">
        <v>24293</v>
      </c>
      <c r="I29">
        <v>3375</v>
      </c>
      <c r="J29">
        <v>6265</v>
      </c>
      <c r="K29">
        <v>4657</v>
      </c>
      <c r="L29">
        <v>17069</v>
      </c>
      <c r="M29">
        <v>2156</v>
      </c>
      <c r="N29">
        <v>8.5</v>
      </c>
      <c r="O29">
        <v>13.9</v>
      </c>
      <c r="P29">
        <v>12.6</v>
      </c>
    </row>
    <row r="30" spans="1:16" x14ac:dyDescent="0.25">
      <c r="A30" t="s">
        <v>460</v>
      </c>
      <c r="B30">
        <v>6428</v>
      </c>
      <c r="C30">
        <v>2303</v>
      </c>
      <c r="D30">
        <v>22450</v>
      </c>
      <c r="E30">
        <v>6641</v>
      </c>
      <c r="F30">
        <v>1749</v>
      </c>
      <c r="G30">
        <v>772</v>
      </c>
      <c r="H30">
        <v>4158</v>
      </c>
      <c r="I30">
        <v>1196</v>
      </c>
      <c r="J30">
        <v>631</v>
      </c>
      <c r="K30">
        <v>293</v>
      </c>
      <c r="L30">
        <v>1633</v>
      </c>
      <c r="M30">
        <v>479</v>
      </c>
      <c r="N30">
        <v>29.6</v>
      </c>
      <c r="O30">
        <v>28.8</v>
      </c>
      <c r="P30">
        <v>29.3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5B9BD5"/>
  </sheetPr>
  <dimension ref="A1:P30"/>
  <sheetViews>
    <sheetView workbookViewId="0"/>
  </sheetViews>
  <sheetFormatPr defaultRowHeight="15" x14ac:dyDescent="0.25"/>
  <cols>
    <col min="1" max="1" width="20.42578125" customWidth="1"/>
    <col min="2" max="2" width="9.85546875" customWidth="1"/>
    <col min="3" max="3" width="9.42578125" customWidth="1"/>
    <col min="5" max="5" width="9.85546875" customWidth="1"/>
    <col min="6" max="6" width="9.42578125" customWidth="1"/>
    <col min="7" max="7" width="9.85546875" customWidth="1"/>
    <col min="8" max="8" width="9.42578125" customWidth="1"/>
    <col min="10" max="10" width="9.85546875" customWidth="1"/>
    <col min="11" max="11" width="9.42578125" customWidth="1"/>
    <col min="12" max="12" width="9.85546875" customWidth="1"/>
    <col min="13" max="13" width="9.42578125" customWidth="1"/>
    <col min="15" max="15" width="9.85546875" customWidth="1"/>
    <col min="16" max="16" width="9.42578125" customWidth="1"/>
  </cols>
  <sheetData>
    <row r="1" spans="1:16" x14ac:dyDescent="0.25">
      <c r="A1" s="29" t="s">
        <v>252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1454</v>
      </c>
      <c r="C3">
        <v>941</v>
      </c>
      <c r="D3">
        <v>6879</v>
      </c>
      <c r="E3">
        <v>571</v>
      </c>
      <c r="F3">
        <v>598</v>
      </c>
      <c r="G3">
        <v>378</v>
      </c>
      <c r="H3">
        <v>1421</v>
      </c>
      <c r="I3">
        <v>234</v>
      </c>
      <c r="J3">
        <v>276</v>
      </c>
      <c r="K3">
        <v>196</v>
      </c>
      <c r="L3">
        <v>658</v>
      </c>
      <c r="M3">
        <v>68</v>
      </c>
      <c r="N3">
        <v>8.3000000000000007</v>
      </c>
      <c r="O3">
        <v>16.5</v>
      </c>
      <c r="P3">
        <v>10.3</v>
      </c>
    </row>
    <row r="4" spans="1:16" x14ac:dyDescent="0.25">
      <c r="A4" t="s">
        <v>284</v>
      </c>
      <c r="B4">
        <v>487</v>
      </c>
      <c r="C4">
        <v>278</v>
      </c>
      <c r="D4">
        <v>2139</v>
      </c>
      <c r="E4">
        <v>250</v>
      </c>
      <c r="F4">
        <v>275</v>
      </c>
      <c r="G4">
        <v>196</v>
      </c>
      <c r="H4">
        <v>813</v>
      </c>
      <c r="I4">
        <v>124</v>
      </c>
      <c r="J4">
        <v>282</v>
      </c>
      <c r="K4">
        <v>201</v>
      </c>
      <c r="L4">
        <v>814</v>
      </c>
      <c r="M4">
        <v>132</v>
      </c>
      <c r="N4">
        <v>11.7</v>
      </c>
      <c r="O4">
        <v>15.3</v>
      </c>
      <c r="P4">
        <v>16.2</v>
      </c>
    </row>
    <row r="5" spans="1:16" x14ac:dyDescent="0.25">
      <c r="A5" t="s">
        <v>285</v>
      </c>
      <c r="B5">
        <v>268</v>
      </c>
      <c r="C5">
        <v>119</v>
      </c>
      <c r="D5">
        <v>1213</v>
      </c>
      <c r="E5">
        <v>300</v>
      </c>
      <c r="F5">
        <v>71</v>
      </c>
      <c r="G5">
        <v>44</v>
      </c>
      <c r="H5">
        <v>192</v>
      </c>
      <c r="I5">
        <v>27</v>
      </c>
      <c r="J5">
        <v>48</v>
      </c>
      <c r="K5">
        <v>36</v>
      </c>
      <c r="L5">
        <v>109</v>
      </c>
      <c r="M5">
        <v>9</v>
      </c>
      <c r="N5">
        <v>24.7</v>
      </c>
      <c r="O5">
        <v>14.1</v>
      </c>
      <c r="P5">
        <v>8.3000000000000007</v>
      </c>
    </row>
    <row r="6" spans="1:16" x14ac:dyDescent="0.25">
      <c r="A6" t="s">
        <v>286</v>
      </c>
      <c r="B6">
        <v>260</v>
      </c>
      <c r="C6">
        <v>241</v>
      </c>
      <c r="D6">
        <v>905</v>
      </c>
      <c r="E6">
        <v>19</v>
      </c>
      <c r="F6">
        <v>79</v>
      </c>
      <c r="G6">
        <v>36</v>
      </c>
      <c r="H6">
        <v>230</v>
      </c>
      <c r="I6">
        <v>49</v>
      </c>
      <c r="J6">
        <v>36</v>
      </c>
      <c r="K6">
        <v>19</v>
      </c>
      <c r="L6">
        <v>184</v>
      </c>
      <c r="M6">
        <v>15</v>
      </c>
      <c r="N6">
        <v>2.1</v>
      </c>
      <c r="O6">
        <v>21.3</v>
      </c>
      <c r="P6">
        <v>8.1999999999999993</v>
      </c>
    </row>
    <row r="7" spans="1:16" x14ac:dyDescent="0.25">
      <c r="A7" t="s">
        <v>287</v>
      </c>
      <c r="B7">
        <v>540</v>
      </c>
      <c r="C7">
        <v>330</v>
      </c>
      <c r="D7">
        <v>2189</v>
      </c>
      <c r="E7">
        <v>459</v>
      </c>
      <c r="F7">
        <v>132</v>
      </c>
      <c r="G7">
        <v>68</v>
      </c>
      <c r="H7">
        <v>372</v>
      </c>
      <c r="I7">
        <v>107</v>
      </c>
      <c r="J7">
        <v>55</v>
      </c>
      <c r="K7">
        <v>26</v>
      </c>
      <c r="L7">
        <v>104</v>
      </c>
      <c r="M7">
        <v>9</v>
      </c>
      <c r="N7">
        <v>21</v>
      </c>
      <c r="O7">
        <v>28.8</v>
      </c>
      <c r="P7">
        <v>8.6999999999999993</v>
      </c>
    </row>
    <row r="8" spans="1:16" x14ac:dyDescent="0.25">
      <c r="A8" t="s">
        <v>288</v>
      </c>
      <c r="B8">
        <v>91</v>
      </c>
      <c r="C8">
        <v>38</v>
      </c>
      <c r="D8">
        <v>467</v>
      </c>
      <c r="E8">
        <v>49</v>
      </c>
      <c r="F8">
        <v>26</v>
      </c>
      <c r="G8">
        <v>13</v>
      </c>
      <c r="H8">
        <v>89</v>
      </c>
      <c r="I8">
        <v>39</v>
      </c>
      <c r="J8">
        <v>25</v>
      </c>
      <c r="K8">
        <v>12</v>
      </c>
      <c r="L8">
        <v>50</v>
      </c>
      <c r="M8">
        <v>18</v>
      </c>
      <c r="N8">
        <v>10.5</v>
      </c>
      <c r="O8">
        <v>43.8</v>
      </c>
      <c r="P8">
        <v>36</v>
      </c>
    </row>
    <row r="9" spans="1:16" x14ac:dyDescent="0.25">
      <c r="A9" t="s">
        <v>289</v>
      </c>
      <c r="B9">
        <v>1049</v>
      </c>
      <c r="C9">
        <v>216</v>
      </c>
      <c r="D9">
        <v>3285</v>
      </c>
      <c r="E9">
        <v>1390</v>
      </c>
      <c r="F9">
        <v>302</v>
      </c>
      <c r="G9">
        <v>155</v>
      </c>
      <c r="H9">
        <v>727</v>
      </c>
      <c r="I9">
        <v>199</v>
      </c>
      <c r="J9">
        <v>184</v>
      </c>
      <c r="K9">
        <v>137</v>
      </c>
      <c r="L9">
        <v>511</v>
      </c>
      <c r="M9">
        <v>76</v>
      </c>
      <c r="N9">
        <v>42.3</v>
      </c>
      <c r="O9">
        <v>27.4</v>
      </c>
      <c r="P9">
        <v>14.9</v>
      </c>
    </row>
    <row r="10" spans="1:16" x14ac:dyDescent="0.25">
      <c r="A10" t="s">
        <v>290</v>
      </c>
      <c r="B10">
        <v>776</v>
      </c>
      <c r="C10">
        <v>295</v>
      </c>
      <c r="D10">
        <v>2834</v>
      </c>
      <c r="E10">
        <v>595</v>
      </c>
      <c r="F10">
        <v>292</v>
      </c>
      <c r="G10">
        <v>189</v>
      </c>
      <c r="H10">
        <v>762</v>
      </c>
      <c r="I10">
        <v>135</v>
      </c>
      <c r="J10">
        <v>180</v>
      </c>
      <c r="K10">
        <v>144</v>
      </c>
      <c r="L10">
        <v>522</v>
      </c>
      <c r="M10">
        <v>65</v>
      </c>
      <c r="N10">
        <v>21</v>
      </c>
      <c r="O10">
        <v>17.7</v>
      </c>
      <c r="P10">
        <v>12.5</v>
      </c>
    </row>
    <row r="11" spans="1:16" x14ac:dyDescent="0.25">
      <c r="A11" t="s">
        <v>291</v>
      </c>
      <c r="B11">
        <v>143</v>
      </c>
      <c r="C11">
        <v>0</v>
      </c>
      <c r="D11">
        <v>385</v>
      </c>
      <c r="E11">
        <v>325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84.4</v>
      </c>
      <c r="O11">
        <v>0</v>
      </c>
      <c r="P11">
        <v>0</v>
      </c>
    </row>
    <row r="12" spans="1:16" x14ac:dyDescent="0.25">
      <c r="A12" t="s">
        <v>292</v>
      </c>
      <c r="B12">
        <v>362</v>
      </c>
      <c r="C12">
        <v>153</v>
      </c>
      <c r="D12">
        <v>1337</v>
      </c>
      <c r="E12">
        <v>222</v>
      </c>
      <c r="F12">
        <v>57</v>
      </c>
      <c r="G12">
        <v>39</v>
      </c>
      <c r="H12">
        <v>147</v>
      </c>
      <c r="I12">
        <v>17</v>
      </c>
      <c r="J12">
        <v>7</v>
      </c>
      <c r="K12">
        <v>7</v>
      </c>
      <c r="L12">
        <v>7</v>
      </c>
      <c r="M12">
        <v>0</v>
      </c>
      <c r="N12">
        <v>16.600000000000001</v>
      </c>
      <c r="O12">
        <v>11.6</v>
      </c>
      <c r="P12">
        <v>0</v>
      </c>
    </row>
    <row r="13" spans="1:16" x14ac:dyDescent="0.25">
      <c r="A13" t="s">
        <v>293</v>
      </c>
      <c r="B13">
        <v>454</v>
      </c>
      <c r="C13">
        <v>14</v>
      </c>
      <c r="D13">
        <v>800</v>
      </c>
      <c r="E13">
        <v>650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81.3</v>
      </c>
      <c r="O13">
        <v>0</v>
      </c>
      <c r="P13">
        <v>0</v>
      </c>
    </row>
    <row r="14" spans="1:16" x14ac:dyDescent="0.25">
      <c r="A14" t="s">
        <v>294</v>
      </c>
      <c r="B14">
        <v>19</v>
      </c>
      <c r="C14">
        <v>13</v>
      </c>
      <c r="D14">
        <v>75</v>
      </c>
      <c r="E14">
        <v>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8</v>
      </c>
      <c r="O14">
        <v>0</v>
      </c>
      <c r="P14">
        <v>0</v>
      </c>
    </row>
    <row r="15" spans="1:16" x14ac:dyDescent="0.25">
      <c r="A15" t="s">
        <v>295</v>
      </c>
      <c r="B15">
        <v>126</v>
      </c>
      <c r="C15">
        <v>101</v>
      </c>
      <c r="D15">
        <v>548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1.6</v>
      </c>
      <c r="O15">
        <v>0</v>
      </c>
      <c r="P15">
        <v>0</v>
      </c>
    </row>
    <row r="16" spans="1:16" x14ac:dyDescent="0.25">
      <c r="A16" t="s">
        <v>296</v>
      </c>
      <c r="B16">
        <v>190</v>
      </c>
      <c r="C16">
        <v>153</v>
      </c>
      <c r="D16">
        <v>763</v>
      </c>
      <c r="E16">
        <v>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5.0999999999999996</v>
      </c>
      <c r="O16">
        <v>0</v>
      </c>
      <c r="P16">
        <v>0</v>
      </c>
    </row>
    <row r="17" spans="1:16" x14ac:dyDescent="0.25">
      <c r="A17" t="s">
        <v>297</v>
      </c>
      <c r="B17">
        <v>6309</v>
      </c>
      <c r="C17">
        <v>4728</v>
      </c>
      <c r="D17">
        <v>28851</v>
      </c>
      <c r="E17">
        <v>1882</v>
      </c>
      <c r="F17">
        <v>2467</v>
      </c>
      <c r="G17">
        <v>1835</v>
      </c>
      <c r="H17">
        <v>6985</v>
      </c>
      <c r="I17">
        <v>787</v>
      </c>
      <c r="J17">
        <v>1793</v>
      </c>
      <c r="K17">
        <v>1435</v>
      </c>
      <c r="L17">
        <v>5102</v>
      </c>
      <c r="M17">
        <v>539</v>
      </c>
      <c r="N17">
        <v>6.5</v>
      </c>
      <c r="O17">
        <v>11.3</v>
      </c>
      <c r="P17">
        <v>10.6</v>
      </c>
    </row>
    <row r="18" spans="1:16" x14ac:dyDescent="0.25">
      <c r="A18" t="s">
        <v>298</v>
      </c>
      <c r="B18">
        <v>455</v>
      </c>
      <c r="C18">
        <v>206</v>
      </c>
      <c r="D18">
        <v>2029</v>
      </c>
      <c r="E18">
        <v>273</v>
      </c>
      <c r="F18">
        <v>229</v>
      </c>
      <c r="G18">
        <v>170</v>
      </c>
      <c r="H18">
        <v>643</v>
      </c>
      <c r="I18">
        <v>96</v>
      </c>
      <c r="J18">
        <v>145</v>
      </c>
      <c r="K18">
        <v>97</v>
      </c>
      <c r="L18">
        <v>384</v>
      </c>
      <c r="M18">
        <v>53</v>
      </c>
      <c r="N18">
        <v>13.5</v>
      </c>
      <c r="O18">
        <v>14.9</v>
      </c>
      <c r="P18">
        <v>13.8</v>
      </c>
    </row>
    <row r="19" spans="1:16" x14ac:dyDescent="0.25">
      <c r="A19" t="s">
        <v>299</v>
      </c>
      <c r="B19">
        <v>23</v>
      </c>
      <c r="C19">
        <v>13</v>
      </c>
      <c r="D19">
        <v>76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3.9</v>
      </c>
      <c r="O19">
        <v>0</v>
      </c>
      <c r="P19">
        <v>0</v>
      </c>
    </row>
    <row r="20" spans="1:16" x14ac:dyDescent="0.25">
      <c r="A20" t="s">
        <v>300</v>
      </c>
      <c r="B20">
        <v>14</v>
      </c>
      <c r="C20">
        <v>8</v>
      </c>
      <c r="D20">
        <v>47</v>
      </c>
      <c r="E20">
        <v>2</v>
      </c>
      <c r="F20">
        <v>0</v>
      </c>
      <c r="G20">
        <v>0</v>
      </c>
      <c r="H20">
        <v>0</v>
      </c>
      <c r="I20">
        <v>0</v>
      </c>
      <c r="J20">
        <v>31</v>
      </c>
      <c r="K20">
        <v>25</v>
      </c>
      <c r="L20">
        <v>78</v>
      </c>
      <c r="M20">
        <v>17</v>
      </c>
      <c r="N20">
        <v>4.3</v>
      </c>
      <c r="O20">
        <v>0</v>
      </c>
      <c r="P20">
        <v>21.8</v>
      </c>
    </row>
    <row r="21" spans="1:16" x14ac:dyDescent="0.25">
      <c r="A21" t="s">
        <v>301</v>
      </c>
      <c r="B21">
        <v>240</v>
      </c>
      <c r="C21">
        <v>64</v>
      </c>
      <c r="D21">
        <v>559</v>
      </c>
      <c r="E21">
        <v>132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23.6</v>
      </c>
      <c r="O21">
        <v>0</v>
      </c>
      <c r="P21">
        <v>0</v>
      </c>
    </row>
    <row r="22" spans="1:16" x14ac:dyDescent="0.25">
      <c r="A22" t="s">
        <v>302</v>
      </c>
      <c r="B22">
        <v>193</v>
      </c>
      <c r="C22">
        <v>167</v>
      </c>
      <c r="D22">
        <v>814</v>
      </c>
      <c r="E22">
        <v>20</v>
      </c>
      <c r="F22">
        <v>50</v>
      </c>
      <c r="G22">
        <v>41</v>
      </c>
      <c r="H22">
        <v>128</v>
      </c>
      <c r="I22">
        <v>7</v>
      </c>
      <c r="J22">
        <v>21</v>
      </c>
      <c r="K22">
        <v>21</v>
      </c>
      <c r="L22">
        <v>74</v>
      </c>
      <c r="M22">
        <v>3</v>
      </c>
      <c r="N22">
        <v>2.5</v>
      </c>
      <c r="O22">
        <v>5.5</v>
      </c>
      <c r="P22">
        <v>4.0999999999999996</v>
      </c>
    </row>
    <row r="23" spans="1:16" x14ac:dyDescent="0.25">
      <c r="A23" t="s">
        <v>303</v>
      </c>
      <c r="B23">
        <v>732</v>
      </c>
      <c r="C23">
        <v>470</v>
      </c>
      <c r="D23">
        <v>2954</v>
      </c>
      <c r="E23">
        <v>197</v>
      </c>
      <c r="F23">
        <v>284</v>
      </c>
      <c r="G23">
        <v>195</v>
      </c>
      <c r="H23">
        <v>763</v>
      </c>
      <c r="I23">
        <v>103</v>
      </c>
      <c r="J23">
        <v>159</v>
      </c>
      <c r="K23">
        <v>110</v>
      </c>
      <c r="L23">
        <v>455</v>
      </c>
      <c r="M23">
        <v>97</v>
      </c>
      <c r="N23">
        <v>6.7</v>
      </c>
      <c r="O23">
        <v>13.5</v>
      </c>
      <c r="P23">
        <v>21.3</v>
      </c>
    </row>
    <row r="24" spans="1:16" x14ac:dyDescent="0.25">
      <c r="A24" t="s">
        <v>304</v>
      </c>
      <c r="B24">
        <v>19</v>
      </c>
      <c r="C24">
        <v>11</v>
      </c>
      <c r="D24">
        <v>62</v>
      </c>
      <c r="E24">
        <v>2</v>
      </c>
      <c r="F24">
        <v>1</v>
      </c>
      <c r="G24">
        <v>0</v>
      </c>
      <c r="H24">
        <v>3</v>
      </c>
      <c r="I24">
        <v>0</v>
      </c>
      <c r="J24">
        <v>4</v>
      </c>
      <c r="K24">
        <v>3</v>
      </c>
      <c r="L24">
        <v>7</v>
      </c>
      <c r="M24">
        <v>2</v>
      </c>
      <c r="N24">
        <v>3.2</v>
      </c>
      <c r="O24">
        <v>0</v>
      </c>
      <c r="P24">
        <v>28.6</v>
      </c>
    </row>
    <row r="25" spans="1:16" x14ac:dyDescent="0.25">
      <c r="A25" t="s">
        <v>305</v>
      </c>
      <c r="B25">
        <v>34</v>
      </c>
      <c r="C25">
        <v>28</v>
      </c>
      <c r="D25">
        <v>95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1.1000000000000001</v>
      </c>
      <c r="O25">
        <v>0</v>
      </c>
      <c r="P25">
        <v>0</v>
      </c>
    </row>
    <row r="26" spans="1:16" x14ac:dyDescent="0.25">
      <c r="A26" t="s">
        <v>306</v>
      </c>
      <c r="B26">
        <v>237</v>
      </c>
      <c r="C26">
        <v>180</v>
      </c>
      <c r="D26">
        <v>767</v>
      </c>
      <c r="E26">
        <v>12</v>
      </c>
      <c r="F26">
        <v>55</v>
      </c>
      <c r="G26">
        <v>46</v>
      </c>
      <c r="H26">
        <v>155</v>
      </c>
      <c r="I26">
        <v>4</v>
      </c>
      <c r="J26">
        <v>28</v>
      </c>
      <c r="K26">
        <v>24</v>
      </c>
      <c r="L26">
        <v>132</v>
      </c>
      <c r="M26">
        <v>14</v>
      </c>
      <c r="N26">
        <v>1.6</v>
      </c>
      <c r="O26">
        <v>2.6</v>
      </c>
      <c r="P26">
        <v>10.6</v>
      </c>
    </row>
    <row r="27" spans="1:16" x14ac:dyDescent="0.25">
      <c r="A27" t="s">
        <v>307</v>
      </c>
      <c r="B27">
        <v>226</v>
      </c>
      <c r="C27">
        <v>117</v>
      </c>
      <c r="D27">
        <v>1063</v>
      </c>
      <c r="E27">
        <v>272</v>
      </c>
      <c r="F27">
        <v>324</v>
      </c>
      <c r="G27">
        <v>112</v>
      </c>
      <c r="H27">
        <v>709</v>
      </c>
      <c r="I27">
        <v>212</v>
      </c>
      <c r="J27">
        <v>98</v>
      </c>
      <c r="K27">
        <v>37</v>
      </c>
      <c r="L27">
        <v>265</v>
      </c>
      <c r="M27">
        <v>111</v>
      </c>
      <c r="N27">
        <v>25.6</v>
      </c>
      <c r="O27">
        <v>29.9</v>
      </c>
      <c r="P27">
        <v>41.9</v>
      </c>
    </row>
    <row r="28" spans="1:16" x14ac:dyDescent="0.25">
      <c r="A28" t="s">
        <v>266</v>
      </c>
      <c r="B28">
        <v>14701</v>
      </c>
      <c r="C28">
        <v>8884</v>
      </c>
      <c r="D28">
        <v>61136</v>
      </c>
      <c r="E28">
        <v>7680</v>
      </c>
      <c r="F28">
        <v>5242</v>
      </c>
      <c r="G28">
        <v>3517</v>
      </c>
      <c r="H28">
        <v>14139</v>
      </c>
      <c r="I28">
        <v>2140</v>
      </c>
      <c r="J28">
        <v>3372</v>
      </c>
      <c r="K28">
        <v>2530</v>
      </c>
      <c r="L28">
        <v>9456</v>
      </c>
      <c r="M28">
        <v>1228</v>
      </c>
      <c r="N28">
        <v>12.6</v>
      </c>
      <c r="O28">
        <v>15.1</v>
      </c>
      <c r="P28">
        <v>13</v>
      </c>
    </row>
    <row r="29" spans="1:16" x14ac:dyDescent="0.25">
      <c r="A29" t="s">
        <v>459</v>
      </c>
      <c r="B29">
        <v>11377</v>
      </c>
      <c r="C29">
        <v>7755</v>
      </c>
      <c r="D29">
        <v>49709</v>
      </c>
      <c r="E29">
        <v>4063</v>
      </c>
      <c r="F29">
        <v>4365</v>
      </c>
      <c r="G29">
        <v>3117</v>
      </c>
      <c r="H29">
        <v>12017</v>
      </c>
      <c r="I29">
        <v>1525</v>
      </c>
      <c r="J29">
        <v>3067</v>
      </c>
      <c r="K29">
        <v>2385</v>
      </c>
      <c r="L29">
        <v>8637</v>
      </c>
      <c r="M29">
        <v>1000</v>
      </c>
      <c r="N29">
        <v>8.1999999999999993</v>
      </c>
      <c r="O29">
        <v>12.7</v>
      </c>
      <c r="P29">
        <v>11.6</v>
      </c>
    </row>
    <row r="30" spans="1:16" x14ac:dyDescent="0.25">
      <c r="A30" t="s">
        <v>460</v>
      </c>
      <c r="B30">
        <v>3324</v>
      </c>
      <c r="C30">
        <v>1129</v>
      </c>
      <c r="D30">
        <v>11427</v>
      </c>
      <c r="E30">
        <v>3617</v>
      </c>
      <c r="F30">
        <v>877</v>
      </c>
      <c r="G30">
        <v>400</v>
      </c>
      <c r="H30">
        <v>2122</v>
      </c>
      <c r="I30">
        <v>615</v>
      </c>
      <c r="J30">
        <v>305</v>
      </c>
      <c r="K30">
        <v>145</v>
      </c>
      <c r="L30">
        <v>819</v>
      </c>
      <c r="M30">
        <v>228</v>
      </c>
      <c r="N30">
        <v>31.7</v>
      </c>
      <c r="O30">
        <v>29</v>
      </c>
      <c r="P30">
        <v>27.8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5B9BD5"/>
  </sheetPr>
  <dimension ref="A1:M30"/>
  <sheetViews>
    <sheetView workbookViewId="0"/>
  </sheetViews>
  <sheetFormatPr defaultRowHeight="15" x14ac:dyDescent="0.25"/>
  <cols>
    <col min="1" max="1" width="22.140625" customWidth="1"/>
    <col min="2" max="2" width="11.28515625" customWidth="1"/>
    <col min="3" max="3" width="11.42578125" customWidth="1"/>
    <col min="4" max="4" width="11.28515625" customWidth="1"/>
    <col min="6" max="6" width="11.42578125" customWidth="1"/>
    <col min="7" max="7" width="11.28515625" customWidth="1"/>
    <col min="10" max="10" width="11.42578125" customWidth="1"/>
    <col min="11" max="11" width="11.28515625" customWidth="1"/>
    <col min="13" max="13" width="11.42578125" customWidth="1"/>
  </cols>
  <sheetData>
    <row r="1" spans="1:13" x14ac:dyDescent="0.25">
      <c r="A1" s="29" t="s">
        <v>252</v>
      </c>
      <c r="B1" s="29" t="s">
        <v>727</v>
      </c>
      <c r="C1" s="29"/>
      <c r="D1" s="29"/>
      <c r="E1" s="29" t="s">
        <v>728</v>
      </c>
      <c r="F1" s="29"/>
      <c r="G1" s="29"/>
      <c r="H1" s="29" t="s">
        <v>729</v>
      </c>
      <c r="I1" s="29"/>
      <c r="J1" s="29"/>
      <c r="K1" s="29" t="s">
        <v>730</v>
      </c>
      <c r="L1" s="29"/>
      <c r="M1" s="29"/>
    </row>
    <row r="2" spans="1:13" x14ac:dyDescent="0.25">
      <c r="A2" s="29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  <c r="K2" t="s">
        <v>263</v>
      </c>
      <c r="L2" t="s">
        <v>264</v>
      </c>
      <c r="M2" t="s">
        <v>618</v>
      </c>
    </row>
    <row r="3" spans="1:13" x14ac:dyDescent="0.25">
      <c r="A3" t="s">
        <v>283</v>
      </c>
      <c r="B3">
        <v>2</v>
      </c>
      <c r="C3">
        <v>2</v>
      </c>
      <c r="D3">
        <v>2</v>
      </c>
      <c r="E3">
        <v>7.7</v>
      </c>
      <c r="F3">
        <v>7.9</v>
      </c>
      <c r="G3">
        <v>7.5</v>
      </c>
      <c r="H3">
        <v>8.1</v>
      </c>
      <c r="I3">
        <v>7.9</v>
      </c>
      <c r="J3">
        <v>8.4</v>
      </c>
      <c r="K3">
        <v>5.9</v>
      </c>
      <c r="L3">
        <v>5.9</v>
      </c>
      <c r="M3">
        <v>5.9</v>
      </c>
    </row>
    <row r="4" spans="1:13" x14ac:dyDescent="0.25">
      <c r="A4" t="s">
        <v>284</v>
      </c>
      <c r="B4">
        <v>0.9</v>
      </c>
      <c r="C4">
        <v>0.9</v>
      </c>
      <c r="D4">
        <v>0.9</v>
      </c>
      <c r="E4">
        <v>1.5</v>
      </c>
      <c r="F4">
        <v>1.6</v>
      </c>
      <c r="G4">
        <v>1.4</v>
      </c>
      <c r="H4">
        <v>2.1</v>
      </c>
      <c r="I4">
        <v>1.9</v>
      </c>
      <c r="J4">
        <v>2.2000000000000002</v>
      </c>
      <c r="K4">
        <v>1.5</v>
      </c>
      <c r="L4">
        <v>1.5</v>
      </c>
      <c r="M4">
        <v>1.5</v>
      </c>
    </row>
    <row r="5" spans="1:13" x14ac:dyDescent="0.25">
      <c r="A5" t="s">
        <v>285</v>
      </c>
      <c r="B5">
        <v>1.2</v>
      </c>
      <c r="C5">
        <v>1.4</v>
      </c>
      <c r="D5">
        <v>1</v>
      </c>
      <c r="E5">
        <v>1.2</v>
      </c>
      <c r="F5">
        <v>1.2</v>
      </c>
      <c r="G5">
        <v>1.2</v>
      </c>
      <c r="H5">
        <v>1.4</v>
      </c>
      <c r="I5">
        <v>1.3</v>
      </c>
      <c r="J5">
        <v>1.5</v>
      </c>
      <c r="K5">
        <v>1.3</v>
      </c>
      <c r="L5">
        <v>1.3</v>
      </c>
      <c r="M5">
        <v>1.2</v>
      </c>
    </row>
    <row r="6" spans="1:13" x14ac:dyDescent="0.25">
      <c r="A6" t="s">
        <v>286</v>
      </c>
      <c r="B6">
        <v>2.6</v>
      </c>
      <c r="C6">
        <v>2.6</v>
      </c>
      <c r="D6">
        <v>2.7</v>
      </c>
      <c r="E6">
        <v>3.3</v>
      </c>
      <c r="F6">
        <v>3.3</v>
      </c>
      <c r="G6">
        <v>3.4</v>
      </c>
      <c r="H6">
        <v>5.8</v>
      </c>
      <c r="I6">
        <v>5.6</v>
      </c>
      <c r="J6">
        <v>6</v>
      </c>
      <c r="K6">
        <v>3.9</v>
      </c>
      <c r="L6">
        <v>3.8</v>
      </c>
      <c r="M6">
        <v>4</v>
      </c>
    </row>
    <row r="7" spans="1:13" x14ac:dyDescent="0.25">
      <c r="A7" t="s">
        <v>287</v>
      </c>
      <c r="B7">
        <v>2.5</v>
      </c>
      <c r="C7">
        <v>2.6</v>
      </c>
      <c r="D7">
        <v>2.4</v>
      </c>
      <c r="E7">
        <v>4.4000000000000004</v>
      </c>
      <c r="F7">
        <v>4.5</v>
      </c>
      <c r="G7">
        <v>4.2</v>
      </c>
      <c r="H7">
        <v>4.7</v>
      </c>
      <c r="I7">
        <v>5</v>
      </c>
      <c r="J7">
        <v>4.5</v>
      </c>
      <c r="K7">
        <v>3.9</v>
      </c>
      <c r="L7">
        <v>4</v>
      </c>
      <c r="M7">
        <v>3.7</v>
      </c>
    </row>
    <row r="8" spans="1:13" x14ac:dyDescent="0.25">
      <c r="A8" t="s">
        <v>288</v>
      </c>
      <c r="B8">
        <v>0.4</v>
      </c>
      <c r="C8">
        <v>0.3</v>
      </c>
      <c r="D8">
        <v>0.5</v>
      </c>
      <c r="E8">
        <v>0.7</v>
      </c>
      <c r="F8">
        <v>0.6</v>
      </c>
      <c r="G8">
        <v>0.8</v>
      </c>
      <c r="H8">
        <v>1</v>
      </c>
      <c r="I8">
        <v>0.9</v>
      </c>
      <c r="J8">
        <v>1</v>
      </c>
      <c r="K8">
        <v>0.7</v>
      </c>
      <c r="L8">
        <v>0.6</v>
      </c>
      <c r="M8">
        <v>0.8</v>
      </c>
    </row>
    <row r="9" spans="1:13" x14ac:dyDescent="0.25">
      <c r="A9" t="s">
        <v>289</v>
      </c>
      <c r="B9">
        <v>1.5</v>
      </c>
      <c r="C9">
        <v>1.4</v>
      </c>
      <c r="D9">
        <v>1.6</v>
      </c>
      <c r="E9">
        <v>2.5</v>
      </c>
      <c r="F9">
        <v>2.6</v>
      </c>
      <c r="G9">
        <v>2.5</v>
      </c>
      <c r="H9">
        <v>2.5</v>
      </c>
      <c r="I9">
        <v>2.7</v>
      </c>
      <c r="J9">
        <v>2.4</v>
      </c>
      <c r="K9">
        <v>2.2000000000000002</v>
      </c>
      <c r="L9">
        <v>2.2000000000000002</v>
      </c>
      <c r="M9">
        <v>2.1</v>
      </c>
    </row>
    <row r="10" spans="1:13" x14ac:dyDescent="0.25">
      <c r="A10" t="s">
        <v>290</v>
      </c>
      <c r="B10">
        <v>0.9</v>
      </c>
      <c r="C10">
        <v>1</v>
      </c>
      <c r="D10">
        <v>0.8</v>
      </c>
      <c r="E10">
        <v>2.5</v>
      </c>
      <c r="F10">
        <v>2.5</v>
      </c>
      <c r="G10">
        <v>2.5</v>
      </c>
      <c r="H10">
        <v>2.8</v>
      </c>
      <c r="I10">
        <v>2.8</v>
      </c>
      <c r="J10">
        <v>2.8</v>
      </c>
      <c r="K10">
        <v>2</v>
      </c>
      <c r="L10">
        <v>2.1</v>
      </c>
      <c r="M10">
        <v>2</v>
      </c>
    </row>
    <row r="11" spans="1:13" x14ac:dyDescent="0.25">
      <c r="A11" t="s">
        <v>291</v>
      </c>
      <c r="B11">
        <v>1.4</v>
      </c>
      <c r="C11">
        <v>1</v>
      </c>
      <c r="D11">
        <v>1.7</v>
      </c>
      <c r="E11">
        <v>2.7</v>
      </c>
      <c r="F11">
        <v>2.5</v>
      </c>
      <c r="G11">
        <v>2.8</v>
      </c>
      <c r="H11">
        <v>2.2000000000000002</v>
      </c>
      <c r="I11">
        <v>2.6</v>
      </c>
      <c r="J11">
        <v>1.9</v>
      </c>
      <c r="K11">
        <v>2.1</v>
      </c>
      <c r="L11">
        <v>2</v>
      </c>
      <c r="M11">
        <v>2.1</v>
      </c>
    </row>
    <row r="12" spans="1:13" x14ac:dyDescent="0.25">
      <c r="A12" t="s">
        <v>292</v>
      </c>
      <c r="B12">
        <v>0.7</v>
      </c>
      <c r="C12">
        <v>0.6</v>
      </c>
      <c r="D12">
        <v>0.8</v>
      </c>
      <c r="E12">
        <v>1.9</v>
      </c>
      <c r="F12">
        <v>2.1</v>
      </c>
      <c r="G12">
        <v>1.7</v>
      </c>
      <c r="H12">
        <v>3.4</v>
      </c>
      <c r="I12">
        <v>4.9000000000000004</v>
      </c>
      <c r="J12">
        <v>2</v>
      </c>
      <c r="K12">
        <v>2</v>
      </c>
      <c r="L12">
        <v>2.5</v>
      </c>
      <c r="M12">
        <v>1.5</v>
      </c>
    </row>
    <row r="13" spans="1:13" x14ac:dyDescent="0.25">
      <c r="A13" t="s">
        <v>293</v>
      </c>
      <c r="B13">
        <v>0.5</v>
      </c>
      <c r="C13">
        <v>0.5</v>
      </c>
      <c r="D13">
        <v>0.6</v>
      </c>
      <c r="E13">
        <v>0.7</v>
      </c>
      <c r="F13">
        <v>0.7</v>
      </c>
      <c r="G13">
        <v>0.6</v>
      </c>
      <c r="H13">
        <v>0.6</v>
      </c>
      <c r="I13">
        <v>0.6</v>
      </c>
      <c r="J13">
        <v>0.6</v>
      </c>
      <c r="K13">
        <v>0.6</v>
      </c>
      <c r="L13">
        <v>0.6</v>
      </c>
      <c r="M13">
        <v>0.6</v>
      </c>
    </row>
    <row r="14" spans="1:13" x14ac:dyDescent="0.25">
      <c r="A14" t="s">
        <v>294</v>
      </c>
      <c r="B14">
        <v>2.5</v>
      </c>
      <c r="C14">
        <v>2.2000000000000002</v>
      </c>
      <c r="D14">
        <v>2.7</v>
      </c>
      <c r="E14">
        <v>1.3</v>
      </c>
      <c r="F14">
        <v>1.3</v>
      </c>
      <c r="G14">
        <v>1.3</v>
      </c>
      <c r="H14">
        <v>2.2999999999999998</v>
      </c>
      <c r="I14">
        <v>2.2000000000000002</v>
      </c>
      <c r="J14">
        <v>2.4</v>
      </c>
      <c r="K14">
        <v>2</v>
      </c>
      <c r="L14">
        <v>1.9</v>
      </c>
      <c r="M14">
        <v>2.1</v>
      </c>
    </row>
    <row r="15" spans="1:13" x14ac:dyDescent="0.25">
      <c r="A15" t="s">
        <v>295</v>
      </c>
      <c r="B15">
        <v>0.7</v>
      </c>
      <c r="C15">
        <v>0.7</v>
      </c>
      <c r="D15">
        <v>0.7</v>
      </c>
      <c r="E15">
        <v>1.7</v>
      </c>
      <c r="F15">
        <v>1.1000000000000001</v>
      </c>
      <c r="G15">
        <v>2.2000000000000002</v>
      </c>
      <c r="H15">
        <v>2.2999999999999998</v>
      </c>
      <c r="I15">
        <v>2.2000000000000002</v>
      </c>
      <c r="J15">
        <v>2.4</v>
      </c>
      <c r="K15">
        <v>1.6</v>
      </c>
      <c r="L15">
        <v>1.3</v>
      </c>
      <c r="M15">
        <v>1.8</v>
      </c>
    </row>
    <row r="16" spans="1:13" x14ac:dyDescent="0.25">
      <c r="A16" t="s">
        <v>296</v>
      </c>
      <c r="B16">
        <v>5</v>
      </c>
      <c r="C16">
        <v>5.4</v>
      </c>
      <c r="D16">
        <v>4.5999999999999996</v>
      </c>
      <c r="E16">
        <v>12.3</v>
      </c>
      <c r="F16">
        <v>11</v>
      </c>
      <c r="G16">
        <v>13.6</v>
      </c>
      <c r="H16">
        <v>11.7</v>
      </c>
      <c r="I16">
        <v>11.2</v>
      </c>
      <c r="J16">
        <v>12.1</v>
      </c>
      <c r="K16">
        <v>9.6</v>
      </c>
      <c r="L16">
        <v>9.1</v>
      </c>
      <c r="M16">
        <v>10</v>
      </c>
    </row>
    <row r="17" spans="1:13" x14ac:dyDescent="0.25">
      <c r="A17" t="s">
        <v>297</v>
      </c>
      <c r="B17">
        <v>9.3000000000000007</v>
      </c>
      <c r="C17">
        <v>8.6999999999999993</v>
      </c>
      <c r="D17">
        <v>9.8000000000000007</v>
      </c>
      <c r="E17">
        <v>15.9</v>
      </c>
      <c r="F17">
        <v>17.3</v>
      </c>
      <c r="G17">
        <v>14.6</v>
      </c>
      <c r="H17">
        <v>27.9</v>
      </c>
      <c r="I17">
        <v>29.1</v>
      </c>
      <c r="J17">
        <v>26.9</v>
      </c>
      <c r="K17">
        <v>17</v>
      </c>
      <c r="L17">
        <v>17.600000000000001</v>
      </c>
      <c r="M17">
        <v>16.5</v>
      </c>
    </row>
    <row r="18" spans="1:13" x14ac:dyDescent="0.25">
      <c r="A18" t="s">
        <v>298</v>
      </c>
      <c r="B18">
        <v>5.3</v>
      </c>
      <c r="C18">
        <v>5.5</v>
      </c>
      <c r="D18">
        <v>5</v>
      </c>
      <c r="E18">
        <v>15.6</v>
      </c>
      <c r="F18">
        <v>16.5</v>
      </c>
      <c r="G18">
        <v>14.7</v>
      </c>
      <c r="H18">
        <v>15.3</v>
      </c>
      <c r="I18">
        <v>15.2</v>
      </c>
      <c r="J18">
        <v>15.3</v>
      </c>
      <c r="K18">
        <v>11.9</v>
      </c>
      <c r="L18">
        <v>12.2</v>
      </c>
      <c r="M18">
        <v>11.5</v>
      </c>
    </row>
    <row r="19" spans="1:13" x14ac:dyDescent="0.25">
      <c r="A19" t="s">
        <v>299</v>
      </c>
      <c r="B19">
        <v>0.3</v>
      </c>
      <c r="C19">
        <v>0.3</v>
      </c>
      <c r="D19">
        <v>0.3</v>
      </c>
      <c r="E19">
        <v>0.5</v>
      </c>
      <c r="F19">
        <v>0.6</v>
      </c>
      <c r="G19">
        <v>0.4</v>
      </c>
      <c r="H19">
        <v>0.9</v>
      </c>
      <c r="I19">
        <v>1.1000000000000001</v>
      </c>
      <c r="J19">
        <v>0.7</v>
      </c>
      <c r="K19">
        <v>0.6</v>
      </c>
      <c r="L19">
        <v>0.7</v>
      </c>
      <c r="M19">
        <v>0.4</v>
      </c>
    </row>
    <row r="20" spans="1:13" x14ac:dyDescent="0.25">
      <c r="A20" t="s">
        <v>300</v>
      </c>
      <c r="B20">
        <v>0.1</v>
      </c>
      <c r="C20">
        <v>0.1</v>
      </c>
      <c r="D20">
        <v>0</v>
      </c>
      <c r="E20">
        <v>0.3</v>
      </c>
      <c r="F20">
        <v>0.4</v>
      </c>
      <c r="G20">
        <v>0.3</v>
      </c>
      <c r="H20">
        <v>0.3</v>
      </c>
      <c r="I20">
        <v>0.3</v>
      </c>
      <c r="J20">
        <v>0.2</v>
      </c>
      <c r="K20">
        <v>0.2</v>
      </c>
      <c r="L20">
        <v>0.3</v>
      </c>
      <c r="M20">
        <v>0.2</v>
      </c>
    </row>
    <row r="21" spans="1:13" x14ac:dyDescent="0.25">
      <c r="A21" t="s">
        <v>301</v>
      </c>
      <c r="B21">
        <v>1.9</v>
      </c>
      <c r="C21">
        <v>1.6</v>
      </c>
      <c r="D21">
        <v>2.1</v>
      </c>
      <c r="E21">
        <v>1.9</v>
      </c>
      <c r="F21">
        <v>2.2000000000000002</v>
      </c>
      <c r="G21">
        <v>1.6</v>
      </c>
      <c r="H21">
        <v>1.4</v>
      </c>
      <c r="I21">
        <v>1.6</v>
      </c>
      <c r="J21">
        <v>1.2</v>
      </c>
      <c r="K21">
        <v>1.7</v>
      </c>
      <c r="L21">
        <v>1.8</v>
      </c>
      <c r="M21">
        <v>1.6</v>
      </c>
    </row>
    <row r="22" spans="1:13" x14ac:dyDescent="0.25">
      <c r="A22" t="s">
        <v>302</v>
      </c>
      <c r="B22">
        <v>6.1</v>
      </c>
      <c r="C22">
        <v>5.8</v>
      </c>
      <c r="D22">
        <v>6.3</v>
      </c>
      <c r="E22">
        <v>3.2</v>
      </c>
      <c r="F22">
        <v>3</v>
      </c>
      <c r="G22">
        <v>3.3</v>
      </c>
      <c r="H22">
        <v>14.2</v>
      </c>
      <c r="I22">
        <v>6.8</v>
      </c>
      <c r="J22">
        <v>21.4</v>
      </c>
      <c r="K22">
        <v>7.9</v>
      </c>
      <c r="L22">
        <v>5.2</v>
      </c>
      <c r="M22">
        <v>10.5</v>
      </c>
    </row>
    <row r="23" spans="1:13" x14ac:dyDescent="0.25">
      <c r="A23" t="s">
        <v>303</v>
      </c>
      <c r="B23">
        <v>4.9000000000000004</v>
      </c>
      <c r="C23">
        <v>4.5999999999999996</v>
      </c>
      <c r="D23">
        <v>5.0999999999999996</v>
      </c>
      <c r="E23">
        <v>7.8</v>
      </c>
      <c r="F23">
        <v>8.6</v>
      </c>
      <c r="G23">
        <v>7</v>
      </c>
      <c r="H23">
        <v>7.1</v>
      </c>
      <c r="I23">
        <v>6.9</v>
      </c>
      <c r="J23">
        <v>7.3</v>
      </c>
      <c r="K23">
        <v>6.6</v>
      </c>
      <c r="L23">
        <v>6.7</v>
      </c>
      <c r="M23">
        <v>6.4</v>
      </c>
    </row>
    <row r="24" spans="1:13" x14ac:dyDescent="0.25">
      <c r="A24" t="s">
        <v>304</v>
      </c>
      <c r="B24">
        <v>1.1000000000000001</v>
      </c>
      <c r="C24">
        <v>1.5</v>
      </c>
      <c r="D24">
        <v>0.7</v>
      </c>
      <c r="E24">
        <v>1.5</v>
      </c>
      <c r="F24">
        <v>1.6</v>
      </c>
      <c r="G24">
        <v>1.4</v>
      </c>
      <c r="H24">
        <v>0.7</v>
      </c>
      <c r="I24">
        <v>0.6</v>
      </c>
      <c r="J24">
        <v>0.8</v>
      </c>
      <c r="K24">
        <v>1.1000000000000001</v>
      </c>
      <c r="L24">
        <v>1.2</v>
      </c>
      <c r="M24">
        <v>1</v>
      </c>
    </row>
    <row r="25" spans="1:13" x14ac:dyDescent="0.25">
      <c r="A25" t="s">
        <v>305</v>
      </c>
      <c r="B25">
        <v>0.3</v>
      </c>
      <c r="C25">
        <v>0.2</v>
      </c>
      <c r="D25">
        <v>0.3</v>
      </c>
      <c r="E25">
        <v>0.5</v>
      </c>
      <c r="F25">
        <v>0.4</v>
      </c>
      <c r="G25">
        <v>0.6</v>
      </c>
      <c r="H25">
        <v>0.4</v>
      </c>
      <c r="I25">
        <v>0.4</v>
      </c>
      <c r="J25">
        <v>0.4</v>
      </c>
      <c r="K25">
        <v>0.4</v>
      </c>
      <c r="L25">
        <v>0.3</v>
      </c>
      <c r="M25">
        <v>0.4</v>
      </c>
    </row>
    <row r="26" spans="1:13" x14ac:dyDescent="0.25">
      <c r="A26" t="s">
        <v>306</v>
      </c>
      <c r="B26">
        <v>0.6</v>
      </c>
      <c r="C26">
        <v>0.7</v>
      </c>
      <c r="D26">
        <v>0.6</v>
      </c>
      <c r="E26">
        <v>1.4</v>
      </c>
      <c r="F26">
        <v>1.4</v>
      </c>
      <c r="G26">
        <v>1.4</v>
      </c>
      <c r="H26">
        <v>1.2</v>
      </c>
      <c r="I26">
        <v>1.1000000000000001</v>
      </c>
      <c r="J26">
        <v>1.3</v>
      </c>
      <c r="K26">
        <v>1.1000000000000001</v>
      </c>
      <c r="L26">
        <v>1.1000000000000001</v>
      </c>
      <c r="M26">
        <v>1.1000000000000001</v>
      </c>
    </row>
    <row r="27" spans="1:13" x14ac:dyDescent="0.25">
      <c r="A27" t="s">
        <v>307</v>
      </c>
      <c r="B27">
        <v>0.8</v>
      </c>
      <c r="C27">
        <v>0.9</v>
      </c>
      <c r="D27">
        <v>0.8</v>
      </c>
      <c r="E27">
        <v>1.6</v>
      </c>
      <c r="F27">
        <v>1.8</v>
      </c>
      <c r="G27">
        <v>1.4</v>
      </c>
      <c r="H27">
        <v>3</v>
      </c>
      <c r="I27">
        <v>3.3</v>
      </c>
      <c r="J27">
        <v>2.8</v>
      </c>
      <c r="K27">
        <v>1.8</v>
      </c>
      <c r="L27">
        <v>2</v>
      </c>
      <c r="M27">
        <v>1.6</v>
      </c>
    </row>
    <row r="28" spans="1:13" x14ac:dyDescent="0.25">
      <c r="A28" t="s">
        <v>266</v>
      </c>
      <c r="B28">
        <v>2.5</v>
      </c>
      <c r="C28">
        <v>2.5</v>
      </c>
      <c r="D28">
        <v>2.6</v>
      </c>
      <c r="E28">
        <v>4.4000000000000004</v>
      </c>
      <c r="F28">
        <v>4.5999999999999996</v>
      </c>
      <c r="G28">
        <v>4.0999999999999996</v>
      </c>
      <c r="H28">
        <v>5.8</v>
      </c>
      <c r="I28">
        <v>5.8</v>
      </c>
      <c r="J28">
        <v>5.8</v>
      </c>
      <c r="K28">
        <v>4.2</v>
      </c>
      <c r="L28">
        <v>4.3</v>
      </c>
      <c r="M28">
        <v>4.2</v>
      </c>
    </row>
    <row r="29" spans="1:13" x14ac:dyDescent="0.25">
      <c r="A29" t="s">
        <v>459</v>
      </c>
      <c r="B29">
        <v>9.6</v>
      </c>
      <c r="C29">
        <v>9.1999999999999993</v>
      </c>
      <c r="D29">
        <v>10</v>
      </c>
      <c r="E29">
        <v>16.600000000000001</v>
      </c>
      <c r="F29">
        <v>17.7</v>
      </c>
      <c r="G29">
        <v>15.6</v>
      </c>
      <c r="H29">
        <v>23.2</v>
      </c>
      <c r="I29">
        <v>23</v>
      </c>
      <c r="J29">
        <v>23.4</v>
      </c>
      <c r="K29">
        <v>16.2</v>
      </c>
      <c r="L29">
        <v>16.3</v>
      </c>
      <c r="M29">
        <v>16</v>
      </c>
    </row>
    <row r="30" spans="1:13" x14ac:dyDescent="0.25">
      <c r="A30" t="s">
        <v>460</v>
      </c>
      <c r="B30">
        <v>0.4</v>
      </c>
      <c r="C30">
        <v>0.4</v>
      </c>
      <c r="D30">
        <v>0.4</v>
      </c>
      <c r="E30">
        <v>0.9</v>
      </c>
      <c r="F30">
        <v>0.9</v>
      </c>
      <c r="G30">
        <v>0.8</v>
      </c>
      <c r="H30">
        <v>1</v>
      </c>
      <c r="I30">
        <v>1.1000000000000001</v>
      </c>
      <c r="J30">
        <v>1</v>
      </c>
      <c r="K30">
        <v>0.8</v>
      </c>
      <c r="L30">
        <v>0.8</v>
      </c>
      <c r="M30">
        <v>0.7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B9BD5"/>
  </sheetPr>
  <dimension ref="A1:K30"/>
  <sheetViews>
    <sheetView workbookViewId="0"/>
  </sheetViews>
  <sheetFormatPr defaultRowHeight="15" x14ac:dyDescent="0.25"/>
  <cols>
    <col min="1" max="1" width="23.42578125" customWidth="1"/>
    <col min="2" max="2" width="14" customWidth="1"/>
    <col min="3" max="3" width="13.42578125" customWidth="1"/>
    <col min="4" max="4" width="14" customWidth="1"/>
    <col min="5" max="5" width="13.42578125" customWidth="1"/>
    <col min="6" max="6" width="14" customWidth="1"/>
    <col min="7" max="7" width="13.42578125" customWidth="1"/>
    <col min="8" max="8" width="14" customWidth="1"/>
    <col min="10" max="10" width="13.42578125" customWidth="1"/>
    <col min="11" max="11" width="14" customWidth="1"/>
  </cols>
  <sheetData>
    <row r="1" spans="1:11" x14ac:dyDescent="0.25">
      <c r="A1" s="29" t="s">
        <v>252</v>
      </c>
      <c r="B1" s="29" t="s">
        <v>731</v>
      </c>
      <c r="C1" s="29"/>
      <c r="D1" s="29" t="s">
        <v>732</v>
      </c>
      <c r="E1" s="29"/>
      <c r="F1" s="29" t="s">
        <v>733</v>
      </c>
      <c r="G1" s="29"/>
      <c r="H1" s="29" t="s">
        <v>734</v>
      </c>
      <c r="I1" s="29"/>
      <c r="J1" s="29" t="s">
        <v>735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22</v>
      </c>
      <c r="C3">
        <v>11</v>
      </c>
      <c r="D3">
        <v>344</v>
      </c>
      <c r="E3">
        <v>168</v>
      </c>
      <c r="F3">
        <v>1276</v>
      </c>
      <c r="G3">
        <v>641</v>
      </c>
      <c r="H3">
        <v>1323</v>
      </c>
      <c r="I3">
        <v>630</v>
      </c>
      <c r="J3">
        <v>428</v>
      </c>
      <c r="K3">
        <v>203</v>
      </c>
    </row>
    <row r="4" spans="1:11" x14ac:dyDescent="0.25">
      <c r="A4" t="s">
        <v>284</v>
      </c>
      <c r="B4">
        <v>21</v>
      </c>
      <c r="C4">
        <v>9</v>
      </c>
      <c r="D4">
        <v>228</v>
      </c>
      <c r="E4">
        <v>112</v>
      </c>
      <c r="F4">
        <v>367</v>
      </c>
      <c r="G4">
        <v>193</v>
      </c>
      <c r="H4">
        <v>505</v>
      </c>
      <c r="I4">
        <v>223</v>
      </c>
      <c r="J4">
        <v>152</v>
      </c>
      <c r="K4">
        <v>68</v>
      </c>
    </row>
    <row r="5" spans="1:11" x14ac:dyDescent="0.25">
      <c r="A5" t="s">
        <v>285</v>
      </c>
      <c r="B5">
        <v>25</v>
      </c>
      <c r="C5">
        <v>13</v>
      </c>
      <c r="D5">
        <v>235</v>
      </c>
      <c r="E5">
        <v>136</v>
      </c>
      <c r="F5">
        <v>228</v>
      </c>
      <c r="G5">
        <v>114</v>
      </c>
      <c r="H5">
        <v>260</v>
      </c>
      <c r="I5">
        <v>116</v>
      </c>
      <c r="J5">
        <v>105</v>
      </c>
      <c r="K5">
        <v>76</v>
      </c>
    </row>
    <row r="6" spans="1:11" x14ac:dyDescent="0.25">
      <c r="A6" t="s">
        <v>286</v>
      </c>
      <c r="B6">
        <v>106</v>
      </c>
      <c r="C6">
        <v>55</v>
      </c>
      <c r="D6">
        <v>330</v>
      </c>
      <c r="E6">
        <v>160</v>
      </c>
      <c r="F6">
        <v>400</v>
      </c>
      <c r="G6">
        <v>194</v>
      </c>
      <c r="H6">
        <v>675</v>
      </c>
      <c r="I6">
        <v>316</v>
      </c>
      <c r="J6">
        <v>21</v>
      </c>
      <c r="K6">
        <v>11</v>
      </c>
    </row>
    <row r="7" spans="1:11" x14ac:dyDescent="0.25">
      <c r="A7" t="s">
        <v>287</v>
      </c>
      <c r="B7">
        <v>66</v>
      </c>
      <c r="C7">
        <v>43</v>
      </c>
      <c r="D7">
        <v>438</v>
      </c>
      <c r="E7">
        <v>224</v>
      </c>
      <c r="F7">
        <v>743</v>
      </c>
      <c r="G7">
        <v>377</v>
      </c>
      <c r="H7">
        <v>797</v>
      </c>
      <c r="I7">
        <v>413</v>
      </c>
      <c r="J7">
        <v>873</v>
      </c>
      <c r="K7">
        <v>457</v>
      </c>
    </row>
    <row r="8" spans="1:11" x14ac:dyDescent="0.25">
      <c r="A8" t="s">
        <v>288</v>
      </c>
      <c r="B8">
        <v>4</v>
      </c>
      <c r="C8">
        <v>1</v>
      </c>
      <c r="D8">
        <v>55</v>
      </c>
      <c r="E8">
        <v>20</v>
      </c>
      <c r="F8">
        <v>102</v>
      </c>
      <c r="G8">
        <v>43</v>
      </c>
      <c r="H8">
        <v>143</v>
      </c>
      <c r="I8">
        <v>65</v>
      </c>
      <c r="J8">
        <v>38</v>
      </c>
      <c r="K8">
        <v>19</v>
      </c>
    </row>
    <row r="9" spans="1:11" x14ac:dyDescent="0.25">
      <c r="A9" t="s">
        <v>289</v>
      </c>
      <c r="B9">
        <v>51</v>
      </c>
      <c r="C9">
        <v>29</v>
      </c>
      <c r="D9">
        <v>189</v>
      </c>
      <c r="E9">
        <v>87</v>
      </c>
      <c r="F9">
        <v>314</v>
      </c>
      <c r="G9">
        <v>157</v>
      </c>
      <c r="H9">
        <v>314</v>
      </c>
      <c r="I9">
        <v>162</v>
      </c>
      <c r="J9">
        <v>130</v>
      </c>
      <c r="K9">
        <v>64</v>
      </c>
    </row>
    <row r="10" spans="1:11" x14ac:dyDescent="0.25">
      <c r="A10" t="s">
        <v>290</v>
      </c>
      <c r="B10">
        <v>6</v>
      </c>
      <c r="C10">
        <v>3</v>
      </c>
      <c r="D10">
        <v>227</v>
      </c>
      <c r="E10">
        <v>120</v>
      </c>
      <c r="F10">
        <v>600</v>
      </c>
      <c r="G10">
        <v>287</v>
      </c>
      <c r="H10">
        <v>639</v>
      </c>
      <c r="I10">
        <v>311</v>
      </c>
      <c r="J10">
        <v>502</v>
      </c>
      <c r="K10">
        <v>280</v>
      </c>
    </row>
    <row r="11" spans="1:11" x14ac:dyDescent="0.25">
      <c r="A11" t="s">
        <v>291</v>
      </c>
      <c r="B11">
        <v>0</v>
      </c>
      <c r="C11">
        <v>0</v>
      </c>
      <c r="D11">
        <v>14</v>
      </c>
      <c r="E11">
        <v>5</v>
      </c>
      <c r="F11">
        <v>27</v>
      </c>
      <c r="G11">
        <v>12</v>
      </c>
      <c r="H11">
        <v>23</v>
      </c>
      <c r="I11">
        <v>13</v>
      </c>
      <c r="J11">
        <v>57</v>
      </c>
      <c r="K11">
        <v>31</v>
      </c>
    </row>
    <row r="12" spans="1:11" x14ac:dyDescent="0.25">
      <c r="A12" t="s">
        <v>292</v>
      </c>
      <c r="B12">
        <v>45</v>
      </c>
      <c r="C12">
        <v>18</v>
      </c>
      <c r="D12">
        <v>25</v>
      </c>
      <c r="E12">
        <v>10</v>
      </c>
      <c r="F12">
        <v>65</v>
      </c>
      <c r="G12">
        <v>35</v>
      </c>
      <c r="H12">
        <v>112</v>
      </c>
      <c r="I12">
        <v>78</v>
      </c>
      <c r="J12">
        <v>69</v>
      </c>
      <c r="K12">
        <v>42</v>
      </c>
    </row>
    <row r="13" spans="1:11" x14ac:dyDescent="0.25">
      <c r="A13" t="s">
        <v>293</v>
      </c>
      <c r="B13">
        <v>0</v>
      </c>
      <c r="C13">
        <v>0</v>
      </c>
      <c r="D13">
        <v>49</v>
      </c>
      <c r="E13">
        <v>22</v>
      </c>
      <c r="F13">
        <v>61</v>
      </c>
      <c r="G13">
        <v>32</v>
      </c>
      <c r="H13">
        <v>52</v>
      </c>
      <c r="I13">
        <v>26</v>
      </c>
      <c r="J13">
        <v>0</v>
      </c>
      <c r="K13">
        <v>0</v>
      </c>
    </row>
    <row r="14" spans="1:11" x14ac:dyDescent="0.25">
      <c r="A14" t="s">
        <v>294</v>
      </c>
      <c r="B14">
        <v>0</v>
      </c>
      <c r="C14">
        <v>0</v>
      </c>
      <c r="D14">
        <v>52</v>
      </c>
      <c r="E14">
        <v>23</v>
      </c>
      <c r="F14">
        <v>28</v>
      </c>
      <c r="G14">
        <v>14</v>
      </c>
      <c r="H14">
        <v>50</v>
      </c>
      <c r="I14">
        <v>23</v>
      </c>
      <c r="J14">
        <v>10</v>
      </c>
      <c r="K14">
        <v>5</v>
      </c>
    </row>
    <row r="15" spans="1:11" x14ac:dyDescent="0.25">
      <c r="A15" t="s">
        <v>295</v>
      </c>
      <c r="B15">
        <v>0</v>
      </c>
      <c r="C15">
        <v>0</v>
      </c>
      <c r="D15">
        <v>39</v>
      </c>
      <c r="E15">
        <v>20</v>
      </c>
      <c r="F15">
        <v>98</v>
      </c>
      <c r="G15">
        <v>32</v>
      </c>
      <c r="H15">
        <v>135</v>
      </c>
      <c r="I15">
        <v>62</v>
      </c>
      <c r="J15">
        <v>0</v>
      </c>
      <c r="K15">
        <v>0</v>
      </c>
    </row>
    <row r="16" spans="1:11" x14ac:dyDescent="0.25">
      <c r="A16" t="s">
        <v>296</v>
      </c>
      <c r="B16">
        <v>4</v>
      </c>
      <c r="C16">
        <v>3</v>
      </c>
      <c r="D16">
        <v>127</v>
      </c>
      <c r="E16">
        <v>67</v>
      </c>
      <c r="F16">
        <v>296</v>
      </c>
      <c r="G16">
        <v>128</v>
      </c>
      <c r="H16">
        <v>269</v>
      </c>
      <c r="I16">
        <v>125</v>
      </c>
      <c r="J16">
        <v>22</v>
      </c>
      <c r="K16">
        <v>12</v>
      </c>
    </row>
    <row r="17" spans="1:11" x14ac:dyDescent="0.25">
      <c r="A17" t="s">
        <v>297</v>
      </c>
      <c r="B17">
        <v>526</v>
      </c>
      <c r="C17">
        <v>243</v>
      </c>
      <c r="D17">
        <v>3405</v>
      </c>
      <c r="E17">
        <v>1554</v>
      </c>
      <c r="F17">
        <v>5188</v>
      </c>
      <c r="G17">
        <v>2733</v>
      </c>
      <c r="H17">
        <v>8222</v>
      </c>
      <c r="I17">
        <v>4131</v>
      </c>
      <c r="J17">
        <v>2475</v>
      </c>
      <c r="K17">
        <v>1178</v>
      </c>
    </row>
    <row r="18" spans="1:11" x14ac:dyDescent="0.25">
      <c r="A18" t="s">
        <v>298</v>
      </c>
      <c r="B18">
        <v>71</v>
      </c>
      <c r="C18">
        <v>30</v>
      </c>
      <c r="D18">
        <v>296</v>
      </c>
      <c r="E18">
        <v>151</v>
      </c>
      <c r="F18">
        <v>828</v>
      </c>
      <c r="G18">
        <v>426</v>
      </c>
      <c r="H18">
        <v>779</v>
      </c>
      <c r="I18">
        <v>377</v>
      </c>
      <c r="J18">
        <v>568</v>
      </c>
      <c r="K18">
        <v>287</v>
      </c>
    </row>
    <row r="19" spans="1:11" x14ac:dyDescent="0.25">
      <c r="A19" t="s">
        <v>299</v>
      </c>
      <c r="B19">
        <v>0</v>
      </c>
      <c r="C19">
        <v>0</v>
      </c>
      <c r="D19">
        <v>12</v>
      </c>
      <c r="E19">
        <v>6</v>
      </c>
      <c r="F19">
        <v>25</v>
      </c>
      <c r="G19">
        <v>15</v>
      </c>
      <c r="H19">
        <v>42</v>
      </c>
      <c r="I19">
        <v>26</v>
      </c>
      <c r="J19">
        <v>0</v>
      </c>
      <c r="K19">
        <v>0</v>
      </c>
    </row>
    <row r="20" spans="1:11" x14ac:dyDescent="0.25">
      <c r="A20" t="s">
        <v>300</v>
      </c>
      <c r="B20">
        <v>0</v>
      </c>
      <c r="C20">
        <v>0</v>
      </c>
      <c r="D20">
        <v>15</v>
      </c>
      <c r="E20">
        <v>11</v>
      </c>
      <c r="F20">
        <v>65</v>
      </c>
      <c r="G20">
        <v>33</v>
      </c>
      <c r="H20">
        <v>51</v>
      </c>
      <c r="I20">
        <v>33</v>
      </c>
      <c r="J20">
        <v>7</v>
      </c>
      <c r="K20">
        <v>4</v>
      </c>
    </row>
    <row r="21" spans="1:11" x14ac:dyDescent="0.25">
      <c r="A21" t="s">
        <v>301</v>
      </c>
      <c r="B21">
        <v>0</v>
      </c>
      <c r="C21">
        <v>0</v>
      </c>
      <c r="D21">
        <v>182</v>
      </c>
      <c r="E21">
        <v>75</v>
      </c>
      <c r="F21">
        <v>178</v>
      </c>
      <c r="G21">
        <v>100</v>
      </c>
      <c r="H21">
        <v>131</v>
      </c>
      <c r="I21">
        <v>73</v>
      </c>
      <c r="J21">
        <v>528</v>
      </c>
      <c r="K21">
        <v>257</v>
      </c>
    </row>
    <row r="22" spans="1:11" x14ac:dyDescent="0.25">
      <c r="A22" t="s">
        <v>302</v>
      </c>
      <c r="B22">
        <v>20</v>
      </c>
      <c r="C22">
        <v>7</v>
      </c>
      <c r="D22">
        <v>265</v>
      </c>
      <c r="E22">
        <v>126</v>
      </c>
      <c r="F22">
        <v>142</v>
      </c>
      <c r="G22">
        <v>68</v>
      </c>
      <c r="H22">
        <v>652</v>
      </c>
      <c r="I22">
        <v>155</v>
      </c>
      <c r="J22">
        <v>190</v>
      </c>
      <c r="K22">
        <v>59</v>
      </c>
    </row>
    <row r="23" spans="1:11" x14ac:dyDescent="0.25">
      <c r="A23" t="s">
        <v>303</v>
      </c>
      <c r="B23">
        <v>113</v>
      </c>
      <c r="C23">
        <v>58</v>
      </c>
      <c r="D23">
        <v>1294</v>
      </c>
      <c r="E23">
        <v>596</v>
      </c>
      <c r="F23">
        <v>1986</v>
      </c>
      <c r="G23">
        <v>1063</v>
      </c>
      <c r="H23">
        <v>1778</v>
      </c>
      <c r="I23">
        <v>833</v>
      </c>
      <c r="J23">
        <v>1359</v>
      </c>
      <c r="K23">
        <v>715</v>
      </c>
    </row>
    <row r="24" spans="1:11" x14ac:dyDescent="0.25">
      <c r="A24" t="s">
        <v>304</v>
      </c>
      <c r="B24">
        <v>0</v>
      </c>
      <c r="C24">
        <v>0</v>
      </c>
      <c r="D24">
        <v>35</v>
      </c>
      <c r="E24">
        <v>24</v>
      </c>
      <c r="F24">
        <v>48</v>
      </c>
      <c r="G24">
        <v>25</v>
      </c>
      <c r="H24">
        <v>22</v>
      </c>
      <c r="I24">
        <v>9</v>
      </c>
      <c r="J24">
        <v>3</v>
      </c>
      <c r="K24">
        <v>2</v>
      </c>
    </row>
    <row r="25" spans="1:11" x14ac:dyDescent="0.25">
      <c r="A25" t="s">
        <v>305</v>
      </c>
      <c r="B25">
        <v>0</v>
      </c>
      <c r="C25">
        <v>0</v>
      </c>
      <c r="D25">
        <v>27</v>
      </c>
      <c r="E25">
        <v>11</v>
      </c>
      <c r="F25">
        <v>44</v>
      </c>
      <c r="G25">
        <v>18</v>
      </c>
      <c r="H25">
        <v>35</v>
      </c>
      <c r="I25">
        <v>17</v>
      </c>
      <c r="J25">
        <v>0</v>
      </c>
      <c r="K25">
        <v>0</v>
      </c>
    </row>
    <row r="26" spans="1:11" x14ac:dyDescent="0.25">
      <c r="A26" t="s">
        <v>306</v>
      </c>
      <c r="B26">
        <v>5</v>
      </c>
      <c r="C26">
        <v>1</v>
      </c>
      <c r="D26">
        <v>110</v>
      </c>
      <c r="E26">
        <v>59</v>
      </c>
      <c r="F26">
        <v>234</v>
      </c>
      <c r="G26">
        <v>115</v>
      </c>
      <c r="H26">
        <v>205</v>
      </c>
      <c r="I26">
        <v>89</v>
      </c>
      <c r="J26">
        <v>39</v>
      </c>
      <c r="K26">
        <v>18</v>
      </c>
    </row>
    <row r="27" spans="1:11" x14ac:dyDescent="0.25">
      <c r="A27" t="s">
        <v>307</v>
      </c>
      <c r="B27">
        <v>25</v>
      </c>
      <c r="C27">
        <v>12</v>
      </c>
      <c r="D27">
        <v>133</v>
      </c>
      <c r="E27">
        <v>70</v>
      </c>
      <c r="F27">
        <v>244</v>
      </c>
      <c r="G27">
        <v>133</v>
      </c>
      <c r="H27">
        <v>462</v>
      </c>
      <c r="I27">
        <v>243</v>
      </c>
      <c r="J27">
        <v>243</v>
      </c>
      <c r="K27">
        <v>131</v>
      </c>
    </row>
    <row r="28" spans="1:11" x14ac:dyDescent="0.25">
      <c r="A28" t="s">
        <v>266</v>
      </c>
      <c r="B28">
        <v>1110</v>
      </c>
      <c r="C28">
        <v>536</v>
      </c>
      <c r="D28">
        <v>8126</v>
      </c>
      <c r="E28">
        <v>3857</v>
      </c>
      <c r="F28">
        <v>13587</v>
      </c>
      <c r="G28">
        <v>6988</v>
      </c>
      <c r="H28">
        <v>17676</v>
      </c>
      <c r="I28">
        <v>8549</v>
      </c>
      <c r="J28">
        <v>7819</v>
      </c>
      <c r="K28">
        <v>3919</v>
      </c>
    </row>
    <row r="29" spans="1:11" x14ac:dyDescent="0.25">
      <c r="A29" t="s">
        <v>459</v>
      </c>
      <c r="B29">
        <v>970</v>
      </c>
      <c r="C29">
        <v>462</v>
      </c>
      <c r="D29">
        <v>7162</v>
      </c>
      <c r="E29">
        <v>3339</v>
      </c>
      <c r="F29">
        <v>11527</v>
      </c>
      <c r="G29">
        <v>5955</v>
      </c>
      <c r="H29">
        <v>15240</v>
      </c>
      <c r="I29">
        <v>7307</v>
      </c>
      <c r="J29">
        <v>6149</v>
      </c>
      <c r="K29">
        <v>3055</v>
      </c>
    </row>
    <row r="30" spans="1:11" x14ac:dyDescent="0.25">
      <c r="A30" t="s">
        <v>460</v>
      </c>
      <c r="B30">
        <v>140</v>
      </c>
      <c r="C30">
        <v>74</v>
      </c>
      <c r="D30">
        <v>964</v>
      </c>
      <c r="E30">
        <v>518</v>
      </c>
      <c r="F30">
        <v>2060</v>
      </c>
      <c r="G30">
        <v>1033</v>
      </c>
      <c r="H30">
        <v>2436</v>
      </c>
      <c r="I30">
        <v>1242</v>
      </c>
      <c r="J30">
        <v>1670</v>
      </c>
      <c r="K30">
        <v>864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5B9BD5"/>
  </sheetPr>
  <dimension ref="A1:K30"/>
  <sheetViews>
    <sheetView workbookViewId="0"/>
  </sheetViews>
  <sheetFormatPr defaultRowHeight="15" x14ac:dyDescent="0.25"/>
  <cols>
    <col min="1" max="1" width="23.42578125" customWidth="1"/>
    <col min="2" max="2" width="14.140625" customWidth="1"/>
  </cols>
  <sheetData>
    <row r="1" spans="1:11" x14ac:dyDescent="0.25">
      <c r="A1" s="29" t="s">
        <v>252</v>
      </c>
      <c r="B1" s="29" t="s">
        <v>423</v>
      </c>
      <c r="C1" s="29"/>
      <c r="D1" s="29" t="s">
        <v>424</v>
      </c>
      <c r="E1" s="29"/>
      <c r="F1" s="29" t="s">
        <v>425</v>
      </c>
      <c r="G1" s="29"/>
      <c r="H1" s="29" t="s">
        <v>373</v>
      </c>
      <c r="I1" s="29"/>
      <c r="J1" s="29" t="s">
        <v>263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484</v>
      </c>
      <c r="C3">
        <v>249</v>
      </c>
      <c r="D3">
        <v>580</v>
      </c>
      <c r="E3">
        <v>268</v>
      </c>
      <c r="F3">
        <v>839</v>
      </c>
      <c r="G3">
        <v>413</v>
      </c>
      <c r="H3">
        <v>1490</v>
      </c>
      <c r="I3">
        <v>723</v>
      </c>
      <c r="J3">
        <v>3393</v>
      </c>
      <c r="K3">
        <v>1653</v>
      </c>
    </row>
    <row r="4" spans="1:11" x14ac:dyDescent="0.25">
      <c r="A4" t="s">
        <v>284</v>
      </c>
      <c r="B4">
        <v>184</v>
      </c>
      <c r="C4">
        <v>99</v>
      </c>
      <c r="D4">
        <v>223</v>
      </c>
      <c r="E4">
        <v>118</v>
      </c>
      <c r="F4">
        <v>461</v>
      </c>
      <c r="G4">
        <v>214</v>
      </c>
      <c r="H4">
        <v>405</v>
      </c>
      <c r="I4">
        <v>174</v>
      </c>
      <c r="J4">
        <v>1273</v>
      </c>
      <c r="K4">
        <v>605</v>
      </c>
    </row>
    <row r="5" spans="1:11" x14ac:dyDescent="0.25">
      <c r="A5" t="s">
        <v>285</v>
      </c>
      <c r="B5">
        <v>357</v>
      </c>
      <c r="C5">
        <v>194</v>
      </c>
      <c r="D5">
        <v>170</v>
      </c>
      <c r="E5">
        <v>72</v>
      </c>
      <c r="F5">
        <v>170</v>
      </c>
      <c r="G5">
        <v>111</v>
      </c>
      <c r="H5">
        <v>156</v>
      </c>
      <c r="I5">
        <v>78</v>
      </c>
      <c r="J5">
        <v>853</v>
      </c>
      <c r="K5">
        <v>455</v>
      </c>
    </row>
    <row r="6" spans="1:11" x14ac:dyDescent="0.25">
      <c r="A6" t="s">
        <v>286</v>
      </c>
      <c r="B6">
        <v>277</v>
      </c>
      <c r="C6">
        <v>132</v>
      </c>
      <c r="D6">
        <v>356</v>
      </c>
      <c r="E6">
        <v>181</v>
      </c>
      <c r="F6">
        <v>557</v>
      </c>
      <c r="G6">
        <v>255</v>
      </c>
      <c r="H6">
        <v>342</v>
      </c>
      <c r="I6">
        <v>168</v>
      </c>
      <c r="J6">
        <v>1532</v>
      </c>
      <c r="K6">
        <v>736</v>
      </c>
    </row>
    <row r="7" spans="1:11" x14ac:dyDescent="0.25">
      <c r="A7" t="s">
        <v>287</v>
      </c>
      <c r="B7">
        <v>576</v>
      </c>
      <c r="C7">
        <v>289</v>
      </c>
      <c r="D7">
        <v>628</v>
      </c>
      <c r="E7">
        <v>328</v>
      </c>
      <c r="F7">
        <v>844</v>
      </c>
      <c r="G7">
        <v>453</v>
      </c>
      <c r="H7">
        <v>869</v>
      </c>
      <c r="I7">
        <v>444</v>
      </c>
      <c r="J7">
        <v>2917</v>
      </c>
      <c r="K7">
        <v>1514</v>
      </c>
    </row>
    <row r="8" spans="1:11" x14ac:dyDescent="0.25">
      <c r="A8" t="s">
        <v>288</v>
      </c>
      <c r="B8">
        <v>45</v>
      </c>
      <c r="C8">
        <v>19</v>
      </c>
      <c r="D8">
        <v>76</v>
      </c>
      <c r="E8">
        <v>31</v>
      </c>
      <c r="F8">
        <v>134</v>
      </c>
      <c r="G8">
        <v>61</v>
      </c>
      <c r="H8">
        <v>87</v>
      </c>
      <c r="I8">
        <v>37</v>
      </c>
      <c r="J8">
        <v>342</v>
      </c>
      <c r="K8">
        <v>148</v>
      </c>
    </row>
    <row r="9" spans="1:11" x14ac:dyDescent="0.25">
      <c r="A9" t="s">
        <v>289</v>
      </c>
      <c r="B9">
        <v>301</v>
      </c>
      <c r="C9">
        <v>152</v>
      </c>
      <c r="D9">
        <v>211</v>
      </c>
      <c r="E9">
        <v>107</v>
      </c>
      <c r="F9">
        <v>390</v>
      </c>
      <c r="G9">
        <v>201</v>
      </c>
      <c r="H9">
        <v>96</v>
      </c>
      <c r="I9">
        <v>39</v>
      </c>
      <c r="J9">
        <v>998</v>
      </c>
      <c r="K9">
        <v>499</v>
      </c>
    </row>
    <row r="10" spans="1:11" x14ac:dyDescent="0.25">
      <c r="A10" t="s">
        <v>290</v>
      </c>
      <c r="B10">
        <v>279</v>
      </c>
      <c r="C10">
        <v>123</v>
      </c>
      <c r="D10">
        <v>300</v>
      </c>
      <c r="E10">
        <v>141</v>
      </c>
      <c r="F10">
        <v>309</v>
      </c>
      <c r="G10">
        <v>152</v>
      </c>
      <c r="H10">
        <v>1086</v>
      </c>
      <c r="I10">
        <v>585</v>
      </c>
      <c r="J10">
        <v>1974</v>
      </c>
      <c r="K10">
        <v>1001</v>
      </c>
    </row>
    <row r="11" spans="1:11" x14ac:dyDescent="0.25">
      <c r="A11" t="s">
        <v>291</v>
      </c>
      <c r="B11">
        <v>0</v>
      </c>
      <c r="C11">
        <v>0</v>
      </c>
      <c r="D11">
        <v>21</v>
      </c>
      <c r="E11">
        <v>10</v>
      </c>
      <c r="F11">
        <v>23</v>
      </c>
      <c r="G11">
        <v>12</v>
      </c>
      <c r="H11">
        <v>77</v>
      </c>
      <c r="I11">
        <v>39</v>
      </c>
      <c r="J11">
        <v>121</v>
      </c>
      <c r="K11">
        <v>61</v>
      </c>
    </row>
    <row r="12" spans="1:11" x14ac:dyDescent="0.25">
      <c r="A12" t="s">
        <v>292</v>
      </c>
      <c r="B12">
        <v>45</v>
      </c>
      <c r="C12">
        <v>21</v>
      </c>
      <c r="D12">
        <v>125</v>
      </c>
      <c r="E12">
        <v>80</v>
      </c>
      <c r="F12">
        <v>93</v>
      </c>
      <c r="G12">
        <v>55</v>
      </c>
      <c r="H12">
        <v>53</v>
      </c>
      <c r="I12">
        <v>27</v>
      </c>
      <c r="J12">
        <v>316</v>
      </c>
      <c r="K12">
        <v>183</v>
      </c>
    </row>
    <row r="13" spans="1:11" x14ac:dyDescent="0.25">
      <c r="A13" t="s">
        <v>293</v>
      </c>
      <c r="B13">
        <v>45</v>
      </c>
      <c r="C13">
        <v>20</v>
      </c>
      <c r="D13">
        <v>81</v>
      </c>
      <c r="E13">
        <v>42</v>
      </c>
      <c r="F13">
        <v>36</v>
      </c>
      <c r="G13">
        <v>18</v>
      </c>
      <c r="H13">
        <v>0</v>
      </c>
      <c r="I13">
        <v>0</v>
      </c>
      <c r="J13">
        <v>162</v>
      </c>
      <c r="K13">
        <v>80</v>
      </c>
    </row>
    <row r="14" spans="1:11" x14ac:dyDescent="0.25">
      <c r="A14" t="s">
        <v>294</v>
      </c>
      <c r="B14">
        <v>28</v>
      </c>
      <c r="C14">
        <v>13</v>
      </c>
      <c r="D14">
        <v>18</v>
      </c>
      <c r="E14">
        <v>12</v>
      </c>
      <c r="F14">
        <v>55</v>
      </c>
      <c r="G14">
        <v>23</v>
      </c>
      <c r="H14">
        <v>39</v>
      </c>
      <c r="I14">
        <v>17</v>
      </c>
      <c r="J14">
        <v>140</v>
      </c>
      <c r="K14">
        <v>65</v>
      </c>
    </row>
    <row r="15" spans="1:11" x14ac:dyDescent="0.25">
      <c r="A15" t="s">
        <v>295</v>
      </c>
      <c r="B15">
        <v>44</v>
      </c>
      <c r="C15">
        <v>21</v>
      </c>
      <c r="D15">
        <v>82</v>
      </c>
      <c r="E15">
        <v>30</v>
      </c>
      <c r="F15">
        <v>80</v>
      </c>
      <c r="G15">
        <v>39</v>
      </c>
      <c r="H15">
        <v>66</v>
      </c>
      <c r="I15">
        <v>24</v>
      </c>
      <c r="J15">
        <v>272</v>
      </c>
      <c r="K15">
        <v>114</v>
      </c>
    </row>
    <row r="16" spans="1:11" x14ac:dyDescent="0.25">
      <c r="A16" t="s">
        <v>296</v>
      </c>
      <c r="B16">
        <v>175</v>
      </c>
      <c r="C16">
        <v>85</v>
      </c>
      <c r="D16">
        <v>260</v>
      </c>
      <c r="E16">
        <v>113</v>
      </c>
      <c r="F16">
        <v>234</v>
      </c>
      <c r="G16">
        <v>111</v>
      </c>
      <c r="H16">
        <v>49</v>
      </c>
      <c r="I16">
        <v>26</v>
      </c>
      <c r="J16">
        <v>718</v>
      </c>
      <c r="K16">
        <v>335</v>
      </c>
    </row>
    <row r="17" spans="1:11" x14ac:dyDescent="0.25">
      <c r="A17" t="s">
        <v>297</v>
      </c>
      <c r="B17">
        <v>4622</v>
      </c>
      <c r="C17">
        <v>2227</v>
      </c>
      <c r="D17">
        <v>4786</v>
      </c>
      <c r="E17">
        <v>2442</v>
      </c>
      <c r="F17">
        <v>7076</v>
      </c>
      <c r="G17">
        <v>3515</v>
      </c>
      <c r="H17">
        <v>3332</v>
      </c>
      <c r="I17">
        <v>1655</v>
      </c>
      <c r="J17">
        <v>19816</v>
      </c>
      <c r="K17">
        <v>9839</v>
      </c>
    </row>
    <row r="18" spans="1:11" x14ac:dyDescent="0.25">
      <c r="A18" t="s">
        <v>298</v>
      </c>
      <c r="B18">
        <v>481</v>
      </c>
      <c r="C18">
        <v>239</v>
      </c>
      <c r="D18">
        <v>640</v>
      </c>
      <c r="E18">
        <v>317</v>
      </c>
      <c r="F18">
        <v>885</v>
      </c>
      <c r="G18">
        <v>431</v>
      </c>
      <c r="H18">
        <v>536</v>
      </c>
      <c r="I18">
        <v>284</v>
      </c>
      <c r="J18">
        <v>2542</v>
      </c>
      <c r="K18">
        <v>1271</v>
      </c>
    </row>
    <row r="19" spans="1:11" x14ac:dyDescent="0.25">
      <c r="A19" t="s">
        <v>299</v>
      </c>
      <c r="B19">
        <v>20</v>
      </c>
      <c r="C19">
        <v>11</v>
      </c>
      <c r="D19">
        <v>17</v>
      </c>
      <c r="E19">
        <v>10</v>
      </c>
      <c r="F19">
        <v>42</v>
      </c>
      <c r="G19">
        <v>26</v>
      </c>
      <c r="H19">
        <v>0</v>
      </c>
      <c r="I19">
        <v>0</v>
      </c>
      <c r="J19">
        <v>79</v>
      </c>
      <c r="K19">
        <v>47</v>
      </c>
    </row>
    <row r="20" spans="1:11" x14ac:dyDescent="0.25">
      <c r="A20" t="s">
        <v>300</v>
      </c>
      <c r="B20">
        <v>26</v>
      </c>
      <c r="C20">
        <v>17</v>
      </c>
      <c r="D20">
        <v>47</v>
      </c>
      <c r="E20">
        <v>24</v>
      </c>
      <c r="F20">
        <v>45</v>
      </c>
      <c r="G20">
        <v>30</v>
      </c>
      <c r="H20">
        <v>20</v>
      </c>
      <c r="I20">
        <v>10</v>
      </c>
      <c r="J20">
        <v>138</v>
      </c>
      <c r="K20">
        <v>81</v>
      </c>
    </row>
    <row r="21" spans="1:11" x14ac:dyDescent="0.25">
      <c r="A21" t="s">
        <v>301</v>
      </c>
      <c r="B21">
        <v>157</v>
      </c>
      <c r="C21">
        <v>63</v>
      </c>
      <c r="D21">
        <v>147</v>
      </c>
      <c r="E21">
        <v>82</v>
      </c>
      <c r="F21">
        <v>106</v>
      </c>
      <c r="G21">
        <v>60</v>
      </c>
      <c r="H21">
        <v>609</v>
      </c>
      <c r="I21">
        <v>300</v>
      </c>
      <c r="J21">
        <v>1019</v>
      </c>
      <c r="K21">
        <v>505</v>
      </c>
    </row>
    <row r="22" spans="1:11" x14ac:dyDescent="0.25">
      <c r="A22" t="s">
        <v>302</v>
      </c>
      <c r="B22">
        <v>289</v>
      </c>
      <c r="C22">
        <v>130</v>
      </c>
      <c r="D22">
        <v>273</v>
      </c>
      <c r="E22">
        <v>140</v>
      </c>
      <c r="F22">
        <v>534</v>
      </c>
      <c r="G22">
        <v>91</v>
      </c>
      <c r="H22">
        <v>173</v>
      </c>
      <c r="I22">
        <v>54</v>
      </c>
      <c r="J22">
        <v>1269</v>
      </c>
      <c r="K22">
        <v>415</v>
      </c>
    </row>
    <row r="23" spans="1:11" x14ac:dyDescent="0.25">
      <c r="A23" t="s">
        <v>303</v>
      </c>
      <c r="B23">
        <v>1449</v>
      </c>
      <c r="C23">
        <v>727</v>
      </c>
      <c r="D23">
        <v>1286</v>
      </c>
      <c r="E23">
        <v>626</v>
      </c>
      <c r="F23">
        <v>1359</v>
      </c>
      <c r="G23">
        <v>664</v>
      </c>
      <c r="H23">
        <v>2436</v>
      </c>
      <c r="I23">
        <v>1248</v>
      </c>
      <c r="J23">
        <v>6530</v>
      </c>
      <c r="K23">
        <v>3265</v>
      </c>
    </row>
    <row r="24" spans="1:11" x14ac:dyDescent="0.25">
      <c r="A24" t="s">
        <v>304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108</v>
      </c>
      <c r="I24">
        <v>60</v>
      </c>
      <c r="J24">
        <v>108</v>
      </c>
      <c r="K24">
        <v>60</v>
      </c>
    </row>
    <row r="25" spans="1:11" x14ac:dyDescent="0.25">
      <c r="A25" t="s">
        <v>305</v>
      </c>
      <c r="B25">
        <v>20</v>
      </c>
      <c r="C25">
        <v>5</v>
      </c>
      <c r="D25">
        <v>36</v>
      </c>
      <c r="E25">
        <v>15</v>
      </c>
      <c r="F25">
        <v>25</v>
      </c>
      <c r="G25">
        <v>15</v>
      </c>
      <c r="H25">
        <v>25</v>
      </c>
      <c r="I25">
        <v>11</v>
      </c>
      <c r="J25">
        <v>106</v>
      </c>
      <c r="K25">
        <v>46</v>
      </c>
    </row>
    <row r="26" spans="1:11" x14ac:dyDescent="0.25">
      <c r="A26" t="s">
        <v>306</v>
      </c>
      <c r="B26">
        <v>168</v>
      </c>
      <c r="C26">
        <v>87</v>
      </c>
      <c r="D26">
        <v>90</v>
      </c>
      <c r="E26">
        <v>42</v>
      </c>
      <c r="F26">
        <v>193</v>
      </c>
      <c r="G26">
        <v>82</v>
      </c>
      <c r="H26">
        <v>142</v>
      </c>
      <c r="I26">
        <v>71</v>
      </c>
      <c r="J26">
        <v>593</v>
      </c>
      <c r="K26">
        <v>282</v>
      </c>
    </row>
    <row r="27" spans="1:11" x14ac:dyDescent="0.25">
      <c r="A27" t="s">
        <v>307</v>
      </c>
      <c r="B27">
        <v>98</v>
      </c>
      <c r="C27">
        <v>48</v>
      </c>
      <c r="D27">
        <v>143</v>
      </c>
      <c r="E27">
        <v>74</v>
      </c>
      <c r="F27">
        <v>130</v>
      </c>
      <c r="G27">
        <v>51</v>
      </c>
      <c r="H27">
        <v>736</v>
      </c>
      <c r="I27">
        <v>416</v>
      </c>
      <c r="J27">
        <v>1107</v>
      </c>
      <c r="K27">
        <v>589</v>
      </c>
    </row>
    <row r="28" spans="1:11" x14ac:dyDescent="0.25">
      <c r="A28" t="s">
        <v>266</v>
      </c>
      <c r="B28">
        <v>10170</v>
      </c>
      <c r="C28">
        <v>4971</v>
      </c>
      <c r="D28">
        <v>10596</v>
      </c>
      <c r="E28">
        <v>5305</v>
      </c>
      <c r="F28">
        <v>14620</v>
      </c>
      <c r="G28">
        <v>7083</v>
      </c>
      <c r="H28">
        <v>12932</v>
      </c>
      <c r="I28">
        <v>6490</v>
      </c>
      <c r="J28">
        <v>48318</v>
      </c>
      <c r="K28">
        <v>23849</v>
      </c>
    </row>
    <row r="29" spans="1:11" x14ac:dyDescent="0.25">
      <c r="A29" t="s">
        <v>459</v>
      </c>
      <c r="B29">
        <v>8955</v>
      </c>
      <c r="C29">
        <v>4343</v>
      </c>
      <c r="D29">
        <v>9159</v>
      </c>
      <c r="E29">
        <v>4554</v>
      </c>
      <c r="F29">
        <v>12840</v>
      </c>
      <c r="G29">
        <v>6160</v>
      </c>
      <c r="H29">
        <v>10094</v>
      </c>
      <c r="I29">
        <v>5061</v>
      </c>
      <c r="J29">
        <v>41048</v>
      </c>
      <c r="K29">
        <v>20118</v>
      </c>
    </row>
    <row r="30" spans="1:11" x14ac:dyDescent="0.25">
      <c r="A30" t="s">
        <v>460</v>
      </c>
      <c r="B30">
        <v>1215</v>
      </c>
      <c r="C30">
        <v>628</v>
      </c>
      <c r="D30">
        <v>1437</v>
      </c>
      <c r="E30">
        <v>751</v>
      </c>
      <c r="F30">
        <v>1780</v>
      </c>
      <c r="G30">
        <v>923</v>
      </c>
      <c r="H30">
        <v>2838</v>
      </c>
      <c r="I30">
        <v>1429</v>
      </c>
      <c r="J30">
        <v>7270</v>
      </c>
      <c r="K30">
        <v>3731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C000"/>
  </sheetPr>
  <dimension ref="A1:S30"/>
  <sheetViews>
    <sheetView workbookViewId="0"/>
  </sheetViews>
  <sheetFormatPr defaultRowHeight="15" x14ac:dyDescent="0.25"/>
  <cols>
    <col min="1" max="1" width="18.140625" customWidth="1"/>
    <col min="2" max="2" width="7.42578125" customWidth="1"/>
    <col min="3" max="3" width="7.28515625" customWidth="1"/>
    <col min="4" max="4" width="8" customWidth="1"/>
    <col min="5" max="5" width="8.7109375" customWidth="1"/>
    <col min="7" max="7" width="7.85546875" customWidth="1"/>
    <col min="9" max="9" width="7.140625" customWidth="1"/>
    <col min="10" max="10" width="7.42578125" customWidth="1"/>
    <col min="11" max="11" width="8.85546875" customWidth="1"/>
    <col min="13" max="13" width="7.42578125" customWidth="1"/>
    <col min="14" max="14" width="7.85546875" customWidth="1"/>
    <col min="15" max="15" width="7.28515625" customWidth="1"/>
    <col min="16" max="16" width="7.42578125" customWidth="1"/>
    <col min="17" max="17" width="9.28515625" customWidth="1"/>
    <col min="18" max="18" width="8.85546875" customWidth="1"/>
    <col min="19" max="19" width="7.42578125" customWidth="1"/>
  </cols>
  <sheetData>
    <row r="1" spans="1:19" x14ac:dyDescent="0.25">
      <c r="A1" s="29" t="s">
        <v>252</v>
      </c>
      <c r="B1" s="29" t="s">
        <v>736</v>
      </c>
      <c r="C1" s="29"/>
      <c r="D1" s="29"/>
      <c r="E1" s="29"/>
      <c r="F1" s="29"/>
      <c r="G1" s="29"/>
      <c r="H1" s="29" t="s">
        <v>737</v>
      </c>
      <c r="I1" s="29"/>
      <c r="J1" s="29"/>
      <c r="K1" s="29"/>
      <c r="L1" s="29"/>
      <c r="M1" s="29"/>
      <c r="N1" s="29" t="s">
        <v>738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740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740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740</v>
      </c>
      <c r="S2" t="s">
        <v>741</v>
      </c>
    </row>
    <row r="3" spans="1:19" x14ac:dyDescent="0.25">
      <c r="A3" t="s">
        <v>283</v>
      </c>
      <c r="B3">
        <v>19</v>
      </c>
      <c r="C3">
        <v>12</v>
      </c>
      <c r="D3">
        <v>50</v>
      </c>
      <c r="E3">
        <v>143</v>
      </c>
      <c r="F3">
        <v>26</v>
      </c>
      <c r="G3">
        <v>2</v>
      </c>
      <c r="H3">
        <v>17</v>
      </c>
      <c r="I3">
        <v>5</v>
      </c>
      <c r="J3">
        <v>19</v>
      </c>
      <c r="K3">
        <v>65</v>
      </c>
      <c r="L3">
        <v>7</v>
      </c>
      <c r="M3">
        <v>0</v>
      </c>
      <c r="N3">
        <v>10</v>
      </c>
      <c r="O3">
        <v>3</v>
      </c>
      <c r="P3">
        <v>5</v>
      </c>
      <c r="Q3">
        <v>25</v>
      </c>
      <c r="R3">
        <v>3</v>
      </c>
      <c r="S3">
        <v>0</v>
      </c>
    </row>
    <row r="4" spans="1:19" x14ac:dyDescent="0.25">
      <c r="A4" t="s">
        <v>284</v>
      </c>
      <c r="B4">
        <v>17</v>
      </c>
      <c r="C4">
        <v>11</v>
      </c>
      <c r="D4">
        <v>38</v>
      </c>
      <c r="E4">
        <v>72</v>
      </c>
      <c r="F4">
        <v>25</v>
      </c>
      <c r="G4">
        <v>2</v>
      </c>
      <c r="H4">
        <v>11</v>
      </c>
      <c r="I4">
        <v>9</v>
      </c>
      <c r="J4">
        <v>5</v>
      </c>
      <c r="K4">
        <v>49</v>
      </c>
      <c r="L4">
        <v>8</v>
      </c>
      <c r="M4">
        <v>0</v>
      </c>
      <c r="N4">
        <v>5</v>
      </c>
      <c r="O4">
        <v>3</v>
      </c>
      <c r="P4">
        <v>21</v>
      </c>
      <c r="Q4">
        <v>24</v>
      </c>
      <c r="R4">
        <v>2</v>
      </c>
      <c r="S4">
        <v>0</v>
      </c>
    </row>
    <row r="5" spans="1:19" x14ac:dyDescent="0.25">
      <c r="A5" t="s">
        <v>285</v>
      </c>
      <c r="B5">
        <v>2</v>
      </c>
      <c r="C5">
        <v>0</v>
      </c>
      <c r="D5">
        <v>17</v>
      </c>
      <c r="E5">
        <v>14</v>
      </c>
      <c r="F5">
        <v>1</v>
      </c>
      <c r="G5">
        <v>0</v>
      </c>
      <c r="H5">
        <v>0</v>
      </c>
      <c r="I5">
        <v>0</v>
      </c>
      <c r="J5">
        <v>3</v>
      </c>
      <c r="K5">
        <v>11</v>
      </c>
      <c r="L5">
        <v>0</v>
      </c>
      <c r="M5">
        <v>0</v>
      </c>
      <c r="N5">
        <v>1</v>
      </c>
      <c r="O5">
        <v>0</v>
      </c>
      <c r="P5">
        <v>1</v>
      </c>
      <c r="Q5">
        <v>3</v>
      </c>
      <c r="R5">
        <v>0</v>
      </c>
      <c r="S5">
        <v>0</v>
      </c>
    </row>
    <row r="6" spans="1:19" x14ac:dyDescent="0.25">
      <c r="A6" t="s">
        <v>286</v>
      </c>
      <c r="B6">
        <v>1</v>
      </c>
      <c r="C6">
        <v>7</v>
      </c>
      <c r="D6">
        <v>34</v>
      </c>
      <c r="E6">
        <v>34</v>
      </c>
      <c r="F6">
        <v>9</v>
      </c>
      <c r="G6">
        <v>2</v>
      </c>
      <c r="H6">
        <v>1</v>
      </c>
      <c r="I6">
        <v>0</v>
      </c>
      <c r="J6">
        <v>20</v>
      </c>
      <c r="K6">
        <v>23</v>
      </c>
      <c r="L6">
        <v>2</v>
      </c>
      <c r="M6">
        <v>0</v>
      </c>
      <c r="N6">
        <v>0</v>
      </c>
      <c r="O6">
        <v>2</v>
      </c>
      <c r="P6">
        <v>1</v>
      </c>
      <c r="Q6">
        <v>3</v>
      </c>
      <c r="R6">
        <v>0</v>
      </c>
      <c r="S6">
        <v>0</v>
      </c>
    </row>
    <row r="7" spans="1:19" x14ac:dyDescent="0.25">
      <c r="A7" t="s">
        <v>287</v>
      </c>
      <c r="B7">
        <v>6</v>
      </c>
      <c r="C7">
        <v>11</v>
      </c>
      <c r="D7">
        <v>55</v>
      </c>
      <c r="E7">
        <v>31</v>
      </c>
      <c r="F7">
        <v>4</v>
      </c>
      <c r="G7">
        <v>2</v>
      </c>
      <c r="H7">
        <v>5</v>
      </c>
      <c r="I7">
        <v>2</v>
      </c>
      <c r="J7">
        <v>12</v>
      </c>
      <c r="K7">
        <v>20</v>
      </c>
      <c r="L7">
        <v>1</v>
      </c>
      <c r="M7">
        <v>1</v>
      </c>
      <c r="N7">
        <v>3</v>
      </c>
      <c r="O7">
        <v>0</v>
      </c>
      <c r="P7">
        <v>4</v>
      </c>
      <c r="Q7">
        <v>0</v>
      </c>
      <c r="R7">
        <v>0</v>
      </c>
      <c r="S7">
        <v>0</v>
      </c>
    </row>
    <row r="8" spans="1:19" x14ac:dyDescent="0.25">
      <c r="A8" t="s">
        <v>288</v>
      </c>
      <c r="B8">
        <v>1</v>
      </c>
      <c r="C8">
        <v>3</v>
      </c>
      <c r="D8">
        <v>8</v>
      </c>
      <c r="E8">
        <v>16</v>
      </c>
      <c r="F8">
        <v>4</v>
      </c>
      <c r="G8">
        <v>2</v>
      </c>
      <c r="H8">
        <v>0</v>
      </c>
      <c r="I8">
        <v>2</v>
      </c>
      <c r="J8">
        <v>5</v>
      </c>
      <c r="K8">
        <v>11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</row>
    <row r="9" spans="1:19" x14ac:dyDescent="0.25">
      <c r="A9" t="s">
        <v>289</v>
      </c>
      <c r="B9">
        <v>8</v>
      </c>
      <c r="C9">
        <v>8</v>
      </c>
      <c r="D9">
        <v>9</v>
      </c>
      <c r="E9">
        <v>33</v>
      </c>
      <c r="F9">
        <v>3</v>
      </c>
      <c r="G9">
        <v>0</v>
      </c>
      <c r="H9">
        <v>3</v>
      </c>
      <c r="I9">
        <v>3</v>
      </c>
      <c r="J9">
        <v>6</v>
      </c>
      <c r="K9">
        <v>20</v>
      </c>
      <c r="L9">
        <v>0</v>
      </c>
      <c r="M9">
        <v>0</v>
      </c>
      <c r="N9">
        <v>4</v>
      </c>
      <c r="O9">
        <v>5</v>
      </c>
      <c r="P9">
        <v>1</v>
      </c>
      <c r="Q9">
        <v>11</v>
      </c>
      <c r="R9">
        <v>0</v>
      </c>
      <c r="S9">
        <v>0</v>
      </c>
    </row>
    <row r="10" spans="1:19" x14ac:dyDescent="0.25">
      <c r="A10" t="s">
        <v>290</v>
      </c>
      <c r="B10">
        <v>12</v>
      </c>
      <c r="C10">
        <v>33</v>
      </c>
      <c r="D10">
        <v>109</v>
      </c>
      <c r="E10">
        <v>109</v>
      </c>
      <c r="F10">
        <v>20</v>
      </c>
      <c r="G10">
        <v>1</v>
      </c>
      <c r="H10">
        <v>8</v>
      </c>
      <c r="I10">
        <v>20</v>
      </c>
      <c r="J10">
        <v>53</v>
      </c>
      <c r="K10">
        <v>61</v>
      </c>
      <c r="L10">
        <v>4</v>
      </c>
      <c r="M10">
        <v>0</v>
      </c>
      <c r="N10">
        <v>0</v>
      </c>
      <c r="O10">
        <v>10</v>
      </c>
      <c r="P10">
        <v>10</v>
      </c>
      <c r="Q10">
        <v>8</v>
      </c>
      <c r="R10">
        <v>0</v>
      </c>
      <c r="S10">
        <v>0</v>
      </c>
    </row>
    <row r="11" spans="1:19" x14ac:dyDescent="0.25">
      <c r="A11" t="s">
        <v>291</v>
      </c>
      <c r="B11">
        <v>0</v>
      </c>
      <c r="C11">
        <v>0</v>
      </c>
      <c r="D11">
        <v>2</v>
      </c>
      <c r="E11">
        <v>3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292</v>
      </c>
      <c r="B12">
        <v>5</v>
      </c>
      <c r="C12">
        <v>5</v>
      </c>
      <c r="D12">
        <v>6</v>
      </c>
      <c r="E12">
        <v>7</v>
      </c>
      <c r="F12">
        <v>1</v>
      </c>
      <c r="G12">
        <v>0</v>
      </c>
      <c r="H12">
        <v>5</v>
      </c>
      <c r="I12">
        <v>3</v>
      </c>
      <c r="J12">
        <v>0</v>
      </c>
      <c r="K12">
        <v>3</v>
      </c>
      <c r="L12">
        <v>0</v>
      </c>
      <c r="M12">
        <v>0</v>
      </c>
      <c r="N12">
        <v>3</v>
      </c>
      <c r="O12">
        <v>5</v>
      </c>
      <c r="P12">
        <v>4</v>
      </c>
      <c r="Q12">
        <v>4</v>
      </c>
      <c r="R12">
        <v>0</v>
      </c>
      <c r="S12">
        <v>0</v>
      </c>
    </row>
    <row r="13" spans="1:19" x14ac:dyDescent="0.25">
      <c r="A13" t="s">
        <v>293</v>
      </c>
      <c r="B13">
        <v>0</v>
      </c>
      <c r="C13">
        <v>0</v>
      </c>
      <c r="D13">
        <v>0</v>
      </c>
      <c r="E13">
        <v>14</v>
      </c>
      <c r="F13">
        <v>1</v>
      </c>
      <c r="G13">
        <v>0</v>
      </c>
      <c r="H13">
        <v>0</v>
      </c>
      <c r="I13">
        <v>0</v>
      </c>
      <c r="J13">
        <v>0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8</v>
      </c>
      <c r="C14">
        <v>2</v>
      </c>
      <c r="D14">
        <v>2</v>
      </c>
      <c r="E14">
        <v>4</v>
      </c>
      <c r="F14">
        <v>0</v>
      </c>
      <c r="G14">
        <v>0</v>
      </c>
      <c r="H14">
        <v>6</v>
      </c>
      <c r="I14">
        <v>1</v>
      </c>
      <c r="J14">
        <v>2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0</v>
      </c>
      <c r="D15">
        <v>3</v>
      </c>
      <c r="E15">
        <v>1</v>
      </c>
      <c r="F15">
        <v>0</v>
      </c>
      <c r="G15">
        <v>0</v>
      </c>
      <c r="H15">
        <v>1</v>
      </c>
      <c r="I15">
        <v>0</v>
      </c>
      <c r="J15">
        <v>2</v>
      </c>
      <c r="K15">
        <v>0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6</v>
      </c>
      <c r="C16">
        <v>6</v>
      </c>
      <c r="D16">
        <v>3</v>
      </c>
      <c r="E16">
        <v>27</v>
      </c>
      <c r="F16">
        <v>3</v>
      </c>
      <c r="G16">
        <v>0</v>
      </c>
      <c r="H16">
        <v>2</v>
      </c>
      <c r="I16">
        <v>4</v>
      </c>
      <c r="J16">
        <v>1</v>
      </c>
      <c r="K16">
        <v>9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>
        <v>0</v>
      </c>
      <c r="S16">
        <v>0</v>
      </c>
    </row>
    <row r="17" spans="1:19" x14ac:dyDescent="0.25">
      <c r="A17" t="s">
        <v>297</v>
      </c>
      <c r="B17">
        <v>283</v>
      </c>
      <c r="C17">
        <v>330</v>
      </c>
      <c r="D17">
        <v>665</v>
      </c>
      <c r="E17">
        <v>2010</v>
      </c>
      <c r="F17">
        <v>236</v>
      </c>
      <c r="G17">
        <v>38</v>
      </c>
      <c r="H17">
        <v>208</v>
      </c>
      <c r="I17">
        <v>171</v>
      </c>
      <c r="J17">
        <v>351</v>
      </c>
      <c r="K17">
        <v>1306</v>
      </c>
      <c r="L17">
        <v>64</v>
      </c>
      <c r="M17">
        <v>8</v>
      </c>
      <c r="N17">
        <v>59</v>
      </c>
      <c r="O17">
        <v>70</v>
      </c>
      <c r="P17">
        <v>123</v>
      </c>
      <c r="Q17">
        <v>278</v>
      </c>
      <c r="R17">
        <v>29</v>
      </c>
      <c r="S17">
        <v>1</v>
      </c>
    </row>
    <row r="18" spans="1:19" x14ac:dyDescent="0.25">
      <c r="A18" t="s">
        <v>298</v>
      </c>
      <c r="B18">
        <v>9</v>
      </c>
      <c r="C18">
        <v>4</v>
      </c>
      <c r="D18">
        <v>14</v>
      </c>
      <c r="E18">
        <v>98</v>
      </c>
      <c r="F18">
        <v>11</v>
      </c>
      <c r="G18">
        <v>0</v>
      </c>
      <c r="H18">
        <v>9</v>
      </c>
      <c r="I18">
        <v>1</v>
      </c>
      <c r="J18">
        <v>11</v>
      </c>
      <c r="K18">
        <v>62</v>
      </c>
      <c r="L18">
        <v>4</v>
      </c>
      <c r="M18">
        <v>0</v>
      </c>
      <c r="N18">
        <v>4</v>
      </c>
      <c r="O18">
        <v>0</v>
      </c>
      <c r="P18">
        <v>1</v>
      </c>
      <c r="Q18">
        <v>8</v>
      </c>
      <c r="R18">
        <v>0</v>
      </c>
      <c r="S18">
        <v>0</v>
      </c>
    </row>
    <row r="19" spans="1:19" x14ac:dyDescent="0.25">
      <c r="A19" t="s">
        <v>299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7</v>
      </c>
      <c r="E20">
        <v>6</v>
      </c>
      <c r="F20">
        <v>0</v>
      </c>
      <c r="G20">
        <v>0</v>
      </c>
      <c r="H20">
        <v>0</v>
      </c>
      <c r="I20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3</v>
      </c>
      <c r="D21">
        <v>7</v>
      </c>
      <c r="E21">
        <v>7</v>
      </c>
      <c r="F21">
        <v>0</v>
      </c>
      <c r="G21">
        <v>0</v>
      </c>
      <c r="H21">
        <v>0</v>
      </c>
      <c r="I21">
        <v>2</v>
      </c>
      <c r="J21">
        <v>2</v>
      </c>
      <c r="K21">
        <v>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4</v>
      </c>
      <c r="D22">
        <v>16</v>
      </c>
      <c r="E22">
        <v>23</v>
      </c>
      <c r="F22">
        <v>3</v>
      </c>
      <c r="G22">
        <v>0</v>
      </c>
      <c r="H22">
        <v>0</v>
      </c>
      <c r="I22">
        <v>0</v>
      </c>
      <c r="J22">
        <v>12</v>
      </c>
      <c r="K22">
        <v>13</v>
      </c>
      <c r="L22">
        <v>0</v>
      </c>
      <c r="M22">
        <v>0</v>
      </c>
      <c r="N22">
        <v>0</v>
      </c>
      <c r="O22">
        <v>0</v>
      </c>
      <c r="P22">
        <v>2</v>
      </c>
      <c r="Q22">
        <v>10</v>
      </c>
      <c r="R22">
        <v>0</v>
      </c>
      <c r="S22">
        <v>0</v>
      </c>
    </row>
    <row r="23" spans="1:19" x14ac:dyDescent="0.25">
      <c r="A23" t="s">
        <v>303</v>
      </c>
      <c r="B23">
        <v>20</v>
      </c>
      <c r="C23">
        <v>24</v>
      </c>
      <c r="D23">
        <v>81</v>
      </c>
      <c r="E23">
        <v>121</v>
      </c>
      <c r="F23">
        <v>21</v>
      </c>
      <c r="G23">
        <v>0</v>
      </c>
      <c r="H23">
        <v>19</v>
      </c>
      <c r="I23">
        <v>12</v>
      </c>
      <c r="J23">
        <v>59</v>
      </c>
      <c r="K23">
        <v>85</v>
      </c>
      <c r="L23">
        <v>6</v>
      </c>
      <c r="M23">
        <v>0</v>
      </c>
      <c r="N23">
        <v>8</v>
      </c>
      <c r="O23">
        <v>4</v>
      </c>
      <c r="P23">
        <v>19</v>
      </c>
      <c r="Q23">
        <v>27</v>
      </c>
      <c r="R23">
        <v>1</v>
      </c>
      <c r="S23">
        <v>0</v>
      </c>
    </row>
    <row r="24" spans="1:19" x14ac:dyDescent="0.25">
      <c r="A24" t="s">
        <v>304</v>
      </c>
      <c r="B24">
        <v>0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0</v>
      </c>
      <c r="D25">
        <v>1</v>
      </c>
      <c r="E25">
        <v>2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306</v>
      </c>
      <c r="B26">
        <v>7</v>
      </c>
      <c r="C26">
        <v>20</v>
      </c>
      <c r="D26">
        <v>12</v>
      </c>
      <c r="E26">
        <v>30</v>
      </c>
      <c r="F26">
        <v>12</v>
      </c>
      <c r="G26">
        <v>0</v>
      </c>
      <c r="H26">
        <v>5</v>
      </c>
      <c r="I26">
        <v>13</v>
      </c>
      <c r="J26">
        <v>4</v>
      </c>
      <c r="K26">
        <v>15</v>
      </c>
      <c r="L26">
        <v>7</v>
      </c>
      <c r="M26">
        <v>0</v>
      </c>
      <c r="N26">
        <v>3</v>
      </c>
      <c r="O26">
        <v>5</v>
      </c>
      <c r="P26">
        <v>5</v>
      </c>
      <c r="Q26">
        <v>8</v>
      </c>
      <c r="R26">
        <v>1</v>
      </c>
      <c r="S26">
        <v>0</v>
      </c>
    </row>
    <row r="27" spans="1:19" x14ac:dyDescent="0.25">
      <c r="A27" t="s">
        <v>307</v>
      </c>
      <c r="B27">
        <v>17</v>
      </c>
      <c r="C27">
        <v>7</v>
      </c>
      <c r="D27">
        <v>1</v>
      </c>
      <c r="E27">
        <v>24</v>
      </c>
      <c r="F27">
        <v>3</v>
      </c>
      <c r="G27">
        <v>0</v>
      </c>
      <c r="H27">
        <v>8</v>
      </c>
      <c r="I27">
        <v>3</v>
      </c>
      <c r="J27">
        <v>0</v>
      </c>
      <c r="K27">
        <v>11</v>
      </c>
      <c r="L27">
        <v>2</v>
      </c>
      <c r="M27">
        <v>0</v>
      </c>
      <c r="N27">
        <v>11</v>
      </c>
      <c r="O27">
        <v>7</v>
      </c>
      <c r="P27">
        <v>0</v>
      </c>
      <c r="Q27">
        <v>4</v>
      </c>
      <c r="R27">
        <v>0</v>
      </c>
      <c r="S27">
        <v>0</v>
      </c>
    </row>
    <row r="28" spans="1:19" x14ac:dyDescent="0.25">
      <c r="A28" t="s">
        <v>266</v>
      </c>
      <c r="B28">
        <v>422</v>
      </c>
      <c r="C28">
        <v>494</v>
      </c>
      <c r="D28">
        <v>1140</v>
      </c>
      <c r="E28">
        <v>2829</v>
      </c>
      <c r="F28">
        <v>384</v>
      </c>
      <c r="G28">
        <v>49</v>
      </c>
      <c r="H28">
        <v>308</v>
      </c>
      <c r="I28">
        <v>254</v>
      </c>
      <c r="J28">
        <v>573</v>
      </c>
      <c r="K28">
        <v>1785</v>
      </c>
      <c r="L28">
        <v>105</v>
      </c>
      <c r="M28">
        <v>9</v>
      </c>
      <c r="N28">
        <v>112</v>
      </c>
      <c r="O28">
        <v>116</v>
      </c>
      <c r="P28">
        <v>198</v>
      </c>
      <c r="Q28">
        <v>421</v>
      </c>
      <c r="R28">
        <v>36</v>
      </c>
      <c r="S28">
        <v>1</v>
      </c>
    </row>
    <row r="29" spans="1:19" x14ac:dyDescent="0.25">
      <c r="A29" t="s">
        <v>459</v>
      </c>
      <c r="B29">
        <v>384</v>
      </c>
      <c r="C29">
        <v>440</v>
      </c>
      <c r="D29">
        <v>1014</v>
      </c>
      <c r="E29">
        <v>2677</v>
      </c>
      <c r="F29">
        <v>356</v>
      </c>
      <c r="G29">
        <v>43</v>
      </c>
      <c r="H29">
        <v>290</v>
      </c>
      <c r="I29">
        <v>236</v>
      </c>
      <c r="J29">
        <v>534</v>
      </c>
      <c r="K29">
        <v>1710</v>
      </c>
      <c r="L29">
        <v>100</v>
      </c>
      <c r="M29">
        <v>9</v>
      </c>
      <c r="N29">
        <v>96</v>
      </c>
      <c r="O29">
        <v>105</v>
      </c>
      <c r="P29">
        <v>184</v>
      </c>
      <c r="Q29">
        <v>391</v>
      </c>
      <c r="R29">
        <v>33</v>
      </c>
      <c r="S29">
        <v>1</v>
      </c>
    </row>
    <row r="30" spans="1:19" x14ac:dyDescent="0.25">
      <c r="A30" t="s">
        <v>460</v>
      </c>
      <c r="B30">
        <v>38</v>
      </c>
      <c r="C30">
        <v>54</v>
      </c>
      <c r="D30">
        <v>126</v>
      </c>
      <c r="E30">
        <v>152</v>
      </c>
      <c r="F30">
        <v>28</v>
      </c>
      <c r="G30">
        <v>6</v>
      </c>
      <c r="H30">
        <v>18</v>
      </c>
      <c r="I30">
        <v>18</v>
      </c>
      <c r="J30">
        <v>39</v>
      </c>
      <c r="K30">
        <v>75</v>
      </c>
      <c r="L30">
        <v>5</v>
      </c>
      <c r="M30">
        <v>0</v>
      </c>
      <c r="N30">
        <v>16</v>
      </c>
      <c r="O30">
        <v>11</v>
      </c>
      <c r="P30">
        <v>14</v>
      </c>
      <c r="Q30">
        <v>30</v>
      </c>
      <c r="R30">
        <v>3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C000"/>
  </sheetPr>
  <dimension ref="A1:S30"/>
  <sheetViews>
    <sheetView workbookViewId="0"/>
  </sheetViews>
  <sheetFormatPr defaultRowHeight="15" x14ac:dyDescent="0.25"/>
  <cols>
    <col min="1" max="1" width="18.140625" customWidth="1"/>
    <col min="2" max="2" width="7.85546875" customWidth="1"/>
    <col min="3" max="3" width="7.28515625" customWidth="1"/>
    <col min="4" max="4" width="8.140625" customWidth="1"/>
    <col min="5" max="5" width="8.42578125" customWidth="1"/>
    <col min="6" max="6" width="9.28515625" customWidth="1"/>
    <col min="7" max="7" width="7.28515625" customWidth="1"/>
    <col min="8" max="8" width="7.85546875" customWidth="1"/>
    <col min="9" max="9" width="7.28515625" customWidth="1"/>
    <col min="10" max="10" width="8" customWidth="1"/>
    <col min="11" max="11" width="8.42578125" customWidth="1"/>
    <col min="12" max="12" width="8.7109375" customWidth="1"/>
    <col min="13" max="13" width="7.140625" customWidth="1"/>
    <col min="14" max="14" width="8" customWidth="1"/>
    <col min="17" max="17" width="8.7109375" customWidth="1"/>
    <col min="18" max="18" width="8.85546875" customWidth="1"/>
    <col min="19" max="19" width="7.42578125" customWidth="1"/>
  </cols>
  <sheetData>
    <row r="1" spans="1:19" x14ac:dyDescent="0.25">
      <c r="A1" s="29" t="s">
        <v>252</v>
      </c>
      <c r="B1" s="29" t="s">
        <v>742</v>
      </c>
      <c r="C1" s="29"/>
      <c r="D1" s="29"/>
      <c r="E1" s="29"/>
      <c r="F1" s="29"/>
      <c r="G1" s="29"/>
      <c r="H1" s="29" t="s">
        <v>743</v>
      </c>
      <c r="I1" s="29"/>
      <c r="J1" s="29"/>
      <c r="K1" s="29"/>
      <c r="L1" s="29"/>
      <c r="M1" s="29"/>
      <c r="N1" s="29" t="s">
        <v>744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0</v>
      </c>
      <c r="C3">
        <v>38</v>
      </c>
      <c r="D3">
        <v>430</v>
      </c>
      <c r="E3">
        <v>554</v>
      </c>
      <c r="F3">
        <v>31</v>
      </c>
      <c r="G3">
        <v>0</v>
      </c>
      <c r="H3">
        <v>0</v>
      </c>
      <c r="I3">
        <v>29</v>
      </c>
      <c r="J3">
        <v>265</v>
      </c>
      <c r="K3">
        <v>280</v>
      </c>
      <c r="L3">
        <v>6</v>
      </c>
      <c r="M3">
        <v>0</v>
      </c>
      <c r="N3">
        <v>0</v>
      </c>
      <c r="O3">
        <v>8</v>
      </c>
      <c r="P3">
        <v>50</v>
      </c>
      <c r="Q3">
        <v>51</v>
      </c>
      <c r="R3">
        <v>1</v>
      </c>
      <c r="S3">
        <v>0</v>
      </c>
    </row>
    <row r="4" spans="1:19" x14ac:dyDescent="0.25">
      <c r="A4" t="s">
        <v>284</v>
      </c>
      <c r="B4">
        <v>12</v>
      </c>
      <c r="C4">
        <v>31</v>
      </c>
      <c r="D4">
        <v>228</v>
      </c>
      <c r="E4">
        <v>467</v>
      </c>
      <c r="F4">
        <v>40</v>
      </c>
      <c r="G4">
        <v>1</v>
      </c>
      <c r="H4">
        <v>12</v>
      </c>
      <c r="I4">
        <v>19</v>
      </c>
      <c r="J4">
        <v>169</v>
      </c>
      <c r="K4">
        <v>274</v>
      </c>
      <c r="L4">
        <v>14</v>
      </c>
      <c r="M4">
        <v>0</v>
      </c>
      <c r="N4">
        <v>0</v>
      </c>
      <c r="O4">
        <v>1</v>
      </c>
      <c r="P4">
        <v>5</v>
      </c>
      <c r="Q4">
        <v>8</v>
      </c>
      <c r="R4">
        <v>0</v>
      </c>
      <c r="S4">
        <v>0</v>
      </c>
    </row>
    <row r="5" spans="1:19" x14ac:dyDescent="0.25">
      <c r="A5" t="s">
        <v>285</v>
      </c>
      <c r="B5">
        <v>5</v>
      </c>
      <c r="C5">
        <v>23</v>
      </c>
      <c r="D5">
        <v>74</v>
      </c>
      <c r="E5">
        <v>103</v>
      </c>
      <c r="F5">
        <v>9</v>
      </c>
      <c r="G5">
        <v>0</v>
      </c>
      <c r="H5">
        <v>1</v>
      </c>
      <c r="I5">
        <v>17</v>
      </c>
      <c r="J5">
        <v>59</v>
      </c>
      <c r="K5">
        <v>53</v>
      </c>
      <c r="L5">
        <v>0</v>
      </c>
      <c r="M5">
        <v>0</v>
      </c>
      <c r="N5">
        <v>0</v>
      </c>
      <c r="O5">
        <v>0</v>
      </c>
      <c r="P5">
        <v>3</v>
      </c>
      <c r="Q5">
        <v>8</v>
      </c>
      <c r="R5">
        <v>0</v>
      </c>
      <c r="S5">
        <v>0</v>
      </c>
    </row>
    <row r="6" spans="1:19" x14ac:dyDescent="0.25">
      <c r="A6" t="s">
        <v>286</v>
      </c>
      <c r="B6">
        <v>0</v>
      </c>
      <c r="C6">
        <v>17</v>
      </c>
      <c r="D6">
        <v>195</v>
      </c>
      <c r="E6">
        <v>140</v>
      </c>
      <c r="F6">
        <v>3</v>
      </c>
      <c r="G6">
        <v>1</v>
      </c>
      <c r="H6">
        <v>0</v>
      </c>
      <c r="I6">
        <v>12</v>
      </c>
      <c r="J6">
        <v>147</v>
      </c>
      <c r="K6">
        <v>82</v>
      </c>
      <c r="L6">
        <v>1</v>
      </c>
      <c r="M6">
        <v>0</v>
      </c>
      <c r="N6">
        <v>0</v>
      </c>
      <c r="O6">
        <v>0</v>
      </c>
      <c r="P6">
        <v>9</v>
      </c>
      <c r="Q6">
        <v>11</v>
      </c>
      <c r="R6">
        <v>0</v>
      </c>
      <c r="S6">
        <v>0</v>
      </c>
    </row>
    <row r="7" spans="1:19" x14ac:dyDescent="0.25">
      <c r="A7" t="s">
        <v>287</v>
      </c>
      <c r="B7">
        <v>4</v>
      </c>
      <c r="C7">
        <v>20</v>
      </c>
      <c r="D7">
        <v>130</v>
      </c>
      <c r="E7">
        <v>271</v>
      </c>
      <c r="F7">
        <v>19</v>
      </c>
      <c r="G7">
        <v>0</v>
      </c>
      <c r="H7">
        <v>2</v>
      </c>
      <c r="I7">
        <v>16</v>
      </c>
      <c r="J7">
        <v>93</v>
      </c>
      <c r="K7">
        <v>159</v>
      </c>
      <c r="L7">
        <v>9</v>
      </c>
      <c r="M7">
        <v>0</v>
      </c>
      <c r="N7">
        <v>0</v>
      </c>
      <c r="O7">
        <v>0</v>
      </c>
      <c r="P7">
        <v>2</v>
      </c>
      <c r="Q7">
        <v>13</v>
      </c>
      <c r="R7">
        <v>1</v>
      </c>
      <c r="S7">
        <v>0</v>
      </c>
    </row>
    <row r="8" spans="1:19" x14ac:dyDescent="0.25">
      <c r="A8" t="s">
        <v>288</v>
      </c>
      <c r="B8">
        <v>2</v>
      </c>
      <c r="C8">
        <v>2</v>
      </c>
      <c r="D8">
        <v>31</v>
      </c>
      <c r="E8">
        <v>70</v>
      </c>
      <c r="F8">
        <v>5</v>
      </c>
      <c r="G8">
        <v>0</v>
      </c>
      <c r="H8">
        <v>2</v>
      </c>
      <c r="I8">
        <v>2</v>
      </c>
      <c r="J8">
        <v>26</v>
      </c>
      <c r="K8">
        <v>40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25">
      <c r="A9" t="s">
        <v>289</v>
      </c>
      <c r="B9">
        <v>12</v>
      </c>
      <c r="C9">
        <v>104</v>
      </c>
      <c r="D9">
        <v>147</v>
      </c>
      <c r="E9">
        <v>259</v>
      </c>
      <c r="F9">
        <v>21</v>
      </c>
      <c r="G9">
        <v>0</v>
      </c>
      <c r="H9">
        <v>1</v>
      </c>
      <c r="I9">
        <v>75</v>
      </c>
      <c r="J9">
        <v>81</v>
      </c>
      <c r="K9">
        <v>143</v>
      </c>
      <c r="L9">
        <v>4</v>
      </c>
      <c r="M9">
        <v>0</v>
      </c>
      <c r="N9">
        <v>2</v>
      </c>
      <c r="O9">
        <v>6</v>
      </c>
      <c r="P9">
        <v>9</v>
      </c>
      <c r="Q9">
        <v>30</v>
      </c>
      <c r="R9">
        <v>0</v>
      </c>
      <c r="S9">
        <v>0</v>
      </c>
    </row>
    <row r="10" spans="1:19" x14ac:dyDescent="0.25">
      <c r="A10" t="s">
        <v>290</v>
      </c>
      <c r="B10">
        <v>22</v>
      </c>
      <c r="C10">
        <v>47</v>
      </c>
      <c r="D10">
        <v>201</v>
      </c>
      <c r="E10">
        <v>389</v>
      </c>
      <c r="F10">
        <v>30</v>
      </c>
      <c r="G10">
        <v>5</v>
      </c>
      <c r="H10">
        <v>13</v>
      </c>
      <c r="I10">
        <v>37</v>
      </c>
      <c r="J10">
        <v>144</v>
      </c>
      <c r="K10">
        <v>187</v>
      </c>
      <c r="L10">
        <v>11</v>
      </c>
      <c r="M10">
        <v>3</v>
      </c>
      <c r="N10">
        <v>10</v>
      </c>
      <c r="O10">
        <v>1</v>
      </c>
      <c r="P10">
        <v>6</v>
      </c>
      <c r="Q10">
        <v>9</v>
      </c>
      <c r="R10">
        <v>0</v>
      </c>
      <c r="S10">
        <v>0</v>
      </c>
    </row>
    <row r="11" spans="1:19" x14ac:dyDescent="0.25">
      <c r="A11" t="s">
        <v>291</v>
      </c>
      <c r="B11">
        <v>11</v>
      </c>
      <c r="C11">
        <v>0</v>
      </c>
      <c r="D11">
        <v>7</v>
      </c>
      <c r="E11">
        <v>6</v>
      </c>
      <c r="F11">
        <v>0</v>
      </c>
      <c r="G11">
        <v>0</v>
      </c>
      <c r="H11">
        <v>8</v>
      </c>
      <c r="I11">
        <v>0</v>
      </c>
      <c r="J11">
        <v>3</v>
      </c>
      <c r="K11">
        <v>3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19" x14ac:dyDescent="0.25">
      <c r="A12" t="s">
        <v>292</v>
      </c>
      <c r="B12">
        <v>0</v>
      </c>
      <c r="C12">
        <v>29</v>
      </c>
      <c r="D12">
        <v>137</v>
      </c>
      <c r="E12">
        <v>21</v>
      </c>
      <c r="F12">
        <v>1</v>
      </c>
      <c r="G12">
        <v>0</v>
      </c>
      <c r="H12">
        <v>0</v>
      </c>
      <c r="I12">
        <v>16</v>
      </c>
      <c r="J12">
        <v>76</v>
      </c>
      <c r="K12">
        <v>7</v>
      </c>
      <c r="L12">
        <v>0</v>
      </c>
      <c r="M12">
        <v>0</v>
      </c>
      <c r="N12">
        <v>0</v>
      </c>
      <c r="O12">
        <v>0</v>
      </c>
      <c r="P12">
        <v>5</v>
      </c>
      <c r="Q12">
        <v>2</v>
      </c>
      <c r="R12">
        <v>0</v>
      </c>
      <c r="S12">
        <v>0</v>
      </c>
    </row>
    <row r="13" spans="1:19" x14ac:dyDescent="0.25">
      <c r="A13" t="s">
        <v>293</v>
      </c>
      <c r="B13">
        <v>0</v>
      </c>
      <c r="C13">
        <v>1</v>
      </c>
      <c r="D13">
        <v>4</v>
      </c>
      <c r="E13">
        <v>8</v>
      </c>
      <c r="F13">
        <v>1</v>
      </c>
      <c r="G13">
        <v>0</v>
      </c>
      <c r="H13">
        <v>0</v>
      </c>
      <c r="I13">
        <v>1</v>
      </c>
      <c r="J13">
        <v>3</v>
      </c>
      <c r="K13">
        <v>8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6</v>
      </c>
      <c r="D14">
        <v>7</v>
      </c>
      <c r="E14">
        <v>6</v>
      </c>
      <c r="F14">
        <v>1</v>
      </c>
      <c r="G14">
        <v>0</v>
      </c>
      <c r="H14">
        <v>0</v>
      </c>
      <c r="I14">
        <v>6</v>
      </c>
      <c r="J14">
        <v>7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4</v>
      </c>
      <c r="D15">
        <v>28</v>
      </c>
      <c r="E15">
        <v>2</v>
      </c>
      <c r="F15">
        <v>0</v>
      </c>
      <c r="G15">
        <v>0</v>
      </c>
      <c r="H15">
        <v>1</v>
      </c>
      <c r="I15">
        <v>4</v>
      </c>
      <c r="J15">
        <v>19</v>
      </c>
      <c r="K15">
        <v>1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11</v>
      </c>
      <c r="D16">
        <v>50</v>
      </c>
      <c r="E16">
        <v>88</v>
      </c>
      <c r="F16">
        <v>2</v>
      </c>
      <c r="G16">
        <v>0</v>
      </c>
      <c r="H16">
        <v>0</v>
      </c>
      <c r="I16">
        <v>10</v>
      </c>
      <c r="J16">
        <v>38</v>
      </c>
      <c r="K16">
        <v>65</v>
      </c>
      <c r="L16">
        <v>0</v>
      </c>
      <c r="M16">
        <v>0</v>
      </c>
      <c r="N16">
        <v>0</v>
      </c>
      <c r="O16">
        <v>1</v>
      </c>
      <c r="P16">
        <v>8</v>
      </c>
      <c r="Q16">
        <v>5</v>
      </c>
      <c r="R16">
        <v>0</v>
      </c>
      <c r="S16">
        <v>0</v>
      </c>
    </row>
    <row r="17" spans="1:19" x14ac:dyDescent="0.25">
      <c r="A17" t="s">
        <v>297</v>
      </c>
      <c r="B17">
        <v>102</v>
      </c>
      <c r="C17">
        <v>380</v>
      </c>
      <c r="D17">
        <v>1485</v>
      </c>
      <c r="E17">
        <v>4146</v>
      </c>
      <c r="F17">
        <v>367</v>
      </c>
      <c r="G17">
        <v>8</v>
      </c>
      <c r="H17">
        <v>79</v>
      </c>
      <c r="I17">
        <v>271</v>
      </c>
      <c r="J17">
        <v>1050</v>
      </c>
      <c r="K17">
        <v>2367</v>
      </c>
      <c r="L17">
        <v>141</v>
      </c>
      <c r="M17">
        <v>2</v>
      </c>
      <c r="N17">
        <v>0</v>
      </c>
      <c r="O17">
        <v>9</v>
      </c>
      <c r="P17">
        <v>91</v>
      </c>
      <c r="Q17">
        <v>426</v>
      </c>
      <c r="R17">
        <v>19</v>
      </c>
      <c r="S17">
        <v>0</v>
      </c>
    </row>
    <row r="18" spans="1:19" x14ac:dyDescent="0.25">
      <c r="A18" t="s">
        <v>298</v>
      </c>
      <c r="B18">
        <v>4</v>
      </c>
      <c r="C18">
        <v>15</v>
      </c>
      <c r="D18">
        <v>166</v>
      </c>
      <c r="E18">
        <v>320</v>
      </c>
      <c r="F18">
        <v>16</v>
      </c>
      <c r="G18">
        <v>0</v>
      </c>
      <c r="H18">
        <v>4</v>
      </c>
      <c r="I18">
        <v>11</v>
      </c>
      <c r="J18">
        <v>88</v>
      </c>
      <c r="K18">
        <v>168</v>
      </c>
      <c r="L18">
        <v>3</v>
      </c>
      <c r="M18">
        <v>0</v>
      </c>
      <c r="N18">
        <v>0</v>
      </c>
      <c r="O18">
        <v>0</v>
      </c>
      <c r="P18">
        <v>21</v>
      </c>
      <c r="Q18">
        <v>13</v>
      </c>
      <c r="R18">
        <v>0</v>
      </c>
      <c r="S18">
        <v>0</v>
      </c>
    </row>
    <row r="19" spans="1:19" x14ac:dyDescent="0.25">
      <c r="A19" t="s">
        <v>299</v>
      </c>
      <c r="B19">
        <v>1</v>
      </c>
      <c r="C19">
        <v>0</v>
      </c>
      <c r="D19">
        <v>15</v>
      </c>
      <c r="E19">
        <v>3</v>
      </c>
      <c r="F19">
        <v>0</v>
      </c>
      <c r="G19">
        <v>0</v>
      </c>
      <c r="H19">
        <v>1</v>
      </c>
      <c r="I19">
        <v>0</v>
      </c>
      <c r="J19">
        <v>13</v>
      </c>
      <c r="K19">
        <v>2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7</v>
      </c>
      <c r="D20">
        <v>6</v>
      </c>
      <c r="E20">
        <v>26</v>
      </c>
      <c r="F20">
        <v>3</v>
      </c>
      <c r="G20">
        <v>0</v>
      </c>
      <c r="H20">
        <v>0</v>
      </c>
      <c r="I20">
        <v>7</v>
      </c>
      <c r="J20">
        <v>6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22</v>
      </c>
      <c r="E21">
        <v>46</v>
      </c>
      <c r="F21">
        <v>1</v>
      </c>
      <c r="G21">
        <v>0</v>
      </c>
      <c r="H21">
        <v>0</v>
      </c>
      <c r="I21">
        <v>0</v>
      </c>
      <c r="J21">
        <v>22</v>
      </c>
      <c r="K21">
        <v>46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3</v>
      </c>
      <c r="D22">
        <v>83</v>
      </c>
      <c r="E22">
        <v>89</v>
      </c>
      <c r="F22">
        <v>0</v>
      </c>
      <c r="G22">
        <v>0</v>
      </c>
      <c r="H22">
        <v>0</v>
      </c>
      <c r="I22">
        <v>3</v>
      </c>
      <c r="J22">
        <v>62</v>
      </c>
      <c r="K22">
        <v>44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5</v>
      </c>
      <c r="C23">
        <v>53</v>
      </c>
      <c r="D23">
        <v>322</v>
      </c>
      <c r="E23">
        <v>583</v>
      </c>
      <c r="F23">
        <v>74</v>
      </c>
      <c r="G23">
        <v>0</v>
      </c>
      <c r="H23">
        <v>5</v>
      </c>
      <c r="I23">
        <v>36</v>
      </c>
      <c r="J23">
        <v>246</v>
      </c>
      <c r="K23">
        <v>372</v>
      </c>
      <c r="L23">
        <v>40</v>
      </c>
      <c r="M23">
        <v>0</v>
      </c>
      <c r="N23">
        <v>1</v>
      </c>
      <c r="O23">
        <v>4</v>
      </c>
      <c r="P23">
        <v>25</v>
      </c>
      <c r="Q23">
        <v>25</v>
      </c>
      <c r="R23">
        <v>1</v>
      </c>
      <c r="S23">
        <v>0</v>
      </c>
    </row>
    <row r="24" spans="1:19" x14ac:dyDescent="0.25">
      <c r="A24" t="s">
        <v>304</v>
      </c>
      <c r="B24">
        <v>0</v>
      </c>
      <c r="C24">
        <v>3</v>
      </c>
      <c r="D24">
        <v>10</v>
      </c>
      <c r="E24">
        <v>4</v>
      </c>
      <c r="F24">
        <v>0</v>
      </c>
      <c r="G24">
        <v>0</v>
      </c>
      <c r="H24">
        <v>0</v>
      </c>
      <c r="I24">
        <v>3</v>
      </c>
      <c r="J24">
        <v>4</v>
      </c>
      <c r="K24">
        <v>3</v>
      </c>
      <c r="L24">
        <v>0</v>
      </c>
      <c r="M24">
        <v>0</v>
      </c>
      <c r="N24">
        <v>0</v>
      </c>
      <c r="O24">
        <v>3</v>
      </c>
      <c r="P24">
        <v>3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3</v>
      </c>
      <c r="D25">
        <v>6</v>
      </c>
      <c r="E25">
        <v>21</v>
      </c>
      <c r="F25">
        <v>0</v>
      </c>
      <c r="G25">
        <v>0</v>
      </c>
      <c r="H25">
        <v>0</v>
      </c>
      <c r="I25">
        <v>3</v>
      </c>
      <c r="J25">
        <v>4</v>
      </c>
      <c r="K25">
        <v>21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</row>
    <row r="26" spans="1:19" x14ac:dyDescent="0.25">
      <c r="A26" t="s">
        <v>306</v>
      </c>
      <c r="B26">
        <v>2</v>
      </c>
      <c r="C26">
        <v>13</v>
      </c>
      <c r="D26">
        <v>78</v>
      </c>
      <c r="E26">
        <v>116</v>
      </c>
      <c r="F26">
        <v>32</v>
      </c>
      <c r="G26">
        <v>0</v>
      </c>
      <c r="H26">
        <v>2</v>
      </c>
      <c r="I26">
        <v>5</v>
      </c>
      <c r="J26">
        <v>34</v>
      </c>
      <c r="K26">
        <v>49</v>
      </c>
      <c r="L26">
        <v>9</v>
      </c>
      <c r="M26">
        <v>0</v>
      </c>
      <c r="N26">
        <v>0</v>
      </c>
      <c r="O26">
        <v>1</v>
      </c>
      <c r="P26">
        <v>7</v>
      </c>
      <c r="Q26">
        <v>13</v>
      </c>
      <c r="R26">
        <v>0</v>
      </c>
      <c r="S26">
        <v>0</v>
      </c>
    </row>
    <row r="27" spans="1:19" x14ac:dyDescent="0.25">
      <c r="A27" t="s">
        <v>307</v>
      </c>
      <c r="B27">
        <v>3</v>
      </c>
      <c r="C27">
        <v>5</v>
      </c>
      <c r="D27">
        <v>79</v>
      </c>
      <c r="E27">
        <v>139</v>
      </c>
      <c r="F27">
        <v>6</v>
      </c>
      <c r="G27">
        <v>0</v>
      </c>
      <c r="H27">
        <v>3</v>
      </c>
      <c r="I27">
        <v>2</v>
      </c>
      <c r="J27">
        <v>59</v>
      </c>
      <c r="K27">
        <v>71</v>
      </c>
      <c r="L27">
        <v>0</v>
      </c>
      <c r="M27">
        <v>0</v>
      </c>
      <c r="N27">
        <v>0</v>
      </c>
      <c r="O27">
        <v>0</v>
      </c>
      <c r="P27">
        <v>10</v>
      </c>
      <c r="Q27">
        <v>42</v>
      </c>
      <c r="R27">
        <v>0</v>
      </c>
      <c r="S27">
        <v>0</v>
      </c>
    </row>
    <row r="28" spans="1:19" x14ac:dyDescent="0.25">
      <c r="A28" t="s">
        <v>266</v>
      </c>
      <c r="B28">
        <v>186</v>
      </c>
      <c r="C28">
        <v>815</v>
      </c>
      <c r="D28">
        <v>3941</v>
      </c>
      <c r="E28">
        <v>7877</v>
      </c>
      <c r="F28">
        <v>662</v>
      </c>
      <c r="G28">
        <v>15</v>
      </c>
      <c r="H28">
        <v>134</v>
      </c>
      <c r="I28">
        <v>585</v>
      </c>
      <c r="J28">
        <v>2718</v>
      </c>
      <c r="K28">
        <v>4460</v>
      </c>
      <c r="L28">
        <v>241</v>
      </c>
      <c r="M28">
        <v>5</v>
      </c>
      <c r="N28">
        <v>14</v>
      </c>
      <c r="O28">
        <v>35</v>
      </c>
      <c r="P28">
        <v>261</v>
      </c>
      <c r="Q28">
        <v>658</v>
      </c>
      <c r="R28">
        <v>22</v>
      </c>
      <c r="S28">
        <v>0</v>
      </c>
    </row>
    <row r="29" spans="1:19" x14ac:dyDescent="0.25">
      <c r="A29" t="s">
        <v>459</v>
      </c>
      <c r="B29">
        <v>126</v>
      </c>
      <c r="C29">
        <v>641</v>
      </c>
      <c r="D29">
        <v>3286</v>
      </c>
      <c r="E29">
        <v>6875</v>
      </c>
      <c r="F29">
        <v>612</v>
      </c>
      <c r="G29">
        <v>9</v>
      </c>
      <c r="H29">
        <v>103</v>
      </c>
      <c r="I29">
        <v>472</v>
      </c>
      <c r="J29">
        <v>2287</v>
      </c>
      <c r="K29">
        <v>3959</v>
      </c>
      <c r="L29">
        <v>226</v>
      </c>
      <c r="M29">
        <v>2</v>
      </c>
      <c r="N29">
        <v>1</v>
      </c>
      <c r="O29">
        <v>25</v>
      </c>
      <c r="P29">
        <v>210</v>
      </c>
      <c r="Q29">
        <v>553</v>
      </c>
      <c r="R29">
        <v>20</v>
      </c>
      <c r="S29">
        <v>0</v>
      </c>
    </row>
    <row r="30" spans="1:19" x14ac:dyDescent="0.25">
      <c r="A30" t="s">
        <v>460</v>
      </c>
      <c r="B30">
        <v>60</v>
      </c>
      <c r="C30">
        <v>174</v>
      </c>
      <c r="D30">
        <v>655</v>
      </c>
      <c r="E30">
        <v>1002</v>
      </c>
      <c r="F30">
        <v>50</v>
      </c>
      <c r="G30">
        <v>6</v>
      </c>
      <c r="H30">
        <v>31</v>
      </c>
      <c r="I30">
        <v>113</v>
      </c>
      <c r="J30">
        <v>431</v>
      </c>
      <c r="K30">
        <v>501</v>
      </c>
      <c r="L30">
        <v>15</v>
      </c>
      <c r="M30">
        <v>3</v>
      </c>
      <c r="N30">
        <v>13</v>
      </c>
      <c r="O30">
        <v>10</v>
      </c>
      <c r="P30">
        <v>51</v>
      </c>
      <c r="Q30">
        <v>105</v>
      </c>
      <c r="R30">
        <v>2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A9D18E"/>
  </sheetPr>
  <dimension ref="A1:K30"/>
  <sheetViews>
    <sheetView workbookViewId="0"/>
  </sheetViews>
  <sheetFormatPr defaultRowHeight="15" x14ac:dyDescent="0.25"/>
  <cols>
    <col min="1" max="1" width="24" customWidth="1"/>
    <col min="2" max="2" width="13.28515625" customWidth="1"/>
    <col min="7" max="7" width="15.42578125" customWidth="1"/>
    <col min="8" max="8" width="15.28515625" customWidth="1"/>
    <col min="9" max="9" width="13.28515625" customWidth="1"/>
    <col min="10" max="10" width="14.42578125" customWidth="1"/>
    <col min="11" max="11" width="12.85546875" customWidth="1"/>
  </cols>
  <sheetData>
    <row r="1" spans="1:11" x14ac:dyDescent="0.25">
      <c r="A1" s="29" t="s">
        <v>252</v>
      </c>
      <c r="B1" s="29" t="s">
        <v>745</v>
      </c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750</v>
      </c>
      <c r="H2" t="s">
        <v>751</v>
      </c>
      <c r="I2" t="s">
        <v>752</v>
      </c>
      <c r="J2" t="s">
        <v>753</v>
      </c>
      <c r="K2" t="s">
        <v>754</v>
      </c>
    </row>
    <row r="3" spans="1:11" x14ac:dyDescent="0.25">
      <c r="A3" t="s">
        <v>283</v>
      </c>
      <c r="B3">
        <v>88</v>
      </c>
      <c r="C3">
        <v>82</v>
      </c>
      <c r="D3">
        <v>52</v>
      </c>
      <c r="E3">
        <v>67</v>
      </c>
      <c r="F3">
        <v>51</v>
      </c>
      <c r="G3">
        <v>24</v>
      </c>
      <c r="H3">
        <v>25</v>
      </c>
      <c r="I3">
        <v>14</v>
      </c>
      <c r="J3">
        <v>87</v>
      </c>
      <c r="K3">
        <v>107</v>
      </c>
    </row>
    <row r="4" spans="1:11" x14ac:dyDescent="0.25">
      <c r="A4" t="s">
        <v>284</v>
      </c>
      <c r="B4">
        <v>36</v>
      </c>
      <c r="C4">
        <v>32</v>
      </c>
      <c r="D4">
        <v>28</v>
      </c>
      <c r="E4">
        <v>27</v>
      </c>
      <c r="F4">
        <v>36</v>
      </c>
      <c r="G4">
        <v>13</v>
      </c>
      <c r="H4">
        <v>16</v>
      </c>
      <c r="I4">
        <v>4</v>
      </c>
      <c r="J4">
        <v>42</v>
      </c>
      <c r="K4">
        <v>44</v>
      </c>
    </row>
    <row r="5" spans="1:11" x14ac:dyDescent="0.25">
      <c r="A5" t="s">
        <v>285</v>
      </c>
      <c r="B5">
        <v>15</v>
      </c>
      <c r="C5">
        <v>11</v>
      </c>
      <c r="D5">
        <v>4</v>
      </c>
      <c r="E5">
        <v>9</v>
      </c>
      <c r="F5">
        <v>8</v>
      </c>
      <c r="G5">
        <v>0</v>
      </c>
      <c r="H5">
        <v>6</v>
      </c>
      <c r="I5">
        <v>2</v>
      </c>
      <c r="J5">
        <v>17</v>
      </c>
      <c r="K5">
        <v>22</v>
      </c>
    </row>
    <row r="6" spans="1:11" x14ac:dyDescent="0.25">
      <c r="A6" t="s">
        <v>286</v>
      </c>
      <c r="B6">
        <v>19</v>
      </c>
      <c r="C6">
        <v>17</v>
      </c>
      <c r="D6">
        <v>15</v>
      </c>
      <c r="E6">
        <v>15</v>
      </c>
      <c r="F6">
        <v>11</v>
      </c>
      <c r="G6">
        <v>4</v>
      </c>
      <c r="H6">
        <v>4</v>
      </c>
      <c r="I6">
        <v>4</v>
      </c>
      <c r="J6">
        <v>24</v>
      </c>
      <c r="K6">
        <v>24</v>
      </c>
    </row>
    <row r="7" spans="1:11" x14ac:dyDescent="0.25">
      <c r="A7" t="s">
        <v>287</v>
      </c>
      <c r="B7">
        <v>39</v>
      </c>
      <c r="C7">
        <v>28</v>
      </c>
      <c r="D7">
        <v>22</v>
      </c>
      <c r="E7">
        <v>29</v>
      </c>
      <c r="F7">
        <v>30</v>
      </c>
      <c r="G7">
        <v>12</v>
      </c>
      <c r="H7">
        <v>2</v>
      </c>
      <c r="I7">
        <v>8</v>
      </c>
      <c r="J7">
        <v>45</v>
      </c>
      <c r="K7">
        <v>50</v>
      </c>
    </row>
    <row r="8" spans="1:11" x14ac:dyDescent="0.25">
      <c r="A8" t="s">
        <v>288</v>
      </c>
      <c r="B8">
        <v>12</v>
      </c>
      <c r="C8">
        <v>10</v>
      </c>
      <c r="D8">
        <v>9</v>
      </c>
      <c r="E8">
        <v>9</v>
      </c>
      <c r="F8">
        <v>9</v>
      </c>
      <c r="G8">
        <v>6</v>
      </c>
      <c r="H8">
        <v>1</v>
      </c>
      <c r="I8">
        <v>1</v>
      </c>
      <c r="J8">
        <v>14</v>
      </c>
      <c r="K8">
        <v>15</v>
      </c>
    </row>
    <row r="9" spans="1:11" x14ac:dyDescent="0.25">
      <c r="A9" t="s">
        <v>289</v>
      </c>
      <c r="B9">
        <v>38</v>
      </c>
      <c r="C9">
        <v>33</v>
      </c>
      <c r="D9">
        <v>19</v>
      </c>
      <c r="E9">
        <v>26</v>
      </c>
      <c r="F9">
        <v>29</v>
      </c>
      <c r="G9">
        <v>7</v>
      </c>
      <c r="H9">
        <v>5</v>
      </c>
      <c r="I9">
        <v>0</v>
      </c>
      <c r="J9">
        <v>34</v>
      </c>
      <c r="K9">
        <v>47</v>
      </c>
    </row>
    <row r="10" spans="1:11" x14ac:dyDescent="0.25">
      <c r="A10" t="s">
        <v>290</v>
      </c>
      <c r="B10">
        <v>44</v>
      </c>
      <c r="C10">
        <v>39</v>
      </c>
      <c r="D10">
        <v>28</v>
      </c>
      <c r="E10">
        <v>40</v>
      </c>
      <c r="F10">
        <v>26</v>
      </c>
      <c r="G10">
        <v>15</v>
      </c>
      <c r="H10">
        <v>16</v>
      </c>
      <c r="I10">
        <v>3</v>
      </c>
      <c r="J10">
        <v>55</v>
      </c>
      <c r="K10">
        <v>60</v>
      </c>
    </row>
    <row r="11" spans="1:11" x14ac:dyDescent="0.25">
      <c r="A11" t="s">
        <v>291</v>
      </c>
      <c r="B11">
        <v>1</v>
      </c>
      <c r="C11">
        <v>0</v>
      </c>
      <c r="D11">
        <v>1</v>
      </c>
      <c r="E11">
        <v>1</v>
      </c>
      <c r="F11">
        <v>4</v>
      </c>
      <c r="G11">
        <v>0</v>
      </c>
      <c r="H11">
        <v>1</v>
      </c>
      <c r="I11">
        <v>0</v>
      </c>
      <c r="J11">
        <v>4</v>
      </c>
      <c r="K11">
        <v>4</v>
      </c>
    </row>
    <row r="12" spans="1:11" x14ac:dyDescent="0.25">
      <c r="A12" t="s">
        <v>292</v>
      </c>
      <c r="B12">
        <v>12</v>
      </c>
      <c r="C12">
        <v>11</v>
      </c>
      <c r="D12">
        <v>4</v>
      </c>
      <c r="E12">
        <v>5</v>
      </c>
      <c r="F12">
        <v>9</v>
      </c>
      <c r="G12">
        <v>1</v>
      </c>
      <c r="H12">
        <v>0</v>
      </c>
      <c r="I12">
        <v>0</v>
      </c>
      <c r="J12">
        <v>10</v>
      </c>
      <c r="K12">
        <v>16</v>
      </c>
    </row>
    <row r="13" spans="1:11" x14ac:dyDescent="0.25">
      <c r="A13" t="s">
        <v>293</v>
      </c>
      <c r="B13">
        <v>3</v>
      </c>
      <c r="C13">
        <v>3</v>
      </c>
      <c r="D13">
        <v>1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 x14ac:dyDescent="0.25">
      <c r="A14" t="s">
        <v>294</v>
      </c>
      <c r="B14">
        <v>4</v>
      </c>
      <c r="C14">
        <v>4</v>
      </c>
      <c r="D14">
        <v>2</v>
      </c>
      <c r="E14">
        <v>4</v>
      </c>
      <c r="F14">
        <v>5</v>
      </c>
      <c r="G14">
        <v>0</v>
      </c>
      <c r="H14">
        <v>0</v>
      </c>
      <c r="I14">
        <v>0</v>
      </c>
      <c r="J14">
        <v>5</v>
      </c>
      <c r="K14">
        <v>5</v>
      </c>
    </row>
    <row r="15" spans="1:11" x14ac:dyDescent="0.25">
      <c r="A15" t="s">
        <v>295</v>
      </c>
      <c r="B15">
        <v>4</v>
      </c>
      <c r="C15">
        <v>2</v>
      </c>
      <c r="D15">
        <v>2</v>
      </c>
      <c r="E15">
        <v>4</v>
      </c>
      <c r="F15">
        <v>0</v>
      </c>
      <c r="G15">
        <v>0</v>
      </c>
      <c r="H15">
        <v>0</v>
      </c>
      <c r="I15">
        <v>0</v>
      </c>
      <c r="J15">
        <v>3</v>
      </c>
      <c r="K15">
        <v>6</v>
      </c>
    </row>
    <row r="16" spans="1:11" x14ac:dyDescent="0.25">
      <c r="A16" t="s">
        <v>296</v>
      </c>
      <c r="B16">
        <v>15</v>
      </c>
      <c r="C16">
        <v>13</v>
      </c>
      <c r="D16">
        <v>2</v>
      </c>
      <c r="E16">
        <v>13</v>
      </c>
      <c r="F16">
        <v>4</v>
      </c>
      <c r="G16">
        <v>0</v>
      </c>
      <c r="H16">
        <v>0</v>
      </c>
      <c r="I16">
        <v>0</v>
      </c>
      <c r="J16">
        <v>16</v>
      </c>
      <c r="K16">
        <v>18</v>
      </c>
    </row>
    <row r="17" spans="1:11" x14ac:dyDescent="0.25">
      <c r="A17" t="s">
        <v>297</v>
      </c>
      <c r="B17">
        <v>390</v>
      </c>
      <c r="C17">
        <v>345</v>
      </c>
      <c r="D17">
        <v>286</v>
      </c>
      <c r="E17">
        <v>338</v>
      </c>
      <c r="F17">
        <v>418</v>
      </c>
      <c r="G17">
        <v>155</v>
      </c>
      <c r="H17">
        <v>192</v>
      </c>
      <c r="I17">
        <v>97</v>
      </c>
      <c r="J17">
        <v>492</v>
      </c>
      <c r="K17">
        <v>513</v>
      </c>
    </row>
    <row r="18" spans="1:11" x14ac:dyDescent="0.25">
      <c r="A18" t="s">
        <v>298</v>
      </c>
      <c r="B18">
        <v>40</v>
      </c>
      <c r="C18">
        <v>35</v>
      </c>
      <c r="D18">
        <v>28</v>
      </c>
      <c r="E18">
        <v>33</v>
      </c>
      <c r="F18">
        <v>32</v>
      </c>
      <c r="G18">
        <v>6</v>
      </c>
      <c r="H18">
        <v>10</v>
      </c>
      <c r="I18">
        <v>7</v>
      </c>
      <c r="J18">
        <v>42</v>
      </c>
      <c r="K18">
        <v>45</v>
      </c>
    </row>
    <row r="19" spans="1:11" x14ac:dyDescent="0.25">
      <c r="A19" t="s">
        <v>299</v>
      </c>
      <c r="B19">
        <v>4</v>
      </c>
      <c r="C19">
        <v>4</v>
      </c>
      <c r="D19">
        <v>2</v>
      </c>
      <c r="E19">
        <v>3</v>
      </c>
      <c r="F19">
        <v>0</v>
      </c>
      <c r="G19">
        <v>0</v>
      </c>
      <c r="H19">
        <v>0</v>
      </c>
      <c r="I19">
        <v>0</v>
      </c>
      <c r="J19">
        <v>4</v>
      </c>
      <c r="K19">
        <v>4</v>
      </c>
    </row>
    <row r="20" spans="1:11" x14ac:dyDescent="0.25">
      <c r="A20" t="s">
        <v>300</v>
      </c>
      <c r="B20">
        <v>3</v>
      </c>
      <c r="C20">
        <v>2</v>
      </c>
      <c r="D20">
        <v>1</v>
      </c>
      <c r="E20">
        <v>2</v>
      </c>
      <c r="F20">
        <v>7</v>
      </c>
      <c r="G20">
        <v>0</v>
      </c>
      <c r="H20">
        <v>1</v>
      </c>
      <c r="I20">
        <v>0</v>
      </c>
      <c r="J20">
        <v>7</v>
      </c>
      <c r="K20">
        <v>7</v>
      </c>
    </row>
    <row r="21" spans="1:11" x14ac:dyDescent="0.25">
      <c r="A21" t="s">
        <v>301</v>
      </c>
      <c r="B21">
        <v>5</v>
      </c>
      <c r="C21">
        <v>5</v>
      </c>
      <c r="D21">
        <v>4</v>
      </c>
      <c r="E21">
        <v>3</v>
      </c>
      <c r="F21">
        <v>2</v>
      </c>
      <c r="G21">
        <v>0</v>
      </c>
      <c r="H21">
        <v>0</v>
      </c>
      <c r="I21">
        <v>0</v>
      </c>
      <c r="J21">
        <v>4</v>
      </c>
      <c r="K21">
        <v>7</v>
      </c>
    </row>
    <row r="22" spans="1:11" x14ac:dyDescent="0.25">
      <c r="A22" t="s">
        <v>302</v>
      </c>
      <c r="B22">
        <v>12</v>
      </c>
      <c r="C22">
        <v>12</v>
      </c>
      <c r="D22">
        <v>7</v>
      </c>
      <c r="E22">
        <v>10</v>
      </c>
      <c r="F22">
        <v>10</v>
      </c>
      <c r="G22">
        <v>1</v>
      </c>
      <c r="H22">
        <v>5</v>
      </c>
      <c r="I22">
        <v>0</v>
      </c>
      <c r="J22">
        <v>14</v>
      </c>
      <c r="K22">
        <v>14</v>
      </c>
    </row>
    <row r="23" spans="1:11" x14ac:dyDescent="0.25">
      <c r="A23" t="s">
        <v>303</v>
      </c>
      <c r="B23">
        <v>68</v>
      </c>
      <c r="C23">
        <v>60</v>
      </c>
      <c r="D23">
        <v>48</v>
      </c>
      <c r="E23">
        <v>64</v>
      </c>
      <c r="F23">
        <v>65</v>
      </c>
      <c r="G23">
        <v>21</v>
      </c>
      <c r="H23">
        <v>21</v>
      </c>
      <c r="I23">
        <v>17</v>
      </c>
      <c r="J23">
        <v>77</v>
      </c>
      <c r="K23">
        <v>83</v>
      </c>
    </row>
    <row r="24" spans="1:11" x14ac:dyDescent="0.25">
      <c r="A24" t="s">
        <v>304</v>
      </c>
      <c r="B24">
        <v>2</v>
      </c>
      <c r="C24">
        <v>2</v>
      </c>
      <c r="D24">
        <v>2</v>
      </c>
      <c r="E24">
        <v>2</v>
      </c>
      <c r="F24">
        <v>4</v>
      </c>
      <c r="G24">
        <v>0</v>
      </c>
      <c r="H24">
        <v>0</v>
      </c>
      <c r="I24">
        <v>0</v>
      </c>
      <c r="J24">
        <v>3</v>
      </c>
      <c r="K24">
        <v>4</v>
      </c>
    </row>
    <row r="25" spans="1:11" x14ac:dyDescent="0.25">
      <c r="A25" t="s">
        <v>305</v>
      </c>
      <c r="B25">
        <v>4</v>
      </c>
      <c r="C25">
        <v>2</v>
      </c>
      <c r="D25">
        <v>0</v>
      </c>
      <c r="E25">
        <v>2</v>
      </c>
      <c r="F25">
        <v>1</v>
      </c>
      <c r="G25">
        <v>3</v>
      </c>
      <c r="H25">
        <v>0</v>
      </c>
      <c r="I25">
        <v>0</v>
      </c>
      <c r="J25">
        <v>4</v>
      </c>
      <c r="K25">
        <v>4</v>
      </c>
    </row>
    <row r="26" spans="1:11" x14ac:dyDescent="0.25">
      <c r="A26" t="s">
        <v>306</v>
      </c>
      <c r="B26">
        <v>18</v>
      </c>
      <c r="C26">
        <v>15</v>
      </c>
      <c r="D26">
        <v>14</v>
      </c>
      <c r="E26">
        <v>16</v>
      </c>
      <c r="F26">
        <v>16</v>
      </c>
      <c r="G26">
        <v>2</v>
      </c>
      <c r="H26">
        <v>3</v>
      </c>
      <c r="I26">
        <v>2</v>
      </c>
      <c r="J26">
        <v>19</v>
      </c>
      <c r="K26">
        <v>21</v>
      </c>
    </row>
    <row r="27" spans="1:11" x14ac:dyDescent="0.25">
      <c r="A27" t="s">
        <v>307</v>
      </c>
      <c r="B27">
        <v>18</v>
      </c>
      <c r="C27">
        <v>19</v>
      </c>
      <c r="D27">
        <v>14</v>
      </c>
      <c r="E27">
        <v>14</v>
      </c>
      <c r="F27">
        <v>12</v>
      </c>
      <c r="G27">
        <v>3</v>
      </c>
      <c r="H27">
        <v>5</v>
      </c>
      <c r="I27">
        <v>3</v>
      </c>
      <c r="J27">
        <v>24</v>
      </c>
      <c r="K27">
        <v>26</v>
      </c>
    </row>
    <row r="28" spans="1:11" x14ac:dyDescent="0.25">
      <c r="A28" t="s">
        <v>266</v>
      </c>
      <c r="B28">
        <v>894</v>
      </c>
      <c r="C28">
        <v>786</v>
      </c>
      <c r="D28">
        <v>595</v>
      </c>
      <c r="E28">
        <v>739</v>
      </c>
      <c r="F28">
        <v>789</v>
      </c>
      <c r="G28">
        <v>273</v>
      </c>
      <c r="H28">
        <v>313</v>
      </c>
      <c r="I28">
        <v>162</v>
      </c>
      <c r="J28">
        <v>1046</v>
      </c>
      <c r="K28">
        <v>1147</v>
      </c>
    </row>
    <row r="29" spans="1:11" x14ac:dyDescent="0.25">
      <c r="A29" t="s">
        <v>459</v>
      </c>
      <c r="B29">
        <v>734</v>
      </c>
      <c r="C29">
        <v>653</v>
      </c>
      <c r="D29">
        <v>511</v>
      </c>
      <c r="E29">
        <v>612</v>
      </c>
      <c r="F29">
        <v>687</v>
      </c>
      <c r="G29">
        <v>247</v>
      </c>
      <c r="H29">
        <v>300</v>
      </c>
      <c r="I29">
        <v>140</v>
      </c>
      <c r="J29">
        <v>863</v>
      </c>
      <c r="K29">
        <v>931</v>
      </c>
    </row>
    <row r="30" spans="1:11" x14ac:dyDescent="0.25">
      <c r="A30" t="s">
        <v>460</v>
      </c>
      <c r="B30">
        <v>160</v>
      </c>
      <c r="C30">
        <v>133</v>
      </c>
      <c r="D30">
        <v>84</v>
      </c>
      <c r="E30">
        <v>127</v>
      </c>
      <c r="F30">
        <v>102</v>
      </c>
      <c r="G30">
        <v>26</v>
      </c>
      <c r="H30">
        <v>13</v>
      </c>
      <c r="I30">
        <v>22</v>
      </c>
      <c r="J30">
        <v>183</v>
      </c>
      <c r="K30">
        <v>216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A9D18E"/>
  </sheetPr>
  <dimension ref="A1:H30"/>
  <sheetViews>
    <sheetView workbookViewId="0"/>
  </sheetViews>
  <sheetFormatPr defaultRowHeight="15" x14ac:dyDescent="0.25"/>
  <cols>
    <col min="1" max="1" width="29.28515625" customWidth="1"/>
    <col min="2" max="2" width="18.7109375" customWidth="1"/>
    <col min="3" max="3" width="18.140625" customWidth="1"/>
    <col min="4" max="4" width="18.7109375" customWidth="1"/>
    <col min="7" max="7" width="18.140625" customWidth="1"/>
    <col min="8" max="8" width="18.7109375" customWidth="1"/>
  </cols>
  <sheetData>
    <row r="1" spans="1:8" x14ac:dyDescent="0.25">
      <c r="A1" s="29" t="s">
        <v>252</v>
      </c>
      <c r="B1" s="29" t="s">
        <v>520</v>
      </c>
      <c r="C1" s="29"/>
      <c r="D1" s="29"/>
      <c r="E1" s="29" t="s">
        <v>755</v>
      </c>
      <c r="F1" s="29"/>
      <c r="G1" s="29" t="s">
        <v>522</v>
      </c>
      <c r="H1" s="29"/>
    </row>
    <row r="2" spans="1:8" x14ac:dyDescent="0.25">
      <c r="A2" s="29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132</v>
      </c>
      <c r="C3">
        <v>1382</v>
      </c>
      <c r="D3">
        <v>703</v>
      </c>
      <c r="E3">
        <v>122</v>
      </c>
      <c r="F3">
        <v>1357</v>
      </c>
      <c r="G3">
        <v>10</v>
      </c>
      <c r="H3">
        <v>25</v>
      </c>
    </row>
    <row r="4" spans="1:8" x14ac:dyDescent="0.25">
      <c r="A4" t="s">
        <v>284</v>
      </c>
      <c r="B4">
        <v>57</v>
      </c>
      <c r="C4">
        <v>632</v>
      </c>
      <c r="D4">
        <v>361</v>
      </c>
      <c r="E4">
        <v>52</v>
      </c>
      <c r="F4">
        <v>614</v>
      </c>
      <c r="G4">
        <v>5</v>
      </c>
      <c r="H4">
        <v>18</v>
      </c>
    </row>
    <row r="5" spans="1:8" x14ac:dyDescent="0.25">
      <c r="A5" t="s">
        <v>285</v>
      </c>
      <c r="B5">
        <v>52</v>
      </c>
      <c r="C5">
        <v>295</v>
      </c>
      <c r="D5">
        <v>140</v>
      </c>
      <c r="E5">
        <v>46</v>
      </c>
      <c r="F5">
        <v>272</v>
      </c>
      <c r="G5">
        <v>6</v>
      </c>
      <c r="H5">
        <v>23</v>
      </c>
    </row>
    <row r="6" spans="1:8" x14ac:dyDescent="0.25">
      <c r="A6" t="s">
        <v>286</v>
      </c>
      <c r="B6">
        <v>51</v>
      </c>
      <c r="C6">
        <v>326</v>
      </c>
      <c r="D6">
        <v>183</v>
      </c>
      <c r="E6">
        <v>34</v>
      </c>
      <c r="F6">
        <v>272</v>
      </c>
      <c r="G6">
        <v>17</v>
      </c>
      <c r="H6">
        <v>54</v>
      </c>
    </row>
    <row r="7" spans="1:8" x14ac:dyDescent="0.25">
      <c r="A7" t="s">
        <v>287</v>
      </c>
      <c r="B7">
        <v>67</v>
      </c>
      <c r="C7">
        <v>517</v>
      </c>
      <c r="D7">
        <v>296</v>
      </c>
      <c r="E7">
        <v>63</v>
      </c>
      <c r="F7">
        <v>498</v>
      </c>
      <c r="G7">
        <v>4</v>
      </c>
      <c r="H7">
        <v>19</v>
      </c>
    </row>
    <row r="8" spans="1:8" x14ac:dyDescent="0.25">
      <c r="A8" t="s">
        <v>288</v>
      </c>
      <c r="B8">
        <v>38</v>
      </c>
      <c r="C8">
        <v>166</v>
      </c>
      <c r="D8">
        <v>58</v>
      </c>
      <c r="E8">
        <v>31</v>
      </c>
      <c r="F8">
        <v>156</v>
      </c>
      <c r="G8">
        <v>7</v>
      </c>
      <c r="H8">
        <v>10</v>
      </c>
    </row>
    <row r="9" spans="1:8" x14ac:dyDescent="0.25">
      <c r="A9" t="s">
        <v>289</v>
      </c>
      <c r="B9">
        <v>69</v>
      </c>
      <c r="C9">
        <v>465</v>
      </c>
      <c r="D9">
        <v>287</v>
      </c>
      <c r="E9">
        <v>65</v>
      </c>
      <c r="F9">
        <v>452</v>
      </c>
      <c r="G9">
        <v>4</v>
      </c>
      <c r="H9">
        <v>13</v>
      </c>
    </row>
    <row r="10" spans="1:8" x14ac:dyDescent="0.25">
      <c r="A10" t="s">
        <v>290</v>
      </c>
      <c r="B10">
        <v>79</v>
      </c>
      <c r="C10">
        <v>1129</v>
      </c>
      <c r="D10">
        <v>362</v>
      </c>
      <c r="E10">
        <v>78</v>
      </c>
      <c r="F10">
        <v>1127</v>
      </c>
      <c r="G10">
        <v>1</v>
      </c>
      <c r="H10">
        <v>2</v>
      </c>
    </row>
    <row r="11" spans="1:8" x14ac:dyDescent="0.25">
      <c r="A11" t="s">
        <v>291</v>
      </c>
      <c r="B11">
        <v>8</v>
      </c>
      <c r="C11">
        <v>20</v>
      </c>
      <c r="D11">
        <v>18</v>
      </c>
      <c r="E11">
        <v>7</v>
      </c>
      <c r="F11">
        <v>19</v>
      </c>
      <c r="G11">
        <v>1</v>
      </c>
      <c r="H11">
        <v>1</v>
      </c>
    </row>
    <row r="12" spans="1:8" x14ac:dyDescent="0.25">
      <c r="A12" t="s">
        <v>292</v>
      </c>
      <c r="B12">
        <v>39</v>
      </c>
      <c r="C12">
        <v>186</v>
      </c>
      <c r="D12">
        <v>105</v>
      </c>
      <c r="E12">
        <v>35</v>
      </c>
      <c r="F12">
        <v>168</v>
      </c>
      <c r="G12">
        <v>4</v>
      </c>
      <c r="H12">
        <v>18</v>
      </c>
    </row>
    <row r="13" spans="1:8" x14ac:dyDescent="0.25">
      <c r="A13" t="s">
        <v>293</v>
      </c>
      <c r="B13">
        <v>3</v>
      </c>
      <c r="C13">
        <v>9</v>
      </c>
      <c r="D13">
        <v>44</v>
      </c>
      <c r="E13">
        <v>3</v>
      </c>
      <c r="F13">
        <v>9</v>
      </c>
      <c r="G13">
        <v>0</v>
      </c>
      <c r="H13">
        <v>0</v>
      </c>
    </row>
    <row r="14" spans="1:8" x14ac:dyDescent="0.25">
      <c r="A14" t="s">
        <v>294</v>
      </c>
      <c r="B14">
        <v>4</v>
      </c>
      <c r="C14">
        <v>23</v>
      </c>
      <c r="D14">
        <v>17</v>
      </c>
      <c r="E14">
        <v>3</v>
      </c>
      <c r="F14">
        <v>19</v>
      </c>
      <c r="G14">
        <v>1</v>
      </c>
      <c r="H14">
        <v>4</v>
      </c>
    </row>
    <row r="15" spans="1:8" x14ac:dyDescent="0.25">
      <c r="A15" t="s">
        <v>295</v>
      </c>
      <c r="B15">
        <v>9</v>
      </c>
      <c r="C15">
        <v>37</v>
      </c>
      <c r="D15">
        <v>29</v>
      </c>
      <c r="E15">
        <v>6</v>
      </c>
      <c r="F15">
        <v>33</v>
      </c>
      <c r="G15">
        <v>3</v>
      </c>
      <c r="H15">
        <v>4</v>
      </c>
    </row>
    <row r="16" spans="1:8" x14ac:dyDescent="0.25">
      <c r="A16" t="s">
        <v>296</v>
      </c>
      <c r="B16">
        <v>36</v>
      </c>
      <c r="C16">
        <v>234</v>
      </c>
      <c r="D16">
        <v>93</v>
      </c>
      <c r="E16">
        <v>33</v>
      </c>
      <c r="F16">
        <v>227</v>
      </c>
      <c r="G16">
        <v>3</v>
      </c>
      <c r="H16">
        <v>7</v>
      </c>
    </row>
    <row r="17" spans="1:8" x14ac:dyDescent="0.25">
      <c r="A17" t="s">
        <v>297</v>
      </c>
      <c r="B17">
        <v>581</v>
      </c>
      <c r="C17">
        <v>9040</v>
      </c>
      <c r="D17">
        <v>3500</v>
      </c>
      <c r="E17">
        <v>567</v>
      </c>
      <c r="F17">
        <v>8990</v>
      </c>
      <c r="G17">
        <v>14</v>
      </c>
      <c r="H17">
        <v>50</v>
      </c>
    </row>
    <row r="18" spans="1:8" x14ac:dyDescent="0.25">
      <c r="A18" t="s">
        <v>298</v>
      </c>
      <c r="B18">
        <v>56</v>
      </c>
      <c r="C18">
        <v>663</v>
      </c>
      <c r="D18">
        <v>314</v>
      </c>
      <c r="E18">
        <v>50</v>
      </c>
      <c r="F18">
        <v>652</v>
      </c>
      <c r="G18">
        <v>6</v>
      </c>
      <c r="H18">
        <v>11</v>
      </c>
    </row>
    <row r="19" spans="1:8" x14ac:dyDescent="0.25">
      <c r="A19" t="s">
        <v>299</v>
      </c>
      <c r="B19">
        <v>4</v>
      </c>
      <c r="C19">
        <v>41</v>
      </c>
      <c r="D19">
        <v>5</v>
      </c>
      <c r="E19">
        <v>4</v>
      </c>
      <c r="F19">
        <v>37</v>
      </c>
      <c r="G19">
        <v>0</v>
      </c>
      <c r="H19">
        <v>4</v>
      </c>
    </row>
    <row r="20" spans="1:8" x14ac:dyDescent="0.25">
      <c r="A20" t="s">
        <v>300</v>
      </c>
      <c r="B20">
        <v>7</v>
      </c>
      <c r="C20">
        <v>31</v>
      </c>
      <c r="D20">
        <v>16</v>
      </c>
      <c r="E20">
        <v>7</v>
      </c>
      <c r="F20">
        <v>31</v>
      </c>
      <c r="G20">
        <v>0</v>
      </c>
      <c r="H20">
        <v>0</v>
      </c>
    </row>
    <row r="21" spans="1:8" x14ac:dyDescent="0.25">
      <c r="A21" t="s">
        <v>301</v>
      </c>
      <c r="B21">
        <v>9</v>
      </c>
      <c r="C21">
        <v>93</v>
      </c>
      <c r="D21">
        <v>55</v>
      </c>
      <c r="E21">
        <v>9</v>
      </c>
      <c r="F21">
        <v>89</v>
      </c>
      <c r="G21">
        <v>0</v>
      </c>
      <c r="H21">
        <v>4</v>
      </c>
    </row>
    <row r="22" spans="1:8" x14ac:dyDescent="0.25">
      <c r="A22" t="s">
        <v>302</v>
      </c>
      <c r="B22">
        <v>39</v>
      </c>
      <c r="C22">
        <v>383</v>
      </c>
      <c r="D22">
        <v>116</v>
      </c>
      <c r="E22">
        <v>33</v>
      </c>
      <c r="F22">
        <v>329</v>
      </c>
      <c r="G22">
        <v>6</v>
      </c>
      <c r="H22">
        <v>54</v>
      </c>
    </row>
    <row r="23" spans="1:8" x14ac:dyDescent="0.25">
      <c r="A23" t="s">
        <v>303</v>
      </c>
      <c r="B23">
        <v>98</v>
      </c>
      <c r="C23">
        <v>1136</v>
      </c>
      <c r="D23">
        <v>571</v>
      </c>
      <c r="E23">
        <v>94</v>
      </c>
      <c r="F23">
        <v>1096</v>
      </c>
      <c r="G23">
        <v>4</v>
      </c>
      <c r="H23">
        <v>40</v>
      </c>
    </row>
    <row r="24" spans="1:8" x14ac:dyDescent="0.25">
      <c r="A24" t="s">
        <v>304</v>
      </c>
      <c r="B24">
        <v>5</v>
      </c>
      <c r="C24">
        <v>16</v>
      </c>
      <c r="D24">
        <v>15</v>
      </c>
      <c r="E24">
        <v>5</v>
      </c>
      <c r="F24">
        <v>16</v>
      </c>
      <c r="G24">
        <v>0</v>
      </c>
      <c r="H24">
        <v>0</v>
      </c>
    </row>
    <row r="25" spans="1:8" x14ac:dyDescent="0.25">
      <c r="A25" t="s">
        <v>305</v>
      </c>
      <c r="B25">
        <v>7</v>
      </c>
      <c r="C25">
        <v>74</v>
      </c>
      <c r="D25">
        <v>13</v>
      </c>
      <c r="E25">
        <v>7</v>
      </c>
      <c r="F25">
        <v>74</v>
      </c>
      <c r="G25">
        <v>0</v>
      </c>
      <c r="H25">
        <v>0</v>
      </c>
    </row>
    <row r="26" spans="1:8" x14ac:dyDescent="0.25">
      <c r="A26" t="s">
        <v>306</v>
      </c>
      <c r="B26">
        <v>39</v>
      </c>
      <c r="C26">
        <v>272</v>
      </c>
      <c r="D26">
        <v>119</v>
      </c>
      <c r="E26">
        <v>34</v>
      </c>
      <c r="F26">
        <v>245</v>
      </c>
      <c r="G26">
        <v>5</v>
      </c>
      <c r="H26">
        <v>27</v>
      </c>
    </row>
    <row r="27" spans="1:8" x14ac:dyDescent="0.25">
      <c r="A27" t="s">
        <v>307</v>
      </c>
      <c r="B27">
        <v>38</v>
      </c>
      <c r="C27">
        <v>297</v>
      </c>
      <c r="D27">
        <v>122</v>
      </c>
      <c r="E27">
        <v>38</v>
      </c>
      <c r="F27">
        <v>297</v>
      </c>
      <c r="G27">
        <v>0</v>
      </c>
      <c r="H27">
        <v>0</v>
      </c>
    </row>
    <row r="28" spans="1:8" x14ac:dyDescent="0.25">
      <c r="A28" t="s">
        <v>266</v>
      </c>
      <c r="B28">
        <v>1527</v>
      </c>
      <c r="C28">
        <v>17467</v>
      </c>
      <c r="D28">
        <v>7542</v>
      </c>
      <c r="E28">
        <v>1426</v>
      </c>
      <c r="F28">
        <v>17079</v>
      </c>
      <c r="G28">
        <v>101</v>
      </c>
      <c r="H28">
        <v>388</v>
      </c>
    </row>
    <row r="29" spans="1:8" x14ac:dyDescent="0.25">
      <c r="A29" t="s">
        <v>459</v>
      </c>
      <c r="B29">
        <v>1144</v>
      </c>
      <c r="C29">
        <v>15259</v>
      </c>
      <c r="D29">
        <v>6362</v>
      </c>
      <c r="E29">
        <v>1077</v>
      </c>
      <c r="F29">
        <v>14997</v>
      </c>
      <c r="G29">
        <v>67</v>
      </c>
      <c r="H29">
        <v>262</v>
      </c>
    </row>
    <row r="30" spans="1:8" x14ac:dyDescent="0.25">
      <c r="A30" t="s">
        <v>460</v>
      </c>
      <c r="B30">
        <v>383</v>
      </c>
      <c r="C30">
        <v>2208</v>
      </c>
      <c r="D30">
        <v>1180</v>
      </c>
      <c r="E30">
        <v>349</v>
      </c>
      <c r="F30">
        <v>2082</v>
      </c>
      <c r="G30">
        <v>34</v>
      </c>
      <c r="H30">
        <v>126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A9D18E"/>
  </sheetPr>
  <dimension ref="A1:L30"/>
  <sheetViews>
    <sheetView workbookViewId="0"/>
  </sheetViews>
  <sheetFormatPr defaultRowHeight="15" x14ac:dyDescent="0.25"/>
  <cols>
    <col min="1" max="1" width="20.85546875" customWidth="1"/>
    <col min="2" max="2" width="14.140625" customWidth="1"/>
    <col min="3" max="3" width="14.42578125" customWidth="1"/>
    <col min="4" max="4" width="13.28515625" customWidth="1"/>
    <col min="5" max="5" width="16.42578125" customWidth="1"/>
    <col min="6" max="6" width="12" customWidth="1"/>
    <col min="9" max="9" width="12.140625" customWidth="1"/>
    <col min="10" max="10" width="12" customWidth="1"/>
  </cols>
  <sheetData>
    <row r="1" spans="1:12" x14ac:dyDescent="0.25">
      <c r="A1" s="29" t="s">
        <v>252</v>
      </c>
      <c r="B1" s="29" t="s">
        <v>531</v>
      </c>
      <c r="C1" s="29"/>
      <c r="D1" s="29" t="s">
        <v>756</v>
      </c>
      <c r="E1" s="29" t="s">
        <v>757</v>
      </c>
      <c r="F1" s="29" t="s">
        <v>534</v>
      </c>
      <c r="G1" s="29"/>
      <c r="H1" s="29"/>
      <c r="I1" s="29"/>
      <c r="J1" s="29"/>
      <c r="K1" s="29"/>
      <c r="L1" s="29"/>
    </row>
    <row r="2" spans="1:12" x14ac:dyDescent="0.25">
      <c r="A2" s="29"/>
      <c r="B2" t="s">
        <v>535</v>
      </c>
      <c r="C2" t="s">
        <v>536</v>
      </c>
      <c r="D2" s="29"/>
      <c r="E2" s="29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3831</v>
      </c>
      <c r="C3">
        <v>1887</v>
      </c>
      <c r="D3">
        <v>0.6</v>
      </c>
      <c r="E3">
        <v>5</v>
      </c>
      <c r="F3">
        <v>21</v>
      </c>
      <c r="G3">
        <v>44</v>
      </c>
      <c r="H3">
        <v>12</v>
      </c>
      <c r="I3">
        <v>2</v>
      </c>
      <c r="J3">
        <v>16</v>
      </c>
      <c r="K3">
        <v>5</v>
      </c>
      <c r="L3">
        <v>16</v>
      </c>
    </row>
    <row r="4" spans="1:12" x14ac:dyDescent="0.25">
      <c r="A4" t="s">
        <v>284</v>
      </c>
      <c r="B4">
        <v>4674</v>
      </c>
      <c r="C4">
        <v>1861</v>
      </c>
      <c r="D4">
        <v>0.6</v>
      </c>
      <c r="E4">
        <v>13</v>
      </c>
      <c r="F4">
        <v>12</v>
      </c>
      <c r="G4">
        <v>18</v>
      </c>
      <c r="H4">
        <v>9</v>
      </c>
      <c r="I4">
        <v>1</v>
      </c>
      <c r="J4">
        <v>8</v>
      </c>
      <c r="K4">
        <v>3</v>
      </c>
      <c r="L4">
        <v>3</v>
      </c>
    </row>
    <row r="5" spans="1:12" x14ac:dyDescent="0.25">
      <c r="A5" t="s">
        <v>285</v>
      </c>
      <c r="B5">
        <v>15902</v>
      </c>
      <c r="C5">
        <v>3091</v>
      </c>
      <c r="D5">
        <v>0.7</v>
      </c>
      <c r="E5">
        <v>4</v>
      </c>
      <c r="F5">
        <v>1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286</v>
      </c>
      <c r="B6">
        <v>15221</v>
      </c>
      <c r="C6">
        <v>2188</v>
      </c>
      <c r="D6">
        <v>0.4</v>
      </c>
      <c r="E6">
        <v>8</v>
      </c>
      <c r="F6">
        <v>8</v>
      </c>
      <c r="G6">
        <v>11</v>
      </c>
      <c r="H6">
        <v>7</v>
      </c>
      <c r="I6">
        <v>0</v>
      </c>
      <c r="J6">
        <v>4</v>
      </c>
      <c r="K6">
        <v>0</v>
      </c>
      <c r="L6">
        <v>7</v>
      </c>
    </row>
    <row r="7" spans="1:12" x14ac:dyDescent="0.25">
      <c r="A7" t="s">
        <v>287</v>
      </c>
      <c r="B7">
        <v>82171</v>
      </c>
      <c r="C7">
        <v>21427</v>
      </c>
      <c r="D7">
        <v>0.6</v>
      </c>
      <c r="E7">
        <v>10</v>
      </c>
      <c r="F7">
        <v>7</v>
      </c>
      <c r="G7">
        <v>15</v>
      </c>
      <c r="H7">
        <v>6</v>
      </c>
      <c r="I7">
        <v>4</v>
      </c>
      <c r="J7">
        <v>6</v>
      </c>
      <c r="K7">
        <v>4</v>
      </c>
      <c r="L7">
        <v>7</v>
      </c>
    </row>
    <row r="8" spans="1:12" x14ac:dyDescent="0.25">
      <c r="A8" t="s">
        <v>288</v>
      </c>
      <c r="B8">
        <v>64136</v>
      </c>
      <c r="C8">
        <v>9860</v>
      </c>
      <c r="D8">
        <v>0.4</v>
      </c>
      <c r="E8">
        <v>8</v>
      </c>
      <c r="F8">
        <v>5</v>
      </c>
      <c r="G8">
        <v>7</v>
      </c>
      <c r="H8">
        <v>5</v>
      </c>
      <c r="I8">
        <v>4</v>
      </c>
      <c r="J8">
        <v>4</v>
      </c>
      <c r="K8">
        <v>0</v>
      </c>
      <c r="L8">
        <v>2</v>
      </c>
    </row>
    <row r="9" spans="1:12" x14ac:dyDescent="0.25">
      <c r="A9" t="s">
        <v>289</v>
      </c>
      <c r="B9">
        <v>4780</v>
      </c>
      <c r="C9">
        <v>4131</v>
      </c>
      <c r="D9">
        <v>0.4</v>
      </c>
      <c r="E9">
        <v>13</v>
      </c>
      <c r="F9">
        <v>15</v>
      </c>
      <c r="G9">
        <v>15</v>
      </c>
      <c r="H9">
        <v>10</v>
      </c>
      <c r="I9">
        <v>0</v>
      </c>
      <c r="J9">
        <v>7</v>
      </c>
      <c r="K9">
        <v>1</v>
      </c>
      <c r="L9">
        <v>7</v>
      </c>
    </row>
    <row r="10" spans="1:12" x14ac:dyDescent="0.25">
      <c r="A10" t="s">
        <v>290</v>
      </c>
      <c r="B10">
        <v>3505</v>
      </c>
      <c r="C10">
        <v>929</v>
      </c>
      <c r="D10">
        <v>0.5</v>
      </c>
      <c r="E10">
        <v>7</v>
      </c>
      <c r="F10">
        <v>11</v>
      </c>
      <c r="G10">
        <v>21</v>
      </c>
      <c r="H10">
        <v>11</v>
      </c>
      <c r="I10">
        <v>2</v>
      </c>
      <c r="J10">
        <v>5</v>
      </c>
      <c r="K10">
        <v>1</v>
      </c>
      <c r="L10">
        <v>6</v>
      </c>
    </row>
    <row r="11" spans="1:12" x14ac:dyDescent="0.25">
      <c r="A11" t="s">
        <v>291</v>
      </c>
      <c r="B11">
        <v>32000</v>
      </c>
      <c r="C11">
        <v>250</v>
      </c>
      <c r="D11">
        <v>0.8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</row>
    <row r="12" spans="1:12" x14ac:dyDescent="0.25">
      <c r="A12" t="s">
        <v>292</v>
      </c>
      <c r="B12">
        <v>4069</v>
      </c>
      <c r="C12">
        <v>1072</v>
      </c>
      <c r="D12">
        <v>0.6</v>
      </c>
      <c r="E12">
        <v>0</v>
      </c>
      <c r="F12">
        <v>2</v>
      </c>
      <c r="G12">
        <v>6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293</v>
      </c>
      <c r="B13">
        <v>1071</v>
      </c>
      <c r="C13">
        <v>460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294</v>
      </c>
      <c r="B14">
        <v>5336</v>
      </c>
      <c r="C14">
        <v>4094</v>
      </c>
      <c r="D14">
        <v>0.1</v>
      </c>
      <c r="E14">
        <v>2</v>
      </c>
      <c r="F14">
        <v>2</v>
      </c>
      <c r="G14">
        <v>3</v>
      </c>
      <c r="H14">
        <v>3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2345</v>
      </c>
      <c r="C15">
        <v>1939</v>
      </c>
      <c r="D15">
        <v>1</v>
      </c>
      <c r="E15">
        <v>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296</v>
      </c>
      <c r="B16">
        <v>1897</v>
      </c>
      <c r="C16">
        <v>932</v>
      </c>
      <c r="D16">
        <v>0.6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297</v>
      </c>
      <c r="B17">
        <v>2856</v>
      </c>
      <c r="C17">
        <v>854</v>
      </c>
      <c r="D17">
        <v>0.5</v>
      </c>
      <c r="E17">
        <v>90</v>
      </c>
      <c r="F17">
        <v>100</v>
      </c>
      <c r="G17">
        <v>207</v>
      </c>
      <c r="H17">
        <v>136</v>
      </c>
      <c r="I17">
        <v>25</v>
      </c>
      <c r="J17">
        <v>67</v>
      </c>
      <c r="K17">
        <v>27</v>
      </c>
      <c r="L17">
        <v>55</v>
      </c>
    </row>
    <row r="18" spans="1:12" x14ac:dyDescent="0.25">
      <c r="A18" t="s">
        <v>298</v>
      </c>
      <c r="B18">
        <v>8664</v>
      </c>
      <c r="C18">
        <v>3157</v>
      </c>
      <c r="D18">
        <v>0.6</v>
      </c>
      <c r="E18">
        <v>6</v>
      </c>
      <c r="F18">
        <v>6</v>
      </c>
      <c r="G18">
        <v>17</v>
      </c>
      <c r="H18">
        <v>3</v>
      </c>
      <c r="I18">
        <v>7</v>
      </c>
      <c r="J18">
        <v>7</v>
      </c>
      <c r="K18">
        <v>0</v>
      </c>
      <c r="L18">
        <v>4</v>
      </c>
    </row>
    <row r="19" spans="1:12" x14ac:dyDescent="0.25">
      <c r="A19" t="s">
        <v>299</v>
      </c>
      <c r="B19">
        <v>3240</v>
      </c>
      <c r="C19">
        <v>500</v>
      </c>
      <c r="D19">
        <v>0.3</v>
      </c>
      <c r="E19">
        <v>1</v>
      </c>
      <c r="F19">
        <v>0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300</v>
      </c>
      <c r="B20">
        <v>2015</v>
      </c>
      <c r="C20">
        <v>1112</v>
      </c>
      <c r="D20">
        <v>0.4</v>
      </c>
      <c r="E20">
        <v>4</v>
      </c>
      <c r="F20">
        <v>0</v>
      </c>
      <c r="G20">
        <v>0</v>
      </c>
      <c r="H20">
        <v>1</v>
      </c>
      <c r="I20">
        <v>0</v>
      </c>
      <c r="J20">
        <v>1</v>
      </c>
      <c r="K20">
        <v>1</v>
      </c>
      <c r="L20">
        <v>1</v>
      </c>
    </row>
    <row r="21" spans="1:12" x14ac:dyDescent="0.25">
      <c r="A21" t="s">
        <v>301</v>
      </c>
      <c r="B21">
        <v>1339</v>
      </c>
      <c r="C21">
        <v>1019</v>
      </c>
      <c r="D21">
        <v>0.7</v>
      </c>
      <c r="E21">
        <v>4</v>
      </c>
      <c r="F21">
        <v>0</v>
      </c>
      <c r="G21">
        <v>2</v>
      </c>
      <c r="H21">
        <v>0</v>
      </c>
      <c r="I21">
        <v>0</v>
      </c>
      <c r="J21">
        <v>2</v>
      </c>
      <c r="K21">
        <v>0</v>
      </c>
      <c r="L21">
        <v>2</v>
      </c>
    </row>
    <row r="22" spans="1:12" x14ac:dyDescent="0.25">
      <c r="A22" t="s">
        <v>302</v>
      </c>
      <c r="B22">
        <v>8718</v>
      </c>
      <c r="C22">
        <v>1459</v>
      </c>
      <c r="D22">
        <v>0.7</v>
      </c>
      <c r="E22">
        <v>6</v>
      </c>
      <c r="F22">
        <v>2</v>
      </c>
      <c r="G22">
        <v>9</v>
      </c>
      <c r="H22">
        <v>3</v>
      </c>
      <c r="I22">
        <v>0</v>
      </c>
      <c r="J22">
        <v>2</v>
      </c>
      <c r="K22">
        <v>0</v>
      </c>
      <c r="L22">
        <v>2</v>
      </c>
    </row>
    <row r="23" spans="1:12" x14ac:dyDescent="0.25">
      <c r="A23" t="s">
        <v>303</v>
      </c>
      <c r="B23">
        <v>6305</v>
      </c>
      <c r="C23">
        <v>1747</v>
      </c>
      <c r="D23">
        <v>0.6</v>
      </c>
      <c r="E23">
        <v>30</v>
      </c>
      <c r="F23">
        <v>20</v>
      </c>
      <c r="G23">
        <v>30</v>
      </c>
      <c r="H23">
        <v>22</v>
      </c>
      <c r="I23">
        <v>6</v>
      </c>
      <c r="J23">
        <v>10</v>
      </c>
      <c r="K23">
        <v>13</v>
      </c>
      <c r="L23">
        <v>19</v>
      </c>
    </row>
    <row r="24" spans="1:12" x14ac:dyDescent="0.25">
      <c r="A24" t="s">
        <v>304</v>
      </c>
      <c r="B24">
        <v>1893</v>
      </c>
      <c r="C24">
        <v>569</v>
      </c>
      <c r="D24">
        <v>0.5</v>
      </c>
      <c r="E24">
        <v>0</v>
      </c>
      <c r="F24">
        <v>0</v>
      </c>
      <c r="G24">
        <v>3</v>
      </c>
      <c r="H24">
        <v>3</v>
      </c>
      <c r="I24">
        <v>0</v>
      </c>
      <c r="J24">
        <v>1</v>
      </c>
      <c r="K24">
        <v>0</v>
      </c>
      <c r="L24">
        <v>0</v>
      </c>
    </row>
    <row r="25" spans="1:12" x14ac:dyDescent="0.25">
      <c r="A25" t="s">
        <v>305</v>
      </c>
      <c r="B25">
        <v>786</v>
      </c>
      <c r="C25">
        <v>549</v>
      </c>
      <c r="D25">
        <v>0.4</v>
      </c>
      <c r="E25">
        <v>3</v>
      </c>
      <c r="F25">
        <v>2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3223</v>
      </c>
      <c r="C26">
        <v>2360</v>
      </c>
      <c r="D26">
        <v>0.5</v>
      </c>
      <c r="E26">
        <v>0</v>
      </c>
      <c r="F26">
        <v>3</v>
      </c>
      <c r="G26">
        <v>4</v>
      </c>
      <c r="H26">
        <v>6</v>
      </c>
      <c r="I26">
        <v>0</v>
      </c>
      <c r="J26">
        <v>2</v>
      </c>
      <c r="K26">
        <v>4</v>
      </c>
      <c r="L26">
        <v>3</v>
      </c>
    </row>
    <row r="27" spans="1:12" x14ac:dyDescent="0.25">
      <c r="A27" t="s">
        <v>307</v>
      </c>
      <c r="B27">
        <v>3023</v>
      </c>
      <c r="C27">
        <v>1276</v>
      </c>
      <c r="D27">
        <v>0.7</v>
      </c>
      <c r="E27">
        <v>10</v>
      </c>
      <c r="F27">
        <v>7</v>
      </c>
      <c r="G27">
        <v>6</v>
      </c>
      <c r="H27">
        <v>6</v>
      </c>
      <c r="I27">
        <v>3</v>
      </c>
      <c r="J27">
        <v>6</v>
      </c>
      <c r="K27">
        <v>3</v>
      </c>
      <c r="L27">
        <v>4</v>
      </c>
    </row>
    <row r="28" spans="1:12" x14ac:dyDescent="0.25">
      <c r="A28" t="s">
        <v>266</v>
      </c>
      <c r="B28">
        <v>8859</v>
      </c>
      <c r="C28">
        <v>2428</v>
      </c>
      <c r="D28">
        <v>0.5</v>
      </c>
      <c r="E28">
        <v>226</v>
      </c>
      <c r="F28">
        <v>227</v>
      </c>
      <c r="G28">
        <v>432</v>
      </c>
      <c r="H28">
        <v>247</v>
      </c>
      <c r="I28">
        <v>54</v>
      </c>
      <c r="J28">
        <v>148</v>
      </c>
      <c r="K28">
        <v>63</v>
      </c>
      <c r="L28">
        <v>139</v>
      </c>
    </row>
    <row r="29" spans="1:12" x14ac:dyDescent="0.25">
      <c r="A29" t="s">
        <v>459</v>
      </c>
      <c r="B29">
        <v>3434</v>
      </c>
      <c r="C29">
        <v>1186</v>
      </c>
      <c r="D29">
        <v>0.5</v>
      </c>
      <c r="E29">
        <v>177</v>
      </c>
      <c r="F29">
        <v>185</v>
      </c>
      <c r="G29">
        <v>359</v>
      </c>
      <c r="H29">
        <v>213</v>
      </c>
      <c r="I29">
        <v>48</v>
      </c>
      <c r="J29">
        <v>116</v>
      </c>
      <c r="K29">
        <v>55</v>
      </c>
      <c r="L29">
        <v>110</v>
      </c>
    </row>
    <row r="30" spans="1:12" x14ac:dyDescent="0.25">
      <c r="A30" t="s">
        <v>460</v>
      </c>
      <c r="B30">
        <v>31081</v>
      </c>
      <c r="C30">
        <v>7776</v>
      </c>
      <c r="D30">
        <v>0.5</v>
      </c>
      <c r="E30">
        <v>49</v>
      </c>
      <c r="F30">
        <v>42</v>
      </c>
      <c r="G30">
        <v>73</v>
      </c>
      <c r="H30">
        <v>34</v>
      </c>
      <c r="I30">
        <v>6</v>
      </c>
      <c r="J30">
        <v>32</v>
      </c>
      <c r="K30">
        <v>8</v>
      </c>
      <c r="L30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0000"/>
  </sheetPr>
  <dimension ref="A1:I29"/>
  <sheetViews>
    <sheetView workbookViewId="0"/>
  </sheetViews>
  <sheetFormatPr defaultRowHeight="15" x14ac:dyDescent="0.25"/>
  <cols>
    <col min="1" max="1" width="24" customWidth="1"/>
    <col min="2" max="2" width="17.140625" customWidth="1"/>
    <col min="6" max="6" width="18" customWidth="1"/>
    <col min="7" max="7" width="17.85546875" customWidth="1"/>
  </cols>
  <sheetData>
    <row r="1" spans="1:9" x14ac:dyDescent="0.25">
      <c r="A1" s="29" t="s">
        <v>252</v>
      </c>
      <c r="B1" s="29" t="s">
        <v>759</v>
      </c>
      <c r="C1" s="29"/>
      <c r="D1" s="29"/>
      <c r="E1" s="29"/>
      <c r="F1" s="29"/>
      <c r="G1" s="29"/>
      <c r="H1" s="29"/>
      <c r="I1" s="29"/>
    </row>
    <row r="2" spans="1:9" x14ac:dyDescent="0.25">
      <c r="A2" s="29"/>
      <c r="B2" s="29" t="s">
        <v>423</v>
      </c>
      <c r="C2" s="29"/>
      <c r="D2" s="29" t="s">
        <v>424</v>
      </c>
      <c r="E2" s="29"/>
      <c r="F2" s="29" t="s">
        <v>425</v>
      </c>
      <c r="G2" s="29"/>
      <c r="H2" s="29" t="s">
        <v>373</v>
      </c>
      <c r="I2" s="29"/>
    </row>
    <row r="3" spans="1:9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</row>
    <row r="4" spans="1:9" x14ac:dyDescent="0.25">
      <c r="A4" t="s">
        <v>283</v>
      </c>
      <c r="B4">
        <v>40</v>
      </c>
      <c r="C4">
        <v>376</v>
      </c>
      <c r="D4">
        <v>40</v>
      </c>
      <c r="E4">
        <v>376</v>
      </c>
      <c r="F4">
        <v>50</v>
      </c>
      <c r="G4">
        <v>376</v>
      </c>
      <c r="H4">
        <v>5</v>
      </c>
      <c r="I4">
        <v>1080</v>
      </c>
    </row>
    <row r="5" spans="1:9" x14ac:dyDescent="0.25">
      <c r="A5" t="s">
        <v>284</v>
      </c>
      <c r="B5">
        <v>60</v>
      </c>
      <c r="C5">
        <v>1525</v>
      </c>
      <c r="D5">
        <v>60</v>
      </c>
      <c r="E5">
        <v>1230</v>
      </c>
      <c r="F5">
        <v>1</v>
      </c>
      <c r="G5">
        <v>1230</v>
      </c>
      <c r="H5">
        <v>6</v>
      </c>
      <c r="I5">
        <v>645</v>
      </c>
    </row>
    <row r="6" spans="1:9" x14ac:dyDescent="0.25">
      <c r="A6" t="s">
        <v>285</v>
      </c>
      <c r="B6">
        <v>130</v>
      </c>
      <c r="C6">
        <v>200</v>
      </c>
      <c r="D6">
        <v>130</v>
      </c>
      <c r="E6">
        <v>200</v>
      </c>
      <c r="F6">
        <v>130</v>
      </c>
      <c r="G6">
        <v>360</v>
      </c>
      <c r="H6">
        <v>150</v>
      </c>
      <c r="I6">
        <v>450</v>
      </c>
    </row>
    <row r="7" spans="1:9" x14ac:dyDescent="0.25">
      <c r="A7" t="s">
        <v>286</v>
      </c>
      <c r="B7">
        <v>8</v>
      </c>
      <c r="C7">
        <v>196</v>
      </c>
      <c r="D7">
        <v>8</v>
      </c>
      <c r="E7">
        <v>216</v>
      </c>
      <c r="F7">
        <v>8</v>
      </c>
      <c r="G7">
        <v>232</v>
      </c>
      <c r="H7">
        <v>8</v>
      </c>
      <c r="I7">
        <v>8</v>
      </c>
    </row>
    <row r="8" spans="1:9" x14ac:dyDescent="0.25">
      <c r="A8" t="s">
        <v>287</v>
      </c>
      <c r="B8">
        <v>6</v>
      </c>
      <c r="C8">
        <v>370</v>
      </c>
      <c r="D8">
        <v>6</v>
      </c>
      <c r="E8">
        <v>370</v>
      </c>
      <c r="F8">
        <v>6</v>
      </c>
      <c r="G8">
        <v>1440</v>
      </c>
      <c r="H8">
        <v>8</v>
      </c>
      <c r="I8">
        <v>370</v>
      </c>
    </row>
    <row r="9" spans="1:9" x14ac:dyDescent="0.25">
      <c r="A9" t="s">
        <v>288</v>
      </c>
      <c r="B9">
        <v>30</v>
      </c>
      <c r="C9">
        <v>269</v>
      </c>
      <c r="D9">
        <v>30</v>
      </c>
      <c r="E9">
        <v>269</v>
      </c>
      <c r="F9">
        <v>30</v>
      </c>
      <c r="G9">
        <v>420</v>
      </c>
      <c r="H9">
        <v>0</v>
      </c>
      <c r="I9">
        <v>0</v>
      </c>
    </row>
    <row r="10" spans="1:9" x14ac:dyDescent="0.25">
      <c r="A10" t="s">
        <v>289</v>
      </c>
      <c r="B10">
        <v>80</v>
      </c>
      <c r="C10">
        <v>600</v>
      </c>
      <c r="D10">
        <v>50</v>
      </c>
      <c r="E10">
        <v>600</v>
      </c>
      <c r="F10">
        <v>50</v>
      </c>
      <c r="G10">
        <v>259</v>
      </c>
      <c r="H10">
        <v>80</v>
      </c>
      <c r="I10">
        <v>125</v>
      </c>
    </row>
    <row r="11" spans="1:9" x14ac:dyDescent="0.25">
      <c r="A11" t="s">
        <v>290</v>
      </c>
      <c r="B11">
        <v>16</v>
      </c>
      <c r="C11">
        <v>1690</v>
      </c>
      <c r="D11">
        <v>16</v>
      </c>
      <c r="E11">
        <v>1690</v>
      </c>
      <c r="F11">
        <v>30</v>
      </c>
      <c r="G11">
        <v>1790</v>
      </c>
      <c r="H11">
        <v>10</v>
      </c>
      <c r="I11">
        <v>430</v>
      </c>
    </row>
    <row r="12" spans="1:9" x14ac:dyDescent="0.25">
      <c r="A12" t="s">
        <v>292</v>
      </c>
      <c r="B12">
        <v>30</v>
      </c>
      <c r="C12">
        <v>80</v>
      </c>
      <c r="D12">
        <v>40</v>
      </c>
      <c r="E12">
        <v>40</v>
      </c>
      <c r="F12">
        <v>50</v>
      </c>
      <c r="G12">
        <v>50</v>
      </c>
      <c r="H12">
        <v>0</v>
      </c>
      <c r="I12">
        <v>0</v>
      </c>
    </row>
    <row r="13" spans="1:9" x14ac:dyDescent="0.25">
      <c r="A13" t="s">
        <v>293</v>
      </c>
      <c r="B13">
        <v>150</v>
      </c>
      <c r="C13">
        <v>300</v>
      </c>
      <c r="D13">
        <v>150</v>
      </c>
      <c r="E13">
        <v>300</v>
      </c>
      <c r="F13">
        <v>150</v>
      </c>
      <c r="G13">
        <v>150</v>
      </c>
      <c r="H13">
        <v>0</v>
      </c>
      <c r="I13">
        <v>0</v>
      </c>
    </row>
    <row r="14" spans="1:9" x14ac:dyDescent="0.25">
      <c r="A14" t="s">
        <v>294</v>
      </c>
      <c r="B14">
        <v>286</v>
      </c>
      <c r="C14">
        <v>286</v>
      </c>
      <c r="D14">
        <v>286</v>
      </c>
      <c r="E14">
        <v>286</v>
      </c>
      <c r="F14">
        <v>286</v>
      </c>
      <c r="G14">
        <v>350</v>
      </c>
      <c r="H14">
        <v>600</v>
      </c>
      <c r="I14">
        <v>600</v>
      </c>
    </row>
    <row r="15" spans="1:9" x14ac:dyDescent="0.25">
      <c r="A15" t="s">
        <v>297</v>
      </c>
      <c r="B15">
        <v>10</v>
      </c>
      <c r="C15">
        <v>42402</v>
      </c>
      <c r="D15">
        <v>10</v>
      </c>
      <c r="E15">
        <v>6479</v>
      </c>
      <c r="F15">
        <v>10</v>
      </c>
      <c r="G15">
        <v>6932</v>
      </c>
      <c r="H15">
        <v>10</v>
      </c>
      <c r="I15">
        <v>6000</v>
      </c>
    </row>
    <row r="16" spans="1:9" x14ac:dyDescent="0.25">
      <c r="A16" t="s">
        <v>299</v>
      </c>
      <c r="B16">
        <v>160</v>
      </c>
      <c r="C16">
        <v>220</v>
      </c>
      <c r="D16">
        <v>170</v>
      </c>
      <c r="E16">
        <v>170</v>
      </c>
      <c r="F16">
        <v>180</v>
      </c>
      <c r="G16">
        <v>220</v>
      </c>
      <c r="H16">
        <v>0</v>
      </c>
      <c r="I16">
        <v>0</v>
      </c>
    </row>
    <row r="17" spans="1:9" x14ac:dyDescent="0.25">
      <c r="A17" t="s">
        <v>300</v>
      </c>
      <c r="B17">
        <v>12</v>
      </c>
      <c r="C17">
        <v>130</v>
      </c>
      <c r="D17">
        <v>12</v>
      </c>
      <c r="E17">
        <v>130</v>
      </c>
      <c r="F17">
        <v>12</v>
      </c>
      <c r="G17">
        <v>130</v>
      </c>
      <c r="H17">
        <v>130</v>
      </c>
      <c r="I17">
        <v>130</v>
      </c>
    </row>
    <row r="18" spans="1:9" x14ac:dyDescent="0.25">
      <c r="A18" t="s">
        <v>301</v>
      </c>
      <c r="B18">
        <v>87</v>
      </c>
      <c r="C18">
        <v>152</v>
      </c>
      <c r="D18">
        <v>87</v>
      </c>
      <c r="E18">
        <v>164</v>
      </c>
      <c r="F18">
        <v>100</v>
      </c>
      <c r="G18">
        <v>176</v>
      </c>
      <c r="H18">
        <v>8</v>
      </c>
      <c r="I18">
        <v>188</v>
      </c>
    </row>
    <row r="19" spans="1:9" x14ac:dyDescent="0.25">
      <c r="A19" t="s">
        <v>302</v>
      </c>
      <c r="B19">
        <v>234</v>
      </c>
      <c r="C19">
        <v>400</v>
      </c>
      <c r="D19">
        <v>240</v>
      </c>
      <c r="E19">
        <v>400</v>
      </c>
      <c r="F19">
        <v>234</v>
      </c>
      <c r="G19">
        <v>400</v>
      </c>
      <c r="H19">
        <v>400</v>
      </c>
      <c r="I19">
        <v>400</v>
      </c>
    </row>
    <row r="20" spans="1:9" x14ac:dyDescent="0.25">
      <c r="A20" t="s">
        <v>303</v>
      </c>
      <c r="B20">
        <v>10</v>
      </c>
      <c r="C20">
        <v>1180</v>
      </c>
      <c r="D20">
        <v>20</v>
      </c>
      <c r="E20">
        <v>1180</v>
      </c>
      <c r="F20">
        <v>7</v>
      </c>
      <c r="G20">
        <v>1180</v>
      </c>
      <c r="H20">
        <v>10</v>
      </c>
      <c r="I20">
        <v>5380</v>
      </c>
    </row>
    <row r="21" spans="1:9" x14ac:dyDescent="0.25">
      <c r="A21" t="s">
        <v>298</v>
      </c>
      <c r="B21">
        <v>30</v>
      </c>
      <c r="C21">
        <v>1440</v>
      </c>
      <c r="D21">
        <v>15</v>
      </c>
      <c r="E21">
        <v>1440</v>
      </c>
      <c r="F21">
        <v>15</v>
      </c>
      <c r="G21">
        <v>1440</v>
      </c>
      <c r="H21">
        <v>5</v>
      </c>
      <c r="I21">
        <v>1440</v>
      </c>
    </row>
    <row r="22" spans="1:9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75</v>
      </c>
      <c r="I22">
        <v>75</v>
      </c>
    </row>
    <row r="23" spans="1:9" x14ac:dyDescent="0.25">
      <c r="A23" t="s">
        <v>305</v>
      </c>
      <c r="B23">
        <v>120</v>
      </c>
      <c r="C23">
        <v>120</v>
      </c>
      <c r="D23">
        <v>120</v>
      </c>
      <c r="E23">
        <v>120</v>
      </c>
      <c r="F23">
        <v>120</v>
      </c>
      <c r="G23">
        <v>168</v>
      </c>
      <c r="H23">
        <v>160</v>
      </c>
      <c r="I23">
        <v>160</v>
      </c>
    </row>
    <row r="24" spans="1:9" x14ac:dyDescent="0.25">
      <c r="A24" t="s">
        <v>306</v>
      </c>
      <c r="B24">
        <v>108</v>
      </c>
      <c r="C24">
        <v>420</v>
      </c>
      <c r="D24">
        <v>120</v>
      </c>
      <c r="E24">
        <v>420</v>
      </c>
      <c r="F24">
        <v>120</v>
      </c>
      <c r="G24">
        <v>420</v>
      </c>
      <c r="H24">
        <v>80</v>
      </c>
      <c r="I24">
        <v>420</v>
      </c>
    </row>
    <row r="25" spans="1:9" x14ac:dyDescent="0.25">
      <c r="A25" t="s">
        <v>291</v>
      </c>
      <c r="B25">
        <v>1</v>
      </c>
      <c r="C25">
        <v>1</v>
      </c>
      <c r="D25">
        <v>1</v>
      </c>
      <c r="E25">
        <v>1320</v>
      </c>
      <c r="F25">
        <v>1320</v>
      </c>
      <c r="G25">
        <v>1320</v>
      </c>
      <c r="H25">
        <v>20</v>
      </c>
      <c r="I25">
        <v>440</v>
      </c>
    </row>
    <row r="26" spans="1:9" x14ac:dyDescent="0.25">
      <c r="A26" t="s">
        <v>296</v>
      </c>
      <c r="B26">
        <v>80</v>
      </c>
      <c r="C26">
        <v>117</v>
      </c>
      <c r="D26">
        <v>84</v>
      </c>
      <c r="E26">
        <v>150</v>
      </c>
      <c r="F26">
        <v>84</v>
      </c>
      <c r="G26">
        <v>150</v>
      </c>
      <c r="H26">
        <v>84</v>
      </c>
      <c r="I26">
        <v>110</v>
      </c>
    </row>
    <row r="27" spans="1:9" x14ac:dyDescent="0.25">
      <c r="A27" t="s">
        <v>295</v>
      </c>
      <c r="B27">
        <v>84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84</v>
      </c>
      <c r="I27">
        <v>100</v>
      </c>
    </row>
    <row r="28" spans="1:9" x14ac:dyDescent="0.25">
      <c r="A28" t="s">
        <v>307</v>
      </c>
      <c r="B28">
        <v>160</v>
      </c>
      <c r="C28">
        <v>168</v>
      </c>
      <c r="D28">
        <v>12</v>
      </c>
      <c r="E28">
        <v>220</v>
      </c>
      <c r="F28">
        <v>12</v>
      </c>
      <c r="G28">
        <v>220</v>
      </c>
      <c r="H28">
        <v>30</v>
      </c>
      <c r="I28">
        <v>204</v>
      </c>
    </row>
    <row r="29" spans="1:9" x14ac:dyDescent="0.25">
      <c r="A29" t="s">
        <v>266</v>
      </c>
      <c r="B29">
        <v>1</v>
      </c>
      <c r="C29">
        <v>42402</v>
      </c>
      <c r="D29">
        <v>1</v>
      </c>
      <c r="E29">
        <v>6479</v>
      </c>
      <c r="F29">
        <v>1</v>
      </c>
      <c r="G29">
        <v>6932</v>
      </c>
      <c r="H29">
        <v>5</v>
      </c>
      <c r="I29">
        <v>6000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M29"/>
  <sheetViews>
    <sheetView workbookViewId="0"/>
  </sheetViews>
  <sheetFormatPr defaultRowHeight="15" x14ac:dyDescent="0.25"/>
  <cols>
    <col min="1" max="1" width="21.28515625" customWidth="1"/>
    <col min="2" max="2" width="11.42578125" customWidth="1"/>
    <col min="3" max="3" width="11.85546875" customWidth="1"/>
    <col min="4" max="4" width="11.42578125" customWidth="1"/>
  </cols>
  <sheetData>
    <row r="1" spans="1:13" x14ac:dyDescent="0.25">
      <c r="A1" s="29" t="s">
        <v>252</v>
      </c>
      <c r="B1" s="29" t="s">
        <v>759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s="29" t="s">
        <v>334</v>
      </c>
      <c r="C2" s="29"/>
      <c r="D2" s="29" t="s">
        <v>335</v>
      </c>
      <c r="E2" s="29"/>
      <c r="F2" s="29" t="s">
        <v>336</v>
      </c>
      <c r="G2" s="29"/>
      <c r="H2" s="29" t="s">
        <v>337</v>
      </c>
      <c r="I2" s="29"/>
      <c r="J2" s="29" t="s">
        <v>338</v>
      </c>
      <c r="K2" s="29"/>
      <c r="L2" s="29" t="s">
        <v>339</v>
      </c>
      <c r="M2" s="29"/>
    </row>
    <row r="3" spans="1:13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5</v>
      </c>
      <c r="C4">
        <v>1670</v>
      </c>
      <c r="D4">
        <v>5</v>
      </c>
      <c r="E4">
        <v>1670</v>
      </c>
      <c r="F4">
        <v>5</v>
      </c>
      <c r="G4">
        <v>1670</v>
      </c>
      <c r="H4">
        <v>5</v>
      </c>
      <c r="I4">
        <v>1670</v>
      </c>
      <c r="J4">
        <v>5</v>
      </c>
      <c r="K4">
        <v>1670</v>
      </c>
      <c r="L4">
        <v>5</v>
      </c>
      <c r="M4">
        <v>1670</v>
      </c>
    </row>
    <row r="5" spans="1:13" x14ac:dyDescent="0.25">
      <c r="A5" t="s">
        <v>284</v>
      </c>
      <c r="B5">
        <v>20</v>
      </c>
      <c r="C5">
        <v>3450</v>
      </c>
      <c r="D5">
        <v>15</v>
      </c>
      <c r="E5">
        <v>3450</v>
      </c>
      <c r="F5">
        <v>15</v>
      </c>
      <c r="G5">
        <v>3450</v>
      </c>
      <c r="H5">
        <v>15</v>
      </c>
      <c r="I5">
        <v>3450</v>
      </c>
      <c r="J5">
        <v>15</v>
      </c>
      <c r="K5">
        <v>3450</v>
      </c>
      <c r="L5">
        <v>15</v>
      </c>
      <c r="M5">
        <v>3450</v>
      </c>
    </row>
    <row r="6" spans="1:13" x14ac:dyDescent="0.25">
      <c r="A6" t="s">
        <v>285</v>
      </c>
      <c r="B6">
        <v>30</v>
      </c>
      <c r="C6">
        <v>530</v>
      </c>
      <c r="D6">
        <v>33</v>
      </c>
      <c r="E6">
        <v>530</v>
      </c>
      <c r="F6">
        <v>36</v>
      </c>
      <c r="G6">
        <v>530</v>
      </c>
      <c r="H6">
        <v>42</v>
      </c>
      <c r="I6">
        <v>530</v>
      </c>
      <c r="J6">
        <v>48</v>
      </c>
      <c r="K6">
        <v>530</v>
      </c>
      <c r="L6">
        <v>60</v>
      </c>
      <c r="M6">
        <v>530</v>
      </c>
    </row>
    <row r="7" spans="1:13" x14ac:dyDescent="0.25">
      <c r="A7" t="s">
        <v>286</v>
      </c>
      <c r="B7">
        <v>27</v>
      </c>
      <c r="C7">
        <v>220</v>
      </c>
      <c r="D7">
        <v>27</v>
      </c>
      <c r="E7">
        <v>220</v>
      </c>
      <c r="F7">
        <v>33</v>
      </c>
      <c r="G7">
        <v>220</v>
      </c>
      <c r="H7">
        <v>35</v>
      </c>
      <c r="I7">
        <v>220</v>
      </c>
      <c r="J7">
        <v>35</v>
      </c>
      <c r="K7">
        <v>231</v>
      </c>
      <c r="L7">
        <v>35</v>
      </c>
      <c r="M7">
        <v>231</v>
      </c>
    </row>
    <row r="8" spans="1:13" x14ac:dyDescent="0.25">
      <c r="A8" t="s">
        <v>287</v>
      </c>
      <c r="B8">
        <v>8</v>
      </c>
      <c r="C8">
        <v>1620</v>
      </c>
      <c r="D8">
        <v>8</v>
      </c>
      <c r="E8">
        <v>1620</v>
      </c>
      <c r="F8">
        <v>8</v>
      </c>
      <c r="G8">
        <v>1620</v>
      </c>
      <c r="H8">
        <v>8</v>
      </c>
      <c r="I8">
        <v>1620</v>
      </c>
      <c r="J8">
        <v>8</v>
      </c>
      <c r="K8">
        <v>1860</v>
      </c>
      <c r="L8">
        <v>8</v>
      </c>
      <c r="M8">
        <v>1900</v>
      </c>
    </row>
    <row r="9" spans="1:13" x14ac:dyDescent="0.25">
      <c r="A9" t="s">
        <v>288</v>
      </c>
      <c r="B9">
        <v>111</v>
      </c>
      <c r="C9">
        <v>309</v>
      </c>
      <c r="D9">
        <v>111</v>
      </c>
      <c r="E9">
        <v>309</v>
      </c>
      <c r="F9">
        <v>111</v>
      </c>
      <c r="G9">
        <v>309</v>
      </c>
      <c r="H9">
        <v>131</v>
      </c>
      <c r="I9">
        <v>409</v>
      </c>
      <c r="J9">
        <v>131</v>
      </c>
      <c r="K9">
        <v>409</v>
      </c>
      <c r="L9">
        <v>146</v>
      </c>
      <c r="M9">
        <v>409</v>
      </c>
    </row>
    <row r="10" spans="1:13" x14ac:dyDescent="0.25">
      <c r="A10" t="s">
        <v>289</v>
      </c>
      <c r="B10">
        <v>75</v>
      </c>
      <c r="C10">
        <v>700</v>
      </c>
      <c r="D10">
        <v>75</v>
      </c>
      <c r="E10">
        <v>700</v>
      </c>
      <c r="F10">
        <v>75</v>
      </c>
      <c r="G10">
        <v>700</v>
      </c>
      <c r="H10">
        <v>90</v>
      </c>
      <c r="I10">
        <v>700</v>
      </c>
      <c r="J10">
        <v>10</v>
      </c>
      <c r="K10">
        <v>700</v>
      </c>
      <c r="L10">
        <v>115</v>
      </c>
      <c r="M10">
        <v>700</v>
      </c>
    </row>
    <row r="11" spans="1:13" x14ac:dyDescent="0.25">
      <c r="A11" t="s">
        <v>290</v>
      </c>
      <c r="B11">
        <v>12</v>
      </c>
      <c r="C11">
        <v>1590</v>
      </c>
      <c r="D11">
        <v>12</v>
      </c>
      <c r="E11">
        <v>1590</v>
      </c>
      <c r="F11">
        <v>12</v>
      </c>
      <c r="G11">
        <v>1590</v>
      </c>
      <c r="H11">
        <v>12</v>
      </c>
      <c r="I11">
        <v>1690</v>
      </c>
      <c r="J11">
        <v>12</v>
      </c>
      <c r="K11">
        <v>1690</v>
      </c>
      <c r="L11">
        <v>12</v>
      </c>
      <c r="M11">
        <v>1790</v>
      </c>
    </row>
    <row r="12" spans="1:13" x14ac:dyDescent="0.25">
      <c r="A12" t="s">
        <v>292</v>
      </c>
      <c r="B12">
        <v>7</v>
      </c>
      <c r="C12">
        <v>174</v>
      </c>
      <c r="D12">
        <v>7</v>
      </c>
      <c r="E12">
        <v>186</v>
      </c>
      <c r="F12">
        <v>7</v>
      </c>
      <c r="G12">
        <v>198</v>
      </c>
      <c r="H12">
        <v>8</v>
      </c>
      <c r="I12">
        <v>210</v>
      </c>
      <c r="J12">
        <v>8</v>
      </c>
      <c r="K12">
        <v>222</v>
      </c>
      <c r="L12">
        <v>8</v>
      </c>
      <c r="M12">
        <v>246</v>
      </c>
    </row>
    <row r="13" spans="1:13" x14ac:dyDescent="0.25">
      <c r="A13" t="s">
        <v>293</v>
      </c>
      <c r="B13">
        <v>35</v>
      </c>
      <c r="C13">
        <v>35</v>
      </c>
      <c r="D13">
        <v>35</v>
      </c>
      <c r="E13">
        <v>35</v>
      </c>
      <c r="F13">
        <v>40</v>
      </c>
      <c r="G13">
        <v>40</v>
      </c>
      <c r="H13">
        <v>40</v>
      </c>
      <c r="I13">
        <v>40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294</v>
      </c>
      <c r="B14">
        <v>280</v>
      </c>
      <c r="C14">
        <v>350</v>
      </c>
      <c r="D14">
        <v>280</v>
      </c>
      <c r="E14">
        <v>350</v>
      </c>
      <c r="F14">
        <v>280</v>
      </c>
      <c r="G14">
        <v>350</v>
      </c>
      <c r="H14">
        <v>280</v>
      </c>
      <c r="I14">
        <v>380</v>
      </c>
      <c r="J14">
        <v>280</v>
      </c>
      <c r="K14">
        <v>380</v>
      </c>
      <c r="L14">
        <v>280</v>
      </c>
      <c r="M14">
        <v>280</v>
      </c>
    </row>
    <row r="15" spans="1:13" x14ac:dyDescent="0.25">
      <c r="A15" t="s">
        <v>297</v>
      </c>
      <c r="B15">
        <v>5</v>
      </c>
      <c r="C15">
        <v>8480</v>
      </c>
      <c r="D15">
        <v>5</v>
      </c>
      <c r="E15">
        <v>8480</v>
      </c>
      <c r="F15">
        <v>5</v>
      </c>
      <c r="G15">
        <v>8480</v>
      </c>
      <c r="H15">
        <v>5</v>
      </c>
      <c r="I15">
        <v>8745</v>
      </c>
      <c r="J15">
        <v>5</v>
      </c>
      <c r="K15">
        <v>9198</v>
      </c>
      <c r="L15">
        <v>5</v>
      </c>
      <c r="M15">
        <v>9651</v>
      </c>
    </row>
    <row r="16" spans="1:13" x14ac:dyDescent="0.25">
      <c r="A16" t="s">
        <v>299</v>
      </c>
      <c r="B16">
        <v>220</v>
      </c>
      <c r="C16">
        <v>220</v>
      </c>
      <c r="D16">
        <v>220</v>
      </c>
      <c r="E16">
        <v>230</v>
      </c>
      <c r="F16">
        <v>220</v>
      </c>
      <c r="G16">
        <v>240</v>
      </c>
      <c r="H16">
        <v>220</v>
      </c>
      <c r="I16">
        <v>250</v>
      </c>
      <c r="J16">
        <v>220</v>
      </c>
      <c r="K16">
        <v>260</v>
      </c>
      <c r="L16">
        <v>220</v>
      </c>
      <c r="M16">
        <v>270</v>
      </c>
    </row>
    <row r="17" spans="1:13" x14ac:dyDescent="0.25">
      <c r="A17" t="s">
        <v>300</v>
      </c>
      <c r="B17">
        <v>125</v>
      </c>
      <c r="C17">
        <v>125</v>
      </c>
      <c r="D17">
        <v>125</v>
      </c>
      <c r="E17">
        <v>125</v>
      </c>
      <c r="F17">
        <v>125</v>
      </c>
      <c r="G17">
        <v>125</v>
      </c>
      <c r="H17">
        <v>125</v>
      </c>
      <c r="I17">
        <v>125</v>
      </c>
      <c r="J17">
        <v>0</v>
      </c>
      <c r="K17">
        <v>0</v>
      </c>
      <c r="L17">
        <v>125</v>
      </c>
      <c r="M17">
        <v>125</v>
      </c>
    </row>
    <row r="18" spans="1:13" x14ac:dyDescent="0.25">
      <c r="A18" t="s">
        <v>301</v>
      </c>
      <c r="B18">
        <v>100</v>
      </c>
      <c r="C18">
        <v>151</v>
      </c>
      <c r="D18">
        <v>100</v>
      </c>
      <c r="E18">
        <v>151</v>
      </c>
      <c r="F18">
        <v>100</v>
      </c>
      <c r="G18">
        <v>151</v>
      </c>
      <c r="H18">
        <v>110</v>
      </c>
      <c r="I18">
        <v>151</v>
      </c>
      <c r="J18">
        <v>110</v>
      </c>
      <c r="K18">
        <v>151</v>
      </c>
      <c r="L18">
        <v>110</v>
      </c>
      <c r="M18">
        <v>151</v>
      </c>
    </row>
    <row r="19" spans="1:13" x14ac:dyDescent="0.25">
      <c r="A19" t="s">
        <v>302</v>
      </c>
      <c r="B19">
        <v>234</v>
      </c>
      <c r="C19">
        <v>556</v>
      </c>
      <c r="D19">
        <v>234</v>
      </c>
      <c r="E19">
        <v>556</v>
      </c>
      <c r="F19">
        <v>240</v>
      </c>
      <c r="G19">
        <v>596</v>
      </c>
      <c r="H19">
        <v>246</v>
      </c>
      <c r="I19">
        <v>596</v>
      </c>
      <c r="J19">
        <v>270</v>
      </c>
      <c r="K19">
        <v>636</v>
      </c>
      <c r="L19">
        <v>270</v>
      </c>
      <c r="M19">
        <v>636</v>
      </c>
    </row>
    <row r="20" spans="1:13" x14ac:dyDescent="0.25">
      <c r="A20" t="s">
        <v>303</v>
      </c>
      <c r="B20">
        <v>10</v>
      </c>
      <c r="C20">
        <v>5380</v>
      </c>
      <c r="D20">
        <v>15</v>
      </c>
      <c r="E20">
        <v>5380</v>
      </c>
      <c r="F20">
        <v>25</v>
      </c>
      <c r="G20">
        <v>5380</v>
      </c>
      <c r="H20">
        <v>20</v>
      </c>
      <c r="I20">
        <v>5380</v>
      </c>
      <c r="J20">
        <v>25</v>
      </c>
      <c r="K20">
        <v>5380</v>
      </c>
      <c r="L20">
        <v>20</v>
      </c>
      <c r="M20">
        <v>5930</v>
      </c>
    </row>
    <row r="21" spans="1:13" x14ac:dyDescent="0.25">
      <c r="A21" t="s">
        <v>298</v>
      </c>
      <c r="B21">
        <v>6</v>
      </c>
      <c r="C21">
        <v>1560</v>
      </c>
      <c r="D21">
        <v>6</v>
      </c>
      <c r="E21">
        <v>1560</v>
      </c>
      <c r="F21">
        <v>6</v>
      </c>
      <c r="G21">
        <v>1560</v>
      </c>
      <c r="H21">
        <v>6</v>
      </c>
      <c r="I21">
        <v>2040</v>
      </c>
      <c r="J21">
        <v>6</v>
      </c>
      <c r="K21">
        <v>2040</v>
      </c>
      <c r="L21">
        <v>6</v>
      </c>
      <c r="M21">
        <v>2040</v>
      </c>
    </row>
    <row r="22" spans="1:13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305</v>
      </c>
      <c r="B23">
        <v>120</v>
      </c>
      <c r="C23">
        <v>220</v>
      </c>
      <c r="D23">
        <v>180</v>
      </c>
      <c r="E23">
        <v>220</v>
      </c>
      <c r="F23">
        <v>192</v>
      </c>
      <c r="G23">
        <v>220</v>
      </c>
      <c r="H23">
        <v>250</v>
      </c>
      <c r="I23">
        <v>250</v>
      </c>
      <c r="J23">
        <v>250</v>
      </c>
      <c r="K23">
        <v>250</v>
      </c>
      <c r="L23">
        <v>250</v>
      </c>
      <c r="M23">
        <v>250</v>
      </c>
    </row>
    <row r="24" spans="1:13" x14ac:dyDescent="0.25">
      <c r="A24" t="s">
        <v>306</v>
      </c>
      <c r="B24">
        <v>102</v>
      </c>
      <c r="C24">
        <v>380</v>
      </c>
      <c r="D24">
        <v>114</v>
      </c>
      <c r="E24">
        <v>380</v>
      </c>
      <c r="F24">
        <v>126</v>
      </c>
      <c r="G24">
        <v>380</v>
      </c>
      <c r="H24">
        <v>138</v>
      </c>
      <c r="I24">
        <v>380</v>
      </c>
      <c r="J24">
        <v>150</v>
      </c>
      <c r="K24">
        <v>380</v>
      </c>
      <c r="L24">
        <v>150</v>
      </c>
      <c r="M24">
        <v>380</v>
      </c>
    </row>
    <row r="25" spans="1:13" x14ac:dyDescent="0.25">
      <c r="A25" t="s">
        <v>291</v>
      </c>
      <c r="B25">
        <v>35</v>
      </c>
      <c r="C25">
        <v>35</v>
      </c>
      <c r="D25">
        <v>42</v>
      </c>
      <c r="E25">
        <v>42</v>
      </c>
      <c r="F25">
        <v>40</v>
      </c>
      <c r="G25">
        <v>40</v>
      </c>
      <c r="H25">
        <v>45</v>
      </c>
      <c r="I25">
        <v>45</v>
      </c>
      <c r="J25">
        <v>45</v>
      </c>
      <c r="K25">
        <v>45</v>
      </c>
      <c r="L25">
        <v>47</v>
      </c>
      <c r="M25">
        <v>47</v>
      </c>
    </row>
    <row r="26" spans="1:13" x14ac:dyDescent="0.25">
      <c r="A26" t="s">
        <v>296</v>
      </c>
      <c r="B26">
        <v>84</v>
      </c>
      <c r="C26">
        <v>140</v>
      </c>
      <c r="D26">
        <v>84</v>
      </c>
      <c r="E26">
        <v>140</v>
      </c>
      <c r="F26">
        <v>84</v>
      </c>
      <c r="G26">
        <v>140</v>
      </c>
      <c r="H26">
        <v>84</v>
      </c>
      <c r="I26">
        <v>164</v>
      </c>
      <c r="J26">
        <v>84</v>
      </c>
      <c r="K26">
        <v>164</v>
      </c>
      <c r="L26">
        <v>114</v>
      </c>
      <c r="M26">
        <v>164</v>
      </c>
    </row>
    <row r="27" spans="1:13" x14ac:dyDescent="0.25">
      <c r="A27" t="s">
        <v>295</v>
      </c>
      <c r="B27">
        <v>84</v>
      </c>
      <c r="C27">
        <v>100</v>
      </c>
      <c r="D27">
        <v>84</v>
      </c>
      <c r="E27">
        <v>100</v>
      </c>
      <c r="F27">
        <v>84</v>
      </c>
      <c r="G27">
        <v>100</v>
      </c>
      <c r="H27">
        <v>84</v>
      </c>
      <c r="I27">
        <v>100</v>
      </c>
      <c r="J27">
        <v>84</v>
      </c>
      <c r="K27">
        <v>100</v>
      </c>
      <c r="L27">
        <v>84</v>
      </c>
      <c r="M27">
        <v>100</v>
      </c>
    </row>
    <row r="28" spans="1:13" x14ac:dyDescent="0.25">
      <c r="A28" t="s">
        <v>307</v>
      </c>
      <c r="B28">
        <v>20</v>
      </c>
      <c r="C28">
        <v>430</v>
      </c>
      <c r="D28">
        <v>20</v>
      </c>
      <c r="E28">
        <v>430</v>
      </c>
      <c r="F28">
        <v>20</v>
      </c>
      <c r="G28">
        <v>430</v>
      </c>
      <c r="H28">
        <v>20</v>
      </c>
      <c r="I28">
        <v>390</v>
      </c>
      <c r="J28">
        <v>20</v>
      </c>
      <c r="K28">
        <v>390</v>
      </c>
      <c r="L28">
        <v>20</v>
      </c>
      <c r="M28">
        <v>390</v>
      </c>
    </row>
    <row r="29" spans="1:13" x14ac:dyDescent="0.25">
      <c r="A29" t="s">
        <v>266</v>
      </c>
      <c r="B29">
        <v>5</v>
      </c>
      <c r="C29">
        <v>8480</v>
      </c>
      <c r="D29">
        <v>5</v>
      </c>
      <c r="E29">
        <v>8480</v>
      </c>
      <c r="F29">
        <v>5</v>
      </c>
      <c r="G29">
        <v>8480</v>
      </c>
      <c r="H29">
        <v>5</v>
      </c>
      <c r="I29">
        <v>8745</v>
      </c>
      <c r="J29">
        <v>5</v>
      </c>
      <c r="K29">
        <v>9198</v>
      </c>
      <c r="L29">
        <v>5</v>
      </c>
      <c r="M29">
        <v>9651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M29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8" max="8" width="11.42578125" customWidth="1"/>
    <col min="9" max="9" width="11.85546875" customWidth="1"/>
    <col min="12" max="12" width="11.42578125" customWidth="1"/>
    <col min="13" max="13" width="11.85546875" customWidth="1"/>
  </cols>
  <sheetData>
    <row r="1" spans="1:13" x14ac:dyDescent="0.25">
      <c r="A1" s="29" t="s">
        <v>252</v>
      </c>
      <c r="B1" s="29" t="s">
        <v>759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s="29" t="s">
        <v>340</v>
      </c>
      <c r="C2" s="29"/>
      <c r="D2" s="29" t="s">
        <v>341</v>
      </c>
      <c r="E2" s="29"/>
      <c r="F2" s="29" t="s">
        <v>342</v>
      </c>
      <c r="G2" s="29"/>
      <c r="H2" s="29" t="s">
        <v>343</v>
      </c>
      <c r="I2" s="29"/>
      <c r="J2" s="29" t="s">
        <v>344</v>
      </c>
      <c r="K2" s="29"/>
      <c r="L2" s="29" t="s">
        <v>345</v>
      </c>
      <c r="M2" s="29"/>
    </row>
    <row r="3" spans="1:13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100</v>
      </c>
      <c r="C4">
        <v>1500</v>
      </c>
      <c r="D4">
        <v>120</v>
      </c>
      <c r="E4">
        <v>955</v>
      </c>
      <c r="F4">
        <v>120</v>
      </c>
      <c r="G4">
        <v>955</v>
      </c>
      <c r="H4">
        <v>300</v>
      </c>
      <c r="I4">
        <v>1014</v>
      </c>
      <c r="J4">
        <v>315</v>
      </c>
      <c r="K4">
        <v>1014</v>
      </c>
      <c r="L4">
        <v>325</v>
      </c>
      <c r="M4">
        <v>1014</v>
      </c>
    </row>
    <row r="5" spans="1:13" x14ac:dyDescent="0.25">
      <c r="A5" t="s">
        <v>284</v>
      </c>
      <c r="B5">
        <v>200</v>
      </c>
      <c r="C5">
        <v>938</v>
      </c>
      <c r="D5">
        <v>200</v>
      </c>
      <c r="E5">
        <v>938</v>
      </c>
      <c r="F5">
        <v>200</v>
      </c>
      <c r="G5">
        <v>938</v>
      </c>
      <c r="H5">
        <v>220</v>
      </c>
      <c r="I5">
        <v>1015</v>
      </c>
      <c r="J5">
        <v>220</v>
      </c>
      <c r="K5">
        <v>1015</v>
      </c>
      <c r="L5">
        <v>220</v>
      </c>
      <c r="M5">
        <v>1015</v>
      </c>
    </row>
    <row r="6" spans="1:13" x14ac:dyDescent="0.25">
      <c r="A6" t="s">
        <v>285</v>
      </c>
      <c r="B6">
        <v>200</v>
      </c>
      <c r="C6">
        <v>550</v>
      </c>
      <c r="D6">
        <v>200</v>
      </c>
      <c r="E6">
        <v>550</v>
      </c>
      <c r="F6">
        <v>200</v>
      </c>
      <c r="G6">
        <v>550</v>
      </c>
      <c r="H6">
        <v>200</v>
      </c>
      <c r="I6">
        <v>600</v>
      </c>
      <c r="J6">
        <v>200</v>
      </c>
      <c r="K6">
        <v>600</v>
      </c>
      <c r="L6">
        <v>200</v>
      </c>
      <c r="M6">
        <v>600</v>
      </c>
    </row>
    <row r="7" spans="1:13" x14ac:dyDescent="0.25">
      <c r="A7" t="s">
        <v>286</v>
      </c>
      <c r="B7">
        <v>45</v>
      </c>
      <c r="C7">
        <v>405</v>
      </c>
      <c r="D7">
        <v>45</v>
      </c>
      <c r="E7">
        <v>405</v>
      </c>
      <c r="F7">
        <v>45</v>
      </c>
      <c r="G7">
        <v>405</v>
      </c>
      <c r="H7">
        <v>385</v>
      </c>
      <c r="I7">
        <v>520</v>
      </c>
      <c r="J7">
        <v>385</v>
      </c>
      <c r="K7">
        <v>520</v>
      </c>
      <c r="L7">
        <v>385</v>
      </c>
      <c r="M7">
        <v>520</v>
      </c>
    </row>
    <row r="8" spans="1:13" x14ac:dyDescent="0.25">
      <c r="A8" t="s">
        <v>287</v>
      </c>
      <c r="B8">
        <v>11</v>
      </c>
      <c r="C8">
        <v>625</v>
      </c>
      <c r="D8">
        <v>11</v>
      </c>
      <c r="E8">
        <v>665</v>
      </c>
      <c r="F8">
        <v>11</v>
      </c>
      <c r="G8">
        <v>705</v>
      </c>
      <c r="H8">
        <v>14</v>
      </c>
      <c r="I8">
        <v>825</v>
      </c>
      <c r="J8">
        <v>150</v>
      </c>
      <c r="K8">
        <v>945</v>
      </c>
      <c r="L8">
        <v>150</v>
      </c>
      <c r="M8">
        <v>1068</v>
      </c>
    </row>
    <row r="9" spans="1:13" x14ac:dyDescent="0.25">
      <c r="A9" t="s">
        <v>288</v>
      </c>
      <c r="B9">
        <v>200</v>
      </c>
      <c r="C9">
        <v>499</v>
      </c>
      <c r="D9">
        <v>200</v>
      </c>
      <c r="E9">
        <v>200</v>
      </c>
      <c r="F9">
        <v>225</v>
      </c>
      <c r="G9">
        <v>499</v>
      </c>
      <c r="H9">
        <v>225</v>
      </c>
      <c r="I9">
        <v>225</v>
      </c>
      <c r="J9">
        <v>225</v>
      </c>
      <c r="K9">
        <v>225</v>
      </c>
      <c r="L9">
        <v>225</v>
      </c>
      <c r="M9">
        <v>225</v>
      </c>
    </row>
    <row r="10" spans="1:13" x14ac:dyDescent="0.25">
      <c r="A10" t="s">
        <v>289</v>
      </c>
      <c r="B10">
        <v>150</v>
      </c>
      <c r="C10">
        <v>390</v>
      </c>
      <c r="D10">
        <v>150</v>
      </c>
      <c r="E10">
        <v>390</v>
      </c>
      <c r="F10">
        <v>150</v>
      </c>
      <c r="G10">
        <v>470</v>
      </c>
      <c r="H10">
        <v>170</v>
      </c>
      <c r="I10">
        <v>470</v>
      </c>
      <c r="J10">
        <v>170</v>
      </c>
      <c r="K10">
        <v>510</v>
      </c>
      <c r="L10">
        <v>170</v>
      </c>
      <c r="M10">
        <v>510</v>
      </c>
    </row>
    <row r="11" spans="1:13" x14ac:dyDescent="0.25">
      <c r="A11" t="s">
        <v>290</v>
      </c>
      <c r="B11">
        <v>100</v>
      </c>
      <c r="C11">
        <v>710</v>
      </c>
      <c r="D11">
        <v>100</v>
      </c>
      <c r="E11">
        <v>710</v>
      </c>
      <c r="F11">
        <v>100</v>
      </c>
      <c r="G11">
        <v>750</v>
      </c>
      <c r="H11">
        <v>195</v>
      </c>
      <c r="I11">
        <v>750</v>
      </c>
      <c r="J11">
        <v>195</v>
      </c>
      <c r="K11">
        <v>750</v>
      </c>
      <c r="L11">
        <v>195</v>
      </c>
      <c r="M11">
        <v>750</v>
      </c>
    </row>
    <row r="12" spans="1:13" x14ac:dyDescent="0.25">
      <c r="A12" t="s">
        <v>292</v>
      </c>
      <c r="B12">
        <v>15</v>
      </c>
      <c r="C12">
        <v>195</v>
      </c>
      <c r="D12">
        <v>15</v>
      </c>
      <c r="E12">
        <v>195</v>
      </c>
      <c r="F12">
        <v>15</v>
      </c>
      <c r="G12">
        <v>195</v>
      </c>
      <c r="H12">
        <v>225</v>
      </c>
      <c r="I12">
        <v>225</v>
      </c>
      <c r="J12">
        <v>225</v>
      </c>
      <c r="K12">
        <v>225</v>
      </c>
      <c r="L12">
        <v>0</v>
      </c>
      <c r="M12">
        <v>0</v>
      </c>
    </row>
    <row r="13" spans="1:13" x14ac:dyDescent="0.25">
      <c r="A13" t="s">
        <v>293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297</v>
      </c>
      <c r="B15">
        <v>17</v>
      </c>
      <c r="C15">
        <v>10104</v>
      </c>
      <c r="D15">
        <v>17</v>
      </c>
      <c r="E15">
        <v>10558</v>
      </c>
      <c r="F15">
        <v>17</v>
      </c>
      <c r="G15">
        <v>11690</v>
      </c>
      <c r="H15">
        <v>17</v>
      </c>
      <c r="I15">
        <v>11690</v>
      </c>
      <c r="J15">
        <v>17</v>
      </c>
      <c r="K15">
        <v>12320</v>
      </c>
      <c r="L15">
        <v>17</v>
      </c>
      <c r="M15">
        <v>12320</v>
      </c>
    </row>
    <row r="16" spans="1:13" x14ac:dyDescent="0.25">
      <c r="A16" t="s">
        <v>299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300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301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302</v>
      </c>
      <c r="B19">
        <v>325</v>
      </c>
      <c r="C19">
        <v>676</v>
      </c>
      <c r="D19">
        <v>325</v>
      </c>
      <c r="E19">
        <v>676</v>
      </c>
      <c r="F19">
        <v>325</v>
      </c>
      <c r="G19">
        <v>716</v>
      </c>
      <c r="H19">
        <v>560</v>
      </c>
      <c r="I19">
        <v>756</v>
      </c>
      <c r="J19">
        <v>560</v>
      </c>
      <c r="K19">
        <v>796</v>
      </c>
      <c r="L19">
        <v>600</v>
      </c>
      <c r="M19">
        <v>836</v>
      </c>
    </row>
    <row r="20" spans="1:13" x14ac:dyDescent="0.25">
      <c r="A20" t="s">
        <v>303</v>
      </c>
      <c r="B20">
        <v>100</v>
      </c>
      <c r="C20">
        <v>8900</v>
      </c>
      <c r="D20">
        <v>100</v>
      </c>
      <c r="E20">
        <v>8900</v>
      </c>
      <c r="F20">
        <v>150</v>
      </c>
      <c r="G20">
        <v>1480</v>
      </c>
      <c r="H20">
        <v>150</v>
      </c>
      <c r="I20">
        <v>760</v>
      </c>
      <c r="J20">
        <v>150</v>
      </c>
      <c r="K20">
        <v>760</v>
      </c>
      <c r="L20">
        <v>150</v>
      </c>
      <c r="M20">
        <v>890</v>
      </c>
    </row>
    <row r="21" spans="1:13" x14ac:dyDescent="0.25">
      <c r="A21" t="s">
        <v>298</v>
      </c>
      <c r="B21">
        <v>58</v>
      </c>
      <c r="C21">
        <v>2640</v>
      </c>
      <c r="D21">
        <v>58</v>
      </c>
      <c r="E21">
        <v>2640</v>
      </c>
      <c r="F21">
        <v>58</v>
      </c>
      <c r="G21">
        <v>2640</v>
      </c>
      <c r="H21">
        <v>58</v>
      </c>
      <c r="I21">
        <v>3840</v>
      </c>
      <c r="J21">
        <v>58</v>
      </c>
      <c r="K21">
        <v>3840</v>
      </c>
      <c r="L21">
        <v>58</v>
      </c>
      <c r="M21">
        <v>3840</v>
      </c>
    </row>
    <row r="22" spans="1:13" x14ac:dyDescent="0.25">
      <c r="A22" t="s">
        <v>304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305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306</v>
      </c>
      <c r="B24">
        <v>100</v>
      </c>
      <c r="C24">
        <v>400</v>
      </c>
      <c r="D24">
        <v>100</v>
      </c>
      <c r="E24">
        <v>400</v>
      </c>
      <c r="F24">
        <v>100</v>
      </c>
      <c r="G24">
        <v>430</v>
      </c>
      <c r="H24">
        <v>150</v>
      </c>
      <c r="I24">
        <v>430</v>
      </c>
      <c r="J24">
        <v>150</v>
      </c>
      <c r="K24">
        <v>460</v>
      </c>
      <c r="L24">
        <v>150</v>
      </c>
      <c r="M24">
        <v>460</v>
      </c>
    </row>
    <row r="25" spans="1:13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295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307</v>
      </c>
      <c r="B28">
        <v>25</v>
      </c>
      <c r="C28">
        <v>642</v>
      </c>
      <c r="D28">
        <v>25</v>
      </c>
      <c r="E28">
        <v>25</v>
      </c>
      <c r="F28">
        <v>25</v>
      </c>
      <c r="G28">
        <v>25</v>
      </c>
      <c r="H28">
        <v>25</v>
      </c>
      <c r="I28">
        <v>25</v>
      </c>
      <c r="J28">
        <v>25</v>
      </c>
      <c r="K28">
        <v>25</v>
      </c>
      <c r="L28">
        <v>25</v>
      </c>
      <c r="M28">
        <v>25</v>
      </c>
    </row>
    <row r="29" spans="1:13" x14ac:dyDescent="0.25">
      <c r="A29" t="s">
        <v>266</v>
      </c>
      <c r="B29">
        <v>11</v>
      </c>
      <c r="C29">
        <v>10104</v>
      </c>
      <c r="D29">
        <v>11</v>
      </c>
      <c r="E29">
        <v>10558</v>
      </c>
      <c r="F29">
        <v>11</v>
      </c>
      <c r="G29">
        <v>11690</v>
      </c>
      <c r="H29">
        <v>14</v>
      </c>
      <c r="I29">
        <v>11690</v>
      </c>
      <c r="J29">
        <v>17</v>
      </c>
      <c r="K29">
        <v>12320</v>
      </c>
      <c r="L29">
        <v>17</v>
      </c>
      <c r="M29">
        <v>12320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7030A0"/>
  </sheetPr>
  <dimension ref="A1:Y31"/>
  <sheetViews>
    <sheetView workbookViewId="0"/>
  </sheetViews>
  <sheetFormatPr defaultRowHeight="15" x14ac:dyDescent="0.25"/>
  <cols>
    <col min="1" max="1" width="18" customWidth="1"/>
    <col min="2" max="2" width="6" customWidth="1"/>
    <col min="4" max="4" width="6.140625" customWidth="1"/>
    <col min="5" max="5" width="6" customWidth="1"/>
    <col min="9" max="9" width="6.140625" customWidth="1"/>
    <col min="10" max="10" width="6" customWidth="1"/>
    <col min="14" max="14" width="6.140625" customWidth="1"/>
    <col min="15" max="15" width="6" customWidth="1"/>
    <col min="19" max="19" width="6.140625" customWidth="1"/>
    <col min="20" max="20" width="6" customWidth="1"/>
    <col min="24" max="24" width="6.140625" customWidth="1"/>
    <col min="25" max="25" width="6" customWidth="1"/>
  </cols>
  <sheetData>
    <row r="1" spans="1:25" x14ac:dyDescent="0.25">
      <c r="A1" s="29" t="s">
        <v>252</v>
      </c>
      <c r="B1" s="29" t="s">
        <v>762</v>
      </c>
      <c r="C1" s="29"/>
      <c r="D1" s="29"/>
      <c r="E1" s="29" t="s">
        <v>763</v>
      </c>
      <c r="F1" s="29"/>
      <c r="G1" s="29"/>
      <c r="H1" s="29" t="s">
        <v>764</v>
      </c>
      <c r="I1" s="29"/>
      <c r="J1" s="29"/>
      <c r="K1" s="29"/>
      <c r="L1" s="29"/>
      <c r="M1" s="29"/>
      <c r="N1" s="29"/>
      <c r="O1" s="29"/>
      <c r="P1" s="29"/>
      <c r="Q1" s="29" t="s">
        <v>765</v>
      </c>
      <c r="R1" s="29"/>
      <c r="S1" s="29"/>
      <c r="T1" s="29"/>
      <c r="U1" s="29"/>
      <c r="V1" s="29"/>
      <c r="W1" s="29"/>
      <c r="X1" s="29"/>
      <c r="Y1" s="29"/>
    </row>
    <row r="2" spans="1:25" x14ac:dyDescent="0.25">
      <c r="A2" s="29"/>
      <c r="B2" s="29"/>
      <c r="C2" s="29"/>
      <c r="D2" s="29"/>
      <c r="E2" s="29"/>
      <c r="F2" s="29"/>
      <c r="G2" s="29"/>
      <c r="H2" s="29" t="s">
        <v>263</v>
      </c>
      <c r="I2" s="29"/>
      <c r="J2" s="29"/>
      <c r="K2" s="29" t="s">
        <v>264</v>
      </c>
      <c r="L2" s="29"/>
      <c r="M2" s="29"/>
      <c r="N2" s="29" t="s">
        <v>618</v>
      </c>
      <c r="O2" s="29"/>
      <c r="P2" s="29"/>
      <c r="Q2" s="29" t="s">
        <v>263</v>
      </c>
      <c r="R2" s="29"/>
      <c r="S2" s="29"/>
      <c r="T2" s="29" t="s">
        <v>264</v>
      </c>
      <c r="U2" s="29"/>
      <c r="V2" s="29"/>
      <c r="W2" s="29" t="s">
        <v>618</v>
      </c>
      <c r="X2" s="29"/>
      <c r="Y2" s="29"/>
    </row>
    <row r="3" spans="1:25" x14ac:dyDescent="0.25">
      <c r="A3" s="29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652</v>
      </c>
      <c r="I3" t="s">
        <v>347</v>
      </c>
      <c r="J3" t="s">
        <v>348</v>
      </c>
      <c r="K3" t="s">
        <v>652</v>
      </c>
      <c r="L3" t="s">
        <v>347</v>
      </c>
      <c r="M3" t="s">
        <v>348</v>
      </c>
      <c r="N3" t="s">
        <v>652</v>
      </c>
      <c r="O3" t="s">
        <v>347</v>
      </c>
      <c r="P3" t="s">
        <v>348</v>
      </c>
      <c r="Q3" t="s">
        <v>652</v>
      </c>
      <c r="R3" t="s">
        <v>347</v>
      </c>
      <c r="S3" t="s">
        <v>348</v>
      </c>
      <c r="T3" t="s">
        <v>652</v>
      </c>
      <c r="U3" t="s">
        <v>347</v>
      </c>
      <c r="V3" t="s">
        <v>348</v>
      </c>
      <c r="W3" t="s">
        <v>652</v>
      </c>
      <c r="X3" t="s">
        <v>347</v>
      </c>
      <c r="Y3" t="s">
        <v>348</v>
      </c>
    </row>
    <row r="4" spans="1:25" x14ac:dyDescent="0.25">
      <c r="A4" t="s">
        <v>283</v>
      </c>
      <c r="B4">
        <v>19.2</v>
      </c>
      <c r="C4">
        <v>18.399999999999999</v>
      </c>
      <c r="D4">
        <v>20.100000000000001</v>
      </c>
      <c r="E4">
        <v>12.1</v>
      </c>
      <c r="F4">
        <v>11.9</v>
      </c>
      <c r="G4">
        <v>12.2</v>
      </c>
      <c r="H4">
        <v>14.1</v>
      </c>
      <c r="I4">
        <v>5.0999999999999996</v>
      </c>
      <c r="J4">
        <v>2.1</v>
      </c>
      <c r="K4">
        <v>13.9</v>
      </c>
      <c r="L4">
        <v>5.0999999999999996</v>
      </c>
      <c r="M4">
        <v>2.2000000000000002</v>
      </c>
      <c r="N4">
        <v>14.2</v>
      </c>
      <c r="O4">
        <v>5</v>
      </c>
      <c r="P4">
        <v>2</v>
      </c>
      <c r="Q4">
        <v>12.6</v>
      </c>
      <c r="R4">
        <v>4.0999999999999996</v>
      </c>
      <c r="S4">
        <v>1.8</v>
      </c>
      <c r="T4">
        <v>12.5</v>
      </c>
      <c r="U4">
        <v>4.3</v>
      </c>
      <c r="V4">
        <v>2</v>
      </c>
      <c r="W4">
        <v>12.7</v>
      </c>
      <c r="X4">
        <v>4</v>
      </c>
      <c r="Y4">
        <v>1.6</v>
      </c>
    </row>
    <row r="5" spans="1:25" x14ac:dyDescent="0.25">
      <c r="A5" t="s">
        <v>284</v>
      </c>
      <c r="B5">
        <v>4.2</v>
      </c>
      <c r="C5">
        <v>4.2</v>
      </c>
      <c r="D5">
        <v>4.3</v>
      </c>
      <c r="E5">
        <v>2.4</v>
      </c>
      <c r="F5">
        <v>2.4</v>
      </c>
      <c r="G5">
        <v>2.2999999999999998</v>
      </c>
      <c r="H5">
        <v>2.8</v>
      </c>
      <c r="I5">
        <v>1.9</v>
      </c>
      <c r="J5">
        <v>1.6</v>
      </c>
      <c r="K5">
        <v>2.9</v>
      </c>
      <c r="L5">
        <v>1.9</v>
      </c>
      <c r="M5">
        <v>1.7</v>
      </c>
      <c r="N5">
        <v>2.8</v>
      </c>
      <c r="O5">
        <v>1.8</v>
      </c>
      <c r="P5">
        <v>1.4</v>
      </c>
      <c r="Q5">
        <v>2.4</v>
      </c>
      <c r="R5">
        <v>1.5</v>
      </c>
      <c r="S5">
        <v>1.3</v>
      </c>
      <c r="T5">
        <v>2.5</v>
      </c>
      <c r="U5">
        <v>1.6</v>
      </c>
      <c r="V5">
        <v>1.5</v>
      </c>
      <c r="W5">
        <v>2.4</v>
      </c>
      <c r="X5">
        <v>1.5</v>
      </c>
      <c r="Y5">
        <v>1.1000000000000001</v>
      </c>
    </row>
    <row r="6" spans="1:25" x14ac:dyDescent="0.25">
      <c r="A6" t="s">
        <v>285</v>
      </c>
      <c r="B6">
        <v>2.7</v>
      </c>
      <c r="C6">
        <v>2.9</v>
      </c>
      <c r="D6">
        <v>2.5</v>
      </c>
      <c r="E6">
        <v>1.3</v>
      </c>
      <c r="F6">
        <v>1.3</v>
      </c>
      <c r="G6">
        <v>1.3</v>
      </c>
      <c r="H6">
        <v>2.1</v>
      </c>
      <c r="I6">
        <v>0.6</v>
      </c>
      <c r="J6">
        <v>0.3</v>
      </c>
      <c r="K6">
        <v>2.1</v>
      </c>
      <c r="L6">
        <v>0.6</v>
      </c>
      <c r="M6">
        <v>0.3</v>
      </c>
      <c r="N6">
        <v>2.1</v>
      </c>
      <c r="O6">
        <v>0.6</v>
      </c>
      <c r="P6">
        <v>0.3</v>
      </c>
      <c r="Q6">
        <v>1.5</v>
      </c>
      <c r="R6">
        <v>0.5</v>
      </c>
      <c r="S6">
        <v>0.3</v>
      </c>
      <c r="T6">
        <v>1.5</v>
      </c>
      <c r="U6">
        <v>0.5</v>
      </c>
      <c r="V6">
        <v>0.3</v>
      </c>
      <c r="W6">
        <v>1.6</v>
      </c>
      <c r="X6">
        <v>0.5</v>
      </c>
      <c r="Y6">
        <v>0.3</v>
      </c>
    </row>
    <row r="7" spans="1:25" x14ac:dyDescent="0.25">
      <c r="A7" t="s">
        <v>286</v>
      </c>
      <c r="B7">
        <v>4.3</v>
      </c>
      <c r="C7">
        <v>4.5999999999999996</v>
      </c>
      <c r="D7">
        <v>4</v>
      </c>
      <c r="E7">
        <v>4</v>
      </c>
      <c r="F7">
        <v>4.3</v>
      </c>
      <c r="G7">
        <v>3.7</v>
      </c>
      <c r="H7">
        <v>2.6</v>
      </c>
      <c r="I7">
        <v>1.5</v>
      </c>
      <c r="J7">
        <v>1.1000000000000001</v>
      </c>
      <c r="K7">
        <v>2.6</v>
      </c>
      <c r="L7">
        <v>1.2</v>
      </c>
      <c r="M7">
        <v>0.9</v>
      </c>
      <c r="N7">
        <v>2.7</v>
      </c>
      <c r="O7">
        <v>1.8</v>
      </c>
      <c r="P7">
        <v>1.3</v>
      </c>
      <c r="Q7">
        <v>2.5</v>
      </c>
      <c r="R7">
        <v>1.1000000000000001</v>
      </c>
      <c r="S7">
        <v>0.9</v>
      </c>
      <c r="T7">
        <v>2.5</v>
      </c>
      <c r="U7">
        <v>0.9</v>
      </c>
      <c r="V7">
        <v>0.8</v>
      </c>
      <c r="W7">
        <v>2.6</v>
      </c>
      <c r="X7">
        <v>1.3</v>
      </c>
      <c r="Y7">
        <v>1</v>
      </c>
    </row>
    <row r="8" spans="1:25" x14ac:dyDescent="0.25">
      <c r="A8" t="s">
        <v>287</v>
      </c>
      <c r="B8">
        <v>6.2</v>
      </c>
      <c r="C8">
        <v>6.4</v>
      </c>
      <c r="D8">
        <v>6</v>
      </c>
      <c r="E8">
        <v>3.9</v>
      </c>
      <c r="F8">
        <v>3.9</v>
      </c>
      <c r="G8">
        <v>3.8</v>
      </c>
      <c r="H8">
        <v>3.9</v>
      </c>
      <c r="I8">
        <v>1.2</v>
      </c>
      <c r="J8">
        <v>0.3</v>
      </c>
      <c r="K8">
        <v>4.0999999999999996</v>
      </c>
      <c r="L8">
        <v>1.2</v>
      </c>
      <c r="M8">
        <v>0.4</v>
      </c>
      <c r="N8">
        <v>3.7</v>
      </c>
      <c r="O8">
        <v>1.2</v>
      </c>
      <c r="P8">
        <v>0.3</v>
      </c>
      <c r="Q8">
        <v>3.1</v>
      </c>
      <c r="R8">
        <v>0.9</v>
      </c>
      <c r="S8">
        <v>0.3</v>
      </c>
      <c r="T8">
        <v>3.2</v>
      </c>
      <c r="U8">
        <v>0.9</v>
      </c>
      <c r="V8">
        <v>0.3</v>
      </c>
      <c r="W8">
        <v>3</v>
      </c>
      <c r="X8">
        <v>0.8</v>
      </c>
      <c r="Y8">
        <v>0.3</v>
      </c>
    </row>
    <row r="9" spans="1:25" x14ac:dyDescent="0.25">
      <c r="A9" t="s">
        <v>288</v>
      </c>
      <c r="B9">
        <v>1.6</v>
      </c>
      <c r="C9">
        <v>1.3</v>
      </c>
      <c r="D9">
        <v>1.8</v>
      </c>
      <c r="E9">
        <v>0.8</v>
      </c>
      <c r="F9">
        <v>0.5</v>
      </c>
      <c r="G9">
        <v>1.1000000000000001</v>
      </c>
      <c r="H9">
        <v>1.1000000000000001</v>
      </c>
      <c r="I9">
        <v>0.4</v>
      </c>
      <c r="J9">
        <v>0.2</v>
      </c>
      <c r="K9">
        <v>1</v>
      </c>
      <c r="L9">
        <v>0.3</v>
      </c>
      <c r="M9">
        <v>0.2</v>
      </c>
      <c r="N9">
        <v>1.2</v>
      </c>
      <c r="O9">
        <v>0.4</v>
      </c>
      <c r="P9">
        <v>0.2</v>
      </c>
      <c r="Q9">
        <v>0.9</v>
      </c>
      <c r="R9">
        <v>0.2</v>
      </c>
      <c r="S9">
        <v>0.1</v>
      </c>
      <c r="T9">
        <v>0.8</v>
      </c>
      <c r="U9">
        <v>0.2</v>
      </c>
      <c r="V9">
        <v>0.1</v>
      </c>
      <c r="W9">
        <v>1</v>
      </c>
      <c r="X9">
        <v>0.2</v>
      </c>
      <c r="Y9">
        <v>0.1</v>
      </c>
    </row>
    <row r="10" spans="1:25" x14ac:dyDescent="0.25">
      <c r="A10" t="s">
        <v>289</v>
      </c>
      <c r="B10">
        <v>15.9</v>
      </c>
      <c r="C10">
        <v>17</v>
      </c>
      <c r="D10">
        <v>14.8</v>
      </c>
      <c r="E10">
        <v>3.7</v>
      </c>
      <c r="F10">
        <v>3.5</v>
      </c>
      <c r="G10">
        <v>3.9</v>
      </c>
      <c r="H10">
        <v>7.4</v>
      </c>
      <c r="I10">
        <v>2.8</v>
      </c>
      <c r="J10">
        <v>2.1</v>
      </c>
      <c r="K10">
        <v>8.1</v>
      </c>
      <c r="L10">
        <v>3.1</v>
      </c>
      <c r="M10">
        <v>2.2000000000000002</v>
      </c>
      <c r="N10">
        <v>6.8</v>
      </c>
      <c r="O10">
        <v>2.4</v>
      </c>
      <c r="P10">
        <v>2</v>
      </c>
      <c r="Q10">
        <v>4.4000000000000004</v>
      </c>
      <c r="R10">
        <v>2</v>
      </c>
      <c r="S10">
        <v>1.8</v>
      </c>
      <c r="T10">
        <v>4.5999999999999996</v>
      </c>
      <c r="U10">
        <v>2.2999999999999998</v>
      </c>
      <c r="V10">
        <v>1.9</v>
      </c>
      <c r="W10">
        <v>4.2</v>
      </c>
      <c r="X10">
        <v>1.8</v>
      </c>
      <c r="Y10">
        <v>1.7</v>
      </c>
    </row>
    <row r="11" spans="1:25" x14ac:dyDescent="0.25">
      <c r="A11" t="s">
        <v>290</v>
      </c>
      <c r="B11">
        <v>6.6</v>
      </c>
      <c r="C11">
        <v>7.1</v>
      </c>
      <c r="D11">
        <v>6.1</v>
      </c>
      <c r="E11">
        <v>2.9</v>
      </c>
      <c r="F11">
        <v>2.7</v>
      </c>
      <c r="G11">
        <v>3.1</v>
      </c>
      <c r="H11">
        <v>4.0999999999999996</v>
      </c>
      <c r="I11">
        <v>2.2999999999999998</v>
      </c>
      <c r="J11">
        <v>1.2</v>
      </c>
      <c r="K11">
        <v>4.2</v>
      </c>
      <c r="L11">
        <v>1.9</v>
      </c>
      <c r="M11">
        <v>1.2</v>
      </c>
      <c r="N11">
        <v>3.9</v>
      </c>
      <c r="O11">
        <v>2.6</v>
      </c>
      <c r="P11">
        <v>1.2</v>
      </c>
      <c r="Q11">
        <v>3.2</v>
      </c>
      <c r="R11">
        <v>1.9</v>
      </c>
      <c r="S11">
        <v>1</v>
      </c>
      <c r="T11">
        <v>3.3</v>
      </c>
      <c r="U11">
        <v>1.6</v>
      </c>
      <c r="V11">
        <v>1.1000000000000001</v>
      </c>
      <c r="W11">
        <v>3.2</v>
      </c>
      <c r="X11">
        <v>2.1</v>
      </c>
      <c r="Y11">
        <v>1</v>
      </c>
    </row>
    <row r="12" spans="1:25" x14ac:dyDescent="0.25">
      <c r="A12" t="s">
        <v>291</v>
      </c>
      <c r="B12">
        <v>27.3</v>
      </c>
      <c r="C12">
        <v>28.3</v>
      </c>
      <c r="D12">
        <v>26.4</v>
      </c>
      <c r="E12">
        <v>0</v>
      </c>
      <c r="F12">
        <v>0</v>
      </c>
      <c r="G12">
        <v>0</v>
      </c>
      <c r="H12">
        <v>10.199999999999999</v>
      </c>
      <c r="I12">
        <v>0</v>
      </c>
      <c r="J12">
        <v>0</v>
      </c>
      <c r="K12">
        <v>11.6</v>
      </c>
      <c r="L12">
        <v>0</v>
      </c>
      <c r="M12">
        <v>0</v>
      </c>
      <c r="N12">
        <v>9</v>
      </c>
      <c r="O12">
        <v>0</v>
      </c>
      <c r="P12">
        <v>0</v>
      </c>
      <c r="Q12">
        <v>1.7</v>
      </c>
      <c r="R12">
        <v>0</v>
      </c>
      <c r="S12">
        <v>0</v>
      </c>
      <c r="T12">
        <v>1.8</v>
      </c>
      <c r="U12">
        <v>0</v>
      </c>
      <c r="V12">
        <v>0</v>
      </c>
      <c r="W12">
        <v>1.6</v>
      </c>
      <c r="X12">
        <v>0</v>
      </c>
      <c r="Y12">
        <v>0</v>
      </c>
    </row>
    <row r="13" spans="1:25" x14ac:dyDescent="0.25">
      <c r="A13" t="s">
        <v>292</v>
      </c>
      <c r="B13">
        <v>21.9</v>
      </c>
      <c r="C13">
        <v>22.9</v>
      </c>
      <c r="D13">
        <v>20.9</v>
      </c>
      <c r="E13">
        <v>8.6999999999999993</v>
      </c>
      <c r="F13">
        <v>9.6999999999999993</v>
      </c>
      <c r="G13">
        <v>7.8</v>
      </c>
      <c r="H13">
        <v>12.5</v>
      </c>
      <c r="I13">
        <v>2.9</v>
      </c>
      <c r="J13">
        <v>0.1</v>
      </c>
      <c r="K13">
        <v>13.4</v>
      </c>
      <c r="L13">
        <v>2.6</v>
      </c>
      <c r="M13">
        <v>0.1</v>
      </c>
      <c r="N13">
        <v>11.7</v>
      </c>
      <c r="O13">
        <v>3.1</v>
      </c>
      <c r="P13">
        <v>0.2</v>
      </c>
      <c r="Q13">
        <v>9.6999999999999993</v>
      </c>
      <c r="R13">
        <v>2.4</v>
      </c>
      <c r="S13">
        <v>0.1</v>
      </c>
      <c r="T13">
        <v>10.3</v>
      </c>
      <c r="U13">
        <v>2.2999999999999998</v>
      </c>
      <c r="V13">
        <v>0.1</v>
      </c>
      <c r="W13">
        <v>9.1</v>
      </c>
      <c r="X13">
        <v>2.6</v>
      </c>
      <c r="Y13">
        <v>0.2</v>
      </c>
    </row>
    <row r="14" spans="1:25" x14ac:dyDescent="0.25">
      <c r="A14" t="s">
        <v>293</v>
      </c>
      <c r="B14">
        <v>8.4</v>
      </c>
      <c r="C14">
        <v>10.3</v>
      </c>
      <c r="D14">
        <v>6.5</v>
      </c>
      <c r="E14">
        <v>0.4</v>
      </c>
      <c r="F14">
        <v>0.3</v>
      </c>
      <c r="G14">
        <v>0.5</v>
      </c>
      <c r="H14">
        <v>2.4</v>
      </c>
      <c r="I14">
        <v>0</v>
      </c>
      <c r="J14">
        <v>0</v>
      </c>
      <c r="K14">
        <v>2.9</v>
      </c>
      <c r="L14">
        <v>0</v>
      </c>
      <c r="M14">
        <v>0</v>
      </c>
      <c r="N14">
        <v>1.9</v>
      </c>
      <c r="O14">
        <v>0</v>
      </c>
      <c r="P14">
        <v>0</v>
      </c>
      <c r="Q14">
        <v>0.5</v>
      </c>
      <c r="R14">
        <v>0</v>
      </c>
      <c r="S14">
        <v>0</v>
      </c>
      <c r="T14">
        <v>0.5</v>
      </c>
      <c r="U14">
        <v>0</v>
      </c>
      <c r="V14">
        <v>0</v>
      </c>
      <c r="W14">
        <v>0.5</v>
      </c>
      <c r="X14">
        <v>0</v>
      </c>
      <c r="Y14">
        <v>0</v>
      </c>
    </row>
    <row r="15" spans="1:25" x14ac:dyDescent="0.25">
      <c r="A15" t="s">
        <v>294</v>
      </c>
      <c r="B15">
        <v>3</v>
      </c>
      <c r="C15">
        <v>1.8</v>
      </c>
      <c r="D15">
        <v>4.2</v>
      </c>
      <c r="E15">
        <v>1.6</v>
      </c>
      <c r="F15">
        <v>1.2</v>
      </c>
      <c r="G15">
        <v>1.9</v>
      </c>
      <c r="H15">
        <v>1.6</v>
      </c>
      <c r="I15">
        <v>0</v>
      </c>
      <c r="J15">
        <v>0</v>
      </c>
      <c r="K15">
        <v>1.2</v>
      </c>
      <c r="L15">
        <v>0</v>
      </c>
      <c r="M15">
        <v>0</v>
      </c>
      <c r="N15">
        <v>1.9</v>
      </c>
      <c r="O15">
        <v>0</v>
      </c>
      <c r="P15">
        <v>0</v>
      </c>
      <c r="Q15">
        <v>1.3</v>
      </c>
      <c r="R15">
        <v>0</v>
      </c>
      <c r="S15">
        <v>0</v>
      </c>
      <c r="T15">
        <v>1.1000000000000001</v>
      </c>
      <c r="U15">
        <v>0</v>
      </c>
      <c r="V15">
        <v>0</v>
      </c>
      <c r="W15">
        <v>1.5</v>
      </c>
      <c r="X15">
        <v>0</v>
      </c>
      <c r="Y15">
        <v>0</v>
      </c>
    </row>
    <row r="16" spans="1:25" x14ac:dyDescent="0.25">
      <c r="A16" t="s">
        <v>295</v>
      </c>
      <c r="B16">
        <v>5.0999999999999996</v>
      </c>
      <c r="C16">
        <v>4.3</v>
      </c>
      <c r="D16">
        <v>5.8</v>
      </c>
      <c r="E16">
        <v>3.9</v>
      </c>
      <c r="F16">
        <v>3.5</v>
      </c>
      <c r="G16">
        <v>4.3</v>
      </c>
      <c r="H16">
        <v>3.1</v>
      </c>
      <c r="I16">
        <v>0</v>
      </c>
      <c r="J16">
        <v>0</v>
      </c>
      <c r="K16">
        <v>3</v>
      </c>
      <c r="L16">
        <v>0</v>
      </c>
      <c r="M16">
        <v>0</v>
      </c>
      <c r="N16">
        <v>3.3</v>
      </c>
      <c r="O16">
        <v>0</v>
      </c>
      <c r="P16">
        <v>0</v>
      </c>
      <c r="Q16">
        <v>3</v>
      </c>
      <c r="R16">
        <v>0</v>
      </c>
      <c r="S16">
        <v>0</v>
      </c>
      <c r="T16">
        <v>2.9</v>
      </c>
      <c r="U16">
        <v>0</v>
      </c>
      <c r="V16">
        <v>0</v>
      </c>
      <c r="W16">
        <v>3.1</v>
      </c>
      <c r="X16">
        <v>0</v>
      </c>
      <c r="Y16">
        <v>0</v>
      </c>
    </row>
    <row r="17" spans="1:25" x14ac:dyDescent="0.25">
      <c r="A17" t="s">
        <v>296</v>
      </c>
      <c r="B17">
        <v>18.3</v>
      </c>
      <c r="C17">
        <v>17.5</v>
      </c>
      <c r="D17">
        <v>19</v>
      </c>
      <c r="E17">
        <v>13.2</v>
      </c>
      <c r="F17">
        <v>14.1</v>
      </c>
      <c r="G17">
        <v>12.4</v>
      </c>
      <c r="H17">
        <v>11.2</v>
      </c>
      <c r="I17">
        <v>0</v>
      </c>
      <c r="J17">
        <v>0</v>
      </c>
      <c r="K17">
        <v>11.7</v>
      </c>
      <c r="L17">
        <v>0</v>
      </c>
      <c r="M17">
        <v>0</v>
      </c>
      <c r="N17">
        <v>10.8</v>
      </c>
      <c r="O17">
        <v>0</v>
      </c>
      <c r="P17">
        <v>0</v>
      </c>
      <c r="Q17">
        <v>10.4</v>
      </c>
      <c r="R17">
        <v>0</v>
      </c>
      <c r="S17">
        <v>0</v>
      </c>
      <c r="T17">
        <v>10.9</v>
      </c>
      <c r="U17">
        <v>0</v>
      </c>
      <c r="V17">
        <v>0</v>
      </c>
      <c r="W17">
        <v>9.8000000000000007</v>
      </c>
      <c r="X17">
        <v>0</v>
      </c>
      <c r="Y17">
        <v>0</v>
      </c>
    </row>
    <row r="18" spans="1:25" x14ac:dyDescent="0.25">
      <c r="A18" t="s">
        <v>297</v>
      </c>
      <c r="B18">
        <v>46.6</v>
      </c>
      <c r="C18">
        <v>48.5</v>
      </c>
      <c r="D18">
        <v>44.9</v>
      </c>
      <c r="E18">
        <v>35.1</v>
      </c>
      <c r="F18">
        <v>36.4</v>
      </c>
      <c r="G18">
        <v>33.9</v>
      </c>
      <c r="H18">
        <v>37.700000000000003</v>
      </c>
      <c r="I18">
        <v>15.4</v>
      </c>
      <c r="J18">
        <v>8.9</v>
      </c>
      <c r="K18">
        <v>39.700000000000003</v>
      </c>
      <c r="L18">
        <v>15.8</v>
      </c>
      <c r="M18">
        <v>8.5</v>
      </c>
      <c r="N18">
        <v>35.9</v>
      </c>
      <c r="O18">
        <v>15.1</v>
      </c>
      <c r="P18">
        <v>9.4</v>
      </c>
      <c r="Q18">
        <v>34.700000000000003</v>
      </c>
      <c r="R18">
        <v>13.6</v>
      </c>
      <c r="S18">
        <v>7.9</v>
      </c>
      <c r="T18">
        <v>36.799999999999997</v>
      </c>
      <c r="U18">
        <v>14</v>
      </c>
      <c r="V18">
        <v>7.6</v>
      </c>
      <c r="W18">
        <v>32.9</v>
      </c>
      <c r="X18">
        <v>13.2</v>
      </c>
      <c r="Y18">
        <v>8.1999999999999993</v>
      </c>
    </row>
    <row r="19" spans="1:25" x14ac:dyDescent="0.25">
      <c r="A19" t="s">
        <v>298</v>
      </c>
      <c r="B19">
        <v>18.5</v>
      </c>
      <c r="C19">
        <v>18.8</v>
      </c>
      <c r="D19">
        <v>18.2</v>
      </c>
      <c r="E19">
        <v>8.4</v>
      </c>
      <c r="F19">
        <v>8.5</v>
      </c>
      <c r="G19">
        <v>8.3000000000000007</v>
      </c>
      <c r="H19">
        <v>13.4</v>
      </c>
      <c r="I19">
        <v>7.1</v>
      </c>
      <c r="J19">
        <v>4</v>
      </c>
      <c r="K19">
        <v>13.3</v>
      </c>
      <c r="L19">
        <v>7</v>
      </c>
      <c r="M19">
        <v>3.7</v>
      </c>
      <c r="N19">
        <v>13.4</v>
      </c>
      <c r="O19">
        <v>7.1</v>
      </c>
      <c r="P19">
        <v>4.2</v>
      </c>
      <c r="Q19">
        <v>11.2</v>
      </c>
      <c r="R19">
        <v>5.9</v>
      </c>
      <c r="S19">
        <v>3.3</v>
      </c>
      <c r="T19">
        <v>11.2</v>
      </c>
      <c r="U19">
        <v>6</v>
      </c>
      <c r="V19">
        <v>3.2</v>
      </c>
      <c r="W19">
        <v>11.3</v>
      </c>
      <c r="X19">
        <v>5.8</v>
      </c>
      <c r="Y19">
        <v>3.5</v>
      </c>
    </row>
    <row r="20" spans="1:25" x14ac:dyDescent="0.25">
      <c r="A20" t="s">
        <v>299</v>
      </c>
      <c r="B20">
        <v>1.3</v>
      </c>
      <c r="C20">
        <v>1</v>
      </c>
      <c r="D20">
        <v>1.6</v>
      </c>
      <c r="E20">
        <v>0.9</v>
      </c>
      <c r="F20">
        <v>0.5</v>
      </c>
      <c r="G20">
        <v>1.2</v>
      </c>
      <c r="H20">
        <v>0.6</v>
      </c>
      <c r="I20">
        <v>0</v>
      </c>
      <c r="J20">
        <v>0</v>
      </c>
      <c r="K20">
        <v>0.5</v>
      </c>
      <c r="L20">
        <v>0</v>
      </c>
      <c r="M20">
        <v>0</v>
      </c>
      <c r="N20">
        <v>0.7</v>
      </c>
      <c r="O20">
        <v>0</v>
      </c>
      <c r="P20">
        <v>0</v>
      </c>
      <c r="Q20">
        <v>0.5</v>
      </c>
      <c r="R20">
        <v>0</v>
      </c>
      <c r="S20">
        <v>0</v>
      </c>
      <c r="T20">
        <v>0.4</v>
      </c>
      <c r="U20">
        <v>0</v>
      </c>
      <c r="V20">
        <v>0</v>
      </c>
      <c r="W20">
        <v>0.6</v>
      </c>
      <c r="X20">
        <v>0</v>
      </c>
      <c r="Y20">
        <v>0</v>
      </c>
    </row>
    <row r="21" spans="1:25" x14ac:dyDescent="0.25">
      <c r="A21" t="s">
        <v>300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</v>
      </c>
      <c r="H21">
        <v>0.1</v>
      </c>
      <c r="I21">
        <v>0</v>
      </c>
      <c r="J21">
        <v>0.2</v>
      </c>
      <c r="K21">
        <v>0.1</v>
      </c>
      <c r="L21">
        <v>0</v>
      </c>
      <c r="M21">
        <v>0.2</v>
      </c>
      <c r="N21">
        <v>0</v>
      </c>
      <c r="O21">
        <v>0</v>
      </c>
      <c r="P21">
        <v>0.1</v>
      </c>
      <c r="Q21">
        <v>0.1</v>
      </c>
      <c r="R21">
        <v>0</v>
      </c>
      <c r="S21">
        <v>0.1</v>
      </c>
      <c r="T21">
        <v>0.1</v>
      </c>
      <c r="U21">
        <v>0</v>
      </c>
      <c r="V21">
        <v>0.2</v>
      </c>
      <c r="W21">
        <v>0</v>
      </c>
      <c r="X21">
        <v>0</v>
      </c>
      <c r="Y21">
        <v>0.1</v>
      </c>
    </row>
    <row r="22" spans="1:25" x14ac:dyDescent="0.25">
      <c r="A22" t="s">
        <v>301</v>
      </c>
      <c r="B22">
        <v>4.7</v>
      </c>
      <c r="C22">
        <v>5.4</v>
      </c>
      <c r="D22">
        <v>4.0999999999999996</v>
      </c>
      <c r="E22">
        <v>1.4</v>
      </c>
      <c r="F22">
        <v>1.4</v>
      </c>
      <c r="G22">
        <v>1.4</v>
      </c>
      <c r="H22">
        <v>1.7</v>
      </c>
      <c r="I22">
        <v>0</v>
      </c>
      <c r="J22">
        <v>0</v>
      </c>
      <c r="K22">
        <v>2</v>
      </c>
      <c r="L22">
        <v>0</v>
      </c>
      <c r="M22">
        <v>0</v>
      </c>
      <c r="N22">
        <v>1.5</v>
      </c>
      <c r="O22">
        <v>0</v>
      </c>
      <c r="P22">
        <v>0</v>
      </c>
      <c r="Q22">
        <v>1.3</v>
      </c>
      <c r="R22">
        <v>0</v>
      </c>
      <c r="S22">
        <v>0</v>
      </c>
      <c r="T22">
        <v>1.5</v>
      </c>
      <c r="U22">
        <v>0</v>
      </c>
      <c r="V22">
        <v>0</v>
      </c>
      <c r="W22">
        <v>1.2</v>
      </c>
      <c r="X22">
        <v>0</v>
      </c>
      <c r="Y22">
        <v>0</v>
      </c>
    </row>
    <row r="23" spans="1:25" x14ac:dyDescent="0.25">
      <c r="A23" t="s">
        <v>302</v>
      </c>
      <c r="B23">
        <v>9</v>
      </c>
      <c r="C23">
        <v>8.3000000000000007</v>
      </c>
      <c r="D23">
        <v>9.6999999999999993</v>
      </c>
      <c r="E23">
        <v>7.5</v>
      </c>
      <c r="F23">
        <v>7.2</v>
      </c>
      <c r="G23">
        <v>7.9</v>
      </c>
      <c r="H23">
        <v>5.9</v>
      </c>
      <c r="I23">
        <v>2.2000000000000002</v>
      </c>
      <c r="J23">
        <v>1.1000000000000001</v>
      </c>
      <c r="K23">
        <v>5.7</v>
      </c>
      <c r="L23">
        <v>1.8</v>
      </c>
      <c r="M23">
        <v>1.1000000000000001</v>
      </c>
      <c r="N23">
        <v>6.2</v>
      </c>
      <c r="O23">
        <v>2.5</v>
      </c>
      <c r="P23">
        <v>1</v>
      </c>
      <c r="Q23">
        <v>5.7</v>
      </c>
      <c r="R23">
        <v>1.9</v>
      </c>
      <c r="S23">
        <v>1</v>
      </c>
      <c r="T23">
        <v>5.6</v>
      </c>
      <c r="U23">
        <v>1.7</v>
      </c>
      <c r="V23">
        <v>1.1000000000000001</v>
      </c>
      <c r="W23">
        <v>5.8</v>
      </c>
      <c r="X23">
        <v>2</v>
      </c>
      <c r="Y23">
        <v>1</v>
      </c>
    </row>
    <row r="24" spans="1:25" x14ac:dyDescent="0.25">
      <c r="A24" t="s">
        <v>303</v>
      </c>
      <c r="B24">
        <v>6.4</v>
      </c>
      <c r="C24">
        <v>6.2</v>
      </c>
      <c r="D24">
        <v>6.5</v>
      </c>
      <c r="E24">
        <v>4.0999999999999996</v>
      </c>
      <c r="F24">
        <v>4</v>
      </c>
      <c r="G24">
        <v>4.3</v>
      </c>
      <c r="H24">
        <v>4.0999999999999996</v>
      </c>
      <c r="I24">
        <v>1.9</v>
      </c>
      <c r="J24">
        <v>1.1000000000000001</v>
      </c>
      <c r="K24">
        <v>4.0999999999999996</v>
      </c>
      <c r="L24">
        <v>2</v>
      </c>
      <c r="M24">
        <v>1.1000000000000001</v>
      </c>
      <c r="N24">
        <v>4.2</v>
      </c>
      <c r="O24">
        <v>1.9</v>
      </c>
      <c r="P24">
        <v>1.1000000000000001</v>
      </c>
      <c r="Q24">
        <v>3.7</v>
      </c>
      <c r="R24">
        <v>1.6</v>
      </c>
      <c r="S24">
        <v>0.9</v>
      </c>
      <c r="T24">
        <v>3.7</v>
      </c>
      <c r="U24">
        <v>1.7</v>
      </c>
      <c r="V24">
        <v>0.9</v>
      </c>
      <c r="W24">
        <v>3.7</v>
      </c>
      <c r="X24">
        <v>1.5</v>
      </c>
      <c r="Y24">
        <v>0.9</v>
      </c>
    </row>
    <row r="25" spans="1:25" x14ac:dyDescent="0.25">
      <c r="A25" t="s">
        <v>304</v>
      </c>
      <c r="B25">
        <v>1.3</v>
      </c>
      <c r="C25">
        <v>1.2</v>
      </c>
      <c r="D25">
        <v>1.3</v>
      </c>
      <c r="E25">
        <v>0.7</v>
      </c>
      <c r="F25">
        <v>0.7</v>
      </c>
      <c r="G25">
        <v>0.7</v>
      </c>
      <c r="H25">
        <v>0.8</v>
      </c>
      <c r="I25">
        <v>0.1</v>
      </c>
      <c r="J25">
        <v>0.1</v>
      </c>
      <c r="K25">
        <v>0.6</v>
      </c>
      <c r="L25">
        <v>0.1</v>
      </c>
      <c r="M25">
        <v>0.1</v>
      </c>
      <c r="N25">
        <v>0.9</v>
      </c>
      <c r="O25">
        <v>0.1</v>
      </c>
      <c r="P25">
        <v>0.1</v>
      </c>
      <c r="Q25">
        <v>0.7</v>
      </c>
      <c r="R25">
        <v>0.1</v>
      </c>
      <c r="S25">
        <v>0.1</v>
      </c>
      <c r="T25">
        <v>0.6</v>
      </c>
      <c r="U25">
        <v>0.1</v>
      </c>
      <c r="V25">
        <v>0.1</v>
      </c>
      <c r="W25">
        <v>0.8</v>
      </c>
      <c r="X25">
        <v>0.1</v>
      </c>
      <c r="Y25">
        <v>0.1</v>
      </c>
    </row>
    <row r="26" spans="1:25" x14ac:dyDescent="0.25">
      <c r="A26" t="s">
        <v>305</v>
      </c>
      <c r="B26">
        <v>0.8</v>
      </c>
      <c r="C26">
        <v>0.7</v>
      </c>
      <c r="D26">
        <v>0.8</v>
      </c>
      <c r="E26">
        <v>0.6</v>
      </c>
      <c r="F26">
        <v>0.6</v>
      </c>
      <c r="G26">
        <v>0.6</v>
      </c>
      <c r="H26">
        <v>0.3</v>
      </c>
      <c r="I26">
        <v>0</v>
      </c>
      <c r="J26">
        <v>0</v>
      </c>
      <c r="K26">
        <v>0.3</v>
      </c>
      <c r="L26">
        <v>0</v>
      </c>
      <c r="M26">
        <v>0</v>
      </c>
      <c r="N26">
        <v>0.3</v>
      </c>
      <c r="O26">
        <v>0</v>
      </c>
      <c r="P26">
        <v>0</v>
      </c>
      <c r="Q26">
        <v>0.3</v>
      </c>
      <c r="R26">
        <v>0</v>
      </c>
      <c r="S26">
        <v>0</v>
      </c>
      <c r="T26">
        <v>0.3</v>
      </c>
      <c r="U26">
        <v>0</v>
      </c>
      <c r="V26">
        <v>0</v>
      </c>
      <c r="W26">
        <v>0.3</v>
      </c>
      <c r="X26">
        <v>0</v>
      </c>
      <c r="Y26">
        <v>0</v>
      </c>
    </row>
    <row r="27" spans="1:25" x14ac:dyDescent="0.25">
      <c r="A27" t="s">
        <v>306</v>
      </c>
      <c r="B27">
        <v>2.7</v>
      </c>
      <c r="C27">
        <v>2.8</v>
      </c>
      <c r="D27">
        <v>2.6</v>
      </c>
      <c r="E27">
        <v>2</v>
      </c>
      <c r="F27">
        <v>2.1</v>
      </c>
      <c r="G27">
        <v>1.9</v>
      </c>
      <c r="H27">
        <v>1.4</v>
      </c>
      <c r="I27">
        <v>0.6</v>
      </c>
      <c r="J27">
        <v>0.3</v>
      </c>
      <c r="K27">
        <v>1.4</v>
      </c>
      <c r="L27">
        <v>0.5</v>
      </c>
      <c r="M27">
        <v>0.4</v>
      </c>
      <c r="N27">
        <v>1.5</v>
      </c>
      <c r="O27">
        <v>0.6</v>
      </c>
      <c r="P27">
        <v>0.3</v>
      </c>
      <c r="Q27">
        <v>1.4</v>
      </c>
      <c r="R27">
        <v>0.5</v>
      </c>
      <c r="S27">
        <v>0.3</v>
      </c>
      <c r="T27">
        <v>1.3</v>
      </c>
      <c r="U27">
        <v>0.5</v>
      </c>
      <c r="V27">
        <v>0.4</v>
      </c>
      <c r="W27">
        <v>1.4</v>
      </c>
      <c r="X27">
        <v>0.6</v>
      </c>
      <c r="Y27">
        <v>0.3</v>
      </c>
    </row>
    <row r="28" spans="1:25" x14ac:dyDescent="0.25">
      <c r="A28" t="s">
        <v>307</v>
      </c>
      <c r="B28">
        <v>2.8</v>
      </c>
      <c r="C28">
        <v>3</v>
      </c>
      <c r="D28">
        <v>2.6</v>
      </c>
      <c r="E28">
        <v>1.4</v>
      </c>
      <c r="F28">
        <v>1.6</v>
      </c>
      <c r="G28">
        <v>1.3</v>
      </c>
      <c r="H28">
        <v>2</v>
      </c>
      <c r="I28">
        <v>1.6</v>
      </c>
      <c r="J28">
        <v>0.6</v>
      </c>
      <c r="K28">
        <v>2.2000000000000002</v>
      </c>
      <c r="L28">
        <v>2.6</v>
      </c>
      <c r="M28">
        <v>1</v>
      </c>
      <c r="N28">
        <v>1.7</v>
      </c>
      <c r="O28">
        <v>0.7</v>
      </c>
      <c r="P28">
        <v>0.3</v>
      </c>
      <c r="Q28">
        <v>1.5</v>
      </c>
      <c r="R28">
        <v>1.1000000000000001</v>
      </c>
      <c r="S28">
        <v>0.3</v>
      </c>
      <c r="T28">
        <v>1.6</v>
      </c>
      <c r="U28">
        <v>1.9</v>
      </c>
      <c r="V28">
        <v>0.6</v>
      </c>
      <c r="W28">
        <v>1.3</v>
      </c>
      <c r="X28">
        <v>0.4</v>
      </c>
      <c r="Y28">
        <v>0.1</v>
      </c>
    </row>
    <row r="29" spans="1:25" x14ac:dyDescent="0.25">
      <c r="A29" t="s">
        <v>266</v>
      </c>
      <c r="B29">
        <v>9.8000000000000007</v>
      </c>
      <c r="C29">
        <v>10</v>
      </c>
      <c r="D29">
        <v>9.5</v>
      </c>
      <c r="E29">
        <v>6</v>
      </c>
      <c r="F29">
        <v>6</v>
      </c>
      <c r="G29">
        <v>5.9</v>
      </c>
      <c r="H29">
        <v>6.4</v>
      </c>
      <c r="I29">
        <v>2.6</v>
      </c>
      <c r="J29">
        <v>1.6</v>
      </c>
      <c r="K29">
        <v>6.6</v>
      </c>
      <c r="L29">
        <v>2.7</v>
      </c>
      <c r="M29">
        <v>1.7</v>
      </c>
      <c r="N29">
        <v>6.3</v>
      </c>
      <c r="O29">
        <v>2.6</v>
      </c>
      <c r="P29">
        <v>1.5</v>
      </c>
      <c r="Q29">
        <v>5.6</v>
      </c>
      <c r="R29">
        <v>2.2000000000000002</v>
      </c>
      <c r="S29">
        <v>1.4</v>
      </c>
      <c r="T29">
        <v>5.7</v>
      </c>
      <c r="U29">
        <v>2.2999999999999998</v>
      </c>
      <c r="V29">
        <v>1.5</v>
      </c>
      <c r="W29">
        <v>5.4</v>
      </c>
      <c r="X29">
        <v>2.1</v>
      </c>
      <c r="Y29">
        <v>1.3</v>
      </c>
    </row>
    <row r="30" spans="1:25" x14ac:dyDescent="0.25">
      <c r="A30" t="s">
        <v>459</v>
      </c>
      <c r="B30">
        <v>38</v>
      </c>
      <c r="C30">
        <v>38.799999999999997</v>
      </c>
      <c r="D30">
        <v>37.200000000000003</v>
      </c>
      <c r="E30">
        <v>26</v>
      </c>
      <c r="F30">
        <v>26.4</v>
      </c>
      <c r="G30">
        <v>25.6</v>
      </c>
      <c r="H30">
        <v>27.5</v>
      </c>
      <c r="I30">
        <v>11.5</v>
      </c>
      <c r="J30">
        <v>7.1</v>
      </c>
      <c r="K30">
        <v>28.4</v>
      </c>
      <c r="L30">
        <v>11.8</v>
      </c>
      <c r="M30">
        <v>7.2</v>
      </c>
      <c r="N30">
        <v>26.7</v>
      </c>
      <c r="O30">
        <v>11.2</v>
      </c>
      <c r="P30">
        <v>6.9</v>
      </c>
      <c r="Q30">
        <v>24.8</v>
      </c>
      <c r="R30">
        <v>9.9</v>
      </c>
      <c r="S30">
        <v>6.2</v>
      </c>
      <c r="T30">
        <v>25.7</v>
      </c>
      <c r="U30">
        <v>10.3</v>
      </c>
      <c r="V30">
        <v>6.4</v>
      </c>
      <c r="W30">
        <v>24</v>
      </c>
      <c r="X30">
        <v>9.5</v>
      </c>
      <c r="Y30">
        <v>6</v>
      </c>
    </row>
    <row r="31" spans="1:25" x14ac:dyDescent="0.25">
      <c r="A31" t="s">
        <v>460</v>
      </c>
      <c r="B31">
        <v>2.7</v>
      </c>
      <c r="C31">
        <v>2.8</v>
      </c>
      <c r="D31">
        <v>2.5</v>
      </c>
      <c r="E31">
        <v>1</v>
      </c>
      <c r="F31">
        <v>1</v>
      </c>
      <c r="G31">
        <v>0.9</v>
      </c>
      <c r="H31">
        <v>1.5</v>
      </c>
      <c r="I31">
        <v>0.5</v>
      </c>
      <c r="J31">
        <v>0.2</v>
      </c>
      <c r="K31">
        <v>1.5</v>
      </c>
      <c r="L31">
        <v>0.5</v>
      </c>
      <c r="M31">
        <v>0.2</v>
      </c>
      <c r="N31">
        <v>1.4</v>
      </c>
      <c r="O31">
        <v>0.5</v>
      </c>
      <c r="P31">
        <v>0.2</v>
      </c>
      <c r="Q31">
        <v>1</v>
      </c>
      <c r="R31">
        <v>0.3</v>
      </c>
      <c r="S31">
        <v>0.1</v>
      </c>
      <c r="T31">
        <v>1</v>
      </c>
      <c r="U31">
        <v>0.4</v>
      </c>
      <c r="V31">
        <v>0.1</v>
      </c>
      <c r="W31">
        <v>1</v>
      </c>
      <c r="X31">
        <v>0.3</v>
      </c>
      <c r="Y31">
        <v>0.1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B0F0"/>
  </sheetPr>
  <dimension ref="A1:J30"/>
  <sheetViews>
    <sheetView workbookViewId="0"/>
  </sheetViews>
  <sheetFormatPr defaultRowHeight="15" x14ac:dyDescent="0.25"/>
  <cols>
    <col min="1" max="1" width="28.140625" customWidth="1"/>
    <col min="2" max="2" width="14.7109375" customWidth="1"/>
    <col min="9" max="9" width="14.85546875" customWidth="1"/>
    <col min="10" max="10" width="14.7109375" customWidth="1"/>
  </cols>
  <sheetData>
    <row r="1" spans="1:10" x14ac:dyDescent="0.25">
      <c r="A1" s="29" t="s">
        <v>766</v>
      </c>
      <c r="B1" s="29" t="s">
        <v>346</v>
      </c>
      <c r="C1" s="29"/>
      <c r="D1" s="29"/>
      <c r="E1" s="29" t="s">
        <v>328</v>
      </c>
      <c r="F1" s="29"/>
      <c r="G1" s="29"/>
      <c r="H1" s="29" t="s">
        <v>329</v>
      </c>
      <c r="I1" s="29"/>
      <c r="J1" s="29"/>
    </row>
    <row r="2" spans="1:10" x14ac:dyDescent="0.25">
      <c r="A2" s="29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</row>
    <row r="3" spans="1:10" x14ac:dyDescent="0.25">
      <c r="A3" t="s">
        <v>283</v>
      </c>
      <c r="B3">
        <v>8.1999999999999993</v>
      </c>
      <c r="C3">
        <v>8.8000000000000007</v>
      </c>
      <c r="D3">
        <v>7.7</v>
      </c>
      <c r="E3">
        <v>3.9</v>
      </c>
      <c r="F3">
        <v>4.2</v>
      </c>
      <c r="G3">
        <v>3.7</v>
      </c>
      <c r="H3">
        <v>1.7</v>
      </c>
      <c r="I3">
        <v>1.7</v>
      </c>
      <c r="J3">
        <v>1.7</v>
      </c>
    </row>
    <row r="4" spans="1:10" x14ac:dyDescent="0.25">
      <c r="A4" t="s">
        <v>284</v>
      </c>
      <c r="B4">
        <v>2</v>
      </c>
      <c r="C4">
        <v>2.1</v>
      </c>
      <c r="D4">
        <v>2</v>
      </c>
      <c r="E4">
        <v>1.8</v>
      </c>
      <c r="F4">
        <v>1.9</v>
      </c>
      <c r="G4">
        <v>1.7</v>
      </c>
      <c r="H4">
        <v>1.3</v>
      </c>
      <c r="I4">
        <v>1.5</v>
      </c>
      <c r="J4">
        <v>1.2</v>
      </c>
    </row>
    <row r="5" spans="1:10" x14ac:dyDescent="0.25">
      <c r="A5" t="s">
        <v>285</v>
      </c>
      <c r="B5">
        <v>1.3</v>
      </c>
      <c r="C5">
        <v>1.3</v>
      </c>
      <c r="D5">
        <v>1.3</v>
      </c>
      <c r="E5">
        <v>0.5</v>
      </c>
      <c r="F5">
        <v>0.5</v>
      </c>
      <c r="G5">
        <v>0.4</v>
      </c>
      <c r="H5">
        <v>0.2</v>
      </c>
      <c r="I5">
        <v>0.3</v>
      </c>
      <c r="J5">
        <v>0.2</v>
      </c>
    </row>
    <row r="6" spans="1:10" x14ac:dyDescent="0.25">
      <c r="A6" t="s">
        <v>286</v>
      </c>
      <c r="B6">
        <v>1.5</v>
      </c>
      <c r="C6">
        <v>1.4</v>
      </c>
      <c r="D6">
        <v>1.7</v>
      </c>
      <c r="E6">
        <v>1.5</v>
      </c>
      <c r="F6">
        <v>1.2</v>
      </c>
      <c r="G6">
        <v>1.8</v>
      </c>
      <c r="H6">
        <v>1.3</v>
      </c>
      <c r="I6">
        <v>1.1000000000000001</v>
      </c>
      <c r="J6">
        <v>1.4</v>
      </c>
    </row>
    <row r="7" spans="1:10" x14ac:dyDescent="0.25">
      <c r="A7" t="s">
        <v>287</v>
      </c>
      <c r="B7">
        <v>2.4</v>
      </c>
      <c r="C7">
        <v>2.7</v>
      </c>
      <c r="D7">
        <v>2.1</v>
      </c>
      <c r="E7">
        <v>1</v>
      </c>
      <c r="F7">
        <v>1.2</v>
      </c>
      <c r="G7">
        <v>0.8</v>
      </c>
      <c r="H7">
        <v>0.2</v>
      </c>
      <c r="I7">
        <v>0.2</v>
      </c>
      <c r="J7">
        <v>0.2</v>
      </c>
    </row>
    <row r="8" spans="1:10" x14ac:dyDescent="0.25">
      <c r="A8" t="s">
        <v>288</v>
      </c>
      <c r="B8">
        <v>0.7</v>
      </c>
      <c r="C8">
        <v>0.7</v>
      </c>
      <c r="D8">
        <v>0.7</v>
      </c>
      <c r="E8">
        <v>0.3</v>
      </c>
      <c r="F8">
        <v>0.2</v>
      </c>
      <c r="G8">
        <v>0.3</v>
      </c>
      <c r="H8">
        <v>0.1</v>
      </c>
      <c r="I8">
        <v>0.1</v>
      </c>
      <c r="J8">
        <v>0.1</v>
      </c>
    </row>
    <row r="9" spans="1:10" x14ac:dyDescent="0.25">
      <c r="A9" t="s">
        <v>289</v>
      </c>
      <c r="B9">
        <v>3.6</v>
      </c>
      <c r="C9">
        <v>4</v>
      </c>
      <c r="D9">
        <v>3.3</v>
      </c>
      <c r="E9">
        <v>2.2999999999999998</v>
      </c>
      <c r="F9">
        <v>2.6</v>
      </c>
      <c r="G9">
        <v>2.1</v>
      </c>
      <c r="H9">
        <v>2</v>
      </c>
      <c r="I9">
        <v>2.1</v>
      </c>
      <c r="J9">
        <v>1.9</v>
      </c>
    </row>
    <row r="10" spans="1:10" x14ac:dyDescent="0.25">
      <c r="A10" t="s">
        <v>290</v>
      </c>
      <c r="B10">
        <v>2.2000000000000002</v>
      </c>
      <c r="C10">
        <v>2.4</v>
      </c>
      <c r="D10">
        <v>2</v>
      </c>
      <c r="E10">
        <v>1.8</v>
      </c>
      <c r="F10">
        <v>1.7</v>
      </c>
      <c r="G10">
        <v>1.9</v>
      </c>
      <c r="H10">
        <v>1.1000000000000001</v>
      </c>
      <c r="I10">
        <v>1.1000000000000001</v>
      </c>
      <c r="J10">
        <v>1</v>
      </c>
    </row>
    <row r="11" spans="1:10" x14ac:dyDescent="0.25">
      <c r="A11" t="s">
        <v>291</v>
      </c>
      <c r="B11">
        <v>3.7</v>
      </c>
      <c r="C11">
        <v>3.4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292</v>
      </c>
      <c r="B12">
        <v>6.4</v>
      </c>
      <c r="C12">
        <v>8.1</v>
      </c>
      <c r="D12">
        <v>4.8</v>
      </c>
      <c r="E12">
        <v>2</v>
      </c>
      <c r="F12">
        <v>1.8</v>
      </c>
      <c r="G12">
        <v>2.2000000000000002</v>
      </c>
      <c r="H12">
        <v>0</v>
      </c>
      <c r="I12">
        <v>0</v>
      </c>
      <c r="J12">
        <v>0</v>
      </c>
    </row>
    <row r="13" spans="1:10" x14ac:dyDescent="0.25">
      <c r="A13" t="s">
        <v>293</v>
      </c>
      <c r="B13">
        <v>0.2</v>
      </c>
      <c r="C13">
        <v>0.1</v>
      </c>
      <c r="D13">
        <v>0.2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294</v>
      </c>
      <c r="B14">
        <v>0.6</v>
      </c>
      <c r="C14">
        <v>0.6</v>
      </c>
      <c r="D14">
        <v>0.7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295</v>
      </c>
      <c r="B15">
        <v>1.6</v>
      </c>
      <c r="C15">
        <v>1.6</v>
      </c>
      <c r="D15">
        <v>1.6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296</v>
      </c>
      <c r="B16">
        <v>6.3</v>
      </c>
      <c r="C16">
        <v>7.4</v>
      </c>
      <c r="D16">
        <v>5.2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297</v>
      </c>
      <c r="B17">
        <v>26.9</v>
      </c>
      <c r="C17">
        <v>29.3</v>
      </c>
      <c r="D17">
        <v>24.7</v>
      </c>
      <c r="E17">
        <v>13.3</v>
      </c>
      <c r="F17">
        <v>13.5</v>
      </c>
      <c r="G17">
        <v>13.2</v>
      </c>
      <c r="H17">
        <v>7.2</v>
      </c>
      <c r="I17">
        <v>7.1</v>
      </c>
      <c r="J17">
        <v>7.4</v>
      </c>
    </row>
    <row r="18" spans="1:10" x14ac:dyDescent="0.25">
      <c r="A18" t="s">
        <v>298</v>
      </c>
      <c r="B18">
        <v>8.3000000000000007</v>
      </c>
      <c r="C18">
        <v>8</v>
      </c>
      <c r="D18">
        <v>8.5</v>
      </c>
      <c r="E18">
        <v>6</v>
      </c>
      <c r="F18">
        <v>5.9</v>
      </c>
      <c r="G18">
        <v>6.1</v>
      </c>
      <c r="H18">
        <v>3.5</v>
      </c>
      <c r="I18">
        <v>3.3</v>
      </c>
      <c r="J18">
        <v>3.8</v>
      </c>
    </row>
    <row r="19" spans="1:10" x14ac:dyDescent="0.25">
      <c r="A19" t="s">
        <v>299</v>
      </c>
      <c r="B19">
        <v>0.3</v>
      </c>
      <c r="C19">
        <v>0.3</v>
      </c>
      <c r="D19">
        <v>0.3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300</v>
      </c>
      <c r="B20">
        <v>0</v>
      </c>
      <c r="C20">
        <v>0.1</v>
      </c>
      <c r="D20">
        <v>0</v>
      </c>
      <c r="E20">
        <v>0</v>
      </c>
      <c r="F20">
        <v>0</v>
      </c>
      <c r="G20">
        <v>0</v>
      </c>
      <c r="H20">
        <v>0.2</v>
      </c>
      <c r="I20">
        <v>0.2</v>
      </c>
      <c r="J20">
        <v>0.1</v>
      </c>
    </row>
    <row r="21" spans="1:10" x14ac:dyDescent="0.25">
      <c r="A21" t="s">
        <v>301</v>
      </c>
      <c r="B21">
        <v>1.4</v>
      </c>
      <c r="C21">
        <v>1.5</v>
      </c>
      <c r="D21">
        <v>1.4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302</v>
      </c>
      <c r="B22">
        <v>2.9</v>
      </c>
      <c r="C22">
        <v>2.8</v>
      </c>
      <c r="D22">
        <v>3</v>
      </c>
      <c r="E22">
        <v>2.1</v>
      </c>
      <c r="F22">
        <v>1.7</v>
      </c>
      <c r="G22">
        <v>2.5</v>
      </c>
      <c r="H22">
        <v>1</v>
      </c>
      <c r="I22">
        <v>1</v>
      </c>
      <c r="J22">
        <v>1.1000000000000001</v>
      </c>
    </row>
    <row r="23" spans="1:10" x14ac:dyDescent="0.25">
      <c r="A23" t="s">
        <v>303</v>
      </c>
      <c r="B23">
        <v>2.9</v>
      </c>
      <c r="C23">
        <v>2.9</v>
      </c>
      <c r="D23">
        <v>3</v>
      </c>
      <c r="E23">
        <v>1.6</v>
      </c>
      <c r="F23">
        <v>1.6</v>
      </c>
      <c r="G23">
        <v>1.6</v>
      </c>
      <c r="H23">
        <v>0.9</v>
      </c>
      <c r="I23">
        <v>0.9</v>
      </c>
      <c r="J23">
        <v>0.9</v>
      </c>
    </row>
    <row r="24" spans="1:10" x14ac:dyDescent="0.25">
      <c r="A24" t="s">
        <v>304</v>
      </c>
      <c r="B24">
        <v>0.4</v>
      </c>
      <c r="C24">
        <v>0.4</v>
      </c>
      <c r="D24">
        <v>0.4</v>
      </c>
      <c r="E24">
        <v>0</v>
      </c>
      <c r="F24">
        <v>0.1</v>
      </c>
      <c r="G24">
        <v>0</v>
      </c>
      <c r="H24">
        <v>0.1</v>
      </c>
      <c r="I24">
        <v>0.1</v>
      </c>
      <c r="J24">
        <v>0.2</v>
      </c>
    </row>
    <row r="25" spans="1:10" x14ac:dyDescent="0.25">
      <c r="A25" t="s">
        <v>305</v>
      </c>
      <c r="B25">
        <v>0.2</v>
      </c>
      <c r="C25">
        <v>0.2</v>
      </c>
      <c r="D25">
        <v>0.1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306</v>
      </c>
      <c r="B26">
        <v>0.5</v>
      </c>
      <c r="C26">
        <v>0.4</v>
      </c>
      <c r="D26">
        <v>0.6</v>
      </c>
      <c r="E26">
        <v>0.4</v>
      </c>
      <c r="F26">
        <v>0.4</v>
      </c>
      <c r="G26">
        <v>0.5</v>
      </c>
      <c r="H26">
        <v>0.3</v>
      </c>
      <c r="I26">
        <v>0.4</v>
      </c>
      <c r="J26">
        <v>0.2</v>
      </c>
    </row>
    <row r="27" spans="1:10" x14ac:dyDescent="0.25">
      <c r="A27" t="s">
        <v>307</v>
      </c>
      <c r="B27">
        <v>1.3</v>
      </c>
      <c r="C27">
        <v>1.6</v>
      </c>
      <c r="D27">
        <v>1</v>
      </c>
      <c r="E27">
        <v>1</v>
      </c>
      <c r="F27">
        <v>1.7</v>
      </c>
      <c r="G27">
        <v>0.3</v>
      </c>
      <c r="H27">
        <v>0.5</v>
      </c>
      <c r="I27">
        <v>0.7</v>
      </c>
      <c r="J27">
        <v>0.3</v>
      </c>
    </row>
    <row r="28" spans="1:10" x14ac:dyDescent="0.25">
      <c r="A28" t="s">
        <v>266</v>
      </c>
      <c r="B28">
        <v>4</v>
      </c>
      <c r="C28">
        <v>4.3</v>
      </c>
      <c r="D28">
        <v>3.8</v>
      </c>
      <c r="E28">
        <v>2.2999999999999998</v>
      </c>
      <c r="F28">
        <v>2.4</v>
      </c>
      <c r="G28">
        <v>2.2000000000000002</v>
      </c>
      <c r="H28">
        <v>1.4</v>
      </c>
      <c r="I28">
        <v>1.5</v>
      </c>
      <c r="J28">
        <v>1.3</v>
      </c>
    </row>
    <row r="29" spans="1:10" x14ac:dyDescent="0.25">
      <c r="A29" t="s">
        <v>459</v>
      </c>
      <c r="B29">
        <v>17.399999999999999</v>
      </c>
      <c r="C29">
        <v>18.7</v>
      </c>
      <c r="D29">
        <v>16.2</v>
      </c>
      <c r="E29">
        <v>9.6</v>
      </c>
      <c r="F29">
        <v>10</v>
      </c>
      <c r="G29">
        <v>9.1999999999999993</v>
      </c>
      <c r="H29">
        <v>5.8</v>
      </c>
      <c r="I29">
        <v>5.9</v>
      </c>
      <c r="J29">
        <v>5.6</v>
      </c>
    </row>
    <row r="30" spans="1:10" x14ac:dyDescent="0.25">
      <c r="A30" t="s">
        <v>460</v>
      </c>
      <c r="B30">
        <v>0.8</v>
      </c>
      <c r="C30">
        <v>0.8</v>
      </c>
      <c r="D30">
        <v>0.8</v>
      </c>
      <c r="E30">
        <v>0.4</v>
      </c>
      <c r="F30">
        <v>0.4</v>
      </c>
      <c r="G30">
        <v>0.3</v>
      </c>
      <c r="H30">
        <v>0.1</v>
      </c>
      <c r="I30">
        <v>0.2</v>
      </c>
      <c r="J30">
        <v>0.1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66CC"/>
  </sheetPr>
  <dimension ref="A1:I30"/>
  <sheetViews>
    <sheetView workbookViewId="0"/>
  </sheetViews>
  <sheetFormatPr defaultRowHeight="15" x14ac:dyDescent="0.25"/>
  <cols>
    <col min="1" max="1" width="27.28515625" customWidth="1"/>
    <col min="2" max="2" width="16.85546875" customWidth="1"/>
    <col min="4" max="4" width="17.140625" customWidth="1"/>
    <col min="5" max="5" width="16.85546875" customWidth="1"/>
    <col min="7" max="7" width="17.140625" customWidth="1"/>
    <col min="8" max="8" width="16.85546875" customWidth="1"/>
  </cols>
  <sheetData>
    <row r="1" spans="1:9" x14ac:dyDescent="0.25">
      <c r="A1" s="29" t="s">
        <v>252</v>
      </c>
      <c r="B1" s="29" t="s">
        <v>634</v>
      </c>
      <c r="C1" s="29" t="s">
        <v>635</v>
      </c>
      <c r="D1" s="29" t="s">
        <v>767</v>
      </c>
      <c r="E1" s="29"/>
      <c r="F1" s="29"/>
      <c r="G1" s="29" t="s">
        <v>768</v>
      </c>
      <c r="H1" s="29"/>
      <c r="I1" s="29"/>
    </row>
    <row r="2" spans="1:9" x14ac:dyDescent="0.25">
      <c r="A2" s="29"/>
      <c r="B2" s="29"/>
      <c r="C2" s="29"/>
      <c r="D2" t="s">
        <v>346</v>
      </c>
      <c r="E2" t="s">
        <v>400</v>
      </c>
      <c r="F2" t="s">
        <v>401</v>
      </c>
      <c r="G2" t="s">
        <v>346</v>
      </c>
      <c r="H2" t="s">
        <v>400</v>
      </c>
      <c r="I2" t="s">
        <v>401</v>
      </c>
    </row>
    <row r="3" spans="1:9" x14ac:dyDescent="0.25">
      <c r="A3" t="s">
        <v>283</v>
      </c>
      <c r="B3">
        <v>0.9</v>
      </c>
      <c r="C3">
        <v>1</v>
      </c>
      <c r="D3">
        <v>1</v>
      </c>
      <c r="E3">
        <v>1</v>
      </c>
      <c r="F3">
        <v>1.1000000000000001</v>
      </c>
      <c r="G3">
        <v>1</v>
      </c>
      <c r="H3">
        <v>1.1000000000000001</v>
      </c>
      <c r="I3">
        <v>1.2</v>
      </c>
    </row>
    <row r="4" spans="1:9" x14ac:dyDescent="0.25">
      <c r="A4" t="s">
        <v>284</v>
      </c>
      <c r="B4">
        <v>1</v>
      </c>
      <c r="C4">
        <v>1</v>
      </c>
      <c r="D4">
        <v>1</v>
      </c>
      <c r="E4">
        <v>1</v>
      </c>
      <c r="F4">
        <v>1.2</v>
      </c>
      <c r="G4">
        <v>1.1000000000000001</v>
      </c>
      <c r="H4">
        <v>1.1000000000000001</v>
      </c>
      <c r="I4">
        <v>1.3</v>
      </c>
    </row>
    <row r="5" spans="1:9" x14ac:dyDescent="0.25">
      <c r="A5" t="s">
        <v>285</v>
      </c>
      <c r="B5">
        <v>1.2</v>
      </c>
      <c r="C5">
        <v>1</v>
      </c>
      <c r="D5">
        <v>1</v>
      </c>
      <c r="E5">
        <v>1</v>
      </c>
      <c r="F5">
        <v>1.1000000000000001</v>
      </c>
      <c r="G5">
        <v>0.9</v>
      </c>
      <c r="H5">
        <v>0.9</v>
      </c>
      <c r="I5">
        <v>1.1000000000000001</v>
      </c>
    </row>
    <row r="6" spans="1:9" x14ac:dyDescent="0.25">
      <c r="A6" t="s">
        <v>286</v>
      </c>
      <c r="B6">
        <v>1.2</v>
      </c>
      <c r="C6">
        <v>1.2</v>
      </c>
      <c r="D6">
        <v>1</v>
      </c>
      <c r="E6">
        <v>0.6</v>
      </c>
      <c r="F6">
        <v>0.7</v>
      </c>
      <c r="G6">
        <v>1</v>
      </c>
      <c r="H6">
        <v>0.7</v>
      </c>
      <c r="I6">
        <v>0.8</v>
      </c>
    </row>
    <row r="7" spans="1:9" x14ac:dyDescent="0.25">
      <c r="A7" t="s">
        <v>287</v>
      </c>
      <c r="B7">
        <v>1.1000000000000001</v>
      </c>
      <c r="C7">
        <v>1</v>
      </c>
      <c r="D7">
        <v>1.1000000000000001</v>
      </c>
      <c r="E7">
        <v>1.1000000000000001</v>
      </c>
      <c r="F7">
        <v>1.2</v>
      </c>
      <c r="G7">
        <v>1</v>
      </c>
      <c r="H7">
        <v>1.1000000000000001</v>
      </c>
      <c r="I7">
        <v>1.3</v>
      </c>
    </row>
    <row r="8" spans="1:9" x14ac:dyDescent="0.25">
      <c r="A8" t="s">
        <v>288</v>
      </c>
      <c r="B8">
        <v>0.7</v>
      </c>
      <c r="C8">
        <v>0.5</v>
      </c>
      <c r="D8">
        <v>0.9</v>
      </c>
      <c r="E8">
        <v>0.8</v>
      </c>
      <c r="F8">
        <v>1.2</v>
      </c>
      <c r="G8">
        <v>0.8</v>
      </c>
      <c r="H8">
        <v>0.8</v>
      </c>
      <c r="I8">
        <v>1.1000000000000001</v>
      </c>
    </row>
    <row r="9" spans="1:9" x14ac:dyDescent="0.25">
      <c r="A9" t="s">
        <v>289</v>
      </c>
      <c r="B9">
        <v>1.1000000000000001</v>
      </c>
      <c r="C9">
        <v>0.9</v>
      </c>
      <c r="D9">
        <v>1.2</v>
      </c>
      <c r="E9">
        <v>1.3</v>
      </c>
      <c r="F9">
        <v>1.1000000000000001</v>
      </c>
      <c r="G9">
        <v>1.1000000000000001</v>
      </c>
      <c r="H9">
        <v>1.3</v>
      </c>
      <c r="I9">
        <v>1.1000000000000001</v>
      </c>
    </row>
    <row r="10" spans="1:9" x14ac:dyDescent="0.25">
      <c r="A10" t="s">
        <v>290</v>
      </c>
      <c r="B10">
        <v>1.2</v>
      </c>
      <c r="C10">
        <v>0.9</v>
      </c>
      <c r="D10">
        <v>1.1000000000000001</v>
      </c>
      <c r="E10">
        <v>0.8</v>
      </c>
      <c r="F10">
        <v>1</v>
      </c>
      <c r="G10">
        <v>1</v>
      </c>
      <c r="H10">
        <v>0.7</v>
      </c>
      <c r="I10">
        <v>1.1000000000000001</v>
      </c>
    </row>
    <row r="11" spans="1:9" x14ac:dyDescent="0.25">
      <c r="A11" t="s">
        <v>291</v>
      </c>
      <c r="B11">
        <v>1.1000000000000001</v>
      </c>
      <c r="C11">
        <v>0</v>
      </c>
      <c r="D11">
        <v>1.3</v>
      </c>
      <c r="E11">
        <v>0</v>
      </c>
      <c r="F11">
        <v>0</v>
      </c>
      <c r="G11">
        <v>1.1000000000000001</v>
      </c>
      <c r="H11">
        <v>0</v>
      </c>
      <c r="I11">
        <v>0</v>
      </c>
    </row>
    <row r="12" spans="1:9" x14ac:dyDescent="0.25">
      <c r="A12" t="s">
        <v>292</v>
      </c>
      <c r="B12">
        <v>1.1000000000000001</v>
      </c>
      <c r="C12">
        <v>1.2</v>
      </c>
      <c r="D12">
        <v>1.1000000000000001</v>
      </c>
      <c r="E12">
        <v>0.8</v>
      </c>
      <c r="F12">
        <v>0.7</v>
      </c>
      <c r="G12">
        <v>1.1000000000000001</v>
      </c>
      <c r="H12">
        <v>0.9</v>
      </c>
      <c r="I12">
        <v>0.7</v>
      </c>
    </row>
    <row r="13" spans="1:9" x14ac:dyDescent="0.25">
      <c r="A13" t="s">
        <v>293</v>
      </c>
      <c r="B13">
        <v>1.6</v>
      </c>
      <c r="C13">
        <v>0.7</v>
      </c>
      <c r="D13">
        <v>1.5</v>
      </c>
      <c r="E13">
        <v>0</v>
      </c>
      <c r="F13">
        <v>0</v>
      </c>
      <c r="G13">
        <v>1</v>
      </c>
      <c r="H13">
        <v>0</v>
      </c>
      <c r="I13">
        <v>0</v>
      </c>
    </row>
    <row r="14" spans="1:9" x14ac:dyDescent="0.25">
      <c r="A14" t="s">
        <v>294</v>
      </c>
      <c r="B14">
        <v>0.4</v>
      </c>
      <c r="C14">
        <v>0.7</v>
      </c>
      <c r="D14">
        <v>0.6</v>
      </c>
      <c r="E14">
        <v>0</v>
      </c>
      <c r="F14">
        <v>0</v>
      </c>
      <c r="G14">
        <v>0.7</v>
      </c>
      <c r="H14">
        <v>0</v>
      </c>
      <c r="I14">
        <v>0</v>
      </c>
    </row>
    <row r="15" spans="1:9" x14ac:dyDescent="0.25">
      <c r="A15" t="s">
        <v>295</v>
      </c>
      <c r="B15">
        <v>0.7</v>
      </c>
      <c r="C15">
        <v>0.8</v>
      </c>
      <c r="D15">
        <v>0.9</v>
      </c>
      <c r="E15">
        <v>0</v>
      </c>
      <c r="F15">
        <v>0</v>
      </c>
      <c r="G15">
        <v>0.9</v>
      </c>
      <c r="H15">
        <v>0</v>
      </c>
      <c r="I15">
        <v>0</v>
      </c>
    </row>
    <row r="16" spans="1:9" x14ac:dyDescent="0.25">
      <c r="A16" t="s">
        <v>296</v>
      </c>
      <c r="B16">
        <v>0.9</v>
      </c>
      <c r="C16">
        <v>1.1000000000000001</v>
      </c>
      <c r="D16">
        <v>1.1000000000000001</v>
      </c>
      <c r="E16">
        <v>0</v>
      </c>
      <c r="F16">
        <v>0</v>
      </c>
      <c r="G16">
        <v>1.1000000000000001</v>
      </c>
      <c r="H16">
        <v>0</v>
      </c>
      <c r="I16">
        <v>0</v>
      </c>
    </row>
    <row r="17" spans="1:9" x14ac:dyDescent="0.25">
      <c r="A17" t="s">
        <v>297</v>
      </c>
      <c r="B17">
        <v>1.1000000000000001</v>
      </c>
      <c r="C17">
        <v>1.1000000000000001</v>
      </c>
      <c r="D17">
        <v>1.1000000000000001</v>
      </c>
      <c r="E17">
        <v>1</v>
      </c>
      <c r="F17">
        <v>0.9</v>
      </c>
      <c r="G17">
        <v>1.1000000000000001</v>
      </c>
      <c r="H17">
        <v>1.1000000000000001</v>
      </c>
      <c r="I17">
        <v>0.9</v>
      </c>
    </row>
    <row r="18" spans="1:9" x14ac:dyDescent="0.25">
      <c r="A18" t="s">
        <v>298</v>
      </c>
      <c r="B18">
        <v>1</v>
      </c>
      <c r="C18">
        <v>1</v>
      </c>
      <c r="D18">
        <v>1</v>
      </c>
      <c r="E18">
        <v>1</v>
      </c>
      <c r="F18">
        <v>0.9</v>
      </c>
      <c r="G18">
        <v>1</v>
      </c>
      <c r="H18">
        <v>1</v>
      </c>
      <c r="I18">
        <v>0.9</v>
      </c>
    </row>
    <row r="19" spans="1:9" x14ac:dyDescent="0.25">
      <c r="A19" t="s">
        <v>299</v>
      </c>
      <c r="B19">
        <v>0.6</v>
      </c>
      <c r="C19">
        <v>0.4</v>
      </c>
      <c r="D19">
        <v>0.7</v>
      </c>
      <c r="E19">
        <v>0</v>
      </c>
      <c r="F19">
        <v>0</v>
      </c>
      <c r="G19">
        <v>0.7</v>
      </c>
      <c r="H19">
        <v>0</v>
      </c>
      <c r="I19">
        <v>0</v>
      </c>
    </row>
    <row r="20" spans="1:9" x14ac:dyDescent="0.25">
      <c r="A20" t="s">
        <v>300</v>
      </c>
      <c r="B20">
        <v>1.6</v>
      </c>
      <c r="C20">
        <v>2.1</v>
      </c>
      <c r="D20">
        <v>1.6</v>
      </c>
      <c r="E20">
        <v>0</v>
      </c>
      <c r="F20">
        <v>1.7</v>
      </c>
      <c r="G20">
        <v>1.5</v>
      </c>
      <c r="H20">
        <v>0</v>
      </c>
      <c r="I20">
        <v>1.6</v>
      </c>
    </row>
    <row r="21" spans="1:9" x14ac:dyDescent="0.25">
      <c r="A21" t="s">
        <v>301</v>
      </c>
      <c r="B21">
        <v>1.3</v>
      </c>
      <c r="C21">
        <v>1</v>
      </c>
      <c r="D21">
        <v>1.3</v>
      </c>
      <c r="E21">
        <v>0</v>
      </c>
      <c r="F21">
        <v>0</v>
      </c>
      <c r="G21">
        <v>1.2</v>
      </c>
      <c r="H21">
        <v>0</v>
      </c>
      <c r="I21">
        <v>0</v>
      </c>
    </row>
    <row r="22" spans="1:9" x14ac:dyDescent="0.25">
      <c r="A22" t="s">
        <v>302</v>
      </c>
      <c r="B22">
        <v>0.9</v>
      </c>
      <c r="C22">
        <v>0.9</v>
      </c>
      <c r="D22">
        <v>0.9</v>
      </c>
      <c r="E22">
        <v>0.7</v>
      </c>
      <c r="F22">
        <v>1.1000000000000001</v>
      </c>
      <c r="G22">
        <v>1</v>
      </c>
      <c r="H22">
        <v>0.8</v>
      </c>
      <c r="I22">
        <v>1</v>
      </c>
    </row>
    <row r="23" spans="1:9" x14ac:dyDescent="0.25">
      <c r="A23" t="s">
        <v>303</v>
      </c>
      <c r="B23">
        <v>1</v>
      </c>
      <c r="C23">
        <v>0.9</v>
      </c>
      <c r="D23">
        <v>1</v>
      </c>
      <c r="E23">
        <v>1</v>
      </c>
      <c r="F23">
        <v>1</v>
      </c>
      <c r="G23">
        <v>1</v>
      </c>
      <c r="H23">
        <v>1.1000000000000001</v>
      </c>
      <c r="I23">
        <v>1</v>
      </c>
    </row>
    <row r="24" spans="1:9" x14ac:dyDescent="0.25">
      <c r="A24" t="s">
        <v>304</v>
      </c>
      <c r="B24">
        <v>0.9</v>
      </c>
      <c r="C24">
        <v>0.9</v>
      </c>
      <c r="D24">
        <v>0.7</v>
      </c>
      <c r="E24">
        <v>0.6</v>
      </c>
      <c r="F24">
        <v>1.2</v>
      </c>
      <c r="G24">
        <v>0.7</v>
      </c>
      <c r="H24">
        <v>0.6</v>
      </c>
      <c r="I24">
        <v>1.7</v>
      </c>
    </row>
    <row r="25" spans="1:9" x14ac:dyDescent="0.25">
      <c r="A25" t="s">
        <v>305</v>
      </c>
      <c r="B25">
        <v>0.9</v>
      </c>
      <c r="C25">
        <v>1.1000000000000001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 x14ac:dyDescent="0.25">
      <c r="A26" t="s">
        <v>306</v>
      </c>
      <c r="B26">
        <v>1.1000000000000001</v>
      </c>
      <c r="C26">
        <v>1.1000000000000001</v>
      </c>
      <c r="D26">
        <v>0.9</v>
      </c>
      <c r="E26">
        <v>0.7</v>
      </c>
      <c r="F26">
        <v>1.3</v>
      </c>
      <c r="G26">
        <v>1</v>
      </c>
      <c r="H26">
        <v>0.8</v>
      </c>
      <c r="I26">
        <v>1.3</v>
      </c>
    </row>
    <row r="27" spans="1:9" x14ac:dyDescent="0.25">
      <c r="A27" t="s">
        <v>307</v>
      </c>
      <c r="B27">
        <v>1.2</v>
      </c>
      <c r="C27">
        <v>1.2</v>
      </c>
      <c r="D27">
        <v>1.3</v>
      </c>
      <c r="E27">
        <v>3.7</v>
      </c>
      <c r="F27">
        <v>3.5</v>
      </c>
      <c r="G27">
        <v>1.3</v>
      </c>
      <c r="H27">
        <v>4.7</v>
      </c>
      <c r="I27">
        <v>6.4</v>
      </c>
    </row>
    <row r="28" spans="1:9" x14ac:dyDescent="0.25">
      <c r="A28" t="s">
        <v>266</v>
      </c>
      <c r="B28">
        <v>1.1000000000000001</v>
      </c>
      <c r="C28">
        <v>1</v>
      </c>
      <c r="D28">
        <v>1.1000000000000001</v>
      </c>
      <c r="E28">
        <v>1.1000000000000001</v>
      </c>
      <c r="F28">
        <v>1.1000000000000001</v>
      </c>
      <c r="G28">
        <v>1</v>
      </c>
      <c r="H28">
        <v>1.1000000000000001</v>
      </c>
      <c r="I28">
        <v>1.1000000000000001</v>
      </c>
    </row>
    <row r="29" spans="1:9" x14ac:dyDescent="0.25">
      <c r="A29" t="s">
        <v>459</v>
      </c>
      <c r="B29">
        <v>1</v>
      </c>
      <c r="C29">
        <v>1</v>
      </c>
      <c r="D29">
        <v>1.1000000000000001</v>
      </c>
      <c r="E29">
        <v>1.1000000000000001</v>
      </c>
      <c r="F29">
        <v>1</v>
      </c>
      <c r="G29">
        <v>1.1000000000000001</v>
      </c>
      <c r="H29">
        <v>1.1000000000000001</v>
      </c>
      <c r="I29">
        <v>1.1000000000000001</v>
      </c>
    </row>
    <row r="30" spans="1:9" x14ac:dyDescent="0.25">
      <c r="A30" t="s">
        <v>460</v>
      </c>
      <c r="B30">
        <v>1.1000000000000001</v>
      </c>
      <c r="C30">
        <v>1</v>
      </c>
      <c r="D30">
        <v>1.1000000000000001</v>
      </c>
      <c r="E30">
        <v>1.1000000000000001</v>
      </c>
      <c r="F30">
        <v>1.1000000000000001</v>
      </c>
      <c r="G30">
        <v>1</v>
      </c>
      <c r="H30">
        <v>1.1000000000000001</v>
      </c>
      <c r="I30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4472C4"/>
  </sheetPr>
  <dimension ref="A1:U14"/>
  <sheetViews>
    <sheetView workbookViewId="0"/>
  </sheetViews>
  <sheetFormatPr defaultRowHeight="15" x14ac:dyDescent="0.25"/>
  <cols>
    <col min="1" max="1" width="27.28515625" customWidth="1"/>
    <col min="2" max="2" width="8.140625" customWidth="1"/>
    <col min="3" max="3" width="8.42578125" customWidth="1"/>
    <col min="4" max="4" width="6.85546875" customWidth="1"/>
    <col min="5" max="5" width="8.85546875" customWidth="1"/>
    <col min="6" max="6" width="6.7109375" customWidth="1"/>
    <col min="8" max="8" width="7.28515625" customWidth="1"/>
    <col min="9" max="9" width="10.7109375" customWidth="1"/>
    <col min="10" max="10" width="6" customWidth="1"/>
    <col min="11" max="11" width="8.42578125" customWidth="1"/>
    <col min="13" max="13" width="6.42578125" customWidth="1"/>
    <col min="15" max="15" width="7.42578125" customWidth="1"/>
    <col min="16" max="16" width="6.85546875" customWidth="1"/>
    <col min="17" max="17" width="9.28515625" customWidth="1"/>
    <col min="19" max="19" width="6.140625" customWidth="1"/>
    <col min="20" max="20" width="9.28515625" customWidth="1"/>
    <col min="21" max="21" width="3.85546875" customWidth="1"/>
  </cols>
  <sheetData>
    <row r="1" spans="1:21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 t="s">
        <v>253</v>
      </c>
      <c r="B2" s="29" t="s">
        <v>358</v>
      </c>
      <c r="C2" s="29" t="s">
        <v>693</v>
      </c>
      <c r="D2" s="29" t="s">
        <v>261</v>
      </c>
      <c r="E2" s="29"/>
      <c r="F2" s="29"/>
      <c r="G2" s="29"/>
      <c r="H2" s="29"/>
      <c r="I2" s="29"/>
      <c r="J2" s="29"/>
      <c r="K2" s="29" t="s">
        <v>72</v>
      </c>
      <c r="L2" s="29"/>
      <c r="M2" s="29" t="s">
        <v>257</v>
      </c>
      <c r="N2" s="29"/>
      <c r="O2" s="29" t="s">
        <v>258</v>
      </c>
      <c r="P2" s="29"/>
      <c r="Q2" s="29" t="s">
        <v>259</v>
      </c>
      <c r="R2" s="29"/>
      <c r="S2" s="29" t="s">
        <v>769</v>
      </c>
      <c r="T2" s="29" t="s">
        <v>695</v>
      </c>
    </row>
    <row r="3" spans="1:21" x14ac:dyDescent="0.25">
      <c r="A3" s="29"/>
      <c r="B3" s="29"/>
      <c r="C3" s="29"/>
      <c r="D3" t="s">
        <v>770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702</v>
      </c>
      <c r="K3" t="s">
        <v>263</v>
      </c>
      <c r="L3" t="s">
        <v>264</v>
      </c>
      <c r="M3" t="s">
        <v>263</v>
      </c>
      <c r="N3" t="s">
        <v>264</v>
      </c>
      <c r="O3" t="s">
        <v>263</v>
      </c>
      <c r="P3" t="s">
        <v>265</v>
      </c>
      <c r="Q3" t="s">
        <v>263</v>
      </c>
      <c r="R3" t="s">
        <v>265</v>
      </c>
      <c r="S3" s="29"/>
      <c r="T3" s="29"/>
    </row>
    <row r="4" spans="1:21" x14ac:dyDescent="0.25">
      <c r="A4" t="s">
        <v>266</v>
      </c>
      <c r="B4">
        <v>1426</v>
      </c>
      <c r="C4">
        <v>11000</v>
      </c>
      <c r="D4">
        <v>1024</v>
      </c>
      <c r="E4">
        <v>234</v>
      </c>
      <c r="F4">
        <v>38</v>
      </c>
      <c r="G4">
        <v>0</v>
      </c>
      <c r="H4">
        <v>128</v>
      </c>
      <c r="I4">
        <v>1</v>
      </c>
      <c r="J4">
        <v>1</v>
      </c>
      <c r="K4">
        <v>253569</v>
      </c>
      <c r="L4">
        <v>126580</v>
      </c>
      <c r="M4">
        <v>3799</v>
      </c>
      <c r="N4">
        <v>1623</v>
      </c>
      <c r="O4">
        <v>16069</v>
      </c>
      <c r="P4">
        <v>9361</v>
      </c>
      <c r="Q4">
        <v>7276</v>
      </c>
      <c r="R4">
        <v>4280</v>
      </c>
      <c r="S4">
        <v>5739</v>
      </c>
      <c r="T4">
        <v>1294</v>
      </c>
    </row>
    <row r="5" spans="1:21" x14ac:dyDescent="0.25">
      <c r="A5" t="s">
        <v>703</v>
      </c>
      <c r="B5">
        <v>594</v>
      </c>
      <c r="C5">
        <v>2596</v>
      </c>
      <c r="D5">
        <v>406</v>
      </c>
      <c r="E5">
        <v>98</v>
      </c>
      <c r="F5">
        <v>4</v>
      </c>
      <c r="G5">
        <v>0</v>
      </c>
      <c r="H5">
        <v>85</v>
      </c>
      <c r="I5">
        <v>1</v>
      </c>
      <c r="J5">
        <v>0</v>
      </c>
      <c r="K5">
        <v>56004</v>
      </c>
      <c r="L5">
        <v>27831</v>
      </c>
      <c r="M5">
        <v>0</v>
      </c>
      <c r="N5">
        <v>0</v>
      </c>
      <c r="O5">
        <v>3182</v>
      </c>
      <c r="P5">
        <v>2668</v>
      </c>
      <c r="Q5">
        <v>2033</v>
      </c>
      <c r="R5">
        <v>1459</v>
      </c>
      <c r="S5">
        <v>474</v>
      </c>
      <c r="T5">
        <v>447</v>
      </c>
    </row>
    <row r="6" spans="1:21" x14ac:dyDescent="0.25">
      <c r="A6" t="s">
        <v>327</v>
      </c>
      <c r="B6">
        <v>574</v>
      </c>
      <c r="C6">
        <v>5969</v>
      </c>
      <c r="D6">
        <v>416</v>
      </c>
      <c r="E6">
        <v>95</v>
      </c>
      <c r="F6">
        <v>28</v>
      </c>
      <c r="G6">
        <v>0</v>
      </c>
      <c r="H6">
        <v>34</v>
      </c>
      <c r="I6">
        <v>0</v>
      </c>
      <c r="J6">
        <v>1</v>
      </c>
      <c r="K6">
        <v>137637</v>
      </c>
      <c r="L6">
        <v>67994</v>
      </c>
      <c r="M6">
        <v>3283</v>
      </c>
      <c r="N6">
        <v>1418</v>
      </c>
      <c r="O6">
        <v>6572</v>
      </c>
      <c r="P6">
        <v>4431</v>
      </c>
      <c r="Q6">
        <v>3250</v>
      </c>
      <c r="R6">
        <v>1879</v>
      </c>
      <c r="S6">
        <v>2145</v>
      </c>
      <c r="T6">
        <v>493</v>
      </c>
    </row>
    <row r="7" spans="1:21" x14ac:dyDescent="0.25">
      <c r="A7" t="s">
        <v>771</v>
      </c>
      <c r="B7">
        <v>87</v>
      </c>
      <c r="C7">
        <v>277</v>
      </c>
      <c r="D7">
        <v>54</v>
      </c>
      <c r="E7">
        <v>28</v>
      </c>
      <c r="F7">
        <v>2</v>
      </c>
      <c r="G7">
        <v>0</v>
      </c>
      <c r="H7">
        <v>3</v>
      </c>
      <c r="I7">
        <v>0</v>
      </c>
      <c r="J7">
        <v>0</v>
      </c>
      <c r="K7">
        <v>5862</v>
      </c>
      <c r="L7">
        <v>2798</v>
      </c>
      <c r="M7">
        <v>40</v>
      </c>
      <c r="N7">
        <v>10</v>
      </c>
      <c r="O7">
        <v>930</v>
      </c>
      <c r="P7">
        <v>396</v>
      </c>
      <c r="Q7">
        <v>312</v>
      </c>
      <c r="R7">
        <v>157</v>
      </c>
      <c r="S7">
        <v>378</v>
      </c>
      <c r="T7">
        <v>99</v>
      </c>
    </row>
    <row r="8" spans="1:21" x14ac:dyDescent="0.25">
      <c r="A8" t="s">
        <v>772</v>
      </c>
      <c r="B8">
        <v>4</v>
      </c>
      <c r="C8">
        <v>15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366</v>
      </c>
      <c r="L8">
        <v>181</v>
      </c>
      <c r="M8">
        <v>2</v>
      </c>
      <c r="N8">
        <v>1</v>
      </c>
      <c r="O8">
        <v>67</v>
      </c>
      <c r="P8">
        <v>23</v>
      </c>
      <c r="Q8">
        <v>10</v>
      </c>
      <c r="R8">
        <v>5</v>
      </c>
      <c r="S8">
        <v>24</v>
      </c>
      <c r="T8">
        <v>1</v>
      </c>
    </row>
    <row r="9" spans="1:21" x14ac:dyDescent="0.25">
      <c r="A9" t="s">
        <v>773</v>
      </c>
      <c r="B9">
        <v>167</v>
      </c>
      <c r="C9">
        <v>2143</v>
      </c>
      <c r="D9">
        <v>144</v>
      </c>
      <c r="E9">
        <v>13</v>
      </c>
      <c r="F9">
        <v>4</v>
      </c>
      <c r="G9">
        <v>0</v>
      </c>
      <c r="H9">
        <v>6</v>
      </c>
      <c r="I9">
        <v>0</v>
      </c>
      <c r="J9">
        <v>0</v>
      </c>
      <c r="K9">
        <v>53700</v>
      </c>
      <c r="L9">
        <v>27776</v>
      </c>
      <c r="M9">
        <v>474</v>
      </c>
      <c r="N9">
        <v>194</v>
      </c>
      <c r="O9">
        <v>5318</v>
      </c>
      <c r="P9">
        <v>1843</v>
      </c>
      <c r="Q9">
        <v>1671</v>
      </c>
      <c r="R9">
        <v>780</v>
      </c>
      <c r="S9">
        <v>2718</v>
      </c>
      <c r="T9">
        <v>254</v>
      </c>
    </row>
    <row r="10" spans="1:21" x14ac:dyDescent="0.25">
      <c r="A10" t="s">
        <v>774</v>
      </c>
      <c r="B10">
        <v>254</v>
      </c>
      <c r="C10">
        <v>1441</v>
      </c>
      <c r="D10">
        <v>198</v>
      </c>
      <c r="E10">
        <v>41</v>
      </c>
      <c r="F10">
        <v>6</v>
      </c>
      <c r="G10">
        <v>0</v>
      </c>
      <c r="H10">
        <v>9</v>
      </c>
      <c r="I10">
        <v>0</v>
      </c>
      <c r="J10">
        <v>0</v>
      </c>
      <c r="K10">
        <v>36087</v>
      </c>
      <c r="L10">
        <v>18546</v>
      </c>
      <c r="M10">
        <v>379</v>
      </c>
      <c r="N10">
        <v>161</v>
      </c>
    </row>
    <row r="11" spans="1:21" x14ac:dyDescent="0.25">
      <c r="A11" t="s">
        <v>775</v>
      </c>
      <c r="B11">
        <v>171</v>
      </c>
      <c r="C11">
        <v>994</v>
      </c>
      <c r="D11">
        <v>148</v>
      </c>
      <c r="E11">
        <v>13</v>
      </c>
      <c r="F11">
        <v>4</v>
      </c>
      <c r="G11">
        <v>0</v>
      </c>
      <c r="H11">
        <v>6</v>
      </c>
      <c r="I11">
        <v>0</v>
      </c>
      <c r="J11">
        <v>0</v>
      </c>
      <c r="K11">
        <v>23841</v>
      </c>
      <c r="L11">
        <v>12209</v>
      </c>
      <c r="M11">
        <v>137</v>
      </c>
      <c r="N11">
        <v>44</v>
      </c>
    </row>
    <row r="12" spans="1:21" x14ac:dyDescent="0.25">
      <c r="A12" t="s">
        <v>459</v>
      </c>
      <c r="B12">
        <v>1131</v>
      </c>
      <c r="C12">
        <v>9402</v>
      </c>
      <c r="D12">
        <v>860</v>
      </c>
      <c r="E12">
        <v>168</v>
      </c>
      <c r="F12">
        <v>6</v>
      </c>
      <c r="G12">
        <v>0</v>
      </c>
      <c r="H12">
        <v>96</v>
      </c>
      <c r="I12">
        <v>1</v>
      </c>
      <c r="J12">
        <v>0</v>
      </c>
      <c r="K12">
        <v>214004</v>
      </c>
      <c r="L12">
        <v>106028</v>
      </c>
      <c r="M12">
        <v>3016</v>
      </c>
      <c r="N12">
        <v>1263</v>
      </c>
      <c r="O12">
        <v>13718</v>
      </c>
      <c r="P12">
        <v>8082</v>
      </c>
      <c r="Q12">
        <v>6771</v>
      </c>
      <c r="R12">
        <v>4065</v>
      </c>
      <c r="S12">
        <v>5004</v>
      </c>
      <c r="T12">
        <v>1138</v>
      </c>
    </row>
    <row r="13" spans="1:21" x14ac:dyDescent="0.25">
      <c r="A13" t="s">
        <v>460</v>
      </c>
      <c r="B13">
        <v>295</v>
      </c>
      <c r="C13">
        <v>1598</v>
      </c>
      <c r="D13">
        <v>164</v>
      </c>
      <c r="E13">
        <v>66</v>
      </c>
      <c r="F13">
        <v>32</v>
      </c>
      <c r="G13">
        <v>0</v>
      </c>
      <c r="H13">
        <v>32</v>
      </c>
      <c r="I13">
        <v>0</v>
      </c>
      <c r="J13">
        <v>1</v>
      </c>
      <c r="K13">
        <v>39565</v>
      </c>
      <c r="L13">
        <v>20552</v>
      </c>
      <c r="M13">
        <v>783</v>
      </c>
      <c r="N13">
        <v>360</v>
      </c>
      <c r="O13">
        <v>2351</v>
      </c>
      <c r="P13">
        <v>1279</v>
      </c>
      <c r="Q13">
        <v>505</v>
      </c>
      <c r="R13">
        <v>215</v>
      </c>
      <c r="S13">
        <v>735</v>
      </c>
      <c r="T13">
        <v>156</v>
      </c>
    </row>
    <row r="14" spans="1:21" x14ac:dyDescent="0.25">
      <c r="A14" s="29" t="s">
        <v>776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</sheetData>
  <mergeCells count="12">
    <mergeCell ref="B2:B3"/>
    <mergeCell ref="A2:A3"/>
    <mergeCell ref="A14:U14"/>
    <mergeCell ref="C2:C3"/>
    <mergeCell ref="A1:U1"/>
    <mergeCell ref="D2:J2"/>
    <mergeCell ref="S2:S3"/>
    <mergeCell ref="O2:P2"/>
    <mergeCell ref="M2:N2"/>
    <mergeCell ref="T2:T3"/>
    <mergeCell ref="Q2:R2"/>
    <mergeCell ref="K2:L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4472C4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" customWidth="1"/>
    <col min="10" max="10" width="10.140625" customWidth="1"/>
    <col min="11" max="11" width="11.28515625" customWidth="1"/>
    <col min="13" max="13" width="10.42578125" customWidth="1"/>
    <col min="14" max="14" width="10.140625" customWidth="1"/>
    <col min="15" max="15" width="10.710937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133</v>
      </c>
      <c r="C3">
        <v>947</v>
      </c>
      <c r="D3">
        <v>23316</v>
      </c>
      <c r="E3">
        <v>11458</v>
      </c>
      <c r="F3">
        <v>1204</v>
      </c>
      <c r="G3">
        <v>659</v>
      </c>
      <c r="H3">
        <v>232</v>
      </c>
      <c r="I3">
        <v>117</v>
      </c>
      <c r="J3">
        <v>495</v>
      </c>
      <c r="K3">
        <v>33</v>
      </c>
      <c r="L3">
        <v>17</v>
      </c>
      <c r="M3">
        <v>119</v>
      </c>
      <c r="N3">
        <v>1585</v>
      </c>
      <c r="O3">
        <v>794</v>
      </c>
    </row>
    <row r="4" spans="1:15" x14ac:dyDescent="0.25">
      <c r="A4" t="s">
        <v>284</v>
      </c>
      <c r="B4">
        <v>52</v>
      </c>
      <c r="C4">
        <v>407</v>
      </c>
      <c r="D4">
        <v>8992</v>
      </c>
      <c r="E4">
        <v>4373</v>
      </c>
      <c r="F4">
        <v>785</v>
      </c>
      <c r="G4">
        <v>458</v>
      </c>
      <c r="H4">
        <v>255</v>
      </c>
      <c r="I4">
        <v>147</v>
      </c>
      <c r="J4">
        <v>427</v>
      </c>
      <c r="K4">
        <v>37</v>
      </c>
      <c r="L4">
        <v>26</v>
      </c>
      <c r="M4">
        <v>72</v>
      </c>
      <c r="N4">
        <v>662</v>
      </c>
      <c r="O4">
        <v>408</v>
      </c>
    </row>
    <row r="5" spans="1:15" x14ac:dyDescent="0.25">
      <c r="A5" t="s">
        <v>285</v>
      </c>
      <c r="B5">
        <v>29</v>
      </c>
      <c r="C5">
        <v>208</v>
      </c>
      <c r="D5">
        <v>4770</v>
      </c>
      <c r="E5">
        <v>2357</v>
      </c>
      <c r="F5">
        <v>275</v>
      </c>
      <c r="G5">
        <v>158</v>
      </c>
      <c r="H5">
        <v>56</v>
      </c>
      <c r="I5">
        <v>23</v>
      </c>
      <c r="J5">
        <v>80</v>
      </c>
      <c r="K5">
        <v>7</v>
      </c>
      <c r="L5">
        <v>6</v>
      </c>
      <c r="M5">
        <v>45</v>
      </c>
      <c r="N5">
        <v>416</v>
      </c>
      <c r="O5">
        <v>206</v>
      </c>
    </row>
    <row r="6" spans="1:15" x14ac:dyDescent="0.25">
      <c r="A6" t="s">
        <v>286</v>
      </c>
      <c r="B6">
        <v>25</v>
      </c>
      <c r="C6">
        <v>181</v>
      </c>
      <c r="D6">
        <v>4256</v>
      </c>
      <c r="E6">
        <v>1940</v>
      </c>
      <c r="F6">
        <v>324</v>
      </c>
      <c r="G6">
        <v>209</v>
      </c>
      <c r="H6">
        <v>76</v>
      </c>
      <c r="I6">
        <v>42</v>
      </c>
      <c r="J6">
        <v>143</v>
      </c>
      <c r="K6">
        <v>9</v>
      </c>
      <c r="L6">
        <v>7</v>
      </c>
      <c r="M6">
        <v>36</v>
      </c>
      <c r="N6">
        <v>340</v>
      </c>
      <c r="O6">
        <v>179</v>
      </c>
    </row>
    <row r="7" spans="1:15" x14ac:dyDescent="0.25">
      <c r="A7" t="s">
        <v>287</v>
      </c>
      <c r="B7">
        <v>64</v>
      </c>
      <c r="C7">
        <v>361</v>
      </c>
      <c r="D7">
        <v>8260</v>
      </c>
      <c r="E7">
        <v>4272</v>
      </c>
      <c r="F7">
        <v>596</v>
      </c>
      <c r="G7">
        <v>348</v>
      </c>
      <c r="H7">
        <v>155</v>
      </c>
      <c r="I7">
        <v>55</v>
      </c>
      <c r="J7">
        <v>108</v>
      </c>
      <c r="K7">
        <v>39</v>
      </c>
      <c r="L7">
        <v>29</v>
      </c>
      <c r="M7">
        <v>86</v>
      </c>
      <c r="N7">
        <v>710</v>
      </c>
      <c r="O7">
        <v>325</v>
      </c>
    </row>
    <row r="8" spans="1:15" x14ac:dyDescent="0.25">
      <c r="A8" t="s">
        <v>288</v>
      </c>
      <c r="B8">
        <v>34</v>
      </c>
      <c r="C8">
        <v>133</v>
      </c>
      <c r="D8">
        <v>2658</v>
      </c>
      <c r="E8">
        <v>1298</v>
      </c>
      <c r="F8">
        <v>190</v>
      </c>
      <c r="G8">
        <v>88</v>
      </c>
      <c r="H8">
        <v>36</v>
      </c>
      <c r="I8">
        <v>20</v>
      </c>
      <c r="J8">
        <v>121</v>
      </c>
      <c r="K8">
        <v>3</v>
      </c>
      <c r="L8">
        <v>3</v>
      </c>
      <c r="M8">
        <v>55</v>
      </c>
      <c r="N8">
        <v>258</v>
      </c>
      <c r="O8">
        <v>129</v>
      </c>
    </row>
    <row r="9" spans="1:15" x14ac:dyDescent="0.25">
      <c r="A9" t="s">
        <v>289</v>
      </c>
      <c r="B9">
        <v>47</v>
      </c>
      <c r="C9">
        <v>304</v>
      </c>
      <c r="D9">
        <v>10904</v>
      </c>
      <c r="E9">
        <v>5610</v>
      </c>
      <c r="F9">
        <v>499</v>
      </c>
      <c r="G9">
        <v>261</v>
      </c>
      <c r="H9">
        <v>66</v>
      </c>
      <c r="I9">
        <v>34</v>
      </c>
      <c r="J9">
        <v>106</v>
      </c>
      <c r="K9">
        <v>66</v>
      </c>
      <c r="L9">
        <v>40</v>
      </c>
      <c r="M9">
        <v>62</v>
      </c>
      <c r="N9">
        <v>503</v>
      </c>
      <c r="O9">
        <v>222</v>
      </c>
    </row>
    <row r="10" spans="1:15" x14ac:dyDescent="0.25">
      <c r="A10" t="s">
        <v>290</v>
      </c>
      <c r="B10">
        <v>68</v>
      </c>
      <c r="C10">
        <v>540</v>
      </c>
      <c r="D10">
        <v>11402</v>
      </c>
      <c r="E10">
        <v>6079</v>
      </c>
      <c r="F10">
        <v>685</v>
      </c>
      <c r="G10">
        <v>391</v>
      </c>
      <c r="H10">
        <v>227</v>
      </c>
      <c r="I10">
        <v>129</v>
      </c>
      <c r="J10">
        <v>369</v>
      </c>
      <c r="K10">
        <v>63</v>
      </c>
      <c r="L10">
        <v>45</v>
      </c>
      <c r="M10">
        <v>95</v>
      </c>
      <c r="N10">
        <v>1386</v>
      </c>
      <c r="O10">
        <v>518</v>
      </c>
    </row>
    <row r="11" spans="1:15" x14ac:dyDescent="0.25">
      <c r="A11" t="s">
        <v>291</v>
      </c>
      <c r="B11">
        <v>4</v>
      </c>
      <c r="C11">
        <v>19</v>
      </c>
      <c r="D11">
        <v>946</v>
      </c>
      <c r="E11">
        <v>545</v>
      </c>
      <c r="F11">
        <v>26</v>
      </c>
      <c r="G11">
        <v>17</v>
      </c>
      <c r="H11">
        <v>4</v>
      </c>
      <c r="I11">
        <v>4</v>
      </c>
      <c r="J11">
        <v>3</v>
      </c>
      <c r="K11">
        <v>8</v>
      </c>
      <c r="L11">
        <v>4</v>
      </c>
      <c r="M11">
        <v>9</v>
      </c>
      <c r="N11">
        <v>26</v>
      </c>
      <c r="O11">
        <v>19</v>
      </c>
    </row>
    <row r="12" spans="1:15" x14ac:dyDescent="0.25">
      <c r="A12" t="s">
        <v>292</v>
      </c>
      <c r="B12">
        <v>29</v>
      </c>
      <c r="C12">
        <v>159</v>
      </c>
      <c r="D12">
        <v>4133</v>
      </c>
      <c r="E12">
        <v>2101</v>
      </c>
      <c r="F12">
        <v>190</v>
      </c>
      <c r="G12">
        <v>118</v>
      </c>
      <c r="H12">
        <v>23</v>
      </c>
      <c r="I12">
        <v>12</v>
      </c>
      <c r="J12">
        <v>57</v>
      </c>
      <c r="K12">
        <v>7</v>
      </c>
      <c r="L12">
        <v>6</v>
      </c>
      <c r="M12">
        <v>58</v>
      </c>
      <c r="N12">
        <v>249</v>
      </c>
      <c r="O12">
        <v>143</v>
      </c>
    </row>
    <row r="13" spans="1:15" x14ac:dyDescent="0.25">
      <c r="A13" t="s">
        <v>293</v>
      </c>
      <c r="B13">
        <v>8</v>
      </c>
      <c r="C13">
        <v>34</v>
      </c>
      <c r="D13">
        <v>706</v>
      </c>
      <c r="E13">
        <v>395</v>
      </c>
      <c r="F13">
        <v>76</v>
      </c>
      <c r="G13">
        <v>43</v>
      </c>
      <c r="H13">
        <v>35</v>
      </c>
      <c r="I13">
        <v>20</v>
      </c>
      <c r="J13">
        <v>2</v>
      </c>
      <c r="K13">
        <v>14</v>
      </c>
      <c r="L13">
        <v>10</v>
      </c>
      <c r="M13">
        <v>12</v>
      </c>
      <c r="N13">
        <v>74</v>
      </c>
      <c r="O13">
        <v>34</v>
      </c>
    </row>
    <row r="14" spans="1:15" x14ac:dyDescent="0.25">
      <c r="A14" t="s">
        <v>294</v>
      </c>
      <c r="B14">
        <v>8</v>
      </c>
      <c r="C14">
        <v>20</v>
      </c>
      <c r="D14">
        <v>406</v>
      </c>
      <c r="E14">
        <v>190</v>
      </c>
      <c r="F14">
        <v>40</v>
      </c>
      <c r="G14">
        <v>30</v>
      </c>
      <c r="H14">
        <v>16</v>
      </c>
      <c r="I14">
        <v>14</v>
      </c>
      <c r="J14">
        <v>0</v>
      </c>
      <c r="K14">
        <v>0</v>
      </c>
      <c r="L14">
        <v>0</v>
      </c>
      <c r="M14">
        <v>7</v>
      </c>
      <c r="N14">
        <v>35</v>
      </c>
      <c r="O14">
        <v>20</v>
      </c>
    </row>
    <row r="15" spans="1:15" x14ac:dyDescent="0.25">
      <c r="A15" t="s">
        <v>295</v>
      </c>
      <c r="B15">
        <v>6</v>
      </c>
      <c r="C15">
        <v>51</v>
      </c>
      <c r="D15">
        <v>1361</v>
      </c>
      <c r="E15">
        <v>625</v>
      </c>
      <c r="F15">
        <v>29</v>
      </c>
      <c r="G15">
        <v>20</v>
      </c>
      <c r="H15">
        <v>5</v>
      </c>
      <c r="I15">
        <v>2</v>
      </c>
      <c r="J15">
        <v>3</v>
      </c>
      <c r="K15">
        <v>0</v>
      </c>
      <c r="L15">
        <v>0</v>
      </c>
      <c r="M15">
        <v>8</v>
      </c>
      <c r="N15">
        <v>51</v>
      </c>
      <c r="O15">
        <v>30</v>
      </c>
    </row>
    <row r="16" spans="1:15" x14ac:dyDescent="0.25">
      <c r="A16" t="s">
        <v>296</v>
      </c>
      <c r="B16">
        <v>20</v>
      </c>
      <c r="C16">
        <v>116</v>
      </c>
      <c r="D16">
        <v>2400</v>
      </c>
      <c r="E16">
        <v>1156</v>
      </c>
      <c r="F16">
        <v>103</v>
      </c>
      <c r="G16">
        <v>89</v>
      </c>
      <c r="H16">
        <v>19</v>
      </c>
      <c r="I16">
        <v>9</v>
      </c>
      <c r="J16">
        <v>13</v>
      </c>
      <c r="K16">
        <v>3</v>
      </c>
      <c r="L16">
        <v>1</v>
      </c>
      <c r="M16">
        <v>26</v>
      </c>
      <c r="N16">
        <v>182</v>
      </c>
      <c r="O16">
        <v>94</v>
      </c>
    </row>
    <row r="17" spans="1:15" x14ac:dyDescent="0.25">
      <c r="A17" t="s">
        <v>297</v>
      </c>
      <c r="B17">
        <v>638</v>
      </c>
      <c r="C17">
        <v>5947</v>
      </c>
      <c r="D17">
        <v>133809</v>
      </c>
      <c r="E17">
        <v>66571</v>
      </c>
      <c r="F17">
        <v>8425</v>
      </c>
      <c r="G17">
        <v>4892</v>
      </c>
      <c r="H17">
        <v>5196</v>
      </c>
      <c r="I17">
        <v>3116</v>
      </c>
      <c r="J17">
        <v>2894</v>
      </c>
      <c r="K17">
        <v>722</v>
      </c>
      <c r="L17">
        <v>388</v>
      </c>
      <c r="M17">
        <v>676</v>
      </c>
      <c r="N17">
        <v>12292</v>
      </c>
      <c r="O17">
        <v>5166</v>
      </c>
    </row>
    <row r="18" spans="1:15" x14ac:dyDescent="0.25">
      <c r="A18" t="s">
        <v>298</v>
      </c>
      <c r="B18">
        <v>48</v>
      </c>
      <c r="C18">
        <v>343</v>
      </c>
      <c r="D18">
        <v>7962</v>
      </c>
      <c r="E18">
        <v>3709</v>
      </c>
      <c r="F18">
        <v>518</v>
      </c>
      <c r="G18">
        <v>275</v>
      </c>
      <c r="H18">
        <v>137</v>
      </c>
      <c r="I18">
        <v>90</v>
      </c>
      <c r="J18">
        <v>226</v>
      </c>
      <c r="K18">
        <v>87</v>
      </c>
      <c r="L18">
        <v>68</v>
      </c>
      <c r="M18">
        <v>51</v>
      </c>
      <c r="N18">
        <v>687</v>
      </c>
      <c r="O18">
        <v>307</v>
      </c>
    </row>
    <row r="19" spans="1:15" x14ac:dyDescent="0.25">
      <c r="A19" t="s">
        <v>299</v>
      </c>
      <c r="B19">
        <v>4</v>
      </c>
      <c r="C19">
        <v>19</v>
      </c>
      <c r="D19">
        <v>217</v>
      </c>
      <c r="E19">
        <v>105</v>
      </c>
      <c r="F19">
        <v>21</v>
      </c>
      <c r="G19">
        <v>15</v>
      </c>
      <c r="H19">
        <v>5</v>
      </c>
      <c r="I19">
        <v>3</v>
      </c>
      <c r="J19">
        <v>11</v>
      </c>
      <c r="K19">
        <v>2</v>
      </c>
      <c r="L19">
        <v>0</v>
      </c>
      <c r="M19">
        <v>8</v>
      </c>
      <c r="N19">
        <v>40</v>
      </c>
      <c r="O19">
        <v>36</v>
      </c>
    </row>
    <row r="20" spans="1:15" x14ac:dyDescent="0.25">
      <c r="A20" t="s">
        <v>300</v>
      </c>
      <c r="B20">
        <v>7</v>
      </c>
      <c r="C20">
        <v>26</v>
      </c>
      <c r="D20">
        <v>552</v>
      </c>
      <c r="E20">
        <v>239</v>
      </c>
      <c r="F20">
        <v>45</v>
      </c>
      <c r="G20">
        <v>29</v>
      </c>
      <c r="H20">
        <v>11</v>
      </c>
      <c r="I20">
        <v>6</v>
      </c>
      <c r="J20">
        <v>0</v>
      </c>
      <c r="K20">
        <v>1</v>
      </c>
      <c r="L20">
        <v>0</v>
      </c>
      <c r="M20">
        <v>15</v>
      </c>
      <c r="N20">
        <v>71</v>
      </c>
      <c r="O20">
        <v>26</v>
      </c>
    </row>
    <row r="21" spans="1:15" x14ac:dyDescent="0.25">
      <c r="A21" t="s">
        <v>301</v>
      </c>
      <c r="B21">
        <v>11</v>
      </c>
      <c r="C21">
        <v>46</v>
      </c>
      <c r="D21">
        <v>1406</v>
      </c>
      <c r="E21">
        <v>685</v>
      </c>
      <c r="F21">
        <v>77</v>
      </c>
      <c r="G21">
        <v>65</v>
      </c>
      <c r="H21">
        <v>34</v>
      </c>
      <c r="I21">
        <v>26</v>
      </c>
      <c r="J21">
        <v>23</v>
      </c>
      <c r="K21">
        <v>0</v>
      </c>
      <c r="L21">
        <v>0</v>
      </c>
      <c r="M21">
        <v>16</v>
      </c>
      <c r="N21">
        <v>108</v>
      </c>
      <c r="O21">
        <v>44</v>
      </c>
    </row>
    <row r="22" spans="1:15" x14ac:dyDescent="0.25">
      <c r="A22" t="s">
        <v>302</v>
      </c>
      <c r="B22">
        <v>13</v>
      </c>
      <c r="C22">
        <v>132</v>
      </c>
      <c r="D22">
        <v>2971</v>
      </c>
      <c r="E22">
        <v>1407</v>
      </c>
      <c r="F22">
        <v>290</v>
      </c>
      <c r="G22">
        <v>162</v>
      </c>
      <c r="H22">
        <v>179</v>
      </c>
      <c r="I22">
        <v>100</v>
      </c>
      <c r="J22">
        <v>185</v>
      </c>
      <c r="K22">
        <v>0</v>
      </c>
      <c r="L22">
        <v>0</v>
      </c>
      <c r="M22">
        <v>31</v>
      </c>
      <c r="N22">
        <v>284</v>
      </c>
      <c r="O22">
        <v>103</v>
      </c>
    </row>
    <row r="23" spans="1:15" x14ac:dyDescent="0.25">
      <c r="A23" t="s">
        <v>303</v>
      </c>
      <c r="B23">
        <v>83</v>
      </c>
      <c r="C23">
        <v>581</v>
      </c>
      <c r="D23">
        <v>12504</v>
      </c>
      <c r="E23">
        <v>6318</v>
      </c>
      <c r="F23">
        <v>921</v>
      </c>
      <c r="G23">
        <v>611</v>
      </c>
      <c r="H23">
        <v>280</v>
      </c>
      <c r="I23">
        <v>186</v>
      </c>
      <c r="J23">
        <v>251</v>
      </c>
      <c r="K23">
        <v>129</v>
      </c>
      <c r="L23">
        <v>101</v>
      </c>
      <c r="M23">
        <v>102</v>
      </c>
      <c r="N23">
        <v>959</v>
      </c>
      <c r="O23">
        <v>483</v>
      </c>
    </row>
    <row r="24" spans="1:15" x14ac:dyDescent="0.25">
      <c r="A24" t="s">
        <v>304</v>
      </c>
      <c r="B24">
        <v>11</v>
      </c>
      <c r="C24">
        <v>51</v>
      </c>
      <c r="D24">
        <v>863</v>
      </c>
      <c r="E24">
        <v>432</v>
      </c>
      <c r="F24">
        <v>70</v>
      </c>
      <c r="G24">
        <v>43</v>
      </c>
      <c r="H24">
        <v>11</v>
      </c>
      <c r="I24">
        <v>7</v>
      </c>
      <c r="J24">
        <v>23</v>
      </c>
      <c r="K24">
        <v>11</v>
      </c>
      <c r="L24">
        <v>10</v>
      </c>
      <c r="M24">
        <v>7</v>
      </c>
      <c r="N24">
        <v>47</v>
      </c>
      <c r="O24">
        <v>40</v>
      </c>
    </row>
    <row r="25" spans="1:15" x14ac:dyDescent="0.25">
      <c r="A25" t="s">
        <v>305</v>
      </c>
      <c r="B25">
        <v>13</v>
      </c>
      <c r="C25">
        <v>41</v>
      </c>
      <c r="D25">
        <v>853</v>
      </c>
      <c r="E25">
        <v>444</v>
      </c>
      <c r="F25">
        <v>66</v>
      </c>
      <c r="G25">
        <v>54</v>
      </c>
      <c r="H25">
        <v>48</v>
      </c>
      <c r="I25">
        <v>33</v>
      </c>
      <c r="J25">
        <v>8</v>
      </c>
      <c r="K25">
        <v>15</v>
      </c>
      <c r="L25">
        <v>15</v>
      </c>
      <c r="M25">
        <v>8</v>
      </c>
      <c r="N25">
        <v>84</v>
      </c>
      <c r="O25">
        <v>41</v>
      </c>
    </row>
    <row r="26" spans="1:15" x14ac:dyDescent="0.25">
      <c r="A26" t="s">
        <v>306</v>
      </c>
      <c r="B26">
        <v>40</v>
      </c>
      <c r="C26">
        <v>174</v>
      </c>
      <c r="D26">
        <v>3557</v>
      </c>
      <c r="E26">
        <v>1687</v>
      </c>
      <c r="F26">
        <v>346</v>
      </c>
      <c r="G26">
        <v>152</v>
      </c>
      <c r="H26">
        <v>122</v>
      </c>
      <c r="I26">
        <v>62</v>
      </c>
      <c r="J26">
        <v>158</v>
      </c>
      <c r="K26">
        <v>9</v>
      </c>
      <c r="L26">
        <v>5</v>
      </c>
      <c r="M26">
        <v>60</v>
      </c>
      <c r="N26">
        <v>358</v>
      </c>
      <c r="O26">
        <v>169</v>
      </c>
    </row>
    <row r="27" spans="1:15" x14ac:dyDescent="0.25">
      <c r="A27" t="s">
        <v>307</v>
      </c>
      <c r="B27">
        <v>31</v>
      </c>
      <c r="C27">
        <v>160</v>
      </c>
      <c r="D27">
        <v>4365</v>
      </c>
      <c r="E27">
        <v>2584</v>
      </c>
      <c r="F27">
        <v>268</v>
      </c>
      <c r="G27">
        <v>174</v>
      </c>
      <c r="H27">
        <v>48</v>
      </c>
      <c r="I27">
        <v>23</v>
      </c>
      <c r="J27">
        <v>33</v>
      </c>
      <c r="K27">
        <v>29</v>
      </c>
      <c r="L27">
        <v>24</v>
      </c>
      <c r="M27">
        <v>46</v>
      </c>
      <c r="N27">
        <v>453</v>
      </c>
      <c r="O27">
        <v>187</v>
      </c>
    </row>
    <row r="28" spans="1:15" x14ac:dyDescent="0.25">
      <c r="A28" t="s">
        <v>266</v>
      </c>
      <c r="B28">
        <v>1426</v>
      </c>
      <c r="C28">
        <v>11000</v>
      </c>
      <c r="D28">
        <v>253569</v>
      </c>
      <c r="E28">
        <v>126580</v>
      </c>
      <c r="F28">
        <v>16069</v>
      </c>
      <c r="G28">
        <v>9361</v>
      </c>
      <c r="H28">
        <v>7276</v>
      </c>
      <c r="I28">
        <v>4280</v>
      </c>
      <c r="J28">
        <v>5739</v>
      </c>
      <c r="K28">
        <v>1294</v>
      </c>
      <c r="L28">
        <v>805</v>
      </c>
      <c r="M28">
        <v>1710</v>
      </c>
      <c r="N28">
        <v>21860</v>
      </c>
      <c r="O28">
        <v>9723</v>
      </c>
    </row>
    <row r="29" spans="1:15" x14ac:dyDescent="0.25">
      <c r="A29" t="s">
        <v>459</v>
      </c>
      <c r="B29">
        <v>1131</v>
      </c>
      <c r="C29">
        <v>9402</v>
      </c>
      <c r="D29">
        <v>214004</v>
      </c>
      <c r="E29">
        <v>106028</v>
      </c>
      <c r="F29">
        <v>13718</v>
      </c>
      <c r="G29">
        <v>8082</v>
      </c>
      <c r="H29">
        <v>6771</v>
      </c>
      <c r="I29">
        <v>4065</v>
      </c>
      <c r="J29">
        <v>5004</v>
      </c>
      <c r="K29">
        <v>1138</v>
      </c>
      <c r="L29">
        <v>702</v>
      </c>
      <c r="M29">
        <v>1274</v>
      </c>
      <c r="N29">
        <v>18970</v>
      </c>
      <c r="O29">
        <v>8201</v>
      </c>
    </row>
    <row r="30" spans="1:15" x14ac:dyDescent="0.25">
      <c r="A30" t="s">
        <v>460</v>
      </c>
      <c r="B30">
        <v>295</v>
      </c>
      <c r="C30">
        <v>1598</v>
      </c>
      <c r="D30">
        <v>39565</v>
      </c>
      <c r="E30">
        <v>20552</v>
      </c>
      <c r="F30">
        <v>2351</v>
      </c>
      <c r="G30">
        <v>1279</v>
      </c>
      <c r="H30">
        <v>505</v>
      </c>
      <c r="I30">
        <v>215</v>
      </c>
      <c r="J30">
        <v>735</v>
      </c>
      <c r="K30">
        <v>156</v>
      </c>
      <c r="L30">
        <v>103</v>
      </c>
      <c r="M30">
        <v>436</v>
      </c>
      <c r="N30">
        <v>2890</v>
      </c>
      <c r="O30">
        <v>1522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ED7D31"/>
  </sheetPr>
  <dimension ref="A1:O21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10</v>
      </c>
      <c r="C3">
        <v>26</v>
      </c>
      <c r="D3">
        <v>504</v>
      </c>
      <c r="E3">
        <v>271</v>
      </c>
      <c r="F3">
        <v>101</v>
      </c>
      <c r="G3">
        <v>48</v>
      </c>
      <c r="H3">
        <v>14</v>
      </c>
      <c r="I3">
        <v>3</v>
      </c>
      <c r="J3">
        <v>51</v>
      </c>
      <c r="K3">
        <v>3</v>
      </c>
      <c r="L3">
        <v>2</v>
      </c>
      <c r="M3">
        <v>12</v>
      </c>
      <c r="N3">
        <v>93</v>
      </c>
      <c r="O3">
        <v>26</v>
      </c>
    </row>
    <row r="4" spans="1:15" x14ac:dyDescent="0.25">
      <c r="A4" t="s">
        <v>284</v>
      </c>
      <c r="B4">
        <v>1</v>
      </c>
      <c r="C4">
        <v>3</v>
      </c>
      <c r="D4">
        <v>18</v>
      </c>
      <c r="E4">
        <v>5</v>
      </c>
      <c r="F4">
        <v>23</v>
      </c>
      <c r="G4">
        <v>12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3</v>
      </c>
      <c r="O4">
        <v>3</v>
      </c>
    </row>
    <row r="5" spans="1:15" x14ac:dyDescent="0.25">
      <c r="A5" t="s">
        <v>285</v>
      </c>
      <c r="B5">
        <v>2</v>
      </c>
      <c r="C5">
        <v>5</v>
      </c>
      <c r="D5">
        <v>81</v>
      </c>
      <c r="E5">
        <v>36</v>
      </c>
      <c r="F5">
        <v>11</v>
      </c>
      <c r="G5">
        <v>6</v>
      </c>
      <c r="H5">
        <v>11</v>
      </c>
      <c r="I5">
        <v>5</v>
      </c>
      <c r="J5">
        <v>0</v>
      </c>
      <c r="K5">
        <v>0</v>
      </c>
      <c r="L5">
        <v>0</v>
      </c>
      <c r="M5">
        <v>5</v>
      </c>
      <c r="N5">
        <v>28</v>
      </c>
      <c r="O5">
        <v>5</v>
      </c>
    </row>
    <row r="6" spans="1:15" x14ac:dyDescent="0.25">
      <c r="A6" t="s">
        <v>286</v>
      </c>
      <c r="B6">
        <v>1</v>
      </c>
      <c r="C6">
        <v>1</v>
      </c>
      <c r="D6">
        <v>24</v>
      </c>
      <c r="E6">
        <v>8</v>
      </c>
      <c r="F6">
        <v>6</v>
      </c>
      <c r="G6">
        <v>2</v>
      </c>
      <c r="H6">
        <v>1</v>
      </c>
      <c r="I6">
        <v>0</v>
      </c>
      <c r="J6">
        <v>5</v>
      </c>
      <c r="K6">
        <v>0</v>
      </c>
      <c r="L6">
        <v>0</v>
      </c>
      <c r="M6">
        <v>1</v>
      </c>
      <c r="N6">
        <v>6</v>
      </c>
      <c r="O6">
        <v>1</v>
      </c>
    </row>
    <row r="7" spans="1:15" x14ac:dyDescent="0.25">
      <c r="A7" t="s">
        <v>287</v>
      </c>
      <c r="B7">
        <v>4</v>
      </c>
      <c r="C7">
        <v>12</v>
      </c>
      <c r="D7">
        <v>317</v>
      </c>
      <c r="E7">
        <v>174</v>
      </c>
      <c r="F7">
        <v>62</v>
      </c>
      <c r="G7">
        <v>27</v>
      </c>
      <c r="H7">
        <v>18</v>
      </c>
      <c r="I7">
        <v>5</v>
      </c>
      <c r="J7">
        <v>4</v>
      </c>
      <c r="K7">
        <v>2</v>
      </c>
      <c r="L7">
        <v>1</v>
      </c>
      <c r="M7">
        <v>8</v>
      </c>
      <c r="N7">
        <v>68</v>
      </c>
      <c r="O7">
        <v>12</v>
      </c>
    </row>
    <row r="8" spans="1:15" x14ac:dyDescent="0.25">
      <c r="A8" t="s">
        <v>288</v>
      </c>
      <c r="B8">
        <v>2</v>
      </c>
      <c r="C8">
        <v>3</v>
      </c>
      <c r="D8">
        <v>59</v>
      </c>
      <c r="E8">
        <v>22</v>
      </c>
      <c r="F8">
        <v>8</v>
      </c>
      <c r="G8">
        <v>1</v>
      </c>
      <c r="H8">
        <v>1</v>
      </c>
      <c r="I8">
        <v>0</v>
      </c>
      <c r="J8">
        <v>8</v>
      </c>
      <c r="K8">
        <v>0</v>
      </c>
      <c r="L8">
        <v>0</v>
      </c>
      <c r="M8">
        <v>4</v>
      </c>
      <c r="N8">
        <v>45</v>
      </c>
      <c r="O8">
        <v>3</v>
      </c>
    </row>
    <row r="9" spans="1:15" x14ac:dyDescent="0.25">
      <c r="A9" t="s">
        <v>289</v>
      </c>
      <c r="B9">
        <v>6</v>
      </c>
      <c r="C9">
        <v>21</v>
      </c>
      <c r="D9">
        <v>531</v>
      </c>
      <c r="E9">
        <v>185</v>
      </c>
      <c r="F9">
        <v>60</v>
      </c>
      <c r="G9">
        <v>17</v>
      </c>
      <c r="H9">
        <v>9</v>
      </c>
      <c r="I9">
        <v>2</v>
      </c>
      <c r="J9">
        <v>18</v>
      </c>
      <c r="K9">
        <v>12</v>
      </c>
      <c r="L9">
        <v>10</v>
      </c>
      <c r="M9">
        <v>18</v>
      </c>
      <c r="N9">
        <v>77</v>
      </c>
      <c r="O9">
        <v>18</v>
      </c>
    </row>
    <row r="10" spans="1:15" x14ac:dyDescent="0.25">
      <c r="A10" t="s">
        <v>290</v>
      </c>
      <c r="B10">
        <v>4</v>
      </c>
      <c r="C10">
        <v>9</v>
      </c>
      <c r="D10">
        <v>104</v>
      </c>
      <c r="E10">
        <v>68</v>
      </c>
      <c r="F10">
        <v>27</v>
      </c>
      <c r="G10">
        <v>15</v>
      </c>
      <c r="H10">
        <v>12</v>
      </c>
      <c r="I10">
        <v>7</v>
      </c>
      <c r="J10">
        <v>23</v>
      </c>
      <c r="K10">
        <v>7</v>
      </c>
      <c r="L10">
        <v>6</v>
      </c>
      <c r="M10">
        <v>6</v>
      </c>
      <c r="N10">
        <v>85</v>
      </c>
      <c r="O10">
        <v>9</v>
      </c>
    </row>
    <row r="11" spans="1:15" x14ac:dyDescent="0.25">
      <c r="A11" t="s">
        <v>292</v>
      </c>
      <c r="B11">
        <v>3</v>
      </c>
      <c r="C11">
        <v>5</v>
      </c>
      <c r="D11">
        <v>115</v>
      </c>
      <c r="E11">
        <v>59</v>
      </c>
      <c r="F11">
        <v>14</v>
      </c>
      <c r="G11">
        <v>3</v>
      </c>
      <c r="H11">
        <v>0</v>
      </c>
      <c r="I11">
        <v>0</v>
      </c>
      <c r="J11">
        <v>0</v>
      </c>
      <c r="K11">
        <v>2</v>
      </c>
      <c r="L11">
        <v>2</v>
      </c>
      <c r="M11">
        <v>4</v>
      </c>
      <c r="N11">
        <v>38</v>
      </c>
      <c r="O11">
        <v>5</v>
      </c>
    </row>
    <row r="12" spans="1:15" x14ac:dyDescent="0.25">
      <c r="A12" t="s">
        <v>294</v>
      </c>
      <c r="B12">
        <v>1</v>
      </c>
      <c r="C12">
        <v>1</v>
      </c>
      <c r="D12">
        <v>10</v>
      </c>
      <c r="E12">
        <v>5</v>
      </c>
      <c r="F12">
        <v>5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</row>
    <row r="13" spans="1:15" x14ac:dyDescent="0.25">
      <c r="A13" t="s">
        <v>297</v>
      </c>
      <c r="B13">
        <v>38</v>
      </c>
      <c r="C13">
        <v>160</v>
      </c>
      <c r="D13">
        <v>3562</v>
      </c>
      <c r="E13">
        <v>1717</v>
      </c>
      <c r="F13">
        <v>499</v>
      </c>
      <c r="G13">
        <v>212</v>
      </c>
      <c r="H13">
        <v>225</v>
      </c>
      <c r="I13">
        <v>124</v>
      </c>
      <c r="J13">
        <v>228</v>
      </c>
      <c r="K13">
        <v>39</v>
      </c>
      <c r="L13">
        <v>10</v>
      </c>
      <c r="M13">
        <v>46</v>
      </c>
      <c r="N13">
        <v>638</v>
      </c>
      <c r="O13">
        <v>150</v>
      </c>
    </row>
    <row r="14" spans="1:15" x14ac:dyDescent="0.25">
      <c r="A14" t="s">
        <v>298</v>
      </c>
      <c r="B14">
        <v>5</v>
      </c>
      <c r="C14">
        <v>11</v>
      </c>
      <c r="D14">
        <v>120</v>
      </c>
      <c r="E14">
        <v>52</v>
      </c>
      <c r="F14">
        <v>40</v>
      </c>
      <c r="G14">
        <v>14</v>
      </c>
      <c r="H14">
        <v>5</v>
      </c>
      <c r="I14">
        <v>3</v>
      </c>
      <c r="J14">
        <v>23</v>
      </c>
      <c r="K14">
        <v>22</v>
      </c>
      <c r="L14">
        <v>18</v>
      </c>
      <c r="M14">
        <v>6</v>
      </c>
      <c r="N14">
        <v>100</v>
      </c>
      <c r="O14">
        <v>11</v>
      </c>
    </row>
    <row r="15" spans="1:15" x14ac:dyDescent="0.25">
      <c r="A15" t="s">
        <v>303</v>
      </c>
      <c r="B15">
        <v>4</v>
      </c>
      <c r="C15">
        <v>7</v>
      </c>
      <c r="D15">
        <v>63</v>
      </c>
      <c r="E15">
        <v>26</v>
      </c>
      <c r="F15">
        <v>32</v>
      </c>
      <c r="G15">
        <v>21</v>
      </c>
      <c r="H15">
        <v>10</v>
      </c>
      <c r="I15">
        <v>6</v>
      </c>
      <c r="J15">
        <v>7</v>
      </c>
      <c r="K15">
        <v>8</v>
      </c>
      <c r="L15">
        <v>4</v>
      </c>
      <c r="M15">
        <v>5</v>
      </c>
      <c r="N15">
        <v>66</v>
      </c>
      <c r="O15">
        <v>6</v>
      </c>
    </row>
    <row r="16" spans="1:15" x14ac:dyDescent="0.25">
      <c r="A16" t="s">
        <v>304</v>
      </c>
      <c r="B16">
        <v>1</v>
      </c>
      <c r="C16">
        <v>3</v>
      </c>
      <c r="D16">
        <v>63</v>
      </c>
      <c r="E16">
        <v>35</v>
      </c>
      <c r="F16">
        <v>8</v>
      </c>
      <c r="G16">
        <v>4</v>
      </c>
      <c r="H16">
        <v>1</v>
      </c>
      <c r="I16">
        <v>0</v>
      </c>
      <c r="J16">
        <v>7</v>
      </c>
      <c r="K16">
        <v>0</v>
      </c>
      <c r="L16">
        <v>0</v>
      </c>
      <c r="M16">
        <v>1</v>
      </c>
      <c r="N16">
        <v>3</v>
      </c>
      <c r="O16">
        <v>3</v>
      </c>
    </row>
    <row r="17" spans="1:15" x14ac:dyDescent="0.25">
      <c r="A17" t="s">
        <v>306</v>
      </c>
      <c r="B17">
        <v>2</v>
      </c>
      <c r="C17">
        <v>1</v>
      </c>
      <c r="D17">
        <v>19</v>
      </c>
      <c r="E17">
        <v>10</v>
      </c>
      <c r="F17">
        <v>20</v>
      </c>
      <c r="G17">
        <v>7</v>
      </c>
      <c r="H17">
        <v>4</v>
      </c>
      <c r="I17">
        <v>1</v>
      </c>
      <c r="J17">
        <v>4</v>
      </c>
      <c r="K17">
        <v>0</v>
      </c>
      <c r="L17">
        <v>0</v>
      </c>
      <c r="M17">
        <v>6</v>
      </c>
      <c r="N17">
        <v>39</v>
      </c>
      <c r="O17">
        <v>3</v>
      </c>
    </row>
    <row r="18" spans="1:15" x14ac:dyDescent="0.25">
      <c r="A18" t="s">
        <v>307</v>
      </c>
      <c r="B18">
        <v>3</v>
      </c>
      <c r="C18">
        <v>9</v>
      </c>
      <c r="D18">
        <v>272</v>
      </c>
      <c r="E18">
        <v>125</v>
      </c>
      <c r="F18">
        <v>14</v>
      </c>
      <c r="G18">
        <v>5</v>
      </c>
      <c r="H18">
        <v>1</v>
      </c>
      <c r="I18">
        <v>1</v>
      </c>
      <c r="J18">
        <v>0</v>
      </c>
      <c r="K18">
        <v>4</v>
      </c>
      <c r="L18">
        <v>2</v>
      </c>
      <c r="M18">
        <v>3</v>
      </c>
      <c r="N18">
        <v>124</v>
      </c>
      <c r="O18">
        <v>9</v>
      </c>
    </row>
    <row r="19" spans="1:15" x14ac:dyDescent="0.25">
      <c r="A19" t="s">
        <v>266</v>
      </c>
      <c r="B19">
        <v>87</v>
      </c>
      <c r="C19">
        <v>277</v>
      </c>
      <c r="D19">
        <v>5862</v>
      </c>
      <c r="E19">
        <v>2798</v>
      </c>
      <c r="F19">
        <v>930</v>
      </c>
      <c r="G19">
        <v>396</v>
      </c>
      <c r="H19">
        <v>312</v>
      </c>
      <c r="I19">
        <v>157</v>
      </c>
      <c r="J19">
        <v>378</v>
      </c>
      <c r="K19">
        <v>99</v>
      </c>
      <c r="L19">
        <v>55</v>
      </c>
      <c r="M19">
        <v>127</v>
      </c>
      <c r="N19">
        <v>1414</v>
      </c>
      <c r="O19">
        <v>265</v>
      </c>
    </row>
    <row r="20" spans="1:15" x14ac:dyDescent="0.25">
      <c r="A20" t="s">
        <v>459</v>
      </c>
      <c r="B20">
        <v>65</v>
      </c>
      <c r="C20">
        <v>221</v>
      </c>
      <c r="D20">
        <v>4513</v>
      </c>
      <c r="E20">
        <v>2201</v>
      </c>
      <c r="F20">
        <v>733</v>
      </c>
      <c r="G20">
        <v>324</v>
      </c>
      <c r="H20">
        <v>279</v>
      </c>
      <c r="I20">
        <v>149</v>
      </c>
      <c r="J20">
        <v>305</v>
      </c>
      <c r="K20">
        <v>86</v>
      </c>
      <c r="L20">
        <v>47</v>
      </c>
      <c r="M20">
        <v>82</v>
      </c>
      <c r="N20">
        <v>979</v>
      </c>
      <c r="O20">
        <v>207</v>
      </c>
    </row>
    <row r="21" spans="1:15" x14ac:dyDescent="0.25">
      <c r="A21" t="s">
        <v>460</v>
      </c>
      <c r="B21">
        <v>22</v>
      </c>
      <c r="C21">
        <v>56</v>
      </c>
      <c r="D21">
        <v>1349</v>
      </c>
      <c r="E21">
        <v>597</v>
      </c>
      <c r="F21">
        <v>197</v>
      </c>
      <c r="G21">
        <v>72</v>
      </c>
      <c r="H21">
        <v>33</v>
      </c>
      <c r="I21">
        <v>8</v>
      </c>
      <c r="J21">
        <v>73</v>
      </c>
      <c r="K21">
        <v>13</v>
      </c>
      <c r="L21">
        <v>8</v>
      </c>
      <c r="M21">
        <v>45</v>
      </c>
      <c r="N21">
        <v>435</v>
      </c>
      <c r="O21">
        <v>58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ED7D31"/>
  </sheetPr>
  <dimension ref="A1:O23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14</v>
      </c>
      <c r="C3">
        <v>163</v>
      </c>
      <c r="D3">
        <v>4536</v>
      </c>
      <c r="E3">
        <v>2283</v>
      </c>
      <c r="F3">
        <v>389</v>
      </c>
      <c r="G3">
        <v>127</v>
      </c>
      <c r="H3">
        <v>49</v>
      </c>
      <c r="I3">
        <v>14</v>
      </c>
      <c r="J3">
        <v>285</v>
      </c>
      <c r="K3">
        <v>14</v>
      </c>
      <c r="L3">
        <v>5</v>
      </c>
      <c r="M3">
        <v>27</v>
      </c>
      <c r="N3">
        <v>455</v>
      </c>
      <c r="O3">
        <v>158</v>
      </c>
    </row>
    <row r="4" spans="1:15" x14ac:dyDescent="0.25">
      <c r="A4" t="s">
        <v>284</v>
      </c>
      <c r="B4">
        <v>10</v>
      </c>
      <c r="C4">
        <v>117</v>
      </c>
      <c r="D4">
        <v>2938</v>
      </c>
      <c r="E4">
        <v>1501</v>
      </c>
      <c r="F4">
        <v>464</v>
      </c>
      <c r="G4">
        <v>205</v>
      </c>
      <c r="H4">
        <v>117</v>
      </c>
      <c r="I4">
        <v>46</v>
      </c>
      <c r="J4">
        <v>293</v>
      </c>
      <c r="K4">
        <v>4</v>
      </c>
      <c r="L4">
        <v>0</v>
      </c>
      <c r="M4">
        <v>13</v>
      </c>
      <c r="N4">
        <v>255</v>
      </c>
      <c r="O4">
        <v>134</v>
      </c>
    </row>
    <row r="5" spans="1:15" x14ac:dyDescent="0.25">
      <c r="A5" t="s">
        <v>285</v>
      </c>
      <c r="B5">
        <v>2</v>
      </c>
      <c r="C5">
        <v>22</v>
      </c>
      <c r="D5">
        <v>629</v>
      </c>
      <c r="E5">
        <v>320</v>
      </c>
      <c r="F5">
        <v>63</v>
      </c>
      <c r="G5">
        <v>24</v>
      </c>
      <c r="H5">
        <v>2</v>
      </c>
      <c r="I5">
        <v>1</v>
      </c>
      <c r="J5">
        <v>33</v>
      </c>
      <c r="K5">
        <v>1</v>
      </c>
      <c r="L5">
        <v>0</v>
      </c>
      <c r="M5">
        <v>4</v>
      </c>
      <c r="N5">
        <v>79</v>
      </c>
      <c r="O5">
        <v>22</v>
      </c>
    </row>
    <row r="6" spans="1:15" x14ac:dyDescent="0.25">
      <c r="A6" t="s">
        <v>286</v>
      </c>
      <c r="B6">
        <v>4</v>
      </c>
      <c r="C6">
        <v>32</v>
      </c>
      <c r="D6">
        <v>867</v>
      </c>
      <c r="E6">
        <v>335</v>
      </c>
      <c r="F6">
        <v>115</v>
      </c>
      <c r="G6">
        <v>42</v>
      </c>
      <c r="H6">
        <v>9</v>
      </c>
      <c r="I6">
        <v>3</v>
      </c>
      <c r="J6">
        <v>59</v>
      </c>
      <c r="K6">
        <v>0</v>
      </c>
      <c r="L6">
        <v>0</v>
      </c>
      <c r="M6">
        <v>6</v>
      </c>
      <c r="N6">
        <v>81</v>
      </c>
      <c r="O6">
        <v>32</v>
      </c>
    </row>
    <row r="7" spans="1:15" x14ac:dyDescent="0.25">
      <c r="A7" t="s">
        <v>287</v>
      </c>
      <c r="B7">
        <v>6</v>
      </c>
      <c r="C7">
        <v>42</v>
      </c>
      <c r="D7">
        <v>572</v>
      </c>
      <c r="E7">
        <v>320</v>
      </c>
      <c r="F7">
        <v>105</v>
      </c>
      <c r="G7">
        <v>39</v>
      </c>
      <c r="H7">
        <v>18</v>
      </c>
      <c r="I7">
        <v>8</v>
      </c>
      <c r="J7">
        <v>25</v>
      </c>
      <c r="K7">
        <v>8</v>
      </c>
      <c r="L7">
        <v>5</v>
      </c>
      <c r="M7">
        <v>8</v>
      </c>
      <c r="N7">
        <v>104</v>
      </c>
      <c r="O7">
        <v>42</v>
      </c>
    </row>
    <row r="8" spans="1:15" x14ac:dyDescent="0.25">
      <c r="A8" t="s">
        <v>288</v>
      </c>
      <c r="B8">
        <v>3</v>
      </c>
      <c r="C8">
        <v>20</v>
      </c>
      <c r="D8">
        <v>286</v>
      </c>
      <c r="E8">
        <v>132</v>
      </c>
      <c r="F8">
        <v>55</v>
      </c>
      <c r="G8">
        <v>15</v>
      </c>
      <c r="H8">
        <v>13</v>
      </c>
      <c r="I8">
        <v>7</v>
      </c>
      <c r="J8">
        <v>48</v>
      </c>
      <c r="K8">
        <v>2</v>
      </c>
      <c r="L8">
        <v>2</v>
      </c>
      <c r="M8">
        <v>15</v>
      </c>
      <c r="N8">
        <v>44</v>
      </c>
      <c r="O8">
        <v>19</v>
      </c>
    </row>
    <row r="9" spans="1:15" x14ac:dyDescent="0.25">
      <c r="A9" t="s">
        <v>289</v>
      </c>
      <c r="B9">
        <v>8</v>
      </c>
      <c r="C9">
        <v>60</v>
      </c>
      <c r="D9">
        <v>2303</v>
      </c>
      <c r="E9">
        <v>1277</v>
      </c>
      <c r="F9">
        <v>166</v>
      </c>
      <c r="G9">
        <v>50</v>
      </c>
      <c r="H9">
        <v>21</v>
      </c>
      <c r="I9">
        <v>14</v>
      </c>
      <c r="J9">
        <v>35</v>
      </c>
      <c r="K9">
        <v>7</v>
      </c>
      <c r="L9">
        <v>1</v>
      </c>
      <c r="M9">
        <v>12</v>
      </c>
      <c r="N9">
        <v>149</v>
      </c>
      <c r="O9">
        <v>27</v>
      </c>
    </row>
    <row r="10" spans="1:15" x14ac:dyDescent="0.25">
      <c r="A10" t="s">
        <v>290</v>
      </c>
      <c r="B10">
        <v>6</v>
      </c>
      <c r="C10">
        <v>125</v>
      </c>
      <c r="D10">
        <v>2774</v>
      </c>
      <c r="E10">
        <v>1523</v>
      </c>
      <c r="F10">
        <v>222</v>
      </c>
      <c r="G10">
        <v>61</v>
      </c>
      <c r="H10">
        <v>40</v>
      </c>
      <c r="I10">
        <v>16</v>
      </c>
      <c r="J10">
        <v>208</v>
      </c>
      <c r="K10">
        <v>0</v>
      </c>
      <c r="L10">
        <v>0</v>
      </c>
      <c r="M10">
        <v>23</v>
      </c>
      <c r="N10">
        <v>316</v>
      </c>
      <c r="O10">
        <v>107</v>
      </c>
    </row>
    <row r="11" spans="1:15" x14ac:dyDescent="0.25">
      <c r="A11" t="s">
        <v>292</v>
      </c>
      <c r="B11">
        <v>1</v>
      </c>
      <c r="C11">
        <v>10</v>
      </c>
      <c r="D11">
        <v>279</v>
      </c>
      <c r="E11">
        <v>148</v>
      </c>
      <c r="F11">
        <v>29</v>
      </c>
      <c r="G11">
        <v>10</v>
      </c>
      <c r="H11">
        <v>7</v>
      </c>
      <c r="I11">
        <v>3</v>
      </c>
      <c r="J11">
        <v>0</v>
      </c>
      <c r="K11">
        <v>0</v>
      </c>
      <c r="L11">
        <v>0</v>
      </c>
      <c r="M11">
        <v>3</v>
      </c>
      <c r="N11">
        <v>15</v>
      </c>
      <c r="O11">
        <v>10</v>
      </c>
    </row>
    <row r="12" spans="1:15" x14ac:dyDescent="0.25">
      <c r="A12" t="s">
        <v>293</v>
      </c>
      <c r="B12">
        <v>1</v>
      </c>
      <c r="C12">
        <v>6</v>
      </c>
      <c r="D12">
        <v>111</v>
      </c>
      <c r="E12">
        <v>55</v>
      </c>
      <c r="F12">
        <v>41</v>
      </c>
      <c r="G12">
        <v>13</v>
      </c>
      <c r="H12">
        <v>10</v>
      </c>
      <c r="I12">
        <v>9</v>
      </c>
      <c r="J12">
        <v>0</v>
      </c>
      <c r="K12">
        <v>0</v>
      </c>
      <c r="L12">
        <v>0</v>
      </c>
      <c r="M12">
        <v>2</v>
      </c>
      <c r="N12">
        <v>14</v>
      </c>
      <c r="O12">
        <v>6</v>
      </c>
    </row>
    <row r="13" spans="1:15" x14ac:dyDescent="0.25">
      <c r="A13" t="s">
        <v>297</v>
      </c>
      <c r="B13">
        <v>86</v>
      </c>
      <c r="C13">
        <v>1293</v>
      </c>
      <c r="D13">
        <v>31934</v>
      </c>
      <c r="E13">
        <v>16370</v>
      </c>
      <c r="F13">
        <v>2905</v>
      </c>
      <c r="G13">
        <v>977</v>
      </c>
      <c r="H13">
        <v>1210</v>
      </c>
      <c r="I13">
        <v>573</v>
      </c>
      <c r="J13">
        <v>1315</v>
      </c>
      <c r="K13">
        <v>184</v>
      </c>
      <c r="L13">
        <v>86</v>
      </c>
      <c r="M13">
        <v>129</v>
      </c>
      <c r="N13">
        <v>3275</v>
      </c>
      <c r="O13">
        <v>1054</v>
      </c>
    </row>
    <row r="14" spans="1:15" x14ac:dyDescent="0.25">
      <c r="A14" t="s">
        <v>298</v>
      </c>
      <c r="B14">
        <v>5</v>
      </c>
      <c r="C14">
        <v>67</v>
      </c>
      <c r="D14">
        <v>1896</v>
      </c>
      <c r="E14">
        <v>898</v>
      </c>
      <c r="F14">
        <v>157</v>
      </c>
      <c r="G14">
        <v>30</v>
      </c>
      <c r="H14">
        <v>28</v>
      </c>
      <c r="I14">
        <v>14</v>
      </c>
      <c r="J14">
        <v>117</v>
      </c>
      <c r="K14">
        <v>7</v>
      </c>
      <c r="L14">
        <v>3</v>
      </c>
      <c r="M14">
        <v>8</v>
      </c>
      <c r="N14">
        <v>144</v>
      </c>
      <c r="O14">
        <v>62</v>
      </c>
    </row>
    <row r="15" spans="1:15" x14ac:dyDescent="0.25">
      <c r="A15" t="s">
        <v>300</v>
      </c>
      <c r="B15">
        <v>1</v>
      </c>
      <c r="C15">
        <v>3</v>
      </c>
      <c r="D15">
        <v>132</v>
      </c>
      <c r="E15">
        <v>76</v>
      </c>
      <c r="F15">
        <v>21</v>
      </c>
      <c r="G15">
        <v>7</v>
      </c>
      <c r="H15">
        <v>3</v>
      </c>
      <c r="I15">
        <v>2</v>
      </c>
      <c r="J15">
        <v>0</v>
      </c>
      <c r="K15">
        <v>1</v>
      </c>
      <c r="L15">
        <v>0</v>
      </c>
      <c r="M15">
        <v>3</v>
      </c>
      <c r="N15">
        <v>8</v>
      </c>
      <c r="O15">
        <v>3</v>
      </c>
    </row>
    <row r="16" spans="1:15" x14ac:dyDescent="0.25">
      <c r="A16" t="s">
        <v>302</v>
      </c>
      <c r="B16">
        <v>4</v>
      </c>
      <c r="C16">
        <v>29</v>
      </c>
      <c r="D16">
        <v>480</v>
      </c>
      <c r="E16">
        <v>206</v>
      </c>
      <c r="F16">
        <v>113</v>
      </c>
      <c r="G16">
        <v>50</v>
      </c>
      <c r="H16">
        <v>63</v>
      </c>
      <c r="I16">
        <v>32</v>
      </c>
      <c r="J16">
        <v>76</v>
      </c>
      <c r="K16">
        <v>0</v>
      </c>
      <c r="L16">
        <v>0</v>
      </c>
      <c r="M16">
        <v>12</v>
      </c>
      <c r="N16">
        <v>95</v>
      </c>
      <c r="O16">
        <v>28</v>
      </c>
    </row>
    <row r="17" spans="1:15" x14ac:dyDescent="0.25">
      <c r="A17" t="s">
        <v>303</v>
      </c>
      <c r="B17">
        <v>8</v>
      </c>
      <c r="C17">
        <v>80</v>
      </c>
      <c r="D17">
        <v>1855</v>
      </c>
      <c r="E17">
        <v>896</v>
      </c>
      <c r="F17">
        <v>277</v>
      </c>
      <c r="G17">
        <v>124</v>
      </c>
      <c r="H17">
        <v>35</v>
      </c>
      <c r="I17">
        <v>13</v>
      </c>
      <c r="J17">
        <v>81</v>
      </c>
      <c r="K17">
        <v>16</v>
      </c>
      <c r="L17">
        <v>5</v>
      </c>
      <c r="M17">
        <v>15</v>
      </c>
      <c r="N17">
        <v>190</v>
      </c>
      <c r="O17">
        <v>74</v>
      </c>
    </row>
    <row r="18" spans="1:15" x14ac:dyDescent="0.25">
      <c r="A18" t="s">
        <v>304</v>
      </c>
      <c r="B18">
        <v>1</v>
      </c>
      <c r="C18">
        <v>4</v>
      </c>
      <c r="D18">
        <v>14</v>
      </c>
      <c r="E18">
        <v>7</v>
      </c>
      <c r="F18">
        <v>7</v>
      </c>
      <c r="G18">
        <v>1</v>
      </c>
      <c r="H18">
        <v>0</v>
      </c>
      <c r="I18">
        <v>0</v>
      </c>
      <c r="J18">
        <v>5</v>
      </c>
      <c r="K18">
        <v>2</v>
      </c>
      <c r="L18">
        <v>2</v>
      </c>
      <c r="M18">
        <v>1</v>
      </c>
      <c r="N18">
        <v>4</v>
      </c>
      <c r="O18">
        <v>4</v>
      </c>
    </row>
    <row r="19" spans="1:15" x14ac:dyDescent="0.25">
      <c r="A19" t="s">
        <v>306</v>
      </c>
      <c r="B19">
        <v>8</v>
      </c>
      <c r="C19">
        <v>61</v>
      </c>
      <c r="D19">
        <v>1253</v>
      </c>
      <c r="E19">
        <v>585</v>
      </c>
      <c r="F19">
        <v>198</v>
      </c>
      <c r="G19">
        <v>56</v>
      </c>
      <c r="H19">
        <v>48</v>
      </c>
      <c r="I19">
        <v>27</v>
      </c>
      <c r="J19">
        <v>131</v>
      </c>
      <c r="K19">
        <v>9</v>
      </c>
      <c r="L19">
        <v>5</v>
      </c>
      <c r="M19">
        <v>18</v>
      </c>
      <c r="N19">
        <v>136</v>
      </c>
      <c r="O19">
        <v>64</v>
      </c>
    </row>
    <row r="20" spans="1:15" x14ac:dyDescent="0.25">
      <c r="A20" t="s">
        <v>307</v>
      </c>
      <c r="B20">
        <v>3</v>
      </c>
      <c r="C20">
        <v>24</v>
      </c>
      <c r="D20">
        <v>1207</v>
      </c>
      <c r="E20">
        <v>1025</v>
      </c>
      <c r="F20">
        <v>58</v>
      </c>
      <c r="G20">
        <v>35</v>
      </c>
      <c r="H20">
        <v>8</v>
      </c>
      <c r="I20">
        <v>3</v>
      </c>
      <c r="J20">
        <v>31</v>
      </c>
      <c r="K20">
        <v>0</v>
      </c>
      <c r="L20">
        <v>0</v>
      </c>
      <c r="M20">
        <v>7</v>
      </c>
      <c r="N20">
        <v>45</v>
      </c>
      <c r="O20">
        <v>24</v>
      </c>
    </row>
    <row r="21" spans="1:15" x14ac:dyDescent="0.25">
      <c r="A21" t="s">
        <v>266</v>
      </c>
      <c r="B21">
        <v>171</v>
      </c>
      <c r="C21">
        <v>2158</v>
      </c>
      <c r="D21">
        <v>54066</v>
      </c>
      <c r="E21">
        <v>27957</v>
      </c>
      <c r="F21">
        <v>5385</v>
      </c>
      <c r="G21">
        <v>1866</v>
      </c>
      <c r="H21">
        <v>1681</v>
      </c>
      <c r="I21">
        <v>785</v>
      </c>
      <c r="J21">
        <v>2742</v>
      </c>
      <c r="K21">
        <v>255</v>
      </c>
      <c r="L21">
        <v>114</v>
      </c>
      <c r="M21">
        <v>306</v>
      </c>
      <c r="N21">
        <v>5409</v>
      </c>
      <c r="O21">
        <v>1870</v>
      </c>
    </row>
    <row r="22" spans="1:15" x14ac:dyDescent="0.25">
      <c r="A22" t="s">
        <v>459</v>
      </c>
      <c r="B22">
        <v>143</v>
      </c>
      <c r="C22">
        <v>1934</v>
      </c>
      <c r="D22">
        <v>48806</v>
      </c>
      <c r="E22">
        <v>24812</v>
      </c>
      <c r="F22">
        <v>4799</v>
      </c>
      <c r="G22">
        <v>1681</v>
      </c>
      <c r="H22">
        <v>1584</v>
      </c>
      <c r="I22">
        <v>748</v>
      </c>
      <c r="J22">
        <v>2433</v>
      </c>
      <c r="K22">
        <v>223</v>
      </c>
      <c r="L22">
        <v>98</v>
      </c>
      <c r="M22">
        <v>224</v>
      </c>
      <c r="N22">
        <v>4856</v>
      </c>
      <c r="O22">
        <v>1644</v>
      </c>
    </row>
    <row r="23" spans="1:15" x14ac:dyDescent="0.25">
      <c r="A23" t="s">
        <v>460</v>
      </c>
      <c r="B23">
        <v>28</v>
      </c>
      <c r="C23">
        <v>224</v>
      </c>
      <c r="D23">
        <v>5260</v>
      </c>
      <c r="E23">
        <v>3145</v>
      </c>
      <c r="F23">
        <v>586</v>
      </c>
      <c r="G23">
        <v>185</v>
      </c>
      <c r="H23">
        <v>97</v>
      </c>
      <c r="I23">
        <v>37</v>
      </c>
      <c r="J23">
        <v>309</v>
      </c>
      <c r="K23">
        <v>32</v>
      </c>
      <c r="L23">
        <v>16</v>
      </c>
      <c r="M23">
        <v>82</v>
      </c>
      <c r="N23">
        <v>553</v>
      </c>
      <c r="O23">
        <v>226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" customWidth="1"/>
    <col min="8" max="8" width="10.140625" customWidth="1"/>
    <col min="9" max="9" width="10.42578125" customWidth="1"/>
    <col min="10" max="10" width="10.140625" customWidth="1"/>
    <col min="11" max="11" width="11.28515625" customWidth="1"/>
    <col min="12" max="12" width="11.140625" customWidth="1"/>
    <col min="13" max="13" width="10.42578125" customWidth="1"/>
    <col min="14" max="14" width="10.14062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55</v>
      </c>
      <c r="C3">
        <v>161</v>
      </c>
      <c r="D3">
        <v>4017</v>
      </c>
      <c r="E3">
        <v>2003</v>
      </c>
      <c r="F3">
        <v>155</v>
      </c>
      <c r="G3">
        <v>142</v>
      </c>
      <c r="H3">
        <v>46</v>
      </c>
      <c r="I3">
        <v>41</v>
      </c>
      <c r="J3">
        <v>12</v>
      </c>
      <c r="K3">
        <v>8</v>
      </c>
      <c r="L3">
        <v>6</v>
      </c>
      <c r="M3">
        <v>4</v>
      </c>
      <c r="N3">
        <v>149</v>
      </c>
      <c r="O3">
        <v>142</v>
      </c>
    </row>
    <row r="4" spans="1:15" x14ac:dyDescent="0.25">
      <c r="A4" t="s">
        <v>284</v>
      </c>
      <c r="B4">
        <v>22</v>
      </c>
      <c r="C4">
        <v>109</v>
      </c>
      <c r="D4">
        <v>2070</v>
      </c>
      <c r="E4">
        <v>1008</v>
      </c>
      <c r="F4">
        <v>102</v>
      </c>
      <c r="G4">
        <v>90</v>
      </c>
      <c r="H4">
        <v>74</v>
      </c>
      <c r="I4">
        <v>64</v>
      </c>
      <c r="J4">
        <v>24</v>
      </c>
      <c r="K4">
        <v>22</v>
      </c>
      <c r="L4">
        <v>18</v>
      </c>
      <c r="M4">
        <v>28</v>
      </c>
      <c r="N4">
        <v>160</v>
      </c>
      <c r="O4">
        <v>107</v>
      </c>
    </row>
    <row r="5" spans="1:15" x14ac:dyDescent="0.25">
      <c r="A5" t="s">
        <v>285</v>
      </c>
      <c r="B5">
        <v>9</v>
      </c>
      <c r="C5">
        <v>65</v>
      </c>
      <c r="D5">
        <v>1462</v>
      </c>
      <c r="E5">
        <v>786</v>
      </c>
      <c r="F5">
        <v>76</v>
      </c>
      <c r="G5">
        <v>51</v>
      </c>
      <c r="H5">
        <v>23</v>
      </c>
      <c r="I5">
        <v>8</v>
      </c>
      <c r="J5">
        <v>25</v>
      </c>
      <c r="K5">
        <v>0</v>
      </c>
      <c r="L5">
        <v>0</v>
      </c>
      <c r="M5">
        <v>4</v>
      </c>
      <c r="N5">
        <v>69</v>
      </c>
      <c r="O5">
        <v>63</v>
      </c>
    </row>
    <row r="6" spans="1:15" x14ac:dyDescent="0.25">
      <c r="A6" t="s">
        <v>286</v>
      </c>
      <c r="B6">
        <v>10</v>
      </c>
      <c r="C6">
        <v>53</v>
      </c>
      <c r="D6">
        <v>1324</v>
      </c>
      <c r="E6">
        <v>628</v>
      </c>
      <c r="F6">
        <v>59</v>
      </c>
      <c r="G6">
        <v>59</v>
      </c>
      <c r="H6">
        <v>17</v>
      </c>
      <c r="I6">
        <v>14</v>
      </c>
      <c r="J6">
        <v>5</v>
      </c>
      <c r="K6">
        <v>5</v>
      </c>
      <c r="L6">
        <v>3</v>
      </c>
      <c r="M6">
        <v>1</v>
      </c>
      <c r="N6">
        <v>59</v>
      </c>
      <c r="O6">
        <v>53</v>
      </c>
    </row>
    <row r="7" spans="1:15" x14ac:dyDescent="0.25">
      <c r="A7" t="s">
        <v>287</v>
      </c>
      <c r="B7">
        <v>33</v>
      </c>
      <c r="C7">
        <v>124</v>
      </c>
      <c r="D7">
        <v>2857</v>
      </c>
      <c r="E7">
        <v>1503</v>
      </c>
      <c r="F7">
        <v>186</v>
      </c>
      <c r="G7">
        <v>136</v>
      </c>
      <c r="H7">
        <v>58</v>
      </c>
      <c r="I7">
        <v>23</v>
      </c>
      <c r="J7">
        <v>24</v>
      </c>
      <c r="K7">
        <v>18</v>
      </c>
      <c r="L7">
        <v>14</v>
      </c>
      <c r="M7">
        <v>32</v>
      </c>
      <c r="N7">
        <v>236</v>
      </c>
      <c r="O7">
        <v>118</v>
      </c>
    </row>
    <row r="8" spans="1:15" x14ac:dyDescent="0.25">
      <c r="A8" t="s">
        <v>288</v>
      </c>
      <c r="B8">
        <v>9</v>
      </c>
      <c r="C8">
        <v>26</v>
      </c>
      <c r="D8">
        <v>638</v>
      </c>
      <c r="E8">
        <v>312</v>
      </c>
      <c r="F8">
        <v>27</v>
      </c>
      <c r="G8">
        <v>25</v>
      </c>
      <c r="H8">
        <v>10</v>
      </c>
      <c r="I8">
        <v>6</v>
      </c>
      <c r="J8">
        <v>5</v>
      </c>
      <c r="K8">
        <v>1</v>
      </c>
      <c r="L8">
        <v>1</v>
      </c>
      <c r="M8">
        <v>9</v>
      </c>
      <c r="N8">
        <v>43</v>
      </c>
      <c r="O8">
        <v>25</v>
      </c>
    </row>
    <row r="9" spans="1:15" x14ac:dyDescent="0.25">
      <c r="A9" t="s">
        <v>289</v>
      </c>
      <c r="B9">
        <v>15</v>
      </c>
      <c r="C9">
        <v>46</v>
      </c>
      <c r="D9">
        <v>1252</v>
      </c>
      <c r="E9">
        <v>586</v>
      </c>
      <c r="F9">
        <v>50</v>
      </c>
      <c r="G9">
        <v>50</v>
      </c>
      <c r="H9">
        <v>5</v>
      </c>
      <c r="I9">
        <v>5</v>
      </c>
      <c r="J9">
        <v>1</v>
      </c>
      <c r="K9">
        <v>12</v>
      </c>
      <c r="L9">
        <v>4</v>
      </c>
      <c r="M9">
        <v>6</v>
      </c>
      <c r="N9">
        <v>59</v>
      </c>
      <c r="O9">
        <v>46</v>
      </c>
    </row>
    <row r="10" spans="1:15" x14ac:dyDescent="0.25">
      <c r="A10" t="s">
        <v>290</v>
      </c>
      <c r="B10">
        <v>39</v>
      </c>
      <c r="C10">
        <v>173</v>
      </c>
      <c r="D10">
        <v>2931</v>
      </c>
      <c r="E10">
        <v>1531</v>
      </c>
      <c r="F10">
        <v>210</v>
      </c>
      <c r="G10">
        <v>156</v>
      </c>
      <c r="H10">
        <v>101</v>
      </c>
      <c r="I10">
        <v>69</v>
      </c>
      <c r="J10">
        <v>50</v>
      </c>
      <c r="K10">
        <v>34</v>
      </c>
      <c r="L10">
        <v>23</v>
      </c>
      <c r="M10">
        <v>38</v>
      </c>
      <c r="N10">
        <v>551</v>
      </c>
      <c r="O10">
        <v>170</v>
      </c>
    </row>
    <row r="11" spans="1:15" x14ac:dyDescent="0.25">
      <c r="A11" t="s">
        <v>291</v>
      </c>
      <c r="B11">
        <v>3</v>
      </c>
      <c r="C11">
        <v>5</v>
      </c>
      <c r="D11">
        <v>165</v>
      </c>
      <c r="E11">
        <v>99</v>
      </c>
      <c r="F11">
        <v>10</v>
      </c>
      <c r="G11">
        <v>7</v>
      </c>
      <c r="H11">
        <v>4</v>
      </c>
      <c r="I11">
        <v>4</v>
      </c>
      <c r="J11">
        <v>1</v>
      </c>
      <c r="K11">
        <v>3</v>
      </c>
      <c r="L11">
        <v>2</v>
      </c>
      <c r="M11">
        <v>2</v>
      </c>
      <c r="N11">
        <v>7</v>
      </c>
      <c r="O11">
        <v>5</v>
      </c>
    </row>
    <row r="12" spans="1:15" x14ac:dyDescent="0.25">
      <c r="A12" t="s">
        <v>292</v>
      </c>
      <c r="B12">
        <v>12</v>
      </c>
      <c r="C12">
        <v>42</v>
      </c>
      <c r="D12">
        <v>1176</v>
      </c>
      <c r="E12">
        <v>613</v>
      </c>
      <c r="F12">
        <v>40</v>
      </c>
      <c r="G12">
        <v>38</v>
      </c>
      <c r="H12">
        <v>1</v>
      </c>
      <c r="I12">
        <v>1</v>
      </c>
      <c r="J12">
        <v>8</v>
      </c>
      <c r="K12">
        <v>3</v>
      </c>
      <c r="L12">
        <v>2</v>
      </c>
      <c r="M12">
        <v>13</v>
      </c>
      <c r="N12">
        <v>57</v>
      </c>
      <c r="O12">
        <v>33</v>
      </c>
    </row>
    <row r="13" spans="1:15" x14ac:dyDescent="0.25">
      <c r="A13" t="s">
        <v>293</v>
      </c>
      <c r="B13">
        <v>4</v>
      </c>
      <c r="C13">
        <v>9</v>
      </c>
      <c r="D13">
        <v>198</v>
      </c>
      <c r="E13">
        <v>87</v>
      </c>
      <c r="F13">
        <v>14</v>
      </c>
      <c r="G13">
        <v>14</v>
      </c>
      <c r="H13">
        <v>19</v>
      </c>
      <c r="I13">
        <v>8</v>
      </c>
      <c r="J13">
        <v>0</v>
      </c>
      <c r="K13">
        <v>7</v>
      </c>
      <c r="L13">
        <v>6</v>
      </c>
      <c r="M13">
        <v>3</v>
      </c>
      <c r="N13">
        <v>26</v>
      </c>
      <c r="O13">
        <v>9</v>
      </c>
    </row>
    <row r="14" spans="1:15" x14ac:dyDescent="0.25">
      <c r="A14" t="s">
        <v>294</v>
      </c>
      <c r="B14">
        <v>4</v>
      </c>
      <c r="C14">
        <v>8</v>
      </c>
      <c r="D14">
        <v>177</v>
      </c>
      <c r="E14">
        <v>90</v>
      </c>
      <c r="F14">
        <v>15</v>
      </c>
      <c r="G14">
        <v>12</v>
      </c>
      <c r="H14">
        <v>4</v>
      </c>
      <c r="I14">
        <v>4</v>
      </c>
      <c r="J14">
        <v>0</v>
      </c>
      <c r="K14">
        <v>0</v>
      </c>
      <c r="L14">
        <v>0</v>
      </c>
      <c r="M14">
        <v>2</v>
      </c>
      <c r="N14">
        <v>8</v>
      </c>
      <c r="O14">
        <v>8</v>
      </c>
    </row>
    <row r="15" spans="1:15" x14ac:dyDescent="0.25">
      <c r="A15" t="s">
        <v>295</v>
      </c>
      <c r="B15">
        <v>3</v>
      </c>
      <c r="C15">
        <v>10</v>
      </c>
      <c r="D15">
        <v>318</v>
      </c>
      <c r="E15">
        <v>152</v>
      </c>
      <c r="F15">
        <v>7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20</v>
      </c>
      <c r="O15">
        <v>7</v>
      </c>
    </row>
    <row r="16" spans="1:15" x14ac:dyDescent="0.25">
      <c r="A16" t="s">
        <v>296</v>
      </c>
      <c r="B16">
        <v>10</v>
      </c>
      <c r="C16">
        <v>34</v>
      </c>
      <c r="D16">
        <v>674</v>
      </c>
      <c r="E16">
        <v>307</v>
      </c>
      <c r="F16">
        <v>35</v>
      </c>
      <c r="G16">
        <v>35</v>
      </c>
      <c r="H16">
        <v>2</v>
      </c>
      <c r="I16">
        <v>2</v>
      </c>
      <c r="J16">
        <v>0</v>
      </c>
      <c r="K16">
        <v>0</v>
      </c>
      <c r="L16">
        <v>0</v>
      </c>
      <c r="M16">
        <v>4</v>
      </c>
      <c r="N16">
        <v>36</v>
      </c>
      <c r="O16">
        <v>30</v>
      </c>
    </row>
    <row r="17" spans="1:15" x14ac:dyDescent="0.25">
      <c r="A17" t="s">
        <v>297</v>
      </c>
      <c r="B17">
        <v>242</v>
      </c>
      <c r="C17">
        <v>1169</v>
      </c>
      <c r="D17">
        <v>24271</v>
      </c>
      <c r="E17">
        <v>11988</v>
      </c>
      <c r="F17">
        <v>1451</v>
      </c>
      <c r="G17">
        <v>1240</v>
      </c>
      <c r="H17">
        <v>1346</v>
      </c>
      <c r="I17">
        <v>991</v>
      </c>
      <c r="J17">
        <v>194</v>
      </c>
      <c r="K17">
        <v>240</v>
      </c>
      <c r="L17">
        <v>137</v>
      </c>
      <c r="M17">
        <v>130</v>
      </c>
      <c r="N17">
        <v>2271</v>
      </c>
      <c r="O17">
        <v>1027</v>
      </c>
    </row>
    <row r="18" spans="1:15" x14ac:dyDescent="0.25">
      <c r="A18" t="s">
        <v>298</v>
      </c>
      <c r="B18">
        <v>21</v>
      </c>
      <c r="C18">
        <v>92</v>
      </c>
      <c r="D18">
        <v>1982</v>
      </c>
      <c r="E18">
        <v>893</v>
      </c>
      <c r="F18">
        <v>114</v>
      </c>
      <c r="G18">
        <v>105</v>
      </c>
      <c r="H18">
        <v>50</v>
      </c>
      <c r="I18">
        <v>37</v>
      </c>
      <c r="J18">
        <v>10</v>
      </c>
      <c r="K18">
        <v>14</v>
      </c>
      <c r="L18">
        <v>13</v>
      </c>
      <c r="M18">
        <v>1</v>
      </c>
      <c r="N18">
        <v>86</v>
      </c>
      <c r="O18">
        <v>81</v>
      </c>
    </row>
    <row r="19" spans="1:15" x14ac:dyDescent="0.25">
      <c r="A19" t="s">
        <v>299</v>
      </c>
      <c r="B19">
        <v>2</v>
      </c>
      <c r="C19">
        <v>7</v>
      </c>
      <c r="D19">
        <v>60</v>
      </c>
      <c r="E19">
        <v>35</v>
      </c>
      <c r="F19">
        <v>9</v>
      </c>
      <c r="G19">
        <v>7</v>
      </c>
      <c r="H19">
        <v>4</v>
      </c>
      <c r="I19">
        <v>2</v>
      </c>
      <c r="J19">
        <v>4</v>
      </c>
      <c r="K19">
        <v>0</v>
      </c>
      <c r="L19">
        <v>0</v>
      </c>
      <c r="M19">
        <v>3</v>
      </c>
      <c r="N19">
        <v>11</v>
      </c>
      <c r="O19">
        <v>7</v>
      </c>
    </row>
    <row r="20" spans="1:15" x14ac:dyDescent="0.25">
      <c r="A20" t="s">
        <v>300</v>
      </c>
      <c r="B20">
        <v>4</v>
      </c>
      <c r="C20">
        <v>11</v>
      </c>
      <c r="D20">
        <v>177</v>
      </c>
      <c r="E20">
        <v>71</v>
      </c>
      <c r="F20">
        <v>15</v>
      </c>
      <c r="G20">
        <v>15</v>
      </c>
      <c r="H20">
        <v>4</v>
      </c>
      <c r="I20">
        <v>4</v>
      </c>
      <c r="J20">
        <v>0</v>
      </c>
      <c r="K20">
        <v>0</v>
      </c>
      <c r="L20">
        <v>0</v>
      </c>
      <c r="M20">
        <v>2</v>
      </c>
      <c r="N20">
        <v>17</v>
      </c>
      <c r="O20">
        <v>11</v>
      </c>
    </row>
    <row r="21" spans="1:15" x14ac:dyDescent="0.25">
      <c r="A21" t="s">
        <v>301</v>
      </c>
      <c r="B21">
        <v>6</v>
      </c>
      <c r="C21">
        <v>33</v>
      </c>
      <c r="D21">
        <v>693</v>
      </c>
      <c r="E21">
        <v>321</v>
      </c>
      <c r="F21">
        <v>53</v>
      </c>
      <c r="G21">
        <v>43</v>
      </c>
      <c r="H21">
        <v>21</v>
      </c>
      <c r="I21">
        <v>15</v>
      </c>
      <c r="J21">
        <v>15</v>
      </c>
      <c r="K21">
        <v>0</v>
      </c>
      <c r="L21">
        <v>0</v>
      </c>
      <c r="M21">
        <v>5</v>
      </c>
      <c r="N21">
        <v>52</v>
      </c>
      <c r="O21">
        <v>30</v>
      </c>
    </row>
    <row r="22" spans="1:15" x14ac:dyDescent="0.25">
      <c r="A22" t="s">
        <v>302</v>
      </c>
      <c r="B22">
        <v>4</v>
      </c>
      <c r="C22">
        <v>33</v>
      </c>
      <c r="D22">
        <v>993</v>
      </c>
      <c r="E22">
        <v>467</v>
      </c>
      <c r="F22">
        <v>72</v>
      </c>
      <c r="G22">
        <v>46</v>
      </c>
      <c r="H22">
        <v>48</v>
      </c>
      <c r="I22">
        <v>32</v>
      </c>
      <c r="J22">
        <v>44</v>
      </c>
      <c r="K22">
        <v>0</v>
      </c>
      <c r="L22">
        <v>0</v>
      </c>
      <c r="M22">
        <v>6</v>
      </c>
      <c r="N22">
        <v>67</v>
      </c>
      <c r="O22">
        <v>18</v>
      </c>
    </row>
    <row r="23" spans="1:15" x14ac:dyDescent="0.25">
      <c r="A23" t="s">
        <v>303</v>
      </c>
      <c r="B23">
        <v>40</v>
      </c>
      <c r="C23">
        <v>239</v>
      </c>
      <c r="D23">
        <v>5723</v>
      </c>
      <c r="E23">
        <v>2961</v>
      </c>
      <c r="F23">
        <v>289</v>
      </c>
      <c r="G23">
        <v>231</v>
      </c>
      <c r="H23">
        <v>108</v>
      </c>
      <c r="I23">
        <v>77</v>
      </c>
      <c r="J23">
        <v>36</v>
      </c>
      <c r="K23">
        <v>58</v>
      </c>
      <c r="L23">
        <v>54</v>
      </c>
      <c r="M23">
        <v>21</v>
      </c>
      <c r="N23">
        <v>235</v>
      </c>
      <c r="O23">
        <v>189</v>
      </c>
    </row>
    <row r="24" spans="1:15" x14ac:dyDescent="0.25">
      <c r="A24" t="s">
        <v>304</v>
      </c>
      <c r="B24">
        <v>6</v>
      </c>
      <c r="C24">
        <v>19</v>
      </c>
      <c r="D24">
        <v>466</v>
      </c>
      <c r="E24">
        <v>245</v>
      </c>
      <c r="F24">
        <v>22</v>
      </c>
      <c r="G24">
        <v>22</v>
      </c>
      <c r="H24">
        <v>6</v>
      </c>
      <c r="I24">
        <v>6</v>
      </c>
      <c r="J24">
        <v>2</v>
      </c>
      <c r="K24">
        <v>2</v>
      </c>
      <c r="L24">
        <v>2</v>
      </c>
      <c r="M24">
        <v>2</v>
      </c>
      <c r="N24">
        <v>13</v>
      </c>
      <c r="O24">
        <v>13</v>
      </c>
    </row>
    <row r="25" spans="1:15" x14ac:dyDescent="0.25">
      <c r="A25" t="s">
        <v>305</v>
      </c>
      <c r="B25">
        <v>6</v>
      </c>
      <c r="C25">
        <v>19</v>
      </c>
      <c r="D25">
        <v>380</v>
      </c>
      <c r="E25">
        <v>189</v>
      </c>
      <c r="F25">
        <v>30</v>
      </c>
      <c r="G25">
        <v>26</v>
      </c>
      <c r="H25">
        <v>11</v>
      </c>
      <c r="I25">
        <v>8</v>
      </c>
      <c r="J25">
        <v>2</v>
      </c>
      <c r="K25">
        <v>7</v>
      </c>
      <c r="L25">
        <v>7</v>
      </c>
      <c r="M25">
        <v>0</v>
      </c>
      <c r="N25">
        <v>19</v>
      </c>
      <c r="O25">
        <v>19</v>
      </c>
    </row>
    <row r="26" spans="1:15" x14ac:dyDescent="0.25">
      <c r="A26" t="s">
        <v>306</v>
      </c>
      <c r="B26">
        <v>20</v>
      </c>
      <c r="C26">
        <v>52</v>
      </c>
      <c r="D26">
        <v>1180</v>
      </c>
      <c r="E26">
        <v>565</v>
      </c>
      <c r="F26">
        <v>63</v>
      </c>
      <c r="G26">
        <v>55</v>
      </c>
      <c r="H26">
        <v>46</v>
      </c>
      <c r="I26">
        <v>27</v>
      </c>
      <c r="J26">
        <v>12</v>
      </c>
      <c r="K26">
        <v>0</v>
      </c>
      <c r="L26">
        <v>0</v>
      </c>
      <c r="M26">
        <v>17</v>
      </c>
      <c r="N26">
        <v>92</v>
      </c>
      <c r="O26">
        <v>47</v>
      </c>
    </row>
    <row r="27" spans="1:15" x14ac:dyDescent="0.25">
      <c r="A27" t="s">
        <v>307</v>
      </c>
      <c r="B27">
        <v>15</v>
      </c>
      <c r="C27">
        <v>57</v>
      </c>
      <c r="D27">
        <v>820</v>
      </c>
      <c r="E27">
        <v>391</v>
      </c>
      <c r="F27">
        <v>78</v>
      </c>
      <c r="G27">
        <v>56</v>
      </c>
      <c r="H27">
        <v>25</v>
      </c>
      <c r="I27">
        <v>11</v>
      </c>
      <c r="J27">
        <v>0</v>
      </c>
      <c r="K27">
        <v>13</v>
      </c>
      <c r="L27">
        <v>11</v>
      </c>
      <c r="M27">
        <v>17</v>
      </c>
      <c r="N27">
        <v>142</v>
      </c>
      <c r="O27">
        <v>83</v>
      </c>
    </row>
    <row r="28" spans="1:15" x14ac:dyDescent="0.25">
      <c r="A28" t="s">
        <v>266</v>
      </c>
      <c r="B28">
        <v>594</v>
      </c>
      <c r="C28">
        <v>2596</v>
      </c>
      <c r="D28">
        <v>56004</v>
      </c>
      <c r="E28">
        <v>27831</v>
      </c>
      <c r="F28">
        <v>3182</v>
      </c>
      <c r="G28">
        <v>2668</v>
      </c>
      <c r="H28">
        <v>2033</v>
      </c>
      <c r="I28">
        <v>1459</v>
      </c>
      <c r="J28">
        <v>474</v>
      </c>
      <c r="K28">
        <v>447</v>
      </c>
      <c r="L28">
        <v>303</v>
      </c>
      <c r="M28">
        <v>353</v>
      </c>
      <c r="N28">
        <v>4485</v>
      </c>
      <c r="O28">
        <v>2341</v>
      </c>
    </row>
    <row r="29" spans="1:15" x14ac:dyDescent="0.25">
      <c r="A29" t="s">
        <v>459</v>
      </c>
      <c r="B29">
        <v>458</v>
      </c>
      <c r="C29">
        <v>2107</v>
      </c>
      <c r="D29">
        <v>45250</v>
      </c>
      <c r="E29">
        <v>22271</v>
      </c>
      <c r="F29">
        <v>2582</v>
      </c>
      <c r="G29">
        <v>2227</v>
      </c>
      <c r="H29">
        <v>1814</v>
      </c>
      <c r="I29">
        <v>1344</v>
      </c>
      <c r="J29">
        <v>363</v>
      </c>
      <c r="K29">
        <v>402</v>
      </c>
      <c r="L29">
        <v>273</v>
      </c>
      <c r="M29">
        <v>257</v>
      </c>
      <c r="N29">
        <v>3761</v>
      </c>
      <c r="O29">
        <v>1859</v>
      </c>
    </row>
    <row r="30" spans="1:15" x14ac:dyDescent="0.25">
      <c r="A30" t="s">
        <v>460</v>
      </c>
      <c r="B30">
        <v>136</v>
      </c>
      <c r="C30">
        <v>489</v>
      </c>
      <c r="D30">
        <v>10754</v>
      </c>
      <c r="E30">
        <v>5560</v>
      </c>
      <c r="F30">
        <v>600</v>
      </c>
      <c r="G30">
        <v>441</v>
      </c>
      <c r="H30">
        <v>219</v>
      </c>
      <c r="I30">
        <v>115</v>
      </c>
      <c r="J30">
        <v>111</v>
      </c>
      <c r="K30">
        <v>45</v>
      </c>
      <c r="L30">
        <v>30</v>
      </c>
      <c r="M30">
        <v>96</v>
      </c>
      <c r="N30">
        <v>724</v>
      </c>
      <c r="O30">
        <v>482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ED7D31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54</v>
      </c>
      <c r="C3">
        <v>597</v>
      </c>
      <c r="D3">
        <v>14259</v>
      </c>
      <c r="E3">
        <v>6901</v>
      </c>
      <c r="F3">
        <v>559</v>
      </c>
      <c r="G3">
        <v>342</v>
      </c>
      <c r="H3">
        <v>123</v>
      </c>
      <c r="I3">
        <v>59</v>
      </c>
      <c r="J3">
        <v>147</v>
      </c>
      <c r="K3">
        <v>8</v>
      </c>
      <c r="L3">
        <v>4</v>
      </c>
      <c r="M3">
        <v>76</v>
      </c>
      <c r="N3">
        <v>888</v>
      </c>
      <c r="O3">
        <v>468</v>
      </c>
    </row>
    <row r="4" spans="1:15" x14ac:dyDescent="0.25">
      <c r="A4" t="s">
        <v>284</v>
      </c>
      <c r="B4">
        <v>19</v>
      </c>
      <c r="C4">
        <v>178</v>
      </c>
      <c r="D4">
        <v>3966</v>
      </c>
      <c r="E4">
        <v>1859</v>
      </c>
      <c r="F4">
        <v>196</v>
      </c>
      <c r="G4">
        <v>151</v>
      </c>
      <c r="H4">
        <v>64</v>
      </c>
      <c r="I4">
        <v>37</v>
      </c>
      <c r="J4">
        <v>110</v>
      </c>
      <c r="K4">
        <v>11</v>
      </c>
      <c r="L4">
        <v>8</v>
      </c>
      <c r="M4">
        <v>30</v>
      </c>
      <c r="N4">
        <v>244</v>
      </c>
      <c r="O4">
        <v>164</v>
      </c>
    </row>
    <row r="5" spans="1:15" x14ac:dyDescent="0.25">
      <c r="A5" t="s">
        <v>285</v>
      </c>
      <c r="B5">
        <v>16</v>
      </c>
      <c r="C5">
        <v>116</v>
      </c>
      <c r="D5">
        <v>2598</v>
      </c>
      <c r="E5">
        <v>1215</v>
      </c>
      <c r="F5">
        <v>125</v>
      </c>
      <c r="G5">
        <v>77</v>
      </c>
      <c r="H5">
        <v>20</v>
      </c>
      <c r="I5">
        <v>9</v>
      </c>
      <c r="J5">
        <v>22</v>
      </c>
      <c r="K5">
        <v>6</v>
      </c>
      <c r="L5">
        <v>6</v>
      </c>
      <c r="M5">
        <v>32</v>
      </c>
      <c r="N5">
        <v>240</v>
      </c>
      <c r="O5">
        <v>116</v>
      </c>
    </row>
    <row r="6" spans="1:15" x14ac:dyDescent="0.25">
      <c r="A6" t="s">
        <v>286</v>
      </c>
      <c r="B6">
        <v>10</v>
      </c>
      <c r="C6">
        <v>95</v>
      </c>
      <c r="D6">
        <v>2041</v>
      </c>
      <c r="E6">
        <v>969</v>
      </c>
      <c r="F6">
        <v>144</v>
      </c>
      <c r="G6">
        <v>106</v>
      </c>
      <c r="H6">
        <v>49</v>
      </c>
      <c r="I6">
        <v>25</v>
      </c>
      <c r="J6">
        <v>74</v>
      </c>
      <c r="K6">
        <v>4</v>
      </c>
      <c r="L6">
        <v>4</v>
      </c>
      <c r="M6">
        <v>28</v>
      </c>
      <c r="N6">
        <v>194</v>
      </c>
      <c r="O6">
        <v>93</v>
      </c>
    </row>
    <row r="7" spans="1:15" x14ac:dyDescent="0.25">
      <c r="A7" t="s">
        <v>287</v>
      </c>
      <c r="B7">
        <v>21</v>
      </c>
      <c r="C7">
        <v>183</v>
      </c>
      <c r="D7">
        <v>4514</v>
      </c>
      <c r="E7">
        <v>2275</v>
      </c>
      <c r="F7">
        <v>243</v>
      </c>
      <c r="G7">
        <v>146</v>
      </c>
      <c r="H7">
        <v>61</v>
      </c>
      <c r="I7">
        <v>19</v>
      </c>
      <c r="J7">
        <v>55</v>
      </c>
      <c r="K7">
        <v>11</v>
      </c>
      <c r="L7">
        <v>9</v>
      </c>
      <c r="M7">
        <v>38</v>
      </c>
      <c r="N7">
        <v>302</v>
      </c>
      <c r="O7">
        <v>153</v>
      </c>
    </row>
    <row r="8" spans="1:15" x14ac:dyDescent="0.25">
      <c r="A8" t="s">
        <v>288</v>
      </c>
      <c r="B8">
        <v>20</v>
      </c>
      <c r="C8">
        <v>84</v>
      </c>
      <c r="D8">
        <v>1675</v>
      </c>
      <c r="E8">
        <v>832</v>
      </c>
      <c r="F8">
        <v>100</v>
      </c>
      <c r="G8">
        <v>47</v>
      </c>
      <c r="H8">
        <v>12</v>
      </c>
      <c r="I8">
        <v>7</v>
      </c>
      <c r="J8">
        <v>60</v>
      </c>
      <c r="K8">
        <v>0</v>
      </c>
      <c r="L8">
        <v>0</v>
      </c>
      <c r="M8">
        <v>27</v>
      </c>
      <c r="N8">
        <v>126</v>
      </c>
      <c r="O8">
        <v>82</v>
      </c>
    </row>
    <row r="9" spans="1:15" x14ac:dyDescent="0.25">
      <c r="A9" t="s">
        <v>289</v>
      </c>
      <c r="B9">
        <v>18</v>
      </c>
      <c r="C9">
        <v>177</v>
      </c>
      <c r="D9">
        <v>6818</v>
      </c>
      <c r="E9">
        <v>3562</v>
      </c>
      <c r="F9">
        <v>223</v>
      </c>
      <c r="G9">
        <v>144</v>
      </c>
      <c r="H9">
        <v>31</v>
      </c>
      <c r="I9">
        <v>13</v>
      </c>
      <c r="J9">
        <v>52</v>
      </c>
      <c r="K9">
        <v>35</v>
      </c>
      <c r="L9">
        <v>25</v>
      </c>
      <c r="M9">
        <v>26</v>
      </c>
      <c r="N9">
        <v>218</v>
      </c>
      <c r="O9">
        <v>131</v>
      </c>
    </row>
    <row r="10" spans="1:15" x14ac:dyDescent="0.25">
      <c r="A10" t="s">
        <v>290</v>
      </c>
      <c r="B10">
        <v>19</v>
      </c>
      <c r="C10">
        <v>233</v>
      </c>
      <c r="D10">
        <v>5593</v>
      </c>
      <c r="E10">
        <v>2957</v>
      </c>
      <c r="F10">
        <v>226</v>
      </c>
      <c r="G10">
        <v>159</v>
      </c>
      <c r="H10">
        <v>74</v>
      </c>
      <c r="I10">
        <v>37</v>
      </c>
      <c r="J10">
        <v>88</v>
      </c>
      <c r="K10">
        <v>22</v>
      </c>
      <c r="L10">
        <v>16</v>
      </c>
      <c r="M10">
        <v>28</v>
      </c>
      <c r="N10">
        <v>434</v>
      </c>
      <c r="O10">
        <v>232</v>
      </c>
    </row>
    <row r="11" spans="1:15" x14ac:dyDescent="0.25">
      <c r="A11" t="s">
        <v>291</v>
      </c>
      <c r="B11">
        <v>1</v>
      </c>
      <c r="C11">
        <v>14</v>
      </c>
      <c r="D11">
        <v>781</v>
      </c>
      <c r="E11">
        <v>446</v>
      </c>
      <c r="F11">
        <v>16</v>
      </c>
      <c r="G11">
        <v>10</v>
      </c>
      <c r="H11">
        <v>0</v>
      </c>
      <c r="I11">
        <v>0</v>
      </c>
      <c r="J11">
        <v>2</v>
      </c>
      <c r="K11">
        <v>5</v>
      </c>
      <c r="L11">
        <v>2</v>
      </c>
      <c r="M11">
        <v>7</v>
      </c>
      <c r="N11">
        <v>19</v>
      </c>
      <c r="O11">
        <v>14</v>
      </c>
    </row>
    <row r="12" spans="1:15" x14ac:dyDescent="0.25">
      <c r="A12" t="s">
        <v>292</v>
      </c>
      <c r="B12">
        <v>13</v>
      </c>
      <c r="C12">
        <v>102</v>
      </c>
      <c r="D12">
        <v>2563</v>
      </c>
      <c r="E12">
        <v>1281</v>
      </c>
      <c r="F12">
        <v>107</v>
      </c>
      <c r="G12">
        <v>67</v>
      </c>
      <c r="H12">
        <v>15</v>
      </c>
      <c r="I12">
        <v>8</v>
      </c>
      <c r="J12">
        <v>49</v>
      </c>
      <c r="K12">
        <v>2</v>
      </c>
      <c r="L12">
        <v>2</v>
      </c>
      <c r="M12">
        <v>38</v>
      </c>
      <c r="N12">
        <v>139</v>
      </c>
      <c r="O12">
        <v>95</v>
      </c>
    </row>
    <row r="13" spans="1:15" x14ac:dyDescent="0.25">
      <c r="A13" t="s">
        <v>293</v>
      </c>
      <c r="B13">
        <v>3</v>
      </c>
      <c r="C13">
        <v>19</v>
      </c>
      <c r="D13">
        <v>397</v>
      </c>
      <c r="E13">
        <v>253</v>
      </c>
      <c r="F13">
        <v>21</v>
      </c>
      <c r="G13">
        <v>16</v>
      </c>
      <c r="H13">
        <v>6</v>
      </c>
      <c r="I13">
        <v>3</v>
      </c>
      <c r="J13">
        <v>2</v>
      </c>
      <c r="K13">
        <v>7</v>
      </c>
      <c r="L13">
        <v>4</v>
      </c>
      <c r="M13">
        <v>7</v>
      </c>
      <c r="N13">
        <v>34</v>
      </c>
      <c r="O13">
        <v>19</v>
      </c>
    </row>
    <row r="14" spans="1:15" x14ac:dyDescent="0.25">
      <c r="A14" t="s">
        <v>294</v>
      </c>
      <c r="B14">
        <v>3</v>
      </c>
      <c r="C14">
        <v>11</v>
      </c>
      <c r="D14">
        <v>219</v>
      </c>
      <c r="E14">
        <v>95</v>
      </c>
      <c r="F14">
        <v>20</v>
      </c>
      <c r="G14">
        <v>16</v>
      </c>
      <c r="H14">
        <v>12</v>
      </c>
      <c r="I14">
        <v>10</v>
      </c>
      <c r="J14">
        <v>0</v>
      </c>
      <c r="K14">
        <v>0</v>
      </c>
      <c r="L14">
        <v>0</v>
      </c>
      <c r="M14">
        <v>4</v>
      </c>
      <c r="N14">
        <v>26</v>
      </c>
      <c r="O14">
        <v>11</v>
      </c>
    </row>
    <row r="15" spans="1:15" x14ac:dyDescent="0.25">
      <c r="A15" t="s">
        <v>295</v>
      </c>
      <c r="B15">
        <v>3</v>
      </c>
      <c r="C15">
        <v>41</v>
      </c>
      <c r="D15">
        <v>1043</v>
      </c>
      <c r="E15">
        <v>473</v>
      </c>
      <c r="F15">
        <v>22</v>
      </c>
      <c r="G15">
        <v>13</v>
      </c>
      <c r="H15">
        <v>5</v>
      </c>
      <c r="I15">
        <v>2</v>
      </c>
      <c r="J15">
        <v>3</v>
      </c>
      <c r="K15">
        <v>0</v>
      </c>
      <c r="L15">
        <v>0</v>
      </c>
      <c r="M15">
        <v>5</v>
      </c>
      <c r="N15">
        <v>31</v>
      </c>
      <c r="O15">
        <v>23</v>
      </c>
    </row>
    <row r="16" spans="1:15" x14ac:dyDescent="0.25">
      <c r="A16" t="s">
        <v>296</v>
      </c>
      <c r="B16">
        <v>10</v>
      </c>
      <c r="C16">
        <v>82</v>
      </c>
      <c r="D16">
        <v>1726</v>
      </c>
      <c r="E16">
        <v>849</v>
      </c>
      <c r="F16">
        <v>68</v>
      </c>
      <c r="G16">
        <v>54</v>
      </c>
      <c r="H16">
        <v>17</v>
      </c>
      <c r="I16">
        <v>7</v>
      </c>
      <c r="J16">
        <v>13</v>
      </c>
      <c r="K16">
        <v>3</v>
      </c>
      <c r="L16">
        <v>1</v>
      </c>
      <c r="M16">
        <v>22</v>
      </c>
      <c r="N16">
        <v>146</v>
      </c>
      <c r="O16">
        <v>64</v>
      </c>
    </row>
    <row r="17" spans="1:15" x14ac:dyDescent="0.25">
      <c r="A17" t="s">
        <v>297</v>
      </c>
      <c r="B17">
        <v>272</v>
      </c>
      <c r="C17">
        <v>3325</v>
      </c>
      <c r="D17">
        <v>74042</v>
      </c>
      <c r="E17">
        <v>36496</v>
      </c>
      <c r="F17">
        <v>3570</v>
      </c>
      <c r="G17">
        <v>2463</v>
      </c>
      <c r="H17">
        <v>2415</v>
      </c>
      <c r="I17">
        <v>1428</v>
      </c>
      <c r="J17">
        <v>1157</v>
      </c>
      <c r="K17">
        <v>259</v>
      </c>
      <c r="L17">
        <v>155</v>
      </c>
      <c r="M17">
        <v>371</v>
      </c>
      <c r="N17">
        <v>6108</v>
      </c>
      <c r="O17">
        <v>2935</v>
      </c>
    </row>
    <row r="18" spans="1:15" x14ac:dyDescent="0.25">
      <c r="A18" t="s">
        <v>298</v>
      </c>
      <c r="B18">
        <v>17</v>
      </c>
      <c r="C18">
        <v>173</v>
      </c>
      <c r="D18">
        <v>3964</v>
      </c>
      <c r="E18">
        <v>1866</v>
      </c>
      <c r="F18">
        <v>207</v>
      </c>
      <c r="G18">
        <v>126</v>
      </c>
      <c r="H18">
        <v>54</v>
      </c>
      <c r="I18">
        <v>36</v>
      </c>
      <c r="J18">
        <v>76</v>
      </c>
      <c r="K18">
        <v>44</v>
      </c>
      <c r="L18">
        <v>34</v>
      </c>
      <c r="M18">
        <v>36</v>
      </c>
      <c r="N18">
        <v>357</v>
      </c>
      <c r="O18">
        <v>153</v>
      </c>
    </row>
    <row r="19" spans="1:15" x14ac:dyDescent="0.25">
      <c r="A19" t="s">
        <v>299</v>
      </c>
      <c r="B19">
        <v>2</v>
      </c>
      <c r="C19">
        <v>12</v>
      </c>
      <c r="D19">
        <v>157</v>
      </c>
      <c r="E19">
        <v>70</v>
      </c>
      <c r="F19">
        <v>12</v>
      </c>
      <c r="G19">
        <v>8</v>
      </c>
      <c r="H19">
        <v>1</v>
      </c>
      <c r="I19">
        <v>1</v>
      </c>
      <c r="J19">
        <v>7</v>
      </c>
      <c r="K19">
        <v>2</v>
      </c>
      <c r="L19">
        <v>0</v>
      </c>
      <c r="M19">
        <v>5</v>
      </c>
      <c r="N19">
        <v>29</v>
      </c>
      <c r="O19">
        <v>29</v>
      </c>
    </row>
    <row r="20" spans="1:15" x14ac:dyDescent="0.25">
      <c r="A20" t="s">
        <v>300</v>
      </c>
      <c r="B20">
        <v>2</v>
      </c>
      <c r="C20">
        <v>12</v>
      </c>
      <c r="D20">
        <v>243</v>
      </c>
      <c r="E20">
        <v>92</v>
      </c>
      <c r="F20">
        <v>9</v>
      </c>
      <c r="G20">
        <v>7</v>
      </c>
      <c r="H20">
        <v>4</v>
      </c>
      <c r="I20">
        <v>0</v>
      </c>
      <c r="J20">
        <v>0</v>
      </c>
      <c r="K20">
        <v>0</v>
      </c>
      <c r="L20">
        <v>0</v>
      </c>
      <c r="M20">
        <v>10</v>
      </c>
      <c r="N20">
        <v>46</v>
      </c>
      <c r="O20">
        <v>12</v>
      </c>
    </row>
    <row r="21" spans="1:15" x14ac:dyDescent="0.25">
      <c r="A21" t="s">
        <v>301</v>
      </c>
      <c r="B21">
        <v>5</v>
      </c>
      <c r="C21">
        <v>13</v>
      </c>
      <c r="D21">
        <v>713</v>
      </c>
      <c r="E21">
        <v>364</v>
      </c>
      <c r="F21">
        <v>24</v>
      </c>
      <c r="G21">
        <v>22</v>
      </c>
      <c r="H21">
        <v>13</v>
      </c>
      <c r="I21">
        <v>11</v>
      </c>
      <c r="J21">
        <v>8</v>
      </c>
      <c r="K21">
        <v>0</v>
      </c>
      <c r="L21">
        <v>0</v>
      </c>
      <c r="M21">
        <v>11</v>
      </c>
      <c r="N21">
        <v>56</v>
      </c>
      <c r="O21">
        <v>14</v>
      </c>
    </row>
    <row r="22" spans="1:15" x14ac:dyDescent="0.25">
      <c r="A22" t="s">
        <v>302</v>
      </c>
      <c r="B22">
        <v>5</v>
      </c>
      <c r="C22">
        <v>70</v>
      </c>
      <c r="D22">
        <v>1498</v>
      </c>
      <c r="E22">
        <v>734</v>
      </c>
      <c r="F22">
        <v>105</v>
      </c>
      <c r="G22">
        <v>66</v>
      </c>
      <c r="H22">
        <v>68</v>
      </c>
      <c r="I22">
        <v>36</v>
      </c>
      <c r="J22">
        <v>65</v>
      </c>
      <c r="K22">
        <v>0</v>
      </c>
      <c r="L22">
        <v>0</v>
      </c>
      <c r="M22">
        <v>13</v>
      </c>
      <c r="N22">
        <v>122</v>
      </c>
      <c r="O22">
        <v>57</v>
      </c>
    </row>
    <row r="23" spans="1:15" x14ac:dyDescent="0.25">
      <c r="A23" t="s">
        <v>303</v>
      </c>
      <c r="B23">
        <v>31</v>
      </c>
      <c r="C23">
        <v>255</v>
      </c>
      <c r="D23">
        <v>4863</v>
      </c>
      <c r="E23">
        <v>2435</v>
      </c>
      <c r="F23">
        <v>323</v>
      </c>
      <c r="G23">
        <v>235</v>
      </c>
      <c r="H23">
        <v>127</v>
      </c>
      <c r="I23">
        <v>90</v>
      </c>
      <c r="J23">
        <v>127</v>
      </c>
      <c r="K23">
        <v>47</v>
      </c>
      <c r="L23">
        <v>38</v>
      </c>
      <c r="M23">
        <v>61</v>
      </c>
      <c r="N23">
        <v>468</v>
      </c>
      <c r="O23">
        <v>214</v>
      </c>
    </row>
    <row r="24" spans="1:15" x14ac:dyDescent="0.25">
      <c r="A24" t="s">
        <v>304</v>
      </c>
      <c r="B24">
        <v>3</v>
      </c>
      <c r="C24">
        <v>25</v>
      </c>
      <c r="D24">
        <v>320</v>
      </c>
      <c r="E24">
        <v>145</v>
      </c>
      <c r="F24">
        <v>33</v>
      </c>
      <c r="G24">
        <v>16</v>
      </c>
      <c r="H24">
        <v>4</v>
      </c>
      <c r="I24">
        <v>1</v>
      </c>
      <c r="J24">
        <v>9</v>
      </c>
      <c r="K24">
        <v>7</v>
      </c>
      <c r="L24">
        <v>6</v>
      </c>
      <c r="M24">
        <v>3</v>
      </c>
      <c r="N24">
        <v>27</v>
      </c>
      <c r="O24">
        <v>20</v>
      </c>
    </row>
    <row r="25" spans="1:15" x14ac:dyDescent="0.25">
      <c r="A25" t="s">
        <v>305</v>
      </c>
      <c r="B25">
        <v>7</v>
      </c>
      <c r="C25">
        <v>22</v>
      </c>
      <c r="D25">
        <v>473</v>
      </c>
      <c r="E25">
        <v>255</v>
      </c>
      <c r="F25">
        <v>36</v>
      </c>
      <c r="G25">
        <v>28</v>
      </c>
      <c r="H25">
        <v>37</v>
      </c>
      <c r="I25">
        <v>25</v>
      </c>
      <c r="J25">
        <v>6</v>
      </c>
      <c r="K25">
        <v>8</v>
      </c>
      <c r="L25">
        <v>8</v>
      </c>
      <c r="M25">
        <v>8</v>
      </c>
      <c r="N25">
        <v>65</v>
      </c>
      <c r="O25">
        <v>22</v>
      </c>
    </row>
    <row r="26" spans="1:15" x14ac:dyDescent="0.25">
      <c r="A26" t="s">
        <v>306</v>
      </c>
      <c r="B26">
        <v>10</v>
      </c>
      <c r="C26">
        <v>60</v>
      </c>
      <c r="D26">
        <v>1105</v>
      </c>
      <c r="E26">
        <v>527</v>
      </c>
      <c r="F26">
        <v>65</v>
      </c>
      <c r="G26">
        <v>34</v>
      </c>
      <c r="H26">
        <v>24</v>
      </c>
      <c r="I26">
        <v>7</v>
      </c>
      <c r="J26">
        <v>11</v>
      </c>
      <c r="K26">
        <v>0</v>
      </c>
      <c r="L26">
        <v>0</v>
      </c>
      <c r="M26">
        <v>19</v>
      </c>
      <c r="N26">
        <v>91</v>
      </c>
      <c r="O26">
        <v>55</v>
      </c>
    </row>
    <row r="27" spans="1:15" x14ac:dyDescent="0.25">
      <c r="A27" t="s">
        <v>307</v>
      </c>
      <c r="B27">
        <v>10</v>
      </c>
      <c r="C27">
        <v>70</v>
      </c>
      <c r="D27">
        <v>2066</v>
      </c>
      <c r="E27">
        <v>1043</v>
      </c>
      <c r="F27">
        <v>118</v>
      </c>
      <c r="G27">
        <v>78</v>
      </c>
      <c r="H27">
        <v>14</v>
      </c>
      <c r="I27">
        <v>8</v>
      </c>
      <c r="J27">
        <v>2</v>
      </c>
      <c r="K27">
        <v>12</v>
      </c>
      <c r="L27">
        <v>11</v>
      </c>
      <c r="M27">
        <v>19</v>
      </c>
      <c r="N27">
        <v>142</v>
      </c>
      <c r="O27">
        <v>71</v>
      </c>
    </row>
    <row r="28" spans="1:15" x14ac:dyDescent="0.25">
      <c r="A28" t="s">
        <v>266</v>
      </c>
      <c r="B28">
        <v>574</v>
      </c>
      <c r="C28">
        <v>5969</v>
      </c>
      <c r="D28">
        <v>137637</v>
      </c>
      <c r="E28">
        <v>67994</v>
      </c>
      <c r="F28">
        <v>6572</v>
      </c>
      <c r="G28">
        <v>4431</v>
      </c>
      <c r="H28">
        <v>3250</v>
      </c>
      <c r="I28">
        <v>1879</v>
      </c>
      <c r="J28">
        <v>2145</v>
      </c>
      <c r="K28">
        <v>493</v>
      </c>
      <c r="L28">
        <v>333</v>
      </c>
      <c r="M28">
        <v>924</v>
      </c>
      <c r="N28">
        <v>10552</v>
      </c>
      <c r="O28">
        <v>5247</v>
      </c>
    </row>
    <row r="29" spans="1:15" x14ac:dyDescent="0.25">
      <c r="A29" t="s">
        <v>459</v>
      </c>
      <c r="B29">
        <v>462</v>
      </c>
      <c r="C29">
        <v>5134</v>
      </c>
      <c r="D29">
        <v>115350</v>
      </c>
      <c r="E29">
        <v>56699</v>
      </c>
      <c r="F29">
        <v>5579</v>
      </c>
      <c r="G29">
        <v>3840</v>
      </c>
      <c r="H29">
        <v>3089</v>
      </c>
      <c r="I29">
        <v>1821</v>
      </c>
      <c r="J29">
        <v>1888</v>
      </c>
      <c r="K29">
        <v>427</v>
      </c>
      <c r="L29">
        <v>284</v>
      </c>
      <c r="M29">
        <v>708</v>
      </c>
      <c r="N29">
        <v>9313</v>
      </c>
      <c r="O29">
        <v>4485</v>
      </c>
    </row>
    <row r="30" spans="1:15" x14ac:dyDescent="0.25">
      <c r="A30" t="s">
        <v>460</v>
      </c>
      <c r="B30">
        <v>112</v>
      </c>
      <c r="C30">
        <v>835</v>
      </c>
      <c r="D30">
        <v>22287</v>
      </c>
      <c r="E30">
        <v>11295</v>
      </c>
      <c r="F30">
        <v>993</v>
      </c>
      <c r="G30">
        <v>591</v>
      </c>
      <c r="H30">
        <v>161</v>
      </c>
      <c r="I30">
        <v>58</v>
      </c>
      <c r="J30">
        <v>257</v>
      </c>
      <c r="K30">
        <v>66</v>
      </c>
      <c r="L30">
        <v>49</v>
      </c>
      <c r="M30">
        <v>216</v>
      </c>
      <c r="N30">
        <v>1239</v>
      </c>
      <c r="O30">
        <v>762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ED7D31"/>
  </sheetPr>
  <dimension ref="A1:O24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29" t="s">
        <v>709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694</v>
      </c>
      <c r="K1" s="29" t="s">
        <v>695</v>
      </c>
      <c r="L1" s="29"/>
      <c r="M1" s="29" t="s">
        <v>526</v>
      </c>
      <c r="N1" s="29" t="s">
        <v>527</v>
      </c>
      <c r="O1" s="29" t="s">
        <v>313</v>
      </c>
    </row>
    <row r="2" spans="1:15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s="29"/>
      <c r="K2" t="s">
        <v>263</v>
      </c>
      <c r="L2" t="s">
        <v>265</v>
      </c>
      <c r="M2" s="29"/>
      <c r="N2" s="29"/>
      <c r="O2" s="29"/>
    </row>
    <row r="3" spans="1:15" x14ac:dyDescent="0.25">
      <c r="A3" t="s">
        <v>283</v>
      </c>
      <c r="B3">
        <v>24</v>
      </c>
      <c r="C3">
        <v>189</v>
      </c>
      <c r="D3">
        <v>5040</v>
      </c>
      <c r="E3">
        <v>2554</v>
      </c>
      <c r="F3">
        <v>490</v>
      </c>
      <c r="G3">
        <v>175</v>
      </c>
      <c r="H3">
        <v>63</v>
      </c>
      <c r="I3">
        <v>17</v>
      </c>
      <c r="J3">
        <v>336</v>
      </c>
      <c r="K3">
        <v>17</v>
      </c>
      <c r="L3">
        <v>7</v>
      </c>
      <c r="M3">
        <v>39</v>
      </c>
      <c r="N3">
        <v>548</v>
      </c>
      <c r="O3">
        <v>184</v>
      </c>
    </row>
    <row r="4" spans="1:15" x14ac:dyDescent="0.25">
      <c r="A4" t="s">
        <v>284</v>
      </c>
      <c r="B4">
        <v>11</v>
      </c>
      <c r="C4">
        <v>120</v>
      </c>
      <c r="D4">
        <v>2956</v>
      </c>
      <c r="E4">
        <v>1506</v>
      </c>
      <c r="F4">
        <v>487</v>
      </c>
      <c r="G4">
        <v>217</v>
      </c>
      <c r="H4">
        <v>117</v>
      </c>
      <c r="I4">
        <v>46</v>
      </c>
      <c r="J4">
        <v>293</v>
      </c>
      <c r="K4">
        <v>4</v>
      </c>
      <c r="L4">
        <v>0</v>
      </c>
      <c r="M4">
        <v>14</v>
      </c>
      <c r="N4">
        <v>258</v>
      </c>
      <c r="O4">
        <v>137</v>
      </c>
    </row>
    <row r="5" spans="1:15" x14ac:dyDescent="0.25">
      <c r="A5" t="s">
        <v>285</v>
      </c>
      <c r="B5">
        <v>4</v>
      </c>
      <c r="C5">
        <v>27</v>
      </c>
      <c r="D5">
        <v>710</v>
      </c>
      <c r="E5">
        <v>356</v>
      </c>
      <c r="F5">
        <v>74</v>
      </c>
      <c r="G5">
        <v>30</v>
      </c>
      <c r="H5">
        <v>13</v>
      </c>
      <c r="I5">
        <v>6</v>
      </c>
      <c r="J5">
        <v>33</v>
      </c>
      <c r="K5">
        <v>1</v>
      </c>
      <c r="L5">
        <v>0</v>
      </c>
      <c r="M5">
        <v>9</v>
      </c>
      <c r="N5">
        <v>107</v>
      </c>
      <c r="O5">
        <v>27</v>
      </c>
    </row>
    <row r="6" spans="1:15" x14ac:dyDescent="0.25">
      <c r="A6" t="s">
        <v>286</v>
      </c>
      <c r="B6">
        <v>5</v>
      </c>
      <c r="C6">
        <v>33</v>
      </c>
      <c r="D6">
        <v>891</v>
      </c>
      <c r="E6">
        <v>343</v>
      </c>
      <c r="F6">
        <v>121</v>
      </c>
      <c r="G6">
        <v>44</v>
      </c>
      <c r="H6">
        <v>10</v>
      </c>
      <c r="I6">
        <v>3</v>
      </c>
      <c r="J6">
        <v>64</v>
      </c>
      <c r="K6">
        <v>0</v>
      </c>
      <c r="L6">
        <v>0</v>
      </c>
      <c r="M6">
        <v>7</v>
      </c>
      <c r="N6">
        <v>87</v>
      </c>
      <c r="O6">
        <v>33</v>
      </c>
    </row>
    <row r="7" spans="1:15" x14ac:dyDescent="0.25">
      <c r="A7" t="s">
        <v>287</v>
      </c>
      <c r="B7">
        <v>10</v>
      </c>
      <c r="C7">
        <v>54</v>
      </c>
      <c r="D7">
        <v>889</v>
      </c>
      <c r="E7">
        <v>494</v>
      </c>
      <c r="F7">
        <v>167</v>
      </c>
      <c r="G7">
        <v>66</v>
      </c>
      <c r="H7">
        <v>36</v>
      </c>
      <c r="I7">
        <v>13</v>
      </c>
      <c r="J7">
        <v>29</v>
      </c>
      <c r="K7">
        <v>10</v>
      </c>
      <c r="L7">
        <v>6</v>
      </c>
      <c r="M7">
        <v>16</v>
      </c>
      <c r="N7">
        <v>172</v>
      </c>
      <c r="O7">
        <v>54</v>
      </c>
    </row>
    <row r="8" spans="1:15" x14ac:dyDescent="0.25">
      <c r="A8" t="s">
        <v>288</v>
      </c>
      <c r="B8">
        <v>5</v>
      </c>
      <c r="C8">
        <v>23</v>
      </c>
      <c r="D8">
        <v>345</v>
      </c>
      <c r="E8">
        <v>154</v>
      </c>
      <c r="F8">
        <v>63</v>
      </c>
      <c r="G8">
        <v>16</v>
      </c>
      <c r="H8">
        <v>14</v>
      </c>
      <c r="I8">
        <v>7</v>
      </c>
      <c r="J8">
        <v>56</v>
      </c>
      <c r="K8">
        <v>2</v>
      </c>
      <c r="L8">
        <v>2</v>
      </c>
      <c r="M8">
        <v>19</v>
      </c>
      <c r="N8">
        <v>89</v>
      </c>
      <c r="O8">
        <v>22</v>
      </c>
    </row>
    <row r="9" spans="1:15" x14ac:dyDescent="0.25">
      <c r="A9" t="s">
        <v>289</v>
      </c>
      <c r="B9">
        <v>14</v>
      </c>
      <c r="C9">
        <v>81</v>
      </c>
      <c r="D9">
        <v>2834</v>
      </c>
      <c r="E9">
        <v>1462</v>
      </c>
      <c r="F9">
        <v>226</v>
      </c>
      <c r="G9">
        <v>67</v>
      </c>
      <c r="H9">
        <v>30</v>
      </c>
      <c r="I9">
        <v>16</v>
      </c>
      <c r="J9">
        <v>53</v>
      </c>
      <c r="K9">
        <v>19</v>
      </c>
      <c r="L9">
        <v>11</v>
      </c>
      <c r="M9">
        <v>30</v>
      </c>
      <c r="N9">
        <v>226</v>
      </c>
      <c r="O9">
        <v>45</v>
      </c>
    </row>
    <row r="10" spans="1:15" x14ac:dyDescent="0.25">
      <c r="A10" t="s">
        <v>290</v>
      </c>
      <c r="B10">
        <v>10</v>
      </c>
      <c r="C10">
        <v>134</v>
      </c>
      <c r="D10">
        <v>2878</v>
      </c>
      <c r="E10">
        <v>1591</v>
      </c>
      <c r="F10">
        <v>249</v>
      </c>
      <c r="G10">
        <v>76</v>
      </c>
      <c r="H10">
        <v>52</v>
      </c>
      <c r="I10">
        <v>23</v>
      </c>
      <c r="J10">
        <v>231</v>
      </c>
      <c r="K10">
        <v>7</v>
      </c>
      <c r="L10">
        <v>6</v>
      </c>
      <c r="M10">
        <v>29</v>
      </c>
      <c r="N10">
        <v>401</v>
      </c>
      <c r="O10">
        <v>116</v>
      </c>
    </row>
    <row r="11" spans="1:15" x14ac:dyDescent="0.25">
      <c r="A11" t="s">
        <v>292</v>
      </c>
      <c r="B11">
        <v>4</v>
      </c>
      <c r="C11">
        <v>15</v>
      </c>
      <c r="D11">
        <v>394</v>
      </c>
      <c r="E11">
        <v>207</v>
      </c>
      <c r="F11">
        <v>43</v>
      </c>
      <c r="G11">
        <v>13</v>
      </c>
      <c r="H11">
        <v>7</v>
      </c>
      <c r="I11">
        <v>3</v>
      </c>
      <c r="J11">
        <v>0</v>
      </c>
      <c r="K11">
        <v>2</v>
      </c>
      <c r="L11">
        <v>2</v>
      </c>
      <c r="M11">
        <v>7</v>
      </c>
      <c r="N11">
        <v>53</v>
      </c>
      <c r="O11">
        <v>15</v>
      </c>
    </row>
    <row r="12" spans="1:15" x14ac:dyDescent="0.25">
      <c r="A12" t="s">
        <v>293</v>
      </c>
      <c r="B12">
        <v>1</v>
      </c>
      <c r="C12">
        <v>6</v>
      </c>
      <c r="D12">
        <v>111</v>
      </c>
      <c r="E12">
        <v>55</v>
      </c>
      <c r="F12">
        <v>41</v>
      </c>
      <c r="G12">
        <v>13</v>
      </c>
      <c r="H12">
        <v>10</v>
      </c>
      <c r="I12">
        <v>9</v>
      </c>
      <c r="J12">
        <v>0</v>
      </c>
      <c r="K12">
        <v>0</v>
      </c>
      <c r="L12">
        <v>0</v>
      </c>
      <c r="M12">
        <v>2</v>
      </c>
      <c r="N12">
        <v>14</v>
      </c>
      <c r="O12">
        <v>6</v>
      </c>
    </row>
    <row r="13" spans="1:15" x14ac:dyDescent="0.25">
      <c r="A13" t="s">
        <v>294</v>
      </c>
      <c r="B13">
        <v>1</v>
      </c>
      <c r="C13">
        <v>1</v>
      </c>
      <c r="D13">
        <v>10</v>
      </c>
      <c r="E13">
        <v>5</v>
      </c>
      <c r="F13">
        <v>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</row>
    <row r="14" spans="1:15" x14ac:dyDescent="0.25">
      <c r="A14" t="s">
        <v>297</v>
      </c>
      <c r="B14">
        <v>124</v>
      </c>
      <c r="C14">
        <v>1453</v>
      </c>
      <c r="D14">
        <v>35496</v>
      </c>
      <c r="E14">
        <v>18087</v>
      </c>
      <c r="F14">
        <v>3404</v>
      </c>
      <c r="G14">
        <v>1189</v>
      </c>
      <c r="H14">
        <v>1435</v>
      </c>
      <c r="I14">
        <v>697</v>
      </c>
      <c r="J14">
        <v>1543</v>
      </c>
      <c r="K14">
        <v>223</v>
      </c>
      <c r="L14">
        <v>96</v>
      </c>
      <c r="M14">
        <v>175</v>
      </c>
      <c r="N14">
        <v>3913</v>
      </c>
      <c r="O14">
        <v>1204</v>
      </c>
    </row>
    <row r="15" spans="1:15" x14ac:dyDescent="0.25">
      <c r="A15" t="s">
        <v>298</v>
      </c>
      <c r="B15">
        <v>10</v>
      </c>
      <c r="C15">
        <v>78</v>
      </c>
      <c r="D15">
        <v>2016</v>
      </c>
      <c r="E15">
        <v>950</v>
      </c>
      <c r="F15">
        <v>197</v>
      </c>
      <c r="G15">
        <v>44</v>
      </c>
      <c r="H15">
        <v>33</v>
      </c>
      <c r="I15">
        <v>17</v>
      </c>
      <c r="J15">
        <v>140</v>
      </c>
      <c r="K15">
        <v>29</v>
      </c>
      <c r="L15">
        <v>21</v>
      </c>
      <c r="M15">
        <v>14</v>
      </c>
      <c r="N15">
        <v>244</v>
      </c>
      <c r="O15">
        <v>73</v>
      </c>
    </row>
    <row r="16" spans="1:15" x14ac:dyDescent="0.25">
      <c r="A16" t="s">
        <v>300</v>
      </c>
      <c r="B16">
        <v>1</v>
      </c>
      <c r="C16">
        <v>3</v>
      </c>
      <c r="D16">
        <v>132</v>
      </c>
      <c r="E16">
        <v>76</v>
      </c>
      <c r="F16">
        <v>21</v>
      </c>
      <c r="G16">
        <v>7</v>
      </c>
      <c r="H16">
        <v>3</v>
      </c>
      <c r="I16">
        <v>2</v>
      </c>
      <c r="J16">
        <v>0</v>
      </c>
      <c r="K16">
        <v>1</v>
      </c>
      <c r="L16">
        <v>0</v>
      </c>
      <c r="M16">
        <v>3</v>
      </c>
      <c r="N16">
        <v>8</v>
      </c>
      <c r="O16">
        <v>3</v>
      </c>
    </row>
    <row r="17" spans="1:15" x14ac:dyDescent="0.25">
      <c r="A17" t="s">
        <v>302</v>
      </c>
      <c r="B17">
        <v>4</v>
      </c>
      <c r="C17">
        <v>29</v>
      </c>
      <c r="D17">
        <v>480</v>
      </c>
      <c r="E17">
        <v>206</v>
      </c>
      <c r="F17">
        <v>113</v>
      </c>
      <c r="G17">
        <v>50</v>
      </c>
      <c r="H17">
        <v>63</v>
      </c>
      <c r="I17">
        <v>32</v>
      </c>
      <c r="J17">
        <v>76</v>
      </c>
      <c r="K17">
        <v>0</v>
      </c>
      <c r="L17">
        <v>0</v>
      </c>
      <c r="M17">
        <v>12</v>
      </c>
      <c r="N17">
        <v>95</v>
      </c>
      <c r="O17">
        <v>28</v>
      </c>
    </row>
    <row r="18" spans="1:15" x14ac:dyDescent="0.25">
      <c r="A18" t="s">
        <v>303</v>
      </c>
      <c r="B18">
        <v>12</v>
      </c>
      <c r="C18">
        <v>87</v>
      </c>
      <c r="D18">
        <v>1918</v>
      </c>
      <c r="E18">
        <v>922</v>
      </c>
      <c r="F18">
        <v>309</v>
      </c>
      <c r="G18">
        <v>145</v>
      </c>
      <c r="H18">
        <v>45</v>
      </c>
      <c r="I18">
        <v>19</v>
      </c>
      <c r="J18">
        <v>88</v>
      </c>
      <c r="K18">
        <v>24</v>
      </c>
      <c r="L18">
        <v>9</v>
      </c>
      <c r="M18">
        <v>20</v>
      </c>
      <c r="N18">
        <v>256</v>
      </c>
      <c r="O18">
        <v>80</v>
      </c>
    </row>
    <row r="19" spans="1:15" x14ac:dyDescent="0.25">
      <c r="A19" t="s">
        <v>304</v>
      </c>
      <c r="B19">
        <v>2</v>
      </c>
      <c r="C19">
        <v>7</v>
      </c>
      <c r="D19">
        <v>77</v>
      </c>
      <c r="E19">
        <v>42</v>
      </c>
      <c r="F19">
        <v>15</v>
      </c>
      <c r="G19">
        <v>5</v>
      </c>
      <c r="H19">
        <v>1</v>
      </c>
      <c r="I19">
        <v>0</v>
      </c>
      <c r="J19">
        <v>12</v>
      </c>
      <c r="K19">
        <v>2</v>
      </c>
      <c r="L19">
        <v>2</v>
      </c>
      <c r="M19">
        <v>2</v>
      </c>
      <c r="N19">
        <v>7</v>
      </c>
      <c r="O19">
        <v>7</v>
      </c>
    </row>
    <row r="20" spans="1:15" x14ac:dyDescent="0.25">
      <c r="A20" t="s">
        <v>306</v>
      </c>
      <c r="B20">
        <v>10</v>
      </c>
      <c r="C20">
        <v>62</v>
      </c>
      <c r="D20">
        <v>1272</v>
      </c>
      <c r="E20">
        <v>595</v>
      </c>
      <c r="F20">
        <v>218</v>
      </c>
      <c r="G20">
        <v>63</v>
      </c>
      <c r="H20">
        <v>52</v>
      </c>
      <c r="I20">
        <v>28</v>
      </c>
      <c r="J20">
        <v>135</v>
      </c>
      <c r="K20">
        <v>9</v>
      </c>
      <c r="L20">
        <v>5</v>
      </c>
      <c r="M20">
        <v>24</v>
      </c>
      <c r="N20">
        <v>175</v>
      </c>
      <c r="O20">
        <v>67</v>
      </c>
    </row>
    <row r="21" spans="1:15" x14ac:dyDescent="0.25">
      <c r="A21" t="s">
        <v>307</v>
      </c>
      <c r="B21">
        <v>6</v>
      </c>
      <c r="C21">
        <v>33</v>
      </c>
      <c r="D21">
        <v>1479</v>
      </c>
      <c r="E21">
        <v>1150</v>
      </c>
      <c r="F21">
        <v>72</v>
      </c>
      <c r="G21">
        <v>40</v>
      </c>
      <c r="H21">
        <v>9</v>
      </c>
      <c r="I21">
        <v>4</v>
      </c>
      <c r="J21">
        <v>31</v>
      </c>
      <c r="K21">
        <v>4</v>
      </c>
      <c r="L21">
        <v>2</v>
      </c>
      <c r="M21">
        <v>10</v>
      </c>
      <c r="N21">
        <v>169</v>
      </c>
      <c r="O21">
        <v>33</v>
      </c>
    </row>
    <row r="22" spans="1:15" x14ac:dyDescent="0.25">
      <c r="A22" t="s">
        <v>266</v>
      </c>
      <c r="B22">
        <v>258</v>
      </c>
      <c r="C22">
        <v>2435</v>
      </c>
      <c r="D22">
        <v>59928</v>
      </c>
      <c r="E22">
        <v>30755</v>
      </c>
      <c r="F22">
        <v>6315</v>
      </c>
      <c r="G22">
        <v>2262</v>
      </c>
      <c r="H22">
        <v>1993</v>
      </c>
      <c r="I22">
        <v>942</v>
      </c>
      <c r="J22">
        <v>3120</v>
      </c>
      <c r="K22">
        <v>354</v>
      </c>
      <c r="L22">
        <v>169</v>
      </c>
      <c r="M22">
        <v>433</v>
      </c>
      <c r="N22">
        <v>6823</v>
      </c>
      <c r="O22">
        <v>2135</v>
      </c>
    </row>
    <row r="23" spans="1:15" x14ac:dyDescent="0.25">
      <c r="A23" t="s">
        <v>459</v>
      </c>
      <c r="B23">
        <v>208</v>
      </c>
      <c r="C23">
        <v>2155</v>
      </c>
      <c r="D23">
        <v>53319</v>
      </c>
      <c r="E23">
        <v>27013</v>
      </c>
      <c r="F23">
        <v>5532</v>
      </c>
      <c r="G23">
        <v>2005</v>
      </c>
      <c r="H23">
        <v>1863</v>
      </c>
      <c r="I23">
        <v>897</v>
      </c>
      <c r="J23">
        <v>2738</v>
      </c>
      <c r="K23">
        <v>309</v>
      </c>
      <c r="L23">
        <v>145</v>
      </c>
      <c r="M23">
        <v>306</v>
      </c>
      <c r="N23">
        <v>5835</v>
      </c>
      <c r="O23">
        <v>1851</v>
      </c>
    </row>
    <row r="24" spans="1:15" x14ac:dyDescent="0.25">
      <c r="A24" t="s">
        <v>460</v>
      </c>
      <c r="B24">
        <v>50</v>
      </c>
      <c r="C24">
        <v>280</v>
      </c>
      <c r="D24">
        <v>6609</v>
      </c>
      <c r="E24">
        <v>3742</v>
      </c>
      <c r="F24">
        <v>783</v>
      </c>
      <c r="G24">
        <v>257</v>
      </c>
      <c r="H24">
        <v>130</v>
      </c>
      <c r="I24">
        <v>45</v>
      </c>
      <c r="J24">
        <v>382</v>
      </c>
      <c r="K24">
        <v>45</v>
      </c>
      <c r="L24">
        <v>24</v>
      </c>
      <c r="M24">
        <v>127</v>
      </c>
      <c r="N24">
        <v>988</v>
      </c>
      <c r="O24">
        <v>284</v>
      </c>
    </row>
  </sheetData>
  <mergeCells count="11">
    <mergeCell ref="M1:M2"/>
    <mergeCell ref="J1:J2"/>
    <mergeCell ref="O1:O2"/>
    <mergeCell ref="N1:N2"/>
    <mergeCell ref="A1:A2"/>
    <mergeCell ref="D1:E1"/>
    <mergeCell ref="K1:L1"/>
    <mergeCell ref="H1:I1"/>
    <mergeCell ref="C1:C2"/>
    <mergeCell ref="B1:B2"/>
    <mergeCell ref="F1:G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70AD47"/>
  </sheetPr>
  <dimension ref="A1:O30"/>
  <sheetViews>
    <sheetView workbookViewId="0"/>
  </sheetViews>
  <sheetFormatPr defaultRowHeight="15" x14ac:dyDescent="0.25"/>
  <cols>
    <col min="1" max="1" width="19.85546875" customWidth="1"/>
    <col min="2" max="2" width="10.42578125" customWidth="1"/>
    <col min="3" max="3" width="10.140625" customWidth="1"/>
    <col min="4" max="4" width="10.42578125" customWidth="1"/>
    <col min="5" max="5" width="10.140625" customWidth="1"/>
    <col min="7" max="7" width="10.42578125" customWidth="1"/>
    <col min="8" max="8" width="10.140625" customWidth="1"/>
    <col min="10" max="10" width="10.42578125" customWidth="1"/>
    <col min="11" max="11" width="10.140625" customWidth="1"/>
    <col min="12" max="12" width="10.42578125" customWidth="1"/>
    <col min="13" max="13" width="10.140625" customWidth="1"/>
    <col min="15" max="15" width="10.42578125" customWidth="1"/>
  </cols>
  <sheetData>
    <row r="1" spans="1:15" x14ac:dyDescent="0.25">
      <c r="A1" s="29" t="s">
        <v>709</v>
      </c>
      <c r="B1" s="29" t="s">
        <v>715</v>
      </c>
      <c r="C1" s="29"/>
      <c r="D1" s="29" t="s">
        <v>718</v>
      </c>
      <c r="E1" s="29"/>
      <c r="F1" s="29"/>
      <c r="G1" s="29"/>
      <c r="H1" s="29"/>
      <c r="I1" s="29"/>
      <c r="J1" s="29" t="s">
        <v>719</v>
      </c>
      <c r="K1" s="29"/>
      <c r="L1" s="29"/>
      <c r="M1" s="29"/>
      <c r="N1" s="29"/>
      <c r="O1" s="29"/>
    </row>
    <row r="2" spans="1:15" x14ac:dyDescent="0.25">
      <c r="A2" s="29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55</v>
      </c>
      <c r="C3">
        <v>37</v>
      </c>
      <c r="D3">
        <v>1</v>
      </c>
      <c r="E3">
        <v>2</v>
      </c>
      <c r="F3">
        <v>1</v>
      </c>
      <c r="G3">
        <v>2</v>
      </c>
      <c r="H3">
        <v>2</v>
      </c>
      <c r="I3">
        <v>46</v>
      </c>
      <c r="J3">
        <v>3</v>
      </c>
      <c r="K3">
        <v>1</v>
      </c>
      <c r="L3">
        <v>6</v>
      </c>
      <c r="M3">
        <v>3</v>
      </c>
      <c r="N3">
        <v>3</v>
      </c>
      <c r="O3">
        <v>8</v>
      </c>
    </row>
    <row r="4" spans="1:15" x14ac:dyDescent="0.25">
      <c r="A4" t="s">
        <v>284</v>
      </c>
      <c r="B4">
        <v>22</v>
      </c>
      <c r="C4">
        <v>11</v>
      </c>
      <c r="D4">
        <v>0</v>
      </c>
      <c r="E4">
        <v>2</v>
      </c>
      <c r="F4">
        <v>0</v>
      </c>
      <c r="G4">
        <v>1</v>
      </c>
      <c r="H4">
        <v>1</v>
      </c>
      <c r="I4">
        <v>15</v>
      </c>
      <c r="J4">
        <v>0</v>
      </c>
      <c r="K4">
        <v>0</v>
      </c>
      <c r="L4">
        <v>1</v>
      </c>
      <c r="M4">
        <v>0</v>
      </c>
      <c r="N4">
        <v>0</v>
      </c>
      <c r="O4">
        <v>10</v>
      </c>
    </row>
    <row r="5" spans="1:15" x14ac:dyDescent="0.25">
      <c r="A5" t="s">
        <v>285</v>
      </c>
      <c r="B5">
        <v>9</v>
      </c>
      <c r="C5">
        <v>5</v>
      </c>
      <c r="D5">
        <v>2</v>
      </c>
      <c r="E5">
        <v>0</v>
      </c>
      <c r="F5">
        <v>0</v>
      </c>
      <c r="G5">
        <v>1</v>
      </c>
      <c r="H5">
        <v>0</v>
      </c>
      <c r="I5">
        <v>13</v>
      </c>
      <c r="J5">
        <v>0</v>
      </c>
      <c r="K5">
        <v>1</v>
      </c>
      <c r="L5">
        <v>1</v>
      </c>
      <c r="M5">
        <v>0</v>
      </c>
      <c r="N5">
        <v>0</v>
      </c>
      <c r="O5">
        <v>2</v>
      </c>
    </row>
    <row r="6" spans="1:15" x14ac:dyDescent="0.25">
      <c r="A6" t="s">
        <v>286</v>
      </c>
      <c r="B6">
        <v>10</v>
      </c>
      <c r="C6">
        <v>3</v>
      </c>
      <c r="D6">
        <v>0</v>
      </c>
      <c r="E6">
        <v>0</v>
      </c>
      <c r="F6">
        <v>1</v>
      </c>
      <c r="G6">
        <v>2</v>
      </c>
      <c r="H6">
        <v>0</v>
      </c>
      <c r="I6">
        <v>7</v>
      </c>
      <c r="J6">
        <v>1</v>
      </c>
      <c r="K6">
        <v>0</v>
      </c>
      <c r="L6">
        <v>0</v>
      </c>
      <c r="M6">
        <v>1</v>
      </c>
      <c r="N6">
        <v>0</v>
      </c>
      <c r="O6">
        <v>3</v>
      </c>
    </row>
    <row r="7" spans="1:15" x14ac:dyDescent="0.25">
      <c r="A7" t="s">
        <v>287</v>
      </c>
      <c r="B7">
        <v>33</v>
      </c>
      <c r="C7">
        <v>12</v>
      </c>
      <c r="D7">
        <v>1</v>
      </c>
      <c r="E7">
        <v>2</v>
      </c>
      <c r="F7">
        <v>0</v>
      </c>
      <c r="G7">
        <v>3</v>
      </c>
      <c r="H7">
        <v>1</v>
      </c>
      <c r="I7">
        <v>14</v>
      </c>
      <c r="J7">
        <v>1</v>
      </c>
      <c r="K7">
        <v>0</v>
      </c>
      <c r="L7">
        <v>3</v>
      </c>
      <c r="M7">
        <v>1</v>
      </c>
      <c r="N7">
        <v>1</v>
      </c>
      <c r="O7">
        <v>4</v>
      </c>
    </row>
    <row r="8" spans="1:15" x14ac:dyDescent="0.25">
      <c r="A8" t="s">
        <v>288</v>
      </c>
      <c r="B8">
        <v>9</v>
      </c>
      <c r="C8">
        <v>2</v>
      </c>
      <c r="D8">
        <v>5</v>
      </c>
      <c r="E8">
        <v>4</v>
      </c>
      <c r="F8">
        <v>1</v>
      </c>
      <c r="G8">
        <v>2</v>
      </c>
      <c r="H8">
        <v>2</v>
      </c>
      <c r="I8">
        <v>6</v>
      </c>
      <c r="J8">
        <v>1</v>
      </c>
      <c r="K8">
        <v>1</v>
      </c>
      <c r="L8">
        <v>0</v>
      </c>
      <c r="M8">
        <v>0</v>
      </c>
      <c r="N8">
        <v>0</v>
      </c>
      <c r="O8">
        <v>3</v>
      </c>
    </row>
    <row r="9" spans="1:15" x14ac:dyDescent="0.25">
      <c r="A9" t="s">
        <v>289</v>
      </c>
      <c r="B9">
        <v>15</v>
      </c>
      <c r="C9">
        <v>3</v>
      </c>
      <c r="D9">
        <v>0</v>
      </c>
      <c r="E9">
        <v>0</v>
      </c>
      <c r="F9">
        <v>2</v>
      </c>
      <c r="G9">
        <v>1</v>
      </c>
      <c r="H9">
        <v>0</v>
      </c>
      <c r="I9">
        <v>15</v>
      </c>
      <c r="J9">
        <v>0</v>
      </c>
      <c r="K9">
        <v>1</v>
      </c>
      <c r="L9">
        <v>4</v>
      </c>
      <c r="M9">
        <v>0</v>
      </c>
      <c r="N9">
        <v>2</v>
      </c>
      <c r="O9">
        <v>7</v>
      </c>
    </row>
    <row r="10" spans="1:15" x14ac:dyDescent="0.25">
      <c r="A10" t="s">
        <v>290</v>
      </c>
      <c r="B10">
        <v>39</v>
      </c>
      <c r="C10">
        <v>21</v>
      </c>
      <c r="D10">
        <v>0</v>
      </c>
      <c r="E10">
        <v>0</v>
      </c>
      <c r="F10">
        <v>0</v>
      </c>
      <c r="G10">
        <v>2</v>
      </c>
      <c r="H10">
        <v>2</v>
      </c>
      <c r="I10">
        <v>15</v>
      </c>
      <c r="J10">
        <v>1</v>
      </c>
      <c r="K10">
        <v>1</v>
      </c>
      <c r="L10">
        <v>2</v>
      </c>
      <c r="M10">
        <v>0</v>
      </c>
      <c r="N10">
        <v>0</v>
      </c>
      <c r="O10">
        <v>6</v>
      </c>
    </row>
    <row r="11" spans="1:15" x14ac:dyDescent="0.25">
      <c r="A11" t="s">
        <v>291</v>
      </c>
      <c r="B11">
        <v>3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12</v>
      </c>
      <c r="C12">
        <v>7</v>
      </c>
      <c r="D12">
        <v>0</v>
      </c>
      <c r="E12">
        <v>0</v>
      </c>
      <c r="F12">
        <v>1</v>
      </c>
      <c r="G12">
        <v>2</v>
      </c>
      <c r="H12">
        <v>1</v>
      </c>
      <c r="I12">
        <v>9</v>
      </c>
      <c r="J12">
        <v>2</v>
      </c>
      <c r="K12">
        <v>0</v>
      </c>
      <c r="L12">
        <v>1</v>
      </c>
      <c r="M12">
        <v>1</v>
      </c>
      <c r="N12">
        <v>0</v>
      </c>
      <c r="O12">
        <v>0</v>
      </c>
    </row>
    <row r="13" spans="1:15" x14ac:dyDescent="0.25">
      <c r="A13" t="s">
        <v>293</v>
      </c>
      <c r="B13">
        <v>4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 t="s">
        <v>294</v>
      </c>
      <c r="B14">
        <v>4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295</v>
      </c>
      <c r="B15">
        <v>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10</v>
      </c>
      <c r="C16">
        <v>3</v>
      </c>
      <c r="D16">
        <v>1</v>
      </c>
      <c r="E16">
        <v>1</v>
      </c>
      <c r="F16">
        <v>1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242</v>
      </c>
      <c r="C17">
        <v>88</v>
      </c>
      <c r="D17">
        <v>2</v>
      </c>
      <c r="E17">
        <v>13</v>
      </c>
      <c r="F17">
        <v>13</v>
      </c>
      <c r="G17">
        <v>17</v>
      </c>
      <c r="H17">
        <v>30</v>
      </c>
      <c r="I17">
        <v>197</v>
      </c>
      <c r="J17">
        <v>11</v>
      </c>
      <c r="K17">
        <v>8</v>
      </c>
      <c r="L17">
        <v>17</v>
      </c>
      <c r="M17">
        <v>9</v>
      </c>
      <c r="N17">
        <v>9</v>
      </c>
      <c r="O17">
        <v>70</v>
      </c>
    </row>
    <row r="18" spans="1:15" x14ac:dyDescent="0.25">
      <c r="A18" t="s">
        <v>298</v>
      </c>
      <c r="B18">
        <v>21</v>
      </c>
      <c r="C18">
        <v>7</v>
      </c>
      <c r="D18">
        <v>0</v>
      </c>
      <c r="E18">
        <v>0</v>
      </c>
      <c r="F18">
        <v>1</v>
      </c>
      <c r="G18">
        <v>0</v>
      </c>
      <c r="H18">
        <v>2</v>
      </c>
      <c r="I18">
        <v>14</v>
      </c>
      <c r="J18">
        <v>1</v>
      </c>
      <c r="K18">
        <v>2</v>
      </c>
      <c r="L18">
        <v>2</v>
      </c>
      <c r="M18">
        <v>0</v>
      </c>
      <c r="N18">
        <v>0</v>
      </c>
      <c r="O18">
        <v>5</v>
      </c>
    </row>
    <row r="19" spans="1:15" x14ac:dyDescent="0.25">
      <c r="A19" t="s">
        <v>299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4</v>
      </c>
      <c r="C20">
        <v>0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6</v>
      </c>
      <c r="C21">
        <v>4</v>
      </c>
      <c r="D21">
        <v>2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4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1</v>
      </c>
      <c r="N22">
        <v>1</v>
      </c>
      <c r="O22">
        <v>2</v>
      </c>
    </row>
    <row r="23" spans="1:15" x14ac:dyDescent="0.25">
      <c r="A23" t="s">
        <v>303</v>
      </c>
      <c r="B23">
        <v>40</v>
      </c>
      <c r="C23">
        <v>22</v>
      </c>
      <c r="D23">
        <v>0</v>
      </c>
      <c r="E23">
        <v>1</v>
      </c>
      <c r="F23">
        <v>4</v>
      </c>
      <c r="G23">
        <v>5</v>
      </c>
      <c r="H23">
        <v>3</v>
      </c>
      <c r="I23">
        <v>18</v>
      </c>
      <c r="J23">
        <v>2</v>
      </c>
      <c r="K23">
        <v>1</v>
      </c>
      <c r="L23">
        <v>1</v>
      </c>
      <c r="M23">
        <v>2</v>
      </c>
      <c r="N23">
        <v>1</v>
      </c>
      <c r="O23">
        <v>5</v>
      </c>
    </row>
    <row r="24" spans="1:15" x14ac:dyDescent="0.25">
      <c r="A24" t="s">
        <v>304</v>
      </c>
      <c r="B24">
        <v>6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2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</row>
    <row r="25" spans="1:15" x14ac:dyDescent="0.25">
      <c r="A25" t="s">
        <v>305</v>
      </c>
      <c r="B25">
        <v>6</v>
      </c>
      <c r="C25">
        <v>3</v>
      </c>
      <c r="D25">
        <v>2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20</v>
      </c>
      <c r="C26">
        <v>9</v>
      </c>
      <c r="D26">
        <v>0</v>
      </c>
      <c r="E26">
        <v>2</v>
      </c>
      <c r="F26">
        <v>0</v>
      </c>
      <c r="G26">
        <v>1</v>
      </c>
      <c r="H26">
        <v>2</v>
      </c>
      <c r="I26">
        <v>5</v>
      </c>
      <c r="J26">
        <v>2</v>
      </c>
      <c r="K26">
        <v>0</v>
      </c>
      <c r="L26">
        <v>0</v>
      </c>
      <c r="M26">
        <v>0</v>
      </c>
      <c r="N26">
        <v>0</v>
      </c>
      <c r="O26">
        <v>8</v>
      </c>
    </row>
    <row r="27" spans="1:15" x14ac:dyDescent="0.25">
      <c r="A27" t="s">
        <v>307</v>
      </c>
      <c r="B27">
        <v>15</v>
      </c>
      <c r="C27">
        <v>7</v>
      </c>
      <c r="D27">
        <v>0</v>
      </c>
      <c r="E27">
        <v>0</v>
      </c>
      <c r="F27">
        <v>1</v>
      </c>
      <c r="G27">
        <v>1</v>
      </c>
      <c r="H27">
        <v>0</v>
      </c>
      <c r="I27">
        <v>8</v>
      </c>
      <c r="J27">
        <v>0</v>
      </c>
      <c r="K27">
        <v>2</v>
      </c>
      <c r="L27">
        <v>1</v>
      </c>
      <c r="M27">
        <v>1</v>
      </c>
      <c r="N27">
        <v>0</v>
      </c>
      <c r="O27">
        <v>2</v>
      </c>
    </row>
    <row r="28" spans="1:15" x14ac:dyDescent="0.25">
      <c r="A28" t="s">
        <v>318</v>
      </c>
      <c r="B28">
        <v>594</v>
      </c>
      <c r="C28">
        <v>255</v>
      </c>
      <c r="D28">
        <v>17</v>
      </c>
      <c r="E28">
        <v>28</v>
      </c>
      <c r="F28">
        <v>29</v>
      </c>
      <c r="G28">
        <v>43</v>
      </c>
      <c r="H28">
        <v>50</v>
      </c>
      <c r="I28">
        <v>407</v>
      </c>
      <c r="J28">
        <v>26</v>
      </c>
      <c r="K28">
        <v>18</v>
      </c>
      <c r="L28">
        <v>40</v>
      </c>
      <c r="M28">
        <v>19</v>
      </c>
      <c r="N28">
        <v>17</v>
      </c>
      <c r="O28">
        <v>138</v>
      </c>
    </row>
    <row r="29" spans="1:15" x14ac:dyDescent="0.25">
      <c r="A29" t="s">
        <v>308</v>
      </c>
      <c r="B29">
        <v>458</v>
      </c>
      <c r="C29">
        <v>185</v>
      </c>
      <c r="D29">
        <v>11</v>
      </c>
      <c r="E29">
        <v>19</v>
      </c>
      <c r="F29">
        <v>23</v>
      </c>
      <c r="G29">
        <v>30</v>
      </c>
      <c r="H29">
        <v>44</v>
      </c>
      <c r="I29">
        <v>335</v>
      </c>
      <c r="J29">
        <v>21</v>
      </c>
      <c r="K29">
        <v>14</v>
      </c>
      <c r="L29">
        <v>31</v>
      </c>
      <c r="M29">
        <v>16</v>
      </c>
      <c r="N29">
        <v>15</v>
      </c>
      <c r="O29">
        <v>114</v>
      </c>
    </row>
    <row r="30" spans="1:15" x14ac:dyDescent="0.25">
      <c r="A30" t="s">
        <v>309</v>
      </c>
      <c r="B30">
        <v>136</v>
      </c>
      <c r="C30">
        <v>70</v>
      </c>
      <c r="D30">
        <v>6</v>
      </c>
      <c r="E30">
        <v>9</v>
      </c>
      <c r="F30">
        <v>6</v>
      </c>
      <c r="G30">
        <v>13</v>
      </c>
      <c r="H30">
        <v>6</v>
      </c>
      <c r="I30">
        <v>72</v>
      </c>
      <c r="J30">
        <v>5</v>
      </c>
      <c r="K30">
        <v>4</v>
      </c>
      <c r="L30">
        <v>9</v>
      </c>
      <c r="M30">
        <v>3</v>
      </c>
      <c r="N30">
        <v>2</v>
      </c>
      <c r="O30">
        <v>24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5B9BD5"/>
  </sheetPr>
  <dimension ref="A1:BA31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6" max="6" width="11.85546875" customWidth="1"/>
    <col min="7" max="7" width="11.42578125" customWidth="1"/>
    <col min="8" max="8" width="11.85546875" customWidth="1"/>
    <col min="9" max="9" width="11.42578125" customWidth="1"/>
    <col min="10" max="10" width="12.140625" customWidth="1"/>
    <col min="12" max="12" width="12" customWidth="1"/>
    <col min="13" max="13" width="12.140625" customWidth="1"/>
  </cols>
  <sheetData>
    <row r="1" spans="1:53" x14ac:dyDescent="0.25">
      <c r="A1" s="29" t="s">
        <v>709</v>
      </c>
      <c r="B1" s="29" t="s">
        <v>334</v>
      </c>
      <c r="C1" s="29"/>
      <c r="D1" s="29"/>
      <c r="E1" s="29"/>
      <c r="F1" s="29" t="s">
        <v>335</v>
      </c>
      <c r="G1" s="29"/>
      <c r="H1" s="29"/>
      <c r="I1" s="29"/>
      <c r="J1" s="29" t="s">
        <v>336</v>
      </c>
      <c r="K1" s="29"/>
      <c r="L1" s="29"/>
      <c r="M1" s="29"/>
      <c r="N1" s="29" t="s">
        <v>337</v>
      </c>
      <c r="O1" s="29"/>
      <c r="P1" s="29"/>
      <c r="Q1" s="29"/>
      <c r="R1" s="29" t="s">
        <v>338</v>
      </c>
      <c r="S1" s="29"/>
      <c r="T1" s="29"/>
      <c r="U1" s="29"/>
      <c r="V1" s="29" t="s">
        <v>339</v>
      </c>
      <c r="W1" s="29"/>
      <c r="X1" s="29"/>
      <c r="Y1" s="29"/>
      <c r="Z1" s="29" t="s">
        <v>340</v>
      </c>
      <c r="AA1" s="29"/>
      <c r="AB1" s="29"/>
      <c r="AC1" s="29"/>
      <c r="AD1" s="29" t="s">
        <v>341</v>
      </c>
      <c r="AE1" s="29"/>
      <c r="AF1" s="29"/>
      <c r="AG1" s="29"/>
      <c r="AH1" s="29" t="s">
        <v>342</v>
      </c>
      <c r="AI1" s="29"/>
      <c r="AJ1" s="29"/>
      <c r="AK1" s="29"/>
      <c r="AL1" s="29" t="s">
        <v>343</v>
      </c>
      <c r="AM1" s="29"/>
      <c r="AN1" s="29"/>
      <c r="AO1" s="29"/>
      <c r="AP1" s="29" t="s">
        <v>344</v>
      </c>
      <c r="AQ1" s="29"/>
      <c r="AR1" s="29"/>
      <c r="AS1" s="29"/>
      <c r="AT1" s="29" t="s">
        <v>345</v>
      </c>
      <c r="AU1" s="29"/>
      <c r="AV1" s="29"/>
      <c r="AW1" s="29"/>
      <c r="AX1" s="29" t="s">
        <v>263</v>
      </c>
      <c r="AY1" s="29"/>
      <c r="AZ1" s="29"/>
      <c r="BA1" s="29"/>
    </row>
    <row r="2" spans="1:53" x14ac:dyDescent="0.25">
      <c r="A2" s="29"/>
      <c r="B2" s="29" t="s">
        <v>72</v>
      </c>
      <c r="C2" s="29"/>
      <c r="D2" s="29" t="s">
        <v>257</v>
      </c>
      <c r="E2" s="29"/>
      <c r="F2" s="29" t="s">
        <v>72</v>
      </c>
      <c r="G2" s="29"/>
      <c r="H2" s="29" t="s">
        <v>257</v>
      </c>
      <c r="I2" s="29"/>
      <c r="J2" s="29" t="s">
        <v>72</v>
      </c>
      <c r="K2" s="29"/>
      <c r="L2" s="29" t="s">
        <v>257</v>
      </c>
      <c r="M2" s="29"/>
      <c r="N2" s="29" t="s">
        <v>72</v>
      </c>
      <c r="O2" s="29"/>
      <c r="P2" s="29" t="s">
        <v>257</v>
      </c>
      <c r="Q2" s="29"/>
      <c r="R2" s="29" t="s">
        <v>72</v>
      </c>
      <c r="S2" s="29"/>
      <c r="T2" s="29" t="s">
        <v>257</v>
      </c>
      <c r="U2" s="29"/>
      <c r="V2" s="29" t="s">
        <v>72</v>
      </c>
      <c r="W2" s="29"/>
      <c r="X2" s="29" t="s">
        <v>257</v>
      </c>
      <c r="Y2" s="29"/>
      <c r="Z2" s="29" t="s">
        <v>72</v>
      </c>
      <c r="AA2" s="29"/>
      <c r="AB2" s="29" t="s">
        <v>257</v>
      </c>
      <c r="AC2" s="29"/>
      <c r="AD2" s="29" t="s">
        <v>72</v>
      </c>
      <c r="AE2" s="29"/>
      <c r="AF2" s="29" t="s">
        <v>257</v>
      </c>
      <c r="AG2" s="29"/>
      <c r="AH2" s="29" t="s">
        <v>72</v>
      </c>
      <c r="AI2" s="29"/>
      <c r="AJ2" s="29" t="s">
        <v>257</v>
      </c>
      <c r="AK2" s="29"/>
      <c r="AL2" s="29" t="s">
        <v>72</v>
      </c>
      <c r="AM2" s="29"/>
      <c r="AN2" s="29" t="s">
        <v>257</v>
      </c>
      <c r="AO2" s="29"/>
      <c r="AP2" s="29" t="s">
        <v>72</v>
      </c>
      <c r="AQ2" s="29"/>
      <c r="AR2" s="29" t="s">
        <v>257</v>
      </c>
      <c r="AS2" s="29"/>
      <c r="AT2" s="29" t="s">
        <v>72</v>
      </c>
      <c r="AU2" s="29"/>
      <c r="AV2" s="29" t="s">
        <v>257</v>
      </c>
      <c r="AW2" s="29"/>
      <c r="AX2" s="29" t="s">
        <v>72</v>
      </c>
      <c r="AY2" s="29"/>
      <c r="AZ2" s="29" t="s">
        <v>257</v>
      </c>
      <c r="BA2" s="29"/>
    </row>
    <row r="3" spans="1:53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3044</v>
      </c>
      <c r="C4">
        <v>1434</v>
      </c>
      <c r="D4">
        <v>147</v>
      </c>
      <c r="E4">
        <v>45</v>
      </c>
      <c r="F4">
        <v>2954</v>
      </c>
      <c r="G4">
        <v>1367</v>
      </c>
      <c r="H4">
        <v>53</v>
      </c>
      <c r="I4">
        <v>14</v>
      </c>
      <c r="J4">
        <v>2543</v>
      </c>
      <c r="K4">
        <v>1288</v>
      </c>
      <c r="L4">
        <v>48</v>
      </c>
      <c r="M4">
        <v>23</v>
      </c>
      <c r="N4">
        <v>2149</v>
      </c>
      <c r="O4">
        <v>1045</v>
      </c>
      <c r="P4">
        <v>28</v>
      </c>
      <c r="Q4">
        <v>16</v>
      </c>
      <c r="R4">
        <v>1910</v>
      </c>
      <c r="S4">
        <v>941</v>
      </c>
      <c r="T4">
        <v>16</v>
      </c>
      <c r="U4">
        <v>6</v>
      </c>
      <c r="V4">
        <v>1659</v>
      </c>
      <c r="W4">
        <v>826</v>
      </c>
      <c r="X4">
        <v>6</v>
      </c>
      <c r="Y4">
        <v>2</v>
      </c>
      <c r="Z4">
        <v>1358</v>
      </c>
      <c r="AA4">
        <v>756</v>
      </c>
      <c r="AB4">
        <v>1</v>
      </c>
      <c r="AC4">
        <v>0</v>
      </c>
      <c r="AD4">
        <v>1169</v>
      </c>
      <c r="AE4">
        <v>572</v>
      </c>
      <c r="AF4">
        <v>3</v>
      </c>
      <c r="AG4">
        <v>0</v>
      </c>
      <c r="AH4">
        <v>871</v>
      </c>
      <c r="AI4">
        <v>401</v>
      </c>
      <c r="AJ4">
        <v>12</v>
      </c>
      <c r="AK4">
        <v>3</v>
      </c>
      <c r="AL4">
        <v>667</v>
      </c>
      <c r="AM4">
        <v>332</v>
      </c>
      <c r="AN4">
        <v>3</v>
      </c>
      <c r="AO4">
        <v>1</v>
      </c>
      <c r="AP4">
        <v>558</v>
      </c>
      <c r="AQ4">
        <v>288</v>
      </c>
      <c r="AR4">
        <v>0</v>
      </c>
      <c r="AS4">
        <v>0</v>
      </c>
      <c r="AT4">
        <v>417</v>
      </c>
      <c r="AU4">
        <v>205</v>
      </c>
      <c r="AV4">
        <v>6</v>
      </c>
      <c r="AW4">
        <v>3</v>
      </c>
      <c r="AX4">
        <v>23316</v>
      </c>
      <c r="AY4">
        <v>11458</v>
      </c>
      <c r="AZ4">
        <v>323</v>
      </c>
      <c r="BA4">
        <v>113</v>
      </c>
    </row>
    <row r="5" spans="1:53" x14ac:dyDescent="0.25">
      <c r="A5" t="s">
        <v>284</v>
      </c>
      <c r="B5">
        <v>925</v>
      </c>
      <c r="C5">
        <v>434</v>
      </c>
      <c r="D5">
        <v>43</v>
      </c>
      <c r="E5">
        <v>16</v>
      </c>
      <c r="F5">
        <v>752</v>
      </c>
      <c r="G5">
        <v>360</v>
      </c>
      <c r="H5">
        <v>15</v>
      </c>
      <c r="I5">
        <v>4</v>
      </c>
      <c r="J5">
        <v>676</v>
      </c>
      <c r="K5">
        <v>309</v>
      </c>
      <c r="L5">
        <v>4</v>
      </c>
      <c r="M5">
        <v>2</v>
      </c>
      <c r="N5">
        <v>553</v>
      </c>
      <c r="O5">
        <v>246</v>
      </c>
      <c r="P5">
        <v>4</v>
      </c>
      <c r="Q5">
        <v>0</v>
      </c>
      <c r="R5">
        <v>534</v>
      </c>
      <c r="S5">
        <v>260</v>
      </c>
      <c r="T5">
        <v>2</v>
      </c>
      <c r="U5">
        <v>0</v>
      </c>
      <c r="V5">
        <v>526</v>
      </c>
      <c r="W5">
        <v>250</v>
      </c>
      <c r="X5">
        <v>6</v>
      </c>
      <c r="Y5">
        <v>1</v>
      </c>
      <c r="Z5">
        <v>500</v>
      </c>
      <c r="AA5">
        <v>248</v>
      </c>
      <c r="AB5">
        <v>10</v>
      </c>
      <c r="AC5">
        <v>4</v>
      </c>
      <c r="AD5">
        <v>499</v>
      </c>
      <c r="AE5">
        <v>258</v>
      </c>
      <c r="AF5">
        <v>8</v>
      </c>
      <c r="AG5">
        <v>2</v>
      </c>
      <c r="AH5">
        <v>489</v>
      </c>
      <c r="AI5">
        <v>235</v>
      </c>
      <c r="AJ5">
        <v>16</v>
      </c>
      <c r="AK5">
        <v>9</v>
      </c>
      <c r="AL5">
        <v>504</v>
      </c>
      <c r="AM5">
        <v>261</v>
      </c>
      <c r="AN5">
        <v>5</v>
      </c>
      <c r="AO5">
        <v>1</v>
      </c>
      <c r="AP5">
        <v>469</v>
      </c>
      <c r="AQ5">
        <v>253</v>
      </c>
      <c r="AR5">
        <v>3</v>
      </c>
      <c r="AS5">
        <v>1</v>
      </c>
      <c r="AT5">
        <v>495</v>
      </c>
      <c r="AU5">
        <v>251</v>
      </c>
      <c r="AV5">
        <v>25</v>
      </c>
      <c r="AW5">
        <v>6</v>
      </c>
      <c r="AX5">
        <v>8992</v>
      </c>
      <c r="AY5">
        <v>4373</v>
      </c>
      <c r="AZ5">
        <v>141</v>
      </c>
      <c r="BA5">
        <v>46</v>
      </c>
    </row>
    <row r="6" spans="1:53" x14ac:dyDescent="0.25">
      <c r="A6" t="s">
        <v>285</v>
      </c>
      <c r="B6">
        <v>504</v>
      </c>
      <c r="C6">
        <v>251</v>
      </c>
      <c r="D6">
        <v>23</v>
      </c>
      <c r="E6">
        <v>12</v>
      </c>
      <c r="F6">
        <v>509</v>
      </c>
      <c r="G6">
        <v>234</v>
      </c>
      <c r="H6">
        <v>17</v>
      </c>
      <c r="I6">
        <v>5</v>
      </c>
      <c r="J6">
        <v>412</v>
      </c>
      <c r="K6">
        <v>165</v>
      </c>
      <c r="L6">
        <v>9</v>
      </c>
      <c r="M6">
        <v>0</v>
      </c>
      <c r="N6">
        <v>358</v>
      </c>
      <c r="O6">
        <v>170</v>
      </c>
      <c r="P6">
        <v>2</v>
      </c>
      <c r="Q6">
        <v>1</v>
      </c>
      <c r="R6">
        <v>408</v>
      </c>
      <c r="S6">
        <v>191</v>
      </c>
      <c r="T6">
        <v>0</v>
      </c>
      <c r="U6">
        <v>0</v>
      </c>
      <c r="V6">
        <v>407</v>
      </c>
      <c r="W6">
        <v>204</v>
      </c>
      <c r="X6">
        <v>5</v>
      </c>
      <c r="Y6">
        <v>2</v>
      </c>
      <c r="Z6">
        <v>203</v>
      </c>
      <c r="AA6">
        <v>102</v>
      </c>
      <c r="AB6">
        <v>7</v>
      </c>
      <c r="AC6">
        <v>3</v>
      </c>
      <c r="AD6">
        <v>155</v>
      </c>
      <c r="AE6">
        <v>74</v>
      </c>
      <c r="AF6">
        <v>2</v>
      </c>
      <c r="AG6">
        <v>0</v>
      </c>
      <c r="AH6">
        <v>133</v>
      </c>
      <c r="AI6">
        <v>75</v>
      </c>
      <c r="AJ6">
        <v>0</v>
      </c>
      <c r="AK6">
        <v>0</v>
      </c>
      <c r="AL6">
        <v>102</v>
      </c>
      <c r="AM6">
        <v>46</v>
      </c>
      <c r="AN6">
        <v>0</v>
      </c>
      <c r="AO6">
        <v>0</v>
      </c>
      <c r="AP6">
        <v>59</v>
      </c>
      <c r="AQ6">
        <v>32</v>
      </c>
      <c r="AR6">
        <v>0</v>
      </c>
      <c r="AS6">
        <v>0</v>
      </c>
      <c r="AT6">
        <v>58</v>
      </c>
      <c r="AU6">
        <v>27</v>
      </c>
      <c r="AV6">
        <v>0</v>
      </c>
      <c r="AW6">
        <v>0</v>
      </c>
      <c r="AX6">
        <v>4770</v>
      </c>
      <c r="AY6">
        <v>2357</v>
      </c>
      <c r="AZ6">
        <v>65</v>
      </c>
      <c r="BA6">
        <v>23</v>
      </c>
    </row>
    <row r="7" spans="1:53" x14ac:dyDescent="0.25">
      <c r="A7" t="s">
        <v>286</v>
      </c>
      <c r="B7">
        <v>514</v>
      </c>
      <c r="C7">
        <v>240</v>
      </c>
      <c r="D7">
        <v>11</v>
      </c>
      <c r="E7">
        <v>5</v>
      </c>
      <c r="F7">
        <v>423</v>
      </c>
      <c r="G7">
        <v>231</v>
      </c>
      <c r="H7">
        <v>8</v>
      </c>
      <c r="I7">
        <v>3</v>
      </c>
      <c r="J7">
        <v>381</v>
      </c>
      <c r="K7">
        <v>173</v>
      </c>
      <c r="L7">
        <v>2</v>
      </c>
      <c r="M7">
        <v>0</v>
      </c>
      <c r="N7">
        <v>239</v>
      </c>
      <c r="O7">
        <v>117</v>
      </c>
      <c r="P7">
        <v>0</v>
      </c>
      <c r="Q7">
        <v>0</v>
      </c>
      <c r="R7">
        <v>248</v>
      </c>
      <c r="S7">
        <v>111</v>
      </c>
      <c r="T7">
        <v>1</v>
      </c>
      <c r="U7">
        <v>0</v>
      </c>
      <c r="V7">
        <v>236</v>
      </c>
      <c r="W7">
        <v>97</v>
      </c>
      <c r="X7">
        <v>0</v>
      </c>
      <c r="Y7">
        <v>0</v>
      </c>
      <c r="Z7">
        <v>225</v>
      </c>
      <c r="AA7">
        <v>92</v>
      </c>
      <c r="AB7">
        <v>1</v>
      </c>
      <c r="AC7">
        <v>0</v>
      </c>
      <c r="AD7">
        <v>171</v>
      </c>
      <c r="AE7">
        <v>68</v>
      </c>
      <c r="AF7">
        <v>0</v>
      </c>
      <c r="AG7">
        <v>0</v>
      </c>
      <c r="AH7">
        <v>151</v>
      </c>
      <c r="AI7">
        <v>57</v>
      </c>
      <c r="AJ7">
        <v>2</v>
      </c>
      <c r="AK7">
        <v>2</v>
      </c>
      <c r="AL7">
        <v>131</v>
      </c>
      <c r="AM7">
        <v>44</v>
      </c>
      <c r="AN7">
        <v>2</v>
      </c>
      <c r="AO7">
        <v>0</v>
      </c>
      <c r="AP7">
        <v>96</v>
      </c>
      <c r="AQ7">
        <v>31</v>
      </c>
      <c r="AR7">
        <v>0</v>
      </c>
      <c r="AS7">
        <v>0</v>
      </c>
      <c r="AT7">
        <v>117</v>
      </c>
      <c r="AU7">
        <v>51</v>
      </c>
      <c r="AV7">
        <v>3</v>
      </c>
      <c r="AW7">
        <v>1</v>
      </c>
      <c r="AX7">
        <v>4256</v>
      </c>
      <c r="AY7">
        <v>1940</v>
      </c>
      <c r="AZ7">
        <v>30</v>
      </c>
      <c r="BA7">
        <v>11</v>
      </c>
    </row>
    <row r="8" spans="1:53" x14ac:dyDescent="0.25">
      <c r="A8" t="s">
        <v>287</v>
      </c>
      <c r="B8">
        <v>1376</v>
      </c>
      <c r="C8">
        <v>703</v>
      </c>
      <c r="D8">
        <v>51</v>
      </c>
      <c r="E8">
        <v>17</v>
      </c>
      <c r="F8">
        <v>935</v>
      </c>
      <c r="G8">
        <v>469</v>
      </c>
      <c r="H8">
        <v>35</v>
      </c>
      <c r="I8">
        <v>11</v>
      </c>
      <c r="J8">
        <v>683</v>
      </c>
      <c r="K8">
        <v>326</v>
      </c>
      <c r="L8">
        <v>20</v>
      </c>
      <c r="M8">
        <v>4</v>
      </c>
      <c r="N8">
        <v>530</v>
      </c>
      <c r="O8">
        <v>259</v>
      </c>
      <c r="P8">
        <v>13</v>
      </c>
      <c r="Q8">
        <v>2</v>
      </c>
      <c r="R8">
        <v>588</v>
      </c>
      <c r="S8">
        <v>308</v>
      </c>
      <c r="T8">
        <v>15</v>
      </c>
      <c r="U8">
        <v>5</v>
      </c>
      <c r="V8">
        <v>402</v>
      </c>
      <c r="W8">
        <v>210</v>
      </c>
      <c r="X8">
        <v>6</v>
      </c>
      <c r="Y8">
        <v>3</v>
      </c>
      <c r="Z8">
        <v>289</v>
      </c>
      <c r="AA8">
        <v>176</v>
      </c>
      <c r="AB8">
        <v>8</v>
      </c>
      <c r="AC8">
        <v>3</v>
      </c>
      <c r="AD8">
        <v>234</v>
      </c>
      <c r="AE8">
        <v>115</v>
      </c>
      <c r="AF8">
        <v>2</v>
      </c>
      <c r="AG8">
        <v>1</v>
      </c>
      <c r="AH8">
        <v>166</v>
      </c>
      <c r="AI8">
        <v>83</v>
      </c>
      <c r="AJ8">
        <v>0</v>
      </c>
      <c r="AK8">
        <v>0</v>
      </c>
      <c r="AL8">
        <v>74</v>
      </c>
      <c r="AM8">
        <v>45</v>
      </c>
      <c r="AN8">
        <v>1</v>
      </c>
      <c r="AO8">
        <v>0</v>
      </c>
      <c r="AP8">
        <v>84</v>
      </c>
      <c r="AQ8">
        <v>49</v>
      </c>
      <c r="AR8">
        <v>0</v>
      </c>
      <c r="AS8">
        <v>0</v>
      </c>
      <c r="AT8">
        <v>42</v>
      </c>
      <c r="AU8">
        <v>26</v>
      </c>
      <c r="AV8">
        <v>0</v>
      </c>
      <c r="AW8">
        <v>0</v>
      </c>
      <c r="AX8">
        <v>8260</v>
      </c>
      <c r="AY8">
        <v>4272</v>
      </c>
      <c r="AZ8">
        <v>151</v>
      </c>
      <c r="BA8">
        <v>46</v>
      </c>
    </row>
    <row r="9" spans="1:53" x14ac:dyDescent="0.25">
      <c r="A9" t="s">
        <v>288</v>
      </c>
      <c r="B9">
        <v>432</v>
      </c>
      <c r="C9">
        <v>208</v>
      </c>
      <c r="D9">
        <v>32</v>
      </c>
      <c r="E9">
        <v>17</v>
      </c>
      <c r="F9">
        <v>306</v>
      </c>
      <c r="G9">
        <v>139</v>
      </c>
      <c r="H9">
        <v>52</v>
      </c>
      <c r="I9">
        <v>26</v>
      </c>
      <c r="J9">
        <v>261</v>
      </c>
      <c r="K9">
        <v>129</v>
      </c>
      <c r="L9">
        <v>44</v>
      </c>
      <c r="M9">
        <v>22</v>
      </c>
      <c r="N9">
        <v>199</v>
      </c>
      <c r="O9">
        <v>83</v>
      </c>
      <c r="P9">
        <v>23</v>
      </c>
      <c r="Q9">
        <v>15</v>
      </c>
      <c r="R9">
        <v>246</v>
      </c>
      <c r="S9">
        <v>138</v>
      </c>
      <c r="T9">
        <v>37</v>
      </c>
      <c r="U9">
        <v>19</v>
      </c>
      <c r="V9">
        <v>231</v>
      </c>
      <c r="W9">
        <v>135</v>
      </c>
      <c r="X9">
        <v>21</v>
      </c>
      <c r="Y9">
        <v>15</v>
      </c>
      <c r="Z9">
        <v>106</v>
      </c>
      <c r="AA9">
        <v>41</v>
      </c>
      <c r="AB9">
        <v>4</v>
      </c>
      <c r="AC9">
        <v>0</v>
      </c>
      <c r="AD9">
        <v>67</v>
      </c>
      <c r="AE9">
        <v>32</v>
      </c>
      <c r="AF9">
        <v>0</v>
      </c>
      <c r="AG9">
        <v>0</v>
      </c>
      <c r="AH9">
        <v>66</v>
      </c>
      <c r="AI9">
        <v>30</v>
      </c>
      <c r="AJ9">
        <v>3</v>
      </c>
      <c r="AK9">
        <v>0</v>
      </c>
      <c r="AL9">
        <v>37</v>
      </c>
      <c r="AM9">
        <v>14</v>
      </c>
      <c r="AN9">
        <v>0</v>
      </c>
      <c r="AO9">
        <v>0</v>
      </c>
      <c r="AP9">
        <v>40</v>
      </c>
      <c r="AQ9">
        <v>21</v>
      </c>
      <c r="AR9">
        <v>0</v>
      </c>
      <c r="AS9">
        <v>0</v>
      </c>
      <c r="AT9">
        <v>29</v>
      </c>
      <c r="AU9">
        <v>16</v>
      </c>
      <c r="AV9">
        <v>0</v>
      </c>
      <c r="AW9">
        <v>0</v>
      </c>
      <c r="AX9">
        <v>2658</v>
      </c>
      <c r="AY9">
        <v>1298</v>
      </c>
      <c r="AZ9">
        <v>216</v>
      </c>
      <c r="BA9">
        <v>114</v>
      </c>
    </row>
    <row r="10" spans="1:53" x14ac:dyDescent="0.25">
      <c r="A10" t="s">
        <v>289</v>
      </c>
      <c r="B10">
        <v>1908</v>
      </c>
      <c r="C10">
        <v>968</v>
      </c>
      <c r="D10">
        <v>37</v>
      </c>
      <c r="E10">
        <v>19</v>
      </c>
      <c r="F10">
        <v>1723</v>
      </c>
      <c r="G10">
        <v>873</v>
      </c>
      <c r="H10">
        <v>24</v>
      </c>
      <c r="I10">
        <v>12</v>
      </c>
      <c r="J10">
        <v>1111</v>
      </c>
      <c r="K10">
        <v>608</v>
      </c>
      <c r="L10">
        <v>19</v>
      </c>
      <c r="M10">
        <v>8</v>
      </c>
      <c r="N10">
        <v>747</v>
      </c>
      <c r="O10">
        <v>418</v>
      </c>
      <c r="P10">
        <v>17</v>
      </c>
      <c r="Q10">
        <v>11</v>
      </c>
      <c r="R10">
        <v>730</v>
      </c>
      <c r="S10">
        <v>358</v>
      </c>
      <c r="T10">
        <v>12</v>
      </c>
      <c r="U10">
        <v>3</v>
      </c>
      <c r="V10">
        <v>599</v>
      </c>
      <c r="W10">
        <v>337</v>
      </c>
      <c r="X10">
        <v>2</v>
      </c>
      <c r="Y10">
        <v>1</v>
      </c>
      <c r="Z10">
        <v>632</v>
      </c>
      <c r="AA10">
        <v>330</v>
      </c>
      <c r="AB10">
        <v>20</v>
      </c>
      <c r="AC10">
        <v>12</v>
      </c>
      <c r="AD10">
        <v>523</v>
      </c>
      <c r="AE10">
        <v>270</v>
      </c>
      <c r="AF10">
        <v>5</v>
      </c>
      <c r="AG10">
        <v>1</v>
      </c>
      <c r="AH10">
        <v>454</v>
      </c>
      <c r="AI10">
        <v>250</v>
      </c>
      <c r="AJ10">
        <v>3</v>
      </c>
      <c r="AK10">
        <v>0</v>
      </c>
      <c r="AL10">
        <v>401</v>
      </c>
      <c r="AM10">
        <v>205</v>
      </c>
      <c r="AN10">
        <v>0</v>
      </c>
      <c r="AO10">
        <v>0</v>
      </c>
      <c r="AP10">
        <v>410</v>
      </c>
      <c r="AQ10">
        <v>210</v>
      </c>
      <c r="AR10">
        <v>0</v>
      </c>
      <c r="AS10">
        <v>0</v>
      </c>
      <c r="AT10">
        <v>414</v>
      </c>
      <c r="AU10">
        <v>197</v>
      </c>
      <c r="AV10">
        <v>18</v>
      </c>
      <c r="AW10">
        <v>7</v>
      </c>
      <c r="AX10">
        <v>10904</v>
      </c>
      <c r="AY10">
        <v>5610</v>
      </c>
      <c r="AZ10">
        <v>157</v>
      </c>
      <c r="BA10">
        <v>74</v>
      </c>
    </row>
    <row r="11" spans="1:53" x14ac:dyDescent="0.25">
      <c r="A11" t="s">
        <v>290</v>
      </c>
      <c r="B11">
        <v>1345</v>
      </c>
      <c r="C11">
        <v>742</v>
      </c>
      <c r="D11">
        <v>59</v>
      </c>
      <c r="E11">
        <v>27</v>
      </c>
      <c r="F11">
        <v>1204</v>
      </c>
      <c r="G11">
        <v>641</v>
      </c>
      <c r="H11">
        <v>60</v>
      </c>
      <c r="I11">
        <v>22</v>
      </c>
      <c r="J11">
        <v>984</v>
      </c>
      <c r="K11">
        <v>517</v>
      </c>
      <c r="L11">
        <v>37</v>
      </c>
      <c r="M11">
        <v>16</v>
      </c>
      <c r="N11">
        <v>700</v>
      </c>
      <c r="O11">
        <v>359</v>
      </c>
      <c r="P11">
        <v>19</v>
      </c>
      <c r="Q11">
        <v>9</v>
      </c>
      <c r="R11">
        <v>703</v>
      </c>
      <c r="S11">
        <v>348</v>
      </c>
      <c r="T11">
        <v>11</v>
      </c>
      <c r="U11">
        <v>3</v>
      </c>
      <c r="V11">
        <v>657</v>
      </c>
      <c r="W11">
        <v>350</v>
      </c>
      <c r="X11">
        <v>6</v>
      </c>
      <c r="Y11">
        <v>1</v>
      </c>
      <c r="Z11">
        <v>718</v>
      </c>
      <c r="AA11">
        <v>440</v>
      </c>
      <c r="AB11">
        <v>14</v>
      </c>
      <c r="AC11">
        <v>10</v>
      </c>
      <c r="AD11">
        <v>542</v>
      </c>
      <c r="AE11">
        <v>305</v>
      </c>
      <c r="AF11">
        <v>17</v>
      </c>
      <c r="AG11">
        <v>14</v>
      </c>
      <c r="AH11">
        <v>471</v>
      </c>
      <c r="AI11">
        <v>229</v>
      </c>
      <c r="AJ11">
        <v>3</v>
      </c>
      <c r="AK11">
        <v>3</v>
      </c>
      <c r="AL11">
        <v>460</v>
      </c>
      <c r="AM11">
        <v>255</v>
      </c>
      <c r="AN11">
        <v>8</v>
      </c>
      <c r="AO11">
        <v>6</v>
      </c>
      <c r="AP11">
        <v>357</v>
      </c>
      <c r="AQ11">
        <v>185</v>
      </c>
      <c r="AR11">
        <v>3</v>
      </c>
      <c r="AS11">
        <v>1</v>
      </c>
      <c r="AT11">
        <v>330</v>
      </c>
      <c r="AU11">
        <v>177</v>
      </c>
      <c r="AV11">
        <v>5</v>
      </c>
      <c r="AW11">
        <v>1</v>
      </c>
      <c r="AX11">
        <v>11402</v>
      </c>
      <c r="AY11">
        <v>6079</v>
      </c>
      <c r="AZ11">
        <v>242</v>
      </c>
      <c r="BA11">
        <v>113</v>
      </c>
    </row>
    <row r="12" spans="1:53" x14ac:dyDescent="0.25">
      <c r="A12" t="s">
        <v>291</v>
      </c>
      <c r="B12">
        <v>278</v>
      </c>
      <c r="C12">
        <v>150</v>
      </c>
      <c r="D12">
        <v>0</v>
      </c>
      <c r="E12">
        <v>0</v>
      </c>
      <c r="F12">
        <v>220</v>
      </c>
      <c r="G12">
        <v>124</v>
      </c>
      <c r="H12">
        <v>0</v>
      </c>
      <c r="I12">
        <v>0</v>
      </c>
      <c r="J12">
        <v>89</v>
      </c>
      <c r="K12">
        <v>58</v>
      </c>
      <c r="L12">
        <v>0</v>
      </c>
      <c r="M12">
        <v>0</v>
      </c>
      <c r="N12">
        <v>81</v>
      </c>
      <c r="O12">
        <v>48</v>
      </c>
      <c r="P12">
        <v>0</v>
      </c>
      <c r="Q12">
        <v>0</v>
      </c>
      <c r="R12">
        <v>71</v>
      </c>
      <c r="S12">
        <v>43</v>
      </c>
      <c r="T12">
        <v>0</v>
      </c>
      <c r="U12">
        <v>0</v>
      </c>
      <c r="V12">
        <v>42</v>
      </c>
      <c r="W12">
        <v>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946</v>
      </c>
      <c r="AY12">
        <v>545</v>
      </c>
      <c r="AZ12">
        <v>0</v>
      </c>
      <c r="BA12">
        <v>0</v>
      </c>
    </row>
    <row r="13" spans="1:53" x14ac:dyDescent="0.25">
      <c r="A13" t="s">
        <v>292</v>
      </c>
      <c r="B13">
        <v>698</v>
      </c>
      <c r="C13">
        <v>344</v>
      </c>
      <c r="D13">
        <v>31</v>
      </c>
      <c r="E13">
        <v>12</v>
      </c>
      <c r="F13">
        <v>630</v>
      </c>
      <c r="G13">
        <v>315</v>
      </c>
      <c r="H13">
        <v>18</v>
      </c>
      <c r="I13">
        <v>11</v>
      </c>
      <c r="J13">
        <v>380</v>
      </c>
      <c r="K13">
        <v>205</v>
      </c>
      <c r="L13">
        <v>12</v>
      </c>
      <c r="M13">
        <v>6</v>
      </c>
      <c r="N13">
        <v>357</v>
      </c>
      <c r="O13">
        <v>177</v>
      </c>
      <c r="P13">
        <v>15</v>
      </c>
      <c r="Q13">
        <v>6</v>
      </c>
      <c r="R13">
        <v>267</v>
      </c>
      <c r="S13">
        <v>134</v>
      </c>
      <c r="T13">
        <v>3</v>
      </c>
      <c r="U13">
        <v>0</v>
      </c>
      <c r="V13">
        <v>231</v>
      </c>
      <c r="W13">
        <v>106</v>
      </c>
      <c r="X13">
        <v>0</v>
      </c>
      <c r="Y13">
        <v>0</v>
      </c>
      <c r="Z13">
        <v>161</v>
      </c>
      <c r="AA13">
        <v>103</v>
      </c>
      <c r="AB13">
        <v>0</v>
      </c>
      <c r="AC13">
        <v>0</v>
      </c>
      <c r="AD13">
        <v>121</v>
      </c>
      <c r="AE13">
        <v>50</v>
      </c>
      <c r="AF13">
        <v>0</v>
      </c>
      <c r="AG13">
        <v>0</v>
      </c>
      <c r="AH13">
        <v>92</v>
      </c>
      <c r="AI13">
        <v>46</v>
      </c>
      <c r="AJ13">
        <v>7</v>
      </c>
      <c r="AK13">
        <v>2</v>
      </c>
      <c r="AL13">
        <v>20</v>
      </c>
      <c r="AM13">
        <v>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4133</v>
      </c>
      <c r="AY13">
        <v>2101</v>
      </c>
      <c r="AZ13">
        <v>86</v>
      </c>
      <c r="BA13">
        <v>37</v>
      </c>
    </row>
    <row r="14" spans="1:53" x14ac:dyDescent="0.25">
      <c r="A14" t="s">
        <v>293</v>
      </c>
      <c r="B14">
        <v>172</v>
      </c>
      <c r="C14">
        <v>103</v>
      </c>
      <c r="D14">
        <v>10</v>
      </c>
      <c r="E14">
        <v>6</v>
      </c>
      <c r="F14">
        <v>136</v>
      </c>
      <c r="G14">
        <v>96</v>
      </c>
      <c r="H14">
        <v>5</v>
      </c>
      <c r="I14">
        <v>2</v>
      </c>
      <c r="J14">
        <v>44</v>
      </c>
      <c r="K14">
        <v>23</v>
      </c>
      <c r="L14">
        <v>0</v>
      </c>
      <c r="M14">
        <v>0</v>
      </c>
      <c r="N14">
        <v>32</v>
      </c>
      <c r="O14">
        <v>23</v>
      </c>
      <c r="P14">
        <v>0</v>
      </c>
      <c r="Q14">
        <v>0</v>
      </c>
      <c r="R14">
        <v>9</v>
      </c>
      <c r="S14">
        <v>5</v>
      </c>
      <c r="T14">
        <v>0</v>
      </c>
      <c r="U14">
        <v>0</v>
      </c>
      <c r="V14">
        <v>4</v>
      </c>
      <c r="W14">
        <v>3</v>
      </c>
      <c r="X14">
        <v>0</v>
      </c>
      <c r="Y14">
        <v>0</v>
      </c>
      <c r="Z14">
        <v>19</v>
      </c>
      <c r="AA14">
        <v>11</v>
      </c>
      <c r="AB14">
        <v>0</v>
      </c>
      <c r="AC14">
        <v>0</v>
      </c>
      <c r="AD14">
        <v>24</v>
      </c>
      <c r="AE14">
        <v>7</v>
      </c>
      <c r="AF14">
        <v>1</v>
      </c>
      <c r="AG14">
        <v>0</v>
      </c>
      <c r="AH14">
        <v>23</v>
      </c>
      <c r="AI14">
        <v>13</v>
      </c>
      <c r="AJ14">
        <v>2</v>
      </c>
      <c r="AK14">
        <v>2</v>
      </c>
      <c r="AL14">
        <v>21</v>
      </c>
      <c r="AM14">
        <v>11</v>
      </c>
      <c r="AN14">
        <v>0</v>
      </c>
      <c r="AO14">
        <v>0</v>
      </c>
      <c r="AP14">
        <v>15</v>
      </c>
      <c r="AQ14">
        <v>10</v>
      </c>
      <c r="AR14">
        <v>0</v>
      </c>
      <c r="AS14">
        <v>0</v>
      </c>
      <c r="AT14">
        <v>9</v>
      </c>
      <c r="AU14">
        <v>3</v>
      </c>
      <c r="AV14">
        <v>1</v>
      </c>
      <c r="AW14">
        <v>0</v>
      </c>
      <c r="AX14">
        <v>706</v>
      </c>
      <c r="AY14">
        <v>395</v>
      </c>
      <c r="AZ14">
        <v>19</v>
      </c>
      <c r="BA14">
        <v>10</v>
      </c>
    </row>
    <row r="15" spans="1:53" x14ac:dyDescent="0.25">
      <c r="A15" t="s">
        <v>294</v>
      </c>
      <c r="B15">
        <v>65</v>
      </c>
      <c r="C15">
        <v>27</v>
      </c>
      <c r="D15">
        <v>0</v>
      </c>
      <c r="E15">
        <v>0</v>
      </c>
      <c r="F15">
        <v>48</v>
      </c>
      <c r="G15">
        <v>28</v>
      </c>
      <c r="H15">
        <v>0</v>
      </c>
      <c r="I15">
        <v>0</v>
      </c>
      <c r="J15">
        <v>36</v>
      </c>
      <c r="K15">
        <v>10</v>
      </c>
      <c r="L15">
        <v>0</v>
      </c>
      <c r="M15">
        <v>0</v>
      </c>
      <c r="N15">
        <v>26</v>
      </c>
      <c r="O15">
        <v>9</v>
      </c>
      <c r="P15">
        <v>0</v>
      </c>
      <c r="Q15">
        <v>0</v>
      </c>
      <c r="R15">
        <v>25</v>
      </c>
      <c r="S15">
        <v>10</v>
      </c>
      <c r="T15">
        <v>0</v>
      </c>
      <c r="U15">
        <v>0</v>
      </c>
      <c r="V15">
        <v>19</v>
      </c>
      <c r="W15">
        <v>11</v>
      </c>
      <c r="X15">
        <v>0</v>
      </c>
      <c r="Y15">
        <v>0</v>
      </c>
      <c r="Z15">
        <v>10</v>
      </c>
      <c r="AA15">
        <v>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406</v>
      </c>
      <c r="AY15">
        <v>190</v>
      </c>
      <c r="AZ15">
        <v>0</v>
      </c>
      <c r="BA15">
        <v>0</v>
      </c>
    </row>
    <row r="16" spans="1:53" x14ac:dyDescent="0.25">
      <c r="A16" t="s">
        <v>295</v>
      </c>
      <c r="B16">
        <v>275</v>
      </c>
      <c r="C16">
        <v>126</v>
      </c>
      <c r="D16">
        <v>29</v>
      </c>
      <c r="E16">
        <v>11</v>
      </c>
      <c r="F16">
        <v>261</v>
      </c>
      <c r="G16">
        <v>102</v>
      </c>
      <c r="H16">
        <v>13</v>
      </c>
      <c r="I16">
        <v>1</v>
      </c>
      <c r="J16">
        <v>149</v>
      </c>
      <c r="K16">
        <v>80</v>
      </c>
      <c r="L16">
        <v>2</v>
      </c>
      <c r="M16">
        <v>1</v>
      </c>
      <c r="N16">
        <v>128</v>
      </c>
      <c r="O16">
        <v>52</v>
      </c>
      <c r="P16">
        <v>4</v>
      </c>
      <c r="Q16">
        <v>3</v>
      </c>
      <c r="R16">
        <v>116</v>
      </c>
      <c r="S16">
        <v>57</v>
      </c>
      <c r="T16">
        <v>0</v>
      </c>
      <c r="U16">
        <v>0</v>
      </c>
      <c r="V16">
        <v>114</v>
      </c>
      <c r="W16">
        <v>56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1361</v>
      </c>
      <c r="AY16">
        <v>625</v>
      </c>
      <c r="AZ16">
        <v>48</v>
      </c>
      <c r="BA16">
        <v>16</v>
      </c>
    </row>
    <row r="17" spans="1:53" x14ac:dyDescent="0.25">
      <c r="A17" t="s">
        <v>296</v>
      </c>
      <c r="B17">
        <v>497</v>
      </c>
      <c r="C17">
        <v>233</v>
      </c>
      <c r="D17">
        <v>0</v>
      </c>
      <c r="E17">
        <v>0</v>
      </c>
      <c r="F17">
        <v>394</v>
      </c>
      <c r="G17">
        <v>201</v>
      </c>
      <c r="H17">
        <v>2</v>
      </c>
      <c r="I17">
        <v>1</v>
      </c>
      <c r="J17">
        <v>322</v>
      </c>
      <c r="K17">
        <v>169</v>
      </c>
      <c r="L17">
        <v>0</v>
      </c>
      <c r="M17">
        <v>0</v>
      </c>
      <c r="N17">
        <v>203</v>
      </c>
      <c r="O17">
        <v>96</v>
      </c>
      <c r="P17">
        <v>0</v>
      </c>
      <c r="Q17">
        <v>0</v>
      </c>
      <c r="R17">
        <v>163</v>
      </c>
      <c r="S17">
        <v>78</v>
      </c>
      <c r="T17">
        <v>0</v>
      </c>
      <c r="U17">
        <v>0</v>
      </c>
      <c r="V17">
        <v>147</v>
      </c>
      <c r="W17">
        <v>72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2400</v>
      </c>
      <c r="AY17">
        <v>1156</v>
      </c>
      <c r="AZ17">
        <v>3</v>
      </c>
      <c r="BA17">
        <v>1</v>
      </c>
    </row>
    <row r="18" spans="1:53" x14ac:dyDescent="0.25">
      <c r="A18" t="s">
        <v>297</v>
      </c>
      <c r="B18">
        <v>15153</v>
      </c>
      <c r="C18">
        <v>7301</v>
      </c>
      <c r="D18">
        <v>398</v>
      </c>
      <c r="E18">
        <v>150</v>
      </c>
      <c r="F18">
        <v>15604</v>
      </c>
      <c r="G18">
        <v>7678</v>
      </c>
      <c r="H18">
        <v>357</v>
      </c>
      <c r="I18">
        <v>184</v>
      </c>
      <c r="J18">
        <v>12487</v>
      </c>
      <c r="K18">
        <v>6286</v>
      </c>
      <c r="L18">
        <v>227</v>
      </c>
      <c r="M18">
        <v>122</v>
      </c>
      <c r="N18">
        <v>10495</v>
      </c>
      <c r="O18">
        <v>5125</v>
      </c>
      <c r="P18">
        <v>227</v>
      </c>
      <c r="Q18">
        <v>102</v>
      </c>
      <c r="R18">
        <v>10337</v>
      </c>
      <c r="S18">
        <v>5178</v>
      </c>
      <c r="T18">
        <v>246</v>
      </c>
      <c r="U18">
        <v>105</v>
      </c>
      <c r="V18">
        <v>9966</v>
      </c>
      <c r="W18">
        <v>4928</v>
      </c>
      <c r="X18">
        <v>182</v>
      </c>
      <c r="Y18">
        <v>90</v>
      </c>
      <c r="Z18">
        <v>8173</v>
      </c>
      <c r="AA18">
        <v>4108</v>
      </c>
      <c r="AB18">
        <v>44</v>
      </c>
      <c r="AC18">
        <v>16</v>
      </c>
      <c r="AD18">
        <v>6480</v>
      </c>
      <c r="AE18">
        <v>3251</v>
      </c>
      <c r="AF18">
        <v>26</v>
      </c>
      <c r="AG18">
        <v>11</v>
      </c>
      <c r="AH18">
        <v>6159</v>
      </c>
      <c r="AI18">
        <v>3160</v>
      </c>
      <c r="AJ18">
        <v>100</v>
      </c>
      <c r="AK18">
        <v>41</v>
      </c>
      <c r="AL18">
        <v>5799</v>
      </c>
      <c r="AM18">
        <v>2951</v>
      </c>
      <c r="AN18">
        <v>5</v>
      </c>
      <c r="AO18">
        <v>1</v>
      </c>
      <c r="AP18">
        <v>4799</v>
      </c>
      <c r="AQ18">
        <v>2498</v>
      </c>
      <c r="AR18">
        <v>9</v>
      </c>
      <c r="AS18">
        <v>0</v>
      </c>
      <c r="AT18">
        <v>4086</v>
      </c>
      <c r="AU18">
        <v>2119</v>
      </c>
      <c r="AV18">
        <v>33</v>
      </c>
      <c r="AW18">
        <v>14</v>
      </c>
      <c r="AX18">
        <v>133809</v>
      </c>
      <c r="AY18">
        <v>66571</v>
      </c>
      <c r="AZ18">
        <v>1854</v>
      </c>
      <c r="BA18">
        <v>836</v>
      </c>
    </row>
    <row r="19" spans="1:53" x14ac:dyDescent="0.25">
      <c r="A19" t="s">
        <v>298</v>
      </c>
      <c r="B19">
        <v>921</v>
      </c>
      <c r="C19">
        <v>413</v>
      </c>
      <c r="D19">
        <v>87</v>
      </c>
      <c r="E19">
        <v>35</v>
      </c>
      <c r="F19">
        <v>875</v>
      </c>
      <c r="G19">
        <v>411</v>
      </c>
      <c r="H19">
        <v>29</v>
      </c>
      <c r="I19">
        <v>19</v>
      </c>
      <c r="J19">
        <v>680</v>
      </c>
      <c r="K19">
        <v>332</v>
      </c>
      <c r="L19">
        <v>12</v>
      </c>
      <c r="M19">
        <v>8</v>
      </c>
      <c r="N19">
        <v>508</v>
      </c>
      <c r="O19">
        <v>223</v>
      </c>
      <c r="P19">
        <v>8</v>
      </c>
      <c r="Q19">
        <v>1</v>
      </c>
      <c r="R19">
        <v>501</v>
      </c>
      <c r="S19">
        <v>249</v>
      </c>
      <c r="T19">
        <v>11</v>
      </c>
      <c r="U19">
        <v>2</v>
      </c>
      <c r="V19">
        <v>479</v>
      </c>
      <c r="W19">
        <v>238</v>
      </c>
      <c r="X19">
        <v>1</v>
      </c>
      <c r="Y19">
        <v>1</v>
      </c>
      <c r="Z19">
        <v>455</v>
      </c>
      <c r="AA19">
        <v>208</v>
      </c>
      <c r="AB19">
        <v>12</v>
      </c>
      <c r="AC19">
        <v>3</v>
      </c>
      <c r="AD19">
        <v>406</v>
      </c>
      <c r="AE19">
        <v>189</v>
      </c>
      <c r="AF19">
        <v>12</v>
      </c>
      <c r="AG19">
        <v>0</v>
      </c>
      <c r="AH19">
        <v>350</v>
      </c>
      <c r="AI19">
        <v>179</v>
      </c>
      <c r="AJ19">
        <v>7</v>
      </c>
      <c r="AK19">
        <v>4</v>
      </c>
      <c r="AL19">
        <v>323</v>
      </c>
      <c r="AM19">
        <v>157</v>
      </c>
      <c r="AN19">
        <v>0</v>
      </c>
      <c r="AO19">
        <v>0</v>
      </c>
      <c r="AP19">
        <v>258</v>
      </c>
      <c r="AQ19">
        <v>111</v>
      </c>
      <c r="AR19">
        <v>0</v>
      </c>
      <c r="AS19">
        <v>0</v>
      </c>
      <c r="AT19">
        <v>224</v>
      </c>
      <c r="AU19">
        <v>106</v>
      </c>
      <c r="AV19">
        <v>1</v>
      </c>
      <c r="AW19">
        <v>0</v>
      </c>
      <c r="AX19">
        <v>7962</v>
      </c>
      <c r="AY19">
        <v>3709</v>
      </c>
      <c r="AZ19">
        <v>180</v>
      </c>
      <c r="BA19">
        <v>73</v>
      </c>
    </row>
    <row r="20" spans="1:53" x14ac:dyDescent="0.25">
      <c r="A20" t="s">
        <v>299</v>
      </c>
      <c r="B20">
        <v>37</v>
      </c>
      <c r="C20">
        <v>19</v>
      </c>
      <c r="D20">
        <v>1</v>
      </c>
      <c r="E20">
        <v>1</v>
      </c>
      <c r="F20">
        <v>35</v>
      </c>
      <c r="G20">
        <v>15</v>
      </c>
      <c r="H20">
        <v>2</v>
      </c>
      <c r="I20">
        <v>0</v>
      </c>
      <c r="J20">
        <v>22</v>
      </c>
      <c r="K20">
        <v>12</v>
      </c>
      <c r="L20">
        <v>0</v>
      </c>
      <c r="M20">
        <v>0</v>
      </c>
      <c r="N20">
        <v>27</v>
      </c>
      <c r="O20">
        <v>8</v>
      </c>
      <c r="P20">
        <v>1</v>
      </c>
      <c r="Q20">
        <v>0</v>
      </c>
      <c r="R20">
        <v>17</v>
      </c>
      <c r="S20">
        <v>8</v>
      </c>
      <c r="T20">
        <v>0</v>
      </c>
      <c r="U20">
        <v>0</v>
      </c>
      <c r="V20">
        <v>19</v>
      </c>
      <c r="W20">
        <v>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217</v>
      </c>
      <c r="AY20">
        <v>105</v>
      </c>
      <c r="AZ20">
        <v>4</v>
      </c>
      <c r="BA20">
        <v>1</v>
      </c>
    </row>
    <row r="21" spans="1:53" x14ac:dyDescent="0.25">
      <c r="A21" t="s">
        <v>300</v>
      </c>
      <c r="B21">
        <v>90</v>
      </c>
      <c r="C21">
        <v>31</v>
      </c>
      <c r="D21">
        <v>2</v>
      </c>
      <c r="E21">
        <v>1</v>
      </c>
      <c r="F21">
        <v>85</v>
      </c>
      <c r="G21">
        <v>33</v>
      </c>
      <c r="H21">
        <v>0</v>
      </c>
      <c r="I21">
        <v>0</v>
      </c>
      <c r="J21">
        <v>55</v>
      </c>
      <c r="K21">
        <v>21</v>
      </c>
      <c r="L21">
        <v>0</v>
      </c>
      <c r="M21">
        <v>0</v>
      </c>
      <c r="N21">
        <v>13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42</v>
      </c>
      <c r="AM21">
        <v>23</v>
      </c>
      <c r="AN21">
        <v>0</v>
      </c>
      <c r="AO21">
        <v>0</v>
      </c>
      <c r="AP21">
        <v>45</v>
      </c>
      <c r="AQ21">
        <v>31</v>
      </c>
      <c r="AR21">
        <v>0</v>
      </c>
      <c r="AS21">
        <v>0</v>
      </c>
      <c r="AT21">
        <v>45</v>
      </c>
      <c r="AU21">
        <v>22</v>
      </c>
      <c r="AV21">
        <v>0</v>
      </c>
      <c r="AW21">
        <v>0</v>
      </c>
      <c r="AX21">
        <v>552</v>
      </c>
      <c r="AY21">
        <v>239</v>
      </c>
      <c r="AZ21">
        <v>2</v>
      </c>
      <c r="BA21">
        <v>1</v>
      </c>
    </row>
    <row r="22" spans="1:53" x14ac:dyDescent="0.25">
      <c r="A22" t="s">
        <v>301</v>
      </c>
      <c r="B22">
        <v>326</v>
      </c>
      <c r="C22">
        <v>159</v>
      </c>
      <c r="D22">
        <v>0</v>
      </c>
      <c r="E22">
        <v>0</v>
      </c>
      <c r="F22">
        <v>169</v>
      </c>
      <c r="G22">
        <v>86</v>
      </c>
      <c r="H22">
        <v>0</v>
      </c>
      <c r="I22">
        <v>0</v>
      </c>
      <c r="J22">
        <v>95</v>
      </c>
      <c r="K22">
        <v>52</v>
      </c>
      <c r="L22">
        <v>0</v>
      </c>
      <c r="M22">
        <v>0</v>
      </c>
      <c r="N22">
        <v>40</v>
      </c>
      <c r="O22">
        <v>23</v>
      </c>
      <c r="P22">
        <v>0</v>
      </c>
      <c r="Q22">
        <v>0</v>
      </c>
      <c r="R22">
        <v>63</v>
      </c>
      <c r="S22">
        <v>29</v>
      </c>
      <c r="T22">
        <v>0</v>
      </c>
      <c r="U22">
        <v>0</v>
      </c>
      <c r="V22">
        <v>20</v>
      </c>
      <c r="W22">
        <v>15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1406</v>
      </c>
      <c r="AY22">
        <v>685</v>
      </c>
      <c r="AZ22">
        <v>0</v>
      </c>
      <c r="BA22">
        <v>0</v>
      </c>
    </row>
    <row r="23" spans="1:53" x14ac:dyDescent="0.25">
      <c r="A23" t="s">
        <v>302</v>
      </c>
      <c r="B23">
        <v>264</v>
      </c>
      <c r="C23">
        <v>149</v>
      </c>
      <c r="D23">
        <v>10</v>
      </c>
      <c r="E23">
        <v>3</v>
      </c>
      <c r="F23">
        <v>349</v>
      </c>
      <c r="G23">
        <v>172</v>
      </c>
      <c r="H23">
        <v>3</v>
      </c>
      <c r="I23">
        <v>1</v>
      </c>
      <c r="J23">
        <v>269</v>
      </c>
      <c r="K23">
        <v>129</v>
      </c>
      <c r="L23">
        <v>0</v>
      </c>
      <c r="M23">
        <v>0</v>
      </c>
      <c r="N23">
        <v>218</v>
      </c>
      <c r="O23">
        <v>109</v>
      </c>
      <c r="P23">
        <v>0</v>
      </c>
      <c r="Q23">
        <v>0</v>
      </c>
      <c r="R23">
        <v>203</v>
      </c>
      <c r="S23">
        <v>88</v>
      </c>
      <c r="T23">
        <v>0</v>
      </c>
      <c r="U23">
        <v>0</v>
      </c>
      <c r="V23">
        <v>195</v>
      </c>
      <c r="W23">
        <v>87</v>
      </c>
      <c r="X23">
        <v>0</v>
      </c>
      <c r="Y23">
        <v>0</v>
      </c>
      <c r="Z23">
        <v>123</v>
      </c>
      <c r="AA23">
        <v>56</v>
      </c>
      <c r="AB23">
        <v>0</v>
      </c>
      <c r="AC23">
        <v>0</v>
      </c>
      <c r="AD23">
        <v>94</v>
      </c>
      <c r="AE23">
        <v>40</v>
      </c>
      <c r="AF23">
        <v>0</v>
      </c>
      <c r="AG23">
        <v>0</v>
      </c>
      <c r="AH23">
        <v>102</v>
      </c>
      <c r="AI23">
        <v>39</v>
      </c>
      <c r="AJ23">
        <v>4</v>
      </c>
      <c r="AK23">
        <v>3</v>
      </c>
      <c r="AL23">
        <v>68</v>
      </c>
      <c r="AM23">
        <v>27</v>
      </c>
      <c r="AN23">
        <v>0</v>
      </c>
      <c r="AO23">
        <v>0</v>
      </c>
      <c r="AP23">
        <v>40</v>
      </c>
      <c r="AQ23">
        <v>23</v>
      </c>
      <c r="AR23">
        <v>0</v>
      </c>
      <c r="AS23">
        <v>0</v>
      </c>
      <c r="AT23">
        <v>53</v>
      </c>
      <c r="AU23">
        <v>21</v>
      </c>
      <c r="AV23">
        <v>0</v>
      </c>
      <c r="AW23">
        <v>0</v>
      </c>
      <c r="AX23">
        <v>2971</v>
      </c>
      <c r="AY23">
        <v>1407</v>
      </c>
      <c r="AZ23">
        <v>17</v>
      </c>
      <c r="BA23">
        <v>7</v>
      </c>
    </row>
    <row r="24" spans="1:53" x14ac:dyDescent="0.25">
      <c r="A24" t="s">
        <v>303</v>
      </c>
      <c r="B24">
        <v>1215</v>
      </c>
      <c r="C24">
        <v>592</v>
      </c>
      <c r="D24">
        <v>40</v>
      </c>
      <c r="E24">
        <v>11</v>
      </c>
      <c r="F24">
        <v>1099</v>
      </c>
      <c r="G24">
        <v>537</v>
      </c>
      <c r="H24">
        <v>14</v>
      </c>
      <c r="I24">
        <v>5</v>
      </c>
      <c r="J24">
        <v>809</v>
      </c>
      <c r="K24">
        <v>426</v>
      </c>
      <c r="L24">
        <v>9</v>
      </c>
      <c r="M24">
        <v>4</v>
      </c>
      <c r="N24">
        <v>674</v>
      </c>
      <c r="O24">
        <v>341</v>
      </c>
      <c r="P24">
        <v>6</v>
      </c>
      <c r="Q24">
        <v>1</v>
      </c>
      <c r="R24">
        <v>549</v>
      </c>
      <c r="S24">
        <v>269</v>
      </c>
      <c r="T24">
        <v>1</v>
      </c>
      <c r="U24">
        <v>0</v>
      </c>
      <c r="V24">
        <v>517</v>
      </c>
      <c r="W24">
        <v>270</v>
      </c>
      <c r="X24">
        <v>2</v>
      </c>
      <c r="Y24">
        <v>0</v>
      </c>
      <c r="Z24">
        <v>512</v>
      </c>
      <c r="AA24">
        <v>258</v>
      </c>
      <c r="AB24">
        <v>4</v>
      </c>
      <c r="AC24">
        <v>1</v>
      </c>
      <c r="AD24">
        <v>394</v>
      </c>
      <c r="AE24">
        <v>187</v>
      </c>
      <c r="AF24">
        <v>3</v>
      </c>
      <c r="AG24">
        <v>0</v>
      </c>
      <c r="AH24">
        <v>327</v>
      </c>
      <c r="AI24">
        <v>180</v>
      </c>
      <c r="AJ24">
        <v>2</v>
      </c>
      <c r="AK24">
        <v>0</v>
      </c>
      <c r="AL24">
        <v>252</v>
      </c>
      <c r="AM24">
        <v>114</v>
      </c>
      <c r="AN24">
        <v>0</v>
      </c>
      <c r="AO24">
        <v>0</v>
      </c>
      <c r="AP24">
        <v>271</v>
      </c>
      <c r="AQ24">
        <v>100</v>
      </c>
      <c r="AR24">
        <v>1</v>
      </c>
      <c r="AS24">
        <v>0</v>
      </c>
      <c r="AT24">
        <v>162</v>
      </c>
      <c r="AU24">
        <v>83</v>
      </c>
      <c r="AV24">
        <v>0</v>
      </c>
      <c r="AW24">
        <v>0</v>
      </c>
      <c r="AX24">
        <v>12504</v>
      </c>
      <c r="AY24">
        <v>6318</v>
      </c>
      <c r="AZ24">
        <v>82</v>
      </c>
      <c r="BA24">
        <v>22</v>
      </c>
    </row>
    <row r="25" spans="1:53" x14ac:dyDescent="0.25">
      <c r="A25" t="s">
        <v>304</v>
      </c>
      <c r="B25">
        <v>63</v>
      </c>
      <c r="C25">
        <v>26</v>
      </c>
      <c r="D25">
        <v>17</v>
      </c>
      <c r="E25">
        <v>8</v>
      </c>
      <c r="F25">
        <v>80</v>
      </c>
      <c r="G25">
        <v>36</v>
      </c>
      <c r="H25">
        <v>3</v>
      </c>
      <c r="I25">
        <v>0</v>
      </c>
      <c r="J25">
        <v>52</v>
      </c>
      <c r="K25">
        <v>24</v>
      </c>
      <c r="L25">
        <v>1</v>
      </c>
      <c r="M25">
        <v>0</v>
      </c>
      <c r="N25">
        <v>39</v>
      </c>
      <c r="O25">
        <v>10</v>
      </c>
      <c r="P25">
        <v>3</v>
      </c>
      <c r="Q25">
        <v>0</v>
      </c>
      <c r="R25">
        <v>52</v>
      </c>
      <c r="S25">
        <v>28</v>
      </c>
      <c r="T25">
        <v>1</v>
      </c>
      <c r="U25">
        <v>0</v>
      </c>
      <c r="V25">
        <v>34</v>
      </c>
      <c r="W25">
        <v>21</v>
      </c>
      <c r="X25">
        <v>2</v>
      </c>
      <c r="Y25">
        <v>0</v>
      </c>
      <c r="Z25">
        <v>29</v>
      </c>
      <c r="AA25">
        <v>13</v>
      </c>
      <c r="AB25">
        <v>0</v>
      </c>
      <c r="AC25">
        <v>0</v>
      </c>
      <c r="AD25">
        <v>25</v>
      </c>
      <c r="AE25">
        <v>13</v>
      </c>
      <c r="AF25">
        <v>0</v>
      </c>
      <c r="AG25">
        <v>0</v>
      </c>
      <c r="AH25">
        <v>19</v>
      </c>
      <c r="AI25">
        <v>14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2</v>
      </c>
      <c r="AV25">
        <v>0</v>
      </c>
      <c r="AW25">
        <v>0</v>
      </c>
      <c r="AX25">
        <v>863</v>
      </c>
      <c r="AY25">
        <v>432</v>
      </c>
      <c r="AZ25">
        <v>27</v>
      </c>
      <c r="BA25">
        <v>8</v>
      </c>
    </row>
    <row r="26" spans="1:53" x14ac:dyDescent="0.25">
      <c r="A26" t="s">
        <v>305</v>
      </c>
      <c r="B26">
        <v>179</v>
      </c>
      <c r="C26">
        <v>98</v>
      </c>
      <c r="D26">
        <v>13</v>
      </c>
      <c r="E26">
        <v>3</v>
      </c>
      <c r="F26">
        <v>88</v>
      </c>
      <c r="G26">
        <v>44</v>
      </c>
      <c r="H26">
        <v>2</v>
      </c>
      <c r="I26">
        <v>0</v>
      </c>
      <c r="J26">
        <v>86</v>
      </c>
      <c r="K26">
        <v>47</v>
      </c>
      <c r="L26">
        <v>0</v>
      </c>
      <c r="M26">
        <v>0</v>
      </c>
      <c r="N26">
        <v>75</v>
      </c>
      <c r="O26">
        <v>46</v>
      </c>
      <c r="P26">
        <v>0</v>
      </c>
      <c r="Q26">
        <v>0</v>
      </c>
      <c r="R26">
        <v>27</v>
      </c>
      <c r="S26">
        <v>12</v>
      </c>
      <c r="T26">
        <v>0</v>
      </c>
      <c r="U26">
        <v>0</v>
      </c>
      <c r="V26">
        <v>18</v>
      </c>
      <c r="W26">
        <v>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448</v>
      </c>
      <c r="AY26">
        <v>207</v>
      </c>
      <c r="AZ26">
        <v>15</v>
      </c>
      <c r="BA26">
        <v>3</v>
      </c>
    </row>
    <row r="27" spans="1:53" x14ac:dyDescent="0.25">
      <c r="A27" t="s">
        <v>306</v>
      </c>
      <c r="B27">
        <v>268</v>
      </c>
      <c r="C27">
        <v>121</v>
      </c>
      <c r="D27">
        <v>5</v>
      </c>
      <c r="E27">
        <v>2</v>
      </c>
      <c r="F27">
        <v>264</v>
      </c>
      <c r="G27">
        <v>129</v>
      </c>
      <c r="H27">
        <v>3</v>
      </c>
      <c r="I27">
        <v>2</v>
      </c>
      <c r="J27">
        <v>181</v>
      </c>
      <c r="K27">
        <v>115</v>
      </c>
      <c r="L27">
        <v>5</v>
      </c>
      <c r="M27">
        <v>1</v>
      </c>
      <c r="N27">
        <v>159</v>
      </c>
      <c r="O27">
        <v>73</v>
      </c>
      <c r="P27">
        <v>2</v>
      </c>
      <c r="Q27">
        <v>0</v>
      </c>
      <c r="R27">
        <v>143</v>
      </c>
      <c r="S27">
        <v>59</v>
      </c>
      <c r="T27">
        <v>0</v>
      </c>
      <c r="U27">
        <v>0</v>
      </c>
      <c r="V27">
        <v>90</v>
      </c>
      <c r="W27">
        <v>30</v>
      </c>
      <c r="X27">
        <v>0</v>
      </c>
      <c r="Y27">
        <v>0</v>
      </c>
      <c r="Z27">
        <v>292</v>
      </c>
      <c r="AA27">
        <v>148</v>
      </c>
      <c r="AB27">
        <v>2</v>
      </c>
      <c r="AC27">
        <v>0</v>
      </c>
      <c r="AD27">
        <v>222</v>
      </c>
      <c r="AE27">
        <v>99</v>
      </c>
      <c r="AF27">
        <v>2</v>
      </c>
      <c r="AG27">
        <v>1</v>
      </c>
      <c r="AH27">
        <v>188</v>
      </c>
      <c r="AI27">
        <v>82</v>
      </c>
      <c r="AJ27">
        <v>0</v>
      </c>
      <c r="AK27">
        <v>0</v>
      </c>
      <c r="AL27">
        <v>220</v>
      </c>
      <c r="AM27">
        <v>105</v>
      </c>
      <c r="AN27">
        <v>3</v>
      </c>
      <c r="AO27">
        <v>1</v>
      </c>
      <c r="AP27">
        <v>197</v>
      </c>
      <c r="AQ27">
        <v>78</v>
      </c>
      <c r="AR27">
        <v>0</v>
      </c>
      <c r="AS27">
        <v>0</v>
      </c>
      <c r="AT27">
        <v>153</v>
      </c>
      <c r="AU27">
        <v>83</v>
      </c>
      <c r="AV27">
        <v>2</v>
      </c>
      <c r="AW27">
        <v>0</v>
      </c>
      <c r="AX27">
        <v>3557</v>
      </c>
      <c r="AY27">
        <v>1687</v>
      </c>
      <c r="AZ27">
        <v>24</v>
      </c>
      <c r="BA27">
        <v>7</v>
      </c>
    </row>
    <row r="28" spans="1:53" x14ac:dyDescent="0.25">
      <c r="A28" t="s">
        <v>307</v>
      </c>
      <c r="B28">
        <v>476</v>
      </c>
      <c r="C28">
        <v>235</v>
      </c>
      <c r="D28">
        <v>29</v>
      </c>
      <c r="E28">
        <v>12</v>
      </c>
      <c r="F28">
        <v>365</v>
      </c>
      <c r="G28">
        <v>181</v>
      </c>
      <c r="H28">
        <v>24</v>
      </c>
      <c r="I28">
        <v>13</v>
      </c>
      <c r="J28">
        <v>315</v>
      </c>
      <c r="K28">
        <v>167</v>
      </c>
      <c r="L28">
        <v>22</v>
      </c>
      <c r="M28">
        <v>12</v>
      </c>
      <c r="N28">
        <v>264</v>
      </c>
      <c r="O28">
        <v>138</v>
      </c>
      <c r="P28">
        <v>15</v>
      </c>
      <c r="Q28">
        <v>7</v>
      </c>
      <c r="R28">
        <v>382</v>
      </c>
      <c r="S28">
        <v>163</v>
      </c>
      <c r="T28">
        <v>8</v>
      </c>
      <c r="U28">
        <v>5</v>
      </c>
      <c r="V28">
        <v>264</v>
      </c>
      <c r="W28">
        <v>159</v>
      </c>
      <c r="X28">
        <v>5</v>
      </c>
      <c r="Y28">
        <v>2</v>
      </c>
      <c r="Z28">
        <v>442</v>
      </c>
      <c r="AA28">
        <v>320</v>
      </c>
      <c r="AB28">
        <v>1</v>
      </c>
      <c r="AC28">
        <v>1</v>
      </c>
      <c r="AD28">
        <v>380</v>
      </c>
      <c r="AE28">
        <v>292</v>
      </c>
      <c r="AF28">
        <v>1</v>
      </c>
      <c r="AG28">
        <v>1</v>
      </c>
      <c r="AH28">
        <v>273</v>
      </c>
      <c r="AI28">
        <v>236</v>
      </c>
      <c r="AJ28">
        <v>8</v>
      </c>
      <c r="AK28">
        <v>8</v>
      </c>
      <c r="AL28">
        <v>213</v>
      </c>
      <c r="AM28">
        <v>162</v>
      </c>
      <c r="AN28">
        <v>0</v>
      </c>
      <c r="AO28">
        <v>0</v>
      </c>
      <c r="AP28">
        <v>92</v>
      </c>
      <c r="AQ28">
        <v>76</v>
      </c>
      <c r="AR28">
        <v>0</v>
      </c>
      <c r="AS28">
        <v>0</v>
      </c>
      <c r="AT28">
        <v>79</v>
      </c>
      <c r="AU28">
        <v>64</v>
      </c>
      <c r="AV28">
        <v>0</v>
      </c>
      <c r="AW28">
        <v>0</v>
      </c>
      <c r="AX28">
        <v>4365</v>
      </c>
      <c r="AY28">
        <v>2584</v>
      </c>
      <c r="AZ28">
        <v>113</v>
      </c>
      <c r="BA28">
        <v>61</v>
      </c>
    </row>
    <row r="29" spans="1:53" x14ac:dyDescent="0.25">
      <c r="A29" t="s">
        <v>266</v>
      </c>
      <c r="B29">
        <v>31025</v>
      </c>
      <c r="C29">
        <v>15107</v>
      </c>
      <c r="D29">
        <v>1075</v>
      </c>
      <c r="E29">
        <v>413</v>
      </c>
      <c r="F29">
        <v>29508</v>
      </c>
      <c r="G29">
        <v>14502</v>
      </c>
      <c r="H29">
        <v>739</v>
      </c>
      <c r="I29">
        <v>336</v>
      </c>
      <c r="J29">
        <v>23122</v>
      </c>
      <c r="K29">
        <v>11671</v>
      </c>
      <c r="L29">
        <v>473</v>
      </c>
      <c r="M29">
        <v>229</v>
      </c>
      <c r="N29">
        <v>18814</v>
      </c>
      <c r="O29">
        <v>9205</v>
      </c>
      <c r="P29">
        <v>387</v>
      </c>
      <c r="Q29">
        <v>174</v>
      </c>
      <c r="R29">
        <v>18292</v>
      </c>
      <c r="S29">
        <v>9065</v>
      </c>
      <c r="T29">
        <v>364</v>
      </c>
      <c r="U29">
        <v>148</v>
      </c>
      <c r="V29">
        <v>16876</v>
      </c>
      <c r="W29">
        <v>8444</v>
      </c>
      <c r="X29">
        <v>245</v>
      </c>
      <c r="Y29">
        <v>118</v>
      </c>
      <c r="Z29">
        <v>14247</v>
      </c>
      <c r="AA29">
        <v>7415</v>
      </c>
      <c r="AB29">
        <v>128</v>
      </c>
      <c r="AC29">
        <v>53</v>
      </c>
      <c r="AD29">
        <v>11506</v>
      </c>
      <c r="AE29">
        <v>5822</v>
      </c>
      <c r="AF29">
        <v>82</v>
      </c>
      <c r="AG29">
        <v>31</v>
      </c>
      <c r="AH29">
        <v>10334</v>
      </c>
      <c r="AI29">
        <v>5309</v>
      </c>
      <c r="AJ29">
        <v>169</v>
      </c>
      <c r="AK29">
        <v>77</v>
      </c>
      <c r="AL29">
        <v>9334</v>
      </c>
      <c r="AM29">
        <v>4760</v>
      </c>
      <c r="AN29">
        <v>27</v>
      </c>
      <c r="AO29">
        <v>10</v>
      </c>
      <c r="AP29">
        <v>7790</v>
      </c>
      <c r="AQ29">
        <v>3996</v>
      </c>
      <c r="AR29">
        <v>16</v>
      </c>
      <c r="AS29">
        <v>2</v>
      </c>
      <c r="AT29">
        <v>6717</v>
      </c>
      <c r="AU29">
        <v>3453</v>
      </c>
      <c r="AV29">
        <v>94</v>
      </c>
      <c r="AW29">
        <v>32</v>
      </c>
      <c r="AX29">
        <v>253164</v>
      </c>
      <c r="AY29">
        <v>126343</v>
      </c>
      <c r="AZ29">
        <v>3799</v>
      </c>
      <c r="BA29">
        <v>1623</v>
      </c>
    </row>
    <row r="30" spans="1:53" x14ac:dyDescent="0.25">
      <c r="A30" t="s">
        <v>459</v>
      </c>
      <c r="B30">
        <v>25217</v>
      </c>
      <c r="C30">
        <v>12192</v>
      </c>
      <c r="D30">
        <v>862</v>
      </c>
      <c r="E30">
        <v>325</v>
      </c>
      <c r="F30">
        <v>24453</v>
      </c>
      <c r="G30">
        <v>11946</v>
      </c>
      <c r="H30">
        <v>561</v>
      </c>
      <c r="I30">
        <v>253</v>
      </c>
      <c r="J30">
        <v>19358</v>
      </c>
      <c r="K30">
        <v>9723</v>
      </c>
      <c r="L30">
        <v>351</v>
      </c>
      <c r="M30">
        <v>177</v>
      </c>
      <c r="N30">
        <v>16112</v>
      </c>
      <c r="O30">
        <v>7851</v>
      </c>
      <c r="P30">
        <v>311</v>
      </c>
      <c r="Q30">
        <v>135</v>
      </c>
      <c r="R30">
        <v>15656</v>
      </c>
      <c r="S30">
        <v>7770</v>
      </c>
      <c r="T30">
        <v>293</v>
      </c>
      <c r="U30">
        <v>116</v>
      </c>
      <c r="V30">
        <v>14554</v>
      </c>
      <c r="W30">
        <v>7217</v>
      </c>
      <c r="X30">
        <v>204</v>
      </c>
      <c r="Y30">
        <v>98</v>
      </c>
      <c r="Z30">
        <v>12282</v>
      </c>
      <c r="AA30">
        <v>6280</v>
      </c>
      <c r="AB30">
        <v>98</v>
      </c>
      <c r="AC30">
        <v>42</v>
      </c>
      <c r="AD30">
        <v>10007</v>
      </c>
      <c r="AE30">
        <v>4972</v>
      </c>
      <c r="AF30">
        <v>60</v>
      </c>
      <c r="AG30">
        <v>15</v>
      </c>
      <c r="AH30">
        <v>9166</v>
      </c>
      <c r="AI30">
        <v>4627</v>
      </c>
      <c r="AJ30">
        <v>151</v>
      </c>
      <c r="AK30">
        <v>65</v>
      </c>
      <c r="AL30">
        <v>8475</v>
      </c>
      <c r="AM30">
        <v>4272</v>
      </c>
      <c r="AN30">
        <v>17</v>
      </c>
      <c r="AO30">
        <v>3</v>
      </c>
      <c r="AP30">
        <v>7157</v>
      </c>
      <c r="AQ30">
        <v>3673</v>
      </c>
      <c r="AR30">
        <v>16</v>
      </c>
      <c r="AS30">
        <v>2</v>
      </c>
      <c r="AT30">
        <v>6232</v>
      </c>
      <c r="AU30">
        <v>3189</v>
      </c>
      <c r="AV30">
        <v>92</v>
      </c>
      <c r="AW30">
        <v>32</v>
      </c>
      <c r="AX30">
        <v>213599</v>
      </c>
      <c r="AY30">
        <v>105791</v>
      </c>
      <c r="AZ30">
        <v>3016</v>
      </c>
      <c r="BA30">
        <v>1263</v>
      </c>
    </row>
    <row r="31" spans="1:53" x14ac:dyDescent="0.25">
      <c r="A31" t="s">
        <v>460</v>
      </c>
      <c r="B31">
        <v>5808</v>
      </c>
      <c r="C31">
        <v>2915</v>
      </c>
      <c r="D31">
        <v>213</v>
      </c>
      <c r="E31">
        <v>88</v>
      </c>
      <c r="F31">
        <v>5055</v>
      </c>
      <c r="G31">
        <v>2556</v>
      </c>
      <c r="H31">
        <v>178</v>
      </c>
      <c r="I31">
        <v>83</v>
      </c>
      <c r="J31">
        <v>3764</v>
      </c>
      <c r="K31">
        <v>1948</v>
      </c>
      <c r="L31">
        <v>122</v>
      </c>
      <c r="M31">
        <v>52</v>
      </c>
      <c r="N31">
        <v>2702</v>
      </c>
      <c r="O31">
        <v>1354</v>
      </c>
      <c r="P31">
        <v>76</v>
      </c>
      <c r="Q31">
        <v>39</v>
      </c>
      <c r="R31">
        <v>2636</v>
      </c>
      <c r="S31">
        <v>1295</v>
      </c>
      <c r="T31">
        <v>71</v>
      </c>
      <c r="U31">
        <v>32</v>
      </c>
      <c r="V31">
        <v>2322</v>
      </c>
      <c r="W31">
        <v>1227</v>
      </c>
      <c r="X31">
        <v>41</v>
      </c>
      <c r="Y31">
        <v>20</v>
      </c>
      <c r="Z31">
        <v>1965</v>
      </c>
      <c r="AA31">
        <v>1135</v>
      </c>
      <c r="AB31">
        <v>30</v>
      </c>
      <c r="AC31">
        <v>11</v>
      </c>
      <c r="AD31">
        <v>1499</v>
      </c>
      <c r="AE31">
        <v>850</v>
      </c>
      <c r="AF31">
        <v>22</v>
      </c>
      <c r="AG31">
        <v>16</v>
      </c>
      <c r="AH31">
        <v>1168</v>
      </c>
      <c r="AI31">
        <v>682</v>
      </c>
      <c r="AJ31">
        <v>18</v>
      </c>
      <c r="AK31">
        <v>12</v>
      </c>
      <c r="AL31">
        <v>859</v>
      </c>
      <c r="AM31">
        <v>488</v>
      </c>
      <c r="AN31">
        <v>10</v>
      </c>
      <c r="AO31">
        <v>7</v>
      </c>
      <c r="AP31">
        <v>633</v>
      </c>
      <c r="AQ31">
        <v>323</v>
      </c>
      <c r="AR31">
        <v>0</v>
      </c>
      <c r="AS31">
        <v>0</v>
      </c>
      <c r="AT31">
        <v>485</v>
      </c>
      <c r="AU31">
        <v>264</v>
      </c>
      <c r="AV31">
        <v>2</v>
      </c>
      <c r="AW31">
        <v>0</v>
      </c>
      <c r="AX31">
        <v>39565</v>
      </c>
      <c r="AY31">
        <v>20552</v>
      </c>
      <c r="AZ31">
        <v>783</v>
      </c>
      <c r="BA31">
        <v>360</v>
      </c>
    </row>
  </sheetData>
  <mergeCells count="40">
    <mergeCell ref="AT2:AU2"/>
    <mergeCell ref="AZ2:BA2"/>
    <mergeCell ref="R2:S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X2:Y2"/>
    <mergeCell ref="AJ2:AK2"/>
    <mergeCell ref="AL2:AM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5B9BD5"/>
  </sheetPr>
  <dimension ref="A1:N30"/>
  <sheetViews>
    <sheetView workbookViewId="0"/>
  </sheetViews>
  <sheetFormatPr defaultRowHeight="15" x14ac:dyDescent="0.25"/>
  <cols>
    <col min="1" max="1" width="19.85546875" customWidth="1"/>
    <col min="2" max="2" width="10.85546875" customWidth="1"/>
    <col min="5" max="5" width="11.140625" customWidth="1"/>
    <col min="6" max="6" width="10.85546875" customWidth="1"/>
    <col min="11" max="11" width="11.28515625" customWidth="1"/>
  </cols>
  <sheetData>
    <row r="1" spans="1:14" x14ac:dyDescent="0.25">
      <c r="A1" s="29"/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121</v>
      </c>
      <c r="C3">
        <v>3393</v>
      </c>
      <c r="D3">
        <v>1653</v>
      </c>
      <c r="E3">
        <v>14332</v>
      </c>
      <c r="F3">
        <v>6879</v>
      </c>
      <c r="G3">
        <v>2917</v>
      </c>
      <c r="H3">
        <v>1421</v>
      </c>
      <c r="I3">
        <v>1300</v>
      </c>
      <c r="J3">
        <v>658</v>
      </c>
      <c r="K3">
        <v>21942</v>
      </c>
      <c r="L3">
        <v>10611</v>
      </c>
      <c r="M3">
        <v>48</v>
      </c>
      <c r="N3">
        <v>48.4</v>
      </c>
    </row>
    <row r="4" spans="1:14" x14ac:dyDescent="0.25">
      <c r="A4" t="s">
        <v>284</v>
      </c>
      <c r="B4">
        <v>45</v>
      </c>
      <c r="C4">
        <v>1273</v>
      </c>
      <c r="D4">
        <v>605</v>
      </c>
      <c r="E4">
        <v>4348</v>
      </c>
      <c r="F4">
        <v>2139</v>
      </c>
      <c r="G4">
        <v>1661</v>
      </c>
      <c r="H4">
        <v>813</v>
      </c>
      <c r="I4">
        <v>1522</v>
      </c>
      <c r="J4">
        <v>814</v>
      </c>
      <c r="K4">
        <v>8804</v>
      </c>
      <c r="L4">
        <v>4371</v>
      </c>
      <c r="M4">
        <v>49.2</v>
      </c>
      <c r="N4">
        <v>49.6</v>
      </c>
    </row>
    <row r="5" spans="1:14" x14ac:dyDescent="0.25">
      <c r="A5" t="s">
        <v>285</v>
      </c>
      <c r="B5">
        <v>25</v>
      </c>
      <c r="C5">
        <v>853</v>
      </c>
      <c r="D5">
        <v>455</v>
      </c>
      <c r="E5">
        <v>2532</v>
      </c>
      <c r="F5">
        <v>1213</v>
      </c>
      <c r="G5">
        <v>407</v>
      </c>
      <c r="H5">
        <v>192</v>
      </c>
      <c r="I5">
        <v>218</v>
      </c>
      <c r="J5">
        <v>109</v>
      </c>
      <c r="K5">
        <v>4010</v>
      </c>
      <c r="L5">
        <v>1969</v>
      </c>
      <c r="M5">
        <v>47.9</v>
      </c>
      <c r="N5">
        <v>49.1</v>
      </c>
    </row>
    <row r="6" spans="1:14" x14ac:dyDescent="0.25">
      <c r="A6" t="s">
        <v>286</v>
      </c>
      <c r="B6">
        <v>25</v>
      </c>
      <c r="C6">
        <v>1532</v>
      </c>
      <c r="D6">
        <v>736</v>
      </c>
      <c r="E6">
        <v>1905</v>
      </c>
      <c r="F6">
        <v>905</v>
      </c>
      <c r="G6">
        <v>608</v>
      </c>
      <c r="H6">
        <v>230</v>
      </c>
      <c r="I6">
        <v>460</v>
      </c>
      <c r="J6">
        <v>184</v>
      </c>
      <c r="K6">
        <v>4505</v>
      </c>
      <c r="L6">
        <v>2055</v>
      </c>
      <c r="M6">
        <v>47.5</v>
      </c>
      <c r="N6">
        <v>45.6</v>
      </c>
    </row>
    <row r="7" spans="1:14" x14ac:dyDescent="0.25">
      <c r="A7" t="s">
        <v>287</v>
      </c>
      <c r="B7">
        <v>50</v>
      </c>
      <c r="C7">
        <v>2917</v>
      </c>
      <c r="D7">
        <v>1514</v>
      </c>
      <c r="E7">
        <v>4276</v>
      </c>
      <c r="F7">
        <v>2189</v>
      </c>
      <c r="G7">
        <v>740</v>
      </c>
      <c r="H7">
        <v>372</v>
      </c>
      <c r="I7">
        <v>201</v>
      </c>
      <c r="J7">
        <v>104</v>
      </c>
      <c r="K7">
        <v>8134</v>
      </c>
      <c r="L7">
        <v>4179</v>
      </c>
      <c r="M7">
        <v>51.2</v>
      </c>
      <c r="N7">
        <v>51.4</v>
      </c>
    </row>
    <row r="8" spans="1:14" x14ac:dyDescent="0.25">
      <c r="A8" t="s">
        <v>288</v>
      </c>
      <c r="B8">
        <v>15</v>
      </c>
      <c r="C8">
        <v>342</v>
      </c>
      <c r="D8">
        <v>148</v>
      </c>
      <c r="E8">
        <v>1049</v>
      </c>
      <c r="F8">
        <v>467</v>
      </c>
      <c r="G8">
        <v>210</v>
      </c>
      <c r="H8">
        <v>89</v>
      </c>
      <c r="I8">
        <v>98</v>
      </c>
      <c r="J8">
        <v>50</v>
      </c>
      <c r="K8">
        <v>1699</v>
      </c>
      <c r="L8">
        <v>754</v>
      </c>
      <c r="M8">
        <v>44.5</v>
      </c>
      <c r="N8">
        <v>44.4</v>
      </c>
    </row>
    <row r="9" spans="1:14" x14ac:dyDescent="0.25">
      <c r="A9" t="s">
        <v>289</v>
      </c>
      <c r="B9">
        <v>48</v>
      </c>
      <c r="C9">
        <v>998</v>
      </c>
      <c r="D9">
        <v>499</v>
      </c>
      <c r="E9">
        <v>6234</v>
      </c>
      <c r="F9">
        <v>3285</v>
      </c>
      <c r="G9">
        <v>1337</v>
      </c>
      <c r="H9">
        <v>727</v>
      </c>
      <c r="I9">
        <v>1019</v>
      </c>
      <c r="J9">
        <v>511</v>
      </c>
      <c r="K9">
        <v>9588</v>
      </c>
      <c r="L9">
        <v>5022</v>
      </c>
      <c r="M9">
        <v>52.7</v>
      </c>
      <c r="N9">
        <v>52.4</v>
      </c>
    </row>
    <row r="10" spans="1:14" x14ac:dyDescent="0.25">
      <c r="A10" t="s">
        <v>290</v>
      </c>
      <c r="B10">
        <v>63</v>
      </c>
      <c r="C10">
        <v>1974</v>
      </c>
      <c r="D10">
        <v>1001</v>
      </c>
      <c r="E10">
        <v>5683</v>
      </c>
      <c r="F10">
        <v>2834</v>
      </c>
      <c r="G10">
        <v>1903</v>
      </c>
      <c r="H10">
        <v>762</v>
      </c>
      <c r="I10">
        <v>1137</v>
      </c>
      <c r="J10">
        <v>522</v>
      </c>
      <c r="K10">
        <v>10697</v>
      </c>
      <c r="L10">
        <v>5119</v>
      </c>
      <c r="M10">
        <v>49.9</v>
      </c>
      <c r="N10">
        <v>47.9</v>
      </c>
    </row>
    <row r="11" spans="1:14" x14ac:dyDescent="0.25">
      <c r="A11" t="s">
        <v>291</v>
      </c>
      <c r="B11">
        <v>4</v>
      </c>
      <c r="C11">
        <v>121</v>
      </c>
      <c r="D11">
        <v>61</v>
      </c>
      <c r="E11">
        <v>715</v>
      </c>
      <c r="F11">
        <v>385</v>
      </c>
      <c r="G11">
        <v>0</v>
      </c>
      <c r="H11">
        <v>0</v>
      </c>
      <c r="I11">
        <v>0</v>
      </c>
      <c r="J11">
        <v>0</v>
      </c>
      <c r="K11">
        <v>836</v>
      </c>
      <c r="L11">
        <v>446</v>
      </c>
      <c r="M11">
        <v>53.8</v>
      </c>
      <c r="N11">
        <v>53.3</v>
      </c>
    </row>
    <row r="12" spans="1:14" x14ac:dyDescent="0.25">
      <c r="A12" t="s">
        <v>292</v>
      </c>
      <c r="B12">
        <v>18</v>
      </c>
      <c r="C12">
        <v>316</v>
      </c>
      <c r="D12">
        <v>183</v>
      </c>
      <c r="E12">
        <v>2594</v>
      </c>
      <c r="F12">
        <v>1337</v>
      </c>
      <c r="G12">
        <v>332</v>
      </c>
      <c r="H12">
        <v>147</v>
      </c>
      <c r="I12">
        <v>17</v>
      </c>
      <c r="J12">
        <v>7</v>
      </c>
      <c r="K12">
        <v>3259</v>
      </c>
      <c r="L12">
        <v>1674</v>
      </c>
      <c r="M12">
        <v>51.5</v>
      </c>
      <c r="N12">
        <v>51.4</v>
      </c>
    </row>
    <row r="13" spans="1:14" x14ac:dyDescent="0.25">
      <c r="A13" t="s">
        <v>293</v>
      </c>
      <c r="B13">
        <v>8</v>
      </c>
      <c r="C13">
        <v>162</v>
      </c>
      <c r="D13">
        <v>80</v>
      </c>
      <c r="E13">
        <v>1337</v>
      </c>
      <c r="F13">
        <v>800</v>
      </c>
      <c r="G13">
        <v>0</v>
      </c>
      <c r="H13">
        <v>0</v>
      </c>
      <c r="I13">
        <v>0</v>
      </c>
      <c r="J13">
        <v>0</v>
      </c>
      <c r="K13">
        <v>1499</v>
      </c>
      <c r="L13">
        <v>880</v>
      </c>
      <c r="M13">
        <v>59.8</v>
      </c>
      <c r="N13">
        <v>58.7</v>
      </c>
    </row>
    <row r="14" spans="1:14" x14ac:dyDescent="0.25">
      <c r="A14" t="s">
        <v>294</v>
      </c>
      <c r="B14">
        <v>5</v>
      </c>
      <c r="C14">
        <v>140</v>
      </c>
      <c r="D14">
        <v>65</v>
      </c>
      <c r="E14">
        <v>205</v>
      </c>
      <c r="F14">
        <v>75</v>
      </c>
      <c r="G14">
        <v>0</v>
      </c>
      <c r="H14">
        <v>0</v>
      </c>
      <c r="I14">
        <v>0</v>
      </c>
      <c r="J14">
        <v>0</v>
      </c>
      <c r="K14">
        <v>345</v>
      </c>
      <c r="L14">
        <v>140</v>
      </c>
      <c r="M14">
        <v>36.6</v>
      </c>
      <c r="N14">
        <v>40.6</v>
      </c>
    </row>
    <row r="15" spans="1:14" x14ac:dyDescent="0.25">
      <c r="A15" t="s">
        <v>295</v>
      </c>
      <c r="B15">
        <v>6</v>
      </c>
      <c r="C15">
        <v>272</v>
      </c>
      <c r="D15">
        <v>114</v>
      </c>
      <c r="E15">
        <v>1201</v>
      </c>
      <c r="F15">
        <v>548</v>
      </c>
      <c r="G15">
        <v>0</v>
      </c>
      <c r="H15">
        <v>0</v>
      </c>
      <c r="I15">
        <v>0</v>
      </c>
      <c r="J15">
        <v>0</v>
      </c>
      <c r="K15">
        <v>1473</v>
      </c>
      <c r="L15">
        <v>662</v>
      </c>
      <c r="M15">
        <v>45.6</v>
      </c>
      <c r="N15">
        <v>44.9</v>
      </c>
    </row>
    <row r="16" spans="1:14" x14ac:dyDescent="0.25">
      <c r="A16" t="s">
        <v>296</v>
      </c>
      <c r="B16">
        <v>18</v>
      </c>
      <c r="C16">
        <v>718</v>
      </c>
      <c r="D16">
        <v>335</v>
      </c>
      <c r="E16">
        <v>1527</v>
      </c>
      <c r="F16">
        <v>763</v>
      </c>
      <c r="G16">
        <v>0</v>
      </c>
      <c r="H16">
        <v>0</v>
      </c>
      <c r="I16">
        <v>0</v>
      </c>
      <c r="J16">
        <v>0</v>
      </c>
      <c r="K16">
        <v>2245</v>
      </c>
      <c r="L16">
        <v>1098</v>
      </c>
      <c r="M16">
        <v>50</v>
      </c>
      <c r="N16">
        <v>48.9</v>
      </c>
    </row>
    <row r="17" spans="1:14" x14ac:dyDescent="0.25">
      <c r="A17" t="s">
        <v>297</v>
      </c>
      <c r="B17">
        <v>530</v>
      </c>
      <c r="C17">
        <v>19816</v>
      </c>
      <c r="D17">
        <v>9839</v>
      </c>
      <c r="E17">
        <v>57571</v>
      </c>
      <c r="F17">
        <v>28851</v>
      </c>
      <c r="G17">
        <v>13823</v>
      </c>
      <c r="H17">
        <v>6985</v>
      </c>
      <c r="I17">
        <v>10077</v>
      </c>
      <c r="J17">
        <v>5102</v>
      </c>
      <c r="K17">
        <v>101287</v>
      </c>
      <c r="L17">
        <v>50777</v>
      </c>
      <c r="M17">
        <v>50.1</v>
      </c>
      <c r="N17">
        <v>50.1</v>
      </c>
    </row>
    <row r="18" spans="1:14" x14ac:dyDescent="0.25">
      <c r="A18" t="s">
        <v>298</v>
      </c>
      <c r="B18">
        <v>45</v>
      </c>
      <c r="C18">
        <v>2542</v>
      </c>
      <c r="D18">
        <v>1271</v>
      </c>
      <c r="E18">
        <v>4223</v>
      </c>
      <c r="F18">
        <v>2029</v>
      </c>
      <c r="G18">
        <v>1331</v>
      </c>
      <c r="H18">
        <v>643</v>
      </c>
      <c r="I18">
        <v>842</v>
      </c>
      <c r="J18">
        <v>384</v>
      </c>
      <c r="K18">
        <v>8938</v>
      </c>
      <c r="L18">
        <v>4327</v>
      </c>
      <c r="M18">
        <v>48</v>
      </c>
      <c r="N18">
        <v>48.4</v>
      </c>
    </row>
    <row r="19" spans="1:14" x14ac:dyDescent="0.25">
      <c r="A19" t="s">
        <v>299</v>
      </c>
      <c r="B19">
        <v>4</v>
      </c>
      <c r="C19">
        <v>79</v>
      </c>
      <c r="D19">
        <v>47</v>
      </c>
      <c r="E19">
        <v>186</v>
      </c>
      <c r="F19">
        <v>76</v>
      </c>
      <c r="G19">
        <v>0</v>
      </c>
      <c r="H19">
        <v>0</v>
      </c>
      <c r="I19">
        <v>0</v>
      </c>
      <c r="J19">
        <v>0</v>
      </c>
      <c r="K19">
        <v>265</v>
      </c>
      <c r="L19">
        <v>123</v>
      </c>
      <c r="M19">
        <v>40.9</v>
      </c>
      <c r="N19">
        <v>46.4</v>
      </c>
    </row>
    <row r="20" spans="1:14" x14ac:dyDescent="0.25">
      <c r="A20" t="s">
        <v>300</v>
      </c>
      <c r="B20">
        <v>7</v>
      </c>
      <c r="C20">
        <v>138</v>
      </c>
      <c r="D20">
        <v>81</v>
      </c>
      <c r="E20">
        <v>78</v>
      </c>
      <c r="F20">
        <v>47</v>
      </c>
      <c r="G20">
        <v>0</v>
      </c>
      <c r="H20">
        <v>0</v>
      </c>
      <c r="I20">
        <v>133</v>
      </c>
      <c r="J20">
        <v>78</v>
      </c>
      <c r="K20">
        <v>349</v>
      </c>
      <c r="L20">
        <v>206</v>
      </c>
      <c r="M20">
        <v>60.3</v>
      </c>
      <c r="N20">
        <v>59</v>
      </c>
    </row>
    <row r="21" spans="1:14" x14ac:dyDescent="0.25">
      <c r="A21" t="s">
        <v>301</v>
      </c>
      <c r="B21">
        <v>8</v>
      </c>
      <c r="C21">
        <v>1019</v>
      </c>
      <c r="D21">
        <v>505</v>
      </c>
      <c r="E21">
        <v>1031</v>
      </c>
      <c r="F21">
        <v>559</v>
      </c>
      <c r="G21">
        <v>0</v>
      </c>
      <c r="H21">
        <v>0</v>
      </c>
      <c r="I21">
        <v>0</v>
      </c>
      <c r="J21">
        <v>0</v>
      </c>
      <c r="K21">
        <v>2050</v>
      </c>
      <c r="L21">
        <v>1064</v>
      </c>
      <c r="M21">
        <v>54.2</v>
      </c>
      <c r="N21">
        <v>51.9</v>
      </c>
    </row>
    <row r="22" spans="1:14" x14ac:dyDescent="0.25">
      <c r="A22" t="s">
        <v>302</v>
      </c>
      <c r="B22">
        <v>14</v>
      </c>
      <c r="C22">
        <v>1269</v>
      </c>
      <c r="D22">
        <v>415</v>
      </c>
      <c r="E22">
        <v>1733</v>
      </c>
      <c r="F22">
        <v>814</v>
      </c>
      <c r="G22">
        <v>322</v>
      </c>
      <c r="H22">
        <v>128</v>
      </c>
      <c r="I22">
        <v>149</v>
      </c>
      <c r="J22">
        <v>74</v>
      </c>
      <c r="K22">
        <v>3473</v>
      </c>
      <c r="L22">
        <v>1431</v>
      </c>
      <c r="M22">
        <v>47</v>
      </c>
      <c r="N22">
        <v>41.2</v>
      </c>
    </row>
    <row r="23" spans="1:14" x14ac:dyDescent="0.25">
      <c r="A23" t="s">
        <v>303</v>
      </c>
      <c r="B23">
        <v>102</v>
      </c>
      <c r="C23">
        <v>6530</v>
      </c>
      <c r="D23">
        <v>3265</v>
      </c>
      <c r="E23">
        <v>6197</v>
      </c>
      <c r="F23">
        <v>2954</v>
      </c>
      <c r="G23">
        <v>1557</v>
      </c>
      <c r="H23">
        <v>763</v>
      </c>
      <c r="I23">
        <v>920</v>
      </c>
      <c r="J23">
        <v>455</v>
      </c>
      <c r="K23">
        <v>15204</v>
      </c>
      <c r="L23">
        <v>7437</v>
      </c>
      <c r="M23">
        <v>47.7</v>
      </c>
      <c r="N23">
        <v>48.9</v>
      </c>
    </row>
    <row r="24" spans="1:14" x14ac:dyDescent="0.25">
      <c r="A24" t="s">
        <v>304</v>
      </c>
      <c r="B24">
        <v>4</v>
      </c>
      <c r="C24">
        <v>108</v>
      </c>
      <c r="D24">
        <v>60</v>
      </c>
      <c r="E24">
        <v>154</v>
      </c>
      <c r="F24">
        <v>62</v>
      </c>
      <c r="G24">
        <v>8</v>
      </c>
      <c r="H24">
        <v>3</v>
      </c>
      <c r="I24">
        <v>13</v>
      </c>
      <c r="J24">
        <v>7</v>
      </c>
      <c r="K24">
        <v>283</v>
      </c>
      <c r="L24">
        <v>132</v>
      </c>
      <c r="M24">
        <v>40.299999999999997</v>
      </c>
      <c r="N24">
        <v>46.6</v>
      </c>
    </row>
    <row r="25" spans="1:14" x14ac:dyDescent="0.25">
      <c r="A25" t="s">
        <v>305</v>
      </c>
      <c r="B25">
        <v>6</v>
      </c>
      <c r="C25">
        <v>106</v>
      </c>
      <c r="D25">
        <v>46</v>
      </c>
      <c r="E25">
        <v>198</v>
      </c>
      <c r="F25">
        <v>95</v>
      </c>
      <c r="G25">
        <v>0</v>
      </c>
      <c r="H25">
        <v>0</v>
      </c>
      <c r="I25">
        <v>0</v>
      </c>
      <c r="J25">
        <v>0</v>
      </c>
      <c r="K25">
        <v>304</v>
      </c>
      <c r="L25">
        <v>141</v>
      </c>
      <c r="M25">
        <v>48</v>
      </c>
      <c r="N25">
        <v>46.4</v>
      </c>
    </row>
    <row r="26" spans="1:14" x14ac:dyDescent="0.25">
      <c r="A26" t="s">
        <v>306</v>
      </c>
      <c r="B26">
        <v>24</v>
      </c>
      <c r="C26">
        <v>593</v>
      </c>
      <c r="D26">
        <v>282</v>
      </c>
      <c r="E26">
        <v>1640</v>
      </c>
      <c r="F26">
        <v>767</v>
      </c>
      <c r="G26">
        <v>380</v>
      </c>
      <c r="H26">
        <v>155</v>
      </c>
      <c r="I26">
        <v>247</v>
      </c>
      <c r="J26">
        <v>132</v>
      </c>
      <c r="K26">
        <v>2860</v>
      </c>
      <c r="L26">
        <v>1336</v>
      </c>
      <c r="M26">
        <v>46.8</v>
      </c>
      <c r="N26">
        <v>46.7</v>
      </c>
    </row>
    <row r="27" spans="1:14" x14ac:dyDescent="0.25">
      <c r="A27" t="s">
        <v>307</v>
      </c>
      <c r="B27">
        <v>27</v>
      </c>
      <c r="C27">
        <v>1107</v>
      </c>
      <c r="D27">
        <v>589</v>
      </c>
      <c r="E27">
        <v>1937</v>
      </c>
      <c r="F27">
        <v>1063</v>
      </c>
      <c r="G27">
        <v>915</v>
      </c>
      <c r="H27">
        <v>709</v>
      </c>
      <c r="I27">
        <v>349</v>
      </c>
      <c r="J27">
        <v>265</v>
      </c>
      <c r="K27">
        <v>4308</v>
      </c>
      <c r="L27">
        <v>2626</v>
      </c>
      <c r="M27">
        <v>54.9</v>
      </c>
      <c r="N27">
        <v>61</v>
      </c>
    </row>
    <row r="28" spans="1:14" x14ac:dyDescent="0.25">
      <c r="A28" t="s">
        <v>266</v>
      </c>
      <c r="B28">
        <v>1222</v>
      </c>
      <c r="C28">
        <v>48318</v>
      </c>
      <c r="D28">
        <v>23849</v>
      </c>
      <c r="E28">
        <v>122886</v>
      </c>
      <c r="F28">
        <v>61136</v>
      </c>
      <c r="G28">
        <v>28451</v>
      </c>
      <c r="H28">
        <v>14139</v>
      </c>
      <c r="I28">
        <v>18702</v>
      </c>
      <c r="J28">
        <v>9456</v>
      </c>
      <c r="K28">
        <v>218357</v>
      </c>
      <c r="L28">
        <v>108580</v>
      </c>
      <c r="M28">
        <v>49.8</v>
      </c>
      <c r="N28">
        <v>49.7</v>
      </c>
    </row>
    <row r="29" spans="1:14" x14ac:dyDescent="0.25">
      <c r="A29" t="s">
        <v>459</v>
      </c>
      <c r="B29">
        <v>994</v>
      </c>
      <c r="C29">
        <v>41048</v>
      </c>
      <c r="D29">
        <v>20118</v>
      </c>
      <c r="E29">
        <v>100436</v>
      </c>
      <c r="F29">
        <v>49709</v>
      </c>
      <c r="G29">
        <v>24293</v>
      </c>
      <c r="H29">
        <v>12017</v>
      </c>
      <c r="I29">
        <v>17069</v>
      </c>
      <c r="J29">
        <v>8637</v>
      </c>
      <c r="K29">
        <v>182846</v>
      </c>
      <c r="L29">
        <v>90481</v>
      </c>
      <c r="M29">
        <v>49.5</v>
      </c>
      <c r="N29">
        <v>49.5</v>
      </c>
    </row>
    <row r="30" spans="1:14" x14ac:dyDescent="0.25">
      <c r="A30" t="s">
        <v>460</v>
      </c>
      <c r="B30">
        <v>228</v>
      </c>
      <c r="C30">
        <v>7270</v>
      </c>
      <c r="D30">
        <v>3731</v>
      </c>
      <c r="E30">
        <v>22450</v>
      </c>
      <c r="F30">
        <v>11427</v>
      </c>
      <c r="G30">
        <v>4158</v>
      </c>
      <c r="H30">
        <v>2122</v>
      </c>
      <c r="I30">
        <v>1633</v>
      </c>
      <c r="J30">
        <v>819</v>
      </c>
      <c r="K30">
        <v>35511</v>
      </c>
      <c r="L30">
        <v>18099</v>
      </c>
      <c r="M30">
        <v>50.9</v>
      </c>
      <c r="N30">
        <v>51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5B9BD5"/>
  </sheetPr>
  <dimension ref="A1:N30"/>
  <sheetViews>
    <sheetView workbookViewId="0"/>
  </sheetViews>
  <sheetFormatPr defaultRowHeight="15" x14ac:dyDescent="0.25"/>
  <cols>
    <col min="1" max="1" width="21.85546875" customWidth="1"/>
    <col min="2" max="2" width="12" customWidth="1"/>
    <col min="3" max="3" width="10.85546875" customWidth="1"/>
    <col min="4" max="4" width="10.7109375" customWidth="1"/>
    <col min="5" max="5" width="10.85546875" customWidth="1"/>
    <col min="6" max="6" width="10.7109375" customWidth="1"/>
    <col min="8" max="8" width="10.85546875" customWidth="1"/>
    <col min="9" max="9" width="10.7109375" customWidth="1"/>
    <col min="10" max="10" width="10.85546875" customWidth="1"/>
    <col min="11" max="11" width="10.7109375" customWidth="1"/>
    <col min="13" max="13" width="10.85546875" customWidth="1"/>
    <col min="14" max="14" width="10.7109375" customWidth="1"/>
  </cols>
  <sheetData>
    <row r="1" spans="1:14" x14ac:dyDescent="0.25">
      <c r="A1" s="29" t="s">
        <v>709</v>
      </c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133</v>
      </c>
      <c r="C3">
        <v>4017</v>
      </c>
      <c r="D3">
        <v>2003</v>
      </c>
      <c r="E3">
        <v>14259</v>
      </c>
      <c r="F3">
        <v>6901</v>
      </c>
      <c r="G3">
        <v>3398</v>
      </c>
      <c r="H3">
        <v>1729</v>
      </c>
      <c r="I3">
        <v>1642</v>
      </c>
      <c r="J3">
        <v>825</v>
      </c>
      <c r="K3">
        <v>23316</v>
      </c>
      <c r="L3">
        <v>11458</v>
      </c>
      <c r="M3">
        <v>48.4</v>
      </c>
      <c r="N3">
        <v>49.1</v>
      </c>
    </row>
    <row r="4" spans="1:14" x14ac:dyDescent="0.25">
      <c r="A4" t="s">
        <v>284</v>
      </c>
      <c r="B4">
        <v>52</v>
      </c>
      <c r="C4">
        <v>2070</v>
      </c>
      <c r="D4">
        <v>1008</v>
      </c>
      <c r="E4">
        <v>3966</v>
      </c>
      <c r="F4">
        <v>1859</v>
      </c>
      <c r="G4">
        <v>1488</v>
      </c>
      <c r="H4">
        <v>741</v>
      </c>
      <c r="I4">
        <v>1468</v>
      </c>
      <c r="J4">
        <v>765</v>
      </c>
      <c r="K4">
        <v>8992</v>
      </c>
      <c r="L4">
        <v>4373</v>
      </c>
      <c r="M4">
        <v>46.9</v>
      </c>
      <c r="N4">
        <v>48.6</v>
      </c>
    </row>
    <row r="5" spans="1:14" x14ac:dyDescent="0.25">
      <c r="A5" t="s">
        <v>285</v>
      </c>
      <c r="B5">
        <v>29</v>
      </c>
      <c r="C5">
        <v>1462</v>
      </c>
      <c r="D5">
        <v>786</v>
      </c>
      <c r="E5">
        <v>2598</v>
      </c>
      <c r="F5">
        <v>1215</v>
      </c>
      <c r="G5">
        <v>491</v>
      </c>
      <c r="H5">
        <v>251</v>
      </c>
      <c r="I5">
        <v>219</v>
      </c>
      <c r="J5">
        <v>105</v>
      </c>
      <c r="K5">
        <v>4770</v>
      </c>
      <c r="L5">
        <v>2357</v>
      </c>
      <c r="M5">
        <v>46.8</v>
      </c>
      <c r="N5">
        <v>49.4</v>
      </c>
    </row>
    <row r="6" spans="1:14" x14ac:dyDescent="0.25">
      <c r="A6" t="s">
        <v>286</v>
      </c>
      <c r="B6">
        <v>25</v>
      </c>
      <c r="C6">
        <v>1324</v>
      </c>
      <c r="D6">
        <v>628</v>
      </c>
      <c r="E6">
        <v>2041</v>
      </c>
      <c r="F6">
        <v>969</v>
      </c>
      <c r="G6">
        <v>547</v>
      </c>
      <c r="H6">
        <v>217</v>
      </c>
      <c r="I6">
        <v>344</v>
      </c>
      <c r="J6">
        <v>126</v>
      </c>
      <c r="K6">
        <v>4256</v>
      </c>
      <c r="L6">
        <v>1940</v>
      </c>
      <c r="M6">
        <v>47.5</v>
      </c>
      <c r="N6">
        <v>45.6</v>
      </c>
    </row>
    <row r="7" spans="1:14" x14ac:dyDescent="0.25">
      <c r="A7" t="s">
        <v>287</v>
      </c>
      <c r="B7">
        <v>64</v>
      </c>
      <c r="C7">
        <v>2857</v>
      </c>
      <c r="D7">
        <v>1503</v>
      </c>
      <c r="E7">
        <v>4514</v>
      </c>
      <c r="F7">
        <v>2275</v>
      </c>
      <c r="G7">
        <v>689</v>
      </c>
      <c r="H7">
        <v>374</v>
      </c>
      <c r="I7">
        <v>200</v>
      </c>
      <c r="J7">
        <v>120</v>
      </c>
      <c r="K7">
        <v>8260</v>
      </c>
      <c r="L7">
        <v>4272</v>
      </c>
      <c r="M7">
        <v>50.4</v>
      </c>
      <c r="N7">
        <v>51.7</v>
      </c>
    </row>
    <row r="8" spans="1:14" x14ac:dyDescent="0.25">
      <c r="A8" t="s">
        <v>288</v>
      </c>
      <c r="B8">
        <v>34</v>
      </c>
      <c r="C8">
        <v>638</v>
      </c>
      <c r="D8">
        <v>312</v>
      </c>
      <c r="E8">
        <v>1675</v>
      </c>
      <c r="F8">
        <v>832</v>
      </c>
      <c r="G8">
        <v>239</v>
      </c>
      <c r="H8">
        <v>103</v>
      </c>
      <c r="I8">
        <v>106</v>
      </c>
      <c r="J8">
        <v>51</v>
      </c>
      <c r="K8">
        <v>2658</v>
      </c>
      <c r="L8">
        <v>1298</v>
      </c>
      <c r="M8">
        <v>49.7</v>
      </c>
      <c r="N8">
        <v>48.8</v>
      </c>
    </row>
    <row r="9" spans="1:14" x14ac:dyDescent="0.25">
      <c r="A9" t="s">
        <v>289</v>
      </c>
      <c r="B9">
        <v>47</v>
      </c>
      <c r="C9">
        <v>1252</v>
      </c>
      <c r="D9">
        <v>586</v>
      </c>
      <c r="E9">
        <v>6818</v>
      </c>
      <c r="F9">
        <v>3562</v>
      </c>
      <c r="G9">
        <v>1609</v>
      </c>
      <c r="H9">
        <v>850</v>
      </c>
      <c r="I9">
        <v>1225</v>
      </c>
      <c r="J9">
        <v>612</v>
      </c>
      <c r="K9">
        <v>10904</v>
      </c>
      <c r="L9">
        <v>5610</v>
      </c>
      <c r="M9">
        <v>52.2</v>
      </c>
      <c r="N9">
        <v>51.4</v>
      </c>
    </row>
    <row r="10" spans="1:14" x14ac:dyDescent="0.25">
      <c r="A10" t="s">
        <v>290</v>
      </c>
      <c r="B10">
        <v>68</v>
      </c>
      <c r="C10">
        <v>2931</v>
      </c>
      <c r="D10">
        <v>1531</v>
      </c>
      <c r="E10">
        <v>5593</v>
      </c>
      <c r="F10">
        <v>2957</v>
      </c>
      <c r="G10">
        <v>1731</v>
      </c>
      <c r="H10">
        <v>974</v>
      </c>
      <c r="I10">
        <v>1147</v>
      </c>
      <c r="J10">
        <v>617</v>
      </c>
      <c r="K10">
        <v>11402</v>
      </c>
      <c r="L10">
        <v>6079</v>
      </c>
      <c r="M10">
        <v>52.9</v>
      </c>
      <c r="N10">
        <v>53.3</v>
      </c>
    </row>
    <row r="11" spans="1:14" x14ac:dyDescent="0.25">
      <c r="A11" t="s">
        <v>291</v>
      </c>
      <c r="B11">
        <v>4</v>
      </c>
      <c r="C11">
        <v>165</v>
      </c>
      <c r="D11">
        <v>99</v>
      </c>
      <c r="E11">
        <v>781</v>
      </c>
      <c r="F11">
        <v>446</v>
      </c>
      <c r="G11">
        <v>0</v>
      </c>
      <c r="H11">
        <v>0</v>
      </c>
      <c r="I11">
        <v>0</v>
      </c>
      <c r="J11">
        <v>0</v>
      </c>
      <c r="K11">
        <v>946</v>
      </c>
      <c r="L11">
        <v>545</v>
      </c>
      <c r="M11">
        <v>57.1</v>
      </c>
      <c r="N11">
        <v>57.6</v>
      </c>
    </row>
    <row r="12" spans="1:14" x14ac:dyDescent="0.25">
      <c r="A12" t="s">
        <v>292</v>
      </c>
      <c r="B12">
        <v>29</v>
      </c>
      <c r="C12">
        <v>1176</v>
      </c>
      <c r="D12">
        <v>613</v>
      </c>
      <c r="E12">
        <v>2563</v>
      </c>
      <c r="F12">
        <v>1281</v>
      </c>
      <c r="G12">
        <v>374</v>
      </c>
      <c r="H12">
        <v>199</v>
      </c>
      <c r="I12">
        <v>20</v>
      </c>
      <c r="J12">
        <v>8</v>
      </c>
      <c r="K12">
        <v>4133</v>
      </c>
      <c r="L12">
        <v>2101</v>
      </c>
      <c r="M12">
        <v>50</v>
      </c>
      <c r="N12">
        <v>50.8</v>
      </c>
    </row>
    <row r="13" spans="1:14" x14ac:dyDescent="0.25">
      <c r="A13" t="s">
        <v>293</v>
      </c>
      <c r="B13">
        <v>8</v>
      </c>
      <c r="C13">
        <v>198</v>
      </c>
      <c r="D13">
        <v>87</v>
      </c>
      <c r="E13">
        <v>397</v>
      </c>
      <c r="F13">
        <v>253</v>
      </c>
      <c r="G13">
        <v>66</v>
      </c>
      <c r="H13">
        <v>31</v>
      </c>
      <c r="I13">
        <v>45</v>
      </c>
      <c r="J13">
        <v>24</v>
      </c>
      <c r="K13">
        <v>706</v>
      </c>
      <c r="L13">
        <v>395</v>
      </c>
      <c r="M13">
        <v>63.7</v>
      </c>
      <c r="N13">
        <v>55.9</v>
      </c>
    </row>
    <row r="14" spans="1:14" x14ac:dyDescent="0.25">
      <c r="A14" t="s">
        <v>294</v>
      </c>
      <c r="B14">
        <v>8</v>
      </c>
      <c r="C14">
        <v>177</v>
      </c>
      <c r="D14">
        <v>90</v>
      </c>
      <c r="E14">
        <v>219</v>
      </c>
      <c r="F14">
        <v>95</v>
      </c>
      <c r="G14">
        <v>10</v>
      </c>
      <c r="H14">
        <v>5</v>
      </c>
      <c r="I14">
        <v>0</v>
      </c>
      <c r="J14">
        <v>0</v>
      </c>
      <c r="K14">
        <v>406</v>
      </c>
      <c r="L14">
        <v>190</v>
      </c>
      <c r="M14">
        <v>43.4</v>
      </c>
      <c r="N14">
        <v>46.8</v>
      </c>
    </row>
    <row r="15" spans="1:14" x14ac:dyDescent="0.25">
      <c r="A15" t="s">
        <v>295</v>
      </c>
      <c r="B15">
        <v>6</v>
      </c>
      <c r="C15">
        <v>318</v>
      </c>
      <c r="D15">
        <v>152</v>
      </c>
      <c r="E15">
        <v>1043</v>
      </c>
      <c r="F15">
        <v>473</v>
      </c>
      <c r="G15">
        <v>0</v>
      </c>
      <c r="H15">
        <v>0</v>
      </c>
      <c r="I15">
        <v>0</v>
      </c>
      <c r="J15">
        <v>0</v>
      </c>
      <c r="K15">
        <v>1361</v>
      </c>
      <c r="L15">
        <v>625</v>
      </c>
      <c r="M15">
        <v>45.3</v>
      </c>
      <c r="N15">
        <v>45.9</v>
      </c>
    </row>
    <row r="16" spans="1:14" x14ac:dyDescent="0.25">
      <c r="A16" t="s">
        <v>296</v>
      </c>
      <c r="B16">
        <v>20</v>
      </c>
      <c r="C16">
        <v>674</v>
      </c>
      <c r="D16">
        <v>307</v>
      </c>
      <c r="E16">
        <v>1726</v>
      </c>
      <c r="F16">
        <v>849</v>
      </c>
      <c r="G16">
        <v>0</v>
      </c>
      <c r="H16">
        <v>0</v>
      </c>
      <c r="I16">
        <v>0</v>
      </c>
      <c r="J16">
        <v>0</v>
      </c>
      <c r="K16">
        <v>2400</v>
      </c>
      <c r="L16">
        <v>1156</v>
      </c>
      <c r="M16">
        <v>49.2</v>
      </c>
      <c r="N16">
        <v>48.2</v>
      </c>
    </row>
    <row r="17" spans="1:14" x14ac:dyDescent="0.25">
      <c r="A17" t="s">
        <v>297</v>
      </c>
      <c r="B17">
        <v>638</v>
      </c>
      <c r="C17">
        <v>24271</v>
      </c>
      <c r="D17">
        <v>11988</v>
      </c>
      <c r="E17">
        <v>74042</v>
      </c>
      <c r="F17">
        <v>36496</v>
      </c>
      <c r="G17">
        <v>20812</v>
      </c>
      <c r="H17">
        <v>10519</v>
      </c>
      <c r="I17">
        <v>14684</v>
      </c>
      <c r="J17">
        <v>7568</v>
      </c>
      <c r="K17">
        <v>133809</v>
      </c>
      <c r="L17">
        <v>66571</v>
      </c>
      <c r="M17">
        <v>49.3</v>
      </c>
      <c r="N17">
        <v>49.8</v>
      </c>
    </row>
    <row r="18" spans="1:14" x14ac:dyDescent="0.25">
      <c r="A18" t="s">
        <v>298</v>
      </c>
      <c r="B18">
        <v>48</v>
      </c>
      <c r="C18">
        <v>1982</v>
      </c>
      <c r="D18">
        <v>893</v>
      </c>
      <c r="E18">
        <v>3964</v>
      </c>
      <c r="F18">
        <v>1866</v>
      </c>
      <c r="G18">
        <v>1211</v>
      </c>
      <c r="H18">
        <v>576</v>
      </c>
      <c r="I18">
        <v>805</v>
      </c>
      <c r="J18">
        <v>374</v>
      </c>
      <c r="K18">
        <v>7962</v>
      </c>
      <c r="L18">
        <v>3709</v>
      </c>
      <c r="M18">
        <v>47.1</v>
      </c>
      <c r="N18">
        <v>46.6</v>
      </c>
    </row>
    <row r="19" spans="1:14" x14ac:dyDescent="0.25">
      <c r="A19" t="s">
        <v>299</v>
      </c>
      <c r="B19">
        <v>4</v>
      </c>
      <c r="C19">
        <v>60</v>
      </c>
      <c r="D19">
        <v>35</v>
      </c>
      <c r="E19">
        <v>157</v>
      </c>
      <c r="F19">
        <v>70</v>
      </c>
      <c r="G19">
        <v>0</v>
      </c>
      <c r="H19">
        <v>0</v>
      </c>
      <c r="I19">
        <v>0</v>
      </c>
      <c r="J19">
        <v>0</v>
      </c>
      <c r="K19">
        <v>217</v>
      </c>
      <c r="L19">
        <v>105</v>
      </c>
      <c r="M19">
        <v>44.6</v>
      </c>
      <c r="N19">
        <v>48.4</v>
      </c>
    </row>
    <row r="20" spans="1:14" x14ac:dyDescent="0.25">
      <c r="A20" t="s">
        <v>300</v>
      </c>
      <c r="B20">
        <v>7</v>
      </c>
      <c r="C20">
        <v>177</v>
      </c>
      <c r="D20">
        <v>71</v>
      </c>
      <c r="E20">
        <v>243</v>
      </c>
      <c r="F20">
        <v>92</v>
      </c>
      <c r="G20">
        <v>0</v>
      </c>
      <c r="H20">
        <v>0</v>
      </c>
      <c r="I20">
        <v>132</v>
      </c>
      <c r="J20">
        <v>76</v>
      </c>
      <c r="K20">
        <v>552</v>
      </c>
      <c r="L20">
        <v>239</v>
      </c>
      <c r="M20">
        <v>37.9</v>
      </c>
      <c r="N20">
        <v>43.3</v>
      </c>
    </row>
    <row r="21" spans="1:14" x14ac:dyDescent="0.25">
      <c r="A21" t="s">
        <v>301</v>
      </c>
      <c r="B21">
        <v>11</v>
      </c>
      <c r="C21">
        <v>693</v>
      </c>
      <c r="D21">
        <v>321</v>
      </c>
      <c r="E21">
        <v>713</v>
      </c>
      <c r="F21">
        <v>364</v>
      </c>
      <c r="G21">
        <v>0</v>
      </c>
      <c r="H21">
        <v>0</v>
      </c>
      <c r="I21">
        <v>0</v>
      </c>
      <c r="J21">
        <v>0</v>
      </c>
      <c r="K21">
        <v>1406</v>
      </c>
      <c r="L21">
        <v>685</v>
      </c>
      <c r="M21">
        <v>51.1</v>
      </c>
      <c r="N21">
        <v>48.7</v>
      </c>
    </row>
    <row r="22" spans="1:14" x14ac:dyDescent="0.25">
      <c r="A22" t="s">
        <v>302</v>
      </c>
      <c r="B22">
        <v>13</v>
      </c>
      <c r="C22">
        <v>993</v>
      </c>
      <c r="D22">
        <v>467</v>
      </c>
      <c r="E22">
        <v>1498</v>
      </c>
      <c r="F22">
        <v>734</v>
      </c>
      <c r="G22">
        <v>319</v>
      </c>
      <c r="H22">
        <v>135</v>
      </c>
      <c r="I22">
        <v>161</v>
      </c>
      <c r="J22">
        <v>71</v>
      </c>
      <c r="K22">
        <v>2971</v>
      </c>
      <c r="L22">
        <v>1407</v>
      </c>
      <c r="M22">
        <v>49</v>
      </c>
      <c r="N22">
        <v>47.4</v>
      </c>
    </row>
    <row r="23" spans="1:14" x14ac:dyDescent="0.25">
      <c r="A23" t="s">
        <v>303</v>
      </c>
      <c r="B23">
        <v>83</v>
      </c>
      <c r="C23">
        <v>5723</v>
      </c>
      <c r="D23">
        <v>2961</v>
      </c>
      <c r="E23">
        <v>4863</v>
      </c>
      <c r="F23">
        <v>2435</v>
      </c>
      <c r="G23">
        <v>1233</v>
      </c>
      <c r="H23">
        <v>625</v>
      </c>
      <c r="I23">
        <v>685</v>
      </c>
      <c r="J23">
        <v>297</v>
      </c>
      <c r="K23">
        <v>12504</v>
      </c>
      <c r="L23">
        <v>6318</v>
      </c>
      <c r="M23">
        <v>50.1</v>
      </c>
      <c r="N23">
        <v>50.5</v>
      </c>
    </row>
    <row r="24" spans="1:14" x14ac:dyDescent="0.25">
      <c r="A24" t="s">
        <v>304</v>
      </c>
      <c r="B24">
        <v>11</v>
      </c>
      <c r="C24">
        <v>466</v>
      </c>
      <c r="D24">
        <v>245</v>
      </c>
      <c r="E24">
        <v>320</v>
      </c>
      <c r="F24">
        <v>145</v>
      </c>
      <c r="G24">
        <v>73</v>
      </c>
      <c r="H24">
        <v>40</v>
      </c>
      <c r="I24">
        <v>4</v>
      </c>
      <c r="J24">
        <v>2</v>
      </c>
      <c r="K24">
        <v>863</v>
      </c>
      <c r="L24">
        <v>432</v>
      </c>
      <c r="M24">
        <v>45.3</v>
      </c>
      <c r="N24">
        <v>50.1</v>
      </c>
    </row>
    <row r="25" spans="1:14" x14ac:dyDescent="0.25">
      <c r="A25" t="s">
        <v>305</v>
      </c>
      <c r="B25">
        <v>13</v>
      </c>
      <c r="C25">
        <v>380</v>
      </c>
      <c r="D25">
        <v>189</v>
      </c>
      <c r="E25">
        <v>473</v>
      </c>
      <c r="F25">
        <v>255</v>
      </c>
      <c r="G25">
        <v>0</v>
      </c>
      <c r="H25">
        <v>0</v>
      </c>
      <c r="I25">
        <v>0</v>
      </c>
      <c r="J25">
        <v>0</v>
      </c>
      <c r="K25">
        <v>853</v>
      </c>
      <c r="L25">
        <v>444</v>
      </c>
      <c r="M25">
        <v>53.9</v>
      </c>
      <c r="N25">
        <v>52.1</v>
      </c>
    </row>
    <row r="26" spans="1:14" x14ac:dyDescent="0.25">
      <c r="A26" t="s">
        <v>306</v>
      </c>
      <c r="B26">
        <v>40</v>
      </c>
      <c r="C26">
        <v>1180</v>
      </c>
      <c r="D26">
        <v>565</v>
      </c>
      <c r="E26">
        <v>1105</v>
      </c>
      <c r="F26">
        <v>527</v>
      </c>
      <c r="G26">
        <v>702</v>
      </c>
      <c r="H26">
        <v>329</v>
      </c>
      <c r="I26">
        <v>570</v>
      </c>
      <c r="J26">
        <v>266</v>
      </c>
      <c r="K26">
        <v>3557</v>
      </c>
      <c r="L26">
        <v>1687</v>
      </c>
      <c r="M26">
        <v>47.7</v>
      </c>
      <c r="N26">
        <v>47.4</v>
      </c>
    </row>
    <row r="27" spans="1:14" x14ac:dyDescent="0.25">
      <c r="A27" t="s">
        <v>307</v>
      </c>
      <c r="B27">
        <v>31</v>
      </c>
      <c r="C27">
        <v>820</v>
      </c>
      <c r="D27">
        <v>391</v>
      </c>
      <c r="E27">
        <v>2066</v>
      </c>
      <c r="F27">
        <v>1043</v>
      </c>
      <c r="G27">
        <v>1095</v>
      </c>
      <c r="H27">
        <v>848</v>
      </c>
      <c r="I27">
        <v>384</v>
      </c>
      <c r="J27">
        <v>302</v>
      </c>
      <c r="K27">
        <v>4365</v>
      </c>
      <c r="L27">
        <v>2584</v>
      </c>
      <c r="M27">
        <v>50.5</v>
      </c>
      <c r="N27">
        <v>59.2</v>
      </c>
    </row>
    <row r="28" spans="1:14" x14ac:dyDescent="0.25">
      <c r="A28" t="s">
        <v>266</v>
      </c>
      <c r="B28">
        <v>1426</v>
      </c>
      <c r="C28">
        <v>56004</v>
      </c>
      <c r="D28">
        <v>27831</v>
      </c>
      <c r="E28">
        <v>137637</v>
      </c>
      <c r="F28">
        <v>67994</v>
      </c>
      <c r="G28">
        <v>36087</v>
      </c>
      <c r="H28">
        <v>18546</v>
      </c>
      <c r="I28">
        <v>23841</v>
      </c>
      <c r="J28">
        <v>12209</v>
      </c>
      <c r="K28">
        <v>253569</v>
      </c>
      <c r="L28">
        <v>126580</v>
      </c>
      <c r="M28">
        <v>49.4</v>
      </c>
      <c r="N28">
        <v>49.9</v>
      </c>
    </row>
    <row r="29" spans="1:14" x14ac:dyDescent="0.25">
      <c r="A29" t="s">
        <v>459</v>
      </c>
      <c r="B29">
        <v>1131</v>
      </c>
      <c r="C29">
        <v>45250</v>
      </c>
      <c r="D29">
        <v>22271</v>
      </c>
      <c r="E29">
        <v>115350</v>
      </c>
      <c r="F29">
        <v>56699</v>
      </c>
      <c r="G29">
        <v>31540</v>
      </c>
      <c r="H29">
        <v>15924</v>
      </c>
      <c r="I29">
        <v>21864</v>
      </c>
      <c r="J29">
        <v>11134</v>
      </c>
      <c r="K29">
        <v>214004</v>
      </c>
      <c r="L29">
        <v>106028</v>
      </c>
      <c r="M29">
        <v>49.2</v>
      </c>
      <c r="N29">
        <v>49.5</v>
      </c>
    </row>
    <row r="30" spans="1:14" x14ac:dyDescent="0.25">
      <c r="A30" t="s">
        <v>460</v>
      </c>
      <c r="B30">
        <v>295</v>
      </c>
      <c r="C30">
        <v>10754</v>
      </c>
      <c r="D30">
        <v>5560</v>
      </c>
      <c r="E30">
        <v>22287</v>
      </c>
      <c r="F30">
        <v>11295</v>
      </c>
      <c r="G30">
        <v>4547</v>
      </c>
      <c r="H30">
        <v>2622</v>
      </c>
      <c r="I30">
        <v>1977</v>
      </c>
      <c r="J30">
        <v>1075</v>
      </c>
      <c r="K30">
        <v>39565</v>
      </c>
      <c r="L30">
        <v>20552</v>
      </c>
      <c r="M30">
        <v>50.7</v>
      </c>
      <c r="N30">
        <v>51.9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5B9BD5"/>
  </sheetPr>
  <dimension ref="A1:P30"/>
  <sheetViews>
    <sheetView workbookViewId="0"/>
  </sheetViews>
  <sheetFormatPr defaultRowHeight="15" x14ac:dyDescent="0.25"/>
  <cols>
    <col min="1" max="1" width="18" customWidth="1"/>
    <col min="2" max="2" width="9.42578125" customWidth="1"/>
    <col min="4" max="4" width="9.85546875" customWidth="1"/>
    <col min="5" max="5" width="9.42578125" customWidth="1"/>
    <col min="6" max="6" width="9.28515625" customWidth="1"/>
    <col min="7" max="7" width="8.85546875" customWidth="1"/>
    <col min="9" max="9" width="9.28515625" customWidth="1"/>
    <col min="10" max="10" width="9.85546875" customWidth="1"/>
    <col min="12" max="12" width="10" customWidth="1"/>
    <col min="13" max="13" width="9.85546875" customWidth="1"/>
    <col min="14" max="14" width="10.140625" customWidth="1"/>
    <col min="15" max="15" width="10.42578125" customWidth="1"/>
    <col min="16" max="16" width="10.140625" customWidth="1"/>
  </cols>
  <sheetData>
    <row r="1" spans="1:16" x14ac:dyDescent="0.25">
      <c r="A1" s="29" t="s">
        <v>709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2959</v>
      </c>
      <c r="C3">
        <v>1772</v>
      </c>
      <c r="D3">
        <v>14259</v>
      </c>
      <c r="E3">
        <v>1745</v>
      </c>
      <c r="F3">
        <v>1357</v>
      </c>
      <c r="G3">
        <v>832</v>
      </c>
      <c r="H3">
        <v>3398</v>
      </c>
      <c r="I3">
        <v>615</v>
      </c>
      <c r="J3">
        <v>664</v>
      </c>
      <c r="K3">
        <v>421</v>
      </c>
      <c r="L3">
        <v>1642</v>
      </c>
      <c r="M3">
        <v>0</v>
      </c>
      <c r="N3">
        <v>12.2</v>
      </c>
      <c r="O3">
        <v>18.100000000000001</v>
      </c>
      <c r="P3">
        <v>0</v>
      </c>
    </row>
    <row r="4" spans="1:16" x14ac:dyDescent="0.25">
      <c r="A4" t="s">
        <v>284</v>
      </c>
      <c r="B4">
        <v>892</v>
      </c>
      <c r="C4">
        <v>446</v>
      </c>
      <c r="D4">
        <v>3966</v>
      </c>
      <c r="E4">
        <v>318</v>
      </c>
      <c r="F4">
        <v>594</v>
      </c>
      <c r="G4">
        <v>401</v>
      </c>
      <c r="H4">
        <v>1488</v>
      </c>
      <c r="I4">
        <v>181</v>
      </c>
      <c r="J4">
        <v>600</v>
      </c>
      <c r="K4">
        <v>388</v>
      </c>
      <c r="L4">
        <v>1468</v>
      </c>
      <c r="M4">
        <v>59</v>
      </c>
      <c r="N4">
        <v>8</v>
      </c>
      <c r="O4">
        <v>12.2</v>
      </c>
      <c r="P4">
        <v>4</v>
      </c>
    </row>
    <row r="5" spans="1:16" x14ac:dyDescent="0.25">
      <c r="A5" t="s">
        <v>285</v>
      </c>
      <c r="B5">
        <v>481</v>
      </c>
      <c r="C5">
        <v>168</v>
      </c>
      <c r="D5">
        <v>2598</v>
      </c>
      <c r="E5">
        <v>629</v>
      </c>
      <c r="F5">
        <v>196</v>
      </c>
      <c r="G5">
        <v>136</v>
      </c>
      <c r="H5">
        <v>491</v>
      </c>
      <c r="I5">
        <v>65</v>
      </c>
      <c r="J5">
        <v>102</v>
      </c>
      <c r="K5">
        <v>75</v>
      </c>
      <c r="L5">
        <v>219</v>
      </c>
      <c r="M5">
        <v>0</v>
      </c>
      <c r="N5">
        <v>24.2</v>
      </c>
      <c r="O5">
        <v>13.2</v>
      </c>
      <c r="P5">
        <v>0</v>
      </c>
    </row>
    <row r="6" spans="1:16" x14ac:dyDescent="0.25">
      <c r="A6" t="s">
        <v>286</v>
      </c>
      <c r="B6">
        <v>503</v>
      </c>
      <c r="C6">
        <v>420</v>
      </c>
      <c r="D6">
        <v>2041</v>
      </c>
      <c r="E6">
        <v>94</v>
      </c>
      <c r="F6">
        <v>224</v>
      </c>
      <c r="G6">
        <v>121</v>
      </c>
      <c r="H6">
        <v>547</v>
      </c>
      <c r="I6">
        <v>120</v>
      </c>
      <c r="J6">
        <v>129</v>
      </c>
      <c r="K6">
        <v>67</v>
      </c>
      <c r="L6">
        <v>344</v>
      </c>
      <c r="M6">
        <v>0</v>
      </c>
      <c r="N6">
        <v>4.5999999999999996</v>
      </c>
      <c r="O6">
        <v>21.9</v>
      </c>
      <c r="P6">
        <v>0</v>
      </c>
    </row>
    <row r="7" spans="1:16" x14ac:dyDescent="0.25">
      <c r="A7" t="s">
        <v>287</v>
      </c>
      <c r="B7">
        <v>1400</v>
      </c>
      <c r="C7">
        <v>574</v>
      </c>
      <c r="D7">
        <v>4514</v>
      </c>
      <c r="E7">
        <v>599</v>
      </c>
      <c r="F7">
        <v>341</v>
      </c>
      <c r="G7">
        <v>129</v>
      </c>
      <c r="H7">
        <v>689</v>
      </c>
      <c r="I7">
        <v>187</v>
      </c>
      <c r="J7">
        <v>107</v>
      </c>
      <c r="K7">
        <v>43</v>
      </c>
      <c r="L7">
        <v>200</v>
      </c>
      <c r="M7">
        <v>5</v>
      </c>
      <c r="N7">
        <v>13.3</v>
      </c>
      <c r="O7">
        <v>27.1</v>
      </c>
      <c r="P7">
        <v>2.5</v>
      </c>
    </row>
    <row r="8" spans="1:16" x14ac:dyDescent="0.25">
      <c r="A8" t="s">
        <v>288</v>
      </c>
      <c r="B8">
        <v>682</v>
      </c>
      <c r="C8">
        <v>519</v>
      </c>
      <c r="D8">
        <v>1675</v>
      </c>
      <c r="E8">
        <v>307</v>
      </c>
      <c r="F8">
        <v>133</v>
      </c>
      <c r="G8">
        <v>60</v>
      </c>
      <c r="H8">
        <v>239</v>
      </c>
      <c r="I8">
        <v>60</v>
      </c>
      <c r="J8">
        <v>60</v>
      </c>
      <c r="K8">
        <v>19</v>
      </c>
      <c r="L8">
        <v>106</v>
      </c>
      <c r="M8">
        <v>17</v>
      </c>
      <c r="N8">
        <v>18.3</v>
      </c>
      <c r="O8">
        <v>25.1</v>
      </c>
      <c r="P8">
        <v>16</v>
      </c>
    </row>
    <row r="9" spans="1:16" x14ac:dyDescent="0.25">
      <c r="A9" t="s">
        <v>289</v>
      </c>
      <c r="B9">
        <v>1889</v>
      </c>
      <c r="C9">
        <v>474</v>
      </c>
      <c r="D9">
        <v>6818</v>
      </c>
      <c r="E9">
        <v>2713</v>
      </c>
      <c r="F9">
        <v>612</v>
      </c>
      <c r="G9">
        <v>350</v>
      </c>
      <c r="H9">
        <v>1609</v>
      </c>
      <c r="I9">
        <v>343</v>
      </c>
      <c r="J9">
        <v>401</v>
      </c>
      <c r="K9">
        <v>287</v>
      </c>
      <c r="L9">
        <v>1225</v>
      </c>
      <c r="M9">
        <v>0</v>
      </c>
      <c r="N9">
        <v>39.799999999999997</v>
      </c>
      <c r="O9">
        <v>21.3</v>
      </c>
      <c r="P9">
        <v>0</v>
      </c>
    </row>
    <row r="10" spans="1:16" x14ac:dyDescent="0.25">
      <c r="A10" t="s">
        <v>290</v>
      </c>
      <c r="B10">
        <v>1382</v>
      </c>
      <c r="C10">
        <v>498</v>
      </c>
      <c r="D10">
        <v>5593</v>
      </c>
      <c r="E10">
        <v>1196</v>
      </c>
      <c r="F10">
        <v>921</v>
      </c>
      <c r="G10">
        <v>492</v>
      </c>
      <c r="H10">
        <v>1731</v>
      </c>
      <c r="I10">
        <v>230</v>
      </c>
      <c r="J10">
        <v>514</v>
      </c>
      <c r="K10">
        <v>342</v>
      </c>
      <c r="L10">
        <v>1147</v>
      </c>
      <c r="M10">
        <v>45</v>
      </c>
      <c r="N10">
        <v>21.4</v>
      </c>
      <c r="O10">
        <v>13.3</v>
      </c>
      <c r="P10">
        <v>3.9</v>
      </c>
    </row>
    <row r="11" spans="1:16" x14ac:dyDescent="0.25">
      <c r="A11" t="s">
        <v>291</v>
      </c>
      <c r="B11">
        <v>278</v>
      </c>
      <c r="C11">
        <v>0</v>
      </c>
      <c r="D11">
        <v>781</v>
      </c>
      <c r="E11">
        <v>663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84.9</v>
      </c>
      <c r="O11">
        <v>0</v>
      </c>
      <c r="P11">
        <v>0</v>
      </c>
    </row>
    <row r="12" spans="1:16" x14ac:dyDescent="0.25">
      <c r="A12" t="s">
        <v>292</v>
      </c>
      <c r="B12">
        <v>776</v>
      </c>
      <c r="C12">
        <v>411</v>
      </c>
      <c r="D12">
        <v>2563</v>
      </c>
      <c r="E12">
        <v>443</v>
      </c>
      <c r="F12">
        <v>161</v>
      </c>
      <c r="G12">
        <v>113</v>
      </c>
      <c r="H12">
        <v>374</v>
      </c>
      <c r="I12">
        <v>60</v>
      </c>
      <c r="J12">
        <v>20</v>
      </c>
      <c r="K12">
        <v>14</v>
      </c>
      <c r="L12">
        <v>20</v>
      </c>
      <c r="M12">
        <v>0</v>
      </c>
      <c r="N12">
        <v>17.3</v>
      </c>
      <c r="O12">
        <v>16</v>
      </c>
      <c r="P12">
        <v>0</v>
      </c>
    </row>
    <row r="13" spans="1:16" x14ac:dyDescent="0.25">
      <c r="A13" t="s">
        <v>293</v>
      </c>
      <c r="B13">
        <v>162</v>
      </c>
      <c r="C13">
        <v>31</v>
      </c>
      <c r="D13">
        <v>397</v>
      </c>
      <c r="E13">
        <v>26</v>
      </c>
      <c r="F13">
        <v>19</v>
      </c>
      <c r="G13">
        <v>19</v>
      </c>
      <c r="H13">
        <v>66</v>
      </c>
      <c r="I13">
        <v>7</v>
      </c>
      <c r="J13">
        <v>21</v>
      </c>
      <c r="K13">
        <v>13</v>
      </c>
      <c r="L13">
        <v>45</v>
      </c>
      <c r="M13">
        <v>0</v>
      </c>
      <c r="N13">
        <v>6.5</v>
      </c>
      <c r="O13">
        <v>10.6</v>
      </c>
      <c r="P13">
        <v>0</v>
      </c>
    </row>
    <row r="14" spans="1:16" x14ac:dyDescent="0.25">
      <c r="A14" t="s">
        <v>294</v>
      </c>
      <c r="B14">
        <v>65</v>
      </c>
      <c r="C14">
        <v>41</v>
      </c>
      <c r="D14">
        <v>219</v>
      </c>
      <c r="E14">
        <v>11</v>
      </c>
      <c r="F14">
        <v>10</v>
      </c>
      <c r="G14">
        <v>3</v>
      </c>
      <c r="H14">
        <v>10</v>
      </c>
      <c r="I14">
        <v>2</v>
      </c>
      <c r="J14">
        <v>0</v>
      </c>
      <c r="K14">
        <v>0</v>
      </c>
      <c r="L14">
        <v>0</v>
      </c>
      <c r="M14">
        <v>0</v>
      </c>
      <c r="N14">
        <v>5</v>
      </c>
      <c r="O14">
        <v>20</v>
      </c>
      <c r="P14">
        <v>0</v>
      </c>
    </row>
    <row r="15" spans="1:16" x14ac:dyDescent="0.25">
      <c r="A15" t="s">
        <v>295</v>
      </c>
      <c r="B15">
        <v>250</v>
      </c>
      <c r="C15">
        <v>142</v>
      </c>
      <c r="D15">
        <v>1043</v>
      </c>
      <c r="E15">
        <v>33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3.2</v>
      </c>
      <c r="O15">
        <v>0</v>
      </c>
      <c r="P15">
        <v>0</v>
      </c>
    </row>
    <row r="16" spans="1:16" x14ac:dyDescent="0.25">
      <c r="A16" t="s">
        <v>296</v>
      </c>
      <c r="B16">
        <v>502</v>
      </c>
      <c r="C16">
        <v>329</v>
      </c>
      <c r="D16">
        <v>1726</v>
      </c>
      <c r="E16">
        <v>114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6.6</v>
      </c>
      <c r="O16">
        <v>0</v>
      </c>
      <c r="P16">
        <v>0</v>
      </c>
    </row>
    <row r="17" spans="1:16" x14ac:dyDescent="0.25">
      <c r="A17" t="s">
        <v>297</v>
      </c>
      <c r="B17">
        <v>15150</v>
      </c>
      <c r="C17">
        <v>10334</v>
      </c>
      <c r="D17">
        <v>74042</v>
      </c>
      <c r="E17">
        <v>5589</v>
      </c>
      <c r="F17">
        <v>8600</v>
      </c>
      <c r="G17">
        <v>5812</v>
      </c>
      <c r="H17">
        <v>20812</v>
      </c>
      <c r="I17">
        <v>2438</v>
      </c>
      <c r="J17">
        <v>5950</v>
      </c>
      <c r="K17">
        <v>4061</v>
      </c>
      <c r="L17">
        <v>14684</v>
      </c>
      <c r="M17">
        <v>23</v>
      </c>
      <c r="N17">
        <v>7.5</v>
      </c>
      <c r="O17">
        <v>11.7</v>
      </c>
      <c r="P17">
        <v>0.2</v>
      </c>
    </row>
    <row r="18" spans="1:16" x14ac:dyDescent="0.25">
      <c r="A18" t="s">
        <v>298</v>
      </c>
      <c r="B18">
        <v>1051</v>
      </c>
      <c r="C18">
        <v>502</v>
      </c>
      <c r="D18">
        <v>3964</v>
      </c>
      <c r="E18">
        <v>343</v>
      </c>
      <c r="F18">
        <v>457</v>
      </c>
      <c r="G18">
        <v>328</v>
      </c>
      <c r="H18">
        <v>1211</v>
      </c>
      <c r="I18">
        <v>139</v>
      </c>
      <c r="J18">
        <v>323</v>
      </c>
      <c r="K18">
        <v>248</v>
      </c>
      <c r="L18">
        <v>805</v>
      </c>
      <c r="M18">
        <v>0</v>
      </c>
      <c r="N18">
        <v>8.6999999999999993</v>
      </c>
      <c r="O18">
        <v>11.5</v>
      </c>
      <c r="P18">
        <v>0</v>
      </c>
    </row>
    <row r="19" spans="1:16" x14ac:dyDescent="0.25">
      <c r="A19" t="s">
        <v>299</v>
      </c>
      <c r="B19">
        <v>37</v>
      </c>
      <c r="C19">
        <v>13</v>
      </c>
      <c r="D19">
        <v>157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3.2</v>
      </c>
      <c r="O19">
        <v>0</v>
      </c>
      <c r="P19">
        <v>0</v>
      </c>
    </row>
    <row r="20" spans="1:16" x14ac:dyDescent="0.25">
      <c r="A20" t="s">
        <v>300</v>
      </c>
      <c r="B20">
        <v>88</v>
      </c>
      <c r="C20">
        <v>28</v>
      </c>
      <c r="D20">
        <v>243</v>
      </c>
      <c r="E20">
        <v>19</v>
      </c>
      <c r="F20">
        <v>0</v>
      </c>
      <c r="G20">
        <v>0</v>
      </c>
      <c r="H20">
        <v>0</v>
      </c>
      <c r="I20">
        <v>0</v>
      </c>
      <c r="J20">
        <v>42</v>
      </c>
      <c r="K20">
        <v>38</v>
      </c>
      <c r="L20">
        <v>132</v>
      </c>
      <c r="M20">
        <v>0</v>
      </c>
      <c r="N20">
        <v>7.8</v>
      </c>
      <c r="O20">
        <v>0</v>
      </c>
      <c r="P20">
        <v>0</v>
      </c>
    </row>
    <row r="21" spans="1:16" x14ac:dyDescent="0.25">
      <c r="A21" t="s">
        <v>301</v>
      </c>
      <c r="B21">
        <v>326</v>
      </c>
      <c r="C21">
        <v>61</v>
      </c>
      <c r="D21">
        <v>713</v>
      </c>
      <c r="E21">
        <v>221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31</v>
      </c>
      <c r="O21">
        <v>0</v>
      </c>
      <c r="P21">
        <v>0</v>
      </c>
    </row>
    <row r="22" spans="1:16" x14ac:dyDescent="0.25">
      <c r="A22" t="s">
        <v>302</v>
      </c>
      <c r="B22">
        <v>288</v>
      </c>
      <c r="C22">
        <v>254</v>
      </c>
      <c r="D22">
        <v>1498</v>
      </c>
      <c r="E22">
        <v>88</v>
      </c>
      <c r="F22">
        <v>135</v>
      </c>
      <c r="G22">
        <v>81</v>
      </c>
      <c r="H22">
        <v>319</v>
      </c>
      <c r="I22">
        <v>60</v>
      </c>
      <c r="J22">
        <v>71</v>
      </c>
      <c r="K22">
        <v>61</v>
      </c>
      <c r="L22">
        <v>161</v>
      </c>
      <c r="M22">
        <v>0</v>
      </c>
      <c r="N22">
        <v>5.9</v>
      </c>
      <c r="O22">
        <v>18.8</v>
      </c>
      <c r="P22">
        <v>0</v>
      </c>
    </row>
    <row r="23" spans="1:16" x14ac:dyDescent="0.25">
      <c r="A23" t="s">
        <v>303</v>
      </c>
      <c r="B23">
        <v>1265</v>
      </c>
      <c r="C23">
        <v>646</v>
      </c>
      <c r="D23">
        <v>4863</v>
      </c>
      <c r="E23">
        <v>260</v>
      </c>
      <c r="F23">
        <v>508</v>
      </c>
      <c r="G23">
        <v>387</v>
      </c>
      <c r="H23">
        <v>1233</v>
      </c>
      <c r="I23">
        <v>116</v>
      </c>
      <c r="J23">
        <v>252</v>
      </c>
      <c r="K23">
        <v>190</v>
      </c>
      <c r="L23">
        <v>685</v>
      </c>
      <c r="M23">
        <v>0</v>
      </c>
      <c r="N23">
        <v>5.3</v>
      </c>
      <c r="O23">
        <v>9.4</v>
      </c>
      <c r="P23">
        <v>0</v>
      </c>
    </row>
    <row r="24" spans="1:16" x14ac:dyDescent="0.25">
      <c r="A24" t="s">
        <v>304</v>
      </c>
      <c r="B24">
        <v>55</v>
      </c>
      <c r="C24">
        <v>54</v>
      </c>
      <c r="D24">
        <v>320</v>
      </c>
      <c r="E24">
        <v>8</v>
      </c>
      <c r="F24">
        <v>29</v>
      </c>
      <c r="G24">
        <v>26</v>
      </c>
      <c r="H24">
        <v>73</v>
      </c>
      <c r="I24">
        <v>4</v>
      </c>
      <c r="J24">
        <v>0</v>
      </c>
      <c r="K24">
        <v>0</v>
      </c>
      <c r="L24">
        <v>4</v>
      </c>
      <c r="M24">
        <v>0</v>
      </c>
      <c r="N24">
        <v>2.5</v>
      </c>
      <c r="O24">
        <v>5.5</v>
      </c>
      <c r="P24">
        <v>0</v>
      </c>
    </row>
    <row r="25" spans="1:16" x14ac:dyDescent="0.25">
      <c r="A25" t="s">
        <v>305</v>
      </c>
      <c r="B25">
        <v>166</v>
      </c>
      <c r="C25">
        <v>151</v>
      </c>
      <c r="D25">
        <v>473</v>
      </c>
      <c r="E25">
        <v>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2.5</v>
      </c>
      <c r="O25">
        <v>0</v>
      </c>
      <c r="P25">
        <v>0</v>
      </c>
    </row>
    <row r="26" spans="1:16" x14ac:dyDescent="0.25">
      <c r="A26" t="s">
        <v>306</v>
      </c>
      <c r="B26">
        <v>321</v>
      </c>
      <c r="C26">
        <v>204</v>
      </c>
      <c r="D26">
        <v>1105</v>
      </c>
      <c r="E26">
        <v>74</v>
      </c>
      <c r="F26">
        <v>290</v>
      </c>
      <c r="G26">
        <v>183</v>
      </c>
      <c r="H26">
        <v>702</v>
      </c>
      <c r="I26">
        <v>101</v>
      </c>
      <c r="J26">
        <v>217</v>
      </c>
      <c r="K26">
        <v>157</v>
      </c>
      <c r="L26">
        <v>570</v>
      </c>
      <c r="M26">
        <v>0</v>
      </c>
      <c r="N26">
        <v>6.7</v>
      </c>
      <c r="O26">
        <v>14.4</v>
      </c>
      <c r="P26">
        <v>0</v>
      </c>
    </row>
    <row r="27" spans="1:16" x14ac:dyDescent="0.25">
      <c r="A27" t="s">
        <v>307</v>
      </c>
      <c r="B27">
        <v>447</v>
      </c>
      <c r="C27">
        <v>235</v>
      </c>
      <c r="D27">
        <v>2066</v>
      </c>
      <c r="E27">
        <v>415</v>
      </c>
      <c r="F27">
        <v>441</v>
      </c>
      <c r="G27">
        <v>164</v>
      </c>
      <c r="H27">
        <v>1095</v>
      </c>
      <c r="I27">
        <v>362</v>
      </c>
      <c r="J27">
        <v>213</v>
      </c>
      <c r="K27">
        <v>94</v>
      </c>
      <c r="L27">
        <v>384</v>
      </c>
      <c r="M27">
        <v>0</v>
      </c>
      <c r="N27">
        <v>20.100000000000001</v>
      </c>
      <c r="O27">
        <v>33.1</v>
      </c>
      <c r="P27">
        <v>0</v>
      </c>
    </row>
    <row r="28" spans="1:16" x14ac:dyDescent="0.25">
      <c r="A28" t="s">
        <v>266</v>
      </c>
      <c r="B28">
        <v>31415</v>
      </c>
      <c r="C28">
        <v>18307</v>
      </c>
      <c r="D28">
        <v>137637</v>
      </c>
      <c r="E28">
        <v>15925</v>
      </c>
      <c r="F28">
        <v>15028</v>
      </c>
      <c r="G28">
        <v>9637</v>
      </c>
      <c r="H28">
        <v>36087</v>
      </c>
      <c r="I28">
        <v>5090</v>
      </c>
      <c r="J28">
        <v>9686</v>
      </c>
      <c r="K28">
        <v>6518</v>
      </c>
      <c r="L28">
        <v>23841</v>
      </c>
      <c r="M28">
        <v>149</v>
      </c>
      <c r="N28">
        <v>11.6</v>
      </c>
      <c r="O28">
        <v>14.1</v>
      </c>
      <c r="P28">
        <v>0.6</v>
      </c>
    </row>
    <row r="29" spans="1:16" x14ac:dyDescent="0.25">
      <c r="A29" t="s">
        <v>459</v>
      </c>
      <c r="B29">
        <v>25231</v>
      </c>
      <c r="C29">
        <v>15898</v>
      </c>
      <c r="D29">
        <v>115350</v>
      </c>
      <c r="E29">
        <v>10223</v>
      </c>
      <c r="F29">
        <v>12826</v>
      </c>
      <c r="G29">
        <v>8714</v>
      </c>
      <c r="H29">
        <v>31540</v>
      </c>
      <c r="I29">
        <v>3947</v>
      </c>
      <c r="J29">
        <v>8718</v>
      </c>
      <c r="K29">
        <v>6020</v>
      </c>
      <c r="L29">
        <v>21864</v>
      </c>
      <c r="M29">
        <v>82</v>
      </c>
      <c r="N29">
        <v>8.9</v>
      </c>
      <c r="O29">
        <v>12.5</v>
      </c>
      <c r="P29">
        <v>0.4</v>
      </c>
    </row>
    <row r="30" spans="1:16" x14ac:dyDescent="0.25">
      <c r="A30" t="s">
        <v>460</v>
      </c>
      <c r="B30">
        <v>6184</v>
      </c>
      <c r="C30">
        <v>2409</v>
      </c>
      <c r="D30">
        <v>22287</v>
      </c>
      <c r="E30">
        <v>5702</v>
      </c>
      <c r="F30">
        <v>2202</v>
      </c>
      <c r="G30">
        <v>923</v>
      </c>
      <c r="H30">
        <v>4547</v>
      </c>
      <c r="I30">
        <v>1143</v>
      </c>
      <c r="J30">
        <v>968</v>
      </c>
      <c r="K30">
        <v>498</v>
      </c>
      <c r="L30">
        <v>1977</v>
      </c>
      <c r="M30">
        <v>67</v>
      </c>
      <c r="N30">
        <v>25.6</v>
      </c>
      <c r="O30">
        <v>25.1</v>
      </c>
      <c r="P30">
        <v>3.4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5B9BD5"/>
  </sheetPr>
  <dimension ref="A1:P30"/>
  <sheetViews>
    <sheetView workbookViewId="0"/>
  </sheetViews>
  <sheetFormatPr defaultRowHeight="15" x14ac:dyDescent="0.25"/>
  <cols>
    <col min="1" max="1" width="19.42578125" customWidth="1"/>
    <col min="2" max="2" width="9.42578125" customWidth="1"/>
    <col min="3" max="3" width="9.85546875" customWidth="1"/>
    <col min="4" max="4" width="9.42578125" customWidth="1"/>
    <col min="5" max="5" width="8.85546875" customWidth="1"/>
    <col min="6" max="6" width="9.42578125" customWidth="1"/>
    <col min="9" max="9" width="8.7109375" customWidth="1"/>
    <col min="10" max="10" width="9.42578125" customWidth="1"/>
    <col min="12" max="12" width="9.85546875" customWidth="1"/>
    <col min="13" max="13" width="9.42578125" customWidth="1"/>
    <col min="14" max="14" width="10.42578125" customWidth="1"/>
    <col min="15" max="15" width="10.140625" customWidth="1"/>
  </cols>
  <sheetData>
    <row r="1" spans="1:16" x14ac:dyDescent="0.25">
      <c r="A1" s="29" t="s">
        <v>709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1414</v>
      </c>
      <c r="C3">
        <v>876</v>
      </c>
      <c r="D3">
        <v>6901</v>
      </c>
      <c r="E3">
        <v>738</v>
      </c>
      <c r="F3">
        <v>756</v>
      </c>
      <c r="G3">
        <v>484</v>
      </c>
      <c r="H3">
        <v>1729</v>
      </c>
      <c r="I3">
        <v>255</v>
      </c>
      <c r="J3">
        <v>331</v>
      </c>
      <c r="K3">
        <v>213</v>
      </c>
      <c r="L3">
        <v>825</v>
      </c>
      <c r="M3">
        <v>0</v>
      </c>
      <c r="N3">
        <v>10.7</v>
      </c>
      <c r="O3">
        <v>14.7</v>
      </c>
      <c r="P3">
        <v>0</v>
      </c>
    </row>
    <row r="4" spans="1:16" x14ac:dyDescent="0.25">
      <c r="A4" t="s">
        <v>284</v>
      </c>
      <c r="B4">
        <v>424</v>
      </c>
      <c r="C4">
        <v>223</v>
      </c>
      <c r="D4">
        <v>1859</v>
      </c>
      <c r="E4">
        <v>121</v>
      </c>
      <c r="F4">
        <v>305</v>
      </c>
      <c r="G4">
        <v>209</v>
      </c>
      <c r="H4">
        <v>741</v>
      </c>
      <c r="I4">
        <v>79</v>
      </c>
      <c r="J4">
        <v>324</v>
      </c>
      <c r="K4">
        <v>208</v>
      </c>
      <c r="L4">
        <v>765</v>
      </c>
      <c r="M4">
        <v>37</v>
      </c>
      <c r="N4">
        <v>6.5</v>
      </c>
      <c r="O4">
        <v>10.7</v>
      </c>
      <c r="P4">
        <v>4.8</v>
      </c>
    </row>
    <row r="5" spans="1:16" x14ac:dyDescent="0.25">
      <c r="A5" t="s">
        <v>285</v>
      </c>
      <c r="B5">
        <v>239</v>
      </c>
      <c r="C5">
        <v>78</v>
      </c>
      <c r="D5">
        <v>1215</v>
      </c>
      <c r="E5">
        <v>307</v>
      </c>
      <c r="F5">
        <v>99</v>
      </c>
      <c r="G5">
        <v>59</v>
      </c>
      <c r="H5">
        <v>251</v>
      </c>
      <c r="I5">
        <v>29</v>
      </c>
      <c r="J5">
        <v>46</v>
      </c>
      <c r="K5">
        <v>33</v>
      </c>
      <c r="L5">
        <v>105</v>
      </c>
      <c r="M5">
        <v>0</v>
      </c>
      <c r="N5">
        <v>25.3</v>
      </c>
      <c r="O5">
        <v>11.6</v>
      </c>
      <c r="P5">
        <v>0</v>
      </c>
    </row>
    <row r="6" spans="1:16" x14ac:dyDescent="0.25">
      <c r="A6" t="s">
        <v>286</v>
      </c>
      <c r="B6">
        <v>235</v>
      </c>
      <c r="C6">
        <v>197</v>
      </c>
      <c r="D6">
        <v>969</v>
      </c>
      <c r="E6">
        <v>36</v>
      </c>
      <c r="F6">
        <v>92</v>
      </c>
      <c r="G6">
        <v>46</v>
      </c>
      <c r="H6">
        <v>217</v>
      </c>
      <c r="I6">
        <v>40</v>
      </c>
      <c r="J6">
        <v>44</v>
      </c>
      <c r="K6">
        <v>25</v>
      </c>
      <c r="L6">
        <v>126</v>
      </c>
      <c r="M6">
        <v>0</v>
      </c>
      <c r="N6">
        <v>3.7</v>
      </c>
      <c r="O6">
        <v>18.399999999999999</v>
      </c>
      <c r="P6">
        <v>0</v>
      </c>
    </row>
    <row r="7" spans="1:16" x14ac:dyDescent="0.25">
      <c r="A7" t="s">
        <v>287</v>
      </c>
      <c r="B7">
        <v>726</v>
      </c>
      <c r="C7">
        <v>315</v>
      </c>
      <c r="D7">
        <v>2275</v>
      </c>
      <c r="E7">
        <v>293</v>
      </c>
      <c r="F7">
        <v>199</v>
      </c>
      <c r="G7">
        <v>85</v>
      </c>
      <c r="H7">
        <v>374</v>
      </c>
      <c r="I7">
        <v>93</v>
      </c>
      <c r="J7">
        <v>62</v>
      </c>
      <c r="K7">
        <v>27</v>
      </c>
      <c r="L7">
        <v>120</v>
      </c>
      <c r="M7">
        <v>1</v>
      </c>
      <c r="N7">
        <v>12.9</v>
      </c>
      <c r="O7">
        <v>24.9</v>
      </c>
      <c r="P7">
        <v>0.8</v>
      </c>
    </row>
    <row r="8" spans="1:16" x14ac:dyDescent="0.25">
      <c r="A8" t="s">
        <v>288</v>
      </c>
      <c r="B8">
        <v>324</v>
      </c>
      <c r="C8">
        <v>243</v>
      </c>
      <c r="D8">
        <v>832</v>
      </c>
      <c r="E8">
        <v>176</v>
      </c>
      <c r="F8">
        <v>59</v>
      </c>
      <c r="G8">
        <v>28</v>
      </c>
      <c r="H8">
        <v>103</v>
      </c>
      <c r="I8">
        <v>24</v>
      </c>
      <c r="J8">
        <v>26</v>
      </c>
      <c r="K8">
        <v>9</v>
      </c>
      <c r="L8">
        <v>51</v>
      </c>
      <c r="M8">
        <v>4</v>
      </c>
      <c r="N8">
        <v>21.2</v>
      </c>
      <c r="O8">
        <v>23.3</v>
      </c>
      <c r="P8">
        <v>7.8</v>
      </c>
    </row>
    <row r="9" spans="1:16" x14ac:dyDescent="0.25">
      <c r="A9" t="s">
        <v>289</v>
      </c>
      <c r="B9">
        <v>949</v>
      </c>
      <c r="C9">
        <v>223</v>
      </c>
      <c r="D9">
        <v>3562</v>
      </c>
      <c r="E9">
        <v>1497</v>
      </c>
      <c r="F9">
        <v>318</v>
      </c>
      <c r="G9">
        <v>193</v>
      </c>
      <c r="H9">
        <v>850</v>
      </c>
      <c r="I9">
        <v>179</v>
      </c>
      <c r="J9">
        <v>205</v>
      </c>
      <c r="K9">
        <v>149</v>
      </c>
      <c r="L9">
        <v>612</v>
      </c>
      <c r="M9">
        <v>0</v>
      </c>
      <c r="N9">
        <v>42</v>
      </c>
      <c r="O9">
        <v>21.1</v>
      </c>
      <c r="P9">
        <v>0</v>
      </c>
    </row>
    <row r="10" spans="1:16" x14ac:dyDescent="0.25">
      <c r="A10" t="s">
        <v>290</v>
      </c>
      <c r="B10">
        <v>761</v>
      </c>
      <c r="C10">
        <v>242</v>
      </c>
      <c r="D10">
        <v>2957</v>
      </c>
      <c r="E10">
        <v>757</v>
      </c>
      <c r="F10">
        <v>448</v>
      </c>
      <c r="G10">
        <v>279</v>
      </c>
      <c r="H10">
        <v>974</v>
      </c>
      <c r="I10">
        <v>156</v>
      </c>
      <c r="J10">
        <v>249</v>
      </c>
      <c r="K10">
        <v>177</v>
      </c>
      <c r="L10">
        <v>617</v>
      </c>
      <c r="M10">
        <v>0</v>
      </c>
      <c r="N10">
        <v>25.6</v>
      </c>
      <c r="O10">
        <v>16</v>
      </c>
      <c r="P10">
        <v>0</v>
      </c>
    </row>
    <row r="11" spans="1:16" x14ac:dyDescent="0.25">
      <c r="A11" t="s">
        <v>291</v>
      </c>
      <c r="B11">
        <v>150</v>
      </c>
      <c r="C11">
        <v>0</v>
      </c>
      <c r="D11">
        <v>446</v>
      </c>
      <c r="E11">
        <v>361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80.900000000000006</v>
      </c>
      <c r="O11">
        <v>0</v>
      </c>
      <c r="P11">
        <v>0</v>
      </c>
    </row>
    <row r="12" spans="1:16" x14ac:dyDescent="0.25">
      <c r="A12" t="s">
        <v>292</v>
      </c>
      <c r="B12">
        <v>381</v>
      </c>
      <c r="C12">
        <v>197</v>
      </c>
      <c r="D12">
        <v>1281</v>
      </c>
      <c r="E12">
        <v>229</v>
      </c>
      <c r="F12">
        <v>103</v>
      </c>
      <c r="G12">
        <v>77</v>
      </c>
      <c r="H12">
        <v>199</v>
      </c>
      <c r="I12">
        <v>21</v>
      </c>
      <c r="J12">
        <v>8</v>
      </c>
      <c r="K12">
        <v>6</v>
      </c>
      <c r="L12">
        <v>8</v>
      </c>
      <c r="M12">
        <v>0</v>
      </c>
      <c r="N12">
        <v>17.899999999999999</v>
      </c>
      <c r="O12">
        <v>10.6</v>
      </c>
      <c r="P12">
        <v>0</v>
      </c>
    </row>
    <row r="13" spans="1:16" x14ac:dyDescent="0.25">
      <c r="A13" t="s">
        <v>293</v>
      </c>
      <c r="B13">
        <v>97</v>
      </c>
      <c r="C13">
        <v>15</v>
      </c>
      <c r="D13">
        <v>253</v>
      </c>
      <c r="E13">
        <v>15</v>
      </c>
      <c r="F13">
        <v>11</v>
      </c>
      <c r="G13">
        <v>11</v>
      </c>
      <c r="H13">
        <v>31</v>
      </c>
      <c r="I13">
        <v>4</v>
      </c>
      <c r="J13">
        <v>11</v>
      </c>
      <c r="K13">
        <v>7</v>
      </c>
      <c r="L13">
        <v>24</v>
      </c>
      <c r="M13">
        <v>0</v>
      </c>
      <c r="N13">
        <v>5.9</v>
      </c>
      <c r="O13">
        <v>12.9</v>
      </c>
      <c r="P13">
        <v>0</v>
      </c>
    </row>
    <row r="14" spans="1:16" x14ac:dyDescent="0.25">
      <c r="A14" t="s">
        <v>294</v>
      </c>
      <c r="B14">
        <v>27</v>
      </c>
      <c r="C14">
        <v>18</v>
      </c>
      <c r="D14">
        <v>95</v>
      </c>
      <c r="E14">
        <v>5</v>
      </c>
      <c r="F14">
        <v>5</v>
      </c>
      <c r="G14">
        <v>2</v>
      </c>
      <c r="H14">
        <v>5</v>
      </c>
      <c r="I14">
        <v>1</v>
      </c>
      <c r="J14">
        <v>0</v>
      </c>
      <c r="K14">
        <v>0</v>
      </c>
      <c r="L14">
        <v>0</v>
      </c>
      <c r="M14">
        <v>0</v>
      </c>
      <c r="N14">
        <v>5.3</v>
      </c>
      <c r="O14">
        <v>20</v>
      </c>
      <c r="P14">
        <v>0</v>
      </c>
    </row>
    <row r="15" spans="1:16" x14ac:dyDescent="0.25">
      <c r="A15" t="s">
        <v>295</v>
      </c>
      <c r="B15">
        <v>116</v>
      </c>
      <c r="C15">
        <v>69</v>
      </c>
      <c r="D15">
        <v>473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2.7</v>
      </c>
      <c r="O15">
        <v>0</v>
      </c>
      <c r="P15">
        <v>0</v>
      </c>
    </row>
    <row r="16" spans="1:16" x14ac:dyDescent="0.25">
      <c r="A16" t="s">
        <v>296</v>
      </c>
      <c r="B16">
        <v>236</v>
      </c>
      <c r="C16">
        <v>157</v>
      </c>
      <c r="D16">
        <v>849</v>
      </c>
      <c r="E16">
        <v>49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5.8</v>
      </c>
      <c r="O16">
        <v>0</v>
      </c>
      <c r="P16">
        <v>0</v>
      </c>
    </row>
    <row r="17" spans="1:16" x14ac:dyDescent="0.25">
      <c r="A17" t="s">
        <v>297</v>
      </c>
      <c r="B17">
        <v>7352</v>
      </c>
      <c r="C17">
        <v>5069</v>
      </c>
      <c r="D17">
        <v>36496</v>
      </c>
      <c r="E17">
        <v>2549</v>
      </c>
      <c r="F17">
        <v>4220</v>
      </c>
      <c r="G17">
        <v>2911</v>
      </c>
      <c r="H17">
        <v>10519</v>
      </c>
      <c r="I17">
        <v>1159</v>
      </c>
      <c r="J17">
        <v>3032</v>
      </c>
      <c r="K17">
        <v>2074</v>
      </c>
      <c r="L17">
        <v>7568</v>
      </c>
      <c r="M17">
        <v>3</v>
      </c>
      <c r="N17">
        <v>7</v>
      </c>
      <c r="O17">
        <v>11</v>
      </c>
      <c r="P17">
        <v>0</v>
      </c>
    </row>
    <row r="18" spans="1:16" x14ac:dyDescent="0.25">
      <c r="A18" t="s">
        <v>298</v>
      </c>
      <c r="B18">
        <v>490</v>
      </c>
      <c r="C18">
        <v>243</v>
      </c>
      <c r="D18">
        <v>1866</v>
      </c>
      <c r="E18">
        <v>131</v>
      </c>
      <c r="F18">
        <v>215</v>
      </c>
      <c r="G18">
        <v>166</v>
      </c>
      <c r="H18">
        <v>576</v>
      </c>
      <c r="I18">
        <v>48</v>
      </c>
      <c r="J18">
        <v>157</v>
      </c>
      <c r="K18">
        <v>122</v>
      </c>
      <c r="L18">
        <v>374</v>
      </c>
      <c r="M18">
        <v>0</v>
      </c>
      <c r="N18">
        <v>7</v>
      </c>
      <c r="O18">
        <v>8.3000000000000007</v>
      </c>
      <c r="P18">
        <v>0</v>
      </c>
    </row>
    <row r="19" spans="1:16" x14ac:dyDescent="0.25">
      <c r="A19" t="s">
        <v>299</v>
      </c>
      <c r="B19">
        <v>18</v>
      </c>
      <c r="C19">
        <v>9</v>
      </c>
      <c r="D19">
        <v>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300</v>
      </c>
      <c r="B20">
        <v>30</v>
      </c>
      <c r="C20">
        <v>11</v>
      </c>
      <c r="D20">
        <v>92</v>
      </c>
      <c r="E20">
        <v>4</v>
      </c>
      <c r="F20">
        <v>0</v>
      </c>
      <c r="G20">
        <v>0</v>
      </c>
      <c r="H20">
        <v>0</v>
      </c>
      <c r="I20">
        <v>0</v>
      </c>
      <c r="J20">
        <v>23</v>
      </c>
      <c r="K20">
        <v>21</v>
      </c>
      <c r="L20">
        <v>76</v>
      </c>
      <c r="M20">
        <v>0</v>
      </c>
      <c r="N20">
        <v>4.3</v>
      </c>
      <c r="O20">
        <v>0</v>
      </c>
      <c r="P20">
        <v>0</v>
      </c>
    </row>
    <row r="21" spans="1:16" x14ac:dyDescent="0.25">
      <c r="A21" t="s">
        <v>301</v>
      </c>
      <c r="B21">
        <v>159</v>
      </c>
      <c r="C21">
        <v>29</v>
      </c>
      <c r="D21">
        <v>364</v>
      </c>
      <c r="E21">
        <v>110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30.2</v>
      </c>
      <c r="O21">
        <v>0</v>
      </c>
      <c r="P21">
        <v>0</v>
      </c>
    </row>
    <row r="22" spans="1:16" x14ac:dyDescent="0.25">
      <c r="A22" t="s">
        <v>302</v>
      </c>
      <c r="B22">
        <v>165</v>
      </c>
      <c r="C22">
        <v>147</v>
      </c>
      <c r="D22">
        <v>734</v>
      </c>
      <c r="E22">
        <v>22</v>
      </c>
      <c r="F22">
        <v>63</v>
      </c>
      <c r="G22">
        <v>42</v>
      </c>
      <c r="H22">
        <v>135</v>
      </c>
      <c r="I22">
        <v>13</v>
      </c>
      <c r="J22">
        <v>28</v>
      </c>
      <c r="K22">
        <v>26</v>
      </c>
      <c r="L22">
        <v>71</v>
      </c>
      <c r="M22">
        <v>0</v>
      </c>
      <c r="N22">
        <v>3</v>
      </c>
      <c r="O22">
        <v>9.6</v>
      </c>
      <c r="P22">
        <v>0</v>
      </c>
    </row>
    <row r="23" spans="1:16" x14ac:dyDescent="0.25">
      <c r="A23" t="s">
        <v>303</v>
      </c>
      <c r="B23">
        <v>626</v>
      </c>
      <c r="C23">
        <v>322</v>
      </c>
      <c r="D23">
        <v>2435</v>
      </c>
      <c r="E23">
        <v>120</v>
      </c>
      <c r="F23">
        <v>257</v>
      </c>
      <c r="G23">
        <v>200</v>
      </c>
      <c r="H23">
        <v>625</v>
      </c>
      <c r="I23">
        <v>46</v>
      </c>
      <c r="J23">
        <v>114</v>
      </c>
      <c r="K23">
        <v>89</v>
      </c>
      <c r="L23">
        <v>297</v>
      </c>
      <c r="M23">
        <v>0</v>
      </c>
      <c r="N23">
        <v>4.9000000000000004</v>
      </c>
      <c r="O23">
        <v>7.4</v>
      </c>
      <c r="P23">
        <v>0</v>
      </c>
    </row>
    <row r="24" spans="1:16" x14ac:dyDescent="0.25">
      <c r="A24" t="s">
        <v>304</v>
      </c>
      <c r="B24">
        <v>22</v>
      </c>
      <c r="C24">
        <v>21</v>
      </c>
      <c r="D24">
        <v>145</v>
      </c>
      <c r="E24">
        <v>2</v>
      </c>
      <c r="F24">
        <v>13</v>
      </c>
      <c r="G24">
        <v>12</v>
      </c>
      <c r="H24">
        <v>40</v>
      </c>
      <c r="I24">
        <v>2</v>
      </c>
      <c r="J24">
        <v>0</v>
      </c>
      <c r="K24">
        <v>0</v>
      </c>
      <c r="L24">
        <v>2</v>
      </c>
      <c r="M24">
        <v>0</v>
      </c>
      <c r="N24">
        <v>1.4</v>
      </c>
      <c r="O24">
        <v>5</v>
      </c>
      <c r="P24">
        <v>0</v>
      </c>
    </row>
    <row r="25" spans="1:16" x14ac:dyDescent="0.25">
      <c r="A25" t="s">
        <v>305</v>
      </c>
      <c r="B25">
        <v>95</v>
      </c>
      <c r="C25">
        <v>89</v>
      </c>
      <c r="D25">
        <v>255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1.2</v>
      </c>
      <c r="O25">
        <v>0</v>
      </c>
      <c r="P25">
        <v>0</v>
      </c>
    </row>
    <row r="26" spans="1:16" x14ac:dyDescent="0.25">
      <c r="A26" t="s">
        <v>306</v>
      </c>
      <c r="B26">
        <v>145</v>
      </c>
      <c r="C26">
        <v>94</v>
      </c>
      <c r="D26">
        <v>527</v>
      </c>
      <c r="E26">
        <v>18</v>
      </c>
      <c r="F26">
        <v>148</v>
      </c>
      <c r="G26">
        <v>100</v>
      </c>
      <c r="H26">
        <v>329</v>
      </c>
      <c r="I26">
        <v>39</v>
      </c>
      <c r="J26">
        <v>104</v>
      </c>
      <c r="K26">
        <v>77</v>
      </c>
      <c r="L26">
        <v>266</v>
      </c>
      <c r="M26">
        <v>0</v>
      </c>
      <c r="N26">
        <v>3.4</v>
      </c>
      <c r="O26">
        <v>11.9</v>
      </c>
      <c r="P26">
        <v>0</v>
      </c>
    </row>
    <row r="27" spans="1:16" x14ac:dyDescent="0.25">
      <c r="A27" t="s">
        <v>307</v>
      </c>
      <c r="B27">
        <v>223</v>
      </c>
      <c r="C27">
        <v>106</v>
      </c>
      <c r="D27">
        <v>1043</v>
      </c>
      <c r="E27">
        <v>248</v>
      </c>
      <c r="F27">
        <v>319</v>
      </c>
      <c r="G27">
        <v>114</v>
      </c>
      <c r="H27">
        <v>848</v>
      </c>
      <c r="I27">
        <v>261</v>
      </c>
      <c r="J27">
        <v>162</v>
      </c>
      <c r="K27">
        <v>77</v>
      </c>
      <c r="L27">
        <v>302</v>
      </c>
      <c r="M27">
        <v>0</v>
      </c>
      <c r="N27">
        <v>23.8</v>
      </c>
      <c r="O27">
        <v>30.8</v>
      </c>
      <c r="P27">
        <v>0</v>
      </c>
    </row>
    <row r="28" spans="1:16" x14ac:dyDescent="0.25">
      <c r="A28" t="s">
        <v>266</v>
      </c>
      <c r="B28">
        <v>15404</v>
      </c>
      <c r="C28">
        <v>8993</v>
      </c>
      <c r="D28">
        <v>67994</v>
      </c>
      <c r="E28">
        <v>7804</v>
      </c>
      <c r="F28">
        <v>7630</v>
      </c>
      <c r="G28">
        <v>5018</v>
      </c>
      <c r="H28">
        <v>18546</v>
      </c>
      <c r="I28">
        <v>2449</v>
      </c>
      <c r="J28">
        <v>4926</v>
      </c>
      <c r="K28">
        <v>3340</v>
      </c>
      <c r="L28">
        <v>12209</v>
      </c>
      <c r="M28">
        <v>45</v>
      </c>
      <c r="N28">
        <v>11.5</v>
      </c>
      <c r="O28">
        <v>13.2</v>
      </c>
      <c r="P28">
        <v>0.4</v>
      </c>
    </row>
    <row r="29" spans="1:16" x14ac:dyDescent="0.25">
      <c r="A29" t="s">
        <v>459</v>
      </c>
      <c r="B29">
        <v>12284</v>
      </c>
      <c r="C29">
        <v>7788</v>
      </c>
      <c r="D29">
        <v>56699</v>
      </c>
      <c r="E29">
        <v>4692</v>
      </c>
      <c r="F29">
        <v>6464</v>
      </c>
      <c r="G29">
        <v>4507</v>
      </c>
      <c r="H29">
        <v>15924</v>
      </c>
      <c r="I29">
        <v>1770</v>
      </c>
      <c r="J29">
        <v>4416</v>
      </c>
      <c r="K29">
        <v>3067</v>
      </c>
      <c r="L29">
        <v>11134</v>
      </c>
      <c r="M29">
        <v>40</v>
      </c>
      <c r="N29">
        <v>8.3000000000000007</v>
      </c>
      <c r="O29">
        <v>11.1</v>
      </c>
      <c r="P29">
        <v>0.4</v>
      </c>
    </row>
    <row r="30" spans="1:16" x14ac:dyDescent="0.25">
      <c r="A30" t="s">
        <v>460</v>
      </c>
      <c r="B30">
        <v>3120</v>
      </c>
      <c r="C30">
        <v>1205</v>
      </c>
      <c r="D30">
        <v>11295</v>
      </c>
      <c r="E30">
        <v>3112</v>
      </c>
      <c r="F30">
        <v>1166</v>
      </c>
      <c r="G30">
        <v>511</v>
      </c>
      <c r="H30">
        <v>2622</v>
      </c>
      <c r="I30">
        <v>679</v>
      </c>
      <c r="J30">
        <v>510</v>
      </c>
      <c r="K30">
        <v>273</v>
      </c>
      <c r="L30">
        <v>1075</v>
      </c>
      <c r="M30">
        <v>5</v>
      </c>
      <c r="N30">
        <v>27.6</v>
      </c>
      <c r="O30">
        <v>25.9</v>
      </c>
      <c r="P30">
        <v>0.5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5B9BD5"/>
  </sheetPr>
  <dimension ref="A1:M30"/>
  <sheetViews>
    <sheetView workbookViewId="0"/>
  </sheetViews>
  <sheetFormatPr defaultRowHeight="15" x14ac:dyDescent="0.25"/>
  <cols>
    <col min="1" max="1" width="21.140625" customWidth="1"/>
    <col min="2" max="2" width="11.85546875" customWidth="1"/>
    <col min="3" max="3" width="11.42578125" customWidth="1"/>
    <col min="4" max="4" width="11.85546875" customWidth="1"/>
    <col min="11" max="11" width="12.140625" customWidth="1"/>
    <col min="12" max="12" width="12" customWidth="1"/>
  </cols>
  <sheetData>
    <row r="1" spans="1:13" x14ac:dyDescent="0.25">
      <c r="A1" s="29" t="s">
        <v>709</v>
      </c>
      <c r="B1" s="29" t="s">
        <v>727</v>
      </c>
      <c r="C1" s="29"/>
      <c r="D1" s="29"/>
      <c r="E1" s="29" t="s">
        <v>728</v>
      </c>
      <c r="F1" s="29"/>
      <c r="G1" s="29"/>
      <c r="H1" s="29" t="s">
        <v>729</v>
      </c>
      <c r="I1" s="29"/>
      <c r="J1" s="29"/>
      <c r="K1" s="29" t="s">
        <v>730</v>
      </c>
      <c r="L1" s="29"/>
      <c r="M1" s="29"/>
    </row>
    <row r="2" spans="1:13" x14ac:dyDescent="0.25">
      <c r="A2" s="29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  <c r="K2" t="s">
        <v>263</v>
      </c>
      <c r="L2" t="s">
        <v>264</v>
      </c>
      <c r="M2" t="s">
        <v>618</v>
      </c>
    </row>
    <row r="3" spans="1:13" x14ac:dyDescent="0.25">
      <c r="A3" t="s">
        <v>283</v>
      </c>
      <c r="B3">
        <v>2.8</v>
      </c>
      <c r="C3">
        <v>3</v>
      </c>
      <c r="D3">
        <v>2.6</v>
      </c>
      <c r="E3">
        <v>6.8</v>
      </c>
      <c r="F3">
        <v>7</v>
      </c>
      <c r="G3">
        <v>6.6</v>
      </c>
      <c r="H3">
        <v>9.6999999999999993</v>
      </c>
      <c r="I3">
        <v>9.6</v>
      </c>
      <c r="J3">
        <v>9.6999999999999993</v>
      </c>
      <c r="K3">
        <v>6.4</v>
      </c>
      <c r="L3">
        <v>6.5</v>
      </c>
      <c r="M3">
        <v>6.3</v>
      </c>
    </row>
    <row r="4" spans="1:13" x14ac:dyDescent="0.25">
      <c r="A4" t="s">
        <v>284</v>
      </c>
      <c r="B4">
        <v>1.3</v>
      </c>
      <c r="C4">
        <v>1.4</v>
      </c>
      <c r="D4">
        <v>1.2</v>
      </c>
      <c r="E4">
        <v>2.1</v>
      </c>
      <c r="F4">
        <v>2</v>
      </c>
      <c r="G4">
        <v>2.1</v>
      </c>
      <c r="H4">
        <v>2.6</v>
      </c>
      <c r="I4">
        <v>2.6</v>
      </c>
      <c r="J4">
        <v>2.6</v>
      </c>
      <c r="K4">
        <v>2</v>
      </c>
      <c r="L4">
        <v>2</v>
      </c>
      <c r="M4">
        <v>2</v>
      </c>
    </row>
    <row r="5" spans="1:13" x14ac:dyDescent="0.25">
      <c r="A5" t="s">
        <v>285</v>
      </c>
      <c r="B5">
        <v>1.5</v>
      </c>
      <c r="C5">
        <v>1.6</v>
      </c>
      <c r="D5">
        <v>1.4</v>
      </c>
      <c r="E5">
        <v>0.6</v>
      </c>
      <c r="F5">
        <v>0.6</v>
      </c>
      <c r="G5">
        <v>0.6</v>
      </c>
      <c r="H5">
        <v>0.8</v>
      </c>
      <c r="I5">
        <v>0.7</v>
      </c>
      <c r="J5">
        <v>0.8</v>
      </c>
      <c r="K5">
        <v>0.9</v>
      </c>
      <c r="L5">
        <v>1</v>
      </c>
      <c r="M5">
        <v>0.9</v>
      </c>
    </row>
    <row r="6" spans="1:13" x14ac:dyDescent="0.25">
      <c r="A6" t="s">
        <v>286</v>
      </c>
      <c r="B6">
        <v>1.6</v>
      </c>
      <c r="C6">
        <v>1.5</v>
      </c>
      <c r="D6">
        <v>1.8</v>
      </c>
      <c r="E6">
        <v>3</v>
      </c>
      <c r="F6">
        <v>2.8</v>
      </c>
      <c r="G6">
        <v>3.1</v>
      </c>
      <c r="H6">
        <v>4.9000000000000004</v>
      </c>
      <c r="I6">
        <v>5.0999999999999996</v>
      </c>
      <c r="J6">
        <v>4.8</v>
      </c>
      <c r="K6">
        <v>3.1</v>
      </c>
      <c r="L6">
        <v>3.1</v>
      </c>
      <c r="M6">
        <v>3.2</v>
      </c>
    </row>
    <row r="7" spans="1:13" x14ac:dyDescent="0.25">
      <c r="A7" t="s">
        <v>287</v>
      </c>
      <c r="B7">
        <v>2.2000000000000002</v>
      </c>
      <c r="C7">
        <v>2.2000000000000002</v>
      </c>
      <c r="D7">
        <v>2.2000000000000002</v>
      </c>
      <c r="E7">
        <v>4.2</v>
      </c>
      <c r="F7">
        <v>4.5</v>
      </c>
      <c r="G7">
        <v>3.9</v>
      </c>
      <c r="H7">
        <v>6.2</v>
      </c>
      <c r="I7">
        <v>6.8</v>
      </c>
      <c r="J7">
        <v>5.6</v>
      </c>
      <c r="K7">
        <v>4.2</v>
      </c>
      <c r="L7">
        <v>4.5</v>
      </c>
      <c r="M7">
        <v>3.9</v>
      </c>
    </row>
    <row r="8" spans="1:13" x14ac:dyDescent="0.25">
      <c r="A8" t="s">
        <v>288</v>
      </c>
      <c r="B8">
        <v>0.5</v>
      </c>
      <c r="C8">
        <v>0.5</v>
      </c>
      <c r="D8">
        <v>0.6</v>
      </c>
      <c r="E8">
        <v>2</v>
      </c>
      <c r="F8">
        <v>2</v>
      </c>
      <c r="G8">
        <v>2</v>
      </c>
      <c r="H8">
        <v>1.7</v>
      </c>
      <c r="I8">
        <v>1.8</v>
      </c>
      <c r="J8">
        <v>1.7</v>
      </c>
      <c r="K8">
        <v>1.4</v>
      </c>
      <c r="L8">
        <v>1.4</v>
      </c>
      <c r="M8">
        <v>1.4</v>
      </c>
    </row>
    <row r="9" spans="1:13" x14ac:dyDescent="0.25">
      <c r="A9" t="s">
        <v>289</v>
      </c>
      <c r="B9">
        <v>2.4</v>
      </c>
      <c r="C9">
        <v>2.2999999999999998</v>
      </c>
      <c r="D9">
        <v>2.5</v>
      </c>
      <c r="E9">
        <v>3</v>
      </c>
      <c r="F9">
        <v>2.8</v>
      </c>
      <c r="G9">
        <v>3.2</v>
      </c>
      <c r="H9">
        <v>3.8</v>
      </c>
      <c r="I9">
        <v>3.9</v>
      </c>
      <c r="J9">
        <v>3.8</v>
      </c>
      <c r="K9">
        <v>3.1</v>
      </c>
      <c r="L9">
        <v>3</v>
      </c>
      <c r="M9">
        <v>3.1</v>
      </c>
    </row>
    <row r="10" spans="1:13" x14ac:dyDescent="0.25">
      <c r="A10" t="s">
        <v>290</v>
      </c>
      <c r="B10">
        <v>1.6</v>
      </c>
      <c r="C10">
        <v>1.7</v>
      </c>
      <c r="D10">
        <v>1.6</v>
      </c>
      <c r="E10">
        <v>2.9</v>
      </c>
      <c r="F10">
        <v>3.1</v>
      </c>
      <c r="G10">
        <v>2.7</v>
      </c>
      <c r="H10">
        <v>3.7</v>
      </c>
      <c r="I10">
        <v>4</v>
      </c>
      <c r="J10">
        <v>3.4</v>
      </c>
      <c r="K10">
        <v>2.7</v>
      </c>
      <c r="L10">
        <v>2.9</v>
      </c>
      <c r="M10">
        <v>2.5</v>
      </c>
    </row>
    <row r="11" spans="1:13" x14ac:dyDescent="0.25">
      <c r="A11" t="s">
        <v>291</v>
      </c>
      <c r="B11">
        <v>0.8</v>
      </c>
      <c r="C11">
        <v>1.2</v>
      </c>
      <c r="D11">
        <v>0.4</v>
      </c>
      <c r="E11">
        <v>2</v>
      </c>
      <c r="F11">
        <v>2.4</v>
      </c>
      <c r="G11">
        <v>1.6</v>
      </c>
      <c r="H11">
        <v>11.9</v>
      </c>
      <c r="I11">
        <v>14.8</v>
      </c>
      <c r="J11">
        <v>9.3000000000000007</v>
      </c>
      <c r="K11">
        <v>4.9000000000000004</v>
      </c>
      <c r="L11">
        <v>6.1</v>
      </c>
      <c r="M11">
        <v>3.8</v>
      </c>
    </row>
    <row r="12" spans="1:13" x14ac:dyDescent="0.25">
      <c r="A12" t="s">
        <v>292</v>
      </c>
      <c r="B12">
        <v>6.7</v>
      </c>
      <c r="C12">
        <v>8.4</v>
      </c>
      <c r="D12">
        <v>5</v>
      </c>
      <c r="E12">
        <v>5.7</v>
      </c>
      <c r="F12">
        <v>5.8</v>
      </c>
      <c r="G12">
        <v>5.5</v>
      </c>
      <c r="H12">
        <v>18.600000000000001</v>
      </c>
      <c r="I12">
        <v>19.5</v>
      </c>
      <c r="J12">
        <v>17.7</v>
      </c>
      <c r="K12">
        <v>10.199999999999999</v>
      </c>
      <c r="L12">
        <v>11.2</v>
      </c>
      <c r="M12">
        <v>9.3000000000000007</v>
      </c>
    </row>
    <row r="13" spans="1:13" x14ac:dyDescent="0.25">
      <c r="A13" t="s">
        <v>293</v>
      </c>
      <c r="B13">
        <v>1.1000000000000001</v>
      </c>
      <c r="C13">
        <v>1</v>
      </c>
      <c r="D13">
        <v>1.2</v>
      </c>
      <c r="E13">
        <v>0.5</v>
      </c>
      <c r="F13">
        <v>0.6</v>
      </c>
      <c r="G13">
        <v>0.4</v>
      </c>
      <c r="H13">
        <v>0.4</v>
      </c>
      <c r="I13">
        <v>0.3</v>
      </c>
      <c r="J13">
        <v>0.5</v>
      </c>
      <c r="K13">
        <v>0.7</v>
      </c>
      <c r="L13">
        <v>0.6</v>
      </c>
      <c r="M13">
        <v>0.7</v>
      </c>
    </row>
    <row r="14" spans="1:13" x14ac:dyDescent="0.25">
      <c r="A14" t="s">
        <v>294</v>
      </c>
      <c r="B14">
        <v>2.4</v>
      </c>
      <c r="C14">
        <v>2.6</v>
      </c>
      <c r="D14">
        <v>2.2000000000000002</v>
      </c>
      <c r="E14">
        <v>2.5</v>
      </c>
      <c r="F14">
        <v>2.7</v>
      </c>
      <c r="G14">
        <v>2.2999999999999998</v>
      </c>
      <c r="H14">
        <v>2.7</v>
      </c>
      <c r="I14">
        <v>2.2999999999999998</v>
      </c>
      <c r="J14">
        <v>3</v>
      </c>
      <c r="K14">
        <v>2.5</v>
      </c>
      <c r="L14">
        <v>2.5</v>
      </c>
      <c r="M14">
        <v>2.5</v>
      </c>
    </row>
    <row r="15" spans="1:13" x14ac:dyDescent="0.25">
      <c r="A15" t="s">
        <v>295</v>
      </c>
      <c r="B15">
        <v>0.5</v>
      </c>
      <c r="C15">
        <v>0.5</v>
      </c>
      <c r="D15">
        <v>0.5</v>
      </c>
      <c r="E15">
        <v>1.2</v>
      </c>
      <c r="F15">
        <v>1.2</v>
      </c>
      <c r="G15">
        <v>1.2</v>
      </c>
      <c r="H15">
        <v>3.5</v>
      </c>
      <c r="I15">
        <v>3.5</v>
      </c>
      <c r="J15">
        <v>3.6</v>
      </c>
      <c r="K15">
        <v>1.8</v>
      </c>
      <c r="L15">
        <v>1.7</v>
      </c>
      <c r="M15">
        <v>1.8</v>
      </c>
    </row>
    <row r="16" spans="1:13" x14ac:dyDescent="0.25">
      <c r="A16" t="s">
        <v>296</v>
      </c>
      <c r="B16">
        <v>4.8</v>
      </c>
      <c r="C16">
        <v>4</v>
      </c>
      <c r="D16">
        <v>5.6</v>
      </c>
      <c r="E16">
        <v>11.2</v>
      </c>
      <c r="F16">
        <v>11.2</v>
      </c>
      <c r="G16">
        <v>11.2</v>
      </c>
      <c r="H16">
        <v>10.7</v>
      </c>
      <c r="I16">
        <v>9.6</v>
      </c>
      <c r="J16">
        <v>11.6</v>
      </c>
      <c r="K16">
        <v>8.8000000000000007</v>
      </c>
      <c r="L16">
        <v>8.1999999999999993</v>
      </c>
      <c r="M16">
        <v>9.4</v>
      </c>
    </row>
    <row r="17" spans="1:13" x14ac:dyDescent="0.25">
      <c r="A17" t="s">
        <v>297</v>
      </c>
      <c r="B17">
        <v>17.2</v>
      </c>
      <c r="C17">
        <v>17.600000000000001</v>
      </c>
      <c r="D17">
        <v>16.7</v>
      </c>
      <c r="E17">
        <v>23.4</v>
      </c>
      <c r="F17">
        <v>24.3</v>
      </c>
      <c r="G17">
        <v>22.5</v>
      </c>
      <c r="H17">
        <v>35.6</v>
      </c>
      <c r="I17">
        <v>36.5</v>
      </c>
      <c r="J17">
        <v>34.799999999999997</v>
      </c>
      <c r="K17">
        <v>24.8</v>
      </c>
      <c r="L17">
        <v>25.6</v>
      </c>
      <c r="M17">
        <v>24.2</v>
      </c>
    </row>
    <row r="18" spans="1:13" x14ac:dyDescent="0.25">
      <c r="A18" t="s">
        <v>298</v>
      </c>
      <c r="B18">
        <v>5.4</v>
      </c>
      <c r="C18">
        <v>5</v>
      </c>
      <c r="D18">
        <v>5.8</v>
      </c>
      <c r="E18">
        <v>10.1</v>
      </c>
      <c r="F18">
        <v>9.4</v>
      </c>
      <c r="G18">
        <v>10.7</v>
      </c>
      <c r="H18">
        <v>18</v>
      </c>
      <c r="I18">
        <v>16.8</v>
      </c>
      <c r="J18">
        <v>19.100000000000001</v>
      </c>
      <c r="K18">
        <v>11</v>
      </c>
      <c r="L18">
        <v>10.199999999999999</v>
      </c>
      <c r="M18">
        <v>11.7</v>
      </c>
    </row>
    <row r="19" spans="1:13" x14ac:dyDescent="0.25">
      <c r="A19" t="s">
        <v>299</v>
      </c>
      <c r="B19">
        <v>0.3</v>
      </c>
      <c r="C19">
        <v>0.4</v>
      </c>
      <c r="D19">
        <v>0.2</v>
      </c>
      <c r="E19">
        <v>0.6</v>
      </c>
      <c r="F19">
        <v>0.7</v>
      </c>
      <c r="G19">
        <v>0.5</v>
      </c>
      <c r="H19">
        <v>0.3</v>
      </c>
      <c r="I19">
        <v>0.3</v>
      </c>
      <c r="J19">
        <v>0.3</v>
      </c>
      <c r="K19">
        <v>0.4</v>
      </c>
      <c r="L19">
        <v>0.5</v>
      </c>
      <c r="M19">
        <v>0.3</v>
      </c>
    </row>
    <row r="20" spans="1:13" x14ac:dyDescent="0.25">
      <c r="A20" t="s">
        <v>300</v>
      </c>
      <c r="B20">
        <v>0.1</v>
      </c>
      <c r="C20">
        <v>0</v>
      </c>
      <c r="D20">
        <v>0.1</v>
      </c>
      <c r="E20">
        <v>0.4</v>
      </c>
      <c r="F20">
        <v>0.4</v>
      </c>
      <c r="G20">
        <v>0.4</v>
      </c>
      <c r="H20">
        <v>0.3</v>
      </c>
      <c r="I20">
        <v>0.3</v>
      </c>
      <c r="J20">
        <v>0.4</v>
      </c>
      <c r="K20">
        <v>0.3</v>
      </c>
      <c r="L20">
        <v>0.2</v>
      </c>
      <c r="M20">
        <v>0.3</v>
      </c>
    </row>
    <row r="21" spans="1:13" x14ac:dyDescent="0.25">
      <c r="A21" t="s">
        <v>301</v>
      </c>
      <c r="B21">
        <v>1.1000000000000001</v>
      </c>
      <c r="C21">
        <v>1.3</v>
      </c>
      <c r="D21">
        <v>0.9</v>
      </c>
      <c r="E21">
        <v>1.4</v>
      </c>
      <c r="F21">
        <v>1.4</v>
      </c>
      <c r="G21">
        <v>1.3</v>
      </c>
      <c r="H21">
        <v>2.2000000000000002</v>
      </c>
      <c r="I21">
        <v>2.2000000000000002</v>
      </c>
      <c r="J21">
        <v>2.2000000000000002</v>
      </c>
      <c r="K21">
        <v>1.5</v>
      </c>
      <c r="L21">
        <v>1.6</v>
      </c>
      <c r="M21">
        <v>1.4</v>
      </c>
    </row>
    <row r="22" spans="1:13" x14ac:dyDescent="0.25">
      <c r="A22" t="s">
        <v>302</v>
      </c>
      <c r="B22">
        <v>3.5</v>
      </c>
      <c r="C22">
        <v>3.7</v>
      </c>
      <c r="D22">
        <v>3.3</v>
      </c>
      <c r="E22">
        <v>6.5</v>
      </c>
      <c r="F22">
        <v>6.4</v>
      </c>
      <c r="G22">
        <v>6.7</v>
      </c>
      <c r="H22">
        <v>7.7</v>
      </c>
      <c r="I22">
        <v>6.8</v>
      </c>
      <c r="J22">
        <v>8.4</v>
      </c>
      <c r="K22">
        <v>5.9</v>
      </c>
      <c r="L22">
        <v>5.7</v>
      </c>
      <c r="M22">
        <v>6.2</v>
      </c>
    </row>
    <row r="23" spans="1:13" x14ac:dyDescent="0.25">
      <c r="A23" t="s">
        <v>303</v>
      </c>
      <c r="B23">
        <v>5.0999999999999996</v>
      </c>
      <c r="C23">
        <v>5.4</v>
      </c>
      <c r="D23">
        <v>4.8</v>
      </c>
      <c r="E23">
        <v>6</v>
      </c>
      <c r="F23">
        <v>6.3</v>
      </c>
      <c r="G23">
        <v>5.8</v>
      </c>
      <c r="H23">
        <v>5.8</v>
      </c>
      <c r="I23">
        <v>6.6</v>
      </c>
      <c r="J23">
        <v>5.0999999999999996</v>
      </c>
      <c r="K23">
        <v>5.6</v>
      </c>
      <c r="L23">
        <v>6.1</v>
      </c>
      <c r="M23">
        <v>5.2</v>
      </c>
    </row>
    <row r="24" spans="1:13" x14ac:dyDescent="0.25">
      <c r="A24" t="s">
        <v>304</v>
      </c>
      <c r="B24">
        <v>2.4</v>
      </c>
      <c r="C24">
        <v>2.2000000000000002</v>
      </c>
      <c r="D24">
        <v>2.5</v>
      </c>
      <c r="E24">
        <v>5.3</v>
      </c>
      <c r="F24">
        <v>6.1</v>
      </c>
      <c r="G24">
        <v>4.4000000000000004</v>
      </c>
      <c r="H24">
        <v>4.8</v>
      </c>
      <c r="I24">
        <v>5.0999999999999996</v>
      </c>
      <c r="J24">
        <v>4.4000000000000004</v>
      </c>
      <c r="K24">
        <v>4.0999999999999996</v>
      </c>
      <c r="L24">
        <v>4.5</v>
      </c>
      <c r="M24">
        <v>3.8</v>
      </c>
    </row>
    <row r="25" spans="1:13" x14ac:dyDescent="0.25">
      <c r="A25" t="s">
        <v>305</v>
      </c>
      <c r="B25">
        <v>0.4</v>
      </c>
      <c r="C25">
        <v>0.3</v>
      </c>
      <c r="D25">
        <v>0.5</v>
      </c>
      <c r="E25">
        <v>0.5</v>
      </c>
      <c r="F25">
        <v>0.6</v>
      </c>
      <c r="G25">
        <v>0.5</v>
      </c>
      <c r="H25">
        <v>2.9</v>
      </c>
      <c r="I25">
        <v>2.9</v>
      </c>
      <c r="J25">
        <v>2.8</v>
      </c>
      <c r="K25">
        <v>1.3</v>
      </c>
      <c r="L25">
        <v>1.3</v>
      </c>
      <c r="M25">
        <v>1.3</v>
      </c>
    </row>
    <row r="26" spans="1:13" x14ac:dyDescent="0.25">
      <c r="A26" t="s">
        <v>306</v>
      </c>
      <c r="B26">
        <v>0.9</v>
      </c>
      <c r="C26">
        <v>1</v>
      </c>
      <c r="D26">
        <v>0.9</v>
      </c>
      <c r="E26">
        <v>2.7</v>
      </c>
      <c r="F26">
        <v>2.8</v>
      </c>
      <c r="G26">
        <v>2.6</v>
      </c>
      <c r="H26">
        <v>3</v>
      </c>
      <c r="I26">
        <v>2.7</v>
      </c>
      <c r="J26">
        <v>3.2</v>
      </c>
      <c r="K26">
        <v>2.2000000000000002</v>
      </c>
      <c r="L26">
        <v>2.2000000000000002</v>
      </c>
      <c r="M26">
        <v>2.2000000000000002</v>
      </c>
    </row>
    <row r="27" spans="1:13" x14ac:dyDescent="0.25">
      <c r="A27" t="s">
        <v>307</v>
      </c>
      <c r="B27">
        <v>1.2</v>
      </c>
      <c r="C27">
        <v>1.3</v>
      </c>
      <c r="D27">
        <v>1.1000000000000001</v>
      </c>
      <c r="E27">
        <v>2.6</v>
      </c>
      <c r="F27">
        <v>2.6</v>
      </c>
      <c r="G27">
        <v>2.7</v>
      </c>
      <c r="H27">
        <v>1.6</v>
      </c>
      <c r="I27">
        <v>1.6</v>
      </c>
      <c r="J27">
        <v>1.6</v>
      </c>
      <c r="K27">
        <v>1.8</v>
      </c>
      <c r="L27">
        <v>1.8</v>
      </c>
      <c r="M27">
        <v>1.8</v>
      </c>
    </row>
    <row r="28" spans="1:13" x14ac:dyDescent="0.25">
      <c r="A28" t="s">
        <v>266</v>
      </c>
      <c r="B28">
        <v>3.5</v>
      </c>
      <c r="C28">
        <v>3.6</v>
      </c>
      <c r="D28">
        <v>3.4</v>
      </c>
      <c r="E28">
        <v>5</v>
      </c>
      <c r="F28">
        <v>5.2</v>
      </c>
      <c r="G28">
        <v>4.9000000000000004</v>
      </c>
      <c r="H28">
        <v>6.9</v>
      </c>
      <c r="I28">
        <v>7</v>
      </c>
      <c r="J28">
        <v>6.8</v>
      </c>
      <c r="K28">
        <v>5.0999999999999996</v>
      </c>
      <c r="L28">
        <v>5.2</v>
      </c>
      <c r="M28">
        <v>5</v>
      </c>
    </row>
    <row r="29" spans="1:13" x14ac:dyDescent="0.25">
      <c r="A29" t="s">
        <v>459</v>
      </c>
      <c r="B29">
        <v>13.7</v>
      </c>
      <c r="C29">
        <v>14</v>
      </c>
      <c r="D29">
        <v>13.4</v>
      </c>
      <c r="E29">
        <v>19.100000000000001</v>
      </c>
      <c r="F29">
        <v>19.600000000000001</v>
      </c>
      <c r="G29">
        <v>18.7</v>
      </c>
      <c r="H29">
        <v>26.7</v>
      </c>
      <c r="I29">
        <v>27.2</v>
      </c>
      <c r="J29">
        <v>26.2</v>
      </c>
      <c r="K29">
        <v>19.600000000000001</v>
      </c>
      <c r="L29">
        <v>20</v>
      </c>
      <c r="M29">
        <v>19.2</v>
      </c>
    </row>
    <row r="30" spans="1:13" x14ac:dyDescent="0.25">
      <c r="A30" t="s">
        <v>460</v>
      </c>
      <c r="B30">
        <v>0.6</v>
      </c>
      <c r="C30">
        <v>0.6</v>
      </c>
      <c r="D30">
        <v>0.5</v>
      </c>
      <c r="E30">
        <v>1.1000000000000001</v>
      </c>
      <c r="F30">
        <v>1.2</v>
      </c>
      <c r="G30">
        <v>1.1000000000000001</v>
      </c>
      <c r="H30">
        <v>1.6</v>
      </c>
      <c r="I30">
        <v>1.7</v>
      </c>
      <c r="J30">
        <v>1.5</v>
      </c>
      <c r="K30">
        <v>1.1000000000000001</v>
      </c>
      <c r="L30">
        <v>1.2</v>
      </c>
      <c r="M30">
        <v>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5B9BD5"/>
  </sheetPr>
  <dimension ref="A1:K30"/>
  <sheetViews>
    <sheetView workbookViewId="0"/>
  </sheetViews>
  <sheetFormatPr defaultRowHeight="15" x14ac:dyDescent="0.25"/>
  <cols>
    <col min="1" max="1" width="22.42578125" customWidth="1"/>
    <col min="2" max="2" width="14" customWidth="1"/>
    <col min="5" max="5" width="14.140625" customWidth="1"/>
    <col min="6" max="6" width="14" customWidth="1"/>
    <col min="8" max="8" width="14.140625" customWidth="1"/>
    <col min="10" max="10" width="14" customWidth="1"/>
    <col min="11" max="11" width="14.140625" customWidth="1"/>
  </cols>
  <sheetData>
    <row r="1" spans="1:11" x14ac:dyDescent="0.25">
      <c r="A1" s="29" t="s">
        <v>709</v>
      </c>
      <c r="B1" s="29" t="s">
        <v>731</v>
      </c>
      <c r="C1" s="29"/>
      <c r="D1" s="29" t="s">
        <v>732</v>
      </c>
      <c r="E1" s="29"/>
      <c r="F1" s="29" t="s">
        <v>733</v>
      </c>
      <c r="G1" s="29"/>
      <c r="H1" s="29" t="s">
        <v>734</v>
      </c>
      <c r="I1" s="29"/>
      <c r="J1" s="29" t="s">
        <v>735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273</v>
      </c>
      <c r="C3">
        <v>134</v>
      </c>
      <c r="D3">
        <v>482</v>
      </c>
      <c r="E3">
        <v>254</v>
      </c>
      <c r="F3">
        <v>1147</v>
      </c>
      <c r="G3">
        <v>582</v>
      </c>
      <c r="H3">
        <v>1598</v>
      </c>
      <c r="I3">
        <v>775</v>
      </c>
      <c r="J3">
        <v>517</v>
      </c>
      <c r="K3">
        <v>258</v>
      </c>
    </row>
    <row r="4" spans="1:11" x14ac:dyDescent="0.25">
      <c r="A4" t="s">
        <v>284</v>
      </c>
      <c r="B4">
        <v>181</v>
      </c>
      <c r="C4">
        <v>85</v>
      </c>
      <c r="D4">
        <v>343</v>
      </c>
      <c r="E4">
        <v>174</v>
      </c>
      <c r="F4">
        <v>521</v>
      </c>
      <c r="G4">
        <v>246</v>
      </c>
      <c r="H4">
        <v>644</v>
      </c>
      <c r="I4">
        <v>306</v>
      </c>
      <c r="J4">
        <v>381</v>
      </c>
      <c r="K4">
        <v>197</v>
      </c>
    </row>
    <row r="5" spans="1:11" x14ac:dyDescent="0.25">
      <c r="A5" t="s">
        <v>285</v>
      </c>
      <c r="B5">
        <v>902</v>
      </c>
      <c r="C5">
        <v>510</v>
      </c>
      <c r="D5">
        <v>285</v>
      </c>
      <c r="E5">
        <v>152</v>
      </c>
      <c r="F5">
        <v>111</v>
      </c>
      <c r="G5">
        <v>51</v>
      </c>
      <c r="H5">
        <v>143</v>
      </c>
      <c r="I5">
        <v>63</v>
      </c>
      <c r="J5">
        <v>21</v>
      </c>
      <c r="K5">
        <v>10</v>
      </c>
    </row>
    <row r="6" spans="1:11" x14ac:dyDescent="0.25">
      <c r="A6" t="s">
        <v>286</v>
      </c>
      <c r="B6">
        <v>3</v>
      </c>
      <c r="C6">
        <v>1</v>
      </c>
      <c r="D6">
        <v>208</v>
      </c>
      <c r="E6">
        <v>93</v>
      </c>
      <c r="F6">
        <v>361</v>
      </c>
      <c r="G6">
        <v>168</v>
      </c>
      <c r="H6">
        <v>579</v>
      </c>
      <c r="I6">
        <v>291</v>
      </c>
      <c r="J6">
        <v>173</v>
      </c>
      <c r="K6">
        <v>75</v>
      </c>
    </row>
    <row r="7" spans="1:11" x14ac:dyDescent="0.25">
      <c r="A7" t="s">
        <v>287</v>
      </c>
      <c r="B7">
        <v>87</v>
      </c>
      <c r="C7">
        <v>42</v>
      </c>
      <c r="D7">
        <v>378</v>
      </c>
      <c r="E7">
        <v>187</v>
      </c>
      <c r="F7">
        <v>718</v>
      </c>
      <c r="G7">
        <v>381</v>
      </c>
      <c r="H7">
        <v>1055</v>
      </c>
      <c r="I7">
        <v>568</v>
      </c>
      <c r="J7">
        <v>619</v>
      </c>
      <c r="K7">
        <v>325</v>
      </c>
    </row>
    <row r="8" spans="1:11" x14ac:dyDescent="0.25">
      <c r="A8" t="s">
        <v>288</v>
      </c>
      <c r="B8">
        <v>5</v>
      </c>
      <c r="C8">
        <v>3</v>
      </c>
      <c r="D8">
        <v>79</v>
      </c>
      <c r="E8">
        <v>35</v>
      </c>
      <c r="F8">
        <v>294</v>
      </c>
      <c r="G8">
        <v>145</v>
      </c>
      <c r="H8">
        <v>254</v>
      </c>
      <c r="I8">
        <v>126</v>
      </c>
      <c r="J8">
        <v>6</v>
      </c>
      <c r="K8">
        <v>3</v>
      </c>
    </row>
    <row r="9" spans="1:11" x14ac:dyDescent="0.25">
      <c r="A9" t="s">
        <v>289</v>
      </c>
      <c r="B9">
        <v>83</v>
      </c>
      <c r="C9">
        <v>33</v>
      </c>
      <c r="D9">
        <v>301</v>
      </c>
      <c r="E9">
        <v>140</v>
      </c>
      <c r="F9">
        <v>378</v>
      </c>
      <c r="G9">
        <v>172</v>
      </c>
      <c r="H9">
        <v>485</v>
      </c>
      <c r="I9">
        <v>240</v>
      </c>
      <c r="J9">
        <v>5</v>
      </c>
      <c r="K9">
        <v>1</v>
      </c>
    </row>
    <row r="10" spans="1:11" x14ac:dyDescent="0.25">
      <c r="A10" t="s">
        <v>290</v>
      </c>
      <c r="B10">
        <v>265</v>
      </c>
      <c r="C10">
        <v>130</v>
      </c>
      <c r="D10">
        <v>414</v>
      </c>
      <c r="E10">
        <v>215</v>
      </c>
      <c r="F10">
        <v>700</v>
      </c>
      <c r="G10">
        <v>364</v>
      </c>
      <c r="H10">
        <v>864</v>
      </c>
      <c r="I10">
        <v>453</v>
      </c>
      <c r="J10">
        <v>688</v>
      </c>
      <c r="K10">
        <v>369</v>
      </c>
    </row>
    <row r="11" spans="1:11" x14ac:dyDescent="0.25">
      <c r="A11" t="s">
        <v>291</v>
      </c>
      <c r="B11">
        <v>0</v>
      </c>
      <c r="C11">
        <v>0</v>
      </c>
      <c r="D11">
        <v>8</v>
      </c>
      <c r="E11">
        <v>6</v>
      </c>
      <c r="F11">
        <v>21</v>
      </c>
      <c r="G11">
        <v>12</v>
      </c>
      <c r="H11">
        <v>128</v>
      </c>
      <c r="I11">
        <v>76</v>
      </c>
      <c r="J11">
        <v>8</v>
      </c>
      <c r="K11">
        <v>5</v>
      </c>
    </row>
    <row r="12" spans="1:11" x14ac:dyDescent="0.25">
      <c r="A12" t="s">
        <v>292</v>
      </c>
      <c r="B12">
        <v>28</v>
      </c>
      <c r="C12">
        <v>11</v>
      </c>
      <c r="D12">
        <v>240</v>
      </c>
      <c r="E12">
        <v>147</v>
      </c>
      <c r="F12">
        <v>197</v>
      </c>
      <c r="G12">
        <v>98</v>
      </c>
      <c r="H12">
        <v>633</v>
      </c>
      <c r="I12">
        <v>320</v>
      </c>
      <c r="J12">
        <v>78</v>
      </c>
      <c r="K12">
        <v>37</v>
      </c>
    </row>
    <row r="13" spans="1:11" x14ac:dyDescent="0.25">
      <c r="A13" t="s">
        <v>293</v>
      </c>
      <c r="B13">
        <v>10</v>
      </c>
      <c r="C13">
        <v>0</v>
      </c>
      <c r="D13">
        <v>104</v>
      </c>
      <c r="E13">
        <v>45</v>
      </c>
      <c r="F13">
        <v>47</v>
      </c>
      <c r="G13">
        <v>27</v>
      </c>
      <c r="H13">
        <v>37</v>
      </c>
      <c r="I13">
        <v>15</v>
      </c>
      <c r="J13">
        <v>0</v>
      </c>
      <c r="K13">
        <v>0</v>
      </c>
    </row>
    <row r="14" spans="1:11" x14ac:dyDescent="0.25">
      <c r="A14" t="s">
        <v>294</v>
      </c>
      <c r="B14">
        <v>10</v>
      </c>
      <c r="C14">
        <v>8</v>
      </c>
      <c r="D14">
        <v>53</v>
      </c>
      <c r="E14">
        <v>28</v>
      </c>
      <c r="F14">
        <v>55</v>
      </c>
      <c r="G14">
        <v>29</v>
      </c>
      <c r="H14">
        <v>59</v>
      </c>
      <c r="I14">
        <v>25</v>
      </c>
      <c r="J14">
        <v>0</v>
      </c>
      <c r="K14">
        <v>0</v>
      </c>
    </row>
    <row r="15" spans="1:11" x14ac:dyDescent="0.25">
      <c r="A15" t="s">
        <v>295</v>
      </c>
      <c r="B15">
        <v>0</v>
      </c>
      <c r="C15">
        <v>0</v>
      </c>
      <c r="D15">
        <v>29</v>
      </c>
      <c r="E15">
        <v>13</v>
      </c>
      <c r="F15">
        <v>73</v>
      </c>
      <c r="G15">
        <v>36</v>
      </c>
      <c r="H15">
        <v>213</v>
      </c>
      <c r="I15">
        <v>102</v>
      </c>
      <c r="J15">
        <v>3</v>
      </c>
      <c r="K15">
        <v>1</v>
      </c>
    </row>
    <row r="16" spans="1:11" x14ac:dyDescent="0.25">
      <c r="A16" t="s">
        <v>296</v>
      </c>
      <c r="B16">
        <v>0</v>
      </c>
      <c r="C16">
        <v>0</v>
      </c>
      <c r="D16">
        <v>128</v>
      </c>
      <c r="E16">
        <v>52</v>
      </c>
      <c r="F16">
        <v>279</v>
      </c>
      <c r="G16">
        <v>136</v>
      </c>
      <c r="H16">
        <v>256</v>
      </c>
      <c r="I16">
        <v>112</v>
      </c>
      <c r="J16">
        <v>11</v>
      </c>
      <c r="K16">
        <v>7</v>
      </c>
    </row>
    <row r="17" spans="1:11" x14ac:dyDescent="0.25">
      <c r="A17" t="s">
        <v>297</v>
      </c>
      <c r="B17">
        <v>857</v>
      </c>
      <c r="C17">
        <v>415</v>
      </c>
      <c r="D17">
        <v>5773</v>
      </c>
      <c r="E17">
        <v>2867</v>
      </c>
      <c r="F17">
        <v>7071</v>
      </c>
      <c r="G17">
        <v>3547</v>
      </c>
      <c r="H17">
        <v>9878</v>
      </c>
      <c r="I17">
        <v>4868</v>
      </c>
      <c r="J17">
        <v>692</v>
      </c>
      <c r="K17">
        <v>291</v>
      </c>
    </row>
    <row r="18" spans="1:11" x14ac:dyDescent="0.25">
      <c r="A18" t="s">
        <v>298</v>
      </c>
      <c r="B18">
        <v>43</v>
      </c>
      <c r="C18">
        <v>22</v>
      </c>
      <c r="D18">
        <v>382</v>
      </c>
      <c r="E18">
        <v>166</v>
      </c>
      <c r="F18">
        <v>546</v>
      </c>
      <c r="G18">
        <v>249</v>
      </c>
      <c r="H18">
        <v>939</v>
      </c>
      <c r="I18">
        <v>425</v>
      </c>
      <c r="J18">
        <v>72</v>
      </c>
      <c r="K18">
        <v>31</v>
      </c>
    </row>
    <row r="19" spans="1:11" x14ac:dyDescent="0.25">
      <c r="A19" t="s">
        <v>299</v>
      </c>
      <c r="B19">
        <v>4</v>
      </c>
      <c r="C19">
        <v>2</v>
      </c>
      <c r="D19">
        <v>13</v>
      </c>
      <c r="E19">
        <v>9</v>
      </c>
      <c r="F19">
        <v>28</v>
      </c>
      <c r="G19">
        <v>17</v>
      </c>
      <c r="H19">
        <v>15</v>
      </c>
      <c r="I19">
        <v>7</v>
      </c>
      <c r="J19">
        <v>0</v>
      </c>
      <c r="K19">
        <v>0</v>
      </c>
    </row>
    <row r="20" spans="1:11" x14ac:dyDescent="0.25">
      <c r="A20" t="s">
        <v>300</v>
      </c>
      <c r="B20">
        <v>21</v>
      </c>
      <c r="C20">
        <v>8</v>
      </c>
      <c r="D20">
        <v>17</v>
      </c>
      <c r="E20">
        <v>3</v>
      </c>
      <c r="F20">
        <v>78</v>
      </c>
      <c r="G20">
        <v>36</v>
      </c>
      <c r="H20">
        <v>61</v>
      </c>
      <c r="I20">
        <v>24</v>
      </c>
      <c r="J20">
        <v>0</v>
      </c>
      <c r="K20">
        <v>0</v>
      </c>
    </row>
    <row r="21" spans="1:11" x14ac:dyDescent="0.25">
      <c r="A21" t="s">
        <v>301</v>
      </c>
      <c r="B21">
        <v>0</v>
      </c>
      <c r="C21">
        <v>0</v>
      </c>
      <c r="D21">
        <v>104</v>
      </c>
      <c r="E21">
        <v>60</v>
      </c>
      <c r="F21">
        <v>132</v>
      </c>
      <c r="G21">
        <v>66</v>
      </c>
      <c r="H21">
        <v>206</v>
      </c>
      <c r="I21">
        <v>99</v>
      </c>
      <c r="J21">
        <v>251</v>
      </c>
      <c r="K21">
        <v>96</v>
      </c>
    </row>
    <row r="22" spans="1:11" x14ac:dyDescent="0.25">
      <c r="A22" t="s">
        <v>302</v>
      </c>
      <c r="B22">
        <v>82</v>
      </c>
      <c r="C22">
        <v>41</v>
      </c>
      <c r="D22">
        <v>156</v>
      </c>
      <c r="E22">
        <v>82</v>
      </c>
      <c r="F22">
        <v>300</v>
      </c>
      <c r="G22">
        <v>145</v>
      </c>
      <c r="H22">
        <v>359</v>
      </c>
      <c r="I22">
        <v>159</v>
      </c>
      <c r="J22">
        <v>96</v>
      </c>
      <c r="K22">
        <v>40</v>
      </c>
    </row>
    <row r="23" spans="1:11" x14ac:dyDescent="0.25">
      <c r="A23" t="s">
        <v>303</v>
      </c>
      <c r="B23">
        <v>97</v>
      </c>
      <c r="C23">
        <v>43</v>
      </c>
      <c r="D23">
        <v>1381</v>
      </c>
      <c r="E23">
        <v>705</v>
      </c>
      <c r="F23">
        <v>1570</v>
      </c>
      <c r="G23">
        <v>792</v>
      </c>
      <c r="H23">
        <v>1482</v>
      </c>
      <c r="I23">
        <v>807</v>
      </c>
      <c r="J23">
        <v>1193</v>
      </c>
      <c r="K23">
        <v>614</v>
      </c>
    </row>
    <row r="24" spans="1:11" x14ac:dyDescent="0.25">
      <c r="A24" t="s">
        <v>304</v>
      </c>
      <c r="B24">
        <v>57</v>
      </c>
      <c r="C24">
        <v>25</v>
      </c>
      <c r="D24">
        <v>78</v>
      </c>
      <c r="E24">
        <v>36</v>
      </c>
      <c r="F24">
        <v>173</v>
      </c>
      <c r="G24">
        <v>100</v>
      </c>
      <c r="H24">
        <v>158</v>
      </c>
      <c r="I24">
        <v>84</v>
      </c>
      <c r="J24">
        <v>0</v>
      </c>
      <c r="K24">
        <v>0</v>
      </c>
    </row>
    <row r="25" spans="1:11" x14ac:dyDescent="0.25">
      <c r="A25" t="s">
        <v>305</v>
      </c>
      <c r="B25">
        <v>23</v>
      </c>
      <c r="C25">
        <v>11</v>
      </c>
      <c r="D25">
        <v>41</v>
      </c>
      <c r="E25">
        <v>15</v>
      </c>
      <c r="F25">
        <v>49</v>
      </c>
      <c r="G25">
        <v>27</v>
      </c>
      <c r="H25">
        <v>267</v>
      </c>
      <c r="I25">
        <v>136</v>
      </c>
      <c r="J25">
        <v>0</v>
      </c>
      <c r="K25">
        <v>0</v>
      </c>
    </row>
    <row r="26" spans="1:11" x14ac:dyDescent="0.25">
      <c r="A26" t="s">
        <v>306</v>
      </c>
      <c r="B26">
        <v>14</v>
      </c>
      <c r="C26">
        <v>7</v>
      </c>
      <c r="D26">
        <v>159</v>
      </c>
      <c r="E26">
        <v>81</v>
      </c>
      <c r="F26">
        <v>458</v>
      </c>
      <c r="G26">
        <v>233</v>
      </c>
      <c r="H26">
        <v>514</v>
      </c>
      <c r="I26">
        <v>227</v>
      </c>
      <c r="J26">
        <v>35</v>
      </c>
      <c r="K26">
        <v>17</v>
      </c>
    </row>
    <row r="27" spans="1:11" x14ac:dyDescent="0.25">
      <c r="A27" t="s">
        <v>307</v>
      </c>
      <c r="B27">
        <v>3</v>
      </c>
      <c r="C27">
        <v>1</v>
      </c>
      <c r="D27">
        <v>133</v>
      </c>
      <c r="E27">
        <v>67</v>
      </c>
      <c r="F27">
        <v>404</v>
      </c>
      <c r="G27">
        <v>194</v>
      </c>
      <c r="H27">
        <v>245</v>
      </c>
      <c r="I27">
        <v>120</v>
      </c>
      <c r="J27">
        <v>35</v>
      </c>
      <c r="K27">
        <v>9</v>
      </c>
    </row>
    <row r="28" spans="1:11" x14ac:dyDescent="0.25">
      <c r="A28" t="s">
        <v>266</v>
      </c>
      <c r="B28">
        <v>3048</v>
      </c>
      <c r="C28">
        <v>1532</v>
      </c>
      <c r="D28">
        <v>11289</v>
      </c>
      <c r="E28">
        <v>5632</v>
      </c>
      <c r="F28">
        <v>15711</v>
      </c>
      <c r="G28">
        <v>7853</v>
      </c>
      <c r="H28">
        <v>21072</v>
      </c>
      <c r="I28">
        <v>10428</v>
      </c>
      <c r="J28">
        <v>4884</v>
      </c>
      <c r="K28">
        <v>2386</v>
      </c>
    </row>
    <row r="29" spans="1:11" x14ac:dyDescent="0.25">
      <c r="A29" t="s">
        <v>459</v>
      </c>
      <c r="B29">
        <v>1855</v>
      </c>
      <c r="C29">
        <v>882</v>
      </c>
      <c r="D29">
        <v>9845</v>
      </c>
      <c r="E29">
        <v>4874</v>
      </c>
      <c r="F29">
        <v>12927</v>
      </c>
      <c r="G29">
        <v>6406</v>
      </c>
      <c r="H29">
        <v>17250</v>
      </c>
      <c r="I29">
        <v>8484</v>
      </c>
      <c r="J29">
        <v>3373</v>
      </c>
      <c r="K29">
        <v>1625</v>
      </c>
    </row>
    <row r="30" spans="1:11" x14ac:dyDescent="0.25">
      <c r="A30" t="s">
        <v>460</v>
      </c>
      <c r="B30">
        <v>1193</v>
      </c>
      <c r="C30">
        <v>650</v>
      </c>
      <c r="D30">
        <v>1444</v>
      </c>
      <c r="E30">
        <v>758</v>
      </c>
      <c r="F30">
        <v>2784</v>
      </c>
      <c r="G30">
        <v>1447</v>
      </c>
      <c r="H30">
        <v>3822</v>
      </c>
      <c r="I30">
        <v>1944</v>
      </c>
      <c r="J30">
        <v>1511</v>
      </c>
      <c r="K30">
        <v>761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5B9BD5"/>
  </sheetPr>
  <dimension ref="A1:K30"/>
  <sheetViews>
    <sheetView workbookViewId="0"/>
  </sheetViews>
  <sheetFormatPr defaultRowHeight="15" x14ac:dyDescent="0.25"/>
  <cols>
    <col min="1" max="1" width="22" customWidth="1"/>
    <col min="2" max="2" width="14.140625" customWidth="1"/>
    <col min="3" max="3" width="14" customWidth="1"/>
    <col min="4" max="4" width="14.140625" customWidth="1"/>
    <col min="6" max="6" width="14" customWidth="1"/>
    <col min="7" max="7" width="14.140625" customWidth="1"/>
    <col min="10" max="10" width="14.42578125" customWidth="1"/>
  </cols>
  <sheetData>
    <row r="1" spans="1:11" x14ac:dyDescent="0.25">
      <c r="A1" s="29" t="s">
        <v>709</v>
      </c>
      <c r="B1" s="29" t="s">
        <v>423</v>
      </c>
      <c r="C1" s="29"/>
      <c r="D1" s="29" t="s">
        <v>424</v>
      </c>
      <c r="E1" s="29"/>
      <c r="F1" s="29" t="s">
        <v>425</v>
      </c>
      <c r="G1" s="29"/>
      <c r="H1" s="29" t="s">
        <v>373</v>
      </c>
      <c r="I1" s="29"/>
      <c r="J1" s="29" t="s">
        <v>263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508</v>
      </c>
      <c r="C3">
        <v>299</v>
      </c>
      <c r="D3">
        <v>469</v>
      </c>
      <c r="E3">
        <v>234</v>
      </c>
      <c r="F3">
        <v>749</v>
      </c>
      <c r="G3">
        <v>347</v>
      </c>
      <c r="H3">
        <v>2291</v>
      </c>
      <c r="I3">
        <v>1123</v>
      </c>
      <c r="J3">
        <v>4017</v>
      </c>
      <c r="K3">
        <v>2003</v>
      </c>
    </row>
    <row r="4" spans="1:11" x14ac:dyDescent="0.25">
      <c r="A4" t="s">
        <v>284</v>
      </c>
      <c r="B4">
        <v>381</v>
      </c>
      <c r="C4">
        <v>191</v>
      </c>
      <c r="D4">
        <v>339</v>
      </c>
      <c r="E4">
        <v>166</v>
      </c>
      <c r="F4">
        <v>497</v>
      </c>
      <c r="G4">
        <v>232</v>
      </c>
      <c r="H4">
        <v>853</v>
      </c>
      <c r="I4">
        <v>419</v>
      </c>
      <c r="J4">
        <v>2070</v>
      </c>
      <c r="K4">
        <v>1008</v>
      </c>
    </row>
    <row r="5" spans="1:11" x14ac:dyDescent="0.25">
      <c r="A5" t="s">
        <v>285</v>
      </c>
      <c r="B5">
        <v>321</v>
      </c>
      <c r="C5">
        <v>172</v>
      </c>
      <c r="D5">
        <v>82</v>
      </c>
      <c r="E5">
        <v>37</v>
      </c>
      <c r="F5">
        <v>114</v>
      </c>
      <c r="G5">
        <v>48</v>
      </c>
      <c r="H5">
        <v>945</v>
      </c>
      <c r="I5">
        <v>529</v>
      </c>
      <c r="J5">
        <v>1462</v>
      </c>
      <c r="K5">
        <v>786</v>
      </c>
    </row>
    <row r="6" spans="1:11" x14ac:dyDescent="0.25">
      <c r="A6" t="s">
        <v>286</v>
      </c>
      <c r="B6">
        <v>228</v>
      </c>
      <c r="C6">
        <v>109</v>
      </c>
      <c r="D6">
        <v>362</v>
      </c>
      <c r="E6">
        <v>175</v>
      </c>
      <c r="F6">
        <v>499</v>
      </c>
      <c r="G6">
        <v>236</v>
      </c>
      <c r="H6">
        <v>235</v>
      </c>
      <c r="I6">
        <v>108</v>
      </c>
      <c r="J6">
        <v>1324</v>
      </c>
      <c r="K6">
        <v>628</v>
      </c>
    </row>
    <row r="7" spans="1:11" x14ac:dyDescent="0.25">
      <c r="A7" t="s">
        <v>287</v>
      </c>
      <c r="B7">
        <v>429</v>
      </c>
      <c r="C7">
        <v>214</v>
      </c>
      <c r="D7">
        <v>610</v>
      </c>
      <c r="E7">
        <v>322</v>
      </c>
      <c r="F7">
        <v>899</v>
      </c>
      <c r="G7">
        <v>482</v>
      </c>
      <c r="H7">
        <v>919</v>
      </c>
      <c r="I7">
        <v>485</v>
      </c>
      <c r="J7">
        <v>2857</v>
      </c>
      <c r="K7">
        <v>1503</v>
      </c>
    </row>
    <row r="8" spans="1:11" x14ac:dyDescent="0.25">
      <c r="A8" t="s">
        <v>288</v>
      </c>
      <c r="B8">
        <v>68</v>
      </c>
      <c r="C8">
        <v>30</v>
      </c>
      <c r="D8">
        <v>250</v>
      </c>
      <c r="E8">
        <v>120</v>
      </c>
      <c r="F8">
        <v>225</v>
      </c>
      <c r="G8">
        <v>111</v>
      </c>
      <c r="H8">
        <v>95</v>
      </c>
      <c r="I8">
        <v>51</v>
      </c>
      <c r="J8">
        <v>638</v>
      </c>
      <c r="K8">
        <v>312</v>
      </c>
    </row>
    <row r="9" spans="1:11" x14ac:dyDescent="0.25">
      <c r="A9" t="s">
        <v>289</v>
      </c>
      <c r="B9">
        <v>317</v>
      </c>
      <c r="C9">
        <v>143</v>
      </c>
      <c r="D9">
        <v>339</v>
      </c>
      <c r="E9">
        <v>156</v>
      </c>
      <c r="F9">
        <v>481</v>
      </c>
      <c r="G9">
        <v>240</v>
      </c>
      <c r="H9">
        <v>115</v>
      </c>
      <c r="I9">
        <v>47</v>
      </c>
      <c r="J9">
        <v>1252</v>
      </c>
      <c r="K9">
        <v>586</v>
      </c>
    </row>
    <row r="10" spans="1:11" x14ac:dyDescent="0.25">
      <c r="A10" t="s">
        <v>290</v>
      </c>
      <c r="B10">
        <v>382</v>
      </c>
      <c r="C10">
        <v>201</v>
      </c>
      <c r="D10">
        <v>448</v>
      </c>
      <c r="E10">
        <v>235</v>
      </c>
      <c r="F10">
        <v>532</v>
      </c>
      <c r="G10">
        <v>255</v>
      </c>
      <c r="H10">
        <v>1569</v>
      </c>
      <c r="I10">
        <v>840</v>
      </c>
      <c r="J10">
        <v>2931</v>
      </c>
      <c r="K10">
        <v>1531</v>
      </c>
    </row>
    <row r="11" spans="1:11" x14ac:dyDescent="0.25">
      <c r="A11" t="s">
        <v>291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165</v>
      </c>
      <c r="I11">
        <v>99</v>
      </c>
      <c r="J11">
        <v>165</v>
      </c>
      <c r="K11">
        <v>99</v>
      </c>
    </row>
    <row r="12" spans="1:11" x14ac:dyDescent="0.25">
      <c r="A12" t="s">
        <v>292</v>
      </c>
      <c r="B12">
        <v>205</v>
      </c>
      <c r="C12">
        <v>120</v>
      </c>
      <c r="D12">
        <v>115</v>
      </c>
      <c r="E12">
        <v>50</v>
      </c>
      <c r="F12">
        <v>443</v>
      </c>
      <c r="G12">
        <v>204</v>
      </c>
      <c r="H12">
        <v>413</v>
      </c>
      <c r="I12">
        <v>239</v>
      </c>
      <c r="J12">
        <v>1176</v>
      </c>
      <c r="K12">
        <v>613</v>
      </c>
    </row>
    <row r="13" spans="1:11" x14ac:dyDescent="0.25">
      <c r="A13" t="s">
        <v>293</v>
      </c>
      <c r="B13">
        <v>86</v>
      </c>
      <c r="C13">
        <v>30</v>
      </c>
      <c r="D13">
        <v>75</v>
      </c>
      <c r="E13">
        <v>42</v>
      </c>
      <c r="F13">
        <v>37</v>
      </c>
      <c r="G13">
        <v>15</v>
      </c>
      <c r="H13">
        <v>0</v>
      </c>
      <c r="I13">
        <v>0</v>
      </c>
      <c r="J13">
        <v>198</v>
      </c>
      <c r="K13">
        <v>87</v>
      </c>
    </row>
    <row r="14" spans="1:11" x14ac:dyDescent="0.25">
      <c r="A14" t="s">
        <v>294</v>
      </c>
      <c r="B14">
        <v>61</v>
      </c>
      <c r="C14">
        <v>35</v>
      </c>
      <c r="D14">
        <v>43</v>
      </c>
      <c r="E14">
        <v>23</v>
      </c>
      <c r="F14">
        <v>52</v>
      </c>
      <c r="G14">
        <v>23</v>
      </c>
      <c r="H14">
        <v>21</v>
      </c>
      <c r="I14">
        <v>9</v>
      </c>
      <c r="J14">
        <v>177</v>
      </c>
      <c r="K14">
        <v>90</v>
      </c>
    </row>
    <row r="15" spans="1:11" x14ac:dyDescent="0.25">
      <c r="A15" t="s">
        <v>295</v>
      </c>
      <c r="B15">
        <v>24</v>
      </c>
      <c r="C15">
        <v>11</v>
      </c>
      <c r="D15">
        <v>99</v>
      </c>
      <c r="E15">
        <v>45</v>
      </c>
      <c r="F15">
        <v>161</v>
      </c>
      <c r="G15">
        <v>74</v>
      </c>
      <c r="H15">
        <v>34</v>
      </c>
      <c r="I15">
        <v>22</v>
      </c>
      <c r="J15">
        <v>318</v>
      </c>
      <c r="K15">
        <v>152</v>
      </c>
    </row>
    <row r="16" spans="1:11" x14ac:dyDescent="0.25">
      <c r="A16" t="s">
        <v>296</v>
      </c>
      <c r="B16">
        <v>139</v>
      </c>
      <c r="C16">
        <v>59</v>
      </c>
      <c r="D16">
        <v>265</v>
      </c>
      <c r="E16">
        <v>128</v>
      </c>
      <c r="F16">
        <v>218</v>
      </c>
      <c r="G16">
        <v>90</v>
      </c>
      <c r="H16">
        <v>52</v>
      </c>
      <c r="I16">
        <v>30</v>
      </c>
      <c r="J16">
        <v>674</v>
      </c>
      <c r="K16">
        <v>307</v>
      </c>
    </row>
    <row r="17" spans="1:11" x14ac:dyDescent="0.25">
      <c r="A17" t="s">
        <v>297</v>
      </c>
      <c r="B17">
        <v>5763</v>
      </c>
      <c r="C17">
        <v>2849</v>
      </c>
      <c r="D17">
        <v>6028</v>
      </c>
      <c r="E17">
        <v>3026</v>
      </c>
      <c r="F17">
        <v>8660</v>
      </c>
      <c r="G17">
        <v>4281</v>
      </c>
      <c r="H17">
        <v>3820</v>
      </c>
      <c r="I17">
        <v>1832</v>
      </c>
      <c r="J17">
        <v>24271</v>
      </c>
      <c r="K17">
        <v>11988</v>
      </c>
    </row>
    <row r="18" spans="1:11" x14ac:dyDescent="0.25">
      <c r="A18" t="s">
        <v>298</v>
      </c>
      <c r="B18">
        <v>379</v>
      </c>
      <c r="C18">
        <v>161</v>
      </c>
      <c r="D18">
        <v>464</v>
      </c>
      <c r="E18">
        <v>209</v>
      </c>
      <c r="F18">
        <v>810</v>
      </c>
      <c r="G18">
        <v>372</v>
      </c>
      <c r="H18">
        <v>329</v>
      </c>
      <c r="I18">
        <v>151</v>
      </c>
      <c r="J18">
        <v>1982</v>
      </c>
      <c r="K18">
        <v>893</v>
      </c>
    </row>
    <row r="19" spans="1:11" x14ac:dyDescent="0.25">
      <c r="A19" t="s">
        <v>299</v>
      </c>
      <c r="B19">
        <v>13</v>
      </c>
      <c r="C19">
        <v>9</v>
      </c>
      <c r="D19">
        <v>21</v>
      </c>
      <c r="E19">
        <v>13</v>
      </c>
      <c r="F19">
        <v>11</v>
      </c>
      <c r="G19">
        <v>7</v>
      </c>
      <c r="H19">
        <v>15</v>
      </c>
      <c r="I19">
        <v>6</v>
      </c>
      <c r="J19">
        <v>60</v>
      </c>
      <c r="K19">
        <v>35</v>
      </c>
    </row>
    <row r="20" spans="1:11" x14ac:dyDescent="0.25">
      <c r="A20" t="s">
        <v>300</v>
      </c>
      <c r="B20">
        <v>38</v>
      </c>
      <c r="C20">
        <v>11</v>
      </c>
      <c r="D20">
        <v>78</v>
      </c>
      <c r="E20">
        <v>36</v>
      </c>
      <c r="F20">
        <v>61</v>
      </c>
      <c r="G20">
        <v>24</v>
      </c>
      <c r="H20">
        <v>0</v>
      </c>
      <c r="I20">
        <v>0</v>
      </c>
      <c r="J20">
        <v>177</v>
      </c>
      <c r="K20">
        <v>71</v>
      </c>
    </row>
    <row r="21" spans="1:11" x14ac:dyDescent="0.25">
      <c r="A21" t="s">
        <v>301</v>
      </c>
      <c r="B21">
        <v>0</v>
      </c>
      <c r="C21">
        <v>0</v>
      </c>
      <c r="D21">
        <v>43</v>
      </c>
      <c r="E21">
        <v>26</v>
      </c>
      <c r="F21">
        <v>54</v>
      </c>
      <c r="G21">
        <v>30</v>
      </c>
      <c r="H21">
        <v>596</v>
      </c>
      <c r="I21">
        <v>265</v>
      </c>
      <c r="J21">
        <v>693</v>
      </c>
      <c r="K21">
        <v>321</v>
      </c>
    </row>
    <row r="22" spans="1:11" x14ac:dyDescent="0.25">
      <c r="A22" t="s">
        <v>302</v>
      </c>
      <c r="B22">
        <v>237</v>
      </c>
      <c r="C22">
        <v>123</v>
      </c>
      <c r="D22">
        <v>279</v>
      </c>
      <c r="E22">
        <v>137</v>
      </c>
      <c r="F22">
        <v>336</v>
      </c>
      <c r="G22">
        <v>148</v>
      </c>
      <c r="H22">
        <v>141</v>
      </c>
      <c r="I22">
        <v>59</v>
      </c>
      <c r="J22">
        <v>993</v>
      </c>
      <c r="K22">
        <v>467</v>
      </c>
    </row>
    <row r="23" spans="1:11" x14ac:dyDescent="0.25">
      <c r="A23" t="s">
        <v>303</v>
      </c>
      <c r="B23">
        <v>1355</v>
      </c>
      <c r="C23">
        <v>676</v>
      </c>
      <c r="D23">
        <v>1353</v>
      </c>
      <c r="E23">
        <v>670</v>
      </c>
      <c r="F23">
        <v>1177</v>
      </c>
      <c r="G23">
        <v>643</v>
      </c>
      <c r="H23">
        <v>1838</v>
      </c>
      <c r="I23">
        <v>972</v>
      </c>
      <c r="J23">
        <v>5723</v>
      </c>
      <c r="K23">
        <v>2961</v>
      </c>
    </row>
    <row r="24" spans="1:11" x14ac:dyDescent="0.25">
      <c r="A24" t="s">
        <v>304</v>
      </c>
      <c r="B24">
        <v>93</v>
      </c>
      <c r="C24">
        <v>39</v>
      </c>
      <c r="D24">
        <v>125</v>
      </c>
      <c r="E24">
        <v>72</v>
      </c>
      <c r="F24">
        <v>114</v>
      </c>
      <c r="G24">
        <v>65</v>
      </c>
      <c r="H24">
        <v>134</v>
      </c>
      <c r="I24">
        <v>69</v>
      </c>
      <c r="J24">
        <v>466</v>
      </c>
      <c r="K24">
        <v>245</v>
      </c>
    </row>
    <row r="25" spans="1:11" x14ac:dyDescent="0.25">
      <c r="A25" t="s">
        <v>305</v>
      </c>
      <c r="B25">
        <v>32</v>
      </c>
      <c r="C25">
        <v>9</v>
      </c>
      <c r="D25">
        <v>74</v>
      </c>
      <c r="E25">
        <v>42</v>
      </c>
      <c r="F25">
        <v>66</v>
      </c>
      <c r="G25">
        <v>33</v>
      </c>
      <c r="H25">
        <v>208</v>
      </c>
      <c r="I25">
        <v>105</v>
      </c>
      <c r="J25">
        <v>380</v>
      </c>
      <c r="K25">
        <v>189</v>
      </c>
    </row>
    <row r="26" spans="1:11" x14ac:dyDescent="0.25">
      <c r="A26" t="s">
        <v>306</v>
      </c>
      <c r="B26">
        <v>92</v>
      </c>
      <c r="C26">
        <v>38</v>
      </c>
      <c r="D26">
        <v>330</v>
      </c>
      <c r="E26">
        <v>164</v>
      </c>
      <c r="F26">
        <v>418</v>
      </c>
      <c r="G26">
        <v>181</v>
      </c>
      <c r="H26">
        <v>340</v>
      </c>
      <c r="I26">
        <v>182</v>
      </c>
      <c r="J26">
        <v>1180</v>
      </c>
      <c r="K26">
        <v>565</v>
      </c>
    </row>
    <row r="27" spans="1:11" x14ac:dyDescent="0.25">
      <c r="A27" t="s">
        <v>307</v>
      </c>
      <c r="B27">
        <v>91</v>
      </c>
      <c r="C27">
        <v>46</v>
      </c>
      <c r="D27">
        <v>181</v>
      </c>
      <c r="E27">
        <v>86</v>
      </c>
      <c r="F27">
        <v>100</v>
      </c>
      <c r="G27">
        <v>50</v>
      </c>
      <c r="H27">
        <v>448</v>
      </c>
      <c r="I27">
        <v>209</v>
      </c>
      <c r="J27">
        <v>820</v>
      </c>
      <c r="K27">
        <v>391</v>
      </c>
    </row>
    <row r="28" spans="1:11" x14ac:dyDescent="0.25">
      <c r="A28" t="s">
        <v>266</v>
      </c>
      <c r="B28">
        <v>11242</v>
      </c>
      <c r="C28">
        <v>5575</v>
      </c>
      <c r="D28">
        <v>12472</v>
      </c>
      <c r="E28">
        <v>6214</v>
      </c>
      <c r="F28">
        <v>16714</v>
      </c>
      <c r="G28">
        <v>8191</v>
      </c>
      <c r="H28">
        <v>15576</v>
      </c>
      <c r="I28">
        <v>7851</v>
      </c>
      <c r="J28">
        <v>56004</v>
      </c>
      <c r="K28">
        <v>27831</v>
      </c>
    </row>
    <row r="29" spans="1:11" x14ac:dyDescent="0.25">
      <c r="A29" t="s">
        <v>459</v>
      </c>
      <c r="B29">
        <v>9972</v>
      </c>
      <c r="C29">
        <v>4926</v>
      </c>
      <c r="D29">
        <v>10576</v>
      </c>
      <c r="E29">
        <v>5224</v>
      </c>
      <c r="F29">
        <v>14254</v>
      </c>
      <c r="G29">
        <v>6987</v>
      </c>
      <c r="H29">
        <v>10448</v>
      </c>
      <c r="I29">
        <v>5134</v>
      </c>
      <c r="J29">
        <v>45250</v>
      </c>
      <c r="K29">
        <v>22271</v>
      </c>
    </row>
    <row r="30" spans="1:11" x14ac:dyDescent="0.25">
      <c r="A30" t="s">
        <v>460</v>
      </c>
      <c r="B30">
        <v>1270</v>
      </c>
      <c r="C30">
        <v>649</v>
      </c>
      <c r="D30">
        <v>1896</v>
      </c>
      <c r="E30">
        <v>990</v>
      </c>
      <c r="F30">
        <v>2460</v>
      </c>
      <c r="G30">
        <v>1204</v>
      </c>
      <c r="H30">
        <v>5128</v>
      </c>
      <c r="I30">
        <v>2717</v>
      </c>
      <c r="J30">
        <v>10754</v>
      </c>
      <c r="K30">
        <v>5560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FFC000"/>
  </sheetPr>
  <dimension ref="A1:S30"/>
  <sheetViews>
    <sheetView workbookViewId="0"/>
  </sheetViews>
  <sheetFormatPr defaultRowHeight="15" x14ac:dyDescent="0.25"/>
  <cols>
    <col min="1" max="1" width="18.85546875" customWidth="1"/>
    <col min="2" max="2" width="7.42578125" customWidth="1"/>
    <col min="3" max="3" width="7.85546875" customWidth="1"/>
    <col min="5" max="5" width="8.140625" customWidth="1"/>
    <col min="6" max="6" width="8.42578125" customWidth="1"/>
    <col min="7" max="7" width="7.85546875" customWidth="1"/>
    <col min="9" max="9" width="7.42578125" customWidth="1"/>
    <col min="10" max="10" width="7.85546875" customWidth="1"/>
    <col min="11" max="11" width="8.140625" customWidth="1"/>
    <col min="13" max="13" width="7.85546875" customWidth="1"/>
    <col min="16" max="16" width="7.42578125" customWidth="1"/>
    <col min="17" max="17" width="8" customWidth="1"/>
    <col min="18" max="18" width="8.42578125" customWidth="1"/>
    <col min="19" max="19" width="7.42578125" customWidth="1"/>
  </cols>
  <sheetData>
    <row r="1" spans="1:19" x14ac:dyDescent="0.25">
      <c r="A1" s="29" t="s">
        <v>709</v>
      </c>
      <c r="B1" s="29" t="s">
        <v>777</v>
      </c>
      <c r="C1" s="29"/>
      <c r="D1" s="29"/>
      <c r="E1" s="29"/>
      <c r="F1" s="29"/>
      <c r="G1" s="29"/>
      <c r="H1" s="29" t="s">
        <v>778</v>
      </c>
      <c r="I1" s="29"/>
      <c r="J1" s="29"/>
      <c r="K1" s="29"/>
      <c r="L1" s="29"/>
      <c r="M1" s="29"/>
      <c r="N1" s="29" t="s">
        <v>779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13</v>
      </c>
      <c r="C3">
        <v>21</v>
      </c>
      <c r="D3">
        <v>86</v>
      </c>
      <c r="E3">
        <v>93</v>
      </c>
      <c r="F3">
        <v>18</v>
      </c>
      <c r="G3">
        <v>1</v>
      </c>
      <c r="H3">
        <v>12</v>
      </c>
      <c r="I3">
        <v>14</v>
      </c>
      <c r="J3">
        <v>51</v>
      </c>
      <c r="K3">
        <v>39</v>
      </c>
      <c r="L3">
        <v>1</v>
      </c>
      <c r="M3">
        <v>0</v>
      </c>
      <c r="N3">
        <v>7</v>
      </c>
      <c r="O3">
        <v>5</v>
      </c>
      <c r="P3">
        <v>6</v>
      </c>
      <c r="Q3">
        <v>11</v>
      </c>
      <c r="R3">
        <v>1</v>
      </c>
      <c r="S3">
        <v>0</v>
      </c>
    </row>
    <row r="4" spans="1:19" x14ac:dyDescent="0.25">
      <c r="A4" t="s">
        <v>284</v>
      </c>
      <c r="B4">
        <v>14</v>
      </c>
      <c r="C4">
        <v>35</v>
      </c>
      <c r="D4">
        <v>41</v>
      </c>
      <c r="E4">
        <v>140</v>
      </c>
      <c r="F4">
        <v>23</v>
      </c>
      <c r="G4">
        <v>2</v>
      </c>
      <c r="H4">
        <v>9</v>
      </c>
      <c r="I4">
        <v>23</v>
      </c>
      <c r="J4">
        <v>14</v>
      </c>
      <c r="K4">
        <v>94</v>
      </c>
      <c r="L4">
        <v>7</v>
      </c>
      <c r="M4">
        <v>0</v>
      </c>
      <c r="N4">
        <v>2</v>
      </c>
      <c r="O4">
        <v>11</v>
      </c>
      <c r="P4">
        <v>15</v>
      </c>
      <c r="Q4">
        <v>28</v>
      </c>
      <c r="R4">
        <v>6</v>
      </c>
      <c r="S4">
        <v>1</v>
      </c>
    </row>
    <row r="5" spans="1:19" x14ac:dyDescent="0.25">
      <c r="A5" t="s">
        <v>285</v>
      </c>
      <c r="B5">
        <v>0</v>
      </c>
      <c r="C5">
        <v>2</v>
      </c>
      <c r="D5">
        <v>12</v>
      </c>
      <c r="E5">
        <v>38</v>
      </c>
      <c r="F5">
        <v>4</v>
      </c>
      <c r="G5">
        <v>0</v>
      </c>
      <c r="H5">
        <v>0</v>
      </c>
      <c r="I5">
        <v>0</v>
      </c>
      <c r="J5">
        <v>8</v>
      </c>
      <c r="K5">
        <v>15</v>
      </c>
      <c r="L5">
        <v>0</v>
      </c>
      <c r="M5">
        <v>0</v>
      </c>
      <c r="N5">
        <v>0</v>
      </c>
      <c r="O5">
        <v>0</v>
      </c>
      <c r="P5">
        <v>8</v>
      </c>
      <c r="Q5">
        <v>4</v>
      </c>
      <c r="R5">
        <v>2</v>
      </c>
      <c r="S5">
        <v>0</v>
      </c>
    </row>
    <row r="6" spans="1:19" x14ac:dyDescent="0.25">
      <c r="A6" t="s">
        <v>286</v>
      </c>
      <c r="B6">
        <v>5</v>
      </c>
      <c r="C6">
        <v>12</v>
      </c>
      <c r="D6">
        <v>20</v>
      </c>
      <c r="E6">
        <v>28</v>
      </c>
      <c r="F6">
        <v>10</v>
      </c>
      <c r="G6">
        <v>1</v>
      </c>
      <c r="H6">
        <v>4</v>
      </c>
      <c r="I6">
        <v>3</v>
      </c>
      <c r="J6">
        <v>11</v>
      </c>
      <c r="K6">
        <v>23</v>
      </c>
      <c r="L6">
        <v>1</v>
      </c>
      <c r="M6">
        <v>0</v>
      </c>
      <c r="N6">
        <v>4</v>
      </c>
      <c r="O6">
        <v>11</v>
      </c>
      <c r="P6">
        <v>11</v>
      </c>
      <c r="Q6">
        <v>7</v>
      </c>
      <c r="R6">
        <v>1</v>
      </c>
      <c r="S6">
        <v>0</v>
      </c>
    </row>
    <row r="7" spans="1:19" x14ac:dyDescent="0.25">
      <c r="A7" t="s">
        <v>287</v>
      </c>
      <c r="B7">
        <v>18</v>
      </c>
      <c r="C7">
        <v>28</v>
      </c>
      <c r="D7">
        <v>60</v>
      </c>
      <c r="E7">
        <v>40</v>
      </c>
      <c r="F7">
        <v>8</v>
      </c>
      <c r="G7">
        <v>1</v>
      </c>
      <c r="H7">
        <v>15</v>
      </c>
      <c r="I7">
        <v>2</v>
      </c>
      <c r="J7">
        <v>14</v>
      </c>
      <c r="K7">
        <v>24</v>
      </c>
      <c r="L7">
        <v>0</v>
      </c>
      <c r="M7">
        <v>0</v>
      </c>
      <c r="N7">
        <v>1</v>
      </c>
      <c r="O7">
        <v>1</v>
      </c>
      <c r="P7">
        <v>36</v>
      </c>
      <c r="Q7">
        <v>2</v>
      </c>
      <c r="R7">
        <v>0</v>
      </c>
      <c r="S7">
        <v>0</v>
      </c>
    </row>
    <row r="8" spans="1:19" x14ac:dyDescent="0.25">
      <c r="A8" t="s">
        <v>288</v>
      </c>
      <c r="B8">
        <v>9</v>
      </c>
      <c r="C8">
        <v>2</v>
      </c>
      <c r="D8">
        <v>1</v>
      </c>
      <c r="E8">
        <v>19</v>
      </c>
      <c r="F8">
        <v>4</v>
      </c>
      <c r="G8">
        <v>1</v>
      </c>
      <c r="H8">
        <v>6</v>
      </c>
      <c r="I8">
        <v>1</v>
      </c>
      <c r="J8">
        <v>1</v>
      </c>
      <c r="K8">
        <v>12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</row>
    <row r="9" spans="1:19" x14ac:dyDescent="0.25">
      <c r="A9" t="s">
        <v>289</v>
      </c>
      <c r="B9">
        <v>11</v>
      </c>
      <c r="C9">
        <v>16</v>
      </c>
      <c r="D9">
        <v>17</v>
      </c>
      <c r="E9">
        <v>19</v>
      </c>
      <c r="F9">
        <v>3</v>
      </c>
      <c r="G9">
        <v>0</v>
      </c>
      <c r="H9">
        <v>4</v>
      </c>
      <c r="I9">
        <v>8</v>
      </c>
      <c r="J9">
        <v>9</v>
      </c>
      <c r="K9">
        <v>12</v>
      </c>
      <c r="L9">
        <v>1</v>
      </c>
      <c r="M9">
        <v>0</v>
      </c>
      <c r="N9">
        <v>0</v>
      </c>
      <c r="O9">
        <v>8</v>
      </c>
      <c r="P9">
        <v>6</v>
      </c>
      <c r="Q9">
        <v>8</v>
      </c>
      <c r="R9">
        <v>1</v>
      </c>
      <c r="S9">
        <v>0</v>
      </c>
    </row>
    <row r="10" spans="1:19" x14ac:dyDescent="0.25">
      <c r="A10" t="s">
        <v>290</v>
      </c>
      <c r="B10">
        <v>19</v>
      </c>
      <c r="C10">
        <v>16</v>
      </c>
      <c r="D10">
        <v>96</v>
      </c>
      <c r="E10">
        <v>84</v>
      </c>
      <c r="F10">
        <v>11</v>
      </c>
      <c r="G10">
        <v>1</v>
      </c>
      <c r="H10">
        <v>11</v>
      </c>
      <c r="I10">
        <v>8</v>
      </c>
      <c r="J10">
        <v>58</v>
      </c>
      <c r="K10">
        <v>50</v>
      </c>
      <c r="L10">
        <v>1</v>
      </c>
      <c r="M10">
        <v>1</v>
      </c>
      <c r="N10">
        <v>1</v>
      </c>
      <c r="O10">
        <v>5</v>
      </c>
      <c r="P10">
        <v>8</v>
      </c>
      <c r="Q10">
        <v>10</v>
      </c>
      <c r="R10">
        <v>2</v>
      </c>
      <c r="S10">
        <v>0</v>
      </c>
    </row>
    <row r="11" spans="1:19" x14ac:dyDescent="0.25">
      <c r="A11" t="s">
        <v>291</v>
      </c>
      <c r="B11">
        <v>0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4</v>
      </c>
      <c r="C12">
        <v>4</v>
      </c>
      <c r="D12">
        <v>6</v>
      </c>
      <c r="E12">
        <v>9</v>
      </c>
      <c r="F12">
        <v>0</v>
      </c>
      <c r="G12">
        <v>0</v>
      </c>
      <c r="H12">
        <v>3</v>
      </c>
      <c r="I12">
        <v>1</v>
      </c>
      <c r="J12">
        <v>3</v>
      </c>
      <c r="K12">
        <v>5</v>
      </c>
      <c r="L12">
        <v>0</v>
      </c>
      <c r="M12">
        <v>0</v>
      </c>
      <c r="N12">
        <v>1</v>
      </c>
      <c r="O12">
        <v>1</v>
      </c>
      <c r="P12">
        <v>3</v>
      </c>
      <c r="Q12">
        <v>4</v>
      </c>
      <c r="R12">
        <v>0</v>
      </c>
      <c r="S12">
        <v>0</v>
      </c>
    </row>
    <row r="13" spans="1:19" x14ac:dyDescent="0.25">
      <c r="A13" t="s">
        <v>293</v>
      </c>
      <c r="B13">
        <v>5</v>
      </c>
      <c r="C13">
        <v>2</v>
      </c>
      <c r="D13">
        <v>1</v>
      </c>
      <c r="E13">
        <v>26</v>
      </c>
      <c r="F13">
        <v>1</v>
      </c>
      <c r="G13">
        <v>0</v>
      </c>
      <c r="H13">
        <v>5</v>
      </c>
      <c r="I13">
        <v>1</v>
      </c>
      <c r="J13">
        <v>0</v>
      </c>
      <c r="K13">
        <v>14</v>
      </c>
      <c r="L13">
        <v>0</v>
      </c>
      <c r="M13">
        <v>0</v>
      </c>
      <c r="N13">
        <v>2</v>
      </c>
      <c r="O13">
        <v>0</v>
      </c>
      <c r="P13">
        <v>1</v>
      </c>
      <c r="Q13">
        <v>14</v>
      </c>
      <c r="R13">
        <v>0</v>
      </c>
      <c r="S13">
        <v>0</v>
      </c>
    </row>
    <row r="14" spans="1:19" x14ac:dyDescent="0.25">
      <c r="A14" t="s">
        <v>294</v>
      </c>
      <c r="B14">
        <v>6</v>
      </c>
      <c r="C14">
        <v>4</v>
      </c>
      <c r="D14">
        <v>4</v>
      </c>
      <c r="E14">
        <v>2</v>
      </c>
      <c r="F14">
        <v>0</v>
      </c>
      <c r="G14">
        <v>0</v>
      </c>
      <c r="H14">
        <v>5</v>
      </c>
      <c r="I14">
        <v>4</v>
      </c>
      <c r="J14">
        <v>3</v>
      </c>
      <c r="K14">
        <v>2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4</v>
      </c>
      <c r="C16">
        <v>1</v>
      </c>
      <c r="D16">
        <v>6</v>
      </c>
      <c r="E16">
        <v>7</v>
      </c>
      <c r="F16">
        <v>1</v>
      </c>
      <c r="G16">
        <v>0</v>
      </c>
      <c r="H16">
        <v>2</v>
      </c>
      <c r="I16">
        <v>0</v>
      </c>
      <c r="J16">
        <v>4</v>
      </c>
      <c r="K16">
        <v>3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538</v>
      </c>
      <c r="C17">
        <v>521</v>
      </c>
      <c r="D17">
        <v>923</v>
      </c>
      <c r="E17">
        <v>2835</v>
      </c>
      <c r="F17">
        <v>357</v>
      </c>
      <c r="G17">
        <v>22</v>
      </c>
      <c r="H17">
        <v>364</v>
      </c>
      <c r="I17">
        <v>265</v>
      </c>
      <c r="J17">
        <v>495</v>
      </c>
      <c r="K17">
        <v>1881</v>
      </c>
      <c r="L17">
        <v>107</v>
      </c>
      <c r="M17">
        <v>4</v>
      </c>
      <c r="N17">
        <v>194</v>
      </c>
      <c r="O17">
        <v>187</v>
      </c>
      <c r="P17">
        <v>226</v>
      </c>
      <c r="Q17">
        <v>797</v>
      </c>
      <c r="R17">
        <v>75</v>
      </c>
      <c r="S17">
        <v>3</v>
      </c>
    </row>
    <row r="18" spans="1:19" x14ac:dyDescent="0.25">
      <c r="A18" t="s">
        <v>298</v>
      </c>
      <c r="B18">
        <v>7</v>
      </c>
      <c r="C18">
        <v>4</v>
      </c>
      <c r="D18">
        <v>28</v>
      </c>
      <c r="E18">
        <v>84</v>
      </c>
      <c r="F18">
        <v>13</v>
      </c>
      <c r="G18">
        <v>1</v>
      </c>
      <c r="H18">
        <v>7</v>
      </c>
      <c r="I18">
        <v>2</v>
      </c>
      <c r="J18">
        <v>20</v>
      </c>
      <c r="K18">
        <v>57</v>
      </c>
      <c r="L18">
        <v>3</v>
      </c>
      <c r="M18">
        <v>1</v>
      </c>
      <c r="N18">
        <v>7</v>
      </c>
      <c r="O18">
        <v>2</v>
      </c>
      <c r="P18">
        <v>7</v>
      </c>
      <c r="Q18">
        <v>23</v>
      </c>
      <c r="R18">
        <v>1</v>
      </c>
      <c r="S18">
        <v>0</v>
      </c>
    </row>
    <row r="19" spans="1:19" x14ac:dyDescent="0.25">
      <c r="A19" t="s">
        <v>299</v>
      </c>
      <c r="B19">
        <v>1</v>
      </c>
      <c r="C19">
        <v>0</v>
      </c>
      <c r="D19">
        <v>1</v>
      </c>
      <c r="E19">
        <v>3</v>
      </c>
      <c r="F19">
        <v>0</v>
      </c>
      <c r="G19">
        <v>0</v>
      </c>
      <c r="H19">
        <v>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2</v>
      </c>
      <c r="E20">
        <v>6</v>
      </c>
      <c r="F20">
        <v>2</v>
      </c>
      <c r="G20">
        <v>0</v>
      </c>
      <c r="H20">
        <v>0</v>
      </c>
      <c r="I20">
        <v>0</v>
      </c>
      <c r="J20">
        <v>2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7</v>
      </c>
      <c r="C21">
        <v>0</v>
      </c>
      <c r="D21">
        <v>1</v>
      </c>
      <c r="E21">
        <v>22</v>
      </c>
      <c r="F21">
        <v>4</v>
      </c>
      <c r="G21">
        <v>0</v>
      </c>
      <c r="H21">
        <v>4</v>
      </c>
      <c r="I21">
        <v>0</v>
      </c>
      <c r="J21">
        <v>1</v>
      </c>
      <c r="K21">
        <v>18</v>
      </c>
      <c r="L21">
        <v>3</v>
      </c>
      <c r="M21">
        <v>0</v>
      </c>
      <c r="N21">
        <v>1</v>
      </c>
      <c r="O21">
        <v>0</v>
      </c>
      <c r="P21">
        <v>0</v>
      </c>
      <c r="Q21">
        <v>6</v>
      </c>
      <c r="R21">
        <v>0</v>
      </c>
      <c r="S21">
        <v>0</v>
      </c>
    </row>
    <row r="22" spans="1:19" x14ac:dyDescent="0.25">
      <c r="A22" t="s">
        <v>302</v>
      </c>
      <c r="B22">
        <v>6</v>
      </c>
      <c r="C22">
        <v>8</v>
      </c>
      <c r="D22">
        <v>154</v>
      </c>
      <c r="E22">
        <v>11</v>
      </c>
      <c r="F22">
        <v>0</v>
      </c>
      <c r="G22">
        <v>0</v>
      </c>
      <c r="H22">
        <v>0</v>
      </c>
      <c r="I22">
        <v>3</v>
      </c>
      <c r="J22">
        <v>93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32</v>
      </c>
      <c r="C23">
        <v>26</v>
      </c>
      <c r="D23">
        <v>61</v>
      </c>
      <c r="E23">
        <v>143</v>
      </c>
      <c r="F23">
        <v>18</v>
      </c>
      <c r="G23">
        <v>0</v>
      </c>
      <c r="H23">
        <v>21</v>
      </c>
      <c r="I23">
        <v>18</v>
      </c>
      <c r="J23">
        <v>45</v>
      </c>
      <c r="K23">
        <v>98</v>
      </c>
      <c r="L23">
        <v>4</v>
      </c>
      <c r="M23">
        <v>0</v>
      </c>
      <c r="N23">
        <v>22</v>
      </c>
      <c r="O23">
        <v>9</v>
      </c>
      <c r="P23">
        <v>13</v>
      </c>
      <c r="Q23">
        <v>43</v>
      </c>
      <c r="R23">
        <v>5</v>
      </c>
      <c r="S23">
        <v>0</v>
      </c>
    </row>
    <row r="24" spans="1:19" x14ac:dyDescent="0.25">
      <c r="A24" t="s">
        <v>304</v>
      </c>
      <c r="B24">
        <v>0</v>
      </c>
      <c r="C24">
        <v>2</v>
      </c>
      <c r="D24">
        <v>6</v>
      </c>
      <c r="E24">
        <v>3</v>
      </c>
      <c r="F24">
        <v>0</v>
      </c>
      <c r="G24">
        <v>0</v>
      </c>
      <c r="H24">
        <v>0</v>
      </c>
      <c r="I24">
        <v>1</v>
      </c>
      <c r="J24">
        <v>5</v>
      </c>
      <c r="K24">
        <v>1</v>
      </c>
      <c r="L24">
        <v>0</v>
      </c>
      <c r="M24">
        <v>0</v>
      </c>
      <c r="N24">
        <v>0</v>
      </c>
      <c r="O24">
        <v>1</v>
      </c>
      <c r="P24">
        <v>4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0</v>
      </c>
      <c r="C25">
        <v>2</v>
      </c>
      <c r="D25">
        <v>40</v>
      </c>
      <c r="E25">
        <v>4</v>
      </c>
      <c r="F25">
        <v>2</v>
      </c>
      <c r="G25">
        <v>0</v>
      </c>
      <c r="H25">
        <v>0</v>
      </c>
      <c r="I25">
        <v>0</v>
      </c>
      <c r="J25">
        <v>30</v>
      </c>
      <c r="K25">
        <v>3</v>
      </c>
      <c r="L25">
        <v>0</v>
      </c>
      <c r="M25">
        <v>0</v>
      </c>
      <c r="N25">
        <v>0</v>
      </c>
      <c r="O25">
        <v>1</v>
      </c>
      <c r="P25">
        <v>0</v>
      </c>
      <c r="Q25">
        <v>3</v>
      </c>
      <c r="R25">
        <v>1</v>
      </c>
      <c r="S25">
        <v>0</v>
      </c>
    </row>
    <row r="26" spans="1:19" x14ac:dyDescent="0.25">
      <c r="A26" t="s">
        <v>306</v>
      </c>
      <c r="B26">
        <v>20</v>
      </c>
      <c r="C26">
        <v>13</v>
      </c>
      <c r="D26">
        <v>26</v>
      </c>
      <c r="E26">
        <v>52</v>
      </c>
      <c r="F26">
        <v>11</v>
      </c>
      <c r="G26">
        <v>0</v>
      </c>
      <c r="H26">
        <v>10</v>
      </c>
      <c r="I26">
        <v>9</v>
      </c>
      <c r="J26">
        <v>11</v>
      </c>
      <c r="K26">
        <v>30</v>
      </c>
      <c r="L26">
        <v>2</v>
      </c>
      <c r="M26">
        <v>0</v>
      </c>
      <c r="N26">
        <v>2</v>
      </c>
      <c r="O26">
        <v>0</v>
      </c>
      <c r="P26">
        <v>3</v>
      </c>
      <c r="Q26">
        <v>6</v>
      </c>
      <c r="R26">
        <v>1</v>
      </c>
      <c r="S26">
        <v>0</v>
      </c>
    </row>
    <row r="27" spans="1:19" x14ac:dyDescent="0.25">
      <c r="A27" t="s">
        <v>307</v>
      </c>
      <c r="B27">
        <v>9</v>
      </c>
      <c r="C27">
        <v>9</v>
      </c>
      <c r="D27">
        <v>13</v>
      </c>
      <c r="E27">
        <v>16</v>
      </c>
      <c r="F27">
        <v>1</v>
      </c>
      <c r="G27">
        <v>0</v>
      </c>
      <c r="H27">
        <v>5</v>
      </c>
      <c r="I27">
        <v>4</v>
      </c>
      <c r="J27">
        <v>5</v>
      </c>
      <c r="K27">
        <v>9</v>
      </c>
      <c r="L27">
        <v>0</v>
      </c>
      <c r="M27">
        <v>0</v>
      </c>
      <c r="N27">
        <v>1</v>
      </c>
      <c r="O27">
        <v>5</v>
      </c>
      <c r="P27">
        <v>3</v>
      </c>
      <c r="Q27">
        <v>3</v>
      </c>
      <c r="R27">
        <v>0</v>
      </c>
      <c r="S27">
        <v>0</v>
      </c>
    </row>
    <row r="28" spans="1:19" x14ac:dyDescent="0.25">
      <c r="A28" t="s">
        <v>266</v>
      </c>
      <c r="B28">
        <v>728</v>
      </c>
      <c r="C28">
        <v>729</v>
      </c>
      <c r="D28">
        <v>1609</v>
      </c>
      <c r="E28">
        <v>3689</v>
      </c>
      <c r="F28">
        <v>491</v>
      </c>
      <c r="G28">
        <v>30</v>
      </c>
      <c r="H28">
        <v>488</v>
      </c>
      <c r="I28">
        <v>367</v>
      </c>
      <c r="J28">
        <v>888</v>
      </c>
      <c r="K28">
        <v>2400</v>
      </c>
      <c r="L28">
        <v>131</v>
      </c>
      <c r="M28">
        <v>6</v>
      </c>
      <c r="N28">
        <v>247</v>
      </c>
      <c r="O28">
        <v>249</v>
      </c>
      <c r="P28">
        <v>351</v>
      </c>
      <c r="Q28">
        <v>970</v>
      </c>
      <c r="R28">
        <v>97</v>
      </c>
      <c r="S28">
        <v>4</v>
      </c>
    </row>
    <row r="29" spans="1:19" x14ac:dyDescent="0.25">
      <c r="A29" t="s">
        <v>459</v>
      </c>
      <c r="B29">
        <v>661</v>
      </c>
      <c r="C29">
        <v>675</v>
      </c>
      <c r="D29">
        <v>1457</v>
      </c>
      <c r="E29">
        <v>3492</v>
      </c>
      <c r="F29">
        <v>460</v>
      </c>
      <c r="G29">
        <v>26</v>
      </c>
      <c r="H29">
        <v>448</v>
      </c>
      <c r="I29">
        <v>346</v>
      </c>
      <c r="J29">
        <v>830</v>
      </c>
      <c r="K29">
        <v>2306</v>
      </c>
      <c r="L29">
        <v>129</v>
      </c>
      <c r="M29">
        <v>6</v>
      </c>
      <c r="N29">
        <v>236</v>
      </c>
      <c r="O29">
        <v>232</v>
      </c>
      <c r="P29">
        <v>293</v>
      </c>
      <c r="Q29">
        <v>927</v>
      </c>
      <c r="R29">
        <v>92</v>
      </c>
      <c r="S29">
        <v>3</v>
      </c>
    </row>
    <row r="30" spans="1:19" x14ac:dyDescent="0.25">
      <c r="A30" t="s">
        <v>460</v>
      </c>
      <c r="B30">
        <v>67</v>
      </c>
      <c r="C30">
        <v>54</v>
      </c>
      <c r="D30">
        <v>152</v>
      </c>
      <c r="E30">
        <v>197</v>
      </c>
      <c r="F30">
        <v>31</v>
      </c>
      <c r="G30">
        <v>4</v>
      </c>
      <c r="H30">
        <v>40</v>
      </c>
      <c r="I30">
        <v>21</v>
      </c>
      <c r="J30">
        <v>58</v>
      </c>
      <c r="K30">
        <v>94</v>
      </c>
      <c r="L30">
        <v>2</v>
      </c>
      <c r="M30">
        <v>0</v>
      </c>
      <c r="N30">
        <v>11</v>
      </c>
      <c r="O30">
        <v>17</v>
      </c>
      <c r="P30">
        <v>58</v>
      </c>
      <c r="Q30">
        <v>43</v>
      </c>
      <c r="R30">
        <v>5</v>
      </c>
      <c r="S30">
        <v>1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FFC000"/>
  </sheetPr>
  <dimension ref="A1:S30"/>
  <sheetViews>
    <sheetView workbookViewId="0"/>
  </sheetViews>
  <sheetFormatPr defaultRowHeight="15" x14ac:dyDescent="0.25"/>
  <cols>
    <col min="1" max="1" width="20" customWidth="1"/>
    <col min="2" max="2" width="7.140625" customWidth="1"/>
    <col min="5" max="5" width="8" customWidth="1"/>
    <col min="6" max="6" width="8.42578125" customWidth="1"/>
    <col min="7" max="7" width="7.140625" customWidth="1"/>
    <col min="8" max="8" width="7.85546875" customWidth="1"/>
    <col min="10" max="10" width="7.42578125" customWidth="1"/>
    <col min="11" max="11" width="8.42578125" customWidth="1"/>
    <col min="12" max="12" width="8.140625" customWidth="1"/>
    <col min="13" max="13" width="7.42578125" customWidth="1"/>
    <col min="14" max="14" width="8" customWidth="1"/>
    <col min="15" max="15" width="8.140625" customWidth="1"/>
    <col min="16" max="16" width="8" customWidth="1"/>
    <col min="18" max="18" width="8.85546875" customWidth="1"/>
    <col min="19" max="19" width="7.85546875" customWidth="1"/>
  </cols>
  <sheetData>
    <row r="1" spans="1:19" x14ac:dyDescent="0.25">
      <c r="A1" s="29" t="s">
        <v>709</v>
      </c>
      <c r="B1" s="29" t="s">
        <v>742</v>
      </c>
      <c r="C1" s="29"/>
      <c r="D1" s="29"/>
      <c r="E1" s="29"/>
      <c r="F1" s="29"/>
      <c r="G1" s="29"/>
      <c r="H1" s="29" t="s">
        <v>743</v>
      </c>
      <c r="I1" s="29"/>
      <c r="J1" s="29"/>
      <c r="K1" s="29"/>
      <c r="L1" s="29"/>
      <c r="M1" s="29"/>
      <c r="N1" s="29" t="s">
        <v>744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</v>
      </c>
      <c r="C3">
        <v>40</v>
      </c>
      <c r="D3">
        <v>512</v>
      </c>
      <c r="E3">
        <v>632</v>
      </c>
      <c r="F3">
        <v>19</v>
      </c>
      <c r="G3">
        <v>0</v>
      </c>
      <c r="H3">
        <v>1</v>
      </c>
      <c r="I3">
        <v>30</v>
      </c>
      <c r="J3">
        <v>304</v>
      </c>
      <c r="K3">
        <v>320</v>
      </c>
      <c r="L3">
        <v>4</v>
      </c>
      <c r="M3">
        <v>0</v>
      </c>
      <c r="N3">
        <v>0</v>
      </c>
      <c r="O3">
        <v>6</v>
      </c>
      <c r="P3">
        <v>60</v>
      </c>
      <c r="Q3">
        <v>55</v>
      </c>
      <c r="R3">
        <v>1</v>
      </c>
      <c r="S3">
        <v>0</v>
      </c>
    </row>
    <row r="4" spans="1:19" x14ac:dyDescent="0.25">
      <c r="A4" t="s">
        <v>284</v>
      </c>
      <c r="B4">
        <v>18</v>
      </c>
      <c r="C4">
        <v>34</v>
      </c>
      <c r="D4">
        <v>174</v>
      </c>
      <c r="E4">
        <v>500</v>
      </c>
      <c r="F4">
        <v>59</v>
      </c>
      <c r="G4">
        <v>0</v>
      </c>
      <c r="H4">
        <v>7</v>
      </c>
      <c r="I4">
        <v>17</v>
      </c>
      <c r="J4">
        <v>127</v>
      </c>
      <c r="K4">
        <v>288</v>
      </c>
      <c r="L4">
        <v>19</v>
      </c>
      <c r="M4">
        <v>0</v>
      </c>
      <c r="N4">
        <v>0</v>
      </c>
      <c r="O4">
        <v>1</v>
      </c>
      <c r="P4">
        <v>9</v>
      </c>
      <c r="Q4">
        <v>45</v>
      </c>
      <c r="R4">
        <v>0</v>
      </c>
      <c r="S4">
        <v>0</v>
      </c>
    </row>
    <row r="5" spans="1:19" x14ac:dyDescent="0.25">
      <c r="A5" t="s">
        <v>285</v>
      </c>
      <c r="B5">
        <v>3</v>
      </c>
      <c r="C5">
        <v>9</v>
      </c>
      <c r="D5">
        <v>88</v>
      </c>
      <c r="E5">
        <v>174</v>
      </c>
      <c r="F5">
        <v>1</v>
      </c>
      <c r="G5">
        <v>0</v>
      </c>
      <c r="H5">
        <v>1</v>
      </c>
      <c r="I5">
        <v>4</v>
      </c>
      <c r="J5">
        <v>64</v>
      </c>
      <c r="K5">
        <v>88</v>
      </c>
      <c r="L5">
        <v>1</v>
      </c>
      <c r="M5">
        <v>0</v>
      </c>
      <c r="N5">
        <v>0</v>
      </c>
      <c r="O5">
        <v>0</v>
      </c>
      <c r="P5">
        <v>8</v>
      </c>
      <c r="Q5">
        <v>10</v>
      </c>
      <c r="R5">
        <v>0</v>
      </c>
      <c r="S5">
        <v>0</v>
      </c>
    </row>
    <row r="6" spans="1:19" x14ac:dyDescent="0.25">
      <c r="A6" t="s">
        <v>286</v>
      </c>
      <c r="B6">
        <v>0</v>
      </c>
      <c r="C6">
        <v>11</v>
      </c>
      <c r="D6">
        <v>142</v>
      </c>
      <c r="E6">
        <v>156</v>
      </c>
      <c r="F6">
        <v>15</v>
      </c>
      <c r="G6">
        <v>0</v>
      </c>
      <c r="H6">
        <v>0</v>
      </c>
      <c r="I6">
        <v>6</v>
      </c>
      <c r="J6">
        <v>103</v>
      </c>
      <c r="K6">
        <v>93</v>
      </c>
      <c r="L6">
        <v>7</v>
      </c>
      <c r="M6">
        <v>0</v>
      </c>
      <c r="N6">
        <v>0</v>
      </c>
      <c r="O6">
        <v>3</v>
      </c>
      <c r="P6">
        <v>43</v>
      </c>
      <c r="Q6">
        <v>3</v>
      </c>
      <c r="R6">
        <v>1</v>
      </c>
      <c r="S6">
        <v>0</v>
      </c>
    </row>
    <row r="7" spans="1:19" x14ac:dyDescent="0.25">
      <c r="A7" t="s">
        <v>287</v>
      </c>
      <c r="B7">
        <v>3</v>
      </c>
      <c r="C7">
        <v>9</v>
      </c>
      <c r="D7">
        <v>186</v>
      </c>
      <c r="E7">
        <v>362</v>
      </c>
      <c r="F7">
        <v>36</v>
      </c>
      <c r="G7">
        <v>0</v>
      </c>
      <c r="H7">
        <v>3</v>
      </c>
      <c r="I7">
        <v>6</v>
      </c>
      <c r="J7">
        <v>131</v>
      </c>
      <c r="K7">
        <v>199</v>
      </c>
      <c r="L7">
        <v>9</v>
      </c>
      <c r="M7">
        <v>0</v>
      </c>
      <c r="N7">
        <v>1</v>
      </c>
      <c r="O7">
        <v>0</v>
      </c>
      <c r="P7">
        <v>11</v>
      </c>
      <c r="Q7">
        <v>35</v>
      </c>
      <c r="R7">
        <v>12</v>
      </c>
      <c r="S7">
        <v>0</v>
      </c>
    </row>
    <row r="8" spans="1:19" x14ac:dyDescent="0.25">
      <c r="A8" t="s">
        <v>288</v>
      </c>
      <c r="B8">
        <v>44</v>
      </c>
      <c r="C8">
        <v>5</v>
      </c>
      <c r="D8">
        <v>35</v>
      </c>
      <c r="E8">
        <v>98</v>
      </c>
      <c r="F8">
        <v>8</v>
      </c>
      <c r="G8">
        <v>0</v>
      </c>
      <c r="H8">
        <v>9</v>
      </c>
      <c r="I8">
        <v>4</v>
      </c>
      <c r="J8">
        <v>26</v>
      </c>
      <c r="K8">
        <v>48</v>
      </c>
      <c r="L8">
        <v>1</v>
      </c>
      <c r="M8">
        <v>0</v>
      </c>
      <c r="N8">
        <v>0</v>
      </c>
      <c r="O8">
        <v>1</v>
      </c>
      <c r="P8">
        <v>5</v>
      </c>
      <c r="Q8">
        <v>7</v>
      </c>
      <c r="R8">
        <v>0</v>
      </c>
      <c r="S8">
        <v>0</v>
      </c>
    </row>
    <row r="9" spans="1:19" x14ac:dyDescent="0.25">
      <c r="A9" t="s">
        <v>289</v>
      </c>
      <c r="B9">
        <v>19</v>
      </c>
      <c r="C9">
        <v>120</v>
      </c>
      <c r="D9">
        <v>145</v>
      </c>
      <c r="E9">
        <v>201</v>
      </c>
      <c r="F9">
        <v>14</v>
      </c>
      <c r="G9">
        <v>0</v>
      </c>
      <c r="H9">
        <v>7</v>
      </c>
      <c r="I9">
        <v>88</v>
      </c>
      <c r="J9">
        <v>81</v>
      </c>
      <c r="K9">
        <v>84</v>
      </c>
      <c r="L9">
        <v>1</v>
      </c>
      <c r="M9">
        <v>0</v>
      </c>
      <c r="N9">
        <v>1</v>
      </c>
      <c r="O9">
        <v>9</v>
      </c>
      <c r="P9">
        <v>11</v>
      </c>
      <c r="Q9">
        <v>9</v>
      </c>
      <c r="R9">
        <v>0</v>
      </c>
      <c r="S9">
        <v>0</v>
      </c>
    </row>
    <row r="10" spans="1:19" x14ac:dyDescent="0.25">
      <c r="A10" t="s">
        <v>290</v>
      </c>
      <c r="B10">
        <v>36</v>
      </c>
      <c r="C10">
        <v>40</v>
      </c>
      <c r="D10">
        <v>210</v>
      </c>
      <c r="E10">
        <v>362</v>
      </c>
      <c r="F10">
        <v>37</v>
      </c>
      <c r="G10">
        <v>0</v>
      </c>
      <c r="H10">
        <v>24</v>
      </c>
      <c r="I10">
        <v>17</v>
      </c>
      <c r="J10">
        <v>153</v>
      </c>
      <c r="K10">
        <v>185</v>
      </c>
      <c r="L10">
        <v>12</v>
      </c>
      <c r="M10">
        <v>0</v>
      </c>
      <c r="N10">
        <v>6</v>
      </c>
      <c r="O10">
        <v>2</v>
      </c>
      <c r="P10">
        <v>10</v>
      </c>
      <c r="Q10">
        <v>19</v>
      </c>
      <c r="R10">
        <v>0</v>
      </c>
      <c r="S10">
        <v>0</v>
      </c>
    </row>
    <row r="11" spans="1:19" x14ac:dyDescent="0.25">
      <c r="A11" t="s">
        <v>291</v>
      </c>
      <c r="B11">
        <v>4</v>
      </c>
      <c r="C11">
        <v>5</v>
      </c>
      <c r="D11">
        <v>3</v>
      </c>
      <c r="E11">
        <v>13</v>
      </c>
      <c r="F11">
        <v>1</v>
      </c>
      <c r="G11">
        <v>0</v>
      </c>
      <c r="H11">
        <v>3</v>
      </c>
      <c r="I11">
        <v>2</v>
      </c>
      <c r="J11">
        <v>2</v>
      </c>
      <c r="K11">
        <v>9</v>
      </c>
      <c r="L11">
        <v>1</v>
      </c>
      <c r="M11">
        <v>0</v>
      </c>
      <c r="N11">
        <v>3</v>
      </c>
      <c r="O11">
        <v>5</v>
      </c>
      <c r="P11">
        <v>1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23</v>
      </c>
      <c r="C12">
        <v>19</v>
      </c>
      <c r="D12">
        <v>109</v>
      </c>
      <c r="E12">
        <v>36</v>
      </c>
      <c r="F12">
        <v>3</v>
      </c>
      <c r="G12">
        <v>0</v>
      </c>
      <c r="H12">
        <v>12</v>
      </c>
      <c r="I12">
        <v>11</v>
      </c>
      <c r="J12">
        <v>78</v>
      </c>
      <c r="K12">
        <v>16</v>
      </c>
      <c r="L12">
        <v>1</v>
      </c>
      <c r="M12">
        <v>0</v>
      </c>
      <c r="N12">
        <v>0</v>
      </c>
      <c r="O12">
        <v>0</v>
      </c>
      <c r="P12">
        <v>10</v>
      </c>
      <c r="Q12">
        <v>3</v>
      </c>
      <c r="R12">
        <v>0</v>
      </c>
      <c r="S12">
        <v>0</v>
      </c>
    </row>
    <row r="13" spans="1:19" x14ac:dyDescent="0.25">
      <c r="A13" t="s">
        <v>293</v>
      </c>
      <c r="B13">
        <v>3</v>
      </c>
      <c r="C13">
        <v>3</v>
      </c>
      <c r="D13">
        <v>12</v>
      </c>
      <c r="E13">
        <v>51</v>
      </c>
      <c r="F13">
        <v>7</v>
      </c>
      <c r="G13">
        <v>0</v>
      </c>
      <c r="H13">
        <v>3</v>
      </c>
      <c r="I13">
        <v>3</v>
      </c>
      <c r="J13">
        <v>11</v>
      </c>
      <c r="K13">
        <v>23</v>
      </c>
      <c r="L13">
        <v>3</v>
      </c>
      <c r="M13">
        <v>0</v>
      </c>
      <c r="N13">
        <v>0</v>
      </c>
      <c r="O13">
        <v>0</v>
      </c>
      <c r="P13">
        <v>1</v>
      </c>
      <c r="Q13">
        <v>4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5</v>
      </c>
      <c r="D14">
        <v>11</v>
      </c>
      <c r="E14">
        <v>23</v>
      </c>
      <c r="F14">
        <v>1</v>
      </c>
      <c r="G14">
        <v>0</v>
      </c>
      <c r="H14">
        <v>0</v>
      </c>
      <c r="I14">
        <v>5</v>
      </c>
      <c r="J14">
        <v>11</v>
      </c>
      <c r="K14">
        <v>13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0</v>
      </c>
      <c r="C15">
        <v>2</v>
      </c>
      <c r="D15">
        <v>26</v>
      </c>
      <c r="E15">
        <v>1</v>
      </c>
      <c r="F15">
        <v>0</v>
      </c>
      <c r="G15">
        <v>0</v>
      </c>
      <c r="H15">
        <v>0</v>
      </c>
      <c r="I15">
        <v>2</v>
      </c>
      <c r="J15">
        <v>17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5</v>
      </c>
      <c r="D16">
        <v>49</v>
      </c>
      <c r="E16">
        <v>49</v>
      </c>
      <c r="F16">
        <v>0</v>
      </c>
      <c r="G16">
        <v>0</v>
      </c>
      <c r="H16">
        <v>0</v>
      </c>
      <c r="I16">
        <v>5</v>
      </c>
      <c r="J16">
        <v>47</v>
      </c>
      <c r="K16">
        <v>37</v>
      </c>
      <c r="L16">
        <v>0</v>
      </c>
      <c r="M16">
        <v>0</v>
      </c>
      <c r="N16">
        <v>0</v>
      </c>
      <c r="O16">
        <v>0</v>
      </c>
      <c r="P16">
        <v>12</v>
      </c>
      <c r="Q16">
        <v>4</v>
      </c>
      <c r="R16">
        <v>0</v>
      </c>
      <c r="S16">
        <v>0</v>
      </c>
    </row>
    <row r="17" spans="1:19" x14ac:dyDescent="0.25">
      <c r="A17" t="s">
        <v>297</v>
      </c>
      <c r="B17">
        <v>68</v>
      </c>
      <c r="C17">
        <v>368</v>
      </c>
      <c r="D17">
        <v>1774</v>
      </c>
      <c r="E17">
        <v>5693</v>
      </c>
      <c r="F17">
        <v>510</v>
      </c>
      <c r="G17">
        <v>12</v>
      </c>
      <c r="H17">
        <v>49</v>
      </c>
      <c r="I17">
        <v>271</v>
      </c>
      <c r="J17">
        <v>1211</v>
      </c>
      <c r="K17">
        <v>3176</v>
      </c>
      <c r="L17">
        <v>179</v>
      </c>
      <c r="M17">
        <v>6</v>
      </c>
      <c r="N17">
        <v>14</v>
      </c>
      <c r="O17">
        <v>18</v>
      </c>
      <c r="P17">
        <v>180</v>
      </c>
      <c r="Q17">
        <v>984</v>
      </c>
      <c r="R17">
        <v>52</v>
      </c>
      <c r="S17">
        <v>0</v>
      </c>
    </row>
    <row r="18" spans="1:19" x14ac:dyDescent="0.25">
      <c r="A18" t="s">
        <v>298</v>
      </c>
      <c r="B18">
        <v>8</v>
      </c>
      <c r="C18">
        <v>57</v>
      </c>
      <c r="D18">
        <v>193</v>
      </c>
      <c r="E18">
        <v>239</v>
      </c>
      <c r="F18">
        <v>14</v>
      </c>
      <c r="G18">
        <v>7</v>
      </c>
      <c r="H18">
        <v>7</v>
      </c>
      <c r="I18">
        <v>21</v>
      </c>
      <c r="J18">
        <v>126</v>
      </c>
      <c r="K18">
        <v>114</v>
      </c>
      <c r="L18">
        <v>4</v>
      </c>
      <c r="M18">
        <v>3</v>
      </c>
      <c r="N18">
        <v>0</v>
      </c>
      <c r="O18">
        <v>15</v>
      </c>
      <c r="P18">
        <v>24</v>
      </c>
      <c r="Q18">
        <v>39</v>
      </c>
      <c r="R18">
        <v>1</v>
      </c>
      <c r="S18">
        <v>0</v>
      </c>
    </row>
    <row r="19" spans="1:19" x14ac:dyDescent="0.25">
      <c r="A19" t="s">
        <v>299</v>
      </c>
      <c r="B19">
        <v>0</v>
      </c>
      <c r="C19">
        <v>0</v>
      </c>
      <c r="D19">
        <v>9</v>
      </c>
      <c r="E19">
        <v>12</v>
      </c>
      <c r="F19">
        <v>0</v>
      </c>
      <c r="G19">
        <v>0</v>
      </c>
      <c r="H19">
        <v>0</v>
      </c>
      <c r="I19">
        <v>0</v>
      </c>
      <c r="J19">
        <v>9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1</v>
      </c>
      <c r="C20">
        <v>2</v>
      </c>
      <c r="D20">
        <v>3</v>
      </c>
      <c r="E20">
        <v>34</v>
      </c>
      <c r="F20">
        <v>5</v>
      </c>
      <c r="G20">
        <v>0</v>
      </c>
      <c r="H20">
        <v>1</v>
      </c>
      <c r="I20">
        <v>1</v>
      </c>
      <c r="J20">
        <v>3</v>
      </c>
      <c r="K20">
        <v>24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12</v>
      </c>
      <c r="C21">
        <v>1</v>
      </c>
      <c r="D21">
        <v>21</v>
      </c>
      <c r="E21">
        <v>41</v>
      </c>
      <c r="F21">
        <v>2</v>
      </c>
      <c r="G21">
        <v>0</v>
      </c>
      <c r="H21">
        <v>12</v>
      </c>
      <c r="I21">
        <v>1</v>
      </c>
      <c r="J21">
        <v>14</v>
      </c>
      <c r="K21">
        <v>38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3</v>
      </c>
      <c r="D22">
        <v>143</v>
      </c>
      <c r="E22">
        <v>141</v>
      </c>
      <c r="F22">
        <v>3</v>
      </c>
      <c r="G22">
        <v>0</v>
      </c>
      <c r="H22">
        <v>0</v>
      </c>
      <c r="I22">
        <v>3</v>
      </c>
      <c r="J22">
        <v>89</v>
      </c>
      <c r="K22">
        <v>70</v>
      </c>
      <c r="L22">
        <v>0</v>
      </c>
      <c r="M22">
        <v>0</v>
      </c>
      <c r="N22">
        <v>0</v>
      </c>
      <c r="O22">
        <v>0</v>
      </c>
      <c r="P22">
        <v>2</v>
      </c>
      <c r="Q22">
        <v>2</v>
      </c>
      <c r="R22">
        <v>1</v>
      </c>
      <c r="S22">
        <v>0</v>
      </c>
    </row>
    <row r="23" spans="1:19" x14ac:dyDescent="0.25">
      <c r="A23" t="s">
        <v>303</v>
      </c>
      <c r="B23">
        <v>4</v>
      </c>
      <c r="C23">
        <v>12</v>
      </c>
      <c r="D23">
        <v>247</v>
      </c>
      <c r="E23">
        <v>632</v>
      </c>
      <c r="F23">
        <v>24</v>
      </c>
      <c r="G23">
        <v>2</v>
      </c>
      <c r="H23">
        <v>2</v>
      </c>
      <c r="I23">
        <v>7</v>
      </c>
      <c r="J23">
        <v>199</v>
      </c>
      <c r="K23">
        <v>396</v>
      </c>
      <c r="L23">
        <v>7</v>
      </c>
      <c r="M23">
        <v>0</v>
      </c>
      <c r="N23">
        <v>0</v>
      </c>
      <c r="O23">
        <v>3</v>
      </c>
      <c r="P23">
        <v>12</v>
      </c>
      <c r="Q23">
        <v>40</v>
      </c>
      <c r="R23">
        <v>1</v>
      </c>
      <c r="S23">
        <v>2</v>
      </c>
    </row>
    <row r="24" spans="1:19" x14ac:dyDescent="0.25">
      <c r="A24" t="s">
        <v>304</v>
      </c>
      <c r="B24">
        <v>0</v>
      </c>
      <c r="C24">
        <v>3</v>
      </c>
      <c r="D24">
        <v>31</v>
      </c>
      <c r="E24">
        <v>35</v>
      </c>
      <c r="F24">
        <v>0</v>
      </c>
      <c r="G24">
        <v>1</v>
      </c>
      <c r="H24">
        <v>0</v>
      </c>
      <c r="I24">
        <v>3</v>
      </c>
      <c r="J24">
        <v>21</v>
      </c>
      <c r="K24">
        <v>18</v>
      </c>
      <c r="L24">
        <v>0</v>
      </c>
      <c r="M24">
        <v>1</v>
      </c>
      <c r="N24">
        <v>0</v>
      </c>
      <c r="O24">
        <v>0</v>
      </c>
      <c r="P24">
        <v>3</v>
      </c>
      <c r="Q24">
        <v>10</v>
      </c>
      <c r="R24">
        <v>0</v>
      </c>
      <c r="S24">
        <v>0</v>
      </c>
    </row>
    <row r="25" spans="1:19" x14ac:dyDescent="0.25">
      <c r="A25" t="s">
        <v>305</v>
      </c>
      <c r="B25">
        <v>4</v>
      </c>
      <c r="C25">
        <v>5</v>
      </c>
      <c r="D25">
        <v>40</v>
      </c>
      <c r="E25">
        <v>17</v>
      </c>
      <c r="F25">
        <v>0</v>
      </c>
      <c r="G25">
        <v>0</v>
      </c>
      <c r="H25">
        <v>4</v>
      </c>
      <c r="I25">
        <v>5</v>
      </c>
      <c r="J25">
        <v>28</v>
      </c>
      <c r="K25">
        <v>17</v>
      </c>
      <c r="L25">
        <v>0</v>
      </c>
      <c r="M25">
        <v>0</v>
      </c>
      <c r="N25">
        <v>0</v>
      </c>
      <c r="O25">
        <v>0</v>
      </c>
      <c r="P25">
        <v>1</v>
      </c>
      <c r="Q25">
        <v>11</v>
      </c>
      <c r="R25">
        <v>0</v>
      </c>
      <c r="S25">
        <v>0</v>
      </c>
    </row>
    <row r="26" spans="1:19" x14ac:dyDescent="0.25">
      <c r="A26" t="s">
        <v>306</v>
      </c>
      <c r="B26">
        <v>7</v>
      </c>
      <c r="C26">
        <v>16</v>
      </c>
      <c r="D26">
        <v>94</v>
      </c>
      <c r="E26">
        <v>205</v>
      </c>
      <c r="F26">
        <v>24</v>
      </c>
      <c r="G26">
        <v>0</v>
      </c>
      <c r="H26">
        <v>4</v>
      </c>
      <c r="I26">
        <v>12</v>
      </c>
      <c r="J26">
        <v>48</v>
      </c>
      <c r="K26">
        <v>83</v>
      </c>
      <c r="L26">
        <v>5</v>
      </c>
      <c r="M26">
        <v>0</v>
      </c>
      <c r="N26">
        <v>0</v>
      </c>
      <c r="O26">
        <v>2</v>
      </c>
      <c r="P26">
        <v>10</v>
      </c>
      <c r="Q26">
        <v>12</v>
      </c>
      <c r="R26">
        <v>0</v>
      </c>
      <c r="S26">
        <v>0</v>
      </c>
    </row>
    <row r="27" spans="1:19" x14ac:dyDescent="0.25">
      <c r="A27" t="s">
        <v>307</v>
      </c>
      <c r="B27">
        <v>4</v>
      </c>
      <c r="C27">
        <v>14</v>
      </c>
      <c r="D27">
        <v>75</v>
      </c>
      <c r="E27">
        <v>168</v>
      </c>
      <c r="F27">
        <v>6</v>
      </c>
      <c r="G27">
        <v>1</v>
      </c>
      <c r="H27">
        <v>4</v>
      </c>
      <c r="I27">
        <v>8</v>
      </c>
      <c r="J27">
        <v>57</v>
      </c>
      <c r="K27">
        <v>104</v>
      </c>
      <c r="L27">
        <v>0</v>
      </c>
      <c r="M27">
        <v>1</v>
      </c>
      <c r="N27">
        <v>0</v>
      </c>
      <c r="O27">
        <v>0</v>
      </c>
      <c r="P27">
        <v>6</v>
      </c>
      <c r="Q27">
        <v>28</v>
      </c>
      <c r="R27">
        <v>0</v>
      </c>
      <c r="S27">
        <v>0</v>
      </c>
    </row>
    <row r="28" spans="1:19" x14ac:dyDescent="0.25">
      <c r="A28" t="s">
        <v>266</v>
      </c>
      <c r="B28">
        <v>262</v>
      </c>
      <c r="C28">
        <v>788</v>
      </c>
      <c r="D28">
        <v>4332</v>
      </c>
      <c r="E28">
        <v>9875</v>
      </c>
      <c r="F28">
        <v>789</v>
      </c>
      <c r="G28">
        <v>23</v>
      </c>
      <c r="H28">
        <v>153</v>
      </c>
      <c r="I28">
        <v>532</v>
      </c>
      <c r="J28">
        <v>2960</v>
      </c>
      <c r="K28">
        <v>5450</v>
      </c>
      <c r="L28">
        <v>255</v>
      </c>
      <c r="M28">
        <v>11</v>
      </c>
      <c r="N28">
        <v>25</v>
      </c>
      <c r="O28">
        <v>65</v>
      </c>
      <c r="P28">
        <v>420</v>
      </c>
      <c r="Q28">
        <v>1325</v>
      </c>
      <c r="R28">
        <v>69</v>
      </c>
      <c r="S28">
        <v>2</v>
      </c>
    </row>
    <row r="29" spans="1:19" x14ac:dyDescent="0.25">
      <c r="A29" t="s">
        <v>459</v>
      </c>
      <c r="B29">
        <v>160</v>
      </c>
      <c r="C29">
        <v>594</v>
      </c>
      <c r="D29">
        <v>3586</v>
      </c>
      <c r="E29">
        <v>8657</v>
      </c>
      <c r="F29">
        <v>698</v>
      </c>
      <c r="G29">
        <v>23</v>
      </c>
      <c r="H29">
        <v>111</v>
      </c>
      <c r="I29">
        <v>406</v>
      </c>
      <c r="J29">
        <v>2453</v>
      </c>
      <c r="K29">
        <v>4868</v>
      </c>
      <c r="L29">
        <v>233</v>
      </c>
      <c r="M29">
        <v>11</v>
      </c>
      <c r="N29">
        <v>15</v>
      </c>
      <c r="O29">
        <v>46</v>
      </c>
      <c r="P29">
        <v>342</v>
      </c>
      <c r="Q29">
        <v>1198</v>
      </c>
      <c r="R29">
        <v>57</v>
      </c>
      <c r="S29">
        <v>2</v>
      </c>
    </row>
    <row r="30" spans="1:19" x14ac:dyDescent="0.25">
      <c r="A30" t="s">
        <v>460</v>
      </c>
      <c r="B30">
        <v>102</v>
      </c>
      <c r="C30">
        <v>194</v>
      </c>
      <c r="D30">
        <v>746</v>
      </c>
      <c r="E30">
        <v>1218</v>
      </c>
      <c r="F30">
        <v>91</v>
      </c>
      <c r="G30">
        <v>0</v>
      </c>
      <c r="H30">
        <v>42</v>
      </c>
      <c r="I30">
        <v>126</v>
      </c>
      <c r="J30">
        <v>507</v>
      </c>
      <c r="K30">
        <v>582</v>
      </c>
      <c r="L30">
        <v>22</v>
      </c>
      <c r="M30">
        <v>0</v>
      </c>
      <c r="N30">
        <v>10</v>
      </c>
      <c r="O30">
        <v>19</v>
      </c>
      <c r="P30">
        <v>78</v>
      </c>
      <c r="Q30">
        <v>127</v>
      </c>
      <c r="R30">
        <v>12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A9D18E"/>
  </sheetPr>
  <dimension ref="A1:K30"/>
  <sheetViews>
    <sheetView workbookViewId="0"/>
  </sheetViews>
  <sheetFormatPr defaultRowHeight="15" x14ac:dyDescent="0.25"/>
  <cols>
    <col min="1" max="1" width="20.42578125" customWidth="1"/>
    <col min="2" max="2" width="14.42578125" customWidth="1"/>
    <col min="6" max="6" width="14.140625" customWidth="1"/>
    <col min="7" max="7" width="14.42578125" customWidth="1"/>
    <col min="11" max="11" width="14.140625" customWidth="1"/>
  </cols>
  <sheetData>
    <row r="1" spans="1:11" x14ac:dyDescent="0.25">
      <c r="A1" s="29" t="s">
        <v>709</v>
      </c>
      <c r="B1" s="29" t="s">
        <v>745</v>
      </c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750</v>
      </c>
      <c r="H2" t="s">
        <v>751</v>
      </c>
      <c r="I2" t="s">
        <v>752</v>
      </c>
      <c r="J2" t="s">
        <v>753</v>
      </c>
      <c r="K2" t="s">
        <v>754</v>
      </c>
    </row>
    <row r="3" spans="1:11" x14ac:dyDescent="0.25">
      <c r="A3" t="s">
        <v>283</v>
      </c>
      <c r="B3">
        <v>75</v>
      </c>
      <c r="C3">
        <v>38</v>
      </c>
      <c r="D3">
        <v>39</v>
      </c>
      <c r="E3">
        <v>69</v>
      </c>
      <c r="F3">
        <v>81</v>
      </c>
      <c r="G3">
        <v>40</v>
      </c>
      <c r="H3">
        <v>31</v>
      </c>
      <c r="I3">
        <v>95</v>
      </c>
      <c r="J3">
        <v>107</v>
      </c>
      <c r="K3">
        <v>110</v>
      </c>
    </row>
    <row r="4" spans="1:11" x14ac:dyDescent="0.25">
      <c r="A4" t="s">
        <v>284</v>
      </c>
      <c r="B4">
        <v>37</v>
      </c>
      <c r="C4">
        <v>29</v>
      </c>
      <c r="D4">
        <v>25</v>
      </c>
      <c r="E4">
        <v>29</v>
      </c>
      <c r="F4">
        <v>35</v>
      </c>
      <c r="G4">
        <v>5</v>
      </c>
      <c r="H4">
        <v>13</v>
      </c>
      <c r="I4">
        <v>24</v>
      </c>
      <c r="J4">
        <v>25</v>
      </c>
      <c r="K4">
        <v>29</v>
      </c>
    </row>
    <row r="5" spans="1:11" x14ac:dyDescent="0.25">
      <c r="A5" t="s">
        <v>285</v>
      </c>
      <c r="B5">
        <v>16</v>
      </c>
      <c r="C5">
        <v>6</v>
      </c>
      <c r="D5">
        <v>7</v>
      </c>
      <c r="E5">
        <v>9</v>
      </c>
      <c r="F5">
        <v>12</v>
      </c>
      <c r="G5">
        <v>0</v>
      </c>
      <c r="H5">
        <v>3</v>
      </c>
      <c r="I5">
        <v>6</v>
      </c>
      <c r="J5">
        <v>17</v>
      </c>
      <c r="K5">
        <v>17</v>
      </c>
    </row>
    <row r="6" spans="1:11" x14ac:dyDescent="0.25">
      <c r="A6" t="s">
        <v>286</v>
      </c>
      <c r="B6">
        <v>12</v>
      </c>
      <c r="C6">
        <v>11</v>
      </c>
      <c r="D6">
        <v>11</v>
      </c>
      <c r="E6">
        <v>11</v>
      </c>
      <c r="F6">
        <v>17</v>
      </c>
      <c r="G6">
        <v>5</v>
      </c>
      <c r="H6">
        <v>6</v>
      </c>
      <c r="I6">
        <v>22</v>
      </c>
      <c r="J6">
        <v>23</v>
      </c>
      <c r="K6">
        <v>23</v>
      </c>
    </row>
    <row r="7" spans="1:11" x14ac:dyDescent="0.25">
      <c r="A7" t="s">
        <v>287</v>
      </c>
      <c r="B7">
        <v>49</v>
      </c>
      <c r="C7">
        <v>25</v>
      </c>
      <c r="D7">
        <v>30</v>
      </c>
      <c r="E7">
        <v>38</v>
      </c>
      <c r="F7">
        <v>30</v>
      </c>
      <c r="G7">
        <v>10</v>
      </c>
      <c r="H7">
        <v>15</v>
      </c>
      <c r="I7">
        <v>30</v>
      </c>
      <c r="J7">
        <v>44</v>
      </c>
      <c r="K7">
        <v>44</v>
      </c>
    </row>
    <row r="8" spans="1:11" x14ac:dyDescent="0.25">
      <c r="A8" t="s">
        <v>288</v>
      </c>
      <c r="B8">
        <v>15</v>
      </c>
      <c r="C8">
        <v>8</v>
      </c>
      <c r="D8">
        <v>12</v>
      </c>
      <c r="E8">
        <v>11</v>
      </c>
      <c r="F8">
        <v>12</v>
      </c>
      <c r="G8">
        <v>5</v>
      </c>
      <c r="H8">
        <v>1</v>
      </c>
      <c r="I8">
        <v>15</v>
      </c>
      <c r="J8">
        <v>17</v>
      </c>
      <c r="K8">
        <v>17</v>
      </c>
    </row>
    <row r="9" spans="1:11" x14ac:dyDescent="0.25">
      <c r="A9" t="s">
        <v>289</v>
      </c>
      <c r="B9">
        <v>25</v>
      </c>
      <c r="C9">
        <v>15</v>
      </c>
      <c r="D9">
        <v>10</v>
      </c>
      <c r="E9">
        <v>19</v>
      </c>
      <c r="F9">
        <v>13</v>
      </c>
      <c r="G9">
        <v>2</v>
      </c>
      <c r="H9">
        <v>0</v>
      </c>
      <c r="I9">
        <v>12</v>
      </c>
      <c r="J9">
        <v>16</v>
      </c>
      <c r="K9">
        <v>17</v>
      </c>
    </row>
    <row r="10" spans="1:11" x14ac:dyDescent="0.25">
      <c r="A10" t="s">
        <v>290</v>
      </c>
      <c r="B10">
        <v>47</v>
      </c>
      <c r="C10">
        <v>21</v>
      </c>
      <c r="D10">
        <v>31</v>
      </c>
      <c r="E10">
        <v>42</v>
      </c>
      <c r="F10">
        <v>34</v>
      </c>
      <c r="G10">
        <v>1</v>
      </c>
      <c r="H10">
        <v>12</v>
      </c>
      <c r="I10">
        <v>32</v>
      </c>
      <c r="J10">
        <v>27</v>
      </c>
      <c r="K10">
        <v>27</v>
      </c>
    </row>
    <row r="11" spans="1:11" x14ac:dyDescent="0.25">
      <c r="A11" t="s">
        <v>291</v>
      </c>
      <c r="B11">
        <v>1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>
        <v>2</v>
      </c>
      <c r="J11">
        <v>4</v>
      </c>
      <c r="K11">
        <v>2</v>
      </c>
    </row>
    <row r="12" spans="1:11" x14ac:dyDescent="0.25">
      <c r="A12" t="s">
        <v>292</v>
      </c>
      <c r="B12">
        <v>22</v>
      </c>
      <c r="C12">
        <v>11</v>
      </c>
      <c r="D12">
        <v>9</v>
      </c>
      <c r="E12">
        <v>16</v>
      </c>
      <c r="F12">
        <v>6</v>
      </c>
      <c r="G12">
        <v>2</v>
      </c>
      <c r="H12">
        <v>2</v>
      </c>
      <c r="I12">
        <v>18</v>
      </c>
      <c r="J12">
        <v>21</v>
      </c>
      <c r="K12">
        <v>21</v>
      </c>
    </row>
    <row r="13" spans="1:11" x14ac:dyDescent="0.25">
      <c r="A13" t="s">
        <v>293</v>
      </c>
      <c r="B13">
        <v>6</v>
      </c>
      <c r="C13">
        <v>2</v>
      </c>
      <c r="D13">
        <v>4</v>
      </c>
      <c r="E13">
        <v>3</v>
      </c>
      <c r="F13">
        <v>3</v>
      </c>
      <c r="G13">
        <v>0</v>
      </c>
      <c r="H13">
        <v>0</v>
      </c>
      <c r="I13">
        <v>3</v>
      </c>
      <c r="J13">
        <v>4</v>
      </c>
      <c r="K13">
        <v>4</v>
      </c>
    </row>
    <row r="14" spans="1:11" x14ac:dyDescent="0.25">
      <c r="A14" t="s">
        <v>294</v>
      </c>
      <c r="B14">
        <v>7</v>
      </c>
      <c r="C14">
        <v>5</v>
      </c>
      <c r="D14">
        <v>0</v>
      </c>
      <c r="E14">
        <v>5</v>
      </c>
      <c r="F14">
        <v>3</v>
      </c>
      <c r="G14">
        <v>1</v>
      </c>
      <c r="H14">
        <v>0</v>
      </c>
      <c r="I14">
        <v>8</v>
      </c>
      <c r="J14">
        <v>8</v>
      </c>
      <c r="K14">
        <v>8</v>
      </c>
    </row>
    <row r="15" spans="1:11" x14ac:dyDescent="0.25">
      <c r="A15" t="s">
        <v>295</v>
      </c>
      <c r="B15">
        <v>3</v>
      </c>
      <c r="C15">
        <v>1</v>
      </c>
      <c r="D15">
        <v>2</v>
      </c>
      <c r="E15">
        <v>3</v>
      </c>
      <c r="F15">
        <v>1</v>
      </c>
      <c r="G15">
        <v>1</v>
      </c>
      <c r="H15">
        <v>0</v>
      </c>
      <c r="I15">
        <v>0</v>
      </c>
      <c r="J15">
        <v>1</v>
      </c>
      <c r="K15">
        <v>1</v>
      </c>
    </row>
    <row r="16" spans="1:11" x14ac:dyDescent="0.25">
      <c r="A16" t="s">
        <v>296</v>
      </c>
      <c r="B16">
        <v>13</v>
      </c>
      <c r="C16">
        <v>6</v>
      </c>
      <c r="D16">
        <v>4</v>
      </c>
      <c r="E16">
        <v>11</v>
      </c>
      <c r="F16">
        <v>4</v>
      </c>
      <c r="G16">
        <v>0</v>
      </c>
      <c r="H16">
        <v>0</v>
      </c>
      <c r="I16">
        <v>6</v>
      </c>
      <c r="J16">
        <v>1</v>
      </c>
      <c r="K16">
        <v>5</v>
      </c>
    </row>
    <row r="17" spans="1:11" x14ac:dyDescent="0.25">
      <c r="A17" t="s">
        <v>297</v>
      </c>
      <c r="B17">
        <v>469</v>
      </c>
      <c r="C17">
        <v>270</v>
      </c>
      <c r="D17">
        <v>346</v>
      </c>
      <c r="E17">
        <v>428</v>
      </c>
      <c r="F17">
        <v>495</v>
      </c>
      <c r="G17">
        <v>236</v>
      </c>
      <c r="H17">
        <v>214</v>
      </c>
      <c r="I17">
        <v>536</v>
      </c>
      <c r="J17">
        <v>599</v>
      </c>
      <c r="K17">
        <v>598</v>
      </c>
    </row>
    <row r="18" spans="1:11" x14ac:dyDescent="0.25">
      <c r="A18" t="s">
        <v>298</v>
      </c>
      <c r="B18">
        <v>24</v>
      </c>
      <c r="C18">
        <v>17</v>
      </c>
      <c r="D18">
        <v>15</v>
      </c>
      <c r="E18">
        <v>23</v>
      </c>
      <c r="F18">
        <v>28</v>
      </c>
      <c r="G18">
        <v>9</v>
      </c>
      <c r="H18">
        <v>3</v>
      </c>
      <c r="I18">
        <v>28</v>
      </c>
      <c r="J18">
        <v>33</v>
      </c>
      <c r="K18">
        <v>33</v>
      </c>
    </row>
    <row r="19" spans="1:11" x14ac:dyDescent="0.25">
      <c r="A19" t="s">
        <v>299</v>
      </c>
      <c r="B19">
        <v>4</v>
      </c>
      <c r="C19">
        <v>3</v>
      </c>
      <c r="D19">
        <v>1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300</v>
      </c>
      <c r="B20">
        <v>5</v>
      </c>
      <c r="C20">
        <v>3</v>
      </c>
      <c r="D20">
        <v>3</v>
      </c>
      <c r="E20">
        <v>5</v>
      </c>
      <c r="F20">
        <v>2</v>
      </c>
      <c r="G20">
        <v>5</v>
      </c>
      <c r="H20">
        <v>0</v>
      </c>
      <c r="I20">
        <v>7</v>
      </c>
      <c r="J20">
        <v>7</v>
      </c>
      <c r="K20">
        <v>7</v>
      </c>
    </row>
    <row r="21" spans="1:11" x14ac:dyDescent="0.25">
      <c r="A21" t="s">
        <v>301</v>
      </c>
      <c r="B21">
        <v>8</v>
      </c>
      <c r="C21">
        <v>1</v>
      </c>
      <c r="D21">
        <v>9</v>
      </c>
      <c r="E21">
        <v>9</v>
      </c>
      <c r="F21">
        <v>7</v>
      </c>
      <c r="G21">
        <v>5</v>
      </c>
      <c r="H21">
        <v>0</v>
      </c>
      <c r="I21">
        <v>8</v>
      </c>
      <c r="J21">
        <v>11</v>
      </c>
      <c r="K21">
        <v>11</v>
      </c>
    </row>
    <row r="22" spans="1:11" x14ac:dyDescent="0.25">
      <c r="A22" t="s">
        <v>302</v>
      </c>
      <c r="B22">
        <v>9</v>
      </c>
      <c r="C22">
        <v>4</v>
      </c>
      <c r="D22">
        <v>6</v>
      </c>
      <c r="E22">
        <v>7</v>
      </c>
      <c r="F22">
        <v>9</v>
      </c>
      <c r="G22">
        <v>9</v>
      </c>
      <c r="H22">
        <v>2</v>
      </c>
      <c r="I22">
        <v>11</v>
      </c>
      <c r="J22">
        <v>11</v>
      </c>
      <c r="K22">
        <v>11</v>
      </c>
    </row>
    <row r="23" spans="1:11" x14ac:dyDescent="0.25">
      <c r="A23" t="s">
        <v>303</v>
      </c>
      <c r="B23">
        <v>48</v>
      </c>
      <c r="C23">
        <v>30</v>
      </c>
      <c r="D23">
        <v>29</v>
      </c>
      <c r="E23">
        <v>41</v>
      </c>
      <c r="F23">
        <v>55</v>
      </c>
      <c r="G23">
        <v>17</v>
      </c>
      <c r="H23">
        <v>10</v>
      </c>
      <c r="I23">
        <v>56</v>
      </c>
      <c r="J23">
        <v>59</v>
      </c>
      <c r="K23">
        <v>61</v>
      </c>
    </row>
    <row r="24" spans="1:11" x14ac:dyDescent="0.25">
      <c r="A24" t="s">
        <v>304</v>
      </c>
      <c r="B24">
        <v>6</v>
      </c>
      <c r="C24">
        <v>4</v>
      </c>
      <c r="D24">
        <v>5</v>
      </c>
      <c r="E24">
        <v>4</v>
      </c>
      <c r="F24">
        <v>9</v>
      </c>
      <c r="G24">
        <v>4</v>
      </c>
      <c r="H24">
        <v>2</v>
      </c>
      <c r="I24">
        <v>9</v>
      </c>
      <c r="J24">
        <v>9</v>
      </c>
      <c r="K24">
        <v>9</v>
      </c>
    </row>
    <row r="25" spans="1:11" x14ac:dyDescent="0.25">
      <c r="A25" t="s">
        <v>305</v>
      </c>
      <c r="B25">
        <v>3</v>
      </c>
      <c r="C25">
        <v>2</v>
      </c>
      <c r="D25">
        <v>2</v>
      </c>
      <c r="E25">
        <v>0</v>
      </c>
      <c r="F25">
        <v>3</v>
      </c>
      <c r="G25">
        <v>2</v>
      </c>
      <c r="H25">
        <v>0</v>
      </c>
      <c r="I25">
        <v>7</v>
      </c>
      <c r="J25">
        <v>8</v>
      </c>
      <c r="K25">
        <v>8</v>
      </c>
    </row>
    <row r="26" spans="1:11" x14ac:dyDescent="0.25">
      <c r="A26" t="s">
        <v>306</v>
      </c>
      <c r="B26">
        <v>30</v>
      </c>
      <c r="C26">
        <v>16</v>
      </c>
      <c r="D26">
        <v>18</v>
      </c>
      <c r="E26">
        <v>23</v>
      </c>
      <c r="F26">
        <v>29</v>
      </c>
      <c r="G26">
        <v>3</v>
      </c>
      <c r="H26">
        <v>11</v>
      </c>
      <c r="I26">
        <v>14</v>
      </c>
      <c r="J26">
        <v>18</v>
      </c>
      <c r="K26">
        <v>26</v>
      </c>
    </row>
    <row r="27" spans="1:11" x14ac:dyDescent="0.25">
      <c r="A27" t="s">
        <v>307</v>
      </c>
      <c r="B27">
        <v>23</v>
      </c>
      <c r="C27">
        <v>18</v>
      </c>
      <c r="D27">
        <v>14</v>
      </c>
      <c r="E27">
        <v>20</v>
      </c>
      <c r="F27">
        <v>4</v>
      </c>
      <c r="G27">
        <v>7</v>
      </c>
      <c r="H27">
        <v>4</v>
      </c>
      <c r="I27">
        <v>9</v>
      </c>
      <c r="J27">
        <v>24</v>
      </c>
      <c r="K27">
        <v>23</v>
      </c>
    </row>
    <row r="28" spans="1:11" x14ac:dyDescent="0.25">
      <c r="A28" t="s">
        <v>266</v>
      </c>
      <c r="B28">
        <v>957</v>
      </c>
      <c r="C28">
        <v>547</v>
      </c>
      <c r="D28">
        <v>633</v>
      </c>
      <c r="E28">
        <v>829</v>
      </c>
      <c r="F28">
        <v>894</v>
      </c>
      <c r="G28">
        <v>371</v>
      </c>
      <c r="H28">
        <v>331</v>
      </c>
      <c r="I28">
        <v>958</v>
      </c>
      <c r="J28">
        <v>1094</v>
      </c>
      <c r="K28">
        <v>1112</v>
      </c>
    </row>
    <row r="29" spans="1:11" x14ac:dyDescent="0.25">
      <c r="A29" t="s">
        <v>459</v>
      </c>
      <c r="B29">
        <v>781</v>
      </c>
      <c r="C29">
        <v>447</v>
      </c>
      <c r="D29">
        <v>539</v>
      </c>
      <c r="E29">
        <v>686</v>
      </c>
      <c r="F29">
        <v>764</v>
      </c>
      <c r="G29">
        <v>346</v>
      </c>
      <c r="H29">
        <v>300</v>
      </c>
      <c r="I29">
        <v>843</v>
      </c>
      <c r="J29">
        <v>939</v>
      </c>
      <c r="K29">
        <v>943</v>
      </c>
    </row>
    <row r="30" spans="1:11" x14ac:dyDescent="0.25">
      <c r="A30" t="s">
        <v>460</v>
      </c>
      <c r="B30">
        <v>176</v>
      </c>
      <c r="C30">
        <v>100</v>
      </c>
      <c r="D30">
        <v>94</v>
      </c>
      <c r="E30">
        <v>143</v>
      </c>
      <c r="F30">
        <v>130</v>
      </c>
      <c r="G30">
        <v>25</v>
      </c>
      <c r="H30">
        <v>31</v>
      </c>
      <c r="I30">
        <v>115</v>
      </c>
      <c r="J30">
        <v>155</v>
      </c>
      <c r="K30">
        <v>169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A9D18E"/>
  </sheetPr>
  <dimension ref="A1:H30"/>
  <sheetViews>
    <sheetView workbookViewId="0"/>
  </sheetViews>
  <sheetFormatPr defaultRowHeight="15" x14ac:dyDescent="0.25"/>
  <cols>
    <col min="1" max="1" width="23.28515625" customWidth="1"/>
    <col min="2" max="2" width="19.85546875" customWidth="1"/>
    <col min="3" max="3" width="20" customWidth="1"/>
    <col min="7" max="7" width="20.140625" customWidth="1"/>
    <col min="8" max="8" width="20.42578125" customWidth="1"/>
  </cols>
  <sheetData>
    <row r="1" spans="1:8" x14ac:dyDescent="0.25">
      <c r="A1" s="29" t="s">
        <v>709</v>
      </c>
      <c r="B1" s="29" t="s">
        <v>520</v>
      </c>
      <c r="C1" s="29"/>
      <c r="D1" s="29"/>
      <c r="E1" s="29" t="s">
        <v>755</v>
      </c>
      <c r="F1" s="29"/>
      <c r="G1" s="29" t="s">
        <v>522</v>
      </c>
      <c r="H1" s="29"/>
    </row>
    <row r="2" spans="1:8" x14ac:dyDescent="0.25">
      <c r="A2" s="29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119</v>
      </c>
      <c r="C3">
        <v>1585</v>
      </c>
      <c r="D3">
        <v>794</v>
      </c>
      <c r="E3">
        <v>113</v>
      </c>
      <c r="F3">
        <v>1551</v>
      </c>
      <c r="G3">
        <v>6</v>
      </c>
      <c r="H3">
        <v>34</v>
      </c>
    </row>
    <row r="4" spans="1:8" x14ac:dyDescent="0.25">
      <c r="A4" t="s">
        <v>284</v>
      </c>
      <c r="B4">
        <v>72</v>
      </c>
      <c r="C4">
        <v>662</v>
      </c>
      <c r="D4">
        <v>408</v>
      </c>
      <c r="E4">
        <v>69</v>
      </c>
      <c r="F4">
        <v>649</v>
      </c>
      <c r="G4">
        <v>3</v>
      </c>
      <c r="H4">
        <v>13</v>
      </c>
    </row>
    <row r="5" spans="1:8" x14ac:dyDescent="0.25">
      <c r="A5" t="s">
        <v>285</v>
      </c>
      <c r="B5">
        <v>45</v>
      </c>
      <c r="C5">
        <v>416</v>
      </c>
      <c r="D5">
        <v>206</v>
      </c>
      <c r="E5">
        <v>42</v>
      </c>
      <c r="F5">
        <v>395</v>
      </c>
      <c r="G5">
        <v>3</v>
      </c>
      <c r="H5">
        <v>21</v>
      </c>
    </row>
    <row r="6" spans="1:8" x14ac:dyDescent="0.25">
      <c r="A6" t="s">
        <v>286</v>
      </c>
      <c r="B6">
        <v>36</v>
      </c>
      <c r="C6">
        <v>340</v>
      </c>
      <c r="D6">
        <v>179</v>
      </c>
      <c r="E6">
        <v>33</v>
      </c>
      <c r="F6">
        <v>289</v>
      </c>
      <c r="G6">
        <v>3</v>
      </c>
      <c r="H6">
        <v>51</v>
      </c>
    </row>
    <row r="7" spans="1:8" x14ac:dyDescent="0.25">
      <c r="A7" t="s">
        <v>287</v>
      </c>
      <c r="B7">
        <v>86</v>
      </c>
      <c r="C7">
        <v>710</v>
      </c>
      <c r="D7">
        <v>325</v>
      </c>
      <c r="E7">
        <v>83</v>
      </c>
      <c r="F7">
        <v>702</v>
      </c>
      <c r="G7">
        <v>3</v>
      </c>
      <c r="H7">
        <v>8</v>
      </c>
    </row>
    <row r="8" spans="1:8" x14ac:dyDescent="0.25">
      <c r="A8" t="s">
        <v>288</v>
      </c>
      <c r="B8">
        <v>55</v>
      </c>
      <c r="C8">
        <v>258</v>
      </c>
      <c r="D8">
        <v>129</v>
      </c>
      <c r="E8">
        <v>43</v>
      </c>
      <c r="F8">
        <v>241</v>
      </c>
      <c r="G8">
        <v>12</v>
      </c>
      <c r="H8">
        <v>17</v>
      </c>
    </row>
    <row r="9" spans="1:8" x14ac:dyDescent="0.25">
      <c r="A9" t="s">
        <v>289</v>
      </c>
      <c r="B9">
        <v>62</v>
      </c>
      <c r="C9">
        <v>503</v>
      </c>
      <c r="D9">
        <v>222</v>
      </c>
      <c r="E9">
        <v>61</v>
      </c>
      <c r="F9">
        <v>500</v>
      </c>
      <c r="G9">
        <v>1</v>
      </c>
      <c r="H9">
        <v>3</v>
      </c>
    </row>
    <row r="10" spans="1:8" x14ac:dyDescent="0.25">
      <c r="A10" t="s">
        <v>290</v>
      </c>
      <c r="B10">
        <v>95</v>
      </c>
      <c r="C10">
        <v>1386</v>
      </c>
      <c r="D10">
        <v>518</v>
      </c>
      <c r="E10">
        <v>91</v>
      </c>
      <c r="F10">
        <v>1386</v>
      </c>
      <c r="G10">
        <v>4</v>
      </c>
      <c r="H10">
        <v>0</v>
      </c>
    </row>
    <row r="11" spans="1:8" x14ac:dyDescent="0.25">
      <c r="A11" t="s">
        <v>291</v>
      </c>
      <c r="B11">
        <v>9</v>
      </c>
      <c r="C11">
        <v>26</v>
      </c>
      <c r="D11">
        <v>19</v>
      </c>
      <c r="E11">
        <v>8</v>
      </c>
      <c r="F11">
        <v>24</v>
      </c>
      <c r="G11">
        <v>1</v>
      </c>
      <c r="H11">
        <v>2</v>
      </c>
    </row>
    <row r="12" spans="1:8" x14ac:dyDescent="0.25">
      <c r="A12" t="s">
        <v>292</v>
      </c>
      <c r="B12">
        <v>58</v>
      </c>
      <c r="C12">
        <v>249</v>
      </c>
      <c r="D12">
        <v>143</v>
      </c>
      <c r="E12">
        <v>53</v>
      </c>
      <c r="F12">
        <v>225</v>
      </c>
      <c r="G12">
        <v>5</v>
      </c>
      <c r="H12">
        <v>24</v>
      </c>
    </row>
    <row r="13" spans="1:8" x14ac:dyDescent="0.25">
      <c r="A13" t="s">
        <v>293</v>
      </c>
      <c r="B13">
        <v>12</v>
      </c>
      <c r="C13">
        <v>74</v>
      </c>
      <c r="D13">
        <v>34</v>
      </c>
      <c r="E13">
        <v>11</v>
      </c>
      <c r="F13">
        <v>71</v>
      </c>
      <c r="G13">
        <v>1</v>
      </c>
      <c r="H13">
        <v>3</v>
      </c>
    </row>
    <row r="14" spans="1:8" x14ac:dyDescent="0.25">
      <c r="A14" t="s">
        <v>294</v>
      </c>
      <c r="B14">
        <v>7</v>
      </c>
      <c r="C14">
        <v>35</v>
      </c>
      <c r="D14">
        <v>20</v>
      </c>
      <c r="E14">
        <v>7</v>
      </c>
      <c r="F14">
        <v>35</v>
      </c>
      <c r="G14">
        <v>0</v>
      </c>
      <c r="H14">
        <v>0</v>
      </c>
    </row>
    <row r="15" spans="1:8" x14ac:dyDescent="0.25">
      <c r="A15" t="s">
        <v>295</v>
      </c>
      <c r="B15">
        <v>8</v>
      </c>
      <c r="C15">
        <v>51</v>
      </c>
      <c r="D15">
        <v>30</v>
      </c>
      <c r="E15">
        <v>8</v>
      </c>
      <c r="F15">
        <v>51</v>
      </c>
      <c r="G15">
        <v>0</v>
      </c>
      <c r="H15">
        <v>0</v>
      </c>
    </row>
    <row r="16" spans="1:8" x14ac:dyDescent="0.25">
      <c r="A16" t="s">
        <v>296</v>
      </c>
      <c r="B16">
        <v>26</v>
      </c>
      <c r="C16">
        <v>182</v>
      </c>
      <c r="D16">
        <v>94</v>
      </c>
      <c r="E16">
        <v>23</v>
      </c>
      <c r="F16">
        <v>177</v>
      </c>
      <c r="G16">
        <v>3</v>
      </c>
      <c r="H16">
        <v>5</v>
      </c>
    </row>
    <row r="17" spans="1:8" x14ac:dyDescent="0.25">
      <c r="A17" t="s">
        <v>297</v>
      </c>
      <c r="B17">
        <v>676</v>
      </c>
      <c r="C17">
        <v>12292</v>
      </c>
      <c r="D17">
        <v>5166</v>
      </c>
      <c r="E17">
        <v>667</v>
      </c>
      <c r="F17">
        <v>12259</v>
      </c>
      <c r="G17">
        <v>9</v>
      </c>
      <c r="H17">
        <v>33</v>
      </c>
    </row>
    <row r="18" spans="1:8" x14ac:dyDescent="0.25">
      <c r="A18" t="s">
        <v>298</v>
      </c>
      <c r="B18">
        <v>51</v>
      </c>
      <c r="C18">
        <v>687</v>
      </c>
      <c r="D18">
        <v>307</v>
      </c>
      <c r="E18">
        <v>46</v>
      </c>
      <c r="F18">
        <v>677</v>
      </c>
      <c r="G18">
        <v>5</v>
      </c>
      <c r="H18">
        <v>10</v>
      </c>
    </row>
    <row r="19" spans="1:8" x14ac:dyDescent="0.25">
      <c r="A19" t="s">
        <v>299</v>
      </c>
      <c r="B19">
        <v>8</v>
      </c>
      <c r="C19">
        <v>40</v>
      </c>
      <c r="D19">
        <v>36</v>
      </c>
      <c r="E19">
        <v>6</v>
      </c>
      <c r="F19">
        <v>31</v>
      </c>
      <c r="G19">
        <v>2</v>
      </c>
      <c r="H19">
        <v>9</v>
      </c>
    </row>
    <row r="20" spans="1:8" x14ac:dyDescent="0.25">
      <c r="A20" t="s">
        <v>300</v>
      </c>
      <c r="B20">
        <v>15</v>
      </c>
      <c r="C20">
        <v>71</v>
      </c>
      <c r="D20">
        <v>26</v>
      </c>
      <c r="E20">
        <v>14</v>
      </c>
      <c r="F20">
        <v>70</v>
      </c>
      <c r="G20">
        <v>1</v>
      </c>
      <c r="H20">
        <v>1</v>
      </c>
    </row>
    <row r="21" spans="1:8" x14ac:dyDescent="0.25">
      <c r="A21" t="s">
        <v>301</v>
      </c>
      <c r="B21">
        <v>16</v>
      </c>
      <c r="C21">
        <v>108</v>
      </c>
      <c r="D21">
        <v>44</v>
      </c>
      <c r="E21">
        <v>15</v>
      </c>
      <c r="F21">
        <v>100</v>
      </c>
      <c r="G21">
        <v>1</v>
      </c>
      <c r="H21">
        <v>8</v>
      </c>
    </row>
    <row r="22" spans="1:8" x14ac:dyDescent="0.25">
      <c r="A22" t="s">
        <v>302</v>
      </c>
      <c r="B22">
        <v>31</v>
      </c>
      <c r="C22">
        <v>284</v>
      </c>
      <c r="D22">
        <v>103</v>
      </c>
      <c r="E22">
        <v>31</v>
      </c>
      <c r="F22">
        <v>284</v>
      </c>
      <c r="G22">
        <v>0</v>
      </c>
      <c r="H22">
        <v>0</v>
      </c>
    </row>
    <row r="23" spans="1:8" x14ac:dyDescent="0.25">
      <c r="A23" t="s">
        <v>303</v>
      </c>
      <c r="B23">
        <v>102</v>
      </c>
      <c r="C23">
        <v>959</v>
      </c>
      <c r="D23">
        <v>483</v>
      </c>
      <c r="E23">
        <v>93</v>
      </c>
      <c r="F23">
        <v>912</v>
      </c>
      <c r="G23">
        <v>9</v>
      </c>
      <c r="H23">
        <v>47</v>
      </c>
    </row>
    <row r="24" spans="1:8" x14ac:dyDescent="0.25">
      <c r="A24" t="s">
        <v>304</v>
      </c>
      <c r="B24">
        <v>7</v>
      </c>
      <c r="C24">
        <v>47</v>
      </c>
      <c r="D24">
        <v>40</v>
      </c>
      <c r="E24">
        <v>7</v>
      </c>
      <c r="F24">
        <v>45</v>
      </c>
      <c r="G24">
        <v>0</v>
      </c>
      <c r="H24">
        <v>2</v>
      </c>
    </row>
    <row r="25" spans="1:8" x14ac:dyDescent="0.25">
      <c r="A25" t="s">
        <v>305</v>
      </c>
      <c r="B25">
        <v>8</v>
      </c>
      <c r="C25">
        <v>84</v>
      </c>
      <c r="D25">
        <v>41</v>
      </c>
      <c r="E25">
        <v>8</v>
      </c>
      <c r="F25">
        <v>84</v>
      </c>
      <c r="G25">
        <v>0</v>
      </c>
      <c r="H25">
        <v>0</v>
      </c>
    </row>
    <row r="26" spans="1:8" x14ac:dyDescent="0.25">
      <c r="A26" t="s">
        <v>306</v>
      </c>
      <c r="B26">
        <v>60</v>
      </c>
      <c r="C26">
        <v>358</v>
      </c>
      <c r="D26">
        <v>169</v>
      </c>
      <c r="E26">
        <v>46</v>
      </c>
      <c r="F26">
        <v>316</v>
      </c>
      <c r="G26">
        <v>14</v>
      </c>
      <c r="H26">
        <v>42</v>
      </c>
    </row>
    <row r="27" spans="1:8" x14ac:dyDescent="0.25">
      <c r="A27" t="s">
        <v>307</v>
      </c>
      <c r="B27">
        <v>46</v>
      </c>
      <c r="C27">
        <v>453</v>
      </c>
      <c r="D27">
        <v>187</v>
      </c>
      <c r="E27">
        <v>44</v>
      </c>
      <c r="F27">
        <v>445</v>
      </c>
      <c r="G27">
        <v>2</v>
      </c>
      <c r="H27">
        <v>8</v>
      </c>
    </row>
    <row r="28" spans="1:8" x14ac:dyDescent="0.25">
      <c r="A28" t="s">
        <v>266</v>
      </c>
      <c r="B28">
        <v>1710</v>
      </c>
      <c r="C28">
        <v>21860</v>
      </c>
      <c r="D28">
        <v>9723</v>
      </c>
      <c r="E28">
        <v>1622</v>
      </c>
      <c r="F28">
        <v>21519</v>
      </c>
      <c r="G28">
        <v>88</v>
      </c>
      <c r="H28">
        <v>341</v>
      </c>
    </row>
    <row r="29" spans="1:8" x14ac:dyDescent="0.25">
      <c r="A29" t="s">
        <v>459</v>
      </c>
      <c r="B29">
        <v>1274</v>
      </c>
      <c r="C29">
        <v>18970</v>
      </c>
      <c r="D29">
        <v>8201</v>
      </c>
      <c r="E29">
        <v>1231</v>
      </c>
      <c r="F29">
        <v>18784</v>
      </c>
      <c r="G29">
        <v>43</v>
      </c>
      <c r="H29">
        <v>186</v>
      </c>
    </row>
    <row r="30" spans="1:8" x14ac:dyDescent="0.25">
      <c r="A30" t="s">
        <v>460</v>
      </c>
      <c r="B30">
        <v>436</v>
      </c>
      <c r="C30">
        <v>2890</v>
      </c>
      <c r="D30">
        <v>1522</v>
      </c>
      <c r="E30">
        <v>391</v>
      </c>
      <c r="F30">
        <v>2735</v>
      </c>
      <c r="G30">
        <v>45</v>
      </c>
      <c r="H30">
        <v>155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A9D18E"/>
  </sheetPr>
  <dimension ref="A1:L30"/>
  <sheetViews>
    <sheetView workbookViewId="0"/>
  </sheetViews>
  <sheetFormatPr defaultRowHeight="15" x14ac:dyDescent="0.25"/>
  <cols>
    <col min="1" max="1" width="19.42578125" customWidth="1"/>
    <col min="2" max="2" width="12.85546875" customWidth="1"/>
    <col min="3" max="3" width="13.140625" customWidth="1"/>
    <col min="5" max="5" width="12.85546875" customWidth="1"/>
    <col min="6" max="6" width="13.140625" customWidth="1"/>
    <col min="8" max="8" width="12.85546875" customWidth="1"/>
    <col min="9" max="9" width="13.140625" customWidth="1"/>
    <col min="11" max="11" width="12.85546875" customWidth="1"/>
    <col min="12" max="12" width="13.140625" customWidth="1"/>
  </cols>
  <sheetData>
    <row r="1" spans="1:12" x14ac:dyDescent="0.25">
      <c r="A1" s="29" t="s">
        <v>709</v>
      </c>
      <c r="B1" s="29" t="s">
        <v>531</v>
      </c>
      <c r="C1" s="29"/>
      <c r="D1" s="29" t="s">
        <v>756</v>
      </c>
      <c r="E1" s="29" t="s">
        <v>757</v>
      </c>
      <c r="F1" s="29" t="s">
        <v>534</v>
      </c>
      <c r="G1" s="29"/>
      <c r="H1" s="29"/>
      <c r="I1" s="29"/>
      <c r="J1" s="29"/>
      <c r="K1" s="29"/>
      <c r="L1" s="29"/>
    </row>
    <row r="2" spans="1:12" x14ac:dyDescent="0.25">
      <c r="A2" s="29"/>
      <c r="B2" t="s">
        <v>535</v>
      </c>
      <c r="C2" t="s">
        <v>536</v>
      </c>
      <c r="D2" s="29"/>
      <c r="E2" s="29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12700</v>
      </c>
      <c r="C3">
        <v>1774</v>
      </c>
      <c r="D3">
        <v>0.8</v>
      </c>
      <c r="E3">
        <v>7</v>
      </c>
      <c r="F3">
        <v>21</v>
      </c>
      <c r="G3">
        <v>39</v>
      </c>
      <c r="H3">
        <v>19</v>
      </c>
      <c r="I3">
        <v>7</v>
      </c>
      <c r="J3">
        <v>30</v>
      </c>
      <c r="K3">
        <v>8</v>
      </c>
      <c r="L3">
        <v>20</v>
      </c>
    </row>
    <row r="4" spans="1:12" x14ac:dyDescent="0.25">
      <c r="A4" t="s">
        <v>284</v>
      </c>
      <c r="B4">
        <v>4580</v>
      </c>
      <c r="C4">
        <v>2212</v>
      </c>
      <c r="D4">
        <v>0.6</v>
      </c>
      <c r="E4">
        <v>9</v>
      </c>
      <c r="F4">
        <v>19</v>
      </c>
      <c r="G4">
        <v>23</v>
      </c>
      <c r="H4">
        <v>19</v>
      </c>
      <c r="I4">
        <v>7</v>
      </c>
      <c r="J4">
        <v>9</v>
      </c>
      <c r="K4">
        <v>3</v>
      </c>
      <c r="L4">
        <v>0</v>
      </c>
    </row>
    <row r="5" spans="1:12" x14ac:dyDescent="0.25">
      <c r="A5" t="s">
        <v>285</v>
      </c>
      <c r="B5">
        <v>29150</v>
      </c>
      <c r="C5">
        <v>3092</v>
      </c>
      <c r="D5">
        <v>0.5</v>
      </c>
      <c r="E5">
        <v>4</v>
      </c>
      <c r="F5">
        <v>2</v>
      </c>
      <c r="G5">
        <v>4</v>
      </c>
      <c r="H5">
        <v>0</v>
      </c>
      <c r="I5">
        <v>0</v>
      </c>
      <c r="J5">
        <v>2</v>
      </c>
      <c r="K5">
        <v>0</v>
      </c>
      <c r="L5">
        <v>2</v>
      </c>
    </row>
    <row r="6" spans="1:12" x14ac:dyDescent="0.25">
      <c r="A6" t="s">
        <v>286</v>
      </c>
      <c r="B6">
        <v>11108</v>
      </c>
      <c r="C6">
        <v>2761</v>
      </c>
      <c r="D6">
        <v>0.5</v>
      </c>
      <c r="E6">
        <v>9</v>
      </c>
      <c r="F6">
        <v>7</v>
      </c>
      <c r="G6">
        <v>5</v>
      </c>
      <c r="H6">
        <v>3</v>
      </c>
      <c r="I6">
        <v>0</v>
      </c>
      <c r="J6">
        <v>2</v>
      </c>
      <c r="K6">
        <v>0</v>
      </c>
      <c r="L6">
        <v>2</v>
      </c>
    </row>
    <row r="7" spans="1:12" x14ac:dyDescent="0.25">
      <c r="A7" t="s">
        <v>287</v>
      </c>
      <c r="B7">
        <v>44740</v>
      </c>
      <c r="C7">
        <v>2311</v>
      </c>
      <c r="D7">
        <v>0.6</v>
      </c>
      <c r="E7">
        <v>5</v>
      </c>
      <c r="F7">
        <v>16</v>
      </c>
      <c r="G7">
        <v>28</v>
      </c>
      <c r="H7">
        <v>10</v>
      </c>
      <c r="I7">
        <v>5</v>
      </c>
      <c r="J7">
        <v>11</v>
      </c>
      <c r="K7">
        <v>2</v>
      </c>
      <c r="L7">
        <v>4</v>
      </c>
    </row>
    <row r="8" spans="1:12" x14ac:dyDescent="0.25">
      <c r="A8" t="s">
        <v>288</v>
      </c>
      <c r="B8">
        <v>38104</v>
      </c>
      <c r="C8">
        <v>10587</v>
      </c>
      <c r="D8">
        <v>0.4</v>
      </c>
      <c r="E8">
        <v>8</v>
      </c>
      <c r="F8">
        <v>7</v>
      </c>
      <c r="G8">
        <v>6</v>
      </c>
      <c r="H8">
        <v>2</v>
      </c>
      <c r="I8">
        <v>0</v>
      </c>
      <c r="J8">
        <v>5</v>
      </c>
      <c r="K8">
        <v>0</v>
      </c>
      <c r="L8">
        <v>1</v>
      </c>
    </row>
    <row r="9" spans="1:12" x14ac:dyDescent="0.25">
      <c r="A9" t="s">
        <v>289</v>
      </c>
      <c r="B9">
        <v>4277</v>
      </c>
      <c r="C9">
        <v>3090</v>
      </c>
      <c r="D9">
        <v>0.6</v>
      </c>
      <c r="E9">
        <v>6</v>
      </c>
      <c r="F9">
        <v>7</v>
      </c>
      <c r="G9">
        <v>12</v>
      </c>
      <c r="H9">
        <v>7</v>
      </c>
      <c r="I9">
        <v>4</v>
      </c>
      <c r="J9">
        <v>5</v>
      </c>
      <c r="K9">
        <v>4</v>
      </c>
      <c r="L9">
        <v>5</v>
      </c>
    </row>
    <row r="10" spans="1:12" x14ac:dyDescent="0.25">
      <c r="A10" t="s">
        <v>290</v>
      </c>
      <c r="B10">
        <v>3425</v>
      </c>
      <c r="C10">
        <v>1131</v>
      </c>
      <c r="D10">
        <v>0.2</v>
      </c>
      <c r="E10">
        <v>9</v>
      </c>
      <c r="F10">
        <v>10</v>
      </c>
      <c r="G10">
        <v>17</v>
      </c>
      <c r="H10">
        <v>8</v>
      </c>
      <c r="I10">
        <v>0</v>
      </c>
      <c r="J10">
        <v>5</v>
      </c>
      <c r="K10">
        <v>1</v>
      </c>
      <c r="L10">
        <v>2</v>
      </c>
    </row>
    <row r="11" spans="1:12" x14ac:dyDescent="0.25">
      <c r="A11" t="s">
        <v>291</v>
      </c>
      <c r="B11">
        <v>2000</v>
      </c>
      <c r="C11">
        <v>1892</v>
      </c>
      <c r="D11">
        <v>0.9</v>
      </c>
      <c r="E11">
        <v>0</v>
      </c>
      <c r="F11">
        <v>2</v>
      </c>
      <c r="G11">
        <v>0</v>
      </c>
      <c r="H11">
        <v>0</v>
      </c>
      <c r="I11">
        <v>2</v>
      </c>
      <c r="J11">
        <v>2</v>
      </c>
      <c r="K11">
        <v>0</v>
      </c>
      <c r="L11">
        <v>0</v>
      </c>
    </row>
    <row r="12" spans="1:12" x14ac:dyDescent="0.25">
      <c r="A12" t="s">
        <v>292</v>
      </c>
      <c r="B12">
        <v>2577</v>
      </c>
      <c r="C12">
        <v>974</v>
      </c>
      <c r="D12">
        <v>0.6</v>
      </c>
      <c r="E12">
        <v>0</v>
      </c>
      <c r="F12">
        <v>1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293</v>
      </c>
      <c r="B13">
        <v>10133</v>
      </c>
      <c r="C13">
        <v>455</v>
      </c>
      <c r="D13">
        <v>0.5</v>
      </c>
      <c r="E13">
        <v>2</v>
      </c>
      <c r="F13">
        <v>1</v>
      </c>
      <c r="G13">
        <v>3</v>
      </c>
      <c r="H13">
        <v>3</v>
      </c>
      <c r="I13">
        <v>0</v>
      </c>
      <c r="J13">
        <v>1</v>
      </c>
      <c r="K13">
        <v>0</v>
      </c>
      <c r="L13">
        <v>1</v>
      </c>
    </row>
    <row r="14" spans="1:12" x14ac:dyDescent="0.25">
      <c r="A14" t="s">
        <v>294</v>
      </c>
      <c r="B14">
        <v>2504</v>
      </c>
      <c r="C14">
        <v>1332</v>
      </c>
      <c r="D14">
        <v>0.4</v>
      </c>
      <c r="E14">
        <v>3</v>
      </c>
      <c r="F14">
        <v>3</v>
      </c>
      <c r="G14">
        <v>3</v>
      </c>
      <c r="H14">
        <v>3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3247</v>
      </c>
      <c r="C15">
        <v>2679</v>
      </c>
      <c r="D15">
        <v>0.6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25">
      <c r="A16" t="s">
        <v>296</v>
      </c>
      <c r="B16">
        <v>1506</v>
      </c>
      <c r="C16">
        <v>736</v>
      </c>
      <c r="D16">
        <v>0.7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297</v>
      </c>
      <c r="B17">
        <v>4674</v>
      </c>
      <c r="C17">
        <v>2042</v>
      </c>
      <c r="D17">
        <v>0.6</v>
      </c>
      <c r="E17">
        <v>127</v>
      </c>
      <c r="F17">
        <v>107</v>
      </c>
      <c r="G17">
        <v>272</v>
      </c>
      <c r="H17">
        <v>188</v>
      </c>
      <c r="I17">
        <v>36</v>
      </c>
      <c r="J17">
        <v>78</v>
      </c>
      <c r="K17">
        <v>30</v>
      </c>
      <c r="L17">
        <v>52</v>
      </c>
    </row>
    <row r="18" spans="1:12" x14ac:dyDescent="0.25">
      <c r="A18" t="s">
        <v>298</v>
      </c>
      <c r="B18">
        <v>9225</v>
      </c>
      <c r="C18">
        <v>3077</v>
      </c>
      <c r="D18">
        <v>0.6</v>
      </c>
      <c r="E18">
        <v>7</v>
      </c>
      <c r="F18">
        <v>10</v>
      </c>
      <c r="G18">
        <v>15</v>
      </c>
      <c r="H18">
        <v>7</v>
      </c>
      <c r="I18">
        <v>4</v>
      </c>
      <c r="J18">
        <v>5</v>
      </c>
      <c r="K18">
        <v>0</v>
      </c>
      <c r="L18">
        <v>5</v>
      </c>
    </row>
    <row r="19" spans="1:12" x14ac:dyDescent="0.25">
      <c r="A19" t="s">
        <v>299</v>
      </c>
      <c r="B19">
        <v>2170</v>
      </c>
      <c r="C19">
        <v>574</v>
      </c>
      <c r="D19">
        <v>0.2</v>
      </c>
      <c r="E19">
        <v>3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300</v>
      </c>
      <c r="B20">
        <v>5062</v>
      </c>
      <c r="C20">
        <v>1093</v>
      </c>
      <c r="D20">
        <v>0.5</v>
      </c>
      <c r="E20">
        <v>4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1</v>
      </c>
    </row>
    <row r="21" spans="1:12" x14ac:dyDescent="0.25">
      <c r="A21" t="s">
        <v>301</v>
      </c>
      <c r="B21">
        <v>1257</v>
      </c>
      <c r="C21">
        <v>417</v>
      </c>
      <c r="D21">
        <v>0.6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302</v>
      </c>
      <c r="B22">
        <v>7264</v>
      </c>
      <c r="C22">
        <v>543</v>
      </c>
      <c r="D22">
        <v>0.6</v>
      </c>
      <c r="E22">
        <v>1</v>
      </c>
      <c r="F22">
        <v>5</v>
      </c>
      <c r="G22">
        <v>7</v>
      </c>
      <c r="H22">
        <v>0</v>
      </c>
      <c r="I22">
        <v>1</v>
      </c>
      <c r="J22">
        <v>1</v>
      </c>
      <c r="K22">
        <v>0</v>
      </c>
      <c r="L22">
        <v>4</v>
      </c>
    </row>
    <row r="23" spans="1:12" x14ac:dyDescent="0.25">
      <c r="A23" t="s">
        <v>303</v>
      </c>
      <c r="B23">
        <v>7942</v>
      </c>
      <c r="C23">
        <v>1052</v>
      </c>
      <c r="D23">
        <v>0.5</v>
      </c>
      <c r="E23">
        <v>21</v>
      </c>
      <c r="F23">
        <v>15</v>
      </c>
      <c r="G23">
        <v>20</v>
      </c>
      <c r="H23">
        <v>18</v>
      </c>
      <c r="I23">
        <v>2</v>
      </c>
      <c r="J23">
        <v>7</v>
      </c>
      <c r="K23">
        <v>1</v>
      </c>
      <c r="L23">
        <v>5</v>
      </c>
    </row>
    <row r="24" spans="1:12" x14ac:dyDescent="0.25">
      <c r="A24" t="s">
        <v>304</v>
      </c>
      <c r="B24">
        <v>1877</v>
      </c>
      <c r="C24">
        <v>583</v>
      </c>
      <c r="D24">
        <v>0.5</v>
      </c>
      <c r="E24">
        <v>0</v>
      </c>
      <c r="F24">
        <v>0</v>
      </c>
      <c r="G24">
        <v>7</v>
      </c>
      <c r="H24">
        <v>2</v>
      </c>
      <c r="I24">
        <v>0</v>
      </c>
      <c r="J24">
        <v>2</v>
      </c>
      <c r="K24">
        <v>0</v>
      </c>
      <c r="L24">
        <v>0</v>
      </c>
    </row>
    <row r="25" spans="1:12" x14ac:dyDescent="0.25">
      <c r="A25" t="s">
        <v>305</v>
      </c>
      <c r="B25">
        <v>3729</v>
      </c>
      <c r="C25">
        <v>662</v>
      </c>
      <c r="D25">
        <v>0.4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6802</v>
      </c>
      <c r="C26">
        <v>4550</v>
      </c>
      <c r="D26">
        <v>0.5</v>
      </c>
      <c r="E26">
        <v>8</v>
      </c>
      <c r="F26">
        <v>10</v>
      </c>
      <c r="G26">
        <v>12</v>
      </c>
      <c r="H26">
        <v>8</v>
      </c>
      <c r="I26">
        <v>7</v>
      </c>
      <c r="J26">
        <v>5</v>
      </c>
      <c r="K26">
        <v>0</v>
      </c>
      <c r="L26">
        <v>0</v>
      </c>
    </row>
    <row r="27" spans="1:12" x14ac:dyDescent="0.25">
      <c r="A27" t="s">
        <v>307</v>
      </c>
      <c r="B27">
        <v>3758</v>
      </c>
      <c r="C27">
        <v>13016</v>
      </c>
      <c r="D27">
        <v>0.1</v>
      </c>
      <c r="E27">
        <v>6</v>
      </c>
      <c r="F27">
        <v>7</v>
      </c>
      <c r="G27">
        <v>11</v>
      </c>
      <c r="H27">
        <v>5</v>
      </c>
      <c r="I27">
        <v>0</v>
      </c>
      <c r="J27">
        <v>4</v>
      </c>
      <c r="K27">
        <v>0</v>
      </c>
      <c r="L27">
        <v>0</v>
      </c>
    </row>
    <row r="28" spans="1:12" x14ac:dyDescent="0.25">
      <c r="A28" t="s">
        <v>266</v>
      </c>
      <c r="B28">
        <v>9012</v>
      </c>
      <c r="C28">
        <v>2537</v>
      </c>
      <c r="D28">
        <v>0.5</v>
      </c>
      <c r="E28">
        <v>252</v>
      </c>
      <c r="F28">
        <v>251</v>
      </c>
      <c r="G28">
        <v>489</v>
      </c>
      <c r="H28">
        <v>304</v>
      </c>
      <c r="I28">
        <v>76</v>
      </c>
      <c r="J28">
        <v>175</v>
      </c>
      <c r="K28">
        <v>49</v>
      </c>
      <c r="L28">
        <v>104</v>
      </c>
    </row>
    <row r="29" spans="1:12" x14ac:dyDescent="0.25">
      <c r="A29" t="s">
        <v>459</v>
      </c>
      <c r="B29">
        <v>5164</v>
      </c>
      <c r="C29">
        <v>1799</v>
      </c>
      <c r="D29">
        <v>0.6</v>
      </c>
      <c r="E29">
        <v>208</v>
      </c>
      <c r="F29">
        <v>195</v>
      </c>
      <c r="G29">
        <v>412</v>
      </c>
      <c r="H29">
        <v>267</v>
      </c>
      <c r="I29">
        <v>67</v>
      </c>
      <c r="J29">
        <v>144</v>
      </c>
      <c r="K29">
        <v>45</v>
      </c>
      <c r="L29">
        <v>87</v>
      </c>
    </row>
    <row r="30" spans="1:12" x14ac:dyDescent="0.25">
      <c r="A30" t="s">
        <v>460</v>
      </c>
      <c r="B30">
        <v>22203</v>
      </c>
      <c r="C30">
        <v>5074</v>
      </c>
      <c r="D30">
        <v>0.3</v>
      </c>
      <c r="E30">
        <v>44</v>
      </c>
      <c r="F30">
        <v>56</v>
      </c>
      <c r="G30">
        <v>77</v>
      </c>
      <c r="H30">
        <v>37</v>
      </c>
      <c r="I30">
        <v>9</v>
      </c>
      <c r="J30">
        <v>31</v>
      </c>
      <c r="K30">
        <v>4</v>
      </c>
      <c r="L30">
        <v>17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FF0000"/>
  </sheetPr>
  <dimension ref="A1:I29"/>
  <sheetViews>
    <sheetView workbookViewId="0"/>
  </sheetViews>
  <sheetFormatPr defaultRowHeight="15" x14ac:dyDescent="0.25"/>
  <cols>
    <col min="1" max="1" width="25.140625" customWidth="1"/>
    <col min="2" max="2" width="17.28515625" customWidth="1"/>
    <col min="3" max="3" width="17.140625" customWidth="1"/>
    <col min="4" max="4" width="17.28515625" customWidth="1"/>
    <col min="5" max="5" width="17.140625" customWidth="1"/>
    <col min="6" max="6" width="17.28515625" customWidth="1"/>
    <col min="7" max="7" width="17.140625" customWidth="1"/>
    <col min="8" max="8" width="17.28515625" customWidth="1"/>
    <col min="9" max="9" width="17.140625" customWidth="1"/>
  </cols>
  <sheetData>
    <row r="1" spans="1:9" x14ac:dyDescent="0.25">
      <c r="A1" s="29" t="s">
        <v>709</v>
      </c>
      <c r="B1" s="29" t="s">
        <v>759</v>
      </c>
      <c r="C1" s="29"/>
      <c r="D1" s="29"/>
      <c r="E1" s="29"/>
      <c r="F1" s="29"/>
      <c r="G1" s="29"/>
      <c r="H1" s="29"/>
      <c r="I1" s="29"/>
    </row>
    <row r="2" spans="1:9" x14ac:dyDescent="0.25">
      <c r="A2" s="29"/>
      <c r="B2" s="29" t="s">
        <v>423</v>
      </c>
      <c r="C2" s="29"/>
      <c r="D2" s="29" t="s">
        <v>424</v>
      </c>
      <c r="E2" s="29"/>
      <c r="F2" s="29" t="s">
        <v>425</v>
      </c>
      <c r="G2" s="29"/>
      <c r="H2" s="29" t="s">
        <v>373</v>
      </c>
      <c r="I2" s="29"/>
    </row>
    <row r="3" spans="1:9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</row>
    <row r="4" spans="1:9" x14ac:dyDescent="0.25">
      <c r="A4" t="s">
        <v>283</v>
      </c>
      <c r="B4">
        <v>60</v>
      </c>
      <c r="C4">
        <v>1280</v>
      </c>
      <c r="D4">
        <v>20</v>
      </c>
      <c r="E4">
        <v>2220</v>
      </c>
      <c r="F4">
        <v>20</v>
      </c>
      <c r="G4">
        <v>1080</v>
      </c>
      <c r="H4">
        <v>5</v>
      </c>
      <c r="I4">
        <v>2455</v>
      </c>
    </row>
    <row r="5" spans="1:9" x14ac:dyDescent="0.25">
      <c r="A5" t="s">
        <v>284</v>
      </c>
      <c r="B5">
        <v>42</v>
      </c>
      <c r="C5">
        <v>1730</v>
      </c>
      <c r="D5">
        <v>80</v>
      </c>
      <c r="E5">
        <v>1230</v>
      </c>
      <c r="F5">
        <v>72</v>
      </c>
      <c r="G5">
        <v>1230</v>
      </c>
      <c r="H5">
        <v>15</v>
      </c>
      <c r="I5">
        <v>1320</v>
      </c>
    </row>
    <row r="6" spans="1:9" x14ac:dyDescent="0.25">
      <c r="A6" t="s">
        <v>285</v>
      </c>
      <c r="B6">
        <v>25</v>
      </c>
      <c r="C6">
        <v>625</v>
      </c>
      <c r="D6">
        <v>200</v>
      </c>
      <c r="E6">
        <v>615</v>
      </c>
      <c r="F6">
        <v>180</v>
      </c>
      <c r="G6">
        <v>759</v>
      </c>
      <c r="H6">
        <v>150</v>
      </c>
      <c r="I6">
        <v>500</v>
      </c>
    </row>
    <row r="7" spans="1:9" x14ac:dyDescent="0.25">
      <c r="A7" t="s">
        <v>286</v>
      </c>
      <c r="B7">
        <v>40</v>
      </c>
      <c r="C7">
        <v>220</v>
      </c>
      <c r="D7">
        <v>60</v>
      </c>
      <c r="E7">
        <v>220</v>
      </c>
      <c r="F7">
        <v>40</v>
      </c>
      <c r="G7">
        <v>220</v>
      </c>
      <c r="H7">
        <v>88</v>
      </c>
      <c r="I7">
        <v>180</v>
      </c>
    </row>
    <row r="8" spans="1:9" x14ac:dyDescent="0.25">
      <c r="A8" t="s">
        <v>287</v>
      </c>
      <c r="B8">
        <v>6</v>
      </c>
      <c r="C8">
        <v>395</v>
      </c>
      <c r="D8">
        <v>6</v>
      </c>
      <c r="E8">
        <v>370</v>
      </c>
      <c r="F8">
        <v>6</v>
      </c>
      <c r="G8">
        <v>475</v>
      </c>
      <c r="H8">
        <v>10</v>
      </c>
      <c r="I8">
        <v>232</v>
      </c>
    </row>
    <row r="9" spans="1:9" x14ac:dyDescent="0.25">
      <c r="A9" t="s">
        <v>288</v>
      </c>
      <c r="B9">
        <v>30</v>
      </c>
      <c r="C9">
        <v>312</v>
      </c>
      <c r="D9">
        <v>30</v>
      </c>
      <c r="E9">
        <v>312</v>
      </c>
      <c r="F9">
        <v>30</v>
      </c>
      <c r="G9">
        <v>312</v>
      </c>
      <c r="H9">
        <v>111</v>
      </c>
      <c r="I9">
        <v>350</v>
      </c>
    </row>
    <row r="10" spans="1:9" x14ac:dyDescent="0.25">
      <c r="A10" t="s">
        <v>289</v>
      </c>
      <c r="B10">
        <v>80</v>
      </c>
      <c r="C10">
        <v>600</v>
      </c>
      <c r="D10">
        <v>75</v>
      </c>
      <c r="E10">
        <v>600</v>
      </c>
      <c r="F10">
        <v>75</v>
      </c>
      <c r="G10">
        <v>600</v>
      </c>
      <c r="H10">
        <v>180</v>
      </c>
      <c r="I10">
        <v>380</v>
      </c>
    </row>
    <row r="11" spans="1:9" x14ac:dyDescent="0.25">
      <c r="A11" t="s">
        <v>290</v>
      </c>
      <c r="B11">
        <v>10</v>
      </c>
      <c r="C11">
        <v>1690</v>
      </c>
      <c r="D11">
        <v>12</v>
      </c>
      <c r="E11">
        <v>1690</v>
      </c>
      <c r="F11">
        <v>30</v>
      </c>
      <c r="G11">
        <v>1790</v>
      </c>
      <c r="H11">
        <v>17</v>
      </c>
      <c r="I11">
        <v>1300</v>
      </c>
    </row>
    <row r="12" spans="1:9" x14ac:dyDescent="0.25">
      <c r="A12" t="s">
        <v>292</v>
      </c>
      <c r="B12">
        <v>7</v>
      </c>
      <c r="C12">
        <v>120</v>
      </c>
      <c r="D12">
        <v>40</v>
      </c>
      <c r="E12">
        <v>120</v>
      </c>
      <c r="F12">
        <v>7</v>
      </c>
      <c r="G12">
        <v>120</v>
      </c>
      <c r="H12">
        <v>50</v>
      </c>
      <c r="I12">
        <v>100</v>
      </c>
    </row>
    <row r="13" spans="1:9" x14ac:dyDescent="0.25">
      <c r="A13" t="s">
        <v>293</v>
      </c>
      <c r="B13">
        <v>210</v>
      </c>
      <c r="C13">
        <v>300</v>
      </c>
      <c r="D13">
        <v>210</v>
      </c>
      <c r="E13">
        <v>300</v>
      </c>
      <c r="F13">
        <v>210</v>
      </c>
      <c r="G13">
        <v>210</v>
      </c>
      <c r="H13">
        <v>0</v>
      </c>
      <c r="I13">
        <v>0</v>
      </c>
    </row>
    <row r="14" spans="1:9" x14ac:dyDescent="0.25">
      <c r="A14" t="s">
        <v>294</v>
      </c>
      <c r="B14">
        <v>40</v>
      </c>
      <c r="C14">
        <v>286</v>
      </c>
      <c r="D14">
        <v>40</v>
      </c>
      <c r="E14">
        <v>286</v>
      </c>
      <c r="F14">
        <v>40</v>
      </c>
      <c r="G14">
        <v>370</v>
      </c>
      <c r="H14">
        <v>300</v>
      </c>
      <c r="I14">
        <v>300</v>
      </c>
    </row>
    <row r="15" spans="1:9" x14ac:dyDescent="0.25">
      <c r="A15" t="s">
        <v>297</v>
      </c>
      <c r="B15">
        <v>9</v>
      </c>
      <c r="C15">
        <v>6000</v>
      </c>
      <c r="D15">
        <v>10</v>
      </c>
      <c r="E15">
        <v>6000</v>
      </c>
      <c r="F15">
        <v>12</v>
      </c>
      <c r="G15">
        <v>6000</v>
      </c>
      <c r="H15">
        <v>9</v>
      </c>
      <c r="I15">
        <v>7000</v>
      </c>
    </row>
    <row r="16" spans="1:9" x14ac:dyDescent="0.25">
      <c r="A16" t="s">
        <v>299</v>
      </c>
      <c r="B16">
        <v>160</v>
      </c>
      <c r="C16">
        <v>160</v>
      </c>
      <c r="D16">
        <v>170</v>
      </c>
      <c r="E16">
        <v>170</v>
      </c>
      <c r="F16">
        <v>180</v>
      </c>
      <c r="G16">
        <v>180</v>
      </c>
      <c r="H16">
        <v>250</v>
      </c>
      <c r="I16">
        <v>250</v>
      </c>
    </row>
    <row r="17" spans="1:9" x14ac:dyDescent="0.25">
      <c r="A17" t="s">
        <v>300</v>
      </c>
      <c r="B17">
        <v>25</v>
      </c>
      <c r="C17">
        <v>125</v>
      </c>
      <c r="D17">
        <v>62</v>
      </c>
      <c r="E17">
        <v>144</v>
      </c>
      <c r="F17">
        <v>51</v>
      </c>
      <c r="G17">
        <v>144</v>
      </c>
      <c r="H17">
        <v>0</v>
      </c>
      <c r="I17">
        <v>0</v>
      </c>
    </row>
    <row r="18" spans="1:9" x14ac:dyDescent="0.25">
      <c r="A18" t="s">
        <v>301</v>
      </c>
      <c r="B18">
        <v>15</v>
      </c>
      <c r="C18">
        <v>87</v>
      </c>
      <c r="D18">
        <v>16</v>
      </c>
      <c r="E18">
        <v>87</v>
      </c>
      <c r="F18">
        <v>17</v>
      </c>
      <c r="G18">
        <v>100</v>
      </c>
      <c r="H18">
        <v>8</v>
      </c>
      <c r="I18">
        <v>480</v>
      </c>
    </row>
    <row r="19" spans="1:9" x14ac:dyDescent="0.25">
      <c r="A19" t="s">
        <v>302</v>
      </c>
      <c r="B19">
        <v>270</v>
      </c>
      <c r="C19">
        <v>440</v>
      </c>
      <c r="D19">
        <v>410</v>
      </c>
      <c r="E19">
        <v>440</v>
      </c>
      <c r="F19">
        <v>270</v>
      </c>
      <c r="G19">
        <v>440</v>
      </c>
      <c r="H19">
        <v>440</v>
      </c>
      <c r="I19">
        <v>476</v>
      </c>
    </row>
    <row r="20" spans="1:9" x14ac:dyDescent="0.25">
      <c r="A20" t="s">
        <v>303</v>
      </c>
      <c r="B20">
        <v>8</v>
      </c>
      <c r="C20">
        <v>1470</v>
      </c>
      <c r="D20">
        <v>7</v>
      </c>
      <c r="E20">
        <v>1470</v>
      </c>
      <c r="F20">
        <v>7</v>
      </c>
      <c r="G20">
        <v>1470</v>
      </c>
      <c r="H20">
        <v>5</v>
      </c>
      <c r="I20">
        <v>4010</v>
      </c>
    </row>
    <row r="21" spans="1:9" x14ac:dyDescent="0.25">
      <c r="A21" t="s">
        <v>298</v>
      </c>
      <c r="B21">
        <v>23</v>
      </c>
      <c r="C21">
        <v>1680</v>
      </c>
      <c r="D21">
        <v>23</v>
      </c>
      <c r="E21">
        <v>1680</v>
      </c>
      <c r="F21">
        <v>45</v>
      </c>
      <c r="G21">
        <v>1900</v>
      </c>
      <c r="H21">
        <v>6</v>
      </c>
      <c r="I21">
        <v>1680</v>
      </c>
    </row>
    <row r="22" spans="1:9" x14ac:dyDescent="0.25">
      <c r="A22" t="s">
        <v>304</v>
      </c>
      <c r="B22">
        <v>180</v>
      </c>
      <c r="C22">
        <v>440</v>
      </c>
      <c r="D22">
        <v>180</v>
      </c>
      <c r="E22">
        <v>440</v>
      </c>
      <c r="F22">
        <v>120</v>
      </c>
      <c r="G22">
        <v>440</v>
      </c>
      <c r="H22">
        <v>35</v>
      </c>
      <c r="I22">
        <v>135</v>
      </c>
    </row>
    <row r="23" spans="1:9" x14ac:dyDescent="0.25">
      <c r="A23" t="s">
        <v>305</v>
      </c>
      <c r="B23">
        <v>15</v>
      </c>
      <c r="C23">
        <v>15</v>
      </c>
      <c r="D23">
        <v>12</v>
      </c>
      <c r="E23">
        <v>12</v>
      </c>
      <c r="F23">
        <v>12</v>
      </c>
      <c r="G23">
        <v>180</v>
      </c>
      <c r="H23">
        <v>160</v>
      </c>
      <c r="I23">
        <v>160</v>
      </c>
    </row>
    <row r="24" spans="1:9" x14ac:dyDescent="0.25">
      <c r="A24" t="s">
        <v>306</v>
      </c>
      <c r="B24">
        <v>11</v>
      </c>
      <c r="C24">
        <v>675</v>
      </c>
      <c r="D24">
        <v>12</v>
      </c>
      <c r="E24">
        <v>1650</v>
      </c>
      <c r="F24">
        <v>11</v>
      </c>
      <c r="G24">
        <v>1350</v>
      </c>
      <c r="H24">
        <v>11</v>
      </c>
      <c r="I24">
        <v>380</v>
      </c>
    </row>
    <row r="25" spans="1:9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1500</v>
      </c>
    </row>
    <row r="26" spans="1:9" x14ac:dyDescent="0.25">
      <c r="A26" t="s">
        <v>296</v>
      </c>
      <c r="B26">
        <v>85</v>
      </c>
      <c r="C26">
        <v>120</v>
      </c>
      <c r="D26">
        <v>2</v>
      </c>
      <c r="E26">
        <v>130</v>
      </c>
      <c r="F26">
        <v>2</v>
      </c>
      <c r="G26">
        <v>130</v>
      </c>
      <c r="H26">
        <v>96</v>
      </c>
      <c r="I26">
        <v>108</v>
      </c>
    </row>
    <row r="27" spans="1:9" x14ac:dyDescent="0.25">
      <c r="A27" t="s">
        <v>295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 x14ac:dyDescent="0.25">
      <c r="A28" t="s">
        <v>307</v>
      </c>
      <c r="B28">
        <v>160</v>
      </c>
      <c r="C28">
        <v>380</v>
      </c>
      <c r="D28">
        <v>75</v>
      </c>
      <c r="E28">
        <v>380</v>
      </c>
      <c r="F28">
        <v>12</v>
      </c>
      <c r="G28">
        <v>380</v>
      </c>
      <c r="H28">
        <v>75</v>
      </c>
      <c r="I28">
        <v>530</v>
      </c>
    </row>
    <row r="29" spans="1:9" x14ac:dyDescent="0.25">
      <c r="A29" t="s">
        <v>266</v>
      </c>
      <c r="B29">
        <v>6</v>
      </c>
      <c r="C29">
        <v>6000</v>
      </c>
      <c r="D29">
        <v>2</v>
      </c>
      <c r="E29">
        <v>6000</v>
      </c>
      <c r="F29">
        <v>2</v>
      </c>
      <c r="G29">
        <v>6000</v>
      </c>
      <c r="H29">
        <v>5</v>
      </c>
      <c r="I29">
        <v>7000</v>
      </c>
    </row>
  </sheetData>
  <mergeCells count="6">
    <mergeCell ref="A1:A3"/>
    <mergeCell ref="F2:G2"/>
    <mergeCell ref="B2:C2"/>
    <mergeCell ref="H2:I2"/>
    <mergeCell ref="D2:E2"/>
    <mergeCell ref="B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0000"/>
  </sheetPr>
  <dimension ref="A1:M29"/>
  <sheetViews>
    <sheetView workbookViewId="0"/>
  </sheetViews>
  <sheetFormatPr defaultRowHeight="15" x14ac:dyDescent="0.25"/>
  <cols>
    <col min="1" max="1" width="21.425781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6" max="6" width="11.85546875" customWidth="1"/>
    <col min="7" max="7" width="11.42578125" customWidth="1"/>
    <col min="8" max="8" width="11.85546875" customWidth="1"/>
    <col min="9" max="9" width="11.42578125" customWidth="1"/>
    <col min="10" max="10" width="11.85546875" customWidth="1"/>
    <col min="11" max="11" width="11.42578125" customWidth="1"/>
    <col min="12" max="12" width="12.42578125" customWidth="1"/>
    <col min="13" max="13" width="12.140625" customWidth="1"/>
  </cols>
  <sheetData>
    <row r="1" spans="1:13" x14ac:dyDescent="0.25">
      <c r="A1" s="29" t="s">
        <v>709</v>
      </c>
      <c r="B1" s="29" t="s">
        <v>759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s="29" t="s">
        <v>334</v>
      </c>
      <c r="C2" s="29"/>
      <c r="D2" s="29" t="s">
        <v>335</v>
      </c>
      <c r="E2" s="29"/>
      <c r="F2" s="29" t="s">
        <v>336</v>
      </c>
      <c r="G2" s="29"/>
      <c r="H2" s="29" t="s">
        <v>337</v>
      </c>
      <c r="I2" s="29"/>
      <c r="J2" s="29" t="s">
        <v>338</v>
      </c>
      <c r="K2" s="29"/>
      <c r="L2" s="29" t="s">
        <v>339</v>
      </c>
      <c r="M2" s="29"/>
    </row>
    <row r="3" spans="1:13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5</v>
      </c>
      <c r="C4">
        <v>1140</v>
      </c>
      <c r="D4">
        <v>5</v>
      </c>
      <c r="E4">
        <v>1140</v>
      </c>
      <c r="F4">
        <v>2</v>
      </c>
      <c r="G4">
        <v>1200</v>
      </c>
      <c r="H4">
        <v>6</v>
      </c>
      <c r="I4">
        <v>1200</v>
      </c>
      <c r="J4">
        <v>6</v>
      </c>
      <c r="K4">
        <v>1320</v>
      </c>
      <c r="L4">
        <v>6</v>
      </c>
      <c r="M4">
        <v>1320</v>
      </c>
    </row>
    <row r="5" spans="1:13" x14ac:dyDescent="0.25">
      <c r="A5" t="s">
        <v>284</v>
      </c>
      <c r="B5">
        <v>15</v>
      </c>
      <c r="C5">
        <v>3450</v>
      </c>
      <c r="D5">
        <v>15</v>
      </c>
      <c r="E5">
        <v>3450</v>
      </c>
      <c r="F5">
        <v>15</v>
      </c>
      <c r="G5">
        <v>3450</v>
      </c>
      <c r="H5">
        <v>15</v>
      </c>
      <c r="I5">
        <v>3450</v>
      </c>
      <c r="J5">
        <v>15</v>
      </c>
      <c r="K5">
        <v>3450</v>
      </c>
      <c r="L5">
        <v>15</v>
      </c>
      <c r="M5">
        <v>3450</v>
      </c>
    </row>
    <row r="6" spans="1:13" x14ac:dyDescent="0.25">
      <c r="A6" t="s">
        <v>285</v>
      </c>
      <c r="B6">
        <v>1</v>
      </c>
      <c r="C6">
        <v>759</v>
      </c>
      <c r="D6">
        <v>1</v>
      </c>
      <c r="E6">
        <v>759</v>
      </c>
      <c r="F6">
        <v>1</v>
      </c>
      <c r="G6">
        <v>580</v>
      </c>
      <c r="H6">
        <v>1</v>
      </c>
      <c r="I6">
        <v>580</v>
      </c>
      <c r="J6">
        <v>1</v>
      </c>
      <c r="K6">
        <v>580</v>
      </c>
      <c r="L6">
        <v>1</v>
      </c>
      <c r="M6">
        <v>580</v>
      </c>
    </row>
    <row r="7" spans="1:13" x14ac:dyDescent="0.25">
      <c r="A7" t="s">
        <v>286</v>
      </c>
      <c r="B7">
        <v>10</v>
      </c>
      <c r="C7">
        <v>270</v>
      </c>
      <c r="D7">
        <v>10</v>
      </c>
      <c r="E7">
        <v>270</v>
      </c>
      <c r="F7">
        <v>10</v>
      </c>
      <c r="G7">
        <v>330</v>
      </c>
      <c r="H7">
        <v>10</v>
      </c>
      <c r="I7">
        <v>330</v>
      </c>
      <c r="J7">
        <v>9</v>
      </c>
      <c r="K7">
        <v>350</v>
      </c>
      <c r="L7">
        <v>10</v>
      </c>
      <c r="M7">
        <v>350</v>
      </c>
    </row>
    <row r="8" spans="1:13" x14ac:dyDescent="0.25">
      <c r="A8" t="s">
        <v>287</v>
      </c>
      <c r="B8">
        <v>12</v>
      </c>
      <c r="C8">
        <v>1800</v>
      </c>
      <c r="D8">
        <v>13</v>
      </c>
      <c r="E8">
        <v>1800</v>
      </c>
      <c r="F8">
        <v>14</v>
      </c>
      <c r="G8">
        <v>1800</v>
      </c>
      <c r="H8">
        <v>15</v>
      </c>
      <c r="I8">
        <v>1800</v>
      </c>
      <c r="J8">
        <v>15</v>
      </c>
      <c r="K8">
        <v>2040</v>
      </c>
      <c r="L8">
        <v>15</v>
      </c>
      <c r="M8">
        <v>2040</v>
      </c>
    </row>
    <row r="9" spans="1:13" x14ac:dyDescent="0.25">
      <c r="A9" t="s">
        <v>288</v>
      </c>
      <c r="B9">
        <v>111</v>
      </c>
      <c r="C9">
        <v>530</v>
      </c>
      <c r="D9">
        <v>111</v>
      </c>
      <c r="E9">
        <v>370</v>
      </c>
      <c r="F9">
        <v>111</v>
      </c>
      <c r="G9">
        <v>370</v>
      </c>
      <c r="H9">
        <v>131</v>
      </c>
      <c r="I9">
        <v>474</v>
      </c>
      <c r="J9">
        <v>131</v>
      </c>
      <c r="K9">
        <v>474</v>
      </c>
      <c r="L9">
        <v>145</v>
      </c>
      <c r="M9">
        <v>474</v>
      </c>
    </row>
    <row r="10" spans="1:13" x14ac:dyDescent="0.25">
      <c r="A10" t="s">
        <v>289</v>
      </c>
      <c r="B10">
        <v>80</v>
      </c>
      <c r="C10">
        <v>600</v>
      </c>
      <c r="D10">
        <v>90</v>
      </c>
      <c r="E10">
        <v>700</v>
      </c>
      <c r="F10">
        <v>90</v>
      </c>
      <c r="G10">
        <v>4140</v>
      </c>
      <c r="H10">
        <v>90</v>
      </c>
      <c r="I10">
        <v>480</v>
      </c>
      <c r="J10">
        <v>100</v>
      </c>
      <c r="K10">
        <v>480</v>
      </c>
      <c r="L10">
        <v>115</v>
      </c>
      <c r="M10">
        <v>480</v>
      </c>
    </row>
    <row r="11" spans="1:13" x14ac:dyDescent="0.25">
      <c r="A11" t="s">
        <v>290</v>
      </c>
      <c r="B11">
        <v>20</v>
      </c>
      <c r="C11">
        <v>1590</v>
      </c>
      <c r="D11">
        <v>20</v>
      </c>
      <c r="E11">
        <v>1590</v>
      </c>
      <c r="F11">
        <v>20</v>
      </c>
      <c r="G11">
        <v>1590</v>
      </c>
      <c r="H11">
        <v>20</v>
      </c>
      <c r="I11">
        <v>1690</v>
      </c>
      <c r="J11">
        <v>20</v>
      </c>
      <c r="K11">
        <v>1690</v>
      </c>
      <c r="L11">
        <v>20</v>
      </c>
      <c r="M11">
        <v>1790</v>
      </c>
    </row>
    <row r="12" spans="1:13" x14ac:dyDescent="0.25">
      <c r="A12" t="s">
        <v>292</v>
      </c>
      <c r="B12">
        <v>16</v>
      </c>
      <c r="C12">
        <v>120</v>
      </c>
      <c r="D12">
        <v>17</v>
      </c>
      <c r="E12">
        <v>120</v>
      </c>
      <c r="F12">
        <v>18</v>
      </c>
      <c r="G12">
        <v>120</v>
      </c>
      <c r="H12">
        <v>19</v>
      </c>
      <c r="I12">
        <v>105</v>
      </c>
      <c r="J12">
        <v>20</v>
      </c>
      <c r="K12">
        <v>105</v>
      </c>
      <c r="L12">
        <v>22</v>
      </c>
      <c r="M12">
        <v>105</v>
      </c>
    </row>
    <row r="13" spans="1:13" x14ac:dyDescent="0.25">
      <c r="A13" t="s">
        <v>293</v>
      </c>
      <c r="B13">
        <v>140</v>
      </c>
      <c r="C13">
        <v>310</v>
      </c>
      <c r="D13">
        <v>145</v>
      </c>
      <c r="E13">
        <v>320</v>
      </c>
      <c r="F13">
        <v>150</v>
      </c>
      <c r="G13">
        <v>330</v>
      </c>
      <c r="H13">
        <v>155</v>
      </c>
      <c r="I13">
        <v>340</v>
      </c>
      <c r="J13">
        <v>160</v>
      </c>
      <c r="K13">
        <v>350</v>
      </c>
      <c r="L13">
        <v>165</v>
      </c>
      <c r="M13">
        <v>360</v>
      </c>
    </row>
    <row r="14" spans="1:13" x14ac:dyDescent="0.25">
      <c r="A14" t="s">
        <v>294</v>
      </c>
      <c r="B14">
        <v>280</v>
      </c>
      <c r="C14">
        <v>370</v>
      </c>
      <c r="D14">
        <v>280</v>
      </c>
      <c r="E14">
        <v>370</v>
      </c>
      <c r="F14">
        <v>280</v>
      </c>
      <c r="G14">
        <v>370</v>
      </c>
      <c r="H14">
        <v>280</v>
      </c>
      <c r="I14">
        <v>400</v>
      </c>
      <c r="J14">
        <v>400</v>
      </c>
      <c r="K14">
        <v>400</v>
      </c>
      <c r="L14">
        <v>400</v>
      </c>
      <c r="M14">
        <v>400</v>
      </c>
    </row>
    <row r="15" spans="1:13" x14ac:dyDescent="0.25">
      <c r="A15" t="s">
        <v>297</v>
      </c>
      <c r="B15">
        <v>10</v>
      </c>
      <c r="C15">
        <v>50000</v>
      </c>
      <c r="D15">
        <v>6</v>
      </c>
      <c r="E15">
        <v>50000</v>
      </c>
      <c r="F15">
        <v>10</v>
      </c>
      <c r="G15">
        <v>10020</v>
      </c>
      <c r="H15">
        <v>10</v>
      </c>
      <c r="I15">
        <v>10020</v>
      </c>
      <c r="J15">
        <v>6</v>
      </c>
      <c r="K15">
        <v>10020</v>
      </c>
      <c r="L15">
        <v>10</v>
      </c>
      <c r="M15">
        <v>11320</v>
      </c>
    </row>
    <row r="16" spans="1:13" x14ac:dyDescent="0.25">
      <c r="A16" t="s">
        <v>299</v>
      </c>
      <c r="B16">
        <v>220</v>
      </c>
      <c r="C16">
        <v>306</v>
      </c>
      <c r="D16">
        <v>230</v>
      </c>
      <c r="E16">
        <v>306</v>
      </c>
      <c r="F16">
        <v>240</v>
      </c>
      <c r="G16">
        <v>306</v>
      </c>
      <c r="H16">
        <v>250</v>
      </c>
      <c r="I16">
        <v>306</v>
      </c>
      <c r="J16">
        <v>260</v>
      </c>
      <c r="K16">
        <v>306</v>
      </c>
      <c r="L16">
        <v>270</v>
      </c>
      <c r="M16">
        <v>306</v>
      </c>
    </row>
    <row r="17" spans="1:13" x14ac:dyDescent="0.25">
      <c r="A17" t="s">
        <v>300</v>
      </c>
      <c r="B17">
        <v>125</v>
      </c>
      <c r="C17">
        <v>425</v>
      </c>
      <c r="D17">
        <v>125</v>
      </c>
      <c r="E17">
        <v>425</v>
      </c>
      <c r="F17">
        <v>125</v>
      </c>
      <c r="G17">
        <v>425</v>
      </c>
      <c r="H17">
        <v>125</v>
      </c>
      <c r="I17">
        <v>125</v>
      </c>
      <c r="J17">
        <v>125</v>
      </c>
      <c r="K17">
        <v>125</v>
      </c>
      <c r="L17">
        <v>125</v>
      </c>
      <c r="M17">
        <v>125</v>
      </c>
    </row>
    <row r="18" spans="1:13" x14ac:dyDescent="0.25">
      <c r="A18" t="s">
        <v>301</v>
      </c>
      <c r="B18">
        <v>40</v>
      </c>
      <c r="C18">
        <v>420</v>
      </c>
      <c r="D18">
        <v>45</v>
      </c>
      <c r="E18">
        <v>152</v>
      </c>
      <c r="F18">
        <v>152</v>
      </c>
      <c r="G18">
        <v>152</v>
      </c>
      <c r="H18">
        <v>152</v>
      </c>
      <c r="I18">
        <v>152</v>
      </c>
      <c r="J18">
        <v>80</v>
      </c>
      <c r="K18">
        <v>152</v>
      </c>
      <c r="L18">
        <v>152</v>
      </c>
      <c r="M18">
        <v>152</v>
      </c>
    </row>
    <row r="19" spans="1:13" x14ac:dyDescent="0.25">
      <c r="A19" t="s">
        <v>302</v>
      </c>
      <c r="B19">
        <v>240</v>
      </c>
      <c r="C19">
        <v>576</v>
      </c>
      <c r="D19">
        <v>240</v>
      </c>
      <c r="E19">
        <v>576</v>
      </c>
      <c r="F19">
        <v>240</v>
      </c>
      <c r="G19">
        <v>616</v>
      </c>
      <c r="H19">
        <v>282</v>
      </c>
      <c r="I19">
        <v>616</v>
      </c>
      <c r="J19">
        <v>300</v>
      </c>
      <c r="K19">
        <v>656</v>
      </c>
      <c r="L19">
        <v>300</v>
      </c>
      <c r="M19">
        <v>656</v>
      </c>
    </row>
    <row r="20" spans="1:13" x14ac:dyDescent="0.25">
      <c r="A20" t="s">
        <v>303</v>
      </c>
      <c r="B20">
        <v>14</v>
      </c>
      <c r="C20">
        <v>6172</v>
      </c>
      <c r="D20">
        <v>14</v>
      </c>
      <c r="E20">
        <v>6172</v>
      </c>
      <c r="F20">
        <v>14</v>
      </c>
      <c r="G20">
        <v>6172</v>
      </c>
      <c r="H20">
        <v>15</v>
      </c>
      <c r="I20">
        <v>6172</v>
      </c>
      <c r="J20">
        <v>15</v>
      </c>
      <c r="K20">
        <v>6172</v>
      </c>
      <c r="L20">
        <v>15</v>
      </c>
      <c r="M20">
        <v>6946</v>
      </c>
    </row>
    <row r="21" spans="1:13" x14ac:dyDescent="0.25">
      <c r="A21" t="s">
        <v>298</v>
      </c>
      <c r="B21">
        <v>5</v>
      </c>
      <c r="C21">
        <v>2240</v>
      </c>
      <c r="D21">
        <v>5</v>
      </c>
      <c r="E21">
        <v>2240</v>
      </c>
      <c r="F21">
        <v>5</v>
      </c>
      <c r="G21">
        <v>2240</v>
      </c>
      <c r="H21">
        <v>5</v>
      </c>
      <c r="I21">
        <v>2240</v>
      </c>
      <c r="J21">
        <v>5</v>
      </c>
      <c r="K21">
        <v>2240</v>
      </c>
      <c r="L21">
        <v>5</v>
      </c>
      <c r="M21">
        <v>2840</v>
      </c>
    </row>
    <row r="22" spans="1:13" x14ac:dyDescent="0.25">
      <c r="A22" t="s">
        <v>304</v>
      </c>
      <c r="B22">
        <v>35</v>
      </c>
      <c r="C22">
        <v>440</v>
      </c>
      <c r="D22">
        <v>35</v>
      </c>
      <c r="E22">
        <v>440</v>
      </c>
      <c r="F22">
        <v>35</v>
      </c>
      <c r="G22">
        <v>480</v>
      </c>
      <c r="H22">
        <v>35</v>
      </c>
      <c r="I22">
        <v>480</v>
      </c>
      <c r="J22">
        <v>35</v>
      </c>
      <c r="K22">
        <v>428</v>
      </c>
      <c r="L22">
        <v>35</v>
      </c>
      <c r="M22">
        <v>200</v>
      </c>
    </row>
    <row r="23" spans="1:13" x14ac:dyDescent="0.25">
      <c r="A23" t="s">
        <v>305</v>
      </c>
      <c r="B23">
        <v>12</v>
      </c>
      <c r="C23">
        <v>350</v>
      </c>
      <c r="D23">
        <v>180</v>
      </c>
      <c r="E23">
        <v>350</v>
      </c>
      <c r="F23">
        <v>192</v>
      </c>
      <c r="G23">
        <v>350</v>
      </c>
      <c r="H23">
        <v>150</v>
      </c>
      <c r="I23">
        <v>250</v>
      </c>
      <c r="J23">
        <v>150</v>
      </c>
      <c r="K23">
        <v>250</v>
      </c>
      <c r="L23">
        <v>250</v>
      </c>
      <c r="M23">
        <v>250</v>
      </c>
    </row>
    <row r="24" spans="1:13" x14ac:dyDescent="0.25">
      <c r="A24" t="s">
        <v>306</v>
      </c>
      <c r="B24">
        <v>13</v>
      </c>
      <c r="C24">
        <v>360</v>
      </c>
      <c r="D24">
        <v>14</v>
      </c>
      <c r="E24">
        <v>360</v>
      </c>
      <c r="F24">
        <v>15</v>
      </c>
      <c r="G24">
        <v>200</v>
      </c>
      <c r="H24">
        <v>16</v>
      </c>
      <c r="I24">
        <v>200</v>
      </c>
      <c r="J24">
        <v>17</v>
      </c>
      <c r="K24">
        <v>360</v>
      </c>
      <c r="L24">
        <v>18</v>
      </c>
      <c r="M24">
        <v>200</v>
      </c>
    </row>
    <row r="25" spans="1:13" x14ac:dyDescent="0.25">
      <c r="A25" t="s">
        <v>291</v>
      </c>
      <c r="B25">
        <v>40</v>
      </c>
      <c r="C25">
        <v>40</v>
      </c>
      <c r="D25">
        <v>45</v>
      </c>
      <c r="E25">
        <v>45</v>
      </c>
      <c r="F25">
        <v>50</v>
      </c>
      <c r="G25">
        <v>50</v>
      </c>
      <c r="H25">
        <v>55</v>
      </c>
      <c r="I25">
        <v>55</v>
      </c>
      <c r="J25">
        <v>60</v>
      </c>
      <c r="K25">
        <v>60</v>
      </c>
      <c r="L25">
        <v>65</v>
      </c>
      <c r="M25">
        <v>65</v>
      </c>
    </row>
    <row r="26" spans="1:13" x14ac:dyDescent="0.25">
      <c r="A26" t="s">
        <v>296</v>
      </c>
      <c r="B26">
        <v>2</v>
      </c>
      <c r="C26">
        <v>144</v>
      </c>
      <c r="D26">
        <v>2</v>
      </c>
      <c r="E26">
        <v>144</v>
      </c>
      <c r="F26">
        <v>2</v>
      </c>
      <c r="G26">
        <v>144</v>
      </c>
      <c r="H26">
        <v>2</v>
      </c>
      <c r="I26">
        <v>168</v>
      </c>
      <c r="J26">
        <v>2</v>
      </c>
      <c r="K26">
        <v>168</v>
      </c>
      <c r="L26">
        <v>2</v>
      </c>
      <c r="M26">
        <v>168</v>
      </c>
    </row>
    <row r="27" spans="1:13" x14ac:dyDescent="0.25">
      <c r="A27" t="s">
        <v>295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</row>
    <row r="28" spans="1:13" x14ac:dyDescent="0.25">
      <c r="A28" t="s">
        <v>307</v>
      </c>
      <c r="B28">
        <v>75</v>
      </c>
      <c r="C28">
        <v>570</v>
      </c>
      <c r="D28">
        <v>75</v>
      </c>
      <c r="E28">
        <v>570</v>
      </c>
      <c r="F28">
        <v>75</v>
      </c>
      <c r="G28">
        <v>600</v>
      </c>
      <c r="H28">
        <v>75</v>
      </c>
      <c r="I28">
        <v>600</v>
      </c>
      <c r="J28">
        <v>75</v>
      </c>
      <c r="K28">
        <v>630</v>
      </c>
      <c r="L28">
        <v>75</v>
      </c>
      <c r="M28">
        <v>630</v>
      </c>
    </row>
    <row r="29" spans="1:13" x14ac:dyDescent="0.25">
      <c r="A29" t="s">
        <v>266</v>
      </c>
      <c r="B29">
        <v>1</v>
      </c>
      <c r="C29">
        <v>50000</v>
      </c>
      <c r="D29">
        <v>1</v>
      </c>
      <c r="E29">
        <v>50000</v>
      </c>
      <c r="F29">
        <v>1</v>
      </c>
      <c r="G29">
        <v>10020</v>
      </c>
      <c r="H29">
        <v>1</v>
      </c>
      <c r="I29">
        <v>10020</v>
      </c>
      <c r="J29">
        <v>1</v>
      </c>
      <c r="K29">
        <v>10020</v>
      </c>
      <c r="L29">
        <v>1</v>
      </c>
      <c r="M29">
        <v>11320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FF0000"/>
  </sheetPr>
  <dimension ref="A1:M29"/>
  <sheetViews>
    <sheetView workbookViewId="0"/>
  </sheetViews>
  <sheetFormatPr defaultRowHeight="15" x14ac:dyDescent="0.25"/>
  <cols>
    <col min="1" max="1" width="23.42578125" customWidth="1"/>
    <col min="2" max="2" width="11.42578125" customWidth="1"/>
    <col min="10" max="10" width="11.85546875" customWidth="1"/>
    <col min="11" max="11" width="11.42578125" customWidth="1"/>
    <col min="12" max="12" width="12" customWidth="1"/>
  </cols>
  <sheetData>
    <row r="1" spans="1:13" x14ac:dyDescent="0.25">
      <c r="A1" s="29" t="s">
        <v>709</v>
      </c>
      <c r="B1" s="29" t="s">
        <v>759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s="29" t="s">
        <v>340</v>
      </c>
      <c r="C2" s="29"/>
      <c r="D2" s="29" t="s">
        <v>341</v>
      </c>
      <c r="E2" s="29"/>
      <c r="F2" s="29" t="s">
        <v>342</v>
      </c>
      <c r="G2" s="29"/>
      <c r="H2" s="29" t="s">
        <v>343</v>
      </c>
      <c r="I2" s="29"/>
      <c r="J2" s="29" t="s">
        <v>344</v>
      </c>
      <c r="K2" s="29"/>
      <c r="L2" s="29" t="s">
        <v>345</v>
      </c>
      <c r="M2" s="29"/>
    </row>
    <row r="3" spans="1:13" x14ac:dyDescent="0.25">
      <c r="A3" s="29"/>
      <c r="B3" t="s">
        <v>760</v>
      </c>
      <c r="C3" t="s">
        <v>761</v>
      </c>
      <c r="D3" t="s">
        <v>760</v>
      </c>
      <c r="E3" t="s">
        <v>761</v>
      </c>
      <c r="F3" t="s">
        <v>760</v>
      </c>
      <c r="G3" t="s">
        <v>761</v>
      </c>
      <c r="H3" t="s">
        <v>760</v>
      </c>
      <c r="I3" t="s">
        <v>761</v>
      </c>
      <c r="J3" t="s">
        <v>760</v>
      </c>
      <c r="K3" t="s">
        <v>761</v>
      </c>
      <c r="L3" t="s">
        <v>760</v>
      </c>
      <c r="M3" t="s">
        <v>761</v>
      </c>
    </row>
    <row r="4" spans="1:13" x14ac:dyDescent="0.25">
      <c r="A4" t="s">
        <v>283</v>
      </c>
      <c r="B4">
        <v>18</v>
      </c>
      <c r="C4">
        <v>955</v>
      </c>
      <c r="D4">
        <v>20</v>
      </c>
      <c r="E4">
        <v>955</v>
      </c>
      <c r="F4">
        <v>150</v>
      </c>
      <c r="G4">
        <v>955</v>
      </c>
      <c r="H4">
        <v>150</v>
      </c>
      <c r="I4">
        <v>1014</v>
      </c>
      <c r="J4">
        <v>3</v>
      </c>
      <c r="K4">
        <v>1014</v>
      </c>
      <c r="L4">
        <v>365</v>
      </c>
      <c r="M4">
        <v>1014</v>
      </c>
    </row>
    <row r="5" spans="1:13" x14ac:dyDescent="0.25">
      <c r="A5" t="s">
        <v>284</v>
      </c>
      <c r="B5">
        <v>20</v>
      </c>
      <c r="C5">
        <v>938</v>
      </c>
      <c r="D5">
        <v>20</v>
      </c>
      <c r="E5">
        <v>938</v>
      </c>
      <c r="F5">
        <v>20</v>
      </c>
      <c r="G5">
        <v>938</v>
      </c>
      <c r="H5">
        <v>20</v>
      </c>
      <c r="I5">
        <v>1015</v>
      </c>
      <c r="J5">
        <v>20</v>
      </c>
      <c r="K5">
        <v>1015</v>
      </c>
      <c r="L5">
        <v>20</v>
      </c>
      <c r="M5">
        <v>1015</v>
      </c>
    </row>
    <row r="6" spans="1:13" x14ac:dyDescent="0.25">
      <c r="A6" t="s">
        <v>285</v>
      </c>
      <c r="B6">
        <v>180</v>
      </c>
      <c r="C6">
        <v>600</v>
      </c>
      <c r="D6">
        <v>180</v>
      </c>
      <c r="E6">
        <v>600</v>
      </c>
      <c r="F6">
        <v>220</v>
      </c>
      <c r="G6">
        <v>600</v>
      </c>
      <c r="H6">
        <v>220</v>
      </c>
      <c r="I6">
        <v>650</v>
      </c>
      <c r="J6">
        <v>220</v>
      </c>
      <c r="K6">
        <v>650</v>
      </c>
      <c r="L6">
        <v>220</v>
      </c>
      <c r="M6">
        <v>650</v>
      </c>
    </row>
    <row r="7" spans="1:13" x14ac:dyDescent="0.25">
      <c r="A7" t="s">
        <v>286</v>
      </c>
      <c r="B7">
        <v>30</v>
      </c>
      <c r="C7">
        <v>450</v>
      </c>
      <c r="D7">
        <v>30</v>
      </c>
      <c r="E7">
        <v>450</v>
      </c>
      <c r="F7">
        <v>30</v>
      </c>
      <c r="G7">
        <v>450</v>
      </c>
      <c r="H7">
        <v>35</v>
      </c>
      <c r="I7">
        <v>520</v>
      </c>
      <c r="J7">
        <v>35</v>
      </c>
      <c r="K7">
        <v>520</v>
      </c>
      <c r="L7">
        <v>35</v>
      </c>
      <c r="M7">
        <v>520</v>
      </c>
    </row>
    <row r="8" spans="1:13" x14ac:dyDescent="0.25">
      <c r="A8" t="s">
        <v>287</v>
      </c>
      <c r="B8">
        <v>90</v>
      </c>
      <c r="C8">
        <v>820</v>
      </c>
      <c r="D8">
        <v>90</v>
      </c>
      <c r="E8">
        <v>860</v>
      </c>
      <c r="F8">
        <v>90</v>
      </c>
      <c r="G8">
        <v>380</v>
      </c>
      <c r="H8">
        <v>150</v>
      </c>
      <c r="I8">
        <v>1045</v>
      </c>
      <c r="J8">
        <v>150</v>
      </c>
      <c r="K8">
        <v>1065</v>
      </c>
      <c r="L8">
        <v>150</v>
      </c>
      <c r="M8">
        <v>1285</v>
      </c>
    </row>
    <row r="9" spans="1:13" x14ac:dyDescent="0.25">
      <c r="A9" t="s">
        <v>288</v>
      </c>
      <c r="B9">
        <v>171</v>
      </c>
      <c r="C9">
        <v>420</v>
      </c>
      <c r="D9">
        <v>181</v>
      </c>
      <c r="E9">
        <v>200</v>
      </c>
      <c r="F9">
        <v>191</v>
      </c>
      <c r="G9">
        <v>200</v>
      </c>
      <c r="H9">
        <v>225</v>
      </c>
      <c r="I9">
        <v>241</v>
      </c>
      <c r="J9">
        <v>225</v>
      </c>
      <c r="K9">
        <v>241</v>
      </c>
      <c r="L9">
        <v>225</v>
      </c>
      <c r="M9">
        <v>251</v>
      </c>
    </row>
    <row r="10" spans="1:13" x14ac:dyDescent="0.25">
      <c r="A10" t="s">
        <v>289</v>
      </c>
      <c r="B10">
        <v>150</v>
      </c>
      <c r="C10">
        <v>410</v>
      </c>
      <c r="D10">
        <v>150</v>
      </c>
      <c r="E10">
        <v>410</v>
      </c>
      <c r="F10">
        <v>150</v>
      </c>
      <c r="G10">
        <v>470</v>
      </c>
      <c r="H10">
        <v>240</v>
      </c>
      <c r="I10">
        <v>470</v>
      </c>
      <c r="J10">
        <v>240</v>
      </c>
      <c r="K10">
        <v>510</v>
      </c>
      <c r="L10">
        <v>240</v>
      </c>
      <c r="M10">
        <v>510</v>
      </c>
    </row>
    <row r="11" spans="1:13" x14ac:dyDescent="0.25">
      <c r="A11" t="s">
        <v>290</v>
      </c>
      <c r="B11">
        <v>40</v>
      </c>
      <c r="C11">
        <v>800</v>
      </c>
      <c r="D11">
        <v>40</v>
      </c>
      <c r="E11">
        <v>900</v>
      </c>
      <c r="F11">
        <v>40</v>
      </c>
      <c r="G11">
        <v>750</v>
      </c>
      <c r="H11">
        <v>45</v>
      </c>
      <c r="I11">
        <v>750</v>
      </c>
      <c r="J11">
        <v>45</v>
      </c>
      <c r="K11">
        <v>750</v>
      </c>
      <c r="L11">
        <v>45</v>
      </c>
      <c r="M11">
        <v>750</v>
      </c>
    </row>
    <row r="12" spans="1:13" x14ac:dyDescent="0.25">
      <c r="A12" t="s">
        <v>292</v>
      </c>
      <c r="B12">
        <v>25</v>
      </c>
      <c r="C12">
        <v>192</v>
      </c>
      <c r="D12">
        <v>180</v>
      </c>
      <c r="E12">
        <v>192</v>
      </c>
      <c r="F12">
        <v>180</v>
      </c>
      <c r="G12">
        <v>192</v>
      </c>
      <c r="H12">
        <v>216</v>
      </c>
      <c r="I12">
        <v>216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293</v>
      </c>
      <c r="B13">
        <v>550</v>
      </c>
      <c r="C13">
        <v>550</v>
      </c>
      <c r="D13">
        <v>550</v>
      </c>
      <c r="E13">
        <v>550</v>
      </c>
      <c r="F13">
        <v>650</v>
      </c>
      <c r="G13">
        <v>650</v>
      </c>
      <c r="H13">
        <v>700</v>
      </c>
      <c r="I13">
        <v>700</v>
      </c>
      <c r="J13">
        <v>700</v>
      </c>
      <c r="K13">
        <v>700</v>
      </c>
      <c r="L13">
        <v>800</v>
      </c>
      <c r="M13">
        <v>800</v>
      </c>
    </row>
    <row r="14" spans="1:13" x14ac:dyDescent="0.25">
      <c r="A14" t="s">
        <v>294</v>
      </c>
      <c r="B14">
        <v>440</v>
      </c>
      <c r="C14">
        <v>440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297</v>
      </c>
      <c r="B15">
        <v>3</v>
      </c>
      <c r="C15">
        <v>11320</v>
      </c>
      <c r="D15">
        <v>4</v>
      </c>
      <c r="E15">
        <v>11320</v>
      </c>
      <c r="F15">
        <v>6</v>
      </c>
      <c r="G15">
        <v>13720</v>
      </c>
      <c r="H15">
        <v>5</v>
      </c>
      <c r="I15">
        <v>13720</v>
      </c>
      <c r="J15">
        <v>6</v>
      </c>
      <c r="K15">
        <v>14370</v>
      </c>
      <c r="L15">
        <v>6</v>
      </c>
      <c r="M15">
        <v>14370</v>
      </c>
    </row>
    <row r="16" spans="1:13" x14ac:dyDescent="0.25">
      <c r="A16" t="s">
        <v>299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300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301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302</v>
      </c>
      <c r="B19">
        <v>325</v>
      </c>
      <c r="C19">
        <v>696</v>
      </c>
      <c r="D19">
        <v>325</v>
      </c>
      <c r="E19">
        <v>696</v>
      </c>
      <c r="F19">
        <v>325</v>
      </c>
      <c r="G19">
        <v>716</v>
      </c>
      <c r="H19">
        <v>640</v>
      </c>
      <c r="I19">
        <v>3252</v>
      </c>
      <c r="J19">
        <v>640</v>
      </c>
      <c r="K19">
        <v>796</v>
      </c>
      <c r="L19">
        <v>720</v>
      </c>
      <c r="M19">
        <v>836</v>
      </c>
    </row>
    <row r="20" spans="1:13" x14ac:dyDescent="0.25">
      <c r="A20" t="s">
        <v>303</v>
      </c>
      <c r="B20">
        <v>60</v>
      </c>
      <c r="C20">
        <v>2000</v>
      </c>
      <c r="D20">
        <v>530</v>
      </c>
      <c r="E20">
        <v>974</v>
      </c>
      <c r="F20">
        <v>530</v>
      </c>
      <c r="G20">
        <v>974</v>
      </c>
      <c r="H20">
        <v>624</v>
      </c>
      <c r="I20">
        <v>6110</v>
      </c>
      <c r="J20">
        <v>610</v>
      </c>
      <c r="K20">
        <v>1044</v>
      </c>
      <c r="L20">
        <v>684</v>
      </c>
      <c r="M20">
        <v>1044</v>
      </c>
    </row>
    <row r="21" spans="1:13" x14ac:dyDescent="0.25">
      <c r="A21" t="s">
        <v>298</v>
      </c>
      <c r="B21">
        <v>7</v>
      </c>
      <c r="C21">
        <v>2840</v>
      </c>
      <c r="D21">
        <v>34</v>
      </c>
      <c r="E21">
        <v>2840</v>
      </c>
      <c r="F21">
        <v>34</v>
      </c>
      <c r="G21">
        <v>4040</v>
      </c>
      <c r="H21">
        <v>34</v>
      </c>
      <c r="I21">
        <v>4040</v>
      </c>
      <c r="J21">
        <v>34</v>
      </c>
      <c r="K21">
        <v>4040</v>
      </c>
      <c r="L21">
        <v>34</v>
      </c>
      <c r="M21">
        <v>4040</v>
      </c>
    </row>
    <row r="22" spans="1:13" x14ac:dyDescent="0.25">
      <c r="A22" t="s">
        <v>304</v>
      </c>
      <c r="B22">
        <v>55</v>
      </c>
      <c r="C22">
        <v>660</v>
      </c>
      <c r="D22">
        <v>55</v>
      </c>
      <c r="E22">
        <v>660</v>
      </c>
      <c r="F22">
        <v>55</v>
      </c>
      <c r="G22">
        <v>660</v>
      </c>
      <c r="H22">
        <v>0</v>
      </c>
      <c r="I22">
        <v>0</v>
      </c>
      <c r="J22">
        <v>0</v>
      </c>
      <c r="K22">
        <v>0</v>
      </c>
      <c r="L22">
        <v>55</v>
      </c>
      <c r="M22">
        <v>55</v>
      </c>
    </row>
    <row r="23" spans="1:13" x14ac:dyDescent="0.25">
      <c r="A23" t="s">
        <v>305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306</v>
      </c>
      <c r="B24">
        <v>25</v>
      </c>
      <c r="C24">
        <v>440</v>
      </c>
      <c r="D24">
        <v>25</v>
      </c>
      <c r="E24">
        <v>446</v>
      </c>
      <c r="F24">
        <v>25</v>
      </c>
      <c r="G24">
        <v>474</v>
      </c>
      <c r="H24">
        <v>30</v>
      </c>
      <c r="I24">
        <v>492</v>
      </c>
      <c r="J24">
        <v>30</v>
      </c>
      <c r="K24">
        <v>510</v>
      </c>
      <c r="L24">
        <v>30</v>
      </c>
      <c r="M24">
        <v>528</v>
      </c>
    </row>
    <row r="25" spans="1:13" x14ac:dyDescent="0.25">
      <c r="A25" t="s">
        <v>291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296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295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 t="s">
        <v>307</v>
      </c>
      <c r="B28">
        <v>75</v>
      </c>
      <c r="C28">
        <v>632</v>
      </c>
      <c r="D28">
        <v>75</v>
      </c>
      <c r="E28">
        <v>632</v>
      </c>
      <c r="F28">
        <v>75</v>
      </c>
      <c r="G28">
        <v>75</v>
      </c>
      <c r="H28">
        <v>75</v>
      </c>
      <c r="I28">
        <v>75</v>
      </c>
      <c r="J28">
        <v>75</v>
      </c>
      <c r="K28">
        <v>75</v>
      </c>
      <c r="L28">
        <v>75</v>
      </c>
      <c r="M28">
        <v>75</v>
      </c>
    </row>
    <row r="29" spans="1:13" x14ac:dyDescent="0.25">
      <c r="A29" t="s">
        <v>266</v>
      </c>
      <c r="B29">
        <v>3</v>
      </c>
      <c r="C29">
        <v>11320</v>
      </c>
      <c r="D29">
        <v>4</v>
      </c>
      <c r="E29">
        <v>11320</v>
      </c>
      <c r="F29">
        <v>6</v>
      </c>
      <c r="G29">
        <v>13720</v>
      </c>
      <c r="H29">
        <v>5</v>
      </c>
      <c r="I29">
        <v>13720</v>
      </c>
      <c r="J29">
        <v>3</v>
      </c>
      <c r="K29">
        <v>14370</v>
      </c>
      <c r="L29">
        <v>6</v>
      </c>
      <c r="M29">
        <v>14370</v>
      </c>
    </row>
  </sheetData>
  <mergeCells count="8">
    <mergeCell ref="L2:M2"/>
    <mergeCell ref="A1:A3"/>
    <mergeCell ref="F2:G2"/>
    <mergeCell ref="B2:C2"/>
    <mergeCell ref="H2:I2"/>
    <mergeCell ref="D2:E2"/>
    <mergeCell ref="J2:K2"/>
    <mergeCell ref="B1:M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7030A0"/>
  </sheetPr>
  <dimension ref="A1:Y31"/>
  <sheetViews>
    <sheetView workbookViewId="0"/>
  </sheetViews>
  <sheetFormatPr defaultRowHeight="15" x14ac:dyDescent="0.25"/>
  <cols>
    <col min="1" max="1" width="19.140625" customWidth="1"/>
    <col min="2" max="2" width="6.140625" customWidth="1"/>
    <col min="3" max="3" width="6.42578125" customWidth="1"/>
    <col min="5" max="5" width="6.140625" customWidth="1"/>
    <col min="6" max="6" width="6.42578125" customWidth="1"/>
    <col min="7" max="7" width="6.140625" customWidth="1"/>
    <col min="8" max="8" width="6" customWidth="1"/>
    <col min="9" max="9" width="5.85546875" customWidth="1"/>
    <col min="10" max="10" width="6" customWidth="1"/>
    <col min="12" max="12" width="5.85546875" customWidth="1"/>
    <col min="13" max="13" width="6" customWidth="1"/>
    <col min="14" max="14" width="5.85546875" customWidth="1"/>
    <col min="15" max="15" width="6" customWidth="1"/>
    <col min="16" max="16" width="5.85546875" customWidth="1"/>
    <col min="22" max="22" width="6" customWidth="1"/>
    <col min="23" max="23" width="5.85546875" customWidth="1"/>
    <col min="24" max="24" width="6" customWidth="1"/>
    <col min="25" max="25" width="5.85546875" customWidth="1"/>
  </cols>
  <sheetData>
    <row r="1" spans="1:25" x14ac:dyDescent="0.25">
      <c r="A1" s="29" t="s">
        <v>709</v>
      </c>
      <c r="B1" s="29" t="s">
        <v>762</v>
      </c>
      <c r="C1" s="29"/>
      <c r="D1" s="29"/>
      <c r="E1" s="29" t="s">
        <v>763</v>
      </c>
      <c r="F1" s="29"/>
      <c r="G1" s="29"/>
      <c r="H1" s="29" t="s">
        <v>764</v>
      </c>
      <c r="I1" s="29"/>
      <c r="J1" s="29"/>
      <c r="K1" s="29"/>
      <c r="L1" s="29"/>
      <c r="M1" s="29"/>
      <c r="N1" s="29"/>
      <c r="O1" s="29"/>
      <c r="P1" s="29"/>
      <c r="Q1" s="29" t="s">
        <v>765</v>
      </c>
      <c r="R1" s="29"/>
      <c r="S1" s="29"/>
      <c r="T1" s="29"/>
      <c r="U1" s="29"/>
      <c r="V1" s="29"/>
      <c r="W1" s="29"/>
      <c r="X1" s="29"/>
      <c r="Y1" s="29"/>
    </row>
    <row r="2" spans="1:25" x14ac:dyDescent="0.25">
      <c r="A2" s="29"/>
      <c r="B2" s="29"/>
      <c r="C2" s="29"/>
      <c r="D2" s="29"/>
      <c r="E2" s="29"/>
      <c r="F2" s="29"/>
      <c r="G2" s="29"/>
      <c r="H2" s="29" t="s">
        <v>263</v>
      </c>
      <c r="I2" s="29"/>
      <c r="J2" s="29"/>
      <c r="K2" s="29" t="s">
        <v>264</v>
      </c>
      <c r="L2" s="29"/>
      <c r="M2" s="29"/>
      <c r="N2" s="29" t="s">
        <v>618</v>
      </c>
      <c r="O2" s="29"/>
      <c r="P2" s="29"/>
      <c r="Q2" s="29" t="s">
        <v>263</v>
      </c>
      <c r="R2" s="29"/>
      <c r="S2" s="29"/>
      <c r="T2" s="29" t="s">
        <v>264</v>
      </c>
      <c r="U2" s="29"/>
      <c r="V2" s="29"/>
      <c r="W2" s="29" t="s">
        <v>618</v>
      </c>
      <c r="X2" s="29"/>
      <c r="Y2" s="29"/>
    </row>
    <row r="3" spans="1:25" x14ac:dyDescent="0.25">
      <c r="A3" s="29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652</v>
      </c>
      <c r="I3" t="s">
        <v>347</v>
      </c>
      <c r="J3" t="s">
        <v>348</v>
      </c>
      <c r="K3" t="s">
        <v>652</v>
      </c>
      <c r="L3" t="s">
        <v>347</v>
      </c>
      <c r="M3" t="s">
        <v>348</v>
      </c>
      <c r="N3" t="s">
        <v>652</v>
      </c>
      <c r="O3" t="s">
        <v>347</v>
      </c>
      <c r="P3" t="s">
        <v>348</v>
      </c>
      <c r="Q3" t="s">
        <v>652</v>
      </c>
      <c r="R3" t="s">
        <v>347</v>
      </c>
      <c r="S3" t="s">
        <v>348</v>
      </c>
      <c r="T3" t="s">
        <v>652</v>
      </c>
      <c r="U3" t="s">
        <v>347</v>
      </c>
      <c r="V3" t="s">
        <v>348</v>
      </c>
      <c r="W3" t="s">
        <v>652</v>
      </c>
      <c r="X3" t="s">
        <v>347</v>
      </c>
      <c r="Y3" t="s">
        <v>348</v>
      </c>
    </row>
    <row r="4" spans="1:25" x14ac:dyDescent="0.25">
      <c r="A4" t="s">
        <v>283</v>
      </c>
      <c r="B4">
        <v>18</v>
      </c>
      <c r="C4">
        <v>17.600000000000001</v>
      </c>
      <c r="D4">
        <v>18.3</v>
      </c>
      <c r="E4">
        <v>10.5</v>
      </c>
      <c r="F4">
        <v>10.6</v>
      </c>
      <c r="G4">
        <v>10.3</v>
      </c>
      <c r="H4">
        <v>13.8</v>
      </c>
      <c r="I4">
        <v>5.8</v>
      </c>
      <c r="J4">
        <v>2.6</v>
      </c>
      <c r="K4">
        <v>13.7</v>
      </c>
      <c r="L4">
        <v>6.1</v>
      </c>
      <c r="M4">
        <v>2.7</v>
      </c>
      <c r="N4">
        <v>13.6</v>
      </c>
      <c r="O4">
        <v>5.5</v>
      </c>
      <c r="P4">
        <v>2.5</v>
      </c>
      <c r="Q4">
        <v>12</v>
      </c>
      <c r="R4">
        <v>4.8</v>
      </c>
      <c r="S4">
        <v>2.6</v>
      </c>
      <c r="T4">
        <v>12.1</v>
      </c>
      <c r="U4">
        <v>5.2</v>
      </c>
      <c r="V4">
        <v>2.7</v>
      </c>
      <c r="W4">
        <v>11.9</v>
      </c>
      <c r="X4">
        <v>4.3</v>
      </c>
      <c r="Y4">
        <v>2.5</v>
      </c>
    </row>
    <row r="5" spans="1:25" x14ac:dyDescent="0.25">
      <c r="A5" t="s">
        <v>284</v>
      </c>
      <c r="B5">
        <v>3.6</v>
      </c>
      <c r="C5">
        <v>3.6</v>
      </c>
      <c r="D5">
        <v>3.6</v>
      </c>
      <c r="E5">
        <v>1.8</v>
      </c>
      <c r="F5">
        <v>1.9</v>
      </c>
      <c r="G5">
        <v>1.7</v>
      </c>
      <c r="H5">
        <v>2.5</v>
      </c>
      <c r="I5">
        <v>1.6</v>
      </c>
      <c r="J5">
        <v>1.5</v>
      </c>
      <c r="K5">
        <v>2.5</v>
      </c>
      <c r="L5">
        <v>1.7</v>
      </c>
      <c r="M5">
        <v>1.6</v>
      </c>
      <c r="N5">
        <v>2.6</v>
      </c>
      <c r="O5">
        <v>1.6</v>
      </c>
      <c r="P5">
        <v>1.4</v>
      </c>
      <c r="Q5">
        <v>2.2000000000000002</v>
      </c>
      <c r="R5">
        <v>1.5</v>
      </c>
      <c r="S5">
        <v>1.6</v>
      </c>
      <c r="T5">
        <v>2.2000000000000002</v>
      </c>
      <c r="U5">
        <v>1.6</v>
      </c>
      <c r="V5">
        <v>1.8</v>
      </c>
      <c r="W5">
        <v>2.2000000000000002</v>
      </c>
      <c r="X5">
        <v>1.4</v>
      </c>
      <c r="Y5">
        <v>1.4</v>
      </c>
    </row>
    <row r="6" spans="1:25" x14ac:dyDescent="0.25">
      <c r="A6" t="s">
        <v>285</v>
      </c>
      <c r="B6">
        <v>2.5</v>
      </c>
      <c r="C6">
        <v>2.6</v>
      </c>
      <c r="D6">
        <v>2.5</v>
      </c>
      <c r="E6">
        <v>0.9</v>
      </c>
      <c r="F6">
        <v>0.8</v>
      </c>
      <c r="G6">
        <v>0.9</v>
      </c>
      <c r="H6">
        <v>2.2000000000000002</v>
      </c>
      <c r="I6">
        <v>0.7</v>
      </c>
      <c r="J6">
        <v>0.3</v>
      </c>
      <c r="K6">
        <v>2.1</v>
      </c>
      <c r="L6">
        <v>0.8</v>
      </c>
      <c r="M6">
        <v>0.3</v>
      </c>
      <c r="N6">
        <v>2.2000000000000002</v>
      </c>
      <c r="O6">
        <v>0.7</v>
      </c>
      <c r="P6">
        <v>0.3</v>
      </c>
      <c r="Q6">
        <v>1.6</v>
      </c>
      <c r="R6">
        <v>0.6</v>
      </c>
      <c r="S6">
        <v>0.3</v>
      </c>
      <c r="T6">
        <v>1.5</v>
      </c>
      <c r="U6">
        <v>0.7</v>
      </c>
      <c r="V6">
        <v>0.3</v>
      </c>
      <c r="W6">
        <v>1.7</v>
      </c>
      <c r="X6">
        <v>0.6</v>
      </c>
      <c r="Y6">
        <v>0.3</v>
      </c>
    </row>
    <row r="7" spans="1:25" x14ac:dyDescent="0.25">
      <c r="A7" t="s">
        <v>286</v>
      </c>
      <c r="B7">
        <v>4.3</v>
      </c>
      <c r="C7">
        <v>4.0999999999999996</v>
      </c>
      <c r="D7">
        <v>4.5</v>
      </c>
      <c r="E7">
        <v>3.6</v>
      </c>
      <c r="F7">
        <v>3.5</v>
      </c>
      <c r="G7">
        <v>3.7</v>
      </c>
      <c r="H7">
        <v>2.8</v>
      </c>
      <c r="I7">
        <v>1.3</v>
      </c>
      <c r="J7">
        <v>0.8</v>
      </c>
      <c r="K7">
        <v>2.7</v>
      </c>
      <c r="L7">
        <v>1.1000000000000001</v>
      </c>
      <c r="M7">
        <v>0.6</v>
      </c>
      <c r="N7">
        <v>2.8</v>
      </c>
      <c r="O7">
        <v>1.5</v>
      </c>
      <c r="P7">
        <v>1</v>
      </c>
      <c r="Q7">
        <v>2.6</v>
      </c>
      <c r="R7">
        <v>1</v>
      </c>
      <c r="S7">
        <v>0.8</v>
      </c>
      <c r="T7">
        <v>2.6</v>
      </c>
      <c r="U7">
        <v>0.9</v>
      </c>
      <c r="V7">
        <v>0.6</v>
      </c>
      <c r="W7">
        <v>2.7</v>
      </c>
      <c r="X7">
        <v>1.2</v>
      </c>
      <c r="Y7">
        <v>1</v>
      </c>
    </row>
    <row r="8" spans="1:25" x14ac:dyDescent="0.25">
      <c r="A8" t="s">
        <v>287</v>
      </c>
      <c r="B8">
        <v>8.1</v>
      </c>
      <c r="C8">
        <v>8.6</v>
      </c>
      <c r="D8">
        <v>7.7</v>
      </c>
      <c r="E8">
        <v>3.1</v>
      </c>
      <c r="F8">
        <v>3.4</v>
      </c>
      <c r="G8">
        <v>2.7</v>
      </c>
      <c r="H8">
        <v>4.0999999999999996</v>
      </c>
      <c r="I8">
        <v>1.1000000000000001</v>
      </c>
      <c r="J8">
        <v>0.3</v>
      </c>
      <c r="K8">
        <v>4.2</v>
      </c>
      <c r="L8">
        <v>1.2</v>
      </c>
      <c r="M8">
        <v>0.4</v>
      </c>
      <c r="N8">
        <v>3.5</v>
      </c>
      <c r="O8">
        <v>1</v>
      </c>
      <c r="P8">
        <v>0.2</v>
      </c>
      <c r="Q8">
        <v>3.6</v>
      </c>
      <c r="R8">
        <v>0.9</v>
      </c>
      <c r="S8">
        <v>0.4</v>
      </c>
      <c r="T8">
        <v>3.7</v>
      </c>
      <c r="U8">
        <v>1.1000000000000001</v>
      </c>
      <c r="V8">
        <v>0.5</v>
      </c>
      <c r="W8">
        <v>3.4</v>
      </c>
      <c r="X8">
        <v>0.8</v>
      </c>
      <c r="Y8">
        <v>0.3</v>
      </c>
    </row>
    <row r="9" spans="1:25" x14ac:dyDescent="0.25">
      <c r="A9" t="s">
        <v>288</v>
      </c>
      <c r="B9">
        <v>4.5999999999999996</v>
      </c>
      <c r="C9">
        <v>4.5</v>
      </c>
      <c r="D9">
        <v>4.5999999999999996</v>
      </c>
      <c r="E9">
        <v>1.8</v>
      </c>
      <c r="F9">
        <v>1.7</v>
      </c>
      <c r="G9">
        <v>1.8</v>
      </c>
      <c r="H9">
        <v>1.8</v>
      </c>
      <c r="I9">
        <v>0.4</v>
      </c>
      <c r="J9">
        <v>0.2</v>
      </c>
      <c r="K9">
        <v>1.8</v>
      </c>
      <c r="L9">
        <v>0.4</v>
      </c>
      <c r="M9">
        <v>0.2</v>
      </c>
      <c r="N9">
        <v>0.4</v>
      </c>
      <c r="O9">
        <v>0.5</v>
      </c>
      <c r="P9">
        <v>0.2</v>
      </c>
      <c r="Q9">
        <v>1.9</v>
      </c>
      <c r="R9">
        <v>0.4</v>
      </c>
      <c r="S9">
        <v>0.2</v>
      </c>
      <c r="T9">
        <v>1.9</v>
      </c>
      <c r="U9">
        <v>0.4</v>
      </c>
      <c r="V9">
        <v>0.3</v>
      </c>
      <c r="W9">
        <v>1.9</v>
      </c>
      <c r="X9">
        <v>0.5</v>
      </c>
      <c r="Y9">
        <v>0.2</v>
      </c>
    </row>
    <row r="10" spans="1:25" x14ac:dyDescent="0.25">
      <c r="A10" t="s">
        <v>289</v>
      </c>
      <c r="B10">
        <v>14.7</v>
      </c>
      <c r="C10">
        <v>15.3</v>
      </c>
      <c r="D10">
        <v>14.2</v>
      </c>
      <c r="E10">
        <v>3.6</v>
      </c>
      <c r="F10">
        <v>3.6</v>
      </c>
      <c r="G10">
        <v>3.5</v>
      </c>
      <c r="H10">
        <v>8.1</v>
      </c>
      <c r="I10">
        <v>3.3</v>
      </c>
      <c r="J10">
        <v>2.5</v>
      </c>
      <c r="K10">
        <v>8.6999999999999993</v>
      </c>
      <c r="L10">
        <v>3.6</v>
      </c>
      <c r="M10">
        <v>2.6</v>
      </c>
      <c r="N10">
        <v>7.4</v>
      </c>
      <c r="O10">
        <v>3</v>
      </c>
      <c r="P10">
        <v>2.2999999999999998</v>
      </c>
      <c r="Q10">
        <v>4.8</v>
      </c>
      <c r="R10">
        <v>2.6</v>
      </c>
      <c r="S10">
        <v>2.5</v>
      </c>
      <c r="T10">
        <v>4.9000000000000004</v>
      </c>
      <c r="U10">
        <v>2.8</v>
      </c>
      <c r="V10">
        <v>2.6</v>
      </c>
      <c r="W10">
        <v>4.7</v>
      </c>
      <c r="X10">
        <v>2.2999999999999998</v>
      </c>
      <c r="Y10">
        <v>2.2999999999999998</v>
      </c>
    </row>
    <row r="11" spans="1:25" x14ac:dyDescent="0.25">
      <c r="A11" t="s">
        <v>290</v>
      </c>
      <c r="B11">
        <v>6.1</v>
      </c>
      <c r="C11">
        <v>6.9</v>
      </c>
      <c r="D11">
        <v>5.3</v>
      </c>
      <c r="E11">
        <v>2.1</v>
      </c>
      <c r="F11">
        <v>2.2000000000000002</v>
      </c>
      <c r="G11">
        <v>2.1</v>
      </c>
      <c r="H11">
        <v>3.9</v>
      </c>
      <c r="I11">
        <v>2.1</v>
      </c>
      <c r="J11">
        <v>1.3</v>
      </c>
      <c r="K11">
        <v>4.3</v>
      </c>
      <c r="L11">
        <v>2.5</v>
      </c>
      <c r="M11">
        <v>1.4</v>
      </c>
      <c r="N11">
        <v>3</v>
      </c>
      <c r="O11">
        <v>1.8</v>
      </c>
      <c r="P11">
        <v>1.2</v>
      </c>
      <c r="Q11">
        <v>3</v>
      </c>
      <c r="R11">
        <v>2.2999999999999998</v>
      </c>
      <c r="S11">
        <v>1.4</v>
      </c>
      <c r="T11">
        <v>3.1</v>
      </c>
      <c r="U11">
        <v>2.1</v>
      </c>
      <c r="V11">
        <v>1.4</v>
      </c>
      <c r="W11">
        <v>2.9</v>
      </c>
      <c r="X11">
        <v>2.4</v>
      </c>
      <c r="Y11">
        <v>1.4</v>
      </c>
    </row>
    <row r="12" spans="1:25" x14ac:dyDescent="0.25">
      <c r="A12" t="s">
        <v>291</v>
      </c>
      <c r="B12">
        <v>25.2</v>
      </c>
      <c r="C12">
        <v>28.5</v>
      </c>
      <c r="D12">
        <v>22.2</v>
      </c>
      <c r="E12">
        <v>0</v>
      </c>
      <c r="F12">
        <v>0</v>
      </c>
      <c r="G12">
        <v>0</v>
      </c>
      <c r="H12">
        <v>10.7</v>
      </c>
      <c r="I12">
        <v>0</v>
      </c>
      <c r="J12">
        <v>0</v>
      </c>
      <c r="K12">
        <v>12.9</v>
      </c>
      <c r="L12">
        <v>0</v>
      </c>
      <c r="M12">
        <v>0</v>
      </c>
      <c r="N12">
        <v>8.8000000000000007</v>
      </c>
      <c r="O12">
        <v>0</v>
      </c>
      <c r="P12">
        <v>0</v>
      </c>
      <c r="Q12">
        <v>1.6</v>
      </c>
      <c r="R12">
        <v>0</v>
      </c>
      <c r="S12">
        <v>0</v>
      </c>
      <c r="T12">
        <v>2.5</v>
      </c>
      <c r="U12">
        <v>0</v>
      </c>
      <c r="V12">
        <v>0</v>
      </c>
      <c r="W12">
        <v>0.9</v>
      </c>
      <c r="X12">
        <v>0</v>
      </c>
      <c r="Y12">
        <v>0</v>
      </c>
    </row>
    <row r="13" spans="1:25" x14ac:dyDescent="0.25">
      <c r="A13" t="s">
        <v>292</v>
      </c>
      <c r="B13">
        <v>23</v>
      </c>
      <c r="C13">
        <v>23.5</v>
      </c>
      <c r="D13">
        <v>22.5</v>
      </c>
      <c r="E13">
        <v>8.9</v>
      </c>
      <c r="F13">
        <v>9.1</v>
      </c>
      <c r="G13">
        <v>8.8000000000000007</v>
      </c>
      <c r="H13">
        <v>12.1</v>
      </c>
      <c r="I13">
        <v>3.1</v>
      </c>
      <c r="J13">
        <v>0.2</v>
      </c>
      <c r="K13">
        <v>12.5</v>
      </c>
      <c r="L13">
        <v>3.4</v>
      </c>
      <c r="M13">
        <v>0.1</v>
      </c>
      <c r="N13">
        <v>8.1999999999999993</v>
      </c>
      <c r="O13">
        <v>2.9</v>
      </c>
      <c r="P13">
        <v>0.2</v>
      </c>
      <c r="Q13">
        <v>11.7</v>
      </c>
      <c r="R13">
        <v>2.6</v>
      </c>
      <c r="S13">
        <v>0.2</v>
      </c>
      <c r="T13">
        <v>12</v>
      </c>
      <c r="U13">
        <v>3.1</v>
      </c>
      <c r="V13">
        <v>0.1</v>
      </c>
      <c r="W13">
        <v>11.5</v>
      </c>
      <c r="X13">
        <v>2.2000000000000002</v>
      </c>
      <c r="Y13">
        <v>0.2</v>
      </c>
    </row>
    <row r="14" spans="1:25" x14ac:dyDescent="0.25">
      <c r="A14" t="s">
        <v>293</v>
      </c>
      <c r="B14">
        <v>1.8</v>
      </c>
      <c r="C14">
        <v>2.2000000000000002</v>
      </c>
      <c r="D14">
        <v>1.4</v>
      </c>
      <c r="E14">
        <v>0.3</v>
      </c>
      <c r="F14">
        <v>0.3</v>
      </c>
      <c r="G14">
        <v>0.3</v>
      </c>
      <c r="H14">
        <v>0.7</v>
      </c>
      <c r="I14">
        <v>0.2</v>
      </c>
      <c r="J14">
        <v>0.2</v>
      </c>
      <c r="K14">
        <v>0.9</v>
      </c>
      <c r="L14">
        <v>0.2</v>
      </c>
      <c r="M14">
        <v>0.2</v>
      </c>
      <c r="N14">
        <v>0.5</v>
      </c>
      <c r="O14">
        <v>0.2</v>
      </c>
      <c r="P14">
        <v>0.1</v>
      </c>
      <c r="Q14">
        <v>0.6</v>
      </c>
      <c r="R14">
        <v>0.2</v>
      </c>
      <c r="S14">
        <v>0.2</v>
      </c>
      <c r="T14">
        <v>0.8</v>
      </c>
      <c r="U14">
        <v>0.2</v>
      </c>
      <c r="V14">
        <v>0.2</v>
      </c>
      <c r="W14">
        <v>0.5</v>
      </c>
      <c r="X14">
        <v>0.2</v>
      </c>
      <c r="Y14">
        <v>0.1</v>
      </c>
    </row>
    <row r="15" spans="1:25" x14ac:dyDescent="0.25">
      <c r="A15" t="s">
        <v>294</v>
      </c>
      <c r="B15">
        <v>2.9</v>
      </c>
      <c r="C15">
        <v>2.5</v>
      </c>
      <c r="D15">
        <v>3.3</v>
      </c>
      <c r="E15">
        <v>1.8</v>
      </c>
      <c r="F15">
        <v>1.6</v>
      </c>
      <c r="G15">
        <v>2</v>
      </c>
      <c r="H15">
        <v>1.6</v>
      </c>
      <c r="I15">
        <v>0.1</v>
      </c>
      <c r="J15">
        <v>0</v>
      </c>
      <c r="K15">
        <v>1.4</v>
      </c>
      <c r="L15">
        <v>0.1</v>
      </c>
      <c r="M15">
        <v>0</v>
      </c>
      <c r="N15">
        <v>1.8</v>
      </c>
      <c r="O15">
        <v>0.1</v>
      </c>
      <c r="P15">
        <v>0</v>
      </c>
      <c r="Q15">
        <v>1.5</v>
      </c>
      <c r="R15">
        <v>0.1</v>
      </c>
      <c r="S15">
        <v>0</v>
      </c>
      <c r="T15">
        <v>1.4</v>
      </c>
      <c r="U15">
        <v>0.1</v>
      </c>
      <c r="V15">
        <v>0</v>
      </c>
      <c r="W15">
        <v>1.7</v>
      </c>
      <c r="X15">
        <v>0.1</v>
      </c>
      <c r="Y15">
        <v>0</v>
      </c>
    </row>
    <row r="16" spans="1:25" x14ac:dyDescent="0.25">
      <c r="A16" t="s">
        <v>295</v>
      </c>
      <c r="B16">
        <v>4</v>
      </c>
      <c r="C16">
        <v>3.9</v>
      </c>
      <c r="D16">
        <v>4.2</v>
      </c>
      <c r="E16">
        <v>2.2000000000000002</v>
      </c>
      <c r="F16">
        <v>2.2999999999999998</v>
      </c>
      <c r="G16">
        <v>2.2000000000000002</v>
      </c>
      <c r="H16">
        <v>2.6</v>
      </c>
      <c r="I16">
        <v>0</v>
      </c>
      <c r="J16">
        <v>0</v>
      </c>
      <c r="K16">
        <v>2.5</v>
      </c>
      <c r="L16">
        <v>0</v>
      </c>
      <c r="M16">
        <v>0</v>
      </c>
      <c r="N16">
        <v>2.7</v>
      </c>
      <c r="O16">
        <v>0</v>
      </c>
      <c r="P16">
        <v>0</v>
      </c>
      <c r="Q16">
        <v>2.4</v>
      </c>
      <c r="R16">
        <v>0</v>
      </c>
      <c r="S16">
        <v>0</v>
      </c>
      <c r="T16">
        <v>2.2999999999999998</v>
      </c>
      <c r="U16">
        <v>0</v>
      </c>
      <c r="V16">
        <v>0</v>
      </c>
      <c r="W16">
        <v>2.5</v>
      </c>
      <c r="X16">
        <v>0</v>
      </c>
      <c r="Y16">
        <v>0</v>
      </c>
    </row>
    <row r="17" spans="1:25" x14ac:dyDescent="0.25">
      <c r="A17" t="s">
        <v>296</v>
      </c>
      <c r="B17">
        <v>21.4</v>
      </c>
      <c r="C17">
        <v>20.9</v>
      </c>
      <c r="D17">
        <v>22</v>
      </c>
      <c r="E17">
        <v>13.9</v>
      </c>
      <c r="F17">
        <v>13.7</v>
      </c>
      <c r="G17">
        <v>14.1</v>
      </c>
      <c r="H17">
        <v>12.2</v>
      </c>
      <c r="I17">
        <v>0</v>
      </c>
      <c r="J17">
        <v>0</v>
      </c>
      <c r="K17">
        <v>12.4</v>
      </c>
      <c r="L17">
        <v>0</v>
      </c>
      <c r="M17">
        <v>0</v>
      </c>
      <c r="N17">
        <v>11.6</v>
      </c>
      <c r="O17">
        <v>0</v>
      </c>
      <c r="P17">
        <v>0</v>
      </c>
      <c r="Q17">
        <v>11.3</v>
      </c>
      <c r="R17">
        <v>0</v>
      </c>
      <c r="S17">
        <v>0</v>
      </c>
      <c r="T17">
        <v>11.7</v>
      </c>
      <c r="U17">
        <v>0</v>
      </c>
      <c r="V17">
        <v>0</v>
      </c>
      <c r="W17">
        <v>11</v>
      </c>
      <c r="X17">
        <v>0</v>
      </c>
      <c r="Y17">
        <v>0</v>
      </c>
    </row>
    <row r="18" spans="1:25" x14ac:dyDescent="0.25">
      <c r="A18" t="s">
        <v>297</v>
      </c>
      <c r="B18">
        <v>58.1</v>
      </c>
      <c r="C18">
        <v>58.8</v>
      </c>
      <c r="D18">
        <v>57.4</v>
      </c>
      <c r="E18">
        <v>38.700000000000003</v>
      </c>
      <c r="F18">
        <v>39.5</v>
      </c>
      <c r="G18">
        <v>37.9</v>
      </c>
      <c r="H18">
        <v>47</v>
      </c>
      <c r="I18">
        <v>21</v>
      </c>
      <c r="J18">
        <v>11.5</v>
      </c>
      <c r="K18">
        <v>48.7</v>
      </c>
      <c r="L18">
        <v>21</v>
      </c>
      <c r="M18">
        <v>11</v>
      </c>
      <c r="N18">
        <v>44.3</v>
      </c>
      <c r="O18">
        <v>21.1</v>
      </c>
      <c r="P18">
        <v>12.1</v>
      </c>
      <c r="Q18">
        <v>43.2</v>
      </c>
      <c r="R18">
        <v>19.3</v>
      </c>
      <c r="S18">
        <v>11.7</v>
      </c>
      <c r="T18">
        <v>45.1</v>
      </c>
      <c r="U18">
        <v>19.2</v>
      </c>
      <c r="V18">
        <v>11.2</v>
      </c>
      <c r="W18">
        <v>41.6</v>
      </c>
      <c r="X18">
        <v>19.399999999999999</v>
      </c>
      <c r="Y18">
        <v>12.3</v>
      </c>
    </row>
    <row r="19" spans="1:25" x14ac:dyDescent="0.25">
      <c r="A19" t="s">
        <v>298</v>
      </c>
      <c r="B19">
        <v>20.5</v>
      </c>
      <c r="C19">
        <v>19.8</v>
      </c>
      <c r="D19">
        <v>21.2</v>
      </c>
      <c r="E19">
        <v>8.6999999999999993</v>
      </c>
      <c r="F19">
        <v>8.3000000000000007</v>
      </c>
      <c r="G19">
        <v>9.1</v>
      </c>
      <c r="H19">
        <v>12.3</v>
      </c>
      <c r="I19">
        <v>6.3</v>
      </c>
      <c r="J19">
        <v>3.7</v>
      </c>
      <c r="K19">
        <v>12</v>
      </c>
      <c r="L19">
        <v>6.2</v>
      </c>
      <c r="M19">
        <v>3.6</v>
      </c>
      <c r="N19">
        <v>8.1999999999999993</v>
      </c>
      <c r="O19">
        <v>6.4</v>
      </c>
      <c r="P19">
        <v>3.9</v>
      </c>
      <c r="Q19">
        <v>12</v>
      </c>
      <c r="R19">
        <v>5.5</v>
      </c>
      <c r="S19">
        <v>3.7</v>
      </c>
      <c r="T19">
        <v>12.1</v>
      </c>
      <c r="U19">
        <v>5.6</v>
      </c>
      <c r="V19">
        <v>3.6</v>
      </c>
      <c r="W19">
        <v>11.8</v>
      </c>
      <c r="X19">
        <v>5.4</v>
      </c>
      <c r="Y19">
        <v>3.9</v>
      </c>
    </row>
    <row r="20" spans="1:25" x14ac:dyDescent="0.25">
      <c r="A20" t="s">
        <v>299</v>
      </c>
      <c r="B20">
        <v>0.7</v>
      </c>
      <c r="C20">
        <v>0.7</v>
      </c>
      <c r="D20">
        <v>0.8</v>
      </c>
      <c r="E20">
        <v>0.2</v>
      </c>
      <c r="F20">
        <v>0.4</v>
      </c>
      <c r="G20">
        <v>0.1</v>
      </c>
      <c r="H20">
        <v>0.5</v>
      </c>
      <c r="I20">
        <v>0</v>
      </c>
      <c r="J20">
        <v>0</v>
      </c>
      <c r="K20">
        <v>0.5</v>
      </c>
      <c r="L20">
        <v>0</v>
      </c>
      <c r="M20">
        <v>0</v>
      </c>
      <c r="N20">
        <v>0.5</v>
      </c>
      <c r="O20">
        <v>0</v>
      </c>
      <c r="P20">
        <v>0</v>
      </c>
      <c r="Q20">
        <v>0.4</v>
      </c>
      <c r="R20">
        <v>0</v>
      </c>
      <c r="S20">
        <v>0</v>
      </c>
      <c r="T20">
        <v>0.4</v>
      </c>
      <c r="U20">
        <v>0</v>
      </c>
      <c r="V20">
        <v>0</v>
      </c>
      <c r="W20">
        <v>0.5</v>
      </c>
      <c r="X20">
        <v>0</v>
      </c>
      <c r="Y20">
        <v>0</v>
      </c>
    </row>
    <row r="21" spans="1:25" x14ac:dyDescent="0.25">
      <c r="A21" t="s">
        <v>300</v>
      </c>
      <c r="B21">
        <v>0.4</v>
      </c>
      <c r="C21">
        <v>0.3</v>
      </c>
      <c r="D21">
        <v>0.6</v>
      </c>
      <c r="E21">
        <v>0.1</v>
      </c>
      <c r="F21">
        <v>0.1</v>
      </c>
      <c r="G21">
        <v>0.2</v>
      </c>
      <c r="H21">
        <v>0.2</v>
      </c>
      <c r="I21">
        <v>0</v>
      </c>
      <c r="J21">
        <v>0.2</v>
      </c>
      <c r="K21">
        <v>0.1</v>
      </c>
      <c r="L21">
        <v>0</v>
      </c>
      <c r="M21">
        <v>0.2</v>
      </c>
      <c r="N21">
        <v>0.2</v>
      </c>
      <c r="O21">
        <v>0</v>
      </c>
      <c r="P21">
        <v>0.1</v>
      </c>
      <c r="Q21">
        <v>0.2</v>
      </c>
      <c r="R21">
        <v>0</v>
      </c>
      <c r="S21">
        <v>0.2</v>
      </c>
      <c r="T21">
        <v>0.1</v>
      </c>
      <c r="U21">
        <v>0</v>
      </c>
      <c r="V21">
        <v>0.2</v>
      </c>
      <c r="W21">
        <v>0.2</v>
      </c>
      <c r="X21">
        <v>0</v>
      </c>
      <c r="Y21">
        <v>0.1</v>
      </c>
    </row>
    <row r="22" spans="1:25" x14ac:dyDescent="0.25">
      <c r="A22" t="s">
        <v>301</v>
      </c>
      <c r="B22">
        <v>3.5</v>
      </c>
      <c r="C22">
        <v>3.5</v>
      </c>
      <c r="D22">
        <v>3.4</v>
      </c>
      <c r="E22">
        <v>0.6</v>
      </c>
      <c r="F22">
        <v>0.6</v>
      </c>
      <c r="G22">
        <v>0.7</v>
      </c>
      <c r="H22">
        <v>1.2</v>
      </c>
      <c r="I22">
        <v>0</v>
      </c>
      <c r="J22">
        <v>0</v>
      </c>
      <c r="K22">
        <v>1.3</v>
      </c>
      <c r="L22">
        <v>0</v>
      </c>
      <c r="M22">
        <v>0</v>
      </c>
      <c r="N22">
        <v>1.1000000000000001</v>
      </c>
      <c r="O22">
        <v>0</v>
      </c>
      <c r="P22">
        <v>0</v>
      </c>
      <c r="Q22">
        <v>0.7</v>
      </c>
      <c r="R22">
        <v>0</v>
      </c>
      <c r="S22">
        <v>0</v>
      </c>
      <c r="T22">
        <v>0.8</v>
      </c>
      <c r="U22">
        <v>0</v>
      </c>
      <c r="V22">
        <v>0</v>
      </c>
      <c r="W22">
        <v>0.7</v>
      </c>
      <c r="X22">
        <v>0</v>
      </c>
      <c r="Y22">
        <v>0</v>
      </c>
    </row>
    <row r="23" spans="1:25" x14ac:dyDescent="0.25">
      <c r="A23" t="s">
        <v>302</v>
      </c>
      <c r="B23">
        <v>6</v>
      </c>
      <c r="C23">
        <v>7</v>
      </c>
      <c r="D23">
        <v>5.0999999999999996</v>
      </c>
      <c r="E23">
        <v>4.5999999999999996</v>
      </c>
      <c r="F23">
        <v>5.4</v>
      </c>
      <c r="G23">
        <v>3.8</v>
      </c>
      <c r="H23">
        <v>5</v>
      </c>
      <c r="I23">
        <v>2.1</v>
      </c>
      <c r="J23">
        <v>1.1000000000000001</v>
      </c>
      <c r="K23">
        <v>5</v>
      </c>
      <c r="L23">
        <v>1.9</v>
      </c>
      <c r="M23">
        <v>1</v>
      </c>
      <c r="N23">
        <v>4.5</v>
      </c>
      <c r="O23">
        <v>2.4</v>
      </c>
      <c r="P23">
        <v>1.2</v>
      </c>
      <c r="Q23">
        <v>4.9000000000000004</v>
      </c>
      <c r="R23">
        <v>1.9</v>
      </c>
      <c r="S23">
        <v>1.2</v>
      </c>
      <c r="T23">
        <v>5.0999999999999996</v>
      </c>
      <c r="U23">
        <v>1.8</v>
      </c>
      <c r="V23">
        <v>1.1000000000000001</v>
      </c>
      <c r="W23">
        <v>4.8</v>
      </c>
      <c r="X23">
        <v>2</v>
      </c>
      <c r="Y23">
        <v>1.3</v>
      </c>
    </row>
    <row r="24" spans="1:25" x14ac:dyDescent="0.25">
      <c r="A24" t="s">
        <v>303</v>
      </c>
      <c r="B24">
        <v>5.0999999999999996</v>
      </c>
      <c r="C24">
        <v>5.2</v>
      </c>
      <c r="D24">
        <v>4.9000000000000004</v>
      </c>
      <c r="E24">
        <v>2.2999999999999998</v>
      </c>
      <c r="F24">
        <v>2.4</v>
      </c>
      <c r="G24">
        <v>2.2000000000000002</v>
      </c>
      <c r="H24">
        <v>3.2</v>
      </c>
      <c r="I24">
        <v>1.5</v>
      </c>
      <c r="J24">
        <v>0.8</v>
      </c>
      <c r="K24">
        <v>3.3</v>
      </c>
      <c r="L24">
        <v>1.6</v>
      </c>
      <c r="M24">
        <v>0.7</v>
      </c>
      <c r="N24">
        <v>2.6</v>
      </c>
      <c r="O24">
        <v>1.4</v>
      </c>
      <c r="P24">
        <v>0.9</v>
      </c>
      <c r="Q24">
        <v>3.1</v>
      </c>
      <c r="R24">
        <v>1.4</v>
      </c>
      <c r="S24">
        <v>0.8</v>
      </c>
      <c r="T24">
        <v>3.3</v>
      </c>
      <c r="U24">
        <v>1.5</v>
      </c>
      <c r="V24">
        <v>0.7</v>
      </c>
      <c r="W24">
        <v>3</v>
      </c>
      <c r="X24">
        <v>1.3</v>
      </c>
      <c r="Y24">
        <v>0.9</v>
      </c>
    </row>
    <row r="25" spans="1:25" x14ac:dyDescent="0.25">
      <c r="A25" t="s">
        <v>304</v>
      </c>
      <c r="B25">
        <v>1.6</v>
      </c>
      <c r="C25">
        <v>1.3</v>
      </c>
      <c r="D25">
        <v>1.9</v>
      </c>
      <c r="E25">
        <v>1.3</v>
      </c>
      <c r="F25">
        <v>1</v>
      </c>
      <c r="G25">
        <v>1.6</v>
      </c>
      <c r="H25">
        <v>1.6</v>
      </c>
      <c r="I25">
        <v>0.7</v>
      </c>
      <c r="J25">
        <v>0</v>
      </c>
      <c r="K25">
        <v>1.4</v>
      </c>
      <c r="L25">
        <v>0.8</v>
      </c>
      <c r="M25">
        <v>0</v>
      </c>
      <c r="N25">
        <v>1.5</v>
      </c>
      <c r="O25">
        <v>0.6</v>
      </c>
      <c r="P25">
        <v>0</v>
      </c>
      <c r="Q25">
        <v>1.6</v>
      </c>
      <c r="R25">
        <v>0.7</v>
      </c>
      <c r="S25">
        <v>0</v>
      </c>
      <c r="T25">
        <v>1.5</v>
      </c>
      <c r="U25">
        <v>0.7</v>
      </c>
      <c r="V25">
        <v>0</v>
      </c>
      <c r="W25">
        <v>1.7</v>
      </c>
      <c r="X25">
        <v>0.6</v>
      </c>
      <c r="Y25">
        <v>0</v>
      </c>
    </row>
    <row r="26" spans="1:25" x14ac:dyDescent="0.25">
      <c r="A26" t="s">
        <v>305</v>
      </c>
      <c r="B26">
        <v>1.8</v>
      </c>
      <c r="C26">
        <v>2</v>
      </c>
      <c r="D26">
        <v>1.5</v>
      </c>
      <c r="E26">
        <v>1.6</v>
      </c>
      <c r="F26">
        <v>1.9</v>
      </c>
      <c r="G26">
        <v>1.3</v>
      </c>
      <c r="H26">
        <v>0.8</v>
      </c>
      <c r="I26">
        <v>0</v>
      </c>
      <c r="J26">
        <v>0</v>
      </c>
      <c r="K26">
        <v>0.8</v>
      </c>
      <c r="L26">
        <v>0</v>
      </c>
      <c r="M26">
        <v>0</v>
      </c>
      <c r="N26">
        <v>0.7</v>
      </c>
      <c r="O26">
        <v>0</v>
      </c>
      <c r="P26">
        <v>0</v>
      </c>
      <c r="Q26">
        <v>0.7</v>
      </c>
      <c r="R26">
        <v>0</v>
      </c>
      <c r="S26">
        <v>0</v>
      </c>
      <c r="T26">
        <v>0.8</v>
      </c>
      <c r="U26">
        <v>0</v>
      </c>
      <c r="V26">
        <v>0</v>
      </c>
      <c r="W26">
        <v>0.6</v>
      </c>
      <c r="X26">
        <v>0</v>
      </c>
      <c r="Y26">
        <v>0</v>
      </c>
    </row>
    <row r="27" spans="1:25" x14ac:dyDescent="0.25">
      <c r="A27" t="s">
        <v>306</v>
      </c>
      <c r="B27">
        <v>1.8</v>
      </c>
      <c r="C27">
        <v>1.7</v>
      </c>
      <c r="D27">
        <v>1.9</v>
      </c>
      <c r="E27">
        <v>1.1000000000000001</v>
      </c>
      <c r="F27">
        <v>1.1000000000000001</v>
      </c>
      <c r="G27">
        <v>1.2</v>
      </c>
      <c r="H27">
        <v>0.9</v>
      </c>
      <c r="I27">
        <v>1</v>
      </c>
      <c r="J27">
        <v>0.8</v>
      </c>
      <c r="K27">
        <v>0.9</v>
      </c>
      <c r="L27">
        <v>1</v>
      </c>
      <c r="M27">
        <v>0.8</v>
      </c>
      <c r="N27">
        <v>0.6</v>
      </c>
      <c r="O27">
        <v>1</v>
      </c>
      <c r="P27">
        <v>0.8</v>
      </c>
      <c r="Q27">
        <v>1</v>
      </c>
      <c r="R27">
        <v>0.9</v>
      </c>
      <c r="S27">
        <v>0.8</v>
      </c>
      <c r="T27">
        <v>1.1000000000000001</v>
      </c>
      <c r="U27">
        <v>0.9</v>
      </c>
      <c r="V27">
        <v>0.8</v>
      </c>
      <c r="W27">
        <v>1</v>
      </c>
      <c r="X27">
        <v>0.9</v>
      </c>
      <c r="Y27">
        <v>0.8</v>
      </c>
    </row>
    <row r="28" spans="1:25" x14ac:dyDescent="0.25">
      <c r="A28" t="s">
        <v>307</v>
      </c>
      <c r="B28">
        <v>2.9</v>
      </c>
      <c r="C28">
        <v>3</v>
      </c>
      <c r="D28">
        <v>2.8</v>
      </c>
      <c r="E28">
        <v>1.5</v>
      </c>
      <c r="F28">
        <v>1.4</v>
      </c>
      <c r="G28">
        <v>1.6</v>
      </c>
      <c r="H28">
        <v>2.1</v>
      </c>
      <c r="I28">
        <v>2</v>
      </c>
      <c r="J28">
        <v>0.7</v>
      </c>
      <c r="K28">
        <v>2.2000000000000002</v>
      </c>
      <c r="L28">
        <v>3.2</v>
      </c>
      <c r="M28">
        <v>1.1000000000000001</v>
      </c>
      <c r="N28">
        <v>2</v>
      </c>
      <c r="O28">
        <v>0.9</v>
      </c>
      <c r="P28">
        <v>0.3</v>
      </c>
      <c r="Q28">
        <v>1.7</v>
      </c>
      <c r="R28">
        <v>1.3</v>
      </c>
      <c r="S28">
        <v>0.7</v>
      </c>
      <c r="T28">
        <v>1.7</v>
      </c>
      <c r="U28">
        <v>2.2000000000000002</v>
      </c>
      <c r="V28">
        <v>1.1000000000000001</v>
      </c>
      <c r="W28">
        <v>1.7</v>
      </c>
      <c r="X28">
        <v>0.5</v>
      </c>
      <c r="Y28">
        <v>0.3</v>
      </c>
    </row>
    <row r="29" spans="1:25" x14ac:dyDescent="0.25">
      <c r="A29" t="s">
        <v>266</v>
      </c>
      <c r="B29">
        <v>10.3</v>
      </c>
      <c r="C29">
        <v>10.4</v>
      </c>
      <c r="D29">
        <v>10.199999999999999</v>
      </c>
      <c r="E29">
        <v>5.7</v>
      </c>
      <c r="F29">
        <v>5.8</v>
      </c>
      <c r="G29">
        <v>5.6</v>
      </c>
      <c r="H29">
        <v>7.1</v>
      </c>
      <c r="I29">
        <v>3.3</v>
      </c>
      <c r="J29">
        <v>2</v>
      </c>
      <c r="K29">
        <v>7.3</v>
      </c>
      <c r="L29">
        <v>3.5</v>
      </c>
      <c r="M29">
        <v>2.2000000000000002</v>
      </c>
      <c r="N29">
        <v>6.6</v>
      </c>
      <c r="O29">
        <v>3.1</v>
      </c>
      <c r="P29">
        <v>1.9</v>
      </c>
      <c r="Q29">
        <v>6.3</v>
      </c>
      <c r="R29">
        <v>2.9</v>
      </c>
      <c r="S29">
        <v>2.1</v>
      </c>
      <c r="T29">
        <v>6.5</v>
      </c>
      <c r="U29">
        <v>3.1</v>
      </c>
      <c r="V29">
        <v>2.2000000000000002</v>
      </c>
      <c r="W29">
        <v>6.2</v>
      </c>
      <c r="X29">
        <v>2.8</v>
      </c>
      <c r="Y29">
        <v>2</v>
      </c>
    </row>
    <row r="30" spans="1:25" x14ac:dyDescent="0.25">
      <c r="A30" t="s">
        <v>459</v>
      </c>
      <c r="B30">
        <v>41.7</v>
      </c>
      <c r="C30">
        <v>42.2</v>
      </c>
      <c r="D30">
        <v>41.3</v>
      </c>
      <c r="E30">
        <v>25.4</v>
      </c>
      <c r="F30">
        <v>25.8</v>
      </c>
      <c r="G30">
        <v>24.9</v>
      </c>
      <c r="H30">
        <v>30.9</v>
      </c>
      <c r="I30">
        <v>14.4</v>
      </c>
      <c r="J30">
        <v>8.6999999999999993</v>
      </c>
      <c r="K30">
        <v>31.7</v>
      </c>
      <c r="L30">
        <v>14.7</v>
      </c>
      <c r="M30">
        <v>8.5</v>
      </c>
      <c r="N30">
        <v>28.9</v>
      </c>
      <c r="O30">
        <v>14.1</v>
      </c>
      <c r="P30">
        <v>8.8000000000000007</v>
      </c>
      <c r="Q30">
        <v>28.1</v>
      </c>
      <c r="R30">
        <v>13</v>
      </c>
      <c r="S30">
        <v>8.8000000000000007</v>
      </c>
      <c r="T30">
        <v>28.9</v>
      </c>
      <c r="U30">
        <v>13.4</v>
      </c>
      <c r="V30">
        <v>8.6999999999999993</v>
      </c>
      <c r="W30">
        <v>27.2</v>
      </c>
      <c r="X30">
        <v>12.6</v>
      </c>
      <c r="Y30">
        <v>8.9</v>
      </c>
    </row>
    <row r="31" spans="1:25" x14ac:dyDescent="0.25">
      <c r="A31" t="s">
        <v>460</v>
      </c>
      <c r="B31">
        <v>2.5</v>
      </c>
      <c r="C31">
        <v>2.6</v>
      </c>
      <c r="D31">
        <v>2.4</v>
      </c>
      <c r="E31">
        <v>0.8</v>
      </c>
      <c r="F31">
        <v>0.9</v>
      </c>
      <c r="G31">
        <v>0.8</v>
      </c>
      <c r="H31">
        <v>1.4</v>
      </c>
      <c r="I31">
        <v>0.5</v>
      </c>
      <c r="J31">
        <v>0.2</v>
      </c>
      <c r="K31">
        <v>1.5</v>
      </c>
      <c r="L31">
        <v>0.6</v>
      </c>
      <c r="M31">
        <v>0.2</v>
      </c>
      <c r="N31">
        <v>1.1000000000000001</v>
      </c>
      <c r="O31">
        <v>0.4</v>
      </c>
      <c r="P31">
        <v>0.2</v>
      </c>
      <c r="Q31">
        <v>1.1000000000000001</v>
      </c>
      <c r="R31">
        <v>0.4</v>
      </c>
      <c r="S31">
        <v>0.2</v>
      </c>
      <c r="T31">
        <v>1.1000000000000001</v>
      </c>
      <c r="U31">
        <v>0.5</v>
      </c>
      <c r="V31">
        <v>0.3</v>
      </c>
      <c r="W31">
        <v>1.1000000000000001</v>
      </c>
      <c r="X31">
        <v>0.4</v>
      </c>
      <c r="Y31">
        <v>0.2</v>
      </c>
    </row>
  </sheetData>
  <mergeCells count="11">
    <mergeCell ref="T2:V2"/>
    <mergeCell ref="E1:G2"/>
    <mergeCell ref="A1:A3"/>
    <mergeCell ref="Q1:Y1"/>
    <mergeCell ref="K2:M2"/>
    <mergeCell ref="B1:D2"/>
    <mergeCell ref="N2:P2"/>
    <mergeCell ref="H1:P1"/>
    <mergeCell ref="H2:J2"/>
    <mergeCell ref="Q2:S2"/>
    <mergeCell ref="W2:Y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00B0F0"/>
  </sheetPr>
  <dimension ref="A1:J30"/>
  <sheetViews>
    <sheetView workbookViewId="0"/>
  </sheetViews>
  <sheetFormatPr defaultRowHeight="15" x14ac:dyDescent="0.25"/>
  <cols>
    <col min="1" max="1" width="24.42578125" customWidth="1"/>
    <col min="2" max="2" width="15.28515625" customWidth="1"/>
    <col min="3" max="3" width="15.42578125" customWidth="1"/>
    <col min="4" max="4" width="15.28515625" customWidth="1"/>
    <col min="5" max="5" width="15.42578125" customWidth="1"/>
    <col min="6" max="6" width="15.28515625" customWidth="1"/>
    <col min="8" max="8" width="15.42578125" customWidth="1"/>
    <col min="9" max="9" width="15.28515625" customWidth="1"/>
    <col min="10" max="10" width="16" customWidth="1"/>
  </cols>
  <sheetData>
    <row r="1" spans="1:10" x14ac:dyDescent="0.25">
      <c r="A1" s="29" t="s">
        <v>709</v>
      </c>
      <c r="B1" s="29" t="s">
        <v>346</v>
      </c>
      <c r="C1" s="29"/>
      <c r="D1" s="29"/>
      <c r="E1" s="29" t="s">
        <v>328</v>
      </c>
      <c r="F1" s="29"/>
      <c r="G1" s="29"/>
      <c r="H1" s="29" t="s">
        <v>329</v>
      </c>
      <c r="I1" s="29"/>
      <c r="J1" s="29"/>
    </row>
    <row r="2" spans="1:10" x14ac:dyDescent="0.25">
      <c r="A2" s="29"/>
      <c r="B2" t="s">
        <v>263</v>
      </c>
      <c r="C2" t="s">
        <v>264</v>
      </c>
      <c r="D2" t="s">
        <v>618</v>
      </c>
      <c r="E2" t="s">
        <v>263</v>
      </c>
      <c r="F2" t="s">
        <v>264</v>
      </c>
      <c r="G2" t="s">
        <v>618</v>
      </c>
      <c r="H2" t="s">
        <v>263</v>
      </c>
      <c r="I2" t="s">
        <v>264</v>
      </c>
      <c r="J2" t="s">
        <v>618</v>
      </c>
    </row>
    <row r="3" spans="1:10" x14ac:dyDescent="0.25">
      <c r="A3" t="s">
        <v>283</v>
      </c>
      <c r="B3">
        <v>9</v>
      </c>
      <c r="C3">
        <v>9.3000000000000007</v>
      </c>
      <c r="D3">
        <v>8.6999999999999993</v>
      </c>
      <c r="E3">
        <v>4.3</v>
      </c>
      <c r="F3">
        <v>4.0999999999999996</v>
      </c>
      <c r="G3">
        <v>4.5</v>
      </c>
      <c r="H3">
        <v>2</v>
      </c>
      <c r="I3">
        <v>2</v>
      </c>
      <c r="J3">
        <v>1.9</v>
      </c>
    </row>
    <row r="4" spans="1:10" x14ac:dyDescent="0.25">
      <c r="A4" t="s">
        <v>284</v>
      </c>
      <c r="B4">
        <v>1.8</v>
      </c>
      <c r="C4">
        <v>1.8</v>
      </c>
      <c r="D4">
        <v>1.9</v>
      </c>
      <c r="E4">
        <v>1.8</v>
      </c>
      <c r="F4">
        <v>1.9</v>
      </c>
      <c r="G4">
        <v>1.8</v>
      </c>
      <c r="H4">
        <v>1.6</v>
      </c>
      <c r="I4">
        <v>1.8</v>
      </c>
      <c r="J4">
        <v>1.4</v>
      </c>
    </row>
    <row r="5" spans="1:10" x14ac:dyDescent="0.25">
      <c r="A5" t="s">
        <v>285</v>
      </c>
      <c r="B5">
        <v>1.9</v>
      </c>
      <c r="C5">
        <v>1.9</v>
      </c>
      <c r="D5">
        <v>1.8</v>
      </c>
      <c r="E5">
        <v>0.6</v>
      </c>
      <c r="F5">
        <v>0.7</v>
      </c>
      <c r="G5">
        <v>0.5</v>
      </c>
      <c r="H5">
        <v>0.2</v>
      </c>
      <c r="I5">
        <v>0.2</v>
      </c>
      <c r="J5">
        <v>0.2</v>
      </c>
    </row>
    <row r="6" spans="1:10" x14ac:dyDescent="0.25">
      <c r="A6" t="s">
        <v>286</v>
      </c>
      <c r="B6">
        <v>1.8</v>
      </c>
      <c r="C6">
        <v>1.5</v>
      </c>
      <c r="D6">
        <v>2.1</v>
      </c>
      <c r="E6">
        <v>1.1000000000000001</v>
      </c>
      <c r="F6">
        <v>0.8</v>
      </c>
      <c r="G6">
        <v>1.3</v>
      </c>
      <c r="H6">
        <v>0.8</v>
      </c>
      <c r="I6">
        <v>0.7</v>
      </c>
      <c r="J6">
        <v>0.9</v>
      </c>
    </row>
    <row r="7" spans="1:10" x14ac:dyDescent="0.25">
      <c r="A7" t="s">
        <v>287</v>
      </c>
      <c r="B7">
        <v>2.1</v>
      </c>
      <c r="C7">
        <v>2.2000000000000002</v>
      </c>
      <c r="D7">
        <v>2</v>
      </c>
      <c r="E7">
        <v>1</v>
      </c>
      <c r="F7">
        <v>1</v>
      </c>
      <c r="G7">
        <v>1</v>
      </c>
      <c r="H7">
        <v>0.2</v>
      </c>
      <c r="I7">
        <v>0.3</v>
      </c>
      <c r="J7">
        <v>0.2</v>
      </c>
    </row>
    <row r="8" spans="1:10" x14ac:dyDescent="0.25">
      <c r="A8" t="s">
        <v>288</v>
      </c>
      <c r="B8">
        <v>1.2</v>
      </c>
      <c r="C8">
        <v>1.4</v>
      </c>
      <c r="D8">
        <v>1</v>
      </c>
      <c r="E8">
        <v>0.6</v>
      </c>
      <c r="F8">
        <v>0.5</v>
      </c>
      <c r="G8">
        <v>0.6</v>
      </c>
      <c r="H8">
        <v>0.2</v>
      </c>
      <c r="I8">
        <v>0.2</v>
      </c>
      <c r="J8">
        <v>0.2</v>
      </c>
    </row>
    <row r="9" spans="1:10" x14ac:dyDescent="0.25">
      <c r="A9" t="s">
        <v>289</v>
      </c>
      <c r="B9">
        <v>3.9</v>
      </c>
      <c r="C9">
        <v>4.5</v>
      </c>
      <c r="D9">
        <v>3.3</v>
      </c>
      <c r="E9">
        <v>2.7</v>
      </c>
      <c r="F9">
        <v>3.2</v>
      </c>
      <c r="G9">
        <v>2.2999999999999998</v>
      </c>
      <c r="H9">
        <v>2.4</v>
      </c>
      <c r="I9">
        <v>2.4</v>
      </c>
      <c r="J9">
        <v>2.4</v>
      </c>
    </row>
    <row r="10" spans="1:10" x14ac:dyDescent="0.25">
      <c r="A10" t="s">
        <v>290</v>
      </c>
      <c r="B10">
        <v>2.8</v>
      </c>
      <c r="C10">
        <v>3.1</v>
      </c>
      <c r="D10">
        <v>2.4</v>
      </c>
      <c r="E10">
        <v>2</v>
      </c>
      <c r="F10">
        <v>1.6</v>
      </c>
      <c r="G10">
        <v>2.4</v>
      </c>
      <c r="H10">
        <v>1.3</v>
      </c>
      <c r="I10">
        <v>1.2</v>
      </c>
      <c r="J10">
        <v>1.4</v>
      </c>
    </row>
    <row r="11" spans="1:10" x14ac:dyDescent="0.25">
      <c r="A11" t="s">
        <v>291</v>
      </c>
      <c r="B11">
        <v>3.1</v>
      </c>
      <c r="C11">
        <v>3.6</v>
      </c>
      <c r="D11">
        <v>2.7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292</v>
      </c>
      <c r="B12">
        <v>6.5</v>
      </c>
      <c r="C12">
        <v>6.1</v>
      </c>
      <c r="D12">
        <v>6.9</v>
      </c>
      <c r="E12">
        <v>2.1</v>
      </c>
      <c r="F12">
        <v>2.2000000000000002</v>
      </c>
      <c r="G12">
        <v>2</v>
      </c>
      <c r="H12">
        <v>0</v>
      </c>
      <c r="I12">
        <v>0</v>
      </c>
      <c r="J12">
        <v>0</v>
      </c>
    </row>
    <row r="13" spans="1:10" x14ac:dyDescent="0.25">
      <c r="A13" t="s">
        <v>293</v>
      </c>
      <c r="B13">
        <v>0</v>
      </c>
      <c r="C13">
        <v>0.1</v>
      </c>
      <c r="D13">
        <v>0</v>
      </c>
      <c r="E13">
        <v>0.2</v>
      </c>
      <c r="F13">
        <v>0.2</v>
      </c>
      <c r="G13">
        <v>0.2</v>
      </c>
      <c r="H13">
        <v>0.1</v>
      </c>
      <c r="I13">
        <v>0.1</v>
      </c>
      <c r="J13">
        <v>0.1</v>
      </c>
    </row>
    <row r="14" spans="1:10" x14ac:dyDescent="0.25">
      <c r="A14" t="s">
        <v>294</v>
      </c>
      <c r="B14">
        <v>0.8</v>
      </c>
      <c r="C14">
        <v>1</v>
      </c>
      <c r="D14">
        <v>0.7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295</v>
      </c>
      <c r="B15">
        <v>1.7</v>
      </c>
      <c r="C15">
        <v>1.7</v>
      </c>
      <c r="D15">
        <v>1.6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296</v>
      </c>
      <c r="B16">
        <v>6</v>
      </c>
      <c r="C16">
        <v>6.2</v>
      </c>
      <c r="D16">
        <v>5.8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297</v>
      </c>
      <c r="B17">
        <v>34.6</v>
      </c>
      <c r="C17">
        <v>35.6</v>
      </c>
      <c r="D17">
        <v>33.6</v>
      </c>
      <c r="E17">
        <v>17.5</v>
      </c>
      <c r="F17">
        <v>17.399999999999999</v>
      </c>
      <c r="G17">
        <v>17.600000000000001</v>
      </c>
      <c r="H17">
        <v>8.6999999999999993</v>
      </c>
      <c r="I17">
        <v>8.1999999999999993</v>
      </c>
      <c r="J17">
        <v>9.3000000000000007</v>
      </c>
    </row>
    <row r="18" spans="1:10" x14ac:dyDescent="0.25">
      <c r="A18" t="s">
        <v>298</v>
      </c>
      <c r="B18">
        <v>9.1</v>
      </c>
      <c r="C18">
        <v>9.5</v>
      </c>
      <c r="D18">
        <v>8.6999999999999993</v>
      </c>
      <c r="E18">
        <v>5.4</v>
      </c>
      <c r="F18">
        <v>5.7</v>
      </c>
      <c r="G18">
        <v>5</v>
      </c>
      <c r="H18">
        <v>3</v>
      </c>
      <c r="I18">
        <v>2.9</v>
      </c>
      <c r="J18">
        <v>3.1</v>
      </c>
    </row>
    <row r="19" spans="1:10" x14ac:dyDescent="0.25">
      <c r="A19" t="s">
        <v>299</v>
      </c>
      <c r="B19">
        <v>0.4</v>
      </c>
      <c r="C19">
        <v>0.3</v>
      </c>
      <c r="D19">
        <v>0.4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300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</v>
      </c>
      <c r="I20">
        <v>0.2</v>
      </c>
      <c r="J20">
        <v>0.2</v>
      </c>
    </row>
    <row r="21" spans="1:10" x14ac:dyDescent="0.25">
      <c r="A21" t="s">
        <v>301</v>
      </c>
      <c r="B21">
        <v>0.2</v>
      </c>
      <c r="C21">
        <v>0.3</v>
      </c>
      <c r="D21">
        <v>0.1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302</v>
      </c>
      <c r="B22">
        <v>4</v>
      </c>
      <c r="C22">
        <v>3.6</v>
      </c>
      <c r="D22">
        <v>4.3</v>
      </c>
      <c r="E22">
        <v>2.1</v>
      </c>
      <c r="F22">
        <v>1.6</v>
      </c>
      <c r="G22">
        <v>2.6</v>
      </c>
      <c r="H22">
        <v>1.1000000000000001</v>
      </c>
      <c r="I22">
        <v>0.9</v>
      </c>
      <c r="J22">
        <v>1.3</v>
      </c>
    </row>
    <row r="23" spans="1:10" x14ac:dyDescent="0.25">
      <c r="A23" t="s">
        <v>303</v>
      </c>
      <c r="B23">
        <v>2.2000000000000002</v>
      </c>
      <c r="C23">
        <v>2.4</v>
      </c>
      <c r="D23">
        <v>2</v>
      </c>
      <c r="E23">
        <v>1.2</v>
      </c>
      <c r="F23">
        <v>1.3</v>
      </c>
      <c r="G23">
        <v>1</v>
      </c>
      <c r="H23">
        <v>0.6</v>
      </c>
      <c r="I23">
        <v>0.6</v>
      </c>
      <c r="J23">
        <v>0.5</v>
      </c>
    </row>
    <row r="24" spans="1:10" x14ac:dyDescent="0.25">
      <c r="A24" t="s">
        <v>304</v>
      </c>
      <c r="B24">
        <v>1</v>
      </c>
      <c r="C24">
        <v>1.3</v>
      </c>
      <c r="D24">
        <v>0.6</v>
      </c>
      <c r="E24">
        <v>0.5</v>
      </c>
      <c r="F24">
        <v>0.8</v>
      </c>
      <c r="G24">
        <v>0.3</v>
      </c>
      <c r="H24">
        <v>0.1</v>
      </c>
      <c r="I24">
        <v>0.1</v>
      </c>
      <c r="J24">
        <v>0.1</v>
      </c>
    </row>
    <row r="25" spans="1:10" x14ac:dyDescent="0.25">
      <c r="A25" t="s">
        <v>305</v>
      </c>
      <c r="B25">
        <v>0.2</v>
      </c>
      <c r="C25">
        <v>0.1</v>
      </c>
      <c r="D25">
        <v>0.2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306</v>
      </c>
      <c r="B26">
        <v>0.5</v>
      </c>
      <c r="C26">
        <v>0.3</v>
      </c>
      <c r="D26">
        <v>0.6</v>
      </c>
      <c r="E26">
        <v>0.8</v>
      </c>
      <c r="F26">
        <v>0.7</v>
      </c>
      <c r="G26">
        <v>0.9</v>
      </c>
      <c r="H26">
        <v>0.6</v>
      </c>
      <c r="I26">
        <v>0.8</v>
      </c>
      <c r="J26">
        <v>0.5</v>
      </c>
    </row>
    <row r="27" spans="1:10" x14ac:dyDescent="0.25">
      <c r="A27" t="s">
        <v>307</v>
      </c>
      <c r="B27">
        <v>1.5</v>
      </c>
      <c r="C27">
        <v>1.8</v>
      </c>
      <c r="D27">
        <v>1.1000000000000001</v>
      </c>
      <c r="E27">
        <v>1.4</v>
      </c>
      <c r="F27">
        <v>2.5</v>
      </c>
      <c r="G27">
        <v>0.4</v>
      </c>
      <c r="H27">
        <v>0.4</v>
      </c>
      <c r="I27">
        <v>0.7</v>
      </c>
      <c r="J27">
        <v>0.1</v>
      </c>
    </row>
    <row r="28" spans="1:10" x14ac:dyDescent="0.25">
      <c r="A28" t="s">
        <v>266</v>
      </c>
      <c r="B28">
        <v>4.9000000000000004</v>
      </c>
      <c r="C28">
        <v>5.0999999999999996</v>
      </c>
      <c r="D28">
        <v>4.7</v>
      </c>
      <c r="E28">
        <v>2.8</v>
      </c>
      <c r="F28">
        <v>3</v>
      </c>
      <c r="G28">
        <v>2.7</v>
      </c>
      <c r="H28">
        <v>1.7</v>
      </c>
      <c r="I28">
        <v>1.8</v>
      </c>
      <c r="J28">
        <v>1.6</v>
      </c>
    </row>
    <row r="29" spans="1:10" x14ac:dyDescent="0.25">
      <c r="A29" t="s">
        <v>459</v>
      </c>
      <c r="B29">
        <v>20.9</v>
      </c>
      <c r="C29">
        <v>21.5</v>
      </c>
      <c r="D29">
        <v>20.3</v>
      </c>
      <c r="E29">
        <v>11.8</v>
      </c>
      <c r="F29">
        <v>11.9</v>
      </c>
      <c r="G29">
        <v>11.7</v>
      </c>
      <c r="H29">
        <v>6.8</v>
      </c>
      <c r="I29">
        <v>6.7</v>
      </c>
      <c r="J29">
        <v>6.9</v>
      </c>
    </row>
    <row r="30" spans="1:10" x14ac:dyDescent="0.25">
      <c r="A30" t="s">
        <v>460</v>
      </c>
      <c r="B30">
        <v>0.9</v>
      </c>
      <c r="C30">
        <v>0.9</v>
      </c>
      <c r="D30">
        <v>0.8</v>
      </c>
      <c r="E30">
        <v>0.4</v>
      </c>
      <c r="F30">
        <v>0.5</v>
      </c>
      <c r="G30">
        <v>0.4</v>
      </c>
      <c r="H30">
        <v>0.2</v>
      </c>
      <c r="I30">
        <v>0.2</v>
      </c>
      <c r="J30">
        <v>0.2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FF66CC"/>
  </sheetPr>
  <dimension ref="A1:I30"/>
  <sheetViews>
    <sheetView workbookViewId="0"/>
  </sheetViews>
  <sheetFormatPr defaultRowHeight="15" x14ac:dyDescent="0.25"/>
  <cols>
    <col min="1" max="1" width="27.28515625" customWidth="1"/>
    <col min="2" max="2" width="17.140625" customWidth="1"/>
    <col min="3" max="3" width="16.85546875" customWidth="1"/>
    <col min="4" max="4" width="17.140625" customWidth="1"/>
    <col min="5" max="5" width="16.85546875" customWidth="1"/>
    <col min="6" max="6" width="17.140625" customWidth="1"/>
    <col min="7" max="7" width="16.85546875" customWidth="1"/>
    <col min="8" max="8" width="17.140625" customWidth="1"/>
    <col min="9" max="9" width="16.85546875" customWidth="1"/>
  </cols>
  <sheetData>
    <row r="1" spans="1:9" x14ac:dyDescent="0.25">
      <c r="A1" s="29" t="s">
        <v>709</v>
      </c>
      <c r="B1" s="29" t="s">
        <v>634</v>
      </c>
      <c r="C1" s="29" t="s">
        <v>635</v>
      </c>
      <c r="D1" s="29" t="s">
        <v>767</v>
      </c>
      <c r="E1" s="29"/>
      <c r="F1" s="29"/>
      <c r="G1" s="29" t="s">
        <v>768</v>
      </c>
      <c r="H1" s="29"/>
      <c r="I1" s="29"/>
    </row>
    <row r="2" spans="1:9" x14ac:dyDescent="0.25">
      <c r="A2" s="29"/>
      <c r="B2" s="29"/>
      <c r="C2" s="29"/>
      <c r="D2" t="s">
        <v>346</v>
      </c>
      <c r="E2" t="s">
        <v>400</v>
      </c>
      <c r="F2" t="s">
        <v>401</v>
      </c>
      <c r="G2" t="s">
        <v>346</v>
      </c>
      <c r="H2" t="s">
        <v>400</v>
      </c>
      <c r="I2" t="s">
        <v>401</v>
      </c>
    </row>
    <row r="3" spans="1:9" x14ac:dyDescent="0.25">
      <c r="A3" t="s">
        <v>283</v>
      </c>
      <c r="B3">
        <v>1</v>
      </c>
      <c r="C3">
        <v>1</v>
      </c>
      <c r="D3">
        <v>1</v>
      </c>
      <c r="E3">
        <v>1.1000000000000001</v>
      </c>
      <c r="F3">
        <v>1.1000000000000001</v>
      </c>
      <c r="G3">
        <v>1</v>
      </c>
      <c r="H3">
        <v>1.2</v>
      </c>
      <c r="I3">
        <v>1.1000000000000001</v>
      </c>
    </row>
    <row r="4" spans="1:9" x14ac:dyDescent="0.25">
      <c r="A4" t="s">
        <v>284</v>
      </c>
      <c r="B4">
        <v>1</v>
      </c>
      <c r="C4">
        <v>1.1000000000000001</v>
      </c>
      <c r="D4">
        <v>1</v>
      </c>
      <c r="E4">
        <v>1.1000000000000001</v>
      </c>
      <c r="F4">
        <v>1.2</v>
      </c>
      <c r="G4">
        <v>1</v>
      </c>
      <c r="H4">
        <v>1.2</v>
      </c>
      <c r="I4">
        <v>1.2</v>
      </c>
    </row>
    <row r="5" spans="1:9" x14ac:dyDescent="0.25">
      <c r="A5" t="s">
        <v>285</v>
      </c>
      <c r="B5">
        <v>1</v>
      </c>
      <c r="C5">
        <v>0.9</v>
      </c>
      <c r="D5">
        <v>0.9</v>
      </c>
      <c r="E5">
        <v>1.1000000000000001</v>
      </c>
      <c r="F5">
        <v>1</v>
      </c>
      <c r="G5">
        <v>0.9</v>
      </c>
      <c r="H5">
        <v>1.2</v>
      </c>
      <c r="I5">
        <v>1</v>
      </c>
    </row>
    <row r="6" spans="1:9" x14ac:dyDescent="0.25">
      <c r="A6" t="s">
        <v>286</v>
      </c>
      <c r="B6">
        <v>0.9</v>
      </c>
      <c r="C6">
        <v>0.9</v>
      </c>
      <c r="D6">
        <v>1</v>
      </c>
      <c r="E6">
        <v>0.7</v>
      </c>
      <c r="F6">
        <v>0.6</v>
      </c>
      <c r="G6">
        <v>1</v>
      </c>
      <c r="H6">
        <v>0.8</v>
      </c>
      <c r="I6">
        <v>0.6</v>
      </c>
    </row>
    <row r="7" spans="1:9" x14ac:dyDescent="0.25">
      <c r="A7" t="s">
        <v>287</v>
      </c>
      <c r="B7">
        <v>1.1000000000000001</v>
      </c>
      <c r="C7">
        <v>1.3</v>
      </c>
      <c r="D7">
        <v>1.2</v>
      </c>
      <c r="E7">
        <v>1.3</v>
      </c>
      <c r="F7">
        <v>1.7</v>
      </c>
      <c r="G7">
        <v>1.1000000000000001</v>
      </c>
      <c r="H7">
        <v>1.3</v>
      </c>
      <c r="I7">
        <v>1.7</v>
      </c>
    </row>
    <row r="8" spans="1:9" x14ac:dyDescent="0.25">
      <c r="A8" t="s">
        <v>288</v>
      </c>
      <c r="B8">
        <v>1</v>
      </c>
      <c r="C8">
        <v>0.9</v>
      </c>
      <c r="D8">
        <v>4.0999999999999996</v>
      </c>
      <c r="E8">
        <v>0.8</v>
      </c>
      <c r="F8">
        <v>1</v>
      </c>
      <c r="G8">
        <v>1</v>
      </c>
      <c r="H8">
        <v>0.8</v>
      </c>
      <c r="I8">
        <v>1.3</v>
      </c>
    </row>
    <row r="9" spans="1:9" x14ac:dyDescent="0.25">
      <c r="A9" t="s">
        <v>289</v>
      </c>
      <c r="B9">
        <v>1.1000000000000001</v>
      </c>
      <c r="C9">
        <v>1</v>
      </c>
      <c r="D9">
        <v>1.2</v>
      </c>
      <c r="E9">
        <v>1.2</v>
      </c>
      <c r="F9">
        <v>1.1000000000000001</v>
      </c>
      <c r="G9">
        <v>1.1000000000000001</v>
      </c>
      <c r="H9">
        <v>1.2</v>
      </c>
      <c r="I9">
        <v>1.1000000000000001</v>
      </c>
    </row>
    <row r="10" spans="1:9" x14ac:dyDescent="0.25">
      <c r="A10" t="s">
        <v>290</v>
      </c>
      <c r="B10">
        <v>1.3</v>
      </c>
      <c r="C10">
        <v>1</v>
      </c>
      <c r="D10">
        <v>1.5</v>
      </c>
      <c r="E10">
        <v>1.3</v>
      </c>
      <c r="F10">
        <v>1.2</v>
      </c>
      <c r="G10">
        <v>1.1000000000000001</v>
      </c>
      <c r="H10">
        <v>0.9</v>
      </c>
      <c r="I10">
        <v>1</v>
      </c>
    </row>
    <row r="11" spans="1:9" x14ac:dyDescent="0.25">
      <c r="A11" t="s">
        <v>291</v>
      </c>
      <c r="B11">
        <v>1.3</v>
      </c>
      <c r="C11">
        <v>0</v>
      </c>
      <c r="D11">
        <v>1.5</v>
      </c>
      <c r="E11">
        <v>0</v>
      </c>
      <c r="F11">
        <v>0</v>
      </c>
      <c r="G11">
        <v>2.8</v>
      </c>
      <c r="H11">
        <v>0</v>
      </c>
      <c r="I11">
        <v>0</v>
      </c>
    </row>
    <row r="12" spans="1:9" x14ac:dyDescent="0.25">
      <c r="A12" t="s">
        <v>292</v>
      </c>
      <c r="B12">
        <v>1</v>
      </c>
      <c r="C12">
        <v>1</v>
      </c>
      <c r="D12">
        <v>1.5</v>
      </c>
      <c r="E12">
        <v>1.2</v>
      </c>
      <c r="F12">
        <v>0.7</v>
      </c>
      <c r="G12">
        <v>1</v>
      </c>
      <c r="H12">
        <v>1.4</v>
      </c>
      <c r="I12">
        <v>0.7</v>
      </c>
    </row>
    <row r="13" spans="1:9" x14ac:dyDescent="0.25">
      <c r="A13" t="s">
        <v>293</v>
      </c>
      <c r="B13">
        <v>1.6</v>
      </c>
      <c r="C13">
        <v>1</v>
      </c>
      <c r="D13">
        <v>1.8</v>
      </c>
      <c r="E13">
        <v>0.9</v>
      </c>
      <c r="F13">
        <v>1.2</v>
      </c>
      <c r="G13">
        <v>1.8</v>
      </c>
      <c r="H13">
        <v>0.9</v>
      </c>
      <c r="I13">
        <v>1.2</v>
      </c>
    </row>
    <row r="14" spans="1:9" x14ac:dyDescent="0.25">
      <c r="A14" t="s">
        <v>294</v>
      </c>
      <c r="B14">
        <v>0.7</v>
      </c>
      <c r="C14">
        <v>0.8</v>
      </c>
      <c r="D14">
        <v>0.8</v>
      </c>
      <c r="E14">
        <v>1</v>
      </c>
      <c r="F14">
        <v>0</v>
      </c>
      <c r="G14">
        <v>0.8</v>
      </c>
      <c r="H14">
        <v>1</v>
      </c>
      <c r="I14">
        <v>0</v>
      </c>
    </row>
    <row r="15" spans="1:9" x14ac:dyDescent="0.25">
      <c r="A15" t="s">
        <v>295</v>
      </c>
      <c r="B15">
        <v>0.9</v>
      </c>
      <c r="C15">
        <v>1</v>
      </c>
      <c r="D15">
        <v>0.9</v>
      </c>
      <c r="E15">
        <v>0</v>
      </c>
      <c r="F15">
        <v>0</v>
      </c>
      <c r="G15">
        <v>0.9</v>
      </c>
      <c r="H15">
        <v>0</v>
      </c>
      <c r="I15">
        <v>0</v>
      </c>
    </row>
    <row r="16" spans="1:9" x14ac:dyDescent="0.25">
      <c r="A16" t="s">
        <v>296</v>
      </c>
      <c r="B16">
        <v>1</v>
      </c>
      <c r="C16">
        <v>1</v>
      </c>
      <c r="D16">
        <v>1.1000000000000001</v>
      </c>
      <c r="E16">
        <v>0</v>
      </c>
      <c r="F16">
        <v>0</v>
      </c>
      <c r="G16">
        <v>1.1000000000000001</v>
      </c>
      <c r="H16">
        <v>0</v>
      </c>
      <c r="I16">
        <v>0</v>
      </c>
    </row>
    <row r="17" spans="1:9" x14ac:dyDescent="0.25">
      <c r="A17" t="s">
        <v>297</v>
      </c>
      <c r="B17">
        <v>1</v>
      </c>
      <c r="C17">
        <v>1</v>
      </c>
      <c r="D17">
        <v>1.1000000000000001</v>
      </c>
      <c r="E17">
        <v>1</v>
      </c>
      <c r="F17">
        <v>0.9</v>
      </c>
      <c r="G17">
        <v>1.1000000000000001</v>
      </c>
      <c r="H17">
        <v>1</v>
      </c>
      <c r="I17">
        <v>0.9</v>
      </c>
    </row>
    <row r="18" spans="1:9" x14ac:dyDescent="0.25">
      <c r="A18" t="s">
        <v>298</v>
      </c>
      <c r="B18">
        <v>0.9</v>
      </c>
      <c r="C18">
        <v>0.9</v>
      </c>
      <c r="D18">
        <v>1.5</v>
      </c>
      <c r="E18">
        <v>1</v>
      </c>
      <c r="F18">
        <v>0.9</v>
      </c>
      <c r="G18">
        <v>1</v>
      </c>
      <c r="H18">
        <v>1</v>
      </c>
      <c r="I18">
        <v>0.9</v>
      </c>
    </row>
    <row r="19" spans="1:9" x14ac:dyDescent="0.25">
      <c r="A19" t="s">
        <v>299</v>
      </c>
      <c r="B19">
        <v>1</v>
      </c>
      <c r="C19">
        <v>3.1</v>
      </c>
      <c r="D19">
        <v>0.9</v>
      </c>
      <c r="E19">
        <v>0</v>
      </c>
      <c r="F19">
        <v>0</v>
      </c>
      <c r="G19">
        <v>0.9</v>
      </c>
      <c r="H19">
        <v>0</v>
      </c>
      <c r="I19">
        <v>0</v>
      </c>
    </row>
    <row r="20" spans="1:9" x14ac:dyDescent="0.25">
      <c r="A20" t="s">
        <v>300</v>
      </c>
      <c r="B20">
        <v>0.5</v>
      </c>
      <c r="C20">
        <v>0.7</v>
      </c>
      <c r="D20">
        <v>0.6</v>
      </c>
      <c r="E20">
        <v>0</v>
      </c>
      <c r="F20">
        <v>1.6</v>
      </c>
      <c r="G20">
        <v>0.7</v>
      </c>
      <c r="H20">
        <v>0</v>
      </c>
      <c r="I20">
        <v>1.6</v>
      </c>
    </row>
    <row r="21" spans="1:9" x14ac:dyDescent="0.25">
      <c r="A21" t="s">
        <v>301</v>
      </c>
      <c r="B21">
        <v>1</v>
      </c>
      <c r="C21">
        <v>1</v>
      </c>
      <c r="D21">
        <v>1.1000000000000001</v>
      </c>
      <c r="E21">
        <v>0</v>
      </c>
      <c r="F21">
        <v>0</v>
      </c>
      <c r="G21">
        <v>1.2</v>
      </c>
      <c r="H21">
        <v>0</v>
      </c>
      <c r="I21">
        <v>0</v>
      </c>
    </row>
    <row r="22" spans="1:9" x14ac:dyDescent="0.25">
      <c r="A22" t="s">
        <v>302</v>
      </c>
      <c r="B22">
        <v>1.4</v>
      </c>
      <c r="C22">
        <v>1.4</v>
      </c>
      <c r="D22">
        <v>1.1000000000000001</v>
      </c>
      <c r="E22">
        <v>0.8</v>
      </c>
      <c r="F22">
        <v>0.8</v>
      </c>
      <c r="G22">
        <v>1.1000000000000001</v>
      </c>
      <c r="H22">
        <v>0.9</v>
      </c>
      <c r="I22">
        <v>0.8</v>
      </c>
    </row>
    <row r="23" spans="1:9" x14ac:dyDescent="0.25">
      <c r="A23" t="s">
        <v>303</v>
      </c>
      <c r="B23">
        <v>1.1000000000000001</v>
      </c>
      <c r="C23">
        <v>1.1000000000000001</v>
      </c>
      <c r="D23">
        <v>1.3</v>
      </c>
      <c r="E23">
        <v>1.1000000000000001</v>
      </c>
      <c r="F23">
        <v>0.8</v>
      </c>
      <c r="G23">
        <v>1.1000000000000001</v>
      </c>
      <c r="H23">
        <v>1.2</v>
      </c>
      <c r="I23">
        <v>0.8</v>
      </c>
    </row>
    <row r="24" spans="1:9" x14ac:dyDescent="0.25">
      <c r="A24" t="s">
        <v>304</v>
      </c>
      <c r="B24">
        <v>0.7</v>
      </c>
      <c r="C24">
        <v>0.6</v>
      </c>
      <c r="D24">
        <v>1</v>
      </c>
      <c r="E24">
        <v>1.2</v>
      </c>
      <c r="F24">
        <v>1</v>
      </c>
      <c r="G24">
        <v>0.9</v>
      </c>
      <c r="H24">
        <v>1.3</v>
      </c>
      <c r="I24">
        <v>1</v>
      </c>
    </row>
    <row r="25" spans="1:9" x14ac:dyDescent="0.25">
      <c r="A25" t="s">
        <v>305</v>
      </c>
      <c r="B25">
        <v>1.4</v>
      </c>
      <c r="C25">
        <v>1.5</v>
      </c>
      <c r="D25">
        <v>1.2</v>
      </c>
      <c r="E25">
        <v>0</v>
      </c>
      <c r="F25">
        <v>0</v>
      </c>
      <c r="G25">
        <v>1.3</v>
      </c>
      <c r="H25">
        <v>0</v>
      </c>
      <c r="I25">
        <v>0</v>
      </c>
    </row>
    <row r="26" spans="1:9" x14ac:dyDescent="0.25">
      <c r="A26" t="s">
        <v>306</v>
      </c>
      <c r="B26">
        <v>0.9</v>
      </c>
      <c r="C26">
        <v>0.9</v>
      </c>
      <c r="D26">
        <v>1.5</v>
      </c>
      <c r="E26">
        <v>1</v>
      </c>
      <c r="F26">
        <v>1</v>
      </c>
      <c r="G26">
        <v>1.1000000000000001</v>
      </c>
      <c r="H26">
        <v>1</v>
      </c>
      <c r="I26">
        <v>1</v>
      </c>
    </row>
    <row r="27" spans="1:9" x14ac:dyDescent="0.25">
      <c r="A27" t="s">
        <v>307</v>
      </c>
      <c r="B27">
        <v>1.1000000000000001</v>
      </c>
      <c r="C27">
        <v>0.9</v>
      </c>
      <c r="D27">
        <v>1.1000000000000001</v>
      </c>
      <c r="E27">
        <v>3.7</v>
      </c>
      <c r="F27">
        <v>4.0999999999999996</v>
      </c>
      <c r="G27">
        <v>1</v>
      </c>
      <c r="H27">
        <v>4.3</v>
      </c>
      <c r="I27">
        <v>4.0999999999999996</v>
      </c>
    </row>
    <row r="28" spans="1:9" x14ac:dyDescent="0.25">
      <c r="A28" t="s">
        <v>266</v>
      </c>
      <c r="B28">
        <v>1</v>
      </c>
      <c r="C28">
        <v>1</v>
      </c>
      <c r="D28">
        <v>1.1000000000000001</v>
      </c>
      <c r="E28">
        <v>1.1000000000000001</v>
      </c>
      <c r="F28">
        <v>1.1000000000000001</v>
      </c>
      <c r="G28">
        <v>1</v>
      </c>
      <c r="H28">
        <v>1.1000000000000001</v>
      </c>
      <c r="I28">
        <v>1.1000000000000001</v>
      </c>
    </row>
    <row r="29" spans="1:9" x14ac:dyDescent="0.25">
      <c r="A29" t="s">
        <v>459</v>
      </c>
      <c r="B29">
        <v>1</v>
      </c>
      <c r="C29">
        <v>1</v>
      </c>
      <c r="D29">
        <v>1.1000000000000001</v>
      </c>
      <c r="E29">
        <v>1</v>
      </c>
      <c r="F29">
        <v>1</v>
      </c>
      <c r="G29">
        <v>1.1000000000000001</v>
      </c>
      <c r="H29">
        <v>1.1000000000000001</v>
      </c>
      <c r="I29">
        <v>1</v>
      </c>
    </row>
    <row r="30" spans="1:9" x14ac:dyDescent="0.25">
      <c r="A30" t="s">
        <v>460</v>
      </c>
      <c r="B30">
        <v>1.1000000000000001</v>
      </c>
      <c r="C30">
        <v>1.1000000000000001</v>
      </c>
      <c r="D30">
        <v>1.3</v>
      </c>
      <c r="E30">
        <v>1.5</v>
      </c>
      <c r="F30">
        <v>1.3</v>
      </c>
      <c r="G30">
        <v>1</v>
      </c>
      <c r="H30">
        <v>1.2</v>
      </c>
      <c r="I30">
        <v>1.2</v>
      </c>
    </row>
  </sheetData>
  <mergeCells count="5">
    <mergeCell ref="C1:C2"/>
    <mergeCell ref="B1:B2"/>
    <mergeCell ref="D1:F1"/>
    <mergeCell ref="G1:I1"/>
    <mergeCell ref="A1:A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4472C4"/>
  </sheetPr>
  <dimension ref="A1:O20"/>
  <sheetViews>
    <sheetView workbookViewId="0"/>
  </sheetViews>
  <sheetFormatPr defaultRowHeight="15" x14ac:dyDescent="0.25"/>
  <cols>
    <col min="1" max="1" width="36.7109375" customWidth="1"/>
    <col min="2" max="2" width="10.140625" customWidth="1"/>
    <col min="3" max="3" width="10" customWidth="1"/>
    <col min="5" max="5" width="9.85546875" customWidth="1"/>
    <col min="6" max="6" width="10.85546875" customWidth="1"/>
    <col min="7" max="7" width="10.7109375" customWidth="1"/>
    <col min="8" max="8" width="10.42578125" customWidth="1"/>
    <col min="10" max="10" width="10" customWidth="1"/>
    <col min="12" max="12" width="10.85546875" customWidth="1"/>
    <col min="13" max="13" width="9.85546875" customWidth="1"/>
    <col min="14" max="14" width="11.140625" customWidth="1"/>
    <col min="15" max="15" width="10" customWidth="1"/>
  </cols>
  <sheetData>
    <row r="1" spans="1:15" x14ac:dyDescent="0.25">
      <c r="A1" s="29" t="s">
        <v>251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29" t="s">
        <v>253</v>
      </c>
      <c r="B3" t="s">
        <v>254</v>
      </c>
      <c r="C3" t="s">
        <v>255</v>
      </c>
      <c r="D3" t="s">
        <v>254</v>
      </c>
      <c r="E3" t="s">
        <v>256</v>
      </c>
      <c r="F3" s="29" t="s">
        <v>72</v>
      </c>
      <c r="G3" s="29"/>
      <c r="H3" s="29" t="s">
        <v>257</v>
      </c>
      <c r="I3" s="29"/>
      <c r="J3" s="29" t="s">
        <v>258</v>
      </c>
      <c r="K3" s="29"/>
      <c r="L3" s="29" t="s">
        <v>259</v>
      </c>
      <c r="M3" s="29"/>
      <c r="N3" s="29" t="s">
        <v>260</v>
      </c>
      <c r="O3" s="29"/>
    </row>
    <row r="4" spans="1:15" x14ac:dyDescent="0.25">
      <c r="A4" s="29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13482</v>
      </c>
      <c r="C5">
        <v>278</v>
      </c>
      <c r="D5">
        <v>91259</v>
      </c>
      <c r="E5">
        <v>958</v>
      </c>
      <c r="F5">
        <v>3210285</v>
      </c>
      <c r="G5">
        <v>1595047</v>
      </c>
      <c r="H5">
        <v>150757</v>
      </c>
      <c r="I5">
        <v>52827</v>
      </c>
      <c r="J5">
        <v>93225</v>
      </c>
      <c r="K5">
        <v>49042</v>
      </c>
      <c r="L5">
        <v>19862</v>
      </c>
      <c r="M5">
        <v>5903</v>
      </c>
      <c r="N5">
        <v>113087</v>
      </c>
      <c r="O5">
        <v>54945</v>
      </c>
    </row>
    <row r="6" spans="1:15" x14ac:dyDescent="0.25">
      <c r="A6" t="s">
        <v>267</v>
      </c>
      <c r="B6">
        <v>1390</v>
      </c>
      <c r="C6">
        <v>22</v>
      </c>
      <c r="D6">
        <v>15001</v>
      </c>
      <c r="E6">
        <v>135</v>
      </c>
      <c r="F6">
        <v>595615</v>
      </c>
      <c r="G6">
        <v>294542</v>
      </c>
      <c r="H6">
        <v>21816</v>
      </c>
      <c r="I6">
        <v>7447</v>
      </c>
      <c r="J6">
        <v>22331</v>
      </c>
      <c r="K6">
        <v>12970</v>
      </c>
      <c r="L6">
        <v>3488</v>
      </c>
      <c r="M6">
        <v>1425</v>
      </c>
      <c r="N6">
        <v>25819</v>
      </c>
      <c r="O6">
        <v>14395</v>
      </c>
    </row>
    <row r="7" spans="1:15" x14ac:dyDescent="0.25">
      <c r="A7" t="s">
        <v>268</v>
      </c>
      <c r="B7">
        <v>12092</v>
      </c>
      <c r="C7">
        <v>256</v>
      </c>
      <c r="D7">
        <v>76258</v>
      </c>
      <c r="E7">
        <v>823</v>
      </c>
      <c r="F7">
        <v>2614670</v>
      </c>
      <c r="G7">
        <v>1300505</v>
      </c>
      <c r="H7">
        <v>128941</v>
      </c>
      <c r="I7">
        <v>45380</v>
      </c>
      <c r="J7">
        <v>70894</v>
      </c>
      <c r="K7">
        <v>36072</v>
      </c>
      <c r="L7">
        <v>16374</v>
      </c>
      <c r="M7">
        <v>4478</v>
      </c>
      <c r="N7">
        <v>87268</v>
      </c>
      <c r="O7">
        <v>40550</v>
      </c>
    </row>
    <row r="8" spans="1:15" x14ac:dyDescent="0.25">
      <c r="A8" t="s">
        <v>269</v>
      </c>
      <c r="B8">
        <v>4409</v>
      </c>
      <c r="C8">
        <v>97</v>
      </c>
      <c r="D8">
        <v>7761</v>
      </c>
      <c r="E8">
        <v>132</v>
      </c>
      <c r="F8">
        <v>233132</v>
      </c>
      <c r="G8">
        <v>116096</v>
      </c>
      <c r="H8">
        <v>0</v>
      </c>
      <c r="I8">
        <v>0</v>
      </c>
      <c r="J8">
        <v>5414</v>
      </c>
      <c r="K8">
        <v>5145</v>
      </c>
      <c r="L8">
        <v>264</v>
      </c>
      <c r="M8">
        <v>241</v>
      </c>
      <c r="N8">
        <v>5678</v>
      </c>
      <c r="O8">
        <v>5386</v>
      </c>
    </row>
    <row r="9" spans="1:15" x14ac:dyDescent="0.25">
      <c r="A9" t="s">
        <v>270</v>
      </c>
      <c r="B9">
        <v>7282</v>
      </c>
      <c r="C9">
        <v>175</v>
      </c>
      <c r="D9">
        <v>62402</v>
      </c>
      <c r="E9">
        <v>613</v>
      </c>
      <c r="F9">
        <v>2023473</v>
      </c>
      <c r="G9">
        <v>970053</v>
      </c>
      <c r="H9">
        <v>128763</v>
      </c>
      <c r="I9">
        <v>45747</v>
      </c>
      <c r="J9">
        <v>44914</v>
      </c>
      <c r="K9">
        <v>25922</v>
      </c>
      <c r="L9">
        <v>12433</v>
      </c>
      <c r="M9">
        <v>3766</v>
      </c>
      <c r="N9">
        <v>57347</v>
      </c>
      <c r="O9">
        <v>29688</v>
      </c>
    </row>
    <row r="10" spans="1:15" x14ac:dyDescent="0.25">
      <c r="A10" t="s">
        <v>271</v>
      </c>
      <c r="B10">
        <v>1247</v>
      </c>
      <c r="C10">
        <v>5</v>
      </c>
      <c r="D10">
        <v>7449</v>
      </c>
      <c r="E10">
        <v>89</v>
      </c>
      <c r="F10">
        <v>324986</v>
      </c>
      <c r="G10">
        <v>171776</v>
      </c>
      <c r="H10">
        <v>6771</v>
      </c>
      <c r="I10">
        <v>1913</v>
      </c>
      <c r="J10">
        <v>14404</v>
      </c>
      <c r="K10">
        <v>6497</v>
      </c>
      <c r="L10">
        <v>2856</v>
      </c>
      <c r="M10">
        <v>656</v>
      </c>
      <c r="N10">
        <v>17260</v>
      </c>
      <c r="O10">
        <v>7153</v>
      </c>
    </row>
    <row r="11" spans="1:15" x14ac:dyDescent="0.25">
      <c r="A11" t="s">
        <v>272</v>
      </c>
      <c r="B11">
        <v>34</v>
      </c>
      <c r="C11">
        <v>0</v>
      </c>
      <c r="D11">
        <v>473</v>
      </c>
      <c r="E11">
        <v>6</v>
      </c>
      <c r="F11">
        <v>21638</v>
      </c>
      <c r="G11">
        <v>11637</v>
      </c>
      <c r="H11">
        <v>233</v>
      </c>
      <c r="I11">
        <v>82</v>
      </c>
      <c r="J11">
        <v>986</v>
      </c>
      <c r="K11">
        <v>316</v>
      </c>
      <c r="L11">
        <v>129</v>
      </c>
      <c r="M11">
        <v>28</v>
      </c>
      <c r="N11">
        <v>1115</v>
      </c>
      <c r="O11">
        <v>344</v>
      </c>
    </row>
    <row r="12" spans="1:15" x14ac:dyDescent="0.25">
      <c r="A12" t="s">
        <v>273</v>
      </c>
      <c r="B12">
        <v>510</v>
      </c>
      <c r="C12">
        <v>1</v>
      </c>
      <c r="D12">
        <v>13174</v>
      </c>
      <c r="E12">
        <v>118</v>
      </c>
      <c r="F12">
        <v>607056</v>
      </c>
      <c r="G12">
        <v>325485</v>
      </c>
      <c r="H12">
        <v>14990</v>
      </c>
      <c r="I12">
        <v>5085</v>
      </c>
      <c r="J12">
        <v>27507</v>
      </c>
      <c r="K12">
        <v>11162</v>
      </c>
      <c r="L12">
        <v>4180</v>
      </c>
      <c r="M12">
        <v>1212</v>
      </c>
      <c r="N12">
        <v>31687</v>
      </c>
      <c r="O12">
        <v>12374</v>
      </c>
    </row>
    <row r="13" spans="1:15" x14ac:dyDescent="0.25">
      <c r="A13" t="s">
        <v>274</v>
      </c>
      <c r="B13">
        <v>1757</v>
      </c>
      <c r="C13">
        <v>5</v>
      </c>
      <c r="D13">
        <v>13690</v>
      </c>
      <c r="E13">
        <v>89</v>
      </c>
      <c r="F13">
        <v>618968</v>
      </c>
      <c r="G13">
        <v>325504</v>
      </c>
      <c r="H13">
        <v>16906</v>
      </c>
      <c r="I13">
        <v>5174</v>
      </c>
      <c r="J13">
        <v>27738</v>
      </c>
      <c r="K13">
        <v>12451</v>
      </c>
      <c r="L13">
        <v>4882</v>
      </c>
      <c r="M13">
        <v>1243</v>
      </c>
      <c r="N13">
        <v>32620</v>
      </c>
      <c r="O13">
        <v>13694</v>
      </c>
    </row>
    <row r="14" spans="1:15" x14ac:dyDescent="0.25">
      <c r="A14" t="s">
        <v>275</v>
      </c>
      <c r="B14">
        <v>544</v>
      </c>
      <c r="C14">
        <v>1</v>
      </c>
      <c r="D14">
        <v>7406</v>
      </c>
      <c r="E14">
        <v>124</v>
      </c>
      <c r="F14">
        <v>334712</v>
      </c>
      <c r="G14">
        <v>183394</v>
      </c>
      <c r="H14">
        <v>5088</v>
      </c>
      <c r="I14">
        <v>1906</v>
      </c>
      <c r="J14">
        <v>15159</v>
      </c>
      <c r="K14">
        <v>5524</v>
      </c>
      <c r="L14">
        <v>2283</v>
      </c>
      <c r="M14">
        <v>653</v>
      </c>
      <c r="N14">
        <v>17442</v>
      </c>
      <c r="O14">
        <v>6177</v>
      </c>
    </row>
    <row r="15" spans="1:15" x14ac:dyDescent="0.25">
      <c r="A15" t="s">
        <v>276</v>
      </c>
      <c r="B15">
        <v>1273</v>
      </c>
      <c r="C15">
        <v>36</v>
      </c>
      <c r="D15">
        <v>16656</v>
      </c>
      <c r="E15">
        <v>98</v>
      </c>
      <c r="F15">
        <v>638429</v>
      </c>
      <c r="G15">
        <v>306669</v>
      </c>
      <c r="H15">
        <v>37428</v>
      </c>
      <c r="I15">
        <v>12986</v>
      </c>
      <c r="J15">
        <v>13987</v>
      </c>
      <c r="K15">
        <v>9028</v>
      </c>
      <c r="L15">
        <v>3989</v>
      </c>
      <c r="M15">
        <v>1306</v>
      </c>
      <c r="N15">
        <v>17976</v>
      </c>
      <c r="O15">
        <v>10334</v>
      </c>
    </row>
    <row r="16" spans="1:15" x14ac:dyDescent="0.25">
      <c r="A16" t="s">
        <v>277</v>
      </c>
      <c r="B16">
        <v>6009</v>
      </c>
      <c r="C16">
        <v>139</v>
      </c>
      <c r="D16">
        <v>45746</v>
      </c>
      <c r="E16">
        <v>515</v>
      </c>
      <c r="F16">
        <v>1385044</v>
      </c>
      <c r="G16">
        <v>663384</v>
      </c>
      <c r="H16">
        <v>91335</v>
      </c>
      <c r="I16">
        <v>32761</v>
      </c>
      <c r="J16">
        <v>30927</v>
      </c>
      <c r="K16">
        <v>16894</v>
      </c>
      <c r="L16">
        <v>8444</v>
      </c>
      <c r="M16">
        <v>2460</v>
      </c>
      <c r="N16">
        <v>39371</v>
      </c>
      <c r="O16">
        <v>19354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658</v>
      </c>
      <c r="C18">
        <v>20</v>
      </c>
      <c r="D18">
        <v>4423</v>
      </c>
      <c r="E18">
        <v>65</v>
      </c>
      <c r="F18">
        <v>124135</v>
      </c>
      <c r="G18">
        <v>59385</v>
      </c>
      <c r="H18">
        <v>8522</v>
      </c>
      <c r="I18">
        <v>3074</v>
      </c>
      <c r="J18">
        <v>2926</v>
      </c>
      <c r="K18">
        <v>1541</v>
      </c>
      <c r="L18">
        <v>682</v>
      </c>
      <c r="M18">
        <v>232</v>
      </c>
      <c r="N18">
        <v>3608</v>
      </c>
      <c r="O18">
        <v>1773</v>
      </c>
    </row>
    <row r="19" spans="1:15" x14ac:dyDescent="0.25">
      <c r="A19" t="s">
        <v>280</v>
      </c>
      <c r="B19">
        <v>974</v>
      </c>
      <c r="C19">
        <v>24</v>
      </c>
      <c r="D19">
        <v>8441</v>
      </c>
      <c r="E19">
        <v>0</v>
      </c>
      <c r="F19">
        <v>283868</v>
      </c>
      <c r="G19">
        <v>134867</v>
      </c>
      <c r="H19">
        <v>18215</v>
      </c>
      <c r="I19">
        <v>6262</v>
      </c>
      <c r="J19">
        <v>6374</v>
      </c>
      <c r="K19">
        <v>3541</v>
      </c>
      <c r="L19">
        <v>1966</v>
      </c>
      <c r="M19">
        <v>580</v>
      </c>
      <c r="N19">
        <v>8340</v>
      </c>
      <c r="O19">
        <v>4121</v>
      </c>
    </row>
    <row r="20" spans="1:15" x14ac:dyDescent="0.25">
      <c r="A20" t="s">
        <v>281</v>
      </c>
      <c r="B20">
        <v>278</v>
      </c>
      <c r="C20">
        <v>278</v>
      </c>
      <c r="D20">
        <v>1554</v>
      </c>
      <c r="E20">
        <v>10</v>
      </c>
      <c r="F20">
        <v>50656</v>
      </c>
      <c r="G20">
        <v>24428</v>
      </c>
      <c r="H20">
        <v>3120</v>
      </c>
      <c r="I20">
        <v>1074</v>
      </c>
      <c r="J20">
        <v>1119</v>
      </c>
      <c r="K20">
        <v>630</v>
      </c>
      <c r="L20">
        <v>308</v>
      </c>
      <c r="M20">
        <v>99</v>
      </c>
      <c r="N20">
        <v>1427</v>
      </c>
      <c r="O20">
        <v>729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4472C4"/>
  </sheetPr>
  <dimension ref="A1:P31"/>
  <sheetViews>
    <sheetView workbookViewId="0"/>
  </sheetViews>
  <sheetFormatPr defaultRowHeight="15" x14ac:dyDescent="0.25"/>
  <cols>
    <col min="1" max="1" width="26.7109375" customWidth="1"/>
    <col min="2" max="2" width="11.140625" customWidth="1"/>
    <col min="5" max="5" width="11.28515625" customWidth="1"/>
    <col min="6" max="6" width="13.140625" customWidth="1"/>
    <col min="7" max="7" width="12.85546875" customWidth="1"/>
    <col min="8" max="8" width="10.42578125" customWidth="1"/>
    <col min="9" max="9" width="9.28515625" customWidth="1"/>
    <col min="10" max="10" width="10.42578125" customWidth="1"/>
    <col min="11" max="11" width="10.140625" customWidth="1"/>
    <col min="13" max="13" width="10.42578125" customWidth="1"/>
    <col min="14" max="14" width="10.140625" customWidth="1"/>
    <col min="16" max="16" width="8.42578125" customWidth="1"/>
  </cols>
  <sheetData>
    <row r="1" spans="1:16" x14ac:dyDescent="0.25">
      <c r="A1" s="29" t="s">
        <v>282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256</v>
      </c>
      <c r="F2" s="29" t="s">
        <v>72</v>
      </c>
      <c r="G2" s="29"/>
      <c r="H2" s="29" t="s">
        <v>257</v>
      </c>
      <c r="I2" s="29"/>
      <c r="J2" s="29" t="s">
        <v>258</v>
      </c>
      <c r="K2" s="29"/>
      <c r="L2" s="29" t="s">
        <v>259</v>
      </c>
      <c r="M2" s="29"/>
      <c r="N2" s="29" t="s">
        <v>260</v>
      </c>
      <c r="O2" s="29"/>
    </row>
    <row r="3" spans="1:16" x14ac:dyDescent="0.25">
      <c r="A3" s="29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6" x14ac:dyDescent="0.25">
      <c r="A4" t="s">
        <v>283</v>
      </c>
      <c r="B4">
        <v>818</v>
      </c>
      <c r="C4">
        <v>13</v>
      </c>
      <c r="D4">
        <v>4667</v>
      </c>
      <c r="E4">
        <v>8</v>
      </c>
      <c r="F4">
        <v>156200</v>
      </c>
      <c r="G4">
        <v>78140</v>
      </c>
      <c r="H4">
        <v>4292</v>
      </c>
      <c r="I4">
        <v>1427</v>
      </c>
      <c r="J4">
        <v>4834</v>
      </c>
      <c r="K4">
        <v>2516</v>
      </c>
      <c r="L4">
        <v>894</v>
      </c>
      <c r="M4">
        <v>216</v>
      </c>
      <c r="N4">
        <v>5728</v>
      </c>
      <c r="O4">
        <v>2732</v>
      </c>
    </row>
    <row r="5" spans="1:16" x14ac:dyDescent="0.25">
      <c r="A5" t="s">
        <v>284</v>
      </c>
      <c r="B5">
        <v>1147</v>
      </c>
      <c r="C5">
        <v>23</v>
      </c>
      <c r="D5">
        <v>7694</v>
      </c>
      <c r="E5">
        <v>31</v>
      </c>
      <c r="F5">
        <v>255364</v>
      </c>
      <c r="G5">
        <v>126697</v>
      </c>
      <c r="H5">
        <v>11683</v>
      </c>
      <c r="I5">
        <v>4157</v>
      </c>
      <c r="J5">
        <v>6851</v>
      </c>
      <c r="K5">
        <v>4128</v>
      </c>
      <c r="L5">
        <v>1686</v>
      </c>
      <c r="M5">
        <v>632</v>
      </c>
      <c r="N5">
        <v>8537</v>
      </c>
      <c r="O5">
        <v>4760</v>
      </c>
    </row>
    <row r="6" spans="1:16" x14ac:dyDescent="0.25">
      <c r="A6" t="s">
        <v>285</v>
      </c>
      <c r="B6">
        <v>816</v>
      </c>
      <c r="C6">
        <v>10</v>
      </c>
      <c r="D6">
        <v>5905</v>
      </c>
      <c r="E6">
        <v>112</v>
      </c>
      <c r="F6">
        <v>221352</v>
      </c>
      <c r="G6">
        <v>110434</v>
      </c>
      <c r="H6">
        <v>13360</v>
      </c>
      <c r="I6">
        <v>4715</v>
      </c>
      <c r="J6">
        <v>5779</v>
      </c>
      <c r="K6">
        <v>3352</v>
      </c>
      <c r="L6">
        <v>1743</v>
      </c>
      <c r="M6">
        <v>684</v>
      </c>
      <c r="N6">
        <v>7522</v>
      </c>
      <c r="O6">
        <v>4036</v>
      </c>
    </row>
    <row r="7" spans="1:16" x14ac:dyDescent="0.25">
      <c r="A7" t="s">
        <v>286</v>
      </c>
      <c r="B7">
        <v>469</v>
      </c>
      <c r="C7">
        <v>5</v>
      </c>
      <c r="D7">
        <v>3204</v>
      </c>
      <c r="E7">
        <v>18</v>
      </c>
      <c r="F7">
        <v>117422</v>
      </c>
      <c r="G7">
        <v>59488</v>
      </c>
      <c r="H7">
        <v>4960</v>
      </c>
      <c r="I7">
        <v>1671</v>
      </c>
      <c r="J7">
        <v>3567</v>
      </c>
      <c r="K7">
        <v>1727</v>
      </c>
      <c r="L7">
        <v>675</v>
      </c>
      <c r="M7">
        <v>175</v>
      </c>
      <c r="N7">
        <v>4242</v>
      </c>
      <c r="O7">
        <v>1902</v>
      </c>
    </row>
    <row r="8" spans="1:16" x14ac:dyDescent="0.25">
      <c r="A8" t="s">
        <v>287</v>
      </c>
      <c r="B8">
        <v>619</v>
      </c>
      <c r="C8">
        <v>15</v>
      </c>
      <c r="D8">
        <v>4144</v>
      </c>
      <c r="E8">
        <v>41</v>
      </c>
      <c r="F8">
        <v>168939</v>
      </c>
      <c r="G8">
        <v>83978</v>
      </c>
      <c r="H8">
        <v>6101</v>
      </c>
      <c r="I8">
        <v>2240</v>
      </c>
      <c r="J8">
        <v>4390</v>
      </c>
      <c r="K8">
        <v>1939</v>
      </c>
      <c r="L8">
        <v>793</v>
      </c>
      <c r="M8">
        <v>142</v>
      </c>
      <c r="N8">
        <v>5183</v>
      </c>
      <c r="O8">
        <v>2081</v>
      </c>
    </row>
    <row r="9" spans="1:16" x14ac:dyDescent="0.25">
      <c r="A9" t="s">
        <v>288</v>
      </c>
      <c r="B9">
        <v>789</v>
      </c>
      <c r="C9">
        <v>9</v>
      </c>
      <c r="D9">
        <v>4575</v>
      </c>
      <c r="E9">
        <v>50</v>
      </c>
      <c r="F9">
        <v>156323</v>
      </c>
      <c r="G9">
        <v>79333</v>
      </c>
      <c r="H9">
        <v>8286</v>
      </c>
      <c r="I9">
        <v>2979</v>
      </c>
      <c r="J9">
        <v>4398</v>
      </c>
      <c r="K9">
        <v>2444</v>
      </c>
      <c r="L9">
        <v>774</v>
      </c>
      <c r="M9">
        <v>192</v>
      </c>
      <c r="N9">
        <v>5172</v>
      </c>
      <c r="O9">
        <v>2636</v>
      </c>
    </row>
    <row r="10" spans="1:16" x14ac:dyDescent="0.25">
      <c r="A10" t="s">
        <v>289</v>
      </c>
      <c r="B10">
        <v>611</v>
      </c>
      <c r="C10">
        <v>5</v>
      </c>
      <c r="D10">
        <v>3862</v>
      </c>
      <c r="E10">
        <v>0</v>
      </c>
      <c r="F10">
        <v>127197</v>
      </c>
      <c r="G10">
        <v>62568</v>
      </c>
      <c r="H10">
        <v>4873</v>
      </c>
      <c r="I10">
        <v>1584</v>
      </c>
      <c r="J10">
        <v>4802</v>
      </c>
      <c r="K10">
        <v>2378</v>
      </c>
      <c r="L10">
        <v>944</v>
      </c>
      <c r="M10">
        <v>199</v>
      </c>
      <c r="N10">
        <v>5746</v>
      </c>
      <c r="O10">
        <v>2577</v>
      </c>
    </row>
    <row r="11" spans="1:16" x14ac:dyDescent="0.25">
      <c r="A11" t="s">
        <v>290</v>
      </c>
      <c r="B11">
        <v>752</v>
      </c>
      <c r="C11">
        <v>11</v>
      </c>
      <c r="D11">
        <v>6609</v>
      </c>
      <c r="E11">
        <v>112</v>
      </c>
      <c r="F11">
        <v>254957</v>
      </c>
      <c r="G11">
        <v>125751</v>
      </c>
      <c r="H11">
        <v>14221</v>
      </c>
      <c r="I11">
        <v>4896</v>
      </c>
      <c r="J11">
        <v>7298</v>
      </c>
      <c r="K11">
        <v>4050</v>
      </c>
      <c r="L11">
        <v>1461</v>
      </c>
      <c r="M11">
        <v>391</v>
      </c>
      <c r="N11">
        <v>8759</v>
      </c>
      <c r="O11">
        <v>4441</v>
      </c>
    </row>
    <row r="12" spans="1:16" x14ac:dyDescent="0.25">
      <c r="A12" t="s">
        <v>291</v>
      </c>
      <c r="B12">
        <v>50</v>
      </c>
      <c r="C12">
        <v>2</v>
      </c>
      <c r="D12">
        <v>276</v>
      </c>
      <c r="E12">
        <v>9</v>
      </c>
      <c r="F12">
        <v>8559</v>
      </c>
      <c r="G12">
        <v>4280</v>
      </c>
      <c r="H12">
        <v>569</v>
      </c>
      <c r="I12">
        <v>173</v>
      </c>
      <c r="J12">
        <v>456</v>
      </c>
      <c r="K12">
        <v>239</v>
      </c>
      <c r="L12">
        <v>93</v>
      </c>
      <c r="M12">
        <v>20</v>
      </c>
      <c r="N12">
        <v>549</v>
      </c>
      <c r="O12">
        <v>259</v>
      </c>
    </row>
    <row r="13" spans="1:16" x14ac:dyDescent="0.25">
      <c r="A13" t="s">
        <v>292</v>
      </c>
      <c r="B13">
        <v>219</v>
      </c>
      <c r="C13">
        <v>1</v>
      </c>
      <c r="D13">
        <v>1101</v>
      </c>
      <c r="E13">
        <v>0</v>
      </c>
      <c r="F13">
        <v>26566</v>
      </c>
      <c r="G13">
        <v>13043</v>
      </c>
      <c r="H13">
        <v>894</v>
      </c>
      <c r="I13">
        <v>323</v>
      </c>
      <c r="J13">
        <v>1097</v>
      </c>
      <c r="K13">
        <v>503</v>
      </c>
      <c r="L13">
        <v>162</v>
      </c>
      <c r="M13">
        <v>41</v>
      </c>
      <c r="N13">
        <v>1259</v>
      </c>
      <c r="O13">
        <v>544</v>
      </c>
    </row>
    <row r="14" spans="1:16" x14ac:dyDescent="0.25">
      <c r="A14" t="s">
        <v>293</v>
      </c>
      <c r="B14">
        <v>441</v>
      </c>
      <c r="C14">
        <v>11</v>
      </c>
      <c r="D14">
        <v>2781</v>
      </c>
      <c r="E14">
        <v>71</v>
      </c>
      <c r="F14">
        <v>87204</v>
      </c>
      <c r="G14">
        <v>43228</v>
      </c>
      <c r="H14">
        <v>5292</v>
      </c>
      <c r="I14">
        <v>1975</v>
      </c>
      <c r="J14">
        <v>2577</v>
      </c>
      <c r="K14">
        <v>1623</v>
      </c>
      <c r="L14">
        <v>372</v>
      </c>
      <c r="M14">
        <v>132</v>
      </c>
      <c r="N14">
        <v>2949</v>
      </c>
      <c r="O14">
        <v>1755</v>
      </c>
    </row>
    <row r="15" spans="1:16" x14ac:dyDescent="0.25">
      <c r="A15" t="s">
        <v>294</v>
      </c>
      <c r="B15">
        <v>127</v>
      </c>
      <c r="C15">
        <v>6</v>
      </c>
      <c r="D15">
        <v>801</v>
      </c>
      <c r="E15">
        <v>2</v>
      </c>
      <c r="F15">
        <v>20688</v>
      </c>
      <c r="G15">
        <v>10487</v>
      </c>
      <c r="H15">
        <v>704</v>
      </c>
      <c r="I15">
        <v>279</v>
      </c>
      <c r="J15">
        <v>839</v>
      </c>
      <c r="K15">
        <v>408</v>
      </c>
      <c r="L15">
        <v>53</v>
      </c>
      <c r="M15">
        <v>11</v>
      </c>
      <c r="N15">
        <v>892</v>
      </c>
      <c r="O15">
        <v>419</v>
      </c>
    </row>
    <row r="16" spans="1:16" x14ac:dyDescent="0.25">
      <c r="A16" t="s">
        <v>295</v>
      </c>
      <c r="B16">
        <v>359</v>
      </c>
      <c r="C16">
        <v>8</v>
      </c>
      <c r="D16">
        <v>1957</v>
      </c>
      <c r="E16">
        <v>27</v>
      </c>
      <c r="F16">
        <v>55614</v>
      </c>
      <c r="G16">
        <v>27193</v>
      </c>
      <c r="H16">
        <v>3495</v>
      </c>
      <c r="I16">
        <v>1227</v>
      </c>
      <c r="J16">
        <v>1561</v>
      </c>
      <c r="K16">
        <v>721</v>
      </c>
      <c r="L16">
        <v>318</v>
      </c>
      <c r="M16">
        <v>73</v>
      </c>
      <c r="N16">
        <v>1879</v>
      </c>
      <c r="O16">
        <v>794</v>
      </c>
    </row>
    <row r="17" spans="1:15" x14ac:dyDescent="0.25">
      <c r="A17" t="s">
        <v>296</v>
      </c>
      <c r="B17">
        <v>81</v>
      </c>
      <c r="C17">
        <v>1</v>
      </c>
      <c r="D17">
        <v>512</v>
      </c>
      <c r="E17">
        <v>2</v>
      </c>
      <c r="F17">
        <v>16597</v>
      </c>
      <c r="G17">
        <v>8233</v>
      </c>
      <c r="H17">
        <v>745</v>
      </c>
      <c r="I17">
        <v>254</v>
      </c>
      <c r="J17">
        <v>636</v>
      </c>
      <c r="K17">
        <v>341</v>
      </c>
      <c r="L17">
        <v>81</v>
      </c>
      <c r="M17">
        <v>22</v>
      </c>
      <c r="N17">
        <v>717</v>
      </c>
      <c r="O17">
        <v>363</v>
      </c>
    </row>
    <row r="18" spans="1:15" x14ac:dyDescent="0.25">
      <c r="A18" t="s">
        <v>297</v>
      </c>
      <c r="B18">
        <v>374</v>
      </c>
      <c r="C18">
        <v>6</v>
      </c>
      <c r="D18">
        <v>5501</v>
      </c>
      <c r="E18">
        <v>40</v>
      </c>
      <c r="F18">
        <v>239768</v>
      </c>
      <c r="G18">
        <v>116931</v>
      </c>
      <c r="H18">
        <v>7094</v>
      </c>
      <c r="I18">
        <v>2424</v>
      </c>
      <c r="J18">
        <v>9445</v>
      </c>
      <c r="K18">
        <v>5506</v>
      </c>
      <c r="L18">
        <v>1133</v>
      </c>
      <c r="M18">
        <v>439</v>
      </c>
      <c r="N18">
        <v>10578</v>
      </c>
      <c r="O18">
        <v>5945</v>
      </c>
    </row>
    <row r="19" spans="1:15" x14ac:dyDescent="0.25">
      <c r="A19" t="s">
        <v>298</v>
      </c>
      <c r="B19">
        <v>157</v>
      </c>
      <c r="C19">
        <v>0</v>
      </c>
      <c r="D19">
        <v>1200</v>
      </c>
      <c r="E19">
        <v>0</v>
      </c>
      <c r="F19">
        <v>41390</v>
      </c>
      <c r="G19">
        <v>20581</v>
      </c>
      <c r="H19">
        <v>1717</v>
      </c>
      <c r="I19">
        <v>606</v>
      </c>
      <c r="J19">
        <v>1570</v>
      </c>
      <c r="K19">
        <v>781</v>
      </c>
      <c r="L19">
        <v>232</v>
      </c>
      <c r="M19">
        <v>75</v>
      </c>
      <c r="N19">
        <v>1802</v>
      </c>
      <c r="O19">
        <v>856</v>
      </c>
    </row>
    <row r="20" spans="1:15" x14ac:dyDescent="0.25">
      <c r="A20" t="s">
        <v>299</v>
      </c>
      <c r="B20">
        <v>407</v>
      </c>
      <c r="C20">
        <v>13</v>
      </c>
      <c r="D20">
        <v>2132</v>
      </c>
      <c r="E20">
        <v>4</v>
      </c>
      <c r="F20">
        <v>57474</v>
      </c>
      <c r="G20">
        <v>29080</v>
      </c>
      <c r="H20">
        <v>3493</v>
      </c>
      <c r="I20">
        <v>1295</v>
      </c>
      <c r="J20">
        <v>2041</v>
      </c>
      <c r="K20">
        <v>1061</v>
      </c>
      <c r="L20">
        <v>321</v>
      </c>
      <c r="M20">
        <v>88</v>
      </c>
      <c r="N20">
        <v>2362</v>
      </c>
      <c r="O20">
        <v>1149</v>
      </c>
    </row>
    <row r="21" spans="1:15" x14ac:dyDescent="0.25">
      <c r="A21" t="s">
        <v>300</v>
      </c>
      <c r="B21">
        <v>1057</v>
      </c>
      <c r="C21">
        <v>35</v>
      </c>
      <c r="D21">
        <v>6676</v>
      </c>
      <c r="E21">
        <v>105</v>
      </c>
      <c r="F21">
        <v>236800</v>
      </c>
      <c r="G21">
        <v>115758</v>
      </c>
      <c r="H21">
        <v>10644</v>
      </c>
      <c r="I21">
        <v>3670</v>
      </c>
      <c r="J21">
        <v>5648</v>
      </c>
      <c r="K21">
        <v>2699</v>
      </c>
      <c r="L21">
        <v>1863</v>
      </c>
      <c r="M21">
        <v>450</v>
      </c>
      <c r="N21">
        <v>7511</v>
      </c>
      <c r="O21">
        <v>3149</v>
      </c>
    </row>
    <row r="22" spans="1:15" x14ac:dyDescent="0.25">
      <c r="A22" t="s">
        <v>301</v>
      </c>
      <c r="B22">
        <v>543</v>
      </c>
      <c r="C22">
        <v>4</v>
      </c>
      <c r="D22">
        <v>3281</v>
      </c>
      <c r="E22">
        <v>9</v>
      </c>
      <c r="F22">
        <v>107028</v>
      </c>
      <c r="G22">
        <v>53680</v>
      </c>
      <c r="H22">
        <v>5715</v>
      </c>
      <c r="I22">
        <v>2194</v>
      </c>
      <c r="J22">
        <v>3138</v>
      </c>
      <c r="K22">
        <v>1540</v>
      </c>
      <c r="L22">
        <v>679</v>
      </c>
      <c r="M22">
        <v>191</v>
      </c>
      <c r="N22">
        <v>3817</v>
      </c>
      <c r="O22">
        <v>1731</v>
      </c>
    </row>
    <row r="23" spans="1:15" x14ac:dyDescent="0.25">
      <c r="A23" t="s">
        <v>302</v>
      </c>
      <c r="B23">
        <v>311</v>
      </c>
      <c r="C23">
        <v>28</v>
      </c>
      <c r="D23">
        <v>1856</v>
      </c>
      <c r="E23">
        <v>24</v>
      </c>
      <c r="F23">
        <v>55611</v>
      </c>
      <c r="G23">
        <v>27048</v>
      </c>
      <c r="H23">
        <v>1808</v>
      </c>
      <c r="I23">
        <v>717</v>
      </c>
      <c r="J23">
        <v>1316</v>
      </c>
      <c r="K23">
        <v>624</v>
      </c>
      <c r="L23">
        <v>125</v>
      </c>
      <c r="M23">
        <v>33</v>
      </c>
      <c r="N23">
        <v>1441</v>
      </c>
      <c r="O23">
        <v>657</v>
      </c>
    </row>
    <row r="24" spans="1:15" x14ac:dyDescent="0.25">
      <c r="A24" t="s">
        <v>303</v>
      </c>
      <c r="B24">
        <v>1077</v>
      </c>
      <c r="C24">
        <v>15</v>
      </c>
      <c r="D24">
        <v>7066</v>
      </c>
      <c r="E24">
        <v>98</v>
      </c>
      <c r="F24">
        <v>271653</v>
      </c>
      <c r="G24">
        <v>137200</v>
      </c>
      <c r="H24">
        <v>14290</v>
      </c>
      <c r="I24">
        <v>4801</v>
      </c>
      <c r="J24">
        <v>5769</v>
      </c>
      <c r="K24">
        <v>3579</v>
      </c>
      <c r="L24">
        <v>1809</v>
      </c>
      <c r="M24">
        <v>792</v>
      </c>
      <c r="N24">
        <v>7578</v>
      </c>
      <c r="O24">
        <v>4371</v>
      </c>
    </row>
    <row r="25" spans="1:15" x14ac:dyDescent="0.25">
      <c r="A25" t="s">
        <v>304</v>
      </c>
      <c r="B25">
        <v>246</v>
      </c>
      <c r="C25">
        <v>10</v>
      </c>
      <c r="D25">
        <v>1454</v>
      </c>
      <c r="E25">
        <v>7</v>
      </c>
      <c r="F25">
        <v>35518</v>
      </c>
      <c r="G25">
        <v>17611</v>
      </c>
      <c r="H25">
        <v>2686</v>
      </c>
      <c r="I25">
        <v>1125</v>
      </c>
      <c r="J25">
        <v>1321</v>
      </c>
      <c r="K25">
        <v>740</v>
      </c>
      <c r="L25">
        <v>146</v>
      </c>
      <c r="M25">
        <v>46</v>
      </c>
      <c r="N25">
        <v>1467</v>
      </c>
      <c r="O25">
        <v>786</v>
      </c>
    </row>
    <row r="26" spans="1:15" x14ac:dyDescent="0.25">
      <c r="A26" t="s">
        <v>305</v>
      </c>
      <c r="B26">
        <v>509</v>
      </c>
      <c r="C26">
        <v>12</v>
      </c>
      <c r="D26">
        <v>3613</v>
      </c>
      <c r="E26">
        <v>43</v>
      </c>
      <c r="F26">
        <v>119268</v>
      </c>
      <c r="G26">
        <v>59229</v>
      </c>
      <c r="H26">
        <v>3727</v>
      </c>
      <c r="I26">
        <v>1205</v>
      </c>
      <c r="J26">
        <v>3694</v>
      </c>
      <c r="K26">
        <v>1423</v>
      </c>
      <c r="L26">
        <v>933</v>
      </c>
      <c r="M26">
        <v>211</v>
      </c>
      <c r="N26">
        <v>4627</v>
      </c>
      <c r="O26">
        <v>1634</v>
      </c>
    </row>
    <row r="27" spans="1:15" x14ac:dyDescent="0.25">
      <c r="A27" t="s">
        <v>306</v>
      </c>
      <c r="B27">
        <v>793</v>
      </c>
      <c r="C27">
        <v>20</v>
      </c>
      <c r="D27">
        <v>5706</v>
      </c>
      <c r="E27">
        <v>106</v>
      </c>
      <c r="F27">
        <v>201228</v>
      </c>
      <c r="G27">
        <v>99349</v>
      </c>
      <c r="H27">
        <v>12020</v>
      </c>
      <c r="I27">
        <v>3922</v>
      </c>
      <c r="J27">
        <v>6473</v>
      </c>
      <c r="K27">
        <v>2652</v>
      </c>
      <c r="L27">
        <v>1724</v>
      </c>
      <c r="M27">
        <v>402</v>
      </c>
      <c r="N27">
        <v>8197</v>
      </c>
      <c r="O27">
        <v>3054</v>
      </c>
    </row>
    <row r="28" spans="1:15" x14ac:dyDescent="0.25">
      <c r="A28" t="s">
        <v>307</v>
      </c>
      <c r="B28">
        <v>710</v>
      </c>
      <c r="C28">
        <v>15</v>
      </c>
      <c r="D28">
        <v>4686</v>
      </c>
      <c r="E28">
        <v>39</v>
      </c>
      <c r="F28">
        <v>171565</v>
      </c>
      <c r="G28">
        <v>85727</v>
      </c>
      <c r="H28">
        <v>8088</v>
      </c>
      <c r="I28">
        <v>2968</v>
      </c>
      <c r="J28">
        <v>3725</v>
      </c>
      <c r="K28">
        <v>2068</v>
      </c>
      <c r="L28">
        <v>848</v>
      </c>
      <c r="M28">
        <v>246</v>
      </c>
      <c r="N28">
        <v>4573</v>
      </c>
      <c r="O28">
        <v>2314</v>
      </c>
    </row>
    <row r="29" spans="1:15" x14ac:dyDescent="0.25">
      <c r="A29" t="s">
        <v>266</v>
      </c>
      <c r="B29">
        <v>13482</v>
      </c>
      <c r="C29">
        <v>278</v>
      </c>
      <c r="D29">
        <v>91259</v>
      </c>
      <c r="E29">
        <v>958</v>
      </c>
      <c r="F29">
        <v>3210285</v>
      </c>
      <c r="G29">
        <v>1595047</v>
      </c>
      <c r="H29">
        <v>150757</v>
      </c>
      <c r="I29">
        <v>52827</v>
      </c>
      <c r="J29">
        <v>93225</v>
      </c>
      <c r="K29">
        <v>49042</v>
      </c>
      <c r="L29">
        <v>19862</v>
      </c>
      <c r="M29">
        <v>5903</v>
      </c>
      <c r="N29">
        <v>113087</v>
      </c>
      <c r="O29">
        <v>54945</v>
      </c>
    </row>
    <row r="30" spans="1:15" x14ac:dyDescent="0.25">
      <c r="A30" t="s">
        <v>308</v>
      </c>
      <c r="B30">
        <v>1390</v>
      </c>
      <c r="C30">
        <v>22</v>
      </c>
      <c r="D30">
        <v>15001</v>
      </c>
      <c r="E30">
        <v>135</v>
      </c>
      <c r="F30">
        <v>595615</v>
      </c>
      <c r="G30">
        <v>294542</v>
      </c>
      <c r="H30">
        <v>21816</v>
      </c>
      <c r="I30">
        <v>7447</v>
      </c>
      <c r="J30">
        <v>22331</v>
      </c>
      <c r="K30">
        <v>12970</v>
      </c>
      <c r="L30">
        <v>3488</v>
      </c>
      <c r="M30">
        <v>1425</v>
      </c>
      <c r="N30">
        <v>25819</v>
      </c>
      <c r="O30">
        <v>14395</v>
      </c>
    </row>
    <row r="31" spans="1:15" x14ac:dyDescent="0.25">
      <c r="A31" t="s">
        <v>309</v>
      </c>
      <c r="B31">
        <v>12092</v>
      </c>
      <c r="C31">
        <v>256</v>
      </c>
      <c r="D31">
        <v>76258</v>
      </c>
      <c r="E31">
        <v>823</v>
      </c>
      <c r="F31">
        <v>2614670</v>
      </c>
      <c r="G31">
        <v>1300505</v>
      </c>
      <c r="H31">
        <v>128941</v>
      </c>
      <c r="I31">
        <v>45380</v>
      </c>
      <c r="J31">
        <v>70894</v>
      </c>
      <c r="K31">
        <v>36072</v>
      </c>
      <c r="L31">
        <v>16374</v>
      </c>
      <c r="M31">
        <v>4478</v>
      </c>
      <c r="N31">
        <v>87268</v>
      </c>
      <c r="O31">
        <v>40550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ED7D31"/>
  </sheetPr>
  <dimension ref="A1:P30"/>
  <sheetViews>
    <sheetView workbookViewId="0"/>
  </sheetViews>
  <sheetFormatPr defaultRowHeight="15" x14ac:dyDescent="0.25"/>
  <cols>
    <col min="1" max="1" width="24.140625" customWidth="1"/>
    <col min="2" max="2" width="12.42578125" customWidth="1"/>
    <col min="3" max="3" width="10" customWidth="1"/>
    <col min="5" max="5" width="10.140625" customWidth="1"/>
    <col min="6" max="6" width="10" customWidth="1"/>
    <col min="7" max="7" width="12.425781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29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29" t="s">
        <v>72</v>
      </c>
      <c r="H1" s="29"/>
      <c r="I1" s="29" t="s">
        <v>257</v>
      </c>
      <c r="J1" s="29"/>
      <c r="K1" s="29" t="s">
        <v>258</v>
      </c>
      <c r="L1" s="29"/>
      <c r="M1" s="29" t="s">
        <v>259</v>
      </c>
      <c r="N1" s="29"/>
      <c r="O1" s="29" t="s">
        <v>311</v>
      </c>
      <c r="P1" s="29"/>
    </row>
    <row r="2" spans="1:16" x14ac:dyDescent="0.25">
      <c r="A2" s="29"/>
      <c r="B2" t="s">
        <v>312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30</v>
      </c>
      <c r="C3">
        <v>0</v>
      </c>
      <c r="D3">
        <v>594</v>
      </c>
      <c r="E3">
        <v>594</v>
      </c>
      <c r="F3">
        <v>0</v>
      </c>
      <c r="G3">
        <v>27489</v>
      </c>
      <c r="H3">
        <v>15102</v>
      </c>
      <c r="I3">
        <v>585</v>
      </c>
      <c r="J3">
        <v>201</v>
      </c>
      <c r="K3">
        <v>1293</v>
      </c>
      <c r="L3">
        <v>516</v>
      </c>
      <c r="M3">
        <v>187</v>
      </c>
      <c r="N3">
        <v>51</v>
      </c>
      <c r="O3">
        <v>1480</v>
      </c>
      <c r="P3">
        <v>567</v>
      </c>
    </row>
    <row r="4" spans="1:16" x14ac:dyDescent="0.25">
      <c r="A4" t="s">
        <v>284</v>
      </c>
      <c r="B4">
        <v>29</v>
      </c>
      <c r="C4">
        <v>0</v>
      </c>
      <c r="D4">
        <v>747</v>
      </c>
      <c r="E4">
        <v>677</v>
      </c>
      <c r="F4">
        <v>0</v>
      </c>
      <c r="G4">
        <v>37081</v>
      </c>
      <c r="H4">
        <v>20277</v>
      </c>
      <c r="I4">
        <v>868</v>
      </c>
      <c r="J4">
        <v>297</v>
      </c>
      <c r="K4">
        <v>1343</v>
      </c>
      <c r="L4">
        <v>605</v>
      </c>
      <c r="M4">
        <v>227</v>
      </c>
      <c r="N4">
        <v>76</v>
      </c>
      <c r="O4">
        <v>1570</v>
      </c>
      <c r="P4">
        <v>681</v>
      </c>
    </row>
    <row r="5" spans="1:16" x14ac:dyDescent="0.25">
      <c r="A5" t="s">
        <v>285</v>
      </c>
      <c r="B5">
        <v>43</v>
      </c>
      <c r="C5">
        <v>1</v>
      </c>
      <c r="D5">
        <v>1035</v>
      </c>
      <c r="E5">
        <v>929</v>
      </c>
      <c r="F5">
        <v>0</v>
      </c>
      <c r="G5">
        <v>45284</v>
      </c>
      <c r="H5">
        <v>25161</v>
      </c>
      <c r="I5">
        <v>1382</v>
      </c>
      <c r="J5">
        <v>518</v>
      </c>
      <c r="K5">
        <v>2059</v>
      </c>
      <c r="L5">
        <v>946</v>
      </c>
      <c r="M5">
        <v>440</v>
      </c>
      <c r="N5">
        <v>194</v>
      </c>
      <c r="O5">
        <v>2499</v>
      </c>
      <c r="P5">
        <v>1140</v>
      </c>
    </row>
    <row r="6" spans="1:16" x14ac:dyDescent="0.25">
      <c r="A6" t="s">
        <v>286</v>
      </c>
      <c r="B6">
        <v>16</v>
      </c>
      <c r="C6">
        <v>0</v>
      </c>
      <c r="D6">
        <v>457</v>
      </c>
      <c r="E6">
        <v>442</v>
      </c>
      <c r="F6">
        <v>0</v>
      </c>
      <c r="G6">
        <v>22020</v>
      </c>
      <c r="H6">
        <v>12254</v>
      </c>
      <c r="I6">
        <v>378</v>
      </c>
      <c r="J6">
        <v>114</v>
      </c>
      <c r="K6">
        <v>1036</v>
      </c>
      <c r="L6">
        <v>391</v>
      </c>
      <c r="M6">
        <v>171</v>
      </c>
      <c r="N6">
        <v>43</v>
      </c>
      <c r="O6">
        <v>1207</v>
      </c>
      <c r="P6">
        <v>434</v>
      </c>
    </row>
    <row r="7" spans="1:16" x14ac:dyDescent="0.25">
      <c r="A7" t="s">
        <v>287</v>
      </c>
      <c r="B7">
        <v>24</v>
      </c>
      <c r="C7">
        <v>0</v>
      </c>
      <c r="D7">
        <v>557</v>
      </c>
      <c r="E7">
        <v>461</v>
      </c>
      <c r="F7">
        <v>0</v>
      </c>
      <c r="G7">
        <v>29407</v>
      </c>
      <c r="H7">
        <v>15542</v>
      </c>
      <c r="I7">
        <v>498</v>
      </c>
      <c r="J7">
        <v>154</v>
      </c>
      <c r="K7">
        <v>1067</v>
      </c>
      <c r="L7">
        <v>365</v>
      </c>
      <c r="M7">
        <v>166</v>
      </c>
      <c r="N7">
        <v>29</v>
      </c>
      <c r="O7">
        <v>1233</v>
      </c>
      <c r="P7">
        <v>394</v>
      </c>
    </row>
    <row r="8" spans="1:16" x14ac:dyDescent="0.25">
      <c r="A8" t="s">
        <v>288</v>
      </c>
      <c r="B8">
        <v>25</v>
      </c>
      <c r="C8">
        <v>0</v>
      </c>
      <c r="D8">
        <v>598</v>
      </c>
      <c r="E8">
        <v>578</v>
      </c>
      <c r="F8">
        <v>0</v>
      </c>
      <c r="G8">
        <v>28320</v>
      </c>
      <c r="H8">
        <v>15726</v>
      </c>
      <c r="I8">
        <v>655</v>
      </c>
      <c r="J8">
        <v>231</v>
      </c>
      <c r="K8">
        <v>1107</v>
      </c>
      <c r="L8">
        <v>494</v>
      </c>
      <c r="M8">
        <v>180</v>
      </c>
      <c r="N8">
        <v>32</v>
      </c>
      <c r="O8">
        <v>1287</v>
      </c>
      <c r="P8">
        <v>526</v>
      </c>
    </row>
    <row r="9" spans="1:16" x14ac:dyDescent="0.25">
      <c r="A9" t="s">
        <v>289</v>
      </c>
      <c r="B9">
        <v>24</v>
      </c>
      <c r="C9">
        <v>0</v>
      </c>
      <c r="D9">
        <v>557</v>
      </c>
      <c r="E9">
        <v>531</v>
      </c>
      <c r="F9">
        <v>0</v>
      </c>
      <c r="G9">
        <v>25503</v>
      </c>
      <c r="H9">
        <v>13366</v>
      </c>
      <c r="I9">
        <v>642</v>
      </c>
      <c r="J9">
        <v>203</v>
      </c>
      <c r="K9">
        <v>1269</v>
      </c>
      <c r="L9">
        <v>497</v>
      </c>
      <c r="M9">
        <v>189</v>
      </c>
      <c r="N9">
        <v>46</v>
      </c>
      <c r="O9">
        <v>1458</v>
      </c>
      <c r="P9">
        <v>543</v>
      </c>
    </row>
    <row r="10" spans="1:16" x14ac:dyDescent="0.25">
      <c r="A10" t="s">
        <v>290</v>
      </c>
      <c r="B10">
        <v>39</v>
      </c>
      <c r="C10">
        <v>0</v>
      </c>
      <c r="D10">
        <v>1097</v>
      </c>
      <c r="E10">
        <v>995</v>
      </c>
      <c r="F10">
        <v>22</v>
      </c>
      <c r="G10">
        <v>49627</v>
      </c>
      <c r="H10">
        <v>27126</v>
      </c>
      <c r="I10">
        <v>1146</v>
      </c>
      <c r="J10">
        <v>401</v>
      </c>
      <c r="K10">
        <v>2746</v>
      </c>
      <c r="L10">
        <v>1208</v>
      </c>
      <c r="M10">
        <v>334</v>
      </c>
      <c r="N10">
        <v>66</v>
      </c>
      <c r="O10">
        <v>3080</v>
      </c>
      <c r="P10">
        <v>1274</v>
      </c>
    </row>
    <row r="11" spans="1:16" x14ac:dyDescent="0.25">
      <c r="A11" t="s">
        <v>291</v>
      </c>
      <c r="B11">
        <v>2</v>
      </c>
      <c r="C11">
        <v>0</v>
      </c>
      <c r="D11">
        <v>43</v>
      </c>
      <c r="E11">
        <v>43</v>
      </c>
      <c r="F11">
        <v>0</v>
      </c>
      <c r="G11">
        <v>1737</v>
      </c>
      <c r="H11">
        <v>908</v>
      </c>
      <c r="I11">
        <v>81</v>
      </c>
      <c r="J11">
        <v>20</v>
      </c>
      <c r="K11">
        <v>130</v>
      </c>
      <c r="L11">
        <v>57</v>
      </c>
      <c r="M11">
        <v>13</v>
      </c>
      <c r="N11">
        <v>5</v>
      </c>
      <c r="O11">
        <v>143</v>
      </c>
      <c r="P11">
        <v>62</v>
      </c>
    </row>
    <row r="12" spans="1:16" x14ac:dyDescent="0.25">
      <c r="A12" t="s">
        <v>292</v>
      </c>
      <c r="B12">
        <v>12</v>
      </c>
      <c r="C12">
        <v>0</v>
      </c>
      <c r="D12">
        <v>141</v>
      </c>
      <c r="E12">
        <v>132</v>
      </c>
      <c r="F12">
        <v>0</v>
      </c>
      <c r="G12">
        <v>5714</v>
      </c>
      <c r="H12">
        <v>2874</v>
      </c>
      <c r="I12">
        <v>77</v>
      </c>
      <c r="J12">
        <v>29</v>
      </c>
      <c r="K12">
        <v>301</v>
      </c>
      <c r="L12">
        <v>112</v>
      </c>
      <c r="M12">
        <v>33</v>
      </c>
      <c r="N12">
        <v>7</v>
      </c>
      <c r="O12">
        <v>334</v>
      </c>
      <c r="P12">
        <v>119</v>
      </c>
    </row>
    <row r="13" spans="1:16" x14ac:dyDescent="0.25">
      <c r="A13" t="s">
        <v>293</v>
      </c>
      <c r="B13">
        <v>12</v>
      </c>
      <c r="C13">
        <v>0</v>
      </c>
      <c r="D13">
        <v>219</v>
      </c>
      <c r="E13">
        <v>214</v>
      </c>
      <c r="F13">
        <v>24</v>
      </c>
      <c r="G13">
        <v>9947</v>
      </c>
      <c r="H13">
        <v>5395</v>
      </c>
      <c r="I13">
        <v>215</v>
      </c>
      <c r="J13">
        <v>65</v>
      </c>
      <c r="K13">
        <v>474</v>
      </c>
      <c r="L13">
        <v>226</v>
      </c>
      <c r="M13">
        <v>49</v>
      </c>
      <c r="N13">
        <v>14</v>
      </c>
      <c r="O13">
        <v>523</v>
      </c>
      <c r="P13">
        <v>240</v>
      </c>
    </row>
    <row r="14" spans="1:16" x14ac:dyDescent="0.25">
      <c r="A14" t="s">
        <v>294</v>
      </c>
      <c r="B14">
        <v>5</v>
      </c>
      <c r="C14">
        <v>0</v>
      </c>
      <c r="D14">
        <v>73</v>
      </c>
      <c r="E14">
        <v>66</v>
      </c>
      <c r="F14">
        <v>0</v>
      </c>
      <c r="G14">
        <v>3495</v>
      </c>
      <c r="H14">
        <v>1879</v>
      </c>
      <c r="I14">
        <v>113</v>
      </c>
      <c r="J14">
        <v>45</v>
      </c>
      <c r="K14">
        <v>162</v>
      </c>
      <c r="L14">
        <v>58</v>
      </c>
      <c r="M14">
        <v>14</v>
      </c>
      <c r="N14">
        <v>2</v>
      </c>
      <c r="O14">
        <v>176</v>
      </c>
      <c r="P14">
        <v>60</v>
      </c>
    </row>
    <row r="15" spans="1:16" x14ac:dyDescent="0.25">
      <c r="A15" t="s">
        <v>295</v>
      </c>
      <c r="B15">
        <v>9</v>
      </c>
      <c r="C15">
        <v>0</v>
      </c>
      <c r="D15">
        <v>193</v>
      </c>
      <c r="E15">
        <v>174</v>
      </c>
      <c r="F15">
        <v>0</v>
      </c>
      <c r="G15">
        <v>8712</v>
      </c>
      <c r="H15">
        <v>4584</v>
      </c>
      <c r="I15">
        <v>366</v>
      </c>
      <c r="J15">
        <v>117</v>
      </c>
      <c r="K15">
        <v>283</v>
      </c>
      <c r="L15">
        <v>101</v>
      </c>
      <c r="M15">
        <v>44</v>
      </c>
      <c r="N15">
        <v>10</v>
      </c>
      <c r="O15">
        <v>327</v>
      </c>
      <c r="P15">
        <v>111</v>
      </c>
    </row>
    <row r="16" spans="1:16" x14ac:dyDescent="0.25">
      <c r="A16" t="s">
        <v>296</v>
      </c>
      <c r="B16">
        <v>2</v>
      </c>
      <c r="C16">
        <v>0</v>
      </c>
      <c r="D16">
        <v>64</v>
      </c>
      <c r="E16">
        <v>64</v>
      </c>
      <c r="F16">
        <v>0</v>
      </c>
      <c r="G16">
        <v>2949</v>
      </c>
      <c r="H16">
        <v>1591</v>
      </c>
      <c r="I16">
        <v>147</v>
      </c>
      <c r="J16">
        <v>57</v>
      </c>
      <c r="K16">
        <v>148</v>
      </c>
      <c r="L16">
        <v>64</v>
      </c>
      <c r="M16">
        <v>21</v>
      </c>
      <c r="N16">
        <v>5</v>
      </c>
      <c r="O16">
        <v>169</v>
      </c>
      <c r="P16">
        <v>69</v>
      </c>
    </row>
    <row r="17" spans="1:16" x14ac:dyDescent="0.25">
      <c r="A17" t="s">
        <v>297</v>
      </c>
      <c r="B17">
        <v>39</v>
      </c>
      <c r="C17">
        <v>0</v>
      </c>
      <c r="D17">
        <v>1697</v>
      </c>
      <c r="E17">
        <v>1110</v>
      </c>
      <c r="F17">
        <v>0</v>
      </c>
      <c r="G17">
        <v>78448</v>
      </c>
      <c r="H17">
        <v>39793</v>
      </c>
      <c r="I17">
        <v>1906</v>
      </c>
      <c r="J17">
        <v>700</v>
      </c>
      <c r="K17">
        <v>4924</v>
      </c>
      <c r="L17">
        <v>2207</v>
      </c>
      <c r="M17">
        <v>436</v>
      </c>
      <c r="N17">
        <v>142</v>
      </c>
      <c r="O17">
        <v>5360</v>
      </c>
      <c r="P17">
        <v>2349</v>
      </c>
    </row>
    <row r="18" spans="1:16" x14ac:dyDescent="0.25">
      <c r="A18" t="s">
        <v>298</v>
      </c>
      <c r="B18">
        <v>9</v>
      </c>
      <c r="C18">
        <v>0</v>
      </c>
      <c r="D18">
        <v>191</v>
      </c>
      <c r="E18">
        <v>191</v>
      </c>
      <c r="F18">
        <v>0</v>
      </c>
      <c r="G18">
        <v>8157</v>
      </c>
      <c r="H18">
        <v>4201</v>
      </c>
      <c r="I18">
        <v>469</v>
      </c>
      <c r="J18">
        <v>189</v>
      </c>
      <c r="K18">
        <v>449</v>
      </c>
      <c r="L18">
        <v>144</v>
      </c>
      <c r="M18">
        <v>46</v>
      </c>
      <c r="N18">
        <v>11</v>
      </c>
      <c r="O18">
        <v>495</v>
      </c>
      <c r="P18">
        <v>155</v>
      </c>
    </row>
    <row r="19" spans="1:16" x14ac:dyDescent="0.25">
      <c r="A19" t="s">
        <v>299</v>
      </c>
      <c r="B19">
        <v>17</v>
      </c>
      <c r="C19">
        <v>0</v>
      </c>
      <c r="D19">
        <v>180</v>
      </c>
      <c r="E19">
        <v>180</v>
      </c>
      <c r="F19">
        <v>0</v>
      </c>
      <c r="G19">
        <v>7498</v>
      </c>
      <c r="H19">
        <v>4015</v>
      </c>
      <c r="I19">
        <v>39</v>
      </c>
      <c r="J19">
        <v>13</v>
      </c>
      <c r="K19">
        <v>339</v>
      </c>
      <c r="L19">
        <v>144</v>
      </c>
      <c r="M19">
        <v>42</v>
      </c>
      <c r="N19">
        <v>12</v>
      </c>
      <c r="O19">
        <v>381</v>
      </c>
      <c r="P19">
        <v>156</v>
      </c>
    </row>
    <row r="20" spans="1:16" x14ac:dyDescent="0.25">
      <c r="A20" t="s">
        <v>300</v>
      </c>
      <c r="B20">
        <v>32</v>
      </c>
      <c r="C20">
        <v>0</v>
      </c>
      <c r="D20">
        <v>981</v>
      </c>
      <c r="E20">
        <v>900</v>
      </c>
      <c r="F20">
        <v>31</v>
      </c>
      <c r="G20">
        <v>44188</v>
      </c>
      <c r="H20">
        <v>23472</v>
      </c>
      <c r="I20">
        <v>600</v>
      </c>
      <c r="J20">
        <v>198</v>
      </c>
      <c r="K20">
        <v>1662</v>
      </c>
      <c r="L20">
        <v>597</v>
      </c>
      <c r="M20">
        <v>313</v>
      </c>
      <c r="N20">
        <v>68</v>
      </c>
      <c r="O20">
        <v>1975</v>
      </c>
      <c r="P20">
        <v>665</v>
      </c>
    </row>
    <row r="21" spans="1:16" x14ac:dyDescent="0.25">
      <c r="A21" t="s">
        <v>301</v>
      </c>
      <c r="B21">
        <v>16</v>
      </c>
      <c r="C21">
        <v>0</v>
      </c>
      <c r="D21">
        <v>347</v>
      </c>
      <c r="E21">
        <v>343</v>
      </c>
      <c r="F21">
        <v>0</v>
      </c>
      <c r="G21">
        <v>15541</v>
      </c>
      <c r="H21">
        <v>8407</v>
      </c>
      <c r="I21">
        <v>195</v>
      </c>
      <c r="J21">
        <v>56</v>
      </c>
      <c r="K21">
        <v>728</v>
      </c>
      <c r="L21">
        <v>257</v>
      </c>
      <c r="M21">
        <v>127</v>
      </c>
      <c r="N21">
        <v>25</v>
      </c>
      <c r="O21">
        <v>855</v>
      </c>
      <c r="P21">
        <v>282</v>
      </c>
    </row>
    <row r="22" spans="1:16" x14ac:dyDescent="0.25">
      <c r="A22" t="s">
        <v>302</v>
      </c>
      <c r="B22">
        <v>11</v>
      </c>
      <c r="C22">
        <v>0</v>
      </c>
      <c r="D22">
        <v>164</v>
      </c>
      <c r="E22">
        <v>160</v>
      </c>
      <c r="F22">
        <v>11</v>
      </c>
      <c r="G22">
        <v>8214</v>
      </c>
      <c r="H22">
        <v>4047</v>
      </c>
      <c r="I22">
        <v>86</v>
      </c>
      <c r="J22">
        <v>31</v>
      </c>
      <c r="K22">
        <v>320</v>
      </c>
      <c r="L22">
        <v>130</v>
      </c>
      <c r="M22">
        <v>22</v>
      </c>
      <c r="N22">
        <v>8</v>
      </c>
      <c r="O22">
        <v>342</v>
      </c>
      <c r="P22">
        <v>138</v>
      </c>
    </row>
    <row r="23" spans="1:16" x14ac:dyDescent="0.25">
      <c r="A23" t="s">
        <v>303</v>
      </c>
      <c r="B23">
        <v>41</v>
      </c>
      <c r="C23">
        <v>0</v>
      </c>
      <c r="D23">
        <v>1047</v>
      </c>
      <c r="E23">
        <v>941</v>
      </c>
      <c r="F23">
        <v>0</v>
      </c>
      <c r="G23">
        <v>53546</v>
      </c>
      <c r="H23">
        <v>29903</v>
      </c>
      <c r="I23">
        <v>1508</v>
      </c>
      <c r="J23">
        <v>481</v>
      </c>
      <c r="K23">
        <v>1738</v>
      </c>
      <c r="L23">
        <v>758</v>
      </c>
      <c r="M23">
        <v>305</v>
      </c>
      <c r="N23">
        <v>119</v>
      </c>
      <c r="O23">
        <v>2043</v>
      </c>
      <c r="P23">
        <v>877</v>
      </c>
    </row>
    <row r="24" spans="1:16" x14ac:dyDescent="0.25">
      <c r="A24" t="s">
        <v>304</v>
      </c>
      <c r="B24">
        <v>8</v>
      </c>
      <c r="C24">
        <v>0</v>
      </c>
      <c r="D24">
        <v>91</v>
      </c>
      <c r="E24">
        <v>86</v>
      </c>
      <c r="F24">
        <v>6</v>
      </c>
      <c r="G24">
        <v>3988</v>
      </c>
      <c r="H24">
        <v>2071</v>
      </c>
      <c r="I24">
        <v>84</v>
      </c>
      <c r="J24">
        <v>24</v>
      </c>
      <c r="K24">
        <v>219</v>
      </c>
      <c r="L24">
        <v>86</v>
      </c>
      <c r="M24">
        <v>26</v>
      </c>
      <c r="N24">
        <v>9</v>
      </c>
      <c r="O24">
        <v>245</v>
      </c>
      <c r="P24">
        <v>95</v>
      </c>
    </row>
    <row r="25" spans="1:16" x14ac:dyDescent="0.25">
      <c r="A25" t="s">
        <v>305</v>
      </c>
      <c r="B25">
        <v>20</v>
      </c>
      <c r="C25">
        <v>0</v>
      </c>
      <c r="D25">
        <v>586</v>
      </c>
      <c r="E25">
        <v>555</v>
      </c>
      <c r="F25">
        <v>30</v>
      </c>
      <c r="G25">
        <v>25513</v>
      </c>
      <c r="H25">
        <v>13290</v>
      </c>
      <c r="I25">
        <v>553</v>
      </c>
      <c r="J25">
        <v>150</v>
      </c>
      <c r="K25">
        <v>1246</v>
      </c>
      <c r="L25">
        <v>384</v>
      </c>
      <c r="M25">
        <v>219</v>
      </c>
      <c r="N25">
        <v>69</v>
      </c>
      <c r="O25">
        <v>1465</v>
      </c>
      <c r="P25">
        <v>453</v>
      </c>
    </row>
    <row r="26" spans="1:16" x14ac:dyDescent="0.25">
      <c r="A26" t="s">
        <v>306</v>
      </c>
      <c r="B26">
        <v>52</v>
      </c>
      <c r="C26">
        <v>0</v>
      </c>
      <c r="D26">
        <v>1340</v>
      </c>
      <c r="E26">
        <v>1322</v>
      </c>
      <c r="F26">
        <v>0</v>
      </c>
      <c r="G26">
        <v>56257</v>
      </c>
      <c r="H26">
        <v>29396</v>
      </c>
      <c r="I26">
        <v>1751</v>
      </c>
      <c r="J26">
        <v>566</v>
      </c>
      <c r="K26">
        <v>2445</v>
      </c>
      <c r="L26">
        <v>736</v>
      </c>
      <c r="M26">
        <v>539</v>
      </c>
      <c r="N26">
        <v>148</v>
      </c>
      <c r="O26">
        <v>2984</v>
      </c>
      <c r="P26">
        <v>884</v>
      </c>
    </row>
    <row r="27" spans="1:16" x14ac:dyDescent="0.25">
      <c r="A27" t="s">
        <v>307</v>
      </c>
      <c r="B27">
        <v>27</v>
      </c>
      <c r="C27">
        <v>0</v>
      </c>
      <c r="D27">
        <v>648</v>
      </c>
      <c r="E27">
        <v>598</v>
      </c>
      <c r="F27">
        <v>0</v>
      </c>
      <c r="G27">
        <v>30059</v>
      </c>
      <c r="H27">
        <v>16742</v>
      </c>
      <c r="I27">
        <v>879</v>
      </c>
      <c r="J27">
        <v>307</v>
      </c>
      <c r="K27">
        <v>1005</v>
      </c>
      <c r="L27">
        <v>395</v>
      </c>
      <c r="M27">
        <v>166</v>
      </c>
      <c r="N27">
        <v>49</v>
      </c>
      <c r="O27">
        <v>1171</v>
      </c>
      <c r="P27">
        <v>444</v>
      </c>
    </row>
    <row r="28" spans="1:16" x14ac:dyDescent="0.25">
      <c r="A28" t="s">
        <v>266</v>
      </c>
      <c r="B28">
        <v>544</v>
      </c>
      <c r="C28">
        <v>1</v>
      </c>
      <c r="D28">
        <v>13647</v>
      </c>
      <c r="E28">
        <v>12286</v>
      </c>
      <c r="F28">
        <v>124</v>
      </c>
      <c r="G28">
        <v>628694</v>
      </c>
      <c r="H28">
        <v>337122</v>
      </c>
      <c r="I28">
        <v>15223</v>
      </c>
      <c r="J28">
        <v>5167</v>
      </c>
      <c r="K28">
        <v>28493</v>
      </c>
      <c r="L28">
        <v>11478</v>
      </c>
      <c r="M28">
        <v>4309</v>
      </c>
      <c r="N28">
        <v>1240</v>
      </c>
      <c r="O28">
        <v>32802</v>
      </c>
      <c r="P28">
        <v>12718</v>
      </c>
    </row>
    <row r="29" spans="1:16" x14ac:dyDescent="0.25">
      <c r="A29" t="s">
        <v>308</v>
      </c>
      <c r="B29">
        <v>108</v>
      </c>
      <c r="C29">
        <v>0</v>
      </c>
      <c r="D29">
        <v>3908</v>
      </c>
      <c r="E29">
        <v>3226</v>
      </c>
      <c r="F29">
        <v>0</v>
      </c>
      <c r="G29">
        <v>181533</v>
      </c>
      <c r="H29">
        <v>94757</v>
      </c>
      <c r="I29">
        <v>4524</v>
      </c>
      <c r="J29">
        <v>1574</v>
      </c>
      <c r="K29">
        <v>9766</v>
      </c>
      <c r="L29">
        <v>4282</v>
      </c>
      <c r="M29">
        <v>1141</v>
      </c>
      <c r="N29">
        <v>420</v>
      </c>
      <c r="O29">
        <v>10907</v>
      </c>
      <c r="P29">
        <v>4702</v>
      </c>
    </row>
    <row r="30" spans="1:16" x14ac:dyDescent="0.25">
      <c r="A30" t="s">
        <v>309</v>
      </c>
      <c r="B30">
        <v>436</v>
      </c>
      <c r="C30">
        <v>1</v>
      </c>
      <c r="D30">
        <v>9739</v>
      </c>
      <c r="E30">
        <v>9060</v>
      </c>
      <c r="F30">
        <v>124</v>
      </c>
      <c r="G30">
        <v>447161</v>
      </c>
      <c r="H30">
        <v>242365</v>
      </c>
      <c r="I30">
        <v>10699</v>
      </c>
      <c r="J30">
        <v>3593</v>
      </c>
      <c r="K30">
        <v>18727</v>
      </c>
      <c r="L30">
        <v>7196</v>
      </c>
      <c r="M30">
        <v>3168</v>
      </c>
      <c r="N30">
        <v>820</v>
      </c>
      <c r="O30">
        <v>21895</v>
      </c>
      <c r="P30">
        <v>8016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ED7D31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7109375" customWidth="1"/>
    <col min="5" max="5" width="10.42578125" customWidth="1"/>
    <col min="6" max="6" width="10.7109375" customWidth="1"/>
    <col min="9" max="9" width="9.85546875" customWidth="1"/>
    <col min="10" max="10" width="10" customWidth="1"/>
    <col min="12" max="12" width="9.85546875" customWidth="1"/>
    <col min="13" max="13" width="10" customWidth="1"/>
    <col min="15" max="15" width="9.85546875" customWidth="1"/>
    <col min="16" max="16" width="10" customWidth="1"/>
  </cols>
  <sheetData>
    <row r="1" spans="1:16" x14ac:dyDescent="0.25">
      <c r="A1" s="29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29" t="s">
        <v>72</v>
      </c>
      <c r="H1" s="29"/>
      <c r="I1" s="29" t="s">
        <v>257</v>
      </c>
      <c r="J1" s="29"/>
      <c r="K1" s="29" t="s">
        <v>258</v>
      </c>
      <c r="L1" s="29"/>
      <c r="M1" s="29" t="s">
        <v>259</v>
      </c>
      <c r="N1" s="29"/>
      <c r="O1" s="29" t="s">
        <v>311</v>
      </c>
      <c r="P1" s="29"/>
    </row>
    <row r="2" spans="1:16" x14ac:dyDescent="0.25">
      <c r="A2" s="29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54</v>
      </c>
      <c r="C3">
        <v>0</v>
      </c>
      <c r="D3">
        <v>296</v>
      </c>
      <c r="E3">
        <v>289</v>
      </c>
      <c r="F3">
        <v>0</v>
      </c>
      <c r="G3">
        <v>13945</v>
      </c>
      <c r="H3">
        <v>7456</v>
      </c>
      <c r="I3">
        <v>238</v>
      </c>
      <c r="J3">
        <v>66</v>
      </c>
      <c r="K3">
        <v>531</v>
      </c>
      <c r="L3">
        <v>235</v>
      </c>
      <c r="M3">
        <v>127</v>
      </c>
      <c r="N3">
        <v>36</v>
      </c>
      <c r="O3">
        <v>658</v>
      </c>
      <c r="P3">
        <v>271</v>
      </c>
    </row>
    <row r="4" spans="1:16" x14ac:dyDescent="0.25">
      <c r="A4" t="s">
        <v>284</v>
      </c>
      <c r="B4">
        <v>96</v>
      </c>
      <c r="C4">
        <v>2</v>
      </c>
      <c r="D4">
        <v>623</v>
      </c>
      <c r="E4">
        <v>591</v>
      </c>
      <c r="F4">
        <v>0</v>
      </c>
      <c r="G4">
        <v>29725</v>
      </c>
      <c r="H4">
        <v>15892</v>
      </c>
      <c r="I4">
        <v>682</v>
      </c>
      <c r="J4">
        <v>204</v>
      </c>
      <c r="K4">
        <v>1263</v>
      </c>
      <c r="L4">
        <v>624</v>
      </c>
      <c r="M4">
        <v>272</v>
      </c>
      <c r="N4">
        <v>89</v>
      </c>
      <c r="O4">
        <v>1535</v>
      </c>
      <c r="P4">
        <v>713</v>
      </c>
    </row>
    <row r="5" spans="1:16" x14ac:dyDescent="0.25">
      <c r="A5" t="s">
        <v>285</v>
      </c>
      <c r="B5">
        <v>81</v>
      </c>
      <c r="C5">
        <v>0</v>
      </c>
      <c r="D5">
        <v>460</v>
      </c>
      <c r="E5">
        <v>426</v>
      </c>
      <c r="F5">
        <v>7</v>
      </c>
      <c r="G5">
        <v>20417</v>
      </c>
      <c r="H5">
        <v>11076</v>
      </c>
      <c r="I5">
        <v>457</v>
      </c>
      <c r="J5">
        <v>144</v>
      </c>
      <c r="K5">
        <v>848</v>
      </c>
      <c r="L5">
        <v>452</v>
      </c>
      <c r="M5">
        <v>232</v>
      </c>
      <c r="N5">
        <v>61</v>
      </c>
      <c r="O5">
        <v>1080</v>
      </c>
      <c r="P5">
        <v>513</v>
      </c>
    </row>
    <row r="6" spans="1:16" x14ac:dyDescent="0.25">
      <c r="A6" t="s">
        <v>286</v>
      </c>
      <c r="B6">
        <v>61</v>
      </c>
      <c r="C6">
        <v>0</v>
      </c>
      <c r="D6">
        <v>316</v>
      </c>
      <c r="E6">
        <v>300</v>
      </c>
      <c r="F6">
        <v>4</v>
      </c>
      <c r="G6">
        <v>15012</v>
      </c>
      <c r="H6">
        <v>8114</v>
      </c>
      <c r="I6">
        <v>260</v>
      </c>
      <c r="J6">
        <v>64</v>
      </c>
      <c r="K6">
        <v>566</v>
      </c>
      <c r="L6">
        <v>266</v>
      </c>
      <c r="M6">
        <v>88</v>
      </c>
      <c r="N6">
        <v>25</v>
      </c>
      <c r="O6">
        <v>654</v>
      </c>
      <c r="P6">
        <v>291</v>
      </c>
    </row>
    <row r="7" spans="1:16" x14ac:dyDescent="0.25">
      <c r="A7" t="s">
        <v>287</v>
      </c>
      <c r="B7">
        <v>72</v>
      </c>
      <c r="C7">
        <v>1</v>
      </c>
      <c r="D7">
        <v>415</v>
      </c>
      <c r="E7">
        <v>367</v>
      </c>
      <c r="F7">
        <v>4</v>
      </c>
      <c r="G7">
        <v>20458</v>
      </c>
      <c r="H7">
        <v>10726</v>
      </c>
      <c r="I7">
        <v>291</v>
      </c>
      <c r="J7">
        <v>74</v>
      </c>
      <c r="K7">
        <v>912</v>
      </c>
      <c r="L7">
        <v>332</v>
      </c>
      <c r="M7">
        <v>121</v>
      </c>
      <c r="N7">
        <v>15</v>
      </c>
      <c r="O7">
        <v>1033</v>
      </c>
      <c r="P7">
        <v>347</v>
      </c>
    </row>
    <row r="8" spans="1:16" x14ac:dyDescent="0.25">
      <c r="A8" t="s">
        <v>288</v>
      </c>
      <c r="B8">
        <v>67</v>
      </c>
      <c r="C8">
        <v>0</v>
      </c>
      <c r="D8">
        <v>377</v>
      </c>
      <c r="E8">
        <v>367</v>
      </c>
      <c r="F8">
        <v>0</v>
      </c>
      <c r="G8">
        <v>17592</v>
      </c>
      <c r="H8">
        <v>9561</v>
      </c>
      <c r="I8">
        <v>529</v>
      </c>
      <c r="J8">
        <v>178</v>
      </c>
      <c r="K8">
        <v>621</v>
      </c>
      <c r="L8">
        <v>299</v>
      </c>
      <c r="M8">
        <v>139</v>
      </c>
      <c r="N8">
        <v>28</v>
      </c>
      <c r="O8">
        <v>760</v>
      </c>
      <c r="P8">
        <v>327</v>
      </c>
    </row>
    <row r="9" spans="1:16" x14ac:dyDescent="0.25">
      <c r="A9" t="s">
        <v>289</v>
      </c>
      <c r="B9">
        <v>76</v>
      </c>
      <c r="C9">
        <v>0</v>
      </c>
      <c r="D9">
        <v>602</v>
      </c>
      <c r="E9">
        <v>392</v>
      </c>
      <c r="F9">
        <v>0</v>
      </c>
      <c r="G9">
        <v>17305</v>
      </c>
      <c r="H9">
        <v>9030</v>
      </c>
      <c r="I9">
        <v>404</v>
      </c>
      <c r="J9">
        <v>98</v>
      </c>
      <c r="K9">
        <v>980</v>
      </c>
      <c r="L9">
        <v>434</v>
      </c>
      <c r="M9">
        <v>221</v>
      </c>
      <c r="N9">
        <v>45</v>
      </c>
      <c r="O9">
        <v>1201</v>
      </c>
      <c r="P9">
        <v>479</v>
      </c>
    </row>
    <row r="10" spans="1:16" x14ac:dyDescent="0.25">
      <c r="A10" t="s">
        <v>290</v>
      </c>
      <c r="B10">
        <v>101</v>
      </c>
      <c r="C10">
        <v>0</v>
      </c>
      <c r="D10">
        <v>697</v>
      </c>
      <c r="E10">
        <v>660</v>
      </c>
      <c r="F10">
        <v>30</v>
      </c>
      <c r="G10">
        <v>28959</v>
      </c>
      <c r="H10">
        <v>15002</v>
      </c>
      <c r="I10">
        <v>625</v>
      </c>
      <c r="J10">
        <v>167</v>
      </c>
      <c r="K10">
        <v>1636</v>
      </c>
      <c r="L10">
        <v>822</v>
      </c>
      <c r="M10">
        <v>272</v>
      </c>
      <c r="N10">
        <v>67</v>
      </c>
      <c r="O10">
        <v>1908</v>
      </c>
      <c r="P10">
        <v>889</v>
      </c>
    </row>
    <row r="11" spans="1:16" x14ac:dyDescent="0.25">
      <c r="A11" t="s">
        <v>291</v>
      </c>
      <c r="B11">
        <v>4</v>
      </c>
      <c r="C11">
        <v>0</v>
      </c>
      <c r="D11">
        <v>28</v>
      </c>
      <c r="E11">
        <v>28</v>
      </c>
      <c r="F11">
        <v>0</v>
      </c>
      <c r="G11">
        <v>776</v>
      </c>
      <c r="H11">
        <v>396</v>
      </c>
      <c r="I11">
        <v>9</v>
      </c>
      <c r="J11">
        <v>4</v>
      </c>
      <c r="K11">
        <v>95</v>
      </c>
      <c r="L11">
        <v>40</v>
      </c>
      <c r="M11">
        <v>20</v>
      </c>
      <c r="N11">
        <v>3</v>
      </c>
      <c r="O11">
        <v>115</v>
      </c>
      <c r="P11">
        <v>43</v>
      </c>
    </row>
    <row r="12" spans="1:16" x14ac:dyDescent="0.25">
      <c r="A12" t="s">
        <v>292</v>
      </c>
      <c r="B12">
        <v>19</v>
      </c>
      <c r="C12">
        <v>0</v>
      </c>
      <c r="D12">
        <v>64</v>
      </c>
      <c r="E12">
        <v>60</v>
      </c>
      <c r="F12">
        <v>0</v>
      </c>
      <c r="G12">
        <v>2075</v>
      </c>
      <c r="H12">
        <v>1076</v>
      </c>
      <c r="I12">
        <v>9</v>
      </c>
      <c r="J12">
        <v>0</v>
      </c>
      <c r="K12">
        <v>134</v>
      </c>
      <c r="L12">
        <v>39</v>
      </c>
      <c r="M12">
        <v>20</v>
      </c>
      <c r="N12">
        <v>5</v>
      </c>
      <c r="O12">
        <v>154</v>
      </c>
      <c r="P12">
        <v>44</v>
      </c>
    </row>
    <row r="13" spans="1:16" x14ac:dyDescent="0.25">
      <c r="A13" t="s">
        <v>293</v>
      </c>
      <c r="B13">
        <v>43</v>
      </c>
      <c r="C13">
        <v>0</v>
      </c>
      <c r="D13">
        <v>210</v>
      </c>
      <c r="E13">
        <v>205</v>
      </c>
      <c r="F13">
        <v>0</v>
      </c>
      <c r="G13">
        <v>9368</v>
      </c>
      <c r="H13">
        <v>5031</v>
      </c>
      <c r="I13">
        <v>129</v>
      </c>
      <c r="J13">
        <v>37</v>
      </c>
      <c r="K13">
        <v>478</v>
      </c>
      <c r="L13">
        <v>258</v>
      </c>
      <c r="M13">
        <v>67</v>
      </c>
      <c r="N13">
        <v>18</v>
      </c>
      <c r="O13">
        <v>545</v>
      </c>
      <c r="P13">
        <v>276</v>
      </c>
    </row>
    <row r="14" spans="1:16" x14ac:dyDescent="0.25">
      <c r="A14" t="s">
        <v>294</v>
      </c>
      <c r="B14">
        <v>9</v>
      </c>
      <c r="C14">
        <v>0</v>
      </c>
      <c r="D14">
        <v>35</v>
      </c>
      <c r="E14">
        <v>35</v>
      </c>
      <c r="F14">
        <v>0</v>
      </c>
      <c r="G14">
        <v>1409</v>
      </c>
      <c r="H14">
        <v>742</v>
      </c>
      <c r="I14">
        <v>53</v>
      </c>
      <c r="J14">
        <v>8</v>
      </c>
      <c r="K14">
        <v>72</v>
      </c>
      <c r="L14">
        <v>29</v>
      </c>
      <c r="M14">
        <v>1</v>
      </c>
      <c r="N14">
        <v>0</v>
      </c>
      <c r="O14">
        <v>73</v>
      </c>
      <c r="P14">
        <v>29</v>
      </c>
    </row>
    <row r="15" spans="1:16" x14ac:dyDescent="0.25">
      <c r="A15" t="s">
        <v>295</v>
      </c>
      <c r="B15">
        <v>29</v>
      </c>
      <c r="C15">
        <v>1</v>
      </c>
      <c r="D15">
        <v>129</v>
      </c>
      <c r="E15">
        <v>129</v>
      </c>
      <c r="F15">
        <v>0</v>
      </c>
      <c r="G15">
        <v>5870</v>
      </c>
      <c r="H15">
        <v>3008</v>
      </c>
      <c r="I15">
        <v>171</v>
      </c>
      <c r="J15">
        <v>45</v>
      </c>
      <c r="K15">
        <v>217</v>
      </c>
      <c r="L15">
        <v>77</v>
      </c>
      <c r="M15">
        <v>17</v>
      </c>
      <c r="N15">
        <v>0</v>
      </c>
      <c r="O15">
        <v>234</v>
      </c>
      <c r="P15">
        <v>77</v>
      </c>
    </row>
    <row r="16" spans="1:16" x14ac:dyDescent="0.25">
      <c r="A16" t="s">
        <v>296</v>
      </c>
      <c r="B16">
        <v>7</v>
      </c>
      <c r="C16">
        <v>0</v>
      </c>
      <c r="D16">
        <v>50</v>
      </c>
      <c r="E16">
        <v>50</v>
      </c>
      <c r="F16">
        <v>0</v>
      </c>
      <c r="G16">
        <v>1987</v>
      </c>
      <c r="H16">
        <v>1041</v>
      </c>
      <c r="I16">
        <v>29</v>
      </c>
      <c r="J16">
        <v>6</v>
      </c>
      <c r="K16">
        <v>161</v>
      </c>
      <c r="L16">
        <v>71</v>
      </c>
      <c r="M16">
        <v>20</v>
      </c>
      <c r="N16">
        <v>3</v>
      </c>
      <c r="O16">
        <v>181</v>
      </c>
      <c r="P16">
        <v>74</v>
      </c>
    </row>
    <row r="17" spans="1:16" x14ac:dyDescent="0.25">
      <c r="A17" t="s">
        <v>297</v>
      </c>
      <c r="B17">
        <v>27</v>
      </c>
      <c r="C17">
        <v>0</v>
      </c>
      <c r="D17">
        <v>270</v>
      </c>
      <c r="E17">
        <v>212</v>
      </c>
      <c r="F17">
        <v>0</v>
      </c>
      <c r="G17">
        <v>12209</v>
      </c>
      <c r="H17">
        <v>6090</v>
      </c>
      <c r="I17">
        <v>395</v>
      </c>
      <c r="J17">
        <v>122</v>
      </c>
      <c r="K17">
        <v>855</v>
      </c>
      <c r="L17">
        <v>440</v>
      </c>
      <c r="M17">
        <v>116</v>
      </c>
      <c r="N17">
        <v>31</v>
      </c>
      <c r="O17">
        <v>971</v>
      </c>
      <c r="P17">
        <v>471</v>
      </c>
    </row>
    <row r="18" spans="1:16" x14ac:dyDescent="0.25">
      <c r="A18" t="s">
        <v>298</v>
      </c>
      <c r="B18">
        <v>18</v>
      </c>
      <c r="C18">
        <v>0</v>
      </c>
      <c r="D18">
        <v>109</v>
      </c>
      <c r="E18">
        <v>109</v>
      </c>
      <c r="F18">
        <v>0</v>
      </c>
      <c r="G18">
        <v>4174</v>
      </c>
      <c r="H18">
        <v>2133</v>
      </c>
      <c r="I18">
        <v>143</v>
      </c>
      <c r="J18">
        <v>32</v>
      </c>
      <c r="K18">
        <v>240</v>
      </c>
      <c r="L18">
        <v>102</v>
      </c>
      <c r="M18">
        <v>41</v>
      </c>
      <c r="N18">
        <v>12</v>
      </c>
      <c r="O18">
        <v>281</v>
      </c>
      <c r="P18">
        <v>114</v>
      </c>
    </row>
    <row r="19" spans="1:16" x14ac:dyDescent="0.25">
      <c r="A19" t="s">
        <v>299</v>
      </c>
      <c r="B19">
        <v>47</v>
      </c>
      <c r="C19">
        <v>0</v>
      </c>
      <c r="D19">
        <v>198</v>
      </c>
      <c r="E19">
        <v>198</v>
      </c>
      <c r="F19">
        <v>0</v>
      </c>
      <c r="G19">
        <v>7827</v>
      </c>
      <c r="H19">
        <v>4371</v>
      </c>
      <c r="I19">
        <v>110</v>
      </c>
      <c r="J19">
        <v>46</v>
      </c>
      <c r="K19">
        <v>408</v>
      </c>
      <c r="L19">
        <v>161</v>
      </c>
      <c r="M19">
        <v>39</v>
      </c>
      <c r="N19">
        <v>14</v>
      </c>
      <c r="O19">
        <v>447</v>
      </c>
      <c r="P19">
        <v>175</v>
      </c>
    </row>
    <row r="20" spans="1:16" x14ac:dyDescent="0.25">
      <c r="A20" t="s">
        <v>300</v>
      </c>
      <c r="B20">
        <v>92</v>
      </c>
      <c r="C20">
        <v>0</v>
      </c>
      <c r="D20">
        <v>576</v>
      </c>
      <c r="E20">
        <v>548</v>
      </c>
      <c r="F20">
        <v>7</v>
      </c>
      <c r="G20">
        <v>27093</v>
      </c>
      <c r="H20">
        <v>14305</v>
      </c>
      <c r="I20">
        <v>146</v>
      </c>
      <c r="J20">
        <v>41</v>
      </c>
      <c r="K20">
        <v>842</v>
      </c>
      <c r="L20">
        <v>342</v>
      </c>
      <c r="M20">
        <v>277</v>
      </c>
      <c r="N20">
        <v>44</v>
      </c>
      <c r="O20">
        <v>1119</v>
      </c>
      <c r="P20">
        <v>386</v>
      </c>
    </row>
    <row r="21" spans="1:16" x14ac:dyDescent="0.25">
      <c r="A21" t="s">
        <v>301</v>
      </c>
      <c r="B21">
        <v>44</v>
      </c>
      <c r="C21">
        <v>0</v>
      </c>
      <c r="D21">
        <v>306</v>
      </c>
      <c r="E21">
        <v>291</v>
      </c>
      <c r="F21">
        <v>0</v>
      </c>
      <c r="G21">
        <v>13317</v>
      </c>
      <c r="H21">
        <v>7018</v>
      </c>
      <c r="I21">
        <v>156</v>
      </c>
      <c r="J21">
        <v>49</v>
      </c>
      <c r="K21">
        <v>694</v>
      </c>
      <c r="L21">
        <v>281</v>
      </c>
      <c r="M21">
        <v>100</v>
      </c>
      <c r="N21">
        <v>21</v>
      </c>
      <c r="O21">
        <v>794</v>
      </c>
      <c r="P21">
        <v>302</v>
      </c>
    </row>
    <row r="22" spans="1:16" x14ac:dyDescent="0.25">
      <c r="A22" t="s">
        <v>302</v>
      </c>
      <c r="B22">
        <v>16</v>
      </c>
      <c r="C22">
        <v>0</v>
      </c>
      <c r="D22">
        <v>78</v>
      </c>
      <c r="E22">
        <v>67</v>
      </c>
      <c r="F22">
        <v>0</v>
      </c>
      <c r="G22">
        <v>3896</v>
      </c>
      <c r="H22">
        <v>1958</v>
      </c>
      <c r="I22">
        <v>39</v>
      </c>
      <c r="J22">
        <v>7</v>
      </c>
      <c r="K22">
        <v>141</v>
      </c>
      <c r="L22">
        <v>64</v>
      </c>
      <c r="M22">
        <v>14</v>
      </c>
      <c r="N22">
        <v>4</v>
      </c>
      <c r="O22">
        <v>155</v>
      </c>
      <c r="P22">
        <v>68</v>
      </c>
    </row>
    <row r="23" spans="1:16" x14ac:dyDescent="0.25">
      <c r="A23" t="s">
        <v>303</v>
      </c>
      <c r="B23">
        <v>82</v>
      </c>
      <c r="C23">
        <v>0</v>
      </c>
      <c r="D23">
        <v>515</v>
      </c>
      <c r="E23">
        <v>457</v>
      </c>
      <c r="F23">
        <v>22</v>
      </c>
      <c r="G23">
        <v>24720</v>
      </c>
      <c r="H23">
        <v>13384</v>
      </c>
      <c r="I23">
        <v>878</v>
      </c>
      <c r="J23">
        <v>251</v>
      </c>
      <c r="K23">
        <v>722</v>
      </c>
      <c r="L23">
        <v>406</v>
      </c>
      <c r="M23">
        <v>173</v>
      </c>
      <c r="N23">
        <v>62</v>
      </c>
      <c r="O23">
        <v>895</v>
      </c>
      <c r="P23">
        <v>468</v>
      </c>
    </row>
    <row r="24" spans="1:16" x14ac:dyDescent="0.25">
      <c r="A24" t="s">
        <v>304</v>
      </c>
      <c r="B24">
        <v>29</v>
      </c>
      <c r="C24">
        <v>0</v>
      </c>
      <c r="D24">
        <v>100</v>
      </c>
      <c r="E24">
        <v>100</v>
      </c>
      <c r="F24">
        <v>0</v>
      </c>
      <c r="G24">
        <v>3555</v>
      </c>
      <c r="H24">
        <v>1891</v>
      </c>
      <c r="I24">
        <v>95</v>
      </c>
      <c r="J24">
        <v>40</v>
      </c>
      <c r="K24">
        <v>239</v>
      </c>
      <c r="L24">
        <v>106</v>
      </c>
      <c r="M24">
        <v>26</v>
      </c>
      <c r="N24">
        <v>5</v>
      </c>
      <c r="O24">
        <v>265</v>
      </c>
      <c r="P24">
        <v>111</v>
      </c>
    </row>
    <row r="25" spans="1:16" x14ac:dyDescent="0.25">
      <c r="A25" t="s">
        <v>305</v>
      </c>
      <c r="B25">
        <v>54</v>
      </c>
      <c r="C25">
        <v>0</v>
      </c>
      <c r="D25">
        <v>288</v>
      </c>
      <c r="E25">
        <v>271</v>
      </c>
      <c r="F25">
        <v>4</v>
      </c>
      <c r="G25">
        <v>12685</v>
      </c>
      <c r="H25">
        <v>6520</v>
      </c>
      <c r="I25">
        <v>140</v>
      </c>
      <c r="J25">
        <v>28</v>
      </c>
      <c r="K25">
        <v>587</v>
      </c>
      <c r="L25">
        <v>156</v>
      </c>
      <c r="M25">
        <v>152</v>
      </c>
      <c r="N25">
        <v>16</v>
      </c>
      <c r="O25">
        <v>739</v>
      </c>
      <c r="P25">
        <v>172</v>
      </c>
    </row>
    <row r="26" spans="1:16" x14ac:dyDescent="0.25">
      <c r="A26" t="s">
        <v>306</v>
      </c>
      <c r="B26">
        <v>67</v>
      </c>
      <c r="C26">
        <v>1</v>
      </c>
      <c r="D26">
        <v>423</v>
      </c>
      <c r="E26">
        <v>408</v>
      </c>
      <c r="F26">
        <v>11</v>
      </c>
      <c r="G26">
        <v>17056</v>
      </c>
      <c r="H26">
        <v>8667</v>
      </c>
      <c r="I26">
        <v>454</v>
      </c>
      <c r="J26">
        <v>109</v>
      </c>
      <c r="K26">
        <v>749</v>
      </c>
      <c r="L26">
        <v>263</v>
      </c>
      <c r="M26">
        <v>221</v>
      </c>
      <c r="N26">
        <v>38</v>
      </c>
      <c r="O26">
        <v>970</v>
      </c>
      <c r="P26">
        <v>301</v>
      </c>
    </row>
    <row r="27" spans="1:16" x14ac:dyDescent="0.25">
      <c r="A27" t="s">
        <v>307</v>
      </c>
      <c r="B27">
        <v>52</v>
      </c>
      <c r="C27">
        <v>0</v>
      </c>
      <c r="D27">
        <v>284</v>
      </c>
      <c r="E27">
        <v>278</v>
      </c>
      <c r="F27">
        <v>0</v>
      </c>
      <c r="G27">
        <v>13556</v>
      </c>
      <c r="H27">
        <v>7288</v>
      </c>
      <c r="I27">
        <v>329</v>
      </c>
      <c r="J27">
        <v>93</v>
      </c>
      <c r="K27">
        <v>413</v>
      </c>
      <c r="L27">
        <v>198</v>
      </c>
      <c r="M27">
        <v>80</v>
      </c>
      <c r="N27">
        <v>14</v>
      </c>
      <c r="O27">
        <v>493</v>
      </c>
      <c r="P27">
        <v>212</v>
      </c>
    </row>
    <row r="28" spans="1:16" x14ac:dyDescent="0.25">
      <c r="A28" t="s">
        <v>266</v>
      </c>
      <c r="B28">
        <v>1247</v>
      </c>
      <c r="C28">
        <v>5</v>
      </c>
      <c r="D28">
        <v>7449</v>
      </c>
      <c r="E28">
        <v>6838</v>
      </c>
      <c r="F28">
        <v>89</v>
      </c>
      <c r="G28">
        <v>324986</v>
      </c>
      <c r="H28">
        <v>171776</v>
      </c>
      <c r="I28">
        <v>6771</v>
      </c>
      <c r="J28">
        <v>1913</v>
      </c>
      <c r="K28">
        <v>14404</v>
      </c>
      <c r="L28">
        <v>6497</v>
      </c>
      <c r="M28">
        <v>2856</v>
      </c>
      <c r="N28">
        <v>656</v>
      </c>
      <c r="O28">
        <v>17260</v>
      </c>
      <c r="P28">
        <v>7153</v>
      </c>
    </row>
    <row r="29" spans="1:16" x14ac:dyDescent="0.25">
      <c r="A29" t="s">
        <v>308</v>
      </c>
      <c r="B29">
        <v>120</v>
      </c>
      <c r="C29">
        <v>1</v>
      </c>
      <c r="D29">
        <v>958</v>
      </c>
      <c r="E29">
        <v>867</v>
      </c>
      <c r="F29">
        <v>30</v>
      </c>
      <c r="G29">
        <v>39703</v>
      </c>
      <c r="H29">
        <v>20299</v>
      </c>
      <c r="I29">
        <v>1151</v>
      </c>
      <c r="J29">
        <v>359</v>
      </c>
      <c r="K29">
        <v>2610</v>
      </c>
      <c r="L29">
        <v>1369</v>
      </c>
      <c r="M29">
        <v>435</v>
      </c>
      <c r="N29">
        <v>146</v>
      </c>
      <c r="O29">
        <v>3045</v>
      </c>
      <c r="P29">
        <v>1515</v>
      </c>
    </row>
    <row r="30" spans="1:16" x14ac:dyDescent="0.25">
      <c r="A30" t="s">
        <v>309</v>
      </c>
      <c r="B30">
        <v>1127</v>
      </c>
      <c r="C30">
        <v>4</v>
      </c>
      <c r="D30">
        <v>6491</v>
      </c>
      <c r="E30">
        <v>5971</v>
      </c>
      <c r="F30">
        <v>59</v>
      </c>
      <c r="G30">
        <v>285283</v>
      </c>
      <c r="H30">
        <v>151477</v>
      </c>
      <c r="I30">
        <v>5620</v>
      </c>
      <c r="J30">
        <v>1554</v>
      </c>
      <c r="K30">
        <v>11794</v>
      </c>
      <c r="L30">
        <v>5128</v>
      </c>
      <c r="M30">
        <v>2421</v>
      </c>
      <c r="N30">
        <v>510</v>
      </c>
      <c r="O30">
        <v>14215</v>
      </c>
      <c r="P30">
        <v>5638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ED7D31"/>
  </sheetPr>
  <dimension ref="A1:P18"/>
  <sheetViews>
    <sheetView workbookViewId="0"/>
  </sheetViews>
  <sheetFormatPr defaultRowHeight="15" x14ac:dyDescent="0.25"/>
  <cols>
    <col min="1" max="1" width="25.28515625" customWidth="1"/>
    <col min="2" max="2" width="12.7109375" customWidth="1"/>
    <col min="3" max="3" width="11.28515625" customWidth="1"/>
    <col min="7" max="7" width="11.42578125" customWidth="1"/>
    <col min="9" max="9" width="9.42578125" customWidth="1"/>
    <col min="10" max="10" width="9.28515625" customWidth="1"/>
    <col min="11" max="11" width="9.42578125" customWidth="1"/>
    <col min="12" max="12" width="9.28515625" customWidth="1"/>
    <col min="13" max="13" width="9.42578125" customWidth="1"/>
    <col min="14" max="14" width="9.28515625" customWidth="1"/>
    <col min="15" max="15" width="9.42578125" customWidth="1"/>
    <col min="16" max="16" width="9.28515625" customWidth="1"/>
  </cols>
  <sheetData>
    <row r="1" spans="1:16" x14ac:dyDescent="0.25">
      <c r="A1" s="29" t="s">
        <v>709</v>
      </c>
      <c r="B1" t="s">
        <v>316</v>
      </c>
      <c r="C1" t="s">
        <v>255</v>
      </c>
      <c r="D1" t="s">
        <v>254</v>
      </c>
      <c r="E1" t="s">
        <v>254</v>
      </c>
      <c r="F1" t="s">
        <v>256</v>
      </c>
      <c r="G1" s="29" t="s">
        <v>72</v>
      </c>
      <c r="H1" s="29"/>
      <c r="I1" s="29" t="s">
        <v>257</v>
      </c>
      <c r="J1" s="29"/>
      <c r="K1" s="29" t="s">
        <v>258</v>
      </c>
      <c r="L1" s="29"/>
      <c r="M1" s="29" t="s">
        <v>259</v>
      </c>
      <c r="N1" s="29"/>
      <c r="O1" s="29" t="s">
        <v>311</v>
      </c>
      <c r="P1" s="29"/>
    </row>
    <row r="2" spans="1:16" x14ac:dyDescent="0.25">
      <c r="A2" s="29"/>
      <c r="B2" t="s">
        <v>317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284</v>
      </c>
      <c r="B3">
        <v>2</v>
      </c>
      <c r="C3">
        <v>0</v>
      </c>
      <c r="D3">
        <v>49</v>
      </c>
      <c r="E3">
        <v>49</v>
      </c>
      <c r="F3">
        <v>0</v>
      </c>
      <c r="G3">
        <v>2843</v>
      </c>
      <c r="H3">
        <v>1543</v>
      </c>
      <c r="I3">
        <v>43</v>
      </c>
      <c r="J3">
        <v>24</v>
      </c>
      <c r="K3">
        <v>80</v>
      </c>
      <c r="L3">
        <v>28</v>
      </c>
      <c r="M3">
        <v>14</v>
      </c>
      <c r="N3">
        <v>4</v>
      </c>
      <c r="O3">
        <v>94</v>
      </c>
      <c r="P3">
        <v>32</v>
      </c>
    </row>
    <row r="4" spans="1:16" x14ac:dyDescent="0.25">
      <c r="A4" t="s">
        <v>287</v>
      </c>
      <c r="B4">
        <v>2</v>
      </c>
      <c r="C4">
        <v>0</v>
      </c>
      <c r="D4">
        <v>48</v>
      </c>
      <c r="E4">
        <v>39</v>
      </c>
      <c r="F4">
        <v>0</v>
      </c>
      <c r="G4">
        <v>2842</v>
      </c>
      <c r="H4">
        <v>1477</v>
      </c>
      <c r="I4">
        <v>7</v>
      </c>
      <c r="J4">
        <v>5</v>
      </c>
      <c r="K4">
        <v>102</v>
      </c>
      <c r="L4">
        <v>34</v>
      </c>
      <c r="M4">
        <v>14</v>
      </c>
      <c r="N4">
        <v>3</v>
      </c>
      <c r="O4">
        <v>116</v>
      </c>
      <c r="P4">
        <v>37</v>
      </c>
    </row>
    <row r="5" spans="1:16" x14ac:dyDescent="0.25">
      <c r="A5" t="s">
        <v>288</v>
      </c>
      <c r="B5">
        <v>1</v>
      </c>
      <c r="C5">
        <v>0</v>
      </c>
      <c r="D5">
        <v>10</v>
      </c>
      <c r="E5">
        <v>10</v>
      </c>
      <c r="F5">
        <v>0</v>
      </c>
      <c r="G5">
        <v>420</v>
      </c>
      <c r="H5">
        <v>272</v>
      </c>
      <c r="I5">
        <v>1</v>
      </c>
      <c r="J5">
        <v>0</v>
      </c>
      <c r="K5">
        <v>28</v>
      </c>
      <c r="L5">
        <v>8</v>
      </c>
      <c r="M5">
        <v>6</v>
      </c>
      <c r="N5">
        <v>1</v>
      </c>
      <c r="O5">
        <v>34</v>
      </c>
      <c r="P5">
        <v>9</v>
      </c>
    </row>
    <row r="6" spans="1:16" x14ac:dyDescent="0.25">
      <c r="A6" t="s">
        <v>289</v>
      </c>
      <c r="B6">
        <v>2</v>
      </c>
      <c r="C6">
        <v>0</v>
      </c>
      <c r="D6">
        <v>21</v>
      </c>
      <c r="E6">
        <v>21</v>
      </c>
      <c r="F6">
        <v>0</v>
      </c>
      <c r="G6">
        <v>913</v>
      </c>
      <c r="H6">
        <v>470</v>
      </c>
      <c r="I6">
        <v>12</v>
      </c>
      <c r="J6">
        <v>5</v>
      </c>
      <c r="K6">
        <v>56</v>
      </c>
      <c r="L6">
        <v>17</v>
      </c>
      <c r="M6">
        <v>6</v>
      </c>
      <c r="N6">
        <v>1</v>
      </c>
      <c r="O6">
        <v>62</v>
      </c>
      <c r="P6">
        <v>18</v>
      </c>
    </row>
    <row r="7" spans="1:16" x14ac:dyDescent="0.25">
      <c r="A7" t="s">
        <v>290</v>
      </c>
      <c r="B7">
        <v>2</v>
      </c>
      <c r="C7">
        <v>0</v>
      </c>
      <c r="D7">
        <v>67</v>
      </c>
      <c r="E7">
        <v>67</v>
      </c>
      <c r="F7">
        <v>0</v>
      </c>
      <c r="G7">
        <v>2926</v>
      </c>
      <c r="H7">
        <v>1622</v>
      </c>
      <c r="I7">
        <v>13</v>
      </c>
      <c r="J7">
        <v>4</v>
      </c>
      <c r="K7">
        <v>169</v>
      </c>
      <c r="L7">
        <v>49</v>
      </c>
      <c r="M7">
        <v>14</v>
      </c>
      <c r="N7">
        <v>1</v>
      </c>
      <c r="O7">
        <v>183</v>
      </c>
      <c r="P7">
        <v>50</v>
      </c>
    </row>
    <row r="8" spans="1:16" x14ac:dyDescent="0.25">
      <c r="A8" t="s">
        <v>293</v>
      </c>
      <c r="B8">
        <v>2</v>
      </c>
      <c r="C8">
        <v>0</v>
      </c>
      <c r="D8">
        <v>20</v>
      </c>
      <c r="E8">
        <v>20</v>
      </c>
      <c r="F8">
        <v>0</v>
      </c>
      <c r="G8">
        <v>869</v>
      </c>
      <c r="H8">
        <v>468</v>
      </c>
      <c r="I8">
        <v>13</v>
      </c>
      <c r="J8">
        <v>2</v>
      </c>
      <c r="K8">
        <v>48</v>
      </c>
      <c r="L8">
        <v>20</v>
      </c>
      <c r="M8">
        <v>3</v>
      </c>
      <c r="N8">
        <v>1</v>
      </c>
      <c r="O8">
        <v>51</v>
      </c>
      <c r="P8">
        <v>21</v>
      </c>
    </row>
    <row r="9" spans="1:16" x14ac:dyDescent="0.25">
      <c r="A9" t="s">
        <v>295</v>
      </c>
      <c r="B9">
        <v>2</v>
      </c>
      <c r="C9">
        <v>0</v>
      </c>
      <c r="D9">
        <v>44</v>
      </c>
      <c r="E9">
        <v>44</v>
      </c>
      <c r="F9">
        <v>0</v>
      </c>
      <c r="G9">
        <v>1937</v>
      </c>
      <c r="H9">
        <v>1068</v>
      </c>
      <c r="I9">
        <v>18</v>
      </c>
      <c r="J9">
        <v>7</v>
      </c>
      <c r="K9">
        <v>54</v>
      </c>
      <c r="L9">
        <v>18</v>
      </c>
      <c r="M9">
        <v>12</v>
      </c>
      <c r="N9">
        <v>3</v>
      </c>
      <c r="O9">
        <v>66</v>
      </c>
      <c r="P9">
        <v>21</v>
      </c>
    </row>
    <row r="10" spans="1:16" x14ac:dyDescent="0.25">
      <c r="A10" t="s">
        <v>298</v>
      </c>
      <c r="B10">
        <v>1</v>
      </c>
      <c r="C10">
        <v>0</v>
      </c>
      <c r="D10">
        <v>27</v>
      </c>
      <c r="E10">
        <v>27</v>
      </c>
      <c r="F10">
        <v>0</v>
      </c>
      <c r="G10">
        <v>926</v>
      </c>
      <c r="H10">
        <v>458</v>
      </c>
      <c r="I10">
        <v>0</v>
      </c>
      <c r="J10">
        <v>0</v>
      </c>
      <c r="K10">
        <v>77</v>
      </c>
      <c r="L10">
        <v>18</v>
      </c>
      <c r="M10">
        <v>11</v>
      </c>
      <c r="N10">
        <v>6</v>
      </c>
      <c r="O10">
        <v>88</v>
      </c>
      <c r="P10">
        <v>24</v>
      </c>
    </row>
    <row r="11" spans="1:16" x14ac:dyDescent="0.25">
      <c r="A11" t="s">
        <v>299</v>
      </c>
      <c r="B11">
        <v>8</v>
      </c>
      <c r="C11">
        <v>0</v>
      </c>
      <c r="D11">
        <v>51</v>
      </c>
      <c r="E11">
        <v>51</v>
      </c>
      <c r="F11">
        <v>0</v>
      </c>
      <c r="G11">
        <v>1947</v>
      </c>
      <c r="H11">
        <v>1056</v>
      </c>
      <c r="I11">
        <v>5</v>
      </c>
      <c r="J11">
        <v>0</v>
      </c>
      <c r="K11">
        <v>89</v>
      </c>
      <c r="L11">
        <v>30</v>
      </c>
      <c r="M11">
        <v>10</v>
      </c>
      <c r="N11">
        <v>1</v>
      </c>
      <c r="O11">
        <v>99</v>
      </c>
      <c r="P11">
        <v>31</v>
      </c>
    </row>
    <row r="12" spans="1:16" x14ac:dyDescent="0.25">
      <c r="A12" t="s">
        <v>301</v>
      </c>
      <c r="B12">
        <v>4</v>
      </c>
      <c r="C12">
        <v>0</v>
      </c>
      <c r="D12">
        <v>91</v>
      </c>
      <c r="E12">
        <v>91</v>
      </c>
      <c r="F12">
        <v>0</v>
      </c>
      <c r="G12">
        <v>4244</v>
      </c>
      <c r="H12">
        <v>2276</v>
      </c>
      <c r="I12">
        <v>69</v>
      </c>
      <c r="J12">
        <v>26</v>
      </c>
      <c r="K12">
        <v>203</v>
      </c>
      <c r="L12">
        <v>70</v>
      </c>
      <c r="M12">
        <v>31</v>
      </c>
      <c r="N12">
        <v>5</v>
      </c>
      <c r="O12">
        <v>234</v>
      </c>
      <c r="P12">
        <v>75</v>
      </c>
    </row>
    <row r="13" spans="1:16" x14ac:dyDescent="0.25">
      <c r="A13" t="s">
        <v>302</v>
      </c>
      <c r="B13">
        <v>2</v>
      </c>
      <c r="C13">
        <v>0</v>
      </c>
      <c r="D13">
        <v>14</v>
      </c>
      <c r="E13">
        <v>14</v>
      </c>
      <c r="F13">
        <v>0</v>
      </c>
      <c r="G13">
        <v>611</v>
      </c>
      <c r="H13">
        <v>296</v>
      </c>
      <c r="I13">
        <v>5</v>
      </c>
      <c r="J13">
        <v>1</v>
      </c>
      <c r="K13">
        <v>24</v>
      </c>
      <c r="L13">
        <v>5</v>
      </c>
      <c r="M13">
        <v>0</v>
      </c>
      <c r="N13">
        <v>0</v>
      </c>
      <c r="O13">
        <v>24</v>
      </c>
      <c r="P13">
        <v>5</v>
      </c>
    </row>
    <row r="14" spans="1:16" x14ac:dyDescent="0.25">
      <c r="A14" t="s">
        <v>303</v>
      </c>
      <c r="B14">
        <v>2</v>
      </c>
      <c r="C14">
        <v>0</v>
      </c>
      <c r="D14">
        <v>10</v>
      </c>
      <c r="E14">
        <v>10</v>
      </c>
      <c r="F14">
        <v>0</v>
      </c>
      <c r="G14">
        <v>388</v>
      </c>
      <c r="H14">
        <v>237</v>
      </c>
      <c r="I14">
        <v>21</v>
      </c>
      <c r="J14">
        <v>6</v>
      </c>
      <c r="K14">
        <v>20</v>
      </c>
      <c r="L14">
        <v>9</v>
      </c>
      <c r="M14">
        <v>4</v>
      </c>
      <c r="N14">
        <v>2</v>
      </c>
      <c r="O14">
        <v>24</v>
      </c>
      <c r="P14">
        <v>11</v>
      </c>
    </row>
    <row r="15" spans="1:16" x14ac:dyDescent="0.25">
      <c r="A15" t="s">
        <v>304</v>
      </c>
      <c r="B15">
        <v>4</v>
      </c>
      <c r="C15">
        <v>0</v>
      </c>
      <c r="D15">
        <v>21</v>
      </c>
      <c r="E15">
        <v>18</v>
      </c>
      <c r="F15">
        <v>6</v>
      </c>
      <c r="G15">
        <v>772</v>
      </c>
      <c r="H15">
        <v>394</v>
      </c>
      <c r="I15">
        <v>26</v>
      </c>
      <c r="J15">
        <v>2</v>
      </c>
      <c r="K15">
        <v>36</v>
      </c>
      <c r="L15">
        <v>10</v>
      </c>
      <c r="M15">
        <v>4</v>
      </c>
      <c r="N15">
        <v>0</v>
      </c>
      <c r="O15">
        <v>40</v>
      </c>
      <c r="P15">
        <v>10</v>
      </c>
    </row>
    <row r="16" spans="1:16" x14ac:dyDescent="0.25">
      <c r="A16" t="s">
        <v>318</v>
      </c>
      <c r="B16">
        <v>34</v>
      </c>
      <c r="C16">
        <v>0</v>
      </c>
      <c r="D16">
        <v>473</v>
      </c>
      <c r="E16">
        <v>461</v>
      </c>
      <c r="F16">
        <v>6</v>
      </c>
      <c r="G16">
        <v>21638</v>
      </c>
      <c r="H16">
        <v>11637</v>
      </c>
      <c r="I16">
        <v>233</v>
      </c>
      <c r="J16">
        <v>82</v>
      </c>
      <c r="K16">
        <v>986</v>
      </c>
      <c r="L16">
        <v>316</v>
      </c>
      <c r="M16">
        <v>129</v>
      </c>
      <c r="N16">
        <v>28</v>
      </c>
      <c r="O16">
        <v>1115</v>
      </c>
      <c r="P16">
        <v>344</v>
      </c>
    </row>
    <row r="17" spans="1:16" x14ac:dyDescent="0.25">
      <c r="A17" t="s">
        <v>308</v>
      </c>
      <c r="B17">
        <v>6</v>
      </c>
      <c r="C17">
        <v>0</v>
      </c>
      <c r="D17">
        <v>139</v>
      </c>
      <c r="E17">
        <v>130</v>
      </c>
      <c r="F17">
        <v>0</v>
      </c>
      <c r="G17">
        <v>6318</v>
      </c>
      <c r="H17">
        <v>3382</v>
      </c>
      <c r="I17">
        <v>78</v>
      </c>
      <c r="J17">
        <v>28</v>
      </c>
      <c r="K17">
        <v>293</v>
      </c>
      <c r="L17">
        <v>90</v>
      </c>
      <c r="M17">
        <v>38</v>
      </c>
      <c r="N17">
        <v>14</v>
      </c>
      <c r="O17">
        <v>331</v>
      </c>
      <c r="P17">
        <v>104</v>
      </c>
    </row>
    <row r="18" spans="1:16" x14ac:dyDescent="0.25">
      <c r="A18" t="s">
        <v>309</v>
      </c>
      <c r="B18">
        <v>28</v>
      </c>
      <c r="C18">
        <v>0</v>
      </c>
      <c r="D18">
        <v>334</v>
      </c>
      <c r="E18">
        <v>331</v>
      </c>
      <c r="F18">
        <v>6</v>
      </c>
      <c r="G18">
        <v>15320</v>
      </c>
      <c r="H18">
        <v>8255</v>
      </c>
      <c r="I18">
        <v>155</v>
      </c>
      <c r="J18">
        <v>54</v>
      </c>
      <c r="K18">
        <v>693</v>
      </c>
      <c r="L18">
        <v>226</v>
      </c>
      <c r="M18">
        <v>91</v>
      </c>
      <c r="N18">
        <v>14</v>
      </c>
      <c r="O18">
        <v>784</v>
      </c>
      <c r="P18">
        <v>240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ED7D31"/>
  </sheetPr>
  <dimension ref="A1:P30"/>
  <sheetViews>
    <sheetView workbookViewId="0"/>
  </sheetViews>
  <sheetFormatPr defaultRowHeight="15" x14ac:dyDescent="0.25"/>
  <cols>
    <col min="1" max="1" width="22.140625" customWidth="1"/>
    <col min="2" max="2" width="11.140625" customWidth="1"/>
    <col min="4" max="4" width="10.85546875" customWidth="1"/>
    <col min="5" max="5" width="11.140625" customWidth="1"/>
    <col min="8" max="8" width="10.7109375" customWidth="1"/>
    <col min="9" max="9" width="10.85546875" customWidth="1"/>
    <col min="10" max="10" width="10" customWidth="1"/>
    <col min="11" max="11" width="9.85546875" customWidth="1"/>
    <col min="12" max="12" width="10" customWidth="1"/>
    <col min="14" max="14" width="9.28515625" customWidth="1"/>
    <col min="15" max="15" width="9.42578125" customWidth="1"/>
    <col min="16" max="16" width="12.7109375" customWidth="1"/>
  </cols>
  <sheetData>
    <row r="1" spans="1:16" x14ac:dyDescent="0.25">
      <c r="A1" s="29" t="s">
        <v>709</v>
      </c>
      <c r="B1" t="s">
        <v>254</v>
      </c>
      <c r="C1" t="s">
        <v>320</v>
      </c>
      <c r="D1" t="s">
        <v>255</v>
      </c>
      <c r="E1" t="s">
        <v>254</v>
      </c>
      <c r="F1" t="s">
        <v>254</v>
      </c>
      <c r="G1" t="s">
        <v>256</v>
      </c>
      <c r="H1" s="29" t="s">
        <v>72</v>
      </c>
      <c r="I1" s="29"/>
      <c r="J1" s="29" t="s">
        <v>258</v>
      </c>
      <c r="K1" s="29"/>
      <c r="L1" s="29" t="s">
        <v>259</v>
      </c>
      <c r="M1" s="29"/>
      <c r="N1" s="29" t="s">
        <v>311</v>
      </c>
      <c r="O1" s="29"/>
      <c r="P1" s="29" t="s">
        <v>321</v>
      </c>
    </row>
    <row r="2" spans="1:16" x14ac:dyDescent="0.25">
      <c r="A2" s="29"/>
      <c r="B2" t="s">
        <v>261</v>
      </c>
      <c r="C2" t="s">
        <v>322</v>
      </c>
      <c r="D2" t="s">
        <v>261</v>
      </c>
      <c r="E2" t="s">
        <v>256</v>
      </c>
      <c r="F2" t="s">
        <v>313</v>
      </c>
      <c r="G2" t="s">
        <v>262</v>
      </c>
      <c r="H2" t="s">
        <v>263</v>
      </c>
      <c r="I2" t="s">
        <v>264</v>
      </c>
      <c r="J2" t="s">
        <v>263</v>
      </c>
      <c r="K2" t="s">
        <v>264</v>
      </c>
      <c r="L2" t="s">
        <v>263</v>
      </c>
      <c r="M2" t="s">
        <v>265</v>
      </c>
      <c r="N2" t="s">
        <v>263</v>
      </c>
      <c r="O2" t="s">
        <v>265</v>
      </c>
      <c r="P2" s="29"/>
    </row>
    <row r="3" spans="1:16" x14ac:dyDescent="0.25">
      <c r="A3" t="s">
        <v>283</v>
      </c>
      <c r="B3">
        <v>326</v>
      </c>
      <c r="C3">
        <v>20</v>
      </c>
      <c r="D3">
        <v>0</v>
      </c>
      <c r="E3">
        <v>546</v>
      </c>
      <c r="F3">
        <v>540</v>
      </c>
      <c r="G3">
        <v>0</v>
      </c>
      <c r="H3">
        <v>17609</v>
      </c>
      <c r="I3">
        <v>8732</v>
      </c>
      <c r="J3">
        <v>86</v>
      </c>
      <c r="K3">
        <v>86</v>
      </c>
      <c r="L3">
        <v>21</v>
      </c>
      <c r="M3">
        <v>21</v>
      </c>
      <c r="N3">
        <v>107</v>
      </c>
      <c r="O3">
        <v>107</v>
      </c>
      <c r="P3">
        <v>1</v>
      </c>
    </row>
    <row r="4" spans="1:16" x14ac:dyDescent="0.25">
      <c r="A4" t="s">
        <v>284</v>
      </c>
      <c r="B4">
        <v>373</v>
      </c>
      <c r="C4">
        <v>25</v>
      </c>
      <c r="D4">
        <v>8</v>
      </c>
      <c r="E4">
        <v>788</v>
      </c>
      <c r="F4">
        <v>586</v>
      </c>
      <c r="G4">
        <v>12</v>
      </c>
      <c r="H4">
        <v>19134</v>
      </c>
      <c r="I4">
        <v>9688</v>
      </c>
      <c r="J4">
        <v>624</v>
      </c>
      <c r="K4">
        <v>580</v>
      </c>
      <c r="L4">
        <v>19</v>
      </c>
      <c r="M4">
        <v>19</v>
      </c>
      <c r="N4">
        <v>643</v>
      </c>
      <c r="O4">
        <v>599</v>
      </c>
      <c r="P4">
        <v>32</v>
      </c>
    </row>
    <row r="5" spans="1:16" x14ac:dyDescent="0.25">
      <c r="A5" t="s">
        <v>285</v>
      </c>
      <c r="B5">
        <v>283</v>
      </c>
      <c r="C5">
        <v>6</v>
      </c>
      <c r="D5">
        <v>3</v>
      </c>
      <c r="E5">
        <v>554</v>
      </c>
      <c r="F5">
        <v>433</v>
      </c>
      <c r="G5">
        <v>14</v>
      </c>
      <c r="H5">
        <v>16413</v>
      </c>
      <c r="I5">
        <v>8006</v>
      </c>
      <c r="J5">
        <v>334</v>
      </c>
      <c r="K5">
        <v>317</v>
      </c>
      <c r="L5">
        <v>21</v>
      </c>
      <c r="M5">
        <v>18</v>
      </c>
      <c r="N5">
        <v>355</v>
      </c>
      <c r="O5">
        <v>335</v>
      </c>
      <c r="P5">
        <v>19</v>
      </c>
    </row>
    <row r="6" spans="1:16" x14ac:dyDescent="0.25">
      <c r="A6" t="s">
        <v>286</v>
      </c>
      <c r="B6">
        <v>113</v>
      </c>
      <c r="C6">
        <v>18</v>
      </c>
      <c r="D6">
        <v>3</v>
      </c>
      <c r="E6">
        <v>219</v>
      </c>
      <c r="F6">
        <v>212</v>
      </c>
      <c r="G6">
        <v>2</v>
      </c>
      <c r="H6">
        <v>7174</v>
      </c>
      <c r="I6">
        <v>3548</v>
      </c>
      <c r="J6">
        <v>161</v>
      </c>
      <c r="K6">
        <v>160</v>
      </c>
      <c r="L6">
        <v>15</v>
      </c>
      <c r="M6">
        <v>15</v>
      </c>
      <c r="N6">
        <v>176</v>
      </c>
      <c r="O6">
        <v>175</v>
      </c>
      <c r="P6">
        <v>6</v>
      </c>
    </row>
    <row r="7" spans="1:16" x14ac:dyDescent="0.25">
      <c r="A7" t="s">
        <v>287</v>
      </c>
      <c r="B7">
        <v>209</v>
      </c>
      <c r="C7">
        <v>3</v>
      </c>
      <c r="D7">
        <v>9</v>
      </c>
      <c r="E7">
        <v>309</v>
      </c>
      <c r="F7">
        <v>294</v>
      </c>
      <c r="G7">
        <v>1</v>
      </c>
      <c r="H7">
        <v>10683</v>
      </c>
      <c r="I7">
        <v>5367</v>
      </c>
      <c r="J7">
        <v>246</v>
      </c>
      <c r="K7">
        <v>223</v>
      </c>
      <c r="L7">
        <v>16</v>
      </c>
      <c r="M7">
        <v>9</v>
      </c>
      <c r="N7">
        <v>262</v>
      </c>
      <c r="O7">
        <v>232</v>
      </c>
      <c r="P7">
        <v>9</v>
      </c>
    </row>
    <row r="8" spans="1:16" x14ac:dyDescent="0.25">
      <c r="A8" t="s">
        <v>288</v>
      </c>
      <c r="B8">
        <v>207</v>
      </c>
      <c r="C8">
        <v>0</v>
      </c>
      <c r="D8">
        <v>2</v>
      </c>
      <c r="E8">
        <v>303</v>
      </c>
      <c r="F8">
        <v>276</v>
      </c>
      <c r="G8">
        <v>1</v>
      </c>
      <c r="H8">
        <v>10554</v>
      </c>
      <c r="I8">
        <v>5315</v>
      </c>
      <c r="J8">
        <v>281</v>
      </c>
      <c r="K8">
        <v>274</v>
      </c>
      <c r="L8">
        <v>4</v>
      </c>
      <c r="M8">
        <v>4</v>
      </c>
      <c r="N8">
        <v>285</v>
      </c>
      <c r="O8">
        <v>278</v>
      </c>
      <c r="P8">
        <v>3</v>
      </c>
    </row>
    <row r="9" spans="1:16" x14ac:dyDescent="0.25">
      <c r="A9" t="s">
        <v>289</v>
      </c>
      <c r="B9">
        <v>200</v>
      </c>
      <c r="C9">
        <v>5</v>
      </c>
      <c r="D9">
        <v>2</v>
      </c>
      <c r="E9">
        <v>266</v>
      </c>
      <c r="F9">
        <v>264</v>
      </c>
      <c r="G9">
        <v>0</v>
      </c>
      <c r="H9">
        <v>7728</v>
      </c>
      <c r="I9">
        <v>3751</v>
      </c>
      <c r="J9">
        <v>256</v>
      </c>
      <c r="K9">
        <v>248</v>
      </c>
      <c r="L9">
        <v>1</v>
      </c>
      <c r="M9">
        <v>1</v>
      </c>
      <c r="N9">
        <v>257</v>
      </c>
      <c r="O9">
        <v>249</v>
      </c>
      <c r="P9">
        <v>6</v>
      </c>
    </row>
    <row r="10" spans="1:16" x14ac:dyDescent="0.25">
      <c r="A10" t="s">
        <v>290</v>
      </c>
      <c r="B10">
        <v>239</v>
      </c>
      <c r="C10">
        <v>28</v>
      </c>
      <c r="D10">
        <v>4</v>
      </c>
      <c r="E10">
        <v>515</v>
      </c>
      <c r="F10">
        <v>494</v>
      </c>
      <c r="G10">
        <v>10</v>
      </c>
      <c r="H10">
        <v>16757</v>
      </c>
      <c r="I10">
        <v>8283</v>
      </c>
      <c r="J10">
        <v>509</v>
      </c>
      <c r="K10">
        <v>480</v>
      </c>
      <c r="L10">
        <v>22</v>
      </c>
      <c r="M10">
        <v>21</v>
      </c>
      <c r="N10">
        <v>531</v>
      </c>
      <c r="O10">
        <v>501</v>
      </c>
      <c r="P10">
        <v>11</v>
      </c>
    </row>
    <row r="11" spans="1:16" x14ac:dyDescent="0.25">
      <c r="A11" t="s">
        <v>291</v>
      </c>
      <c r="B11">
        <v>22</v>
      </c>
      <c r="C11">
        <v>0</v>
      </c>
      <c r="D11">
        <v>0</v>
      </c>
      <c r="E11">
        <v>32</v>
      </c>
      <c r="F11">
        <v>32</v>
      </c>
      <c r="G11">
        <v>2</v>
      </c>
      <c r="H11">
        <v>887</v>
      </c>
      <c r="I11">
        <v>455</v>
      </c>
      <c r="J11">
        <v>31</v>
      </c>
      <c r="K11">
        <v>31</v>
      </c>
      <c r="L11">
        <v>0</v>
      </c>
      <c r="M11">
        <v>0</v>
      </c>
      <c r="N11">
        <v>31</v>
      </c>
      <c r="O11">
        <v>31</v>
      </c>
      <c r="P11">
        <v>0</v>
      </c>
    </row>
    <row r="12" spans="1:16" x14ac:dyDescent="0.25">
      <c r="A12" t="s">
        <v>292</v>
      </c>
      <c r="B12">
        <v>67</v>
      </c>
      <c r="C12">
        <v>0</v>
      </c>
      <c r="D12">
        <v>0</v>
      </c>
      <c r="E12">
        <v>87</v>
      </c>
      <c r="F12">
        <v>83</v>
      </c>
      <c r="G12">
        <v>0</v>
      </c>
      <c r="H12">
        <v>2382</v>
      </c>
      <c r="I12">
        <v>1208</v>
      </c>
      <c r="J12">
        <v>33</v>
      </c>
      <c r="K12">
        <v>33</v>
      </c>
      <c r="L12">
        <v>1</v>
      </c>
      <c r="M12">
        <v>1</v>
      </c>
      <c r="N12">
        <v>34</v>
      </c>
      <c r="O12">
        <v>34</v>
      </c>
      <c r="P12">
        <v>0</v>
      </c>
    </row>
    <row r="13" spans="1:16" x14ac:dyDescent="0.25">
      <c r="A13" t="s">
        <v>293</v>
      </c>
      <c r="B13">
        <v>100</v>
      </c>
      <c r="C13">
        <v>7</v>
      </c>
      <c r="D13">
        <v>3</v>
      </c>
      <c r="E13">
        <v>152</v>
      </c>
      <c r="F13">
        <v>145</v>
      </c>
      <c r="G13">
        <v>17</v>
      </c>
      <c r="H13">
        <v>4626</v>
      </c>
      <c r="I13">
        <v>2353</v>
      </c>
      <c r="J13">
        <v>140</v>
      </c>
      <c r="K13">
        <v>138</v>
      </c>
      <c r="L13">
        <v>11</v>
      </c>
      <c r="M13">
        <v>11</v>
      </c>
      <c r="N13">
        <v>151</v>
      </c>
      <c r="O13">
        <v>149</v>
      </c>
      <c r="P13">
        <v>2</v>
      </c>
    </row>
    <row r="14" spans="1:16" x14ac:dyDescent="0.25">
      <c r="A14" t="s">
        <v>294</v>
      </c>
      <c r="B14">
        <v>25</v>
      </c>
      <c r="C14">
        <v>5</v>
      </c>
      <c r="D14">
        <v>0</v>
      </c>
      <c r="E14">
        <v>35</v>
      </c>
      <c r="F14">
        <v>35</v>
      </c>
      <c r="G14">
        <v>0</v>
      </c>
      <c r="H14">
        <v>1161</v>
      </c>
      <c r="I14">
        <v>581</v>
      </c>
      <c r="J14">
        <v>35</v>
      </c>
      <c r="K14">
        <v>34</v>
      </c>
      <c r="L14">
        <v>0</v>
      </c>
      <c r="M14">
        <v>0</v>
      </c>
      <c r="N14">
        <v>35</v>
      </c>
      <c r="O14">
        <v>34</v>
      </c>
      <c r="P14">
        <v>0</v>
      </c>
    </row>
    <row r="15" spans="1:16" x14ac:dyDescent="0.25">
      <c r="A15" t="s">
        <v>295</v>
      </c>
      <c r="B15">
        <v>103</v>
      </c>
      <c r="C15">
        <v>0</v>
      </c>
      <c r="D15">
        <v>2</v>
      </c>
      <c r="E15">
        <v>127</v>
      </c>
      <c r="F15">
        <v>123</v>
      </c>
      <c r="G15">
        <v>11</v>
      </c>
      <c r="H15">
        <v>3847</v>
      </c>
      <c r="I15">
        <v>1882</v>
      </c>
      <c r="J15">
        <v>94</v>
      </c>
      <c r="K15">
        <v>90</v>
      </c>
      <c r="L15">
        <v>0</v>
      </c>
      <c r="M15">
        <v>0</v>
      </c>
      <c r="N15">
        <v>94</v>
      </c>
      <c r="O15">
        <v>90</v>
      </c>
      <c r="P15">
        <v>8</v>
      </c>
    </row>
    <row r="16" spans="1:16" x14ac:dyDescent="0.25">
      <c r="A16" t="s">
        <v>296</v>
      </c>
      <c r="B16">
        <v>24</v>
      </c>
      <c r="C16">
        <v>2</v>
      </c>
      <c r="D16">
        <v>0</v>
      </c>
      <c r="E16">
        <v>39</v>
      </c>
      <c r="F16">
        <v>37</v>
      </c>
      <c r="G16">
        <v>0</v>
      </c>
      <c r="H16">
        <v>1173</v>
      </c>
      <c r="I16">
        <v>611</v>
      </c>
      <c r="J16">
        <v>34</v>
      </c>
      <c r="K16">
        <v>34</v>
      </c>
      <c r="L16">
        <v>1</v>
      </c>
      <c r="M16">
        <v>1</v>
      </c>
      <c r="N16">
        <v>35</v>
      </c>
      <c r="O16">
        <v>35</v>
      </c>
      <c r="P16">
        <v>0</v>
      </c>
    </row>
    <row r="17" spans="1:16" x14ac:dyDescent="0.25">
      <c r="A17" t="s">
        <v>297</v>
      </c>
      <c r="B17">
        <v>145</v>
      </c>
      <c r="C17">
        <v>19</v>
      </c>
      <c r="D17">
        <v>1</v>
      </c>
      <c r="E17">
        <v>280</v>
      </c>
      <c r="F17">
        <v>247</v>
      </c>
      <c r="G17">
        <v>2</v>
      </c>
      <c r="H17">
        <v>11061</v>
      </c>
      <c r="I17">
        <v>5254</v>
      </c>
      <c r="J17">
        <v>315</v>
      </c>
      <c r="K17">
        <v>313</v>
      </c>
      <c r="L17">
        <v>38</v>
      </c>
      <c r="M17">
        <v>36</v>
      </c>
      <c r="N17">
        <v>353</v>
      </c>
      <c r="O17">
        <v>349</v>
      </c>
      <c r="P17">
        <v>29</v>
      </c>
    </row>
    <row r="18" spans="1:16" x14ac:dyDescent="0.25">
      <c r="A18" t="s">
        <v>298</v>
      </c>
      <c r="B18">
        <v>58</v>
      </c>
      <c r="C18">
        <v>2</v>
      </c>
      <c r="D18">
        <v>0</v>
      </c>
      <c r="E18">
        <v>96</v>
      </c>
      <c r="F18">
        <v>94</v>
      </c>
      <c r="G18">
        <v>0</v>
      </c>
      <c r="H18">
        <v>2371</v>
      </c>
      <c r="I18">
        <v>1195</v>
      </c>
      <c r="J18">
        <v>95</v>
      </c>
      <c r="K18">
        <v>91</v>
      </c>
      <c r="L18">
        <v>1</v>
      </c>
      <c r="M18">
        <v>1</v>
      </c>
      <c r="N18">
        <v>96</v>
      </c>
      <c r="O18">
        <v>92</v>
      </c>
      <c r="P18">
        <v>2</v>
      </c>
    </row>
    <row r="19" spans="1:16" x14ac:dyDescent="0.25">
      <c r="A19" t="s">
        <v>299</v>
      </c>
      <c r="B19">
        <v>115</v>
      </c>
      <c r="C19">
        <v>6</v>
      </c>
      <c r="D19">
        <v>6</v>
      </c>
      <c r="E19">
        <v>187</v>
      </c>
      <c r="F19">
        <v>141</v>
      </c>
      <c r="G19">
        <v>1</v>
      </c>
      <c r="H19">
        <v>4611</v>
      </c>
      <c r="I19">
        <v>2424</v>
      </c>
      <c r="J19">
        <v>85</v>
      </c>
      <c r="K19">
        <v>83</v>
      </c>
      <c r="L19">
        <v>4</v>
      </c>
      <c r="M19">
        <v>4</v>
      </c>
      <c r="N19">
        <v>89</v>
      </c>
      <c r="O19">
        <v>87</v>
      </c>
      <c r="P19">
        <v>1</v>
      </c>
    </row>
    <row r="20" spans="1:16" x14ac:dyDescent="0.25">
      <c r="A20" t="s">
        <v>300</v>
      </c>
      <c r="B20">
        <v>386</v>
      </c>
      <c r="C20">
        <v>12</v>
      </c>
      <c r="D20">
        <v>18</v>
      </c>
      <c r="E20">
        <v>586</v>
      </c>
      <c r="F20">
        <v>551</v>
      </c>
      <c r="G20">
        <v>11</v>
      </c>
      <c r="H20">
        <v>17289</v>
      </c>
      <c r="I20">
        <v>8511</v>
      </c>
      <c r="J20">
        <v>453</v>
      </c>
      <c r="K20">
        <v>420</v>
      </c>
      <c r="L20">
        <v>11</v>
      </c>
      <c r="M20">
        <v>11</v>
      </c>
      <c r="N20">
        <v>464</v>
      </c>
      <c r="O20">
        <v>431</v>
      </c>
      <c r="P20">
        <v>24</v>
      </c>
    </row>
    <row r="21" spans="1:16" x14ac:dyDescent="0.25">
      <c r="A21" t="s">
        <v>301</v>
      </c>
      <c r="B21">
        <v>177</v>
      </c>
      <c r="C21">
        <v>20</v>
      </c>
      <c r="D21">
        <v>1</v>
      </c>
      <c r="E21">
        <v>287</v>
      </c>
      <c r="F21">
        <v>260</v>
      </c>
      <c r="G21">
        <v>2</v>
      </c>
      <c r="H21">
        <v>9332</v>
      </c>
      <c r="I21">
        <v>4748</v>
      </c>
      <c r="J21">
        <v>172</v>
      </c>
      <c r="K21">
        <v>166</v>
      </c>
      <c r="L21">
        <v>18</v>
      </c>
      <c r="M21">
        <v>18</v>
      </c>
      <c r="N21">
        <v>190</v>
      </c>
      <c r="O21">
        <v>184</v>
      </c>
      <c r="P21">
        <v>0</v>
      </c>
    </row>
    <row r="22" spans="1:16" x14ac:dyDescent="0.25">
      <c r="A22" t="s">
        <v>302</v>
      </c>
      <c r="B22">
        <v>62</v>
      </c>
      <c r="C22">
        <v>1</v>
      </c>
      <c r="D22">
        <v>10</v>
      </c>
      <c r="E22">
        <v>198</v>
      </c>
      <c r="F22">
        <v>64</v>
      </c>
      <c r="G22">
        <v>1</v>
      </c>
      <c r="H22">
        <v>2889</v>
      </c>
      <c r="I22">
        <v>1498</v>
      </c>
      <c r="J22">
        <v>64</v>
      </c>
      <c r="K22">
        <v>58</v>
      </c>
      <c r="L22">
        <v>2</v>
      </c>
      <c r="M22">
        <v>2</v>
      </c>
      <c r="N22">
        <v>66</v>
      </c>
      <c r="O22">
        <v>60</v>
      </c>
      <c r="P22">
        <v>2</v>
      </c>
    </row>
    <row r="23" spans="1:16" x14ac:dyDescent="0.25">
      <c r="A23" t="s">
        <v>303</v>
      </c>
      <c r="B23">
        <v>447</v>
      </c>
      <c r="C23">
        <v>19</v>
      </c>
      <c r="D23">
        <v>4</v>
      </c>
      <c r="E23">
        <v>915</v>
      </c>
      <c r="F23">
        <v>798</v>
      </c>
      <c r="G23">
        <v>24</v>
      </c>
      <c r="H23">
        <v>28273</v>
      </c>
      <c r="I23">
        <v>14179</v>
      </c>
      <c r="J23">
        <v>464</v>
      </c>
      <c r="K23">
        <v>454</v>
      </c>
      <c r="L23">
        <v>28</v>
      </c>
      <c r="M23">
        <v>26</v>
      </c>
      <c r="N23">
        <v>492</v>
      </c>
      <c r="O23">
        <v>480</v>
      </c>
      <c r="P23">
        <v>18</v>
      </c>
    </row>
    <row r="24" spans="1:16" x14ac:dyDescent="0.25">
      <c r="A24" t="s">
        <v>304</v>
      </c>
      <c r="B24">
        <v>36</v>
      </c>
      <c r="C24">
        <v>1</v>
      </c>
      <c r="D24">
        <v>1</v>
      </c>
      <c r="E24">
        <v>64</v>
      </c>
      <c r="F24">
        <v>49</v>
      </c>
      <c r="G24">
        <v>0</v>
      </c>
      <c r="H24">
        <v>1334</v>
      </c>
      <c r="I24">
        <v>648</v>
      </c>
      <c r="J24">
        <v>48</v>
      </c>
      <c r="K24">
        <v>48</v>
      </c>
      <c r="L24">
        <v>1</v>
      </c>
      <c r="M24">
        <v>1</v>
      </c>
      <c r="N24">
        <v>49</v>
      </c>
      <c r="O24">
        <v>49</v>
      </c>
      <c r="P24">
        <v>0</v>
      </c>
    </row>
    <row r="25" spans="1:16" x14ac:dyDescent="0.25">
      <c r="A25" t="s">
        <v>305</v>
      </c>
      <c r="B25">
        <v>173</v>
      </c>
      <c r="C25">
        <v>6</v>
      </c>
      <c r="D25">
        <v>8</v>
      </c>
      <c r="E25">
        <v>258</v>
      </c>
      <c r="F25">
        <v>245</v>
      </c>
      <c r="G25">
        <v>1</v>
      </c>
      <c r="H25">
        <v>8431</v>
      </c>
      <c r="I25">
        <v>4287</v>
      </c>
      <c r="J25">
        <v>203</v>
      </c>
      <c r="K25">
        <v>190</v>
      </c>
      <c r="L25">
        <v>18</v>
      </c>
      <c r="M25">
        <v>14</v>
      </c>
      <c r="N25">
        <v>221</v>
      </c>
      <c r="O25">
        <v>204</v>
      </c>
      <c r="P25">
        <v>4</v>
      </c>
    </row>
    <row r="26" spans="1:16" x14ac:dyDescent="0.25">
      <c r="A26" t="s">
        <v>306</v>
      </c>
      <c r="B26">
        <v>292</v>
      </c>
      <c r="C26">
        <v>4</v>
      </c>
      <c r="D26">
        <v>3</v>
      </c>
      <c r="E26">
        <v>450</v>
      </c>
      <c r="F26">
        <v>441</v>
      </c>
      <c r="G26">
        <v>15</v>
      </c>
      <c r="H26">
        <v>13054</v>
      </c>
      <c r="I26">
        <v>6466</v>
      </c>
      <c r="J26">
        <v>435</v>
      </c>
      <c r="K26">
        <v>394</v>
      </c>
      <c r="L26">
        <v>9</v>
      </c>
      <c r="M26">
        <v>6</v>
      </c>
      <c r="N26">
        <v>444</v>
      </c>
      <c r="O26">
        <v>400</v>
      </c>
      <c r="P26">
        <v>16</v>
      </c>
    </row>
    <row r="27" spans="1:16" x14ac:dyDescent="0.25">
      <c r="A27" t="s">
        <v>307</v>
      </c>
      <c r="B27">
        <v>227</v>
      </c>
      <c r="C27">
        <v>4</v>
      </c>
      <c r="D27">
        <v>9</v>
      </c>
      <c r="E27">
        <v>468</v>
      </c>
      <c r="F27">
        <v>356</v>
      </c>
      <c r="G27">
        <v>5</v>
      </c>
      <c r="H27">
        <v>14359</v>
      </c>
      <c r="I27">
        <v>7106</v>
      </c>
      <c r="J27">
        <v>216</v>
      </c>
      <c r="K27">
        <v>200</v>
      </c>
      <c r="L27">
        <v>2</v>
      </c>
      <c r="M27">
        <v>1</v>
      </c>
      <c r="N27">
        <v>218</v>
      </c>
      <c r="O27">
        <v>201</v>
      </c>
      <c r="P27">
        <v>12</v>
      </c>
    </row>
    <row r="28" spans="1:16" x14ac:dyDescent="0.25">
      <c r="A28" t="s">
        <v>266</v>
      </c>
      <c r="B28">
        <v>4409</v>
      </c>
      <c r="C28">
        <v>213</v>
      </c>
      <c r="D28">
        <v>97</v>
      </c>
      <c r="E28">
        <v>7761</v>
      </c>
      <c r="F28">
        <v>6800</v>
      </c>
      <c r="G28">
        <v>132</v>
      </c>
      <c r="H28">
        <v>233132</v>
      </c>
      <c r="I28">
        <v>116096</v>
      </c>
      <c r="J28">
        <v>5414</v>
      </c>
      <c r="K28">
        <v>5145</v>
      </c>
      <c r="L28">
        <v>264</v>
      </c>
      <c r="M28">
        <v>241</v>
      </c>
      <c r="N28">
        <v>5678</v>
      </c>
      <c r="O28">
        <v>5386</v>
      </c>
      <c r="P28">
        <v>205</v>
      </c>
    </row>
    <row r="29" spans="1:16" x14ac:dyDescent="0.25">
      <c r="A29" t="s">
        <v>308</v>
      </c>
      <c r="B29">
        <v>503</v>
      </c>
      <c r="C29">
        <v>54</v>
      </c>
      <c r="D29">
        <v>4</v>
      </c>
      <c r="E29">
        <v>1252</v>
      </c>
      <c r="F29">
        <v>966</v>
      </c>
      <c r="G29">
        <v>17</v>
      </c>
      <c r="H29">
        <v>39574</v>
      </c>
      <c r="I29">
        <v>19372</v>
      </c>
      <c r="J29">
        <v>979</v>
      </c>
      <c r="K29">
        <v>968</v>
      </c>
      <c r="L29">
        <v>108</v>
      </c>
      <c r="M29">
        <v>104</v>
      </c>
      <c r="N29">
        <v>1087</v>
      </c>
      <c r="O29">
        <v>1072</v>
      </c>
      <c r="P29">
        <v>45</v>
      </c>
    </row>
    <row r="30" spans="1:16" x14ac:dyDescent="0.25">
      <c r="A30" t="s">
        <v>309</v>
      </c>
      <c r="B30">
        <v>3906</v>
      </c>
      <c r="C30">
        <v>159</v>
      </c>
      <c r="D30">
        <v>93</v>
      </c>
      <c r="E30">
        <v>6509</v>
      </c>
      <c r="F30">
        <v>5834</v>
      </c>
      <c r="G30">
        <v>115</v>
      </c>
      <c r="H30">
        <v>193558</v>
      </c>
      <c r="I30">
        <v>96724</v>
      </c>
      <c r="J30">
        <v>4435</v>
      </c>
      <c r="K30">
        <v>4177</v>
      </c>
      <c r="L30">
        <v>156</v>
      </c>
      <c r="M30">
        <v>137</v>
      </c>
      <c r="N30">
        <v>4591</v>
      </c>
      <c r="O30">
        <v>4314</v>
      </c>
      <c r="P30">
        <v>160</v>
      </c>
    </row>
  </sheetData>
  <mergeCells count="6">
    <mergeCell ref="A1:A2"/>
    <mergeCell ref="H1:I1"/>
    <mergeCell ref="L1:M1"/>
    <mergeCell ref="J1:K1"/>
    <mergeCell ref="N1:O1"/>
    <mergeCell ref="P1:P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ED7D31"/>
  </sheetPr>
  <dimension ref="A1:P30"/>
  <sheetViews>
    <sheetView workbookViewId="0"/>
  </sheetViews>
  <sheetFormatPr defaultRowHeight="15" x14ac:dyDescent="0.25"/>
  <cols>
    <col min="1" max="1" width="26" customWidth="1"/>
    <col min="2" max="2" width="10.140625" customWidth="1"/>
    <col min="4" max="4" width="10.42578125" customWidth="1"/>
    <col min="5" max="5" width="10.140625" customWidth="1"/>
    <col min="6" max="6" width="10.42578125" customWidth="1"/>
    <col min="7" max="7" width="12" customWidth="1"/>
    <col min="8" max="8" width="12.1406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29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29" t="s">
        <v>72</v>
      </c>
      <c r="H1" s="29"/>
      <c r="I1" s="29" t="s">
        <v>257</v>
      </c>
      <c r="J1" s="29"/>
      <c r="K1" s="29" t="s">
        <v>258</v>
      </c>
      <c r="L1" s="29"/>
      <c r="M1" s="29" t="s">
        <v>259</v>
      </c>
      <c r="N1" s="29"/>
      <c r="O1" s="29" t="s">
        <v>311</v>
      </c>
      <c r="P1" s="29"/>
    </row>
    <row r="2" spans="1:16" x14ac:dyDescent="0.25">
      <c r="A2" s="29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408</v>
      </c>
      <c r="C3">
        <v>13</v>
      </c>
      <c r="D3">
        <v>3231</v>
      </c>
      <c r="E3">
        <v>2337</v>
      </c>
      <c r="F3">
        <v>8</v>
      </c>
      <c r="G3">
        <v>97157</v>
      </c>
      <c r="H3">
        <v>46850</v>
      </c>
      <c r="I3">
        <v>3469</v>
      </c>
      <c r="J3">
        <v>1160</v>
      </c>
      <c r="K3">
        <v>2924</v>
      </c>
      <c r="L3">
        <v>1679</v>
      </c>
      <c r="M3">
        <v>559</v>
      </c>
      <c r="N3">
        <v>108</v>
      </c>
      <c r="O3">
        <v>3483</v>
      </c>
      <c r="P3">
        <v>1787</v>
      </c>
    </row>
    <row r="4" spans="1:16" x14ac:dyDescent="0.25">
      <c r="A4" t="s">
        <v>284</v>
      </c>
      <c r="B4">
        <v>649</v>
      </c>
      <c r="C4">
        <v>13</v>
      </c>
      <c r="D4">
        <v>5536</v>
      </c>
      <c r="E4">
        <v>3587</v>
      </c>
      <c r="F4">
        <v>19</v>
      </c>
      <c r="G4">
        <v>169424</v>
      </c>
      <c r="H4">
        <v>80840</v>
      </c>
      <c r="I4">
        <v>10133</v>
      </c>
      <c r="J4">
        <v>3656</v>
      </c>
      <c r="K4">
        <v>3621</v>
      </c>
      <c r="L4">
        <v>2319</v>
      </c>
      <c r="M4">
        <v>1168</v>
      </c>
      <c r="N4">
        <v>448</v>
      </c>
      <c r="O4">
        <v>4789</v>
      </c>
      <c r="P4">
        <v>2767</v>
      </c>
    </row>
    <row r="5" spans="1:16" x14ac:dyDescent="0.25">
      <c r="A5" t="s">
        <v>285</v>
      </c>
      <c r="B5">
        <v>409</v>
      </c>
      <c r="C5">
        <v>6</v>
      </c>
      <c r="D5">
        <v>3856</v>
      </c>
      <c r="E5">
        <v>2907</v>
      </c>
      <c r="F5">
        <v>91</v>
      </c>
      <c r="G5">
        <v>139238</v>
      </c>
      <c r="H5">
        <v>66191</v>
      </c>
      <c r="I5">
        <v>11521</v>
      </c>
      <c r="J5">
        <v>4053</v>
      </c>
      <c r="K5">
        <v>2538</v>
      </c>
      <c r="L5">
        <v>1637</v>
      </c>
      <c r="M5">
        <v>1050</v>
      </c>
      <c r="N5">
        <v>411</v>
      </c>
      <c r="O5">
        <v>3588</v>
      </c>
      <c r="P5">
        <v>2048</v>
      </c>
    </row>
    <row r="6" spans="1:16" x14ac:dyDescent="0.25">
      <c r="A6" t="s">
        <v>286</v>
      </c>
      <c r="B6">
        <v>279</v>
      </c>
      <c r="C6">
        <v>2</v>
      </c>
      <c r="D6">
        <v>2212</v>
      </c>
      <c r="E6">
        <v>1509</v>
      </c>
      <c r="F6">
        <v>12</v>
      </c>
      <c r="G6">
        <v>73216</v>
      </c>
      <c r="H6">
        <v>35572</v>
      </c>
      <c r="I6">
        <v>4322</v>
      </c>
      <c r="J6">
        <v>1493</v>
      </c>
      <c r="K6">
        <v>1804</v>
      </c>
      <c r="L6">
        <v>910</v>
      </c>
      <c r="M6">
        <v>401</v>
      </c>
      <c r="N6">
        <v>92</v>
      </c>
      <c r="O6">
        <v>2205</v>
      </c>
      <c r="P6">
        <v>1002</v>
      </c>
    </row>
    <row r="7" spans="1:16" x14ac:dyDescent="0.25">
      <c r="A7" t="s">
        <v>287</v>
      </c>
      <c r="B7">
        <v>314</v>
      </c>
      <c r="C7">
        <v>5</v>
      </c>
      <c r="D7">
        <v>2863</v>
      </c>
      <c r="E7">
        <v>2168</v>
      </c>
      <c r="F7">
        <v>36</v>
      </c>
      <c r="G7">
        <v>108391</v>
      </c>
      <c r="H7">
        <v>52343</v>
      </c>
      <c r="I7">
        <v>5312</v>
      </c>
      <c r="J7">
        <v>2012</v>
      </c>
      <c r="K7">
        <v>2165</v>
      </c>
      <c r="L7">
        <v>1019</v>
      </c>
      <c r="M7">
        <v>490</v>
      </c>
      <c r="N7">
        <v>89</v>
      </c>
      <c r="O7">
        <v>2655</v>
      </c>
      <c r="P7">
        <v>1108</v>
      </c>
    </row>
    <row r="8" spans="1:16" x14ac:dyDescent="0.25">
      <c r="A8" t="s">
        <v>288</v>
      </c>
      <c r="B8">
        <v>490</v>
      </c>
      <c r="C8">
        <v>7</v>
      </c>
      <c r="D8">
        <v>3297</v>
      </c>
      <c r="E8">
        <v>2439</v>
      </c>
      <c r="F8">
        <v>49</v>
      </c>
      <c r="G8">
        <v>99857</v>
      </c>
      <c r="H8">
        <v>48731</v>
      </c>
      <c r="I8">
        <v>7102</v>
      </c>
      <c r="J8">
        <v>2570</v>
      </c>
      <c r="K8">
        <v>2389</v>
      </c>
      <c r="L8">
        <v>1377</v>
      </c>
      <c r="M8">
        <v>451</v>
      </c>
      <c r="N8">
        <v>128</v>
      </c>
      <c r="O8">
        <v>2840</v>
      </c>
      <c r="P8">
        <v>1505</v>
      </c>
    </row>
    <row r="9" spans="1:16" x14ac:dyDescent="0.25">
      <c r="A9" t="s">
        <v>289</v>
      </c>
      <c r="B9">
        <v>311</v>
      </c>
      <c r="C9">
        <v>3</v>
      </c>
      <c r="D9">
        <v>2437</v>
      </c>
      <c r="E9">
        <v>2061</v>
      </c>
      <c r="F9">
        <v>0</v>
      </c>
      <c r="G9">
        <v>76661</v>
      </c>
      <c r="H9">
        <v>36421</v>
      </c>
      <c r="I9">
        <v>3827</v>
      </c>
      <c r="J9">
        <v>1283</v>
      </c>
      <c r="K9">
        <v>2297</v>
      </c>
      <c r="L9">
        <v>1199</v>
      </c>
      <c r="M9">
        <v>533</v>
      </c>
      <c r="N9">
        <v>107</v>
      </c>
      <c r="O9">
        <v>2830</v>
      </c>
      <c r="P9">
        <v>1306</v>
      </c>
    </row>
    <row r="10" spans="1:16" x14ac:dyDescent="0.25">
      <c r="A10" t="s">
        <v>290</v>
      </c>
      <c r="B10">
        <v>373</v>
      </c>
      <c r="C10">
        <v>7</v>
      </c>
      <c r="D10">
        <v>4300</v>
      </c>
      <c r="E10">
        <v>3145</v>
      </c>
      <c r="F10">
        <v>50</v>
      </c>
      <c r="G10">
        <v>159614</v>
      </c>
      <c r="H10">
        <v>75340</v>
      </c>
      <c r="I10">
        <v>12450</v>
      </c>
      <c r="J10">
        <v>4328</v>
      </c>
      <c r="K10">
        <v>2407</v>
      </c>
      <c r="L10">
        <v>1540</v>
      </c>
      <c r="M10">
        <v>833</v>
      </c>
      <c r="N10">
        <v>237</v>
      </c>
      <c r="O10">
        <v>3240</v>
      </c>
      <c r="P10">
        <v>1777</v>
      </c>
    </row>
    <row r="11" spans="1:16" x14ac:dyDescent="0.25">
      <c r="A11" t="s">
        <v>291</v>
      </c>
      <c r="B11">
        <v>22</v>
      </c>
      <c r="C11">
        <v>2</v>
      </c>
      <c r="D11">
        <v>173</v>
      </c>
      <c r="E11">
        <v>149</v>
      </c>
      <c r="F11">
        <v>7</v>
      </c>
      <c r="G11">
        <v>5159</v>
      </c>
      <c r="H11">
        <v>2521</v>
      </c>
      <c r="I11">
        <v>479</v>
      </c>
      <c r="J11">
        <v>149</v>
      </c>
      <c r="K11">
        <v>200</v>
      </c>
      <c r="L11">
        <v>111</v>
      </c>
      <c r="M11">
        <v>60</v>
      </c>
      <c r="N11">
        <v>12</v>
      </c>
      <c r="O11">
        <v>260</v>
      </c>
      <c r="P11">
        <v>123</v>
      </c>
    </row>
    <row r="12" spans="1:16" x14ac:dyDescent="0.25">
      <c r="A12" t="s">
        <v>292</v>
      </c>
      <c r="B12">
        <v>121</v>
      </c>
      <c r="C12">
        <v>1</v>
      </c>
      <c r="D12">
        <v>809</v>
      </c>
      <c r="E12">
        <v>532</v>
      </c>
      <c r="F12">
        <v>0</v>
      </c>
      <c r="G12">
        <v>16395</v>
      </c>
      <c r="H12">
        <v>7885</v>
      </c>
      <c r="I12">
        <v>808</v>
      </c>
      <c r="J12">
        <v>294</v>
      </c>
      <c r="K12">
        <v>629</v>
      </c>
      <c r="L12">
        <v>319</v>
      </c>
      <c r="M12">
        <v>108</v>
      </c>
      <c r="N12">
        <v>28</v>
      </c>
      <c r="O12">
        <v>737</v>
      </c>
      <c r="P12">
        <v>347</v>
      </c>
    </row>
    <row r="13" spans="1:16" x14ac:dyDescent="0.25">
      <c r="A13" t="s">
        <v>293</v>
      </c>
      <c r="B13">
        <v>286</v>
      </c>
      <c r="C13">
        <v>8</v>
      </c>
      <c r="D13">
        <v>2200</v>
      </c>
      <c r="E13">
        <v>1380</v>
      </c>
      <c r="F13">
        <v>30</v>
      </c>
      <c r="G13">
        <v>63263</v>
      </c>
      <c r="H13">
        <v>30449</v>
      </c>
      <c r="I13">
        <v>4948</v>
      </c>
      <c r="J13">
        <v>1873</v>
      </c>
      <c r="K13">
        <v>1485</v>
      </c>
      <c r="L13">
        <v>1001</v>
      </c>
      <c r="M13">
        <v>245</v>
      </c>
      <c r="N13">
        <v>89</v>
      </c>
      <c r="O13">
        <v>1730</v>
      </c>
      <c r="P13">
        <v>1090</v>
      </c>
    </row>
    <row r="14" spans="1:16" x14ac:dyDescent="0.25">
      <c r="A14" t="s">
        <v>294</v>
      </c>
      <c r="B14">
        <v>88</v>
      </c>
      <c r="C14">
        <v>6</v>
      </c>
      <c r="D14">
        <v>658</v>
      </c>
      <c r="E14">
        <v>435</v>
      </c>
      <c r="F14">
        <v>2</v>
      </c>
      <c r="G14">
        <v>14623</v>
      </c>
      <c r="H14">
        <v>7285</v>
      </c>
      <c r="I14">
        <v>538</v>
      </c>
      <c r="J14">
        <v>226</v>
      </c>
      <c r="K14">
        <v>570</v>
      </c>
      <c r="L14">
        <v>287</v>
      </c>
      <c r="M14">
        <v>38</v>
      </c>
      <c r="N14">
        <v>9</v>
      </c>
      <c r="O14">
        <v>608</v>
      </c>
      <c r="P14">
        <v>296</v>
      </c>
    </row>
    <row r="15" spans="1:16" x14ac:dyDescent="0.25">
      <c r="A15" t="s">
        <v>295</v>
      </c>
      <c r="B15">
        <v>218</v>
      </c>
      <c r="C15">
        <v>5</v>
      </c>
      <c r="D15">
        <v>1508</v>
      </c>
      <c r="E15">
        <v>1044</v>
      </c>
      <c r="F15">
        <v>16</v>
      </c>
      <c r="G15">
        <v>37185</v>
      </c>
      <c r="H15">
        <v>17719</v>
      </c>
      <c r="I15">
        <v>2958</v>
      </c>
      <c r="J15">
        <v>1065</v>
      </c>
      <c r="K15">
        <v>967</v>
      </c>
      <c r="L15">
        <v>453</v>
      </c>
      <c r="M15">
        <v>257</v>
      </c>
      <c r="N15">
        <v>63</v>
      </c>
      <c r="O15">
        <v>1224</v>
      </c>
      <c r="P15">
        <v>516</v>
      </c>
    </row>
    <row r="16" spans="1:16" x14ac:dyDescent="0.25">
      <c r="A16" t="s">
        <v>296</v>
      </c>
      <c r="B16">
        <v>48</v>
      </c>
      <c r="C16">
        <v>1</v>
      </c>
      <c r="D16">
        <v>359</v>
      </c>
      <c r="E16">
        <v>264</v>
      </c>
      <c r="F16">
        <v>2</v>
      </c>
      <c r="G16">
        <v>10488</v>
      </c>
      <c r="H16">
        <v>4990</v>
      </c>
      <c r="I16">
        <v>569</v>
      </c>
      <c r="J16">
        <v>191</v>
      </c>
      <c r="K16">
        <v>293</v>
      </c>
      <c r="L16">
        <v>172</v>
      </c>
      <c r="M16">
        <v>39</v>
      </c>
      <c r="N16">
        <v>13</v>
      </c>
      <c r="O16">
        <v>332</v>
      </c>
      <c r="P16">
        <v>185</v>
      </c>
    </row>
    <row r="17" spans="1:16" x14ac:dyDescent="0.25">
      <c r="A17" t="s">
        <v>297</v>
      </c>
      <c r="B17">
        <v>163</v>
      </c>
      <c r="C17">
        <v>5</v>
      </c>
      <c r="D17">
        <v>3254</v>
      </c>
      <c r="E17">
        <v>2224</v>
      </c>
      <c r="F17">
        <v>38</v>
      </c>
      <c r="G17">
        <v>138050</v>
      </c>
      <c r="H17">
        <v>65794</v>
      </c>
      <c r="I17">
        <v>4793</v>
      </c>
      <c r="J17">
        <v>1602</v>
      </c>
      <c r="K17">
        <v>3351</v>
      </c>
      <c r="L17">
        <v>2546</v>
      </c>
      <c r="M17">
        <v>543</v>
      </c>
      <c r="N17">
        <v>230</v>
      </c>
      <c r="O17">
        <v>3894</v>
      </c>
      <c r="P17">
        <v>2776</v>
      </c>
    </row>
    <row r="18" spans="1:16" x14ac:dyDescent="0.25">
      <c r="A18" t="s">
        <v>298</v>
      </c>
      <c r="B18">
        <v>72</v>
      </c>
      <c r="C18">
        <v>0</v>
      </c>
      <c r="D18">
        <v>804</v>
      </c>
      <c r="E18">
        <v>753</v>
      </c>
      <c r="F18">
        <v>0</v>
      </c>
      <c r="G18">
        <v>26688</v>
      </c>
      <c r="H18">
        <v>13052</v>
      </c>
      <c r="I18">
        <v>1105</v>
      </c>
      <c r="J18">
        <v>385</v>
      </c>
      <c r="K18">
        <v>786</v>
      </c>
      <c r="L18">
        <v>444</v>
      </c>
      <c r="M18">
        <v>144</v>
      </c>
      <c r="N18">
        <v>51</v>
      </c>
      <c r="O18">
        <v>930</v>
      </c>
      <c r="P18">
        <v>495</v>
      </c>
    </row>
    <row r="19" spans="1:16" x14ac:dyDescent="0.25">
      <c r="A19" t="s">
        <v>299</v>
      </c>
      <c r="B19">
        <v>228</v>
      </c>
      <c r="C19">
        <v>7</v>
      </c>
      <c r="D19">
        <v>1567</v>
      </c>
      <c r="E19">
        <v>1125</v>
      </c>
      <c r="F19">
        <v>3</v>
      </c>
      <c r="G19">
        <v>37538</v>
      </c>
      <c r="H19">
        <v>18270</v>
      </c>
      <c r="I19">
        <v>3344</v>
      </c>
      <c r="J19">
        <v>1236</v>
      </c>
      <c r="K19">
        <v>1209</v>
      </c>
      <c r="L19">
        <v>673</v>
      </c>
      <c r="M19">
        <v>236</v>
      </c>
      <c r="N19">
        <v>58</v>
      </c>
      <c r="O19">
        <v>1445</v>
      </c>
      <c r="P19">
        <v>731</v>
      </c>
    </row>
    <row r="20" spans="1:16" x14ac:dyDescent="0.25">
      <c r="A20" t="s">
        <v>300</v>
      </c>
      <c r="B20">
        <v>547</v>
      </c>
      <c r="C20">
        <v>17</v>
      </c>
      <c r="D20">
        <v>4533</v>
      </c>
      <c r="E20">
        <v>3536</v>
      </c>
      <c r="F20">
        <v>56</v>
      </c>
      <c r="G20">
        <v>148230</v>
      </c>
      <c r="H20">
        <v>69470</v>
      </c>
      <c r="I20">
        <v>9898</v>
      </c>
      <c r="J20">
        <v>3431</v>
      </c>
      <c r="K20">
        <v>2691</v>
      </c>
      <c r="L20">
        <v>1340</v>
      </c>
      <c r="M20">
        <v>1262</v>
      </c>
      <c r="N20">
        <v>327</v>
      </c>
      <c r="O20">
        <v>3953</v>
      </c>
      <c r="P20">
        <v>1667</v>
      </c>
    </row>
    <row r="21" spans="1:16" x14ac:dyDescent="0.25">
      <c r="A21" t="s">
        <v>301</v>
      </c>
      <c r="B21">
        <v>306</v>
      </c>
      <c r="C21">
        <v>3</v>
      </c>
      <c r="D21">
        <v>2341</v>
      </c>
      <c r="E21">
        <v>1580</v>
      </c>
      <c r="F21">
        <v>7</v>
      </c>
      <c r="G21">
        <v>68838</v>
      </c>
      <c r="H21">
        <v>33507</v>
      </c>
      <c r="I21">
        <v>5364</v>
      </c>
      <c r="J21">
        <v>2089</v>
      </c>
      <c r="K21">
        <v>1544</v>
      </c>
      <c r="L21">
        <v>836</v>
      </c>
      <c r="M21">
        <v>434</v>
      </c>
      <c r="N21">
        <v>127</v>
      </c>
      <c r="O21">
        <v>1978</v>
      </c>
      <c r="P21">
        <v>963</v>
      </c>
    </row>
    <row r="22" spans="1:16" x14ac:dyDescent="0.25">
      <c r="A22" t="s">
        <v>302</v>
      </c>
      <c r="B22">
        <v>222</v>
      </c>
      <c r="C22">
        <v>18</v>
      </c>
      <c r="D22">
        <v>1416</v>
      </c>
      <c r="E22">
        <v>877</v>
      </c>
      <c r="F22">
        <v>12</v>
      </c>
      <c r="G22">
        <v>40612</v>
      </c>
      <c r="H22">
        <v>19545</v>
      </c>
      <c r="I22">
        <v>1683</v>
      </c>
      <c r="J22">
        <v>679</v>
      </c>
      <c r="K22">
        <v>791</v>
      </c>
      <c r="L22">
        <v>372</v>
      </c>
      <c r="M22">
        <v>87</v>
      </c>
      <c r="N22">
        <v>19</v>
      </c>
      <c r="O22">
        <v>878</v>
      </c>
      <c r="P22">
        <v>391</v>
      </c>
    </row>
    <row r="23" spans="1:16" x14ac:dyDescent="0.25">
      <c r="A23" t="s">
        <v>303</v>
      </c>
      <c r="B23">
        <v>507</v>
      </c>
      <c r="C23">
        <v>11</v>
      </c>
      <c r="D23">
        <v>4589</v>
      </c>
      <c r="E23">
        <v>3251</v>
      </c>
      <c r="F23">
        <v>52</v>
      </c>
      <c r="G23">
        <v>165114</v>
      </c>
      <c r="H23">
        <v>79734</v>
      </c>
      <c r="I23">
        <v>11904</v>
      </c>
      <c r="J23">
        <v>4069</v>
      </c>
      <c r="K23">
        <v>2845</v>
      </c>
      <c r="L23">
        <v>1961</v>
      </c>
      <c r="M23">
        <v>1303</v>
      </c>
      <c r="N23">
        <v>585</v>
      </c>
      <c r="O23">
        <v>4148</v>
      </c>
      <c r="P23">
        <v>2546</v>
      </c>
    </row>
    <row r="24" spans="1:16" x14ac:dyDescent="0.25">
      <c r="A24" t="s">
        <v>304</v>
      </c>
      <c r="B24">
        <v>173</v>
      </c>
      <c r="C24">
        <v>9</v>
      </c>
      <c r="D24">
        <v>1199</v>
      </c>
      <c r="E24">
        <v>785</v>
      </c>
      <c r="F24">
        <v>1</v>
      </c>
      <c r="G24">
        <v>26641</v>
      </c>
      <c r="H24">
        <v>13001</v>
      </c>
      <c r="I24">
        <v>2507</v>
      </c>
      <c r="J24">
        <v>1061</v>
      </c>
      <c r="K24">
        <v>815</v>
      </c>
      <c r="L24">
        <v>500</v>
      </c>
      <c r="M24">
        <v>93</v>
      </c>
      <c r="N24">
        <v>31</v>
      </c>
      <c r="O24">
        <v>908</v>
      </c>
      <c r="P24">
        <v>531</v>
      </c>
    </row>
    <row r="25" spans="1:16" x14ac:dyDescent="0.25">
      <c r="A25" t="s">
        <v>305</v>
      </c>
      <c r="B25">
        <v>262</v>
      </c>
      <c r="C25">
        <v>4</v>
      </c>
      <c r="D25">
        <v>2481</v>
      </c>
      <c r="E25">
        <v>1794</v>
      </c>
      <c r="F25">
        <v>8</v>
      </c>
      <c r="G25">
        <v>72639</v>
      </c>
      <c r="H25">
        <v>35132</v>
      </c>
      <c r="I25">
        <v>3034</v>
      </c>
      <c r="J25">
        <v>1027</v>
      </c>
      <c r="K25">
        <v>1658</v>
      </c>
      <c r="L25">
        <v>693</v>
      </c>
      <c r="M25">
        <v>544</v>
      </c>
      <c r="N25">
        <v>112</v>
      </c>
      <c r="O25">
        <v>2202</v>
      </c>
      <c r="P25">
        <v>805</v>
      </c>
    </row>
    <row r="26" spans="1:16" x14ac:dyDescent="0.25">
      <c r="A26" t="s">
        <v>306</v>
      </c>
      <c r="B26">
        <v>382</v>
      </c>
      <c r="C26">
        <v>16</v>
      </c>
      <c r="D26">
        <v>3493</v>
      </c>
      <c r="E26">
        <v>3024</v>
      </c>
      <c r="F26">
        <v>80</v>
      </c>
      <c r="G26">
        <v>114861</v>
      </c>
      <c r="H26">
        <v>54820</v>
      </c>
      <c r="I26">
        <v>9815</v>
      </c>
      <c r="J26">
        <v>3247</v>
      </c>
      <c r="K26">
        <v>2844</v>
      </c>
      <c r="L26">
        <v>1259</v>
      </c>
      <c r="M26">
        <v>955</v>
      </c>
      <c r="N26">
        <v>210</v>
      </c>
      <c r="O26">
        <v>3799</v>
      </c>
      <c r="P26">
        <v>1469</v>
      </c>
    </row>
    <row r="27" spans="1:16" x14ac:dyDescent="0.25">
      <c r="A27" t="s">
        <v>307</v>
      </c>
      <c r="B27">
        <v>404</v>
      </c>
      <c r="C27">
        <v>6</v>
      </c>
      <c r="D27">
        <v>3286</v>
      </c>
      <c r="E27">
        <v>2348</v>
      </c>
      <c r="F27">
        <v>34</v>
      </c>
      <c r="G27">
        <v>113591</v>
      </c>
      <c r="H27">
        <v>54591</v>
      </c>
      <c r="I27">
        <v>6880</v>
      </c>
      <c r="J27">
        <v>2568</v>
      </c>
      <c r="K27">
        <v>2091</v>
      </c>
      <c r="L27">
        <v>1275</v>
      </c>
      <c r="M27">
        <v>600</v>
      </c>
      <c r="N27">
        <v>182</v>
      </c>
      <c r="O27">
        <v>2691</v>
      </c>
      <c r="P27">
        <v>1457</v>
      </c>
    </row>
    <row r="28" spans="1:16" x14ac:dyDescent="0.25">
      <c r="A28" t="s">
        <v>266</v>
      </c>
      <c r="B28">
        <v>7282</v>
      </c>
      <c r="C28">
        <v>175</v>
      </c>
      <c r="D28">
        <v>62402</v>
      </c>
      <c r="E28">
        <v>45254</v>
      </c>
      <c r="F28">
        <v>613</v>
      </c>
      <c r="G28">
        <v>2023473</v>
      </c>
      <c r="H28">
        <v>970053</v>
      </c>
      <c r="I28">
        <v>128763</v>
      </c>
      <c r="J28">
        <v>45747</v>
      </c>
      <c r="K28">
        <v>44914</v>
      </c>
      <c r="L28">
        <v>25922</v>
      </c>
      <c r="M28">
        <v>12433</v>
      </c>
      <c r="N28">
        <v>3766</v>
      </c>
      <c r="O28">
        <v>57347</v>
      </c>
      <c r="P28">
        <v>29688</v>
      </c>
    </row>
    <row r="29" spans="1:16" x14ac:dyDescent="0.25">
      <c r="A29" t="s">
        <v>308</v>
      </c>
      <c r="B29">
        <v>659</v>
      </c>
      <c r="C29">
        <v>17</v>
      </c>
      <c r="D29">
        <v>8883</v>
      </c>
      <c r="E29">
        <v>6482</v>
      </c>
      <c r="F29">
        <v>88</v>
      </c>
      <c r="G29">
        <v>334805</v>
      </c>
      <c r="H29">
        <v>160114</v>
      </c>
      <c r="I29">
        <v>16141</v>
      </c>
      <c r="J29">
        <v>5514</v>
      </c>
      <c r="K29">
        <v>8976</v>
      </c>
      <c r="L29">
        <v>6351</v>
      </c>
      <c r="M29">
        <v>1804</v>
      </c>
      <c r="N29">
        <v>755</v>
      </c>
      <c r="O29">
        <v>10780</v>
      </c>
      <c r="P29">
        <v>7106</v>
      </c>
    </row>
    <row r="30" spans="1:16" x14ac:dyDescent="0.25">
      <c r="A30" t="s">
        <v>309</v>
      </c>
      <c r="B30">
        <v>6623</v>
      </c>
      <c r="C30">
        <v>158</v>
      </c>
      <c r="D30">
        <v>53519</v>
      </c>
      <c r="E30">
        <v>38772</v>
      </c>
      <c r="F30">
        <v>525</v>
      </c>
      <c r="G30">
        <v>1688668</v>
      </c>
      <c r="H30">
        <v>809939</v>
      </c>
      <c r="I30">
        <v>112622</v>
      </c>
      <c r="J30">
        <v>40233</v>
      </c>
      <c r="K30">
        <v>35938</v>
      </c>
      <c r="L30">
        <v>19571</v>
      </c>
      <c r="M30">
        <v>10629</v>
      </c>
      <c r="N30">
        <v>3011</v>
      </c>
      <c r="O30">
        <v>46567</v>
      </c>
      <c r="P30">
        <v>22582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ED7D31"/>
  </sheetPr>
  <dimension ref="A1:P30"/>
  <sheetViews>
    <sheetView workbookViewId="0"/>
  </sheetViews>
  <sheetFormatPr defaultRowHeight="15" x14ac:dyDescent="0.25"/>
  <cols>
    <col min="1" max="1" width="26.140625" customWidth="1"/>
    <col min="2" max="2" width="10.42578125" customWidth="1"/>
    <col min="3" max="3" width="10" customWidth="1"/>
    <col min="4" max="4" width="10.140625" customWidth="1"/>
    <col min="7" max="7" width="11.140625" customWidth="1"/>
    <col min="9" max="9" width="10.42578125" customWidth="1"/>
    <col min="15" max="15" width="10" customWidth="1"/>
  </cols>
  <sheetData>
    <row r="1" spans="1:16" x14ac:dyDescent="0.25">
      <c r="A1" s="29" t="s">
        <v>709</v>
      </c>
      <c r="B1" t="s">
        <v>254</v>
      </c>
      <c r="C1" t="s">
        <v>255</v>
      </c>
      <c r="D1" t="s">
        <v>254</v>
      </c>
      <c r="E1" t="s">
        <v>254</v>
      </c>
      <c r="F1" t="s">
        <v>256</v>
      </c>
      <c r="G1" s="29" t="s">
        <v>72</v>
      </c>
      <c r="H1" s="29"/>
      <c r="I1" s="29" t="s">
        <v>257</v>
      </c>
      <c r="J1" s="29"/>
      <c r="K1" s="29" t="s">
        <v>258</v>
      </c>
      <c r="L1" s="29"/>
      <c r="M1" s="29" t="s">
        <v>259</v>
      </c>
      <c r="N1" s="29"/>
      <c r="O1" s="29" t="s">
        <v>311</v>
      </c>
      <c r="P1" s="29"/>
    </row>
    <row r="2" spans="1:16" x14ac:dyDescent="0.25">
      <c r="A2" s="29"/>
      <c r="B2" t="s">
        <v>261</v>
      </c>
      <c r="C2" t="s">
        <v>261</v>
      </c>
      <c r="D2" t="s">
        <v>256</v>
      </c>
      <c r="E2" t="s">
        <v>313</v>
      </c>
      <c r="F2" t="s">
        <v>262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265</v>
      </c>
      <c r="M2" t="s">
        <v>263</v>
      </c>
      <c r="N2" t="s">
        <v>265</v>
      </c>
      <c r="O2" t="s">
        <v>263</v>
      </c>
      <c r="P2" t="s">
        <v>265</v>
      </c>
    </row>
    <row r="3" spans="1:16" x14ac:dyDescent="0.25">
      <c r="A3" t="s">
        <v>283</v>
      </c>
      <c r="B3">
        <v>84</v>
      </c>
      <c r="C3">
        <v>0</v>
      </c>
      <c r="D3">
        <v>890</v>
      </c>
      <c r="E3">
        <v>883</v>
      </c>
      <c r="F3">
        <v>0</v>
      </c>
      <c r="G3">
        <v>41434</v>
      </c>
      <c r="H3">
        <v>22558</v>
      </c>
      <c r="I3">
        <v>823</v>
      </c>
      <c r="J3">
        <v>267</v>
      </c>
      <c r="K3">
        <v>1824</v>
      </c>
      <c r="L3">
        <v>751</v>
      </c>
      <c r="M3">
        <v>314</v>
      </c>
      <c r="N3">
        <v>87</v>
      </c>
      <c r="O3">
        <v>2138</v>
      </c>
      <c r="P3">
        <v>838</v>
      </c>
    </row>
    <row r="4" spans="1:16" x14ac:dyDescent="0.25">
      <c r="A4" t="s">
        <v>284</v>
      </c>
      <c r="B4">
        <v>125</v>
      </c>
      <c r="C4">
        <v>2</v>
      </c>
      <c r="D4">
        <v>1370</v>
      </c>
      <c r="E4">
        <v>1268</v>
      </c>
      <c r="F4">
        <v>0</v>
      </c>
      <c r="G4">
        <v>66806</v>
      </c>
      <c r="H4">
        <v>36169</v>
      </c>
      <c r="I4">
        <v>1550</v>
      </c>
      <c r="J4">
        <v>501</v>
      </c>
      <c r="K4">
        <v>2606</v>
      </c>
      <c r="L4">
        <v>1229</v>
      </c>
      <c r="M4">
        <v>499</v>
      </c>
      <c r="N4">
        <v>165</v>
      </c>
      <c r="O4">
        <v>3105</v>
      </c>
      <c r="P4">
        <v>1394</v>
      </c>
    </row>
    <row r="5" spans="1:16" x14ac:dyDescent="0.25">
      <c r="A5" t="s">
        <v>285</v>
      </c>
      <c r="B5">
        <v>124</v>
      </c>
      <c r="C5">
        <v>1</v>
      </c>
      <c r="D5">
        <v>1495</v>
      </c>
      <c r="E5">
        <v>1355</v>
      </c>
      <c r="F5">
        <v>7</v>
      </c>
      <c r="G5">
        <v>65701</v>
      </c>
      <c r="H5">
        <v>36237</v>
      </c>
      <c r="I5">
        <v>1839</v>
      </c>
      <c r="J5">
        <v>662</v>
      </c>
      <c r="K5">
        <v>2907</v>
      </c>
      <c r="L5">
        <v>1398</v>
      </c>
      <c r="M5">
        <v>672</v>
      </c>
      <c r="N5">
        <v>255</v>
      </c>
      <c r="O5">
        <v>3579</v>
      </c>
      <c r="P5">
        <v>1653</v>
      </c>
    </row>
    <row r="6" spans="1:16" x14ac:dyDescent="0.25">
      <c r="A6" t="s">
        <v>286</v>
      </c>
      <c r="B6">
        <v>77</v>
      </c>
      <c r="C6">
        <v>0</v>
      </c>
      <c r="D6">
        <v>773</v>
      </c>
      <c r="E6">
        <v>742</v>
      </c>
      <c r="F6">
        <v>4</v>
      </c>
      <c r="G6">
        <v>37032</v>
      </c>
      <c r="H6">
        <v>20368</v>
      </c>
      <c r="I6">
        <v>638</v>
      </c>
      <c r="J6">
        <v>178</v>
      </c>
      <c r="K6">
        <v>1602</v>
      </c>
      <c r="L6">
        <v>657</v>
      </c>
      <c r="M6">
        <v>259</v>
      </c>
      <c r="N6">
        <v>68</v>
      </c>
      <c r="O6">
        <v>1861</v>
      </c>
      <c r="P6">
        <v>725</v>
      </c>
    </row>
    <row r="7" spans="1:16" x14ac:dyDescent="0.25">
      <c r="A7" t="s">
        <v>287</v>
      </c>
      <c r="B7">
        <v>96</v>
      </c>
      <c r="C7">
        <v>1</v>
      </c>
      <c r="D7">
        <v>972</v>
      </c>
      <c r="E7">
        <v>828</v>
      </c>
      <c r="F7">
        <v>4</v>
      </c>
      <c r="G7">
        <v>49865</v>
      </c>
      <c r="H7">
        <v>26268</v>
      </c>
      <c r="I7">
        <v>789</v>
      </c>
      <c r="J7">
        <v>228</v>
      </c>
      <c r="K7">
        <v>1979</v>
      </c>
      <c r="L7">
        <v>697</v>
      </c>
      <c r="M7">
        <v>287</v>
      </c>
      <c r="N7">
        <v>44</v>
      </c>
      <c r="O7">
        <v>2266</v>
      </c>
      <c r="P7">
        <v>741</v>
      </c>
    </row>
    <row r="8" spans="1:16" x14ac:dyDescent="0.25">
      <c r="A8" t="s">
        <v>288</v>
      </c>
      <c r="B8">
        <v>92</v>
      </c>
      <c r="C8">
        <v>0</v>
      </c>
      <c r="D8">
        <v>975</v>
      </c>
      <c r="E8">
        <v>945</v>
      </c>
      <c r="F8">
        <v>0</v>
      </c>
      <c r="G8">
        <v>45912</v>
      </c>
      <c r="H8">
        <v>25287</v>
      </c>
      <c r="I8">
        <v>1184</v>
      </c>
      <c r="J8">
        <v>409</v>
      </c>
      <c r="K8">
        <v>1728</v>
      </c>
      <c r="L8">
        <v>793</v>
      </c>
      <c r="M8">
        <v>319</v>
      </c>
      <c r="N8">
        <v>60</v>
      </c>
      <c r="O8">
        <v>2047</v>
      </c>
      <c r="P8">
        <v>853</v>
      </c>
    </row>
    <row r="9" spans="1:16" x14ac:dyDescent="0.25">
      <c r="A9" t="s">
        <v>289</v>
      </c>
      <c r="B9">
        <v>100</v>
      </c>
      <c r="C9">
        <v>0</v>
      </c>
      <c r="D9">
        <v>1159</v>
      </c>
      <c r="E9">
        <v>923</v>
      </c>
      <c r="F9">
        <v>0</v>
      </c>
      <c r="G9">
        <v>42808</v>
      </c>
      <c r="H9">
        <v>22396</v>
      </c>
      <c r="I9">
        <v>1046</v>
      </c>
      <c r="J9">
        <v>301</v>
      </c>
      <c r="K9">
        <v>2249</v>
      </c>
      <c r="L9">
        <v>931</v>
      </c>
      <c r="M9">
        <v>410</v>
      </c>
      <c r="N9">
        <v>91</v>
      </c>
      <c r="O9">
        <v>2659</v>
      </c>
      <c r="P9">
        <v>1022</v>
      </c>
    </row>
    <row r="10" spans="1:16" x14ac:dyDescent="0.25">
      <c r="A10" t="s">
        <v>290</v>
      </c>
      <c r="B10">
        <v>140</v>
      </c>
      <c r="C10">
        <v>0</v>
      </c>
      <c r="D10">
        <v>1794</v>
      </c>
      <c r="E10">
        <v>1655</v>
      </c>
      <c r="F10">
        <v>52</v>
      </c>
      <c r="G10">
        <v>78586</v>
      </c>
      <c r="H10">
        <v>42128</v>
      </c>
      <c r="I10">
        <v>1771</v>
      </c>
      <c r="J10">
        <v>568</v>
      </c>
      <c r="K10">
        <v>4382</v>
      </c>
      <c r="L10">
        <v>2030</v>
      </c>
      <c r="M10">
        <v>606</v>
      </c>
      <c r="N10">
        <v>133</v>
      </c>
      <c r="O10">
        <v>4988</v>
      </c>
      <c r="P10">
        <v>2163</v>
      </c>
    </row>
    <row r="11" spans="1:16" x14ac:dyDescent="0.25">
      <c r="A11" t="s">
        <v>291</v>
      </c>
      <c r="B11">
        <v>6</v>
      </c>
      <c r="C11">
        <v>0</v>
      </c>
      <c r="D11">
        <v>71</v>
      </c>
      <c r="E11">
        <v>71</v>
      </c>
      <c r="F11">
        <v>0</v>
      </c>
      <c r="G11">
        <v>2513</v>
      </c>
      <c r="H11">
        <v>1304</v>
      </c>
      <c r="I11">
        <v>90</v>
      </c>
      <c r="J11">
        <v>24</v>
      </c>
      <c r="K11">
        <v>225</v>
      </c>
      <c r="L11">
        <v>97</v>
      </c>
      <c r="M11">
        <v>33</v>
      </c>
      <c r="N11">
        <v>8</v>
      </c>
      <c r="O11">
        <v>258</v>
      </c>
      <c r="P11">
        <v>105</v>
      </c>
    </row>
    <row r="12" spans="1:16" x14ac:dyDescent="0.25">
      <c r="A12" t="s">
        <v>292</v>
      </c>
      <c r="B12">
        <v>31</v>
      </c>
      <c r="C12">
        <v>0</v>
      </c>
      <c r="D12">
        <v>205</v>
      </c>
      <c r="E12">
        <v>192</v>
      </c>
      <c r="F12">
        <v>0</v>
      </c>
      <c r="G12">
        <v>7789</v>
      </c>
      <c r="H12">
        <v>3950</v>
      </c>
      <c r="I12">
        <v>86</v>
      </c>
      <c r="J12">
        <v>29</v>
      </c>
      <c r="K12">
        <v>435</v>
      </c>
      <c r="L12">
        <v>151</v>
      </c>
      <c r="M12">
        <v>53</v>
      </c>
      <c r="N12">
        <v>12</v>
      </c>
      <c r="O12">
        <v>488</v>
      </c>
      <c r="P12">
        <v>163</v>
      </c>
    </row>
    <row r="13" spans="1:16" x14ac:dyDescent="0.25">
      <c r="A13" t="s">
        <v>293</v>
      </c>
      <c r="B13">
        <v>55</v>
      </c>
      <c r="C13">
        <v>0</v>
      </c>
      <c r="D13">
        <v>429</v>
      </c>
      <c r="E13">
        <v>419</v>
      </c>
      <c r="F13">
        <v>24</v>
      </c>
      <c r="G13">
        <v>19315</v>
      </c>
      <c r="H13">
        <v>10426</v>
      </c>
      <c r="I13">
        <v>344</v>
      </c>
      <c r="J13">
        <v>102</v>
      </c>
      <c r="K13">
        <v>952</v>
      </c>
      <c r="L13">
        <v>484</v>
      </c>
      <c r="M13">
        <v>116</v>
      </c>
      <c r="N13">
        <v>32</v>
      </c>
      <c r="O13">
        <v>1068</v>
      </c>
      <c r="P13">
        <v>516</v>
      </c>
    </row>
    <row r="14" spans="1:16" x14ac:dyDescent="0.25">
      <c r="A14" t="s">
        <v>294</v>
      </c>
      <c r="B14">
        <v>14</v>
      </c>
      <c r="C14">
        <v>0</v>
      </c>
      <c r="D14">
        <v>108</v>
      </c>
      <c r="E14">
        <v>101</v>
      </c>
      <c r="F14">
        <v>0</v>
      </c>
      <c r="G14">
        <v>4904</v>
      </c>
      <c r="H14">
        <v>2621</v>
      </c>
      <c r="I14">
        <v>166</v>
      </c>
      <c r="J14">
        <v>53</v>
      </c>
      <c r="K14">
        <v>234</v>
      </c>
      <c r="L14">
        <v>87</v>
      </c>
      <c r="M14">
        <v>15</v>
      </c>
      <c r="N14">
        <v>2</v>
      </c>
      <c r="O14">
        <v>249</v>
      </c>
      <c r="P14">
        <v>89</v>
      </c>
    </row>
    <row r="15" spans="1:16" x14ac:dyDescent="0.25">
      <c r="A15" t="s">
        <v>295</v>
      </c>
      <c r="B15">
        <v>38</v>
      </c>
      <c r="C15">
        <v>1</v>
      </c>
      <c r="D15">
        <v>322</v>
      </c>
      <c r="E15">
        <v>303</v>
      </c>
      <c r="F15">
        <v>0</v>
      </c>
      <c r="G15">
        <v>14582</v>
      </c>
      <c r="H15">
        <v>7592</v>
      </c>
      <c r="I15">
        <v>537</v>
      </c>
      <c r="J15">
        <v>162</v>
      </c>
      <c r="K15">
        <v>500</v>
      </c>
      <c r="L15">
        <v>178</v>
      </c>
      <c r="M15">
        <v>61</v>
      </c>
      <c r="N15">
        <v>10</v>
      </c>
      <c r="O15">
        <v>561</v>
      </c>
      <c r="P15">
        <v>188</v>
      </c>
    </row>
    <row r="16" spans="1:16" x14ac:dyDescent="0.25">
      <c r="A16" t="s">
        <v>296</v>
      </c>
      <c r="B16">
        <v>9</v>
      </c>
      <c r="C16">
        <v>0</v>
      </c>
      <c r="D16">
        <v>114</v>
      </c>
      <c r="E16">
        <v>114</v>
      </c>
      <c r="F16">
        <v>0</v>
      </c>
      <c r="G16">
        <v>4936</v>
      </c>
      <c r="H16">
        <v>2632</v>
      </c>
      <c r="I16">
        <v>176</v>
      </c>
      <c r="J16">
        <v>63</v>
      </c>
      <c r="K16">
        <v>309</v>
      </c>
      <c r="L16">
        <v>135</v>
      </c>
      <c r="M16">
        <v>41</v>
      </c>
      <c r="N16">
        <v>8</v>
      </c>
      <c r="O16">
        <v>350</v>
      </c>
      <c r="P16">
        <v>143</v>
      </c>
    </row>
    <row r="17" spans="1:16" x14ac:dyDescent="0.25">
      <c r="A17" t="s">
        <v>297</v>
      </c>
      <c r="B17">
        <v>66</v>
      </c>
      <c r="C17">
        <v>0</v>
      </c>
      <c r="D17">
        <v>1967</v>
      </c>
      <c r="E17">
        <v>1322</v>
      </c>
      <c r="F17">
        <v>0</v>
      </c>
      <c r="G17">
        <v>90657</v>
      </c>
      <c r="H17">
        <v>45883</v>
      </c>
      <c r="I17">
        <v>2301</v>
      </c>
      <c r="J17">
        <v>822</v>
      </c>
      <c r="K17">
        <v>5779</v>
      </c>
      <c r="L17">
        <v>2647</v>
      </c>
      <c r="M17">
        <v>552</v>
      </c>
      <c r="N17">
        <v>173</v>
      </c>
      <c r="O17">
        <v>6331</v>
      </c>
      <c r="P17">
        <v>2820</v>
      </c>
    </row>
    <row r="18" spans="1:16" x14ac:dyDescent="0.25">
      <c r="A18" t="s">
        <v>298</v>
      </c>
      <c r="B18">
        <v>27</v>
      </c>
      <c r="C18">
        <v>0</v>
      </c>
      <c r="D18">
        <v>300</v>
      </c>
      <c r="E18">
        <v>300</v>
      </c>
      <c r="F18">
        <v>0</v>
      </c>
      <c r="G18">
        <v>12331</v>
      </c>
      <c r="H18">
        <v>6334</v>
      </c>
      <c r="I18">
        <v>612</v>
      </c>
      <c r="J18">
        <v>221</v>
      </c>
      <c r="K18">
        <v>689</v>
      </c>
      <c r="L18">
        <v>246</v>
      </c>
      <c r="M18">
        <v>87</v>
      </c>
      <c r="N18">
        <v>23</v>
      </c>
      <c r="O18">
        <v>776</v>
      </c>
      <c r="P18">
        <v>269</v>
      </c>
    </row>
    <row r="19" spans="1:16" x14ac:dyDescent="0.25">
      <c r="A19" t="s">
        <v>299</v>
      </c>
      <c r="B19">
        <v>64</v>
      </c>
      <c r="C19">
        <v>0</v>
      </c>
      <c r="D19">
        <v>378</v>
      </c>
      <c r="E19">
        <v>378</v>
      </c>
      <c r="F19">
        <v>0</v>
      </c>
      <c r="G19">
        <v>15325</v>
      </c>
      <c r="H19">
        <v>8386</v>
      </c>
      <c r="I19">
        <v>149</v>
      </c>
      <c r="J19">
        <v>59</v>
      </c>
      <c r="K19">
        <v>747</v>
      </c>
      <c r="L19">
        <v>305</v>
      </c>
      <c r="M19">
        <v>81</v>
      </c>
      <c r="N19">
        <v>26</v>
      </c>
      <c r="O19">
        <v>828</v>
      </c>
      <c r="P19">
        <v>331</v>
      </c>
    </row>
    <row r="20" spans="1:16" x14ac:dyDescent="0.25">
      <c r="A20" t="s">
        <v>300</v>
      </c>
      <c r="B20">
        <v>124</v>
      </c>
      <c r="C20">
        <v>0</v>
      </c>
      <c r="D20">
        <v>1557</v>
      </c>
      <c r="E20">
        <v>1448</v>
      </c>
      <c r="F20">
        <v>38</v>
      </c>
      <c r="G20">
        <v>71281</v>
      </c>
      <c r="H20">
        <v>37777</v>
      </c>
      <c r="I20">
        <v>746</v>
      </c>
      <c r="J20">
        <v>239</v>
      </c>
      <c r="K20">
        <v>2504</v>
      </c>
      <c r="L20">
        <v>939</v>
      </c>
      <c r="M20">
        <v>590</v>
      </c>
      <c r="N20">
        <v>112</v>
      </c>
      <c r="O20">
        <v>3094</v>
      </c>
      <c r="P20">
        <v>1051</v>
      </c>
    </row>
    <row r="21" spans="1:16" x14ac:dyDescent="0.25">
      <c r="A21" t="s">
        <v>301</v>
      </c>
      <c r="B21">
        <v>60</v>
      </c>
      <c r="C21">
        <v>0</v>
      </c>
      <c r="D21">
        <v>653</v>
      </c>
      <c r="E21">
        <v>634</v>
      </c>
      <c r="F21">
        <v>0</v>
      </c>
      <c r="G21">
        <v>28858</v>
      </c>
      <c r="H21">
        <v>15425</v>
      </c>
      <c r="I21">
        <v>351</v>
      </c>
      <c r="J21">
        <v>105</v>
      </c>
      <c r="K21">
        <v>1422</v>
      </c>
      <c r="L21">
        <v>538</v>
      </c>
      <c r="M21">
        <v>227</v>
      </c>
      <c r="N21">
        <v>46</v>
      </c>
      <c r="O21">
        <v>1649</v>
      </c>
      <c r="P21">
        <v>584</v>
      </c>
    </row>
    <row r="22" spans="1:16" x14ac:dyDescent="0.25">
      <c r="A22" t="s">
        <v>302</v>
      </c>
      <c r="B22">
        <v>27</v>
      </c>
      <c r="C22">
        <v>0</v>
      </c>
      <c r="D22">
        <v>242</v>
      </c>
      <c r="E22">
        <v>227</v>
      </c>
      <c r="F22">
        <v>11</v>
      </c>
      <c r="G22">
        <v>12110</v>
      </c>
      <c r="H22">
        <v>6005</v>
      </c>
      <c r="I22">
        <v>125</v>
      </c>
      <c r="J22">
        <v>38</v>
      </c>
      <c r="K22">
        <v>461</v>
      </c>
      <c r="L22">
        <v>194</v>
      </c>
      <c r="M22">
        <v>36</v>
      </c>
      <c r="N22">
        <v>12</v>
      </c>
      <c r="O22">
        <v>497</v>
      </c>
      <c r="P22">
        <v>206</v>
      </c>
    </row>
    <row r="23" spans="1:16" x14ac:dyDescent="0.25">
      <c r="A23" t="s">
        <v>303</v>
      </c>
      <c r="B23">
        <v>123</v>
      </c>
      <c r="C23">
        <v>0</v>
      </c>
      <c r="D23">
        <v>1562</v>
      </c>
      <c r="E23">
        <v>1398</v>
      </c>
      <c r="F23">
        <v>22</v>
      </c>
      <c r="G23">
        <v>78266</v>
      </c>
      <c r="H23">
        <v>43287</v>
      </c>
      <c r="I23">
        <v>2386</v>
      </c>
      <c r="J23">
        <v>732</v>
      </c>
      <c r="K23">
        <v>2460</v>
      </c>
      <c r="L23">
        <v>1164</v>
      </c>
      <c r="M23">
        <v>478</v>
      </c>
      <c r="N23">
        <v>181</v>
      </c>
      <c r="O23">
        <v>2938</v>
      </c>
      <c r="P23">
        <v>1345</v>
      </c>
    </row>
    <row r="24" spans="1:16" x14ac:dyDescent="0.25">
      <c r="A24" t="s">
        <v>304</v>
      </c>
      <c r="B24">
        <v>37</v>
      </c>
      <c r="C24">
        <v>0</v>
      </c>
      <c r="D24">
        <v>191</v>
      </c>
      <c r="E24">
        <v>186</v>
      </c>
      <c r="F24">
        <v>6</v>
      </c>
      <c r="G24">
        <v>7543</v>
      </c>
      <c r="H24">
        <v>3962</v>
      </c>
      <c r="I24">
        <v>179</v>
      </c>
      <c r="J24">
        <v>64</v>
      </c>
      <c r="K24">
        <v>458</v>
      </c>
      <c r="L24">
        <v>192</v>
      </c>
      <c r="M24">
        <v>52</v>
      </c>
      <c r="N24">
        <v>14</v>
      </c>
      <c r="O24">
        <v>510</v>
      </c>
      <c r="P24">
        <v>206</v>
      </c>
    </row>
    <row r="25" spans="1:16" x14ac:dyDescent="0.25">
      <c r="A25" t="s">
        <v>305</v>
      </c>
      <c r="B25">
        <v>74</v>
      </c>
      <c r="C25">
        <v>0</v>
      </c>
      <c r="D25">
        <v>874</v>
      </c>
      <c r="E25">
        <v>826</v>
      </c>
      <c r="F25">
        <v>34</v>
      </c>
      <c r="G25">
        <v>38198</v>
      </c>
      <c r="H25">
        <v>19810</v>
      </c>
      <c r="I25">
        <v>693</v>
      </c>
      <c r="J25">
        <v>178</v>
      </c>
      <c r="K25">
        <v>1833</v>
      </c>
      <c r="L25">
        <v>540</v>
      </c>
      <c r="M25">
        <v>371</v>
      </c>
      <c r="N25">
        <v>85</v>
      </c>
      <c r="O25">
        <v>2204</v>
      </c>
      <c r="P25">
        <v>625</v>
      </c>
    </row>
    <row r="26" spans="1:16" x14ac:dyDescent="0.25">
      <c r="A26" t="s">
        <v>306</v>
      </c>
      <c r="B26">
        <v>119</v>
      </c>
      <c r="C26">
        <v>1</v>
      </c>
      <c r="D26">
        <v>1763</v>
      </c>
      <c r="E26">
        <v>1730</v>
      </c>
      <c r="F26">
        <v>11</v>
      </c>
      <c r="G26">
        <v>73313</v>
      </c>
      <c r="H26">
        <v>38063</v>
      </c>
      <c r="I26">
        <v>2205</v>
      </c>
      <c r="J26">
        <v>675</v>
      </c>
      <c r="K26">
        <v>3194</v>
      </c>
      <c r="L26">
        <v>999</v>
      </c>
      <c r="M26">
        <v>760</v>
      </c>
      <c r="N26">
        <v>186</v>
      </c>
      <c r="O26">
        <v>3954</v>
      </c>
      <c r="P26">
        <v>1185</v>
      </c>
    </row>
    <row r="27" spans="1:16" x14ac:dyDescent="0.25">
      <c r="A27" t="s">
        <v>307</v>
      </c>
      <c r="B27">
        <v>79</v>
      </c>
      <c r="C27">
        <v>0</v>
      </c>
      <c r="D27">
        <v>932</v>
      </c>
      <c r="E27">
        <v>876</v>
      </c>
      <c r="F27">
        <v>0</v>
      </c>
      <c r="G27">
        <v>43615</v>
      </c>
      <c r="H27">
        <v>24030</v>
      </c>
      <c r="I27">
        <v>1208</v>
      </c>
      <c r="J27">
        <v>400</v>
      </c>
      <c r="K27">
        <v>1418</v>
      </c>
      <c r="L27">
        <v>593</v>
      </c>
      <c r="M27">
        <v>246</v>
      </c>
      <c r="N27">
        <v>63</v>
      </c>
      <c r="O27">
        <v>1664</v>
      </c>
      <c r="P27">
        <v>656</v>
      </c>
    </row>
    <row r="28" spans="1:16" x14ac:dyDescent="0.25">
      <c r="A28" t="s">
        <v>266</v>
      </c>
      <c r="B28">
        <v>1791</v>
      </c>
      <c r="C28">
        <v>6</v>
      </c>
      <c r="D28">
        <v>21096</v>
      </c>
      <c r="E28">
        <v>19124</v>
      </c>
      <c r="F28">
        <v>213</v>
      </c>
      <c r="G28">
        <v>953680</v>
      </c>
      <c r="H28">
        <v>508898</v>
      </c>
      <c r="I28">
        <v>21994</v>
      </c>
      <c r="J28">
        <v>7080</v>
      </c>
      <c r="K28">
        <v>42897</v>
      </c>
      <c r="L28">
        <v>17975</v>
      </c>
      <c r="M28">
        <v>7165</v>
      </c>
      <c r="N28">
        <v>1896</v>
      </c>
      <c r="O28">
        <v>50062</v>
      </c>
      <c r="P28">
        <v>19871</v>
      </c>
    </row>
    <row r="29" spans="1:16" x14ac:dyDescent="0.25">
      <c r="A29" t="s">
        <v>308</v>
      </c>
      <c r="B29">
        <v>228</v>
      </c>
      <c r="C29">
        <v>1</v>
      </c>
      <c r="D29">
        <v>4866</v>
      </c>
      <c r="E29">
        <v>4093</v>
      </c>
      <c r="F29">
        <v>30</v>
      </c>
      <c r="G29">
        <v>221236</v>
      </c>
      <c r="H29">
        <v>115056</v>
      </c>
      <c r="I29">
        <v>5675</v>
      </c>
      <c r="J29">
        <v>1933</v>
      </c>
      <c r="K29">
        <v>12376</v>
      </c>
      <c r="L29">
        <v>5651</v>
      </c>
      <c r="M29">
        <v>1576</v>
      </c>
      <c r="N29">
        <v>566</v>
      </c>
      <c r="O29">
        <v>13952</v>
      </c>
      <c r="P29">
        <v>6217</v>
      </c>
    </row>
    <row r="30" spans="1:16" x14ac:dyDescent="0.25">
      <c r="A30" t="s">
        <v>309</v>
      </c>
      <c r="B30">
        <v>1563</v>
      </c>
      <c r="C30">
        <v>5</v>
      </c>
      <c r="D30">
        <v>16230</v>
      </c>
      <c r="E30">
        <v>15031</v>
      </c>
      <c r="F30">
        <v>183</v>
      </c>
      <c r="G30">
        <v>732444</v>
      </c>
      <c r="H30">
        <v>393842</v>
      </c>
      <c r="I30">
        <v>16319</v>
      </c>
      <c r="J30">
        <v>5147</v>
      </c>
      <c r="K30">
        <v>30521</v>
      </c>
      <c r="L30">
        <v>12324</v>
      </c>
      <c r="M30">
        <v>5589</v>
      </c>
      <c r="N30">
        <v>1330</v>
      </c>
      <c r="O30">
        <v>36110</v>
      </c>
      <c r="P30">
        <v>13654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70AD47"/>
  </sheetPr>
  <dimension ref="A1:V30"/>
  <sheetViews>
    <sheetView workbookViewId="0"/>
  </sheetViews>
  <sheetFormatPr defaultRowHeight="15" x14ac:dyDescent="0.25"/>
  <cols>
    <col min="1" max="1" width="19.28515625" customWidth="1"/>
    <col min="2" max="2" width="6.42578125" customWidth="1"/>
    <col min="3" max="3" width="6.85546875" customWidth="1"/>
    <col min="4" max="4" width="7.140625" customWidth="1"/>
    <col min="5" max="5" width="7.28515625" customWidth="1"/>
    <col min="6" max="6" width="8" customWidth="1"/>
    <col min="7" max="7" width="8.140625" customWidth="1"/>
    <col min="9" max="9" width="8" customWidth="1"/>
    <col min="10" max="10" width="7.28515625" customWidth="1"/>
    <col min="15" max="15" width="7.42578125" customWidth="1"/>
    <col min="16" max="16" width="7.28515625" customWidth="1"/>
    <col min="17" max="17" width="7.85546875" customWidth="1"/>
    <col min="18" max="18" width="8.7109375" customWidth="1"/>
    <col min="19" max="19" width="8.42578125" customWidth="1"/>
    <col min="20" max="20" width="8.140625" customWidth="1"/>
    <col min="21" max="21" width="7.28515625" customWidth="1"/>
    <col min="22" max="22" width="8" customWidth="1"/>
  </cols>
  <sheetData>
    <row r="1" spans="1:22" x14ac:dyDescent="0.25">
      <c r="A1" s="29" t="s">
        <v>709</v>
      </c>
      <c r="B1" s="29" t="s">
        <v>326</v>
      </c>
      <c r="C1" s="29"/>
      <c r="D1" s="29"/>
      <c r="E1" s="29"/>
      <c r="F1" s="29" t="s">
        <v>327</v>
      </c>
      <c r="G1" s="29"/>
      <c r="H1" s="29"/>
      <c r="I1" s="29"/>
      <c r="J1" s="29"/>
      <c r="K1" s="29"/>
      <c r="L1" s="29" t="s">
        <v>328</v>
      </c>
      <c r="M1" s="29"/>
      <c r="N1" s="29"/>
      <c r="O1" s="29" t="s">
        <v>329</v>
      </c>
      <c r="P1" s="29"/>
      <c r="Q1" s="29"/>
      <c r="R1" s="29" t="s">
        <v>256</v>
      </c>
      <c r="S1" s="29"/>
      <c r="T1" s="29"/>
      <c r="U1" s="29"/>
      <c r="V1" s="29"/>
    </row>
    <row r="2" spans="1:22" x14ac:dyDescent="0.25">
      <c r="A2" s="29"/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335</v>
      </c>
      <c r="H2" t="s">
        <v>336</v>
      </c>
      <c r="I2" t="s">
        <v>337</v>
      </c>
      <c r="J2" t="s">
        <v>338</v>
      </c>
      <c r="K2" t="s">
        <v>339</v>
      </c>
      <c r="L2" t="s">
        <v>340</v>
      </c>
      <c r="M2" t="s">
        <v>341</v>
      </c>
      <c r="N2" t="s">
        <v>342</v>
      </c>
      <c r="O2" t="s">
        <v>343</v>
      </c>
      <c r="P2" t="s">
        <v>344</v>
      </c>
      <c r="Q2" t="s">
        <v>345</v>
      </c>
      <c r="R2" t="s">
        <v>326</v>
      </c>
      <c r="S2" t="s">
        <v>346</v>
      </c>
      <c r="T2" t="s">
        <v>347</v>
      </c>
      <c r="U2" t="s">
        <v>348</v>
      </c>
      <c r="V2" t="s">
        <v>263</v>
      </c>
    </row>
    <row r="3" spans="1:22" x14ac:dyDescent="0.25">
      <c r="A3" t="s">
        <v>283</v>
      </c>
      <c r="B3">
        <v>34</v>
      </c>
      <c r="C3">
        <v>97</v>
      </c>
      <c r="D3">
        <v>173</v>
      </c>
      <c r="E3">
        <v>242</v>
      </c>
      <c r="F3">
        <v>563</v>
      </c>
      <c r="G3">
        <v>562</v>
      </c>
      <c r="H3">
        <v>548</v>
      </c>
      <c r="I3">
        <v>542</v>
      </c>
      <c r="J3">
        <v>523</v>
      </c>
      <c r="K3">
        <v>493</v>
      </c>
      <c r="L3">
        <v>239</v>
      </c>
      <c r="M3">
        <v>193</v>
      </c>
      <c r="N3">
        <v>164</v>
      </c>
      <c r="O3">
        <v>114</v>
      </c>
      <c r="P3">
        <v>93</v>
      </c>
      <c r="Q3">
        <v>87</v>
      </c>
      <c r="R3">
        <v>546</v>
      </c>
      <c r="S3">
        <v>3231</v>
      </c>
      <c r="T3">
        <v>596</v>
      </c>
      <c r="U3">
        <v>294</v>
      </c>
      <c r="V3">
        <v>4667</v>
      </c>
    </row>
    <row r="4" spans="1:22" x14ac:dyDescent="0.25">
      <c r="A4" t="s">
        <v>284</v>
      </c>
      <c r="B4">
        <v>35</v>
      </c>
      <c r="C4">
        <v>162</v>
      </c>
      <c r="D4">
        <v>295</v>
      </c>
      <c r="E4">
        <v>296</v>
      </c>
      <c r="F4">
        <v>1025</v>
      </c>
      <c r="G4">
        <v>995</v>
      </c>
      <c r="H4">
        <v>939</v>
      </c>
      <c r="I4">
        <v>895</v>
      </c>
      <c r="J4">
        <v>859</v>
      </c>
      <c r="K4">
        <v>823</v>
      </c>
      <c r="L4">
        <v>389</v>
      </c>
      <c r="M4">
        <v>300</v>
      </c>
      <c r="N4">
        <v>248</v>
      </c>
      <c r="O4">
        <v>177</v>
      </c>
      <c r="P4">
        <v>135</v>
      </c>
      <c r="Q4">
        <v>121</v>
      </c>
      <c r="R4">
        <v>788</v>
      </c>
      <c r="S4">
        <v>5536</v>
      </c>
      <c r="T4">
        <v>937</v>
      </c>
      <c r="U4">
        <v>433</v>
      </c>
      <c r="V4">
        <v>7694</v>
      </c>
    </row>
    <row r="5" spans="1:22" x14ac:dyDescent="0.25">
      <c r="A5" t="s">
        <v>285</v>
      </c>
      <c r="B5">
        <v>14</v>
      </c>
      <c r="C5">
        <v>111</v>
      </c>
      <c r="D5">
        <v>383</v>
      </c>
      <c r="E5">
        <v>46</v>
      </c>
      <c r="F5">
        <v>711</v>
      </c>
      <c r="G5">
        <v>689</v>
      </c>
      <c r="H5">
        <v>652</v>
      </c>
      <c r="I5">
        <v>632</v>
      </c>
      <c r="J5">
        <v>608</v>
      </c>
      <c r="K5">
        <v>564</v>
      </c>
      <c r="L5">
        <v>371</v>
      </c>
      <c r="M5">
        <v>315</v>
      </c>
      <c r="N5">
        <v>267</v>
      </c>
      <c r="O5">
        <v>204</v>
      </c>
      <c r="P5">
        <v>175</v>
      </c>
      <c r="Q5">
        <v>163</v>
      </c>
      <c r="R5">
        <v>554</v>
      </c>
      <c r="S5">
        <v>3856</v>
      </c>
      <c r="T5">
        <v>953</v>
      </c>
      <c r="U5">
        <v>542</v>
      </c>
      <c r="V5">
        <v>5905</v>
      </c>
    </row>
    <row r="6" spans="1:22" x14ac:dyDescent="0.25">
      <c r="A6" t="s">
        <v>286</v>
      </c>
      <c r="B6">
        <v>17</v>
      </c>
      <c r="C6">
        <v>48</v>
      </c>
      <c r="D6">
        <v>114</v>
      </c>
      <c r="E6">
        <v>40</v>
      </c>
      <c r="F6">
        <v>394</v>
      </c>
      <c r="G6">
        <v>376</v>
      </c>
      <c r="H6">
        <v>373</v>
      </c>
      <c r="I6">
        <v>355</v>
      </c>
      <c r="J6">
        <v>359</v>
      </c>
      <c r="K6">
        <v>355</v>
      </c>
      <c r="L6">
        <v>198</v>
      </c>
      <c r="M6">
        <v>163</v>
      </c>
      <c r="N6">
        <v>145</v>
      </c>
      <c r="O6">
        <v>99</v>
      </c>
      <c r="P6">
        <v>89</v>
      </c>
      <c r="Q6">
        <v>79</v>
      </c>
      <c r="R6">
        <v>219</v>
      </c>
      <c r="S6">
        <v>2212</v>
      </c>
      <c r="T6">
        <v>506</v>
      </c>
      <c r="U6">
        <v>267</v>
      </c>
      <c r="V6">
        <v>3204</v>
      </c>
    </row>
    <row r="7" spans="1:22" x14ac:dyDescent="0.25">
      <c r="A7" t="s">
        <v>287</v>
      </c>
      <c r="B7">
        <v>11</v>
      </c>
      <c r="C7">
        <v>35</v>
      </c>
      <c r="D7">
        <v>191</v>
      </c>
      <c r="E7">
        <v>72</v>
      </c>
      <c r="F7">
        <v>485</v>
      </c>
      <c r="G7">
        <v>475</v>
      </c>
      <c r="H7">
        <v>488</v>
      </c>
      <c r="I7">
        <v>475</v>
      </c>
      <c r="J7">
        <v>481</v>
      </c>
      <c r="K7">
        <v>459</v>
      </c>
      <c r="L7">
        <v>271</v>
      </c>
      <c r="M7">
        <v>215</v>
      </c>
      <c r="N7">
        <v>183</v>
      </c>
      <c r="O7">
        <v>114</v>
      </c>
      <c r="P7">
        <v>95</v>
      </c>
      <c r="Q7">
        <v>94</v>
      </c>
      <c r="R7">
        <v>309</v>
      </c>
      <c r="S7">
        <v>2863</v>
      </c>
      <c r="T7">
        <v>669</v>
      </c>
      <c r="U7">
        <v>303</v>
      </c>
      <c r="V7">
        <v>4144</v>
      </c>
    </row>
    <row r="8" spans="1:22" x14ac:dyDescent="0.25">
      <c r="A8" t="s">
        <v>288</v>
      </c>
      <c r="B8">
        <v>16</v>
      </c>
      <c r="C8">
        <v>54</v>
      </c>
      <c r="D8">
        <v>149</v>
      </c>
      <c r="E8">
        <v>84</v>
      </c>
      <c r="F8">
        <v>598</v>
      </c>
      <c r="G8">
        <v>584</v>
      </c>
      <c r="H8">
        <v>566</v>
      </c>
      <c r="I8">
        <v>535</v>
      </c>
      <c r="J8">
        <v>512</v>
      </c>
      <c r="K8">
        <v>502</v>
      </c>
      <c r="L8">
        <v>252</v>
      </c>
      <c r="M8">
        <v>205</v>
      </c>
      <c r="N8">
        <v>185</v>
      </c>
      <c r="O8">
        <v>123</v>
      </c>
      <c r="P8">
        <v>109</v>
      </c>
      <c r="Q8">
        <v>101</v>
      </c>
      <c r="R8">
        <v>303</v>
      </c>
      <c r="S8">
        <v>3297</v>
      </c>
      <c r="T8">
        <v>642</v>
      </c>
      <c r="U8">
        <v>333</v>
      </c>
      <c r="V8">
        <v>4575</v>
      </c>
    </row>
    <row r="9" spans="1:22" x14ac:dyDescent="0.25">
      <c r="A9" t="s">
        <v>289</v>
      </c>
      <c r="B9">
        <v>10</v>
      </c>
      <c r="C9">
        <v>26</v>
      </c>
      <c r="D9">
        <v>189</v>
      </c>
      <c r="E9">
        <v>41</v>
      </c>
      <c r="F9">
        <v>431</v>
      </c>
      <c r="G9">
        <v>416</v>
      </c>
      <c r="H9">
        <v>405</v>
      </c>
      <c r="I9">
        <v>397</v>
      </c>
      <c r="J9">
        <v>403</v>
      </c>
      <c r="K9">
        <v>385</v>
      </c>
      <c r="L9">
        <v>315</v>
      </c>
      <c r="M9">
        <v>250</v>
      </c>
      <c r="N9">
        <v>248</v>
      </c>
      <c r="O9">
        <v>124</v>
      </c>
      <c r="P9">
        <v>114</v>
      </c>
      <c r="Q9">
        <v>108</v>
      </c>
      <c r="R9">
        <v>266</v>
      </c>
      <c r="S9">
        <v>2437</v>
      </c>
      <c r="T9">
        <v>813</v>
      </c>
      <c r="U9">
        <v>346</v>
      </c>
      <c r="V9">
        <v>3862</v>
      </c>
    </row>
    <row r="10" spans="1:22" x14ac:dyDescent="0.25">
      <c r="A10" t="s">
        <v>290</v>
      </c>
      <c r="B10">
        <v>37</v>
      </c>
      <c r="C10">
        <v>129</v>
      </c>
      <c r="D10">
        <v>325</v>
      </c>
      <c r="E10">
        <v>24</v>
      </c>
      <c r="F10">
        <v>794</v>
      </c>
      <c r="G10">
        <v>761</v>
      </c>
      <c r="H10">
        <v>731</v>
      </c>
      <c r="I10">
        <v>696</v>
      </c>
      <c r="J10">
        <v>676</v>
      </c>
      <c r="K10">
        <v>642</v>
      </c>
      <c r="L10">
        <v>453</v>
      </c>
      <c r="M10">
        <v>375</v>
      </c>
      <c r="N10">
        <v>327</v>
      </c>
      <c r="O10">
        <v>240</v>
      </c>
      <c r="P10">
        <v>209</v>
      </c>
      <c r="Q10">
        <v>190</v>
      </c>
      <c r="R10">
        <v>515</v>
      </c>
      <c r="S10">
        <v>4300</v>
      </c>
      <c r="T10">
        <v>1155</v>
      </c>
      <c r="U10">
        <v>639</v>
      </c>
      <c r="V10">
        <v>6609</v>
      </c>
    </row>
    <row r="11" spans="1:22" x14ac:dyDescent="0.25">
      <c r="A11" t="s">
        <v>291</v>
      </c>
      <c r="B11">
        <v>1</v>
      </c>
      <c r="C11">
        <v>4</v>
      </c>
      <c r="D11">
        <v>11</v>
      </c>
      <c r="E11">
        <v>16</v>
      </c>
      <c r="F11">
        <v>35</v>
      </c>
      <c r="G11">
        <v>32</v>
      </c>
      <c r="H11">
        <v>28</v>
      </c>
      <c r="I11">
        <v>26</v>
      </c>
      <c r="J11">
        <v>27</v>
      </c>
      <c r="K11">
        <v>25</v>
      </c>
      <c r="L11">
        <v>16</v>
      </c>
      <c r="M11">
        <v>14</v>
      </c>
      <c r="N11">
        <v>14</v>
      </c>
      <c r="O11">
        <v>9</v>
      </c>
      <c r="P11">
        <v>9</v>
      </c>
      <c r="Q11">
        <v>9</v>
      </c>
      <c r="R11">
        <v>32</v>
      </c>
      <c r="S11">
        <v>173</v>
      </c>
      <c r="T11">
        <v>44</v>
      </c>
      <c r="U11">
        <v>27</v>
      </c>
      <c r="V11">
        <v>276</v>
      </c>
    </row>
    <row r="12" spans="1:22" x14ac:dyDescent="0.25">
      <c r="A12" t="s">
        <v>292</v>
      </c>
      <c r="B12">
        <v>4</v>
      </c>
      <c r="C12">
        <v>7</v>
      </c>
      <c r="D12">
        <v>16</v>
      </c>
      <c r="E12">
        <v>60</v>
      </c>
      <c r="F12">
        <v>143</v>
      </c>
      <c r="G12">
        <v>145</v>
      </c>
      <c r="H12">
        <v>133</v>
      </c>
      <c r="I12">
        <v>136</v>
      </c>
      <c r="J12">
        <v>127</v>
      </c>
      <c r="K12">
        <v>125</v>
      </c>
      <c r="L12">
        <v>52</v>
      </c>
      <c r="M12">
        <v>45</v>
      </c>
      <c r="N12">
        <v>42</v>
      </c>
      <c r="O12">
        <v>26</v>
      </c>
      <c r="P12">
        <v>23</v>
      </c>
      <c r="Q12">
        <v>17</v>
      </c>
      <c r="R12">
        <v>87</v>
      </c>
      <c r="S12">
        <v>809</v>
      </c>
      <c r="T12">
        <v>139</v>
      </c>
      <c r="U12">
        <v>66</v>
      </c>
      <c r="V12">
        <v>1101</v>
      </c>
    </row>
    <row r="13" spans="1:22" x14ac:dyDescent="0.25">
      <c r="A13" t="s">
        <v>293</v>
      </c>
      <c r="B13">
        <v>6</v>
      </c>
      <c r="C13">
        <v>27</v>
      </c>
      <c r="D13">
        <v>87</v>
      </c>
      <c r="E13">
        <v>32</v>
      </c>
      <c r="F13">
        <v>435</v>
      </c>
      <c r="G13">
        <v>408</v>
      </c>
      <c r="H13">
        <v>390</v>
      </c>
      <c r="I13">
        <v>351</v>
      </c>
      <c r="J13">
        <v>327</v>
      </c>
      <c r="K13">
        <v>289</v>
      </c>
      <c r="L13">
        <v>118</v>
      </c>
      <c r="M13">
        <v>96</v>
      </c>
      <c r="N13">
        <v>76</v>
      </c>
      <c r="O13">
        <v>51</v>
      </c>
      <c r="P13">
        <v>45</v>
      </c>
      <c r="Q13">
        <v>43</v>
      </c>
      <c r="R13">
        <v>152</v>
      </c>
      <c r="S13">
        <v>2200</v>
      </c>
      <c r="T13">
        <v>290</v>
      </c>
      <c r="U13">
        <v>139</v>
      </c>
      <c r="V13">
        <v>2781</v>
      </c>
    </row>
    <row r="14" spans="1:22" x14ac:dyDescent="0.25">
      <c r="A14" t="s">
        <v>294</v>
      </c>
      <c r="B14">
        <v>4</v>
      </c>
      <c r="C14">
        <v>4</v>
      </c>
      <c r="D14">
        <v>6</v>
      </c>
      <c r="E14">
        <v>21</v>
      </c>
      <c r="F14">
        <v>122</v>
      </c>
      <c r="G14">
        <v>120</v>
      </c>
      <c r="H14">
        <v>114</v>
      </c>
      <c r="I14">
        <v>107</v>
      </c>
      <c r="J14">
        <v>101</v>
      </c>
      <c r="K14">
        <v>94</v>
      </c>
      <c r="L14">
        <v>29</v>
      </c>
      <c r="M14">
        <v>25</v>
      </c>
      <c r="N14">
        <v>21</v>
      </c>
      <c r="O14">
        <v>12</v>
      </c>
      <c r="P14">
        <v>11</v>
      </c>
      <c r="Q14">
        <v>10</v>
      </c>
      <c r="R14">
        <v>35</v>
      </c>
      <c r="S14">
        <v>658</v>
      </c>
      <c r="T14">
        <v>75</v>
      </c>
      <c r="U14">
        <v>33</v>
      </c>
      <c r="V14">
        <v>801</v>
      </c>
    </row>
    <row r="15" spans="1:22" x14ac:dyDescent="0.25">
      <c r="A15" t="s">
        <v>295</v>
      </c>
      <c r="B15">
        <v>4</v>
      </c>
      <c r="C15">
        <v>14</v>
      </c>
      <c r="D15">
        <v>48</v>
      </c>
      <c r="E15">
        <v>61</v>
      </c>
      <c r="F15">
        <v>268</v>
      </c>
      <c r="G15">
        <v>259</v>
      </c>
      <c r="H15">
        <v>259</v>
      </c>
      <c r="I15">
        <v>253</v>
      </c>
      <c r="J15">
        <v>240</v>
      </c>
      <c r="K15">
        <v>229</v>
      </c>
      <c r="L15">
        <v>87</v>
      </c>
      <c r="M15">
        <v>66</v>
      </c>
      <c r="N15">
        <v>61</v>
      </c>
      <c r="O15">
        <v>42</v>
      </c>
      <c r="P15">
        <v>33</v>
      </c>
      <c r="Q15">
        <v>33</v>
      </c>
      <c r="R15">
        <v>127</v>
      </c>
      <c r="S15">
        <v>1508</v>
      </c>
      <c r="T15">
        <v>214</v>
      </c>
      <c r="U15">
        <v>108</v>
      </c>
      <c r="V15">
        <v>1957</v>
      </c>
    </row>
    <row r="16" spans="1:22" x14ac:dyDescent="0.25">
      <c r="A16" t="s">
        <v>296</v>
      </c>
      <c r="B16">
        <v>2</v>
      </c>
      <c r="C16">
        <v>8</v>
      </c>
      <c r="D16">
        <v>12</v>
      </c>
      <c r="E16">
        <v>17</v>
      </c>
      <c r="F16">
        <v>64</v>
      </c>
      <c r="G16">
        <v>63</v>
      </c>
      <c r="H16">
        <v>60</v>
      </c>
      <c r="I16">
        <v>58</v>
      </c>
      <c r="J16">
        <v>57</v>
      </c>
      <c r="K16">
        <v>57</v>
      </c>
      <c r="L16">
        <v>32</v>
      </c>
      <c r="M16">
        <v>26</v>
      </c>
      <c r="N16">
        <v>23</v>
      </c>
      <c r="O16">
        <v>12</v>
      </c>
      <c r="P16">
        <v>11</v>
      </c>
      <c r="Q16">
        <v>10</v>
      </c>
      <c r="R16">
        <v>39</v>
      </c>
      <c r="S16">
        <v>359</v>
      </c>
      <c r="T16">
        <v>81</v>
      </c>
      <c r="U16">
        <v>33</v>
      </c>
      <c r="V16">
        <v>512</v>
      </c>
    </row>
    <row r="17" spans="1:22" x14ac:dyDescent="0.25">
      <c r="A17" t="s">
        <v>297</v>
      </c>
      <c r="B17">
        <v>24</v>
      </c>
      <c r="C17">
        <v>31</v>
      </c>
      <c r="D17">
        <v>222</v>
      </c>
      <c r="E17">
        <v>3</v>
      </c>
      <c r="F17">
        <v>567</v>
      </c>
      <c r="G17">
        <v>560</v>
      </c>
      <c r="H17">
        <v>542</v>
      </c>
      <c r="I17">
        <v>522</v>
      </c>
      <c r="J17">
        <v>549</v>
      </c>
      <c r="K17">
        <v>514</v>
      </c>
      <c r="L17">
        <v>408</v>
      </c>
      <c r="M17">
        <v>368</v>
      </c>
      <c r="N17">
        <v>357</v>
      </c>
      <c r="O17">
        <v>285</v>
      </c>
      <c r="P17">
        <v>273</v>
      </c>
      <c r="Q17">
        <v>276</v>
      </c>
      <c r="R17">
        <v>280</v>
      </c>
      <c r="S17">
        <v>3254</v>
      </c>
      <c r="T17">
        <v>1133</v>
      </c>
      <c r="U17">
        <v>834</v>
      </c>
      <c r="V17">
        <v>5501</v>
      </c>
    </row>
    <row r="18" spans="1:22" x14ac:dyDescent="0.25">
      <c r="A18" t="s">
        <v>298</v>
      </c>
      <c r="B18">
        <v>5</v>
      </c>
      <c r="C18">
        <v>9</v>
      </c>
      <c r="D18">
        <v>35</v>
      </c>
      <c r="E18">
        <v>47</v>
      </c>
      <c r="F18">
        <v>146</v>
      </c>
      <c r="G18">
        <v>143</v>
      </c>
      <c r="H18">
        <v>138</v>
      </c>
      <c r="I18">
        <v>125</v>
      </c>
      <c r="J18">
        <v>127</v>
      </c>
      <c r="K18">
        <v>125</v>
      </c>
      <c r="L18">
        <v>78</v>
      </c>
      <c r="M18">
        <v>62</v>
      </c>
      <c r="N18">
        <v>55</v>
      </c>
      <c r="O18">
        <v>38</v>
      </c>
      <c r="P18">
        <v>32</v>
      </c>
      <c r="Q18">
        <v>35</v>
      </c>
      <c r="R18">
        <v>96</v>
      </c>
      <c r="S18">
        <v>804</v>
      </c>
      <c r="T18">
        <v>195</v>
      </c>
      <c r="U18">
        <v>105</v>
      </c>
      <c r="V18">
        <v>1200</v>
      </c>
    </row>
    <row r="19" spans="1:22" x14ac:dyDescent="0.25">
      <c r="A19" t="s">
        <v>299</v>
      </c>
      <c r="B19">
        <v>7</v>
      </c>
      <c r="C19">
        <v>19</v>
      </c>
      <c r="D19">
        <v>34</v>
      </c>
      <c r="E19">
        <v>127</v>
      </c>
      <c r="F19">
        <v>293</v>
      </c>
      <c r="G19">
        <v>283</v>
      </c>
      <c r="H19">
        <v>263</v>
      </c>
      <c r="I19">
        <v>254</v>
      </c>
      <c r="J19">
        <v>242</v>
      </c>
      <c r="K19">
        <v>232</v>
      </c>
      <c r="L19">
        <v>92</v>
      </c>
      <c r="M19">
        <v>85</v>
      </c>
      <c r="N19">
        <v>74</v>
      </c>
      <c r="O19">
        <v>44</v>
      </c>
      <c r="P19">
        <v>43</v>
      </c>
      <c r="Q19">
        <v>40</v>
      </c>
      <c r="R19">
        <v>187</v>
      </c>
      <c r="S19">
        <v>1567</v>
      </c>
      <c r="T19">
        <v>251</v>
      </c>
      <c r="U19">
        <v>127</v>
      </c>
      <c r="V19">
        <v>2132</v>
      </c>
    </row>
    <row r="20" spans="1:22" x14ac:dyDescent="0.25">
      <c r="A20" t="s">
        <v>300</v>
      </c>
      <c r="B20">
        <v>18</v>
      </c>
      <c r="C20">
        <v>100</v>
      </c>
      <c r="D20">
        <v>442</v>
      </c>
      <c r="E20">
        <v>26</v>
      </c>
      <c r="F20">
        <v>775</v>
      </c>
      <c r="G20">
        <v>765</v>
      </c>
      <c r="H20">
        <v>763</v>
      </c>
      <c r="I20">
        <v>764</v>
      </c>
      <c r="J20">
        <v>751</v>
      </c>
      <c r="K20">
        <v>715</v>
      </c>
      <c r="L20">
        <v>391</v>
      </c>
      <c r="M20">
        <v>332</v>
      </c>
      <c r="N20">
        <v>290</v>
      </c>
      <c r="O20">
        <v>210</v>
      </c>
      <c r="P20">
        <v>176</v>
      </c>
      <c r="Q20">
        <v>158</v>
      </c>
      <c r="R20">
        <v>586</v>
      </c>
      <c r="S20">
        <v>4533</v>
      </c>
      <c r="T20">
        <v>1013</v>
      </c>
      <c r="U20">
        <v>544</v>
      </c>
      <c r="V20">
        <v>6676</v>
      </c>
    </row>
    <row r="21" spans="1:22" x14ac:dyDescent="0.25">
      <c r="A21" t="s">
        <v>301</v>
      </c>
      <c r="B21">
        <v>20</v>
      </c>
      <c r="C21">
        <v>52</v>
      </c>
      <c r="D21">
        <v>120</v>
      </c>
      <c r="E21">
        <v>95</v>
      </c>
      <c r="F21">
        <v>431</v>
      </c>
      <c r="G21">
        <v>408</v>
      </c>
      <c r="H21">
        <v>395</v>
      </c>
      <c r="I21">
        <v>380</v>
      </c>
      <c r="J21">
        <v>382</v>
      </c>
      <c r="K21">
        <v>345</v>
      </c>
      <c r="L21">
        <v>174</v>
      </c>
      <c r="M21">
        <v>135</v>
      </c>
      <c r="N21">
        <v>122</v>
      </c>
      <c r="O21">
        <v>83</v>
      </c>
      <c r="P21">
        <v>73</v>
      </c>
      <c r="Q21">
        <v>66</v>
      </c>
      <c r="R21">
        <v>287</v>
      </c>
      <c r="S21">
        <v>2341</v>
      </c>
      <c r="T21">
        <v>431</v>
      </c>
      <c r="U21">
        <v>222</v>
      </c>
      <c r="V21">
        <v>3281</v>
      </c>
    </row>
    <row r="22" spans="1:22" x14ac:dyDescent="0.25">
      <c r="A22" t="s">
        <v>302</v>
      </c>
      <c r="B22">
        <v>8</v>
      </c>
      <c r="C22">
        <v>21</v>
      </c>
      <c r="D22">
        <v>131</v>
      </c>
      <c r="E22">
        <v>38</v>
      </c>
      <c r="F22">
        <v>270</v>
      </c>
      <c r="G22">
        <v>265</v>
      </c>
      <c r="H22">
        <v>252</v>
      </c>
      <c r="I22">
        <v>239</v>
      </c>
      <c r="J22">
        <v>209</v>
      </c>
      <c r="K22">
        <v>181</v>
      </c>
      <c r="L22">
        <v>67</v>
      </c>
      <c r="M22">
        <v>50</v>
      </c>
      <c r="N22">
        <v>45</v>
      </c>
      <c r="O22">
        <v>31</v>
      </c>
      <c r="P22">
        <v>27</v>
      </c>
      <c r="Q22">
        <v>22</v>
      </c>
      <c r="R22">
        <v>198</v>
      </c>
      <c r="S22">
        <v>1416</v>
      </c>
      <c r="T22">
        <v>162</v>
      </c>
      <c r="U22">
        <v>80</v>
      </c>
      <c r="V22">
        <v>1856</v>
      </c>
    </row>
    <row r="23" spans="1:22" x14ac:dyDescent="0.25">
      <c r="A23" t="s">
        <v>303</v>
      </c>
      <c r="B23">
        <v>61</v>
      </c>
      <c r="C23">
        <v>197</v>
      </c>
      <c r="D23">
        <v>451</v>
      </c>
      <c r="E23">
        <v>206</v>
      </c>
      <c r="F23">
        <v>859</v>
      </c>
      <c r="G23">
        <v>819</v>
      </c>
      <c r="H23">
        <v>769</v>
      </c>
      <c r="I23">
        <v>741</v>
      </c>
      <c r="J23">
        <v>721</v>
      </c>
      <c r="K23">
        <v>680</v>
      </c>
      <c r="L23">
        <v>395</v>
      </c>
      <c r="M23">
        <v>331</v>
      </c>
      <c r="N23">
        <v>278</v>
      </c>
      <c r="O23">
        <v>213</v>
      </c>
      <c r="P23">
        <v>177</v>
      </c>
      <c r="Q23">
        <v>168</v>
      </c>
      <c r="R23">
        <v>915</v>
      </c>
      <c r="S23">
        <v>4589</v>
      </c>
      <c r="T23">
        <v>1004</v>
      </c>
      <c r="U23">
        <v>558</v>
      </c>
      <c r="V23">
        <v>7066</v>
      </c>
    </row>
    <row r="24" spans="1:22" x14ac:dyDescent="0.25">
      <c r="A24" t="s">
        <v>304</v>
      </c>
      <c r="B24">
        <v>3</v>
      </c>
      <c r="C24">
        <v>9</v>
      </c>
      <c r="D24">
        <v>19</v>
      </c>
      <c r="E24">
        <v>33</v>
      </c>
      <c r="F24">
        <v>231</v>
      </c>
      <c r="G24">
        <v>213</v>
      </c>
      <c r="H24">
        <v>207</v>
      </c>
      <c r="I24">
        <v>194</v>
      </c>
      <c r="J24">
        <v>183</v>
      </c>
      <c r="K24">
        <v>171</v>
      </c>
      <c r="L24">
        <v>52</v>
      </c>
      <c r="M24">
        <v>43</v>
      </c>
      <c r="N24">
        <v>40</v>
      </c>
      <c r="O24">
        <v>19</v>
      </c>
      <c r="P24">
        <v>20</v>
      </c>
      <c r="Q24">
        <v>17</v>
      </c>
      <c r="R24">
        <v>64</v>
      </c>
      <c r="S24">
        <v>1199</v>
      </c>
      <c r="T24">
        <v>135</v>
      </c>
      <c r="U24">
        <v>56</v>
      </c>
      <c r="V24">
        <v>1454</v>
      </c>
    </row>
    <row r="25" spans="1:22" x14ac:dyDescent="0.25">
      <c r="A25" t="s">
        <v>305</v>
      </c>
      <c r="B25">
        <v>12</v>
      </c>
      <c r="C25">
        <v>42</v>
      </c>
      <c r="D25">
        <v>104</v>
      </c>
      <c r="E25">
        <v>100</v>
      </c>
      <c r="F25">
        <v>443</v>
      </c>
      <c r="G25">
        <v>431</v>
      </c>
      <c r="H25">
        <v>413</v>
      </c>
      <c r="I25">
        <v>391</v>
      </c>
      <c r="J25">
        <v>408</v>
      </c>
      <c r="K25">
        <v>395</v>
      </c>
      <c r="L25">
        <v>222</v>
      </c>
      <c r="M25">
        <v>184</v>
      </c>
      <c r="N25">
        <v>158</v>
      </c>
      <c r="O25">
        <v>119</v>
      </c>
      <c r="P25">
        <v>98</v>
      </c>
      <c r="Q25">
        <v>93</v>
      </c>
      <c r="R25">
        <v>258</v>
      </c>
      <c r="S25">
        <v>2481</v>
      </c>
      <c r="T25">
        <v>564</v>
      </c>
      <c r="U25">
        <v>310</v>
      </c>
      <c r="V25">
        <v>3613</v>
      </c>
    </row>
    <row r="26" spans="1:22" x14ac:dyDescent="0.25">
      <c r="A26" t="s">
        <v>306</v>
      </c>
      <c r="B26">
        <v>16</v>
      </c>
      <c r="C26">
        <v>71</v>
      </c>
      <c r="D26">
        <v>297</v>
      </c>
      <c r="E26">
        <v>66</v>
      </c>
      <c r="F26">
        <v>604</v>
      </c>
      <c r="G26">
        <v>594</v>
      </c>
      <c r="H26">
        <v>573</v>
      </c>
      <c r="I26">
        <v>570</v>
      </c>
      <c r="J26">
        <v>584</v>
      </c>
      <c r="K26">
        <v>568</v>
      </c>
      <c r="L26">
        <v>378</v>
      </c>
      <c r="M26">
        <v>352</v>
      </c>
      <c r="N26">
        <v>334</v>
      </c>
      <c r="O26">
        <v>247</v>
      </c>
      <c r="P26">
        <v>235</v>
      </c>
      <c r="Q26">
        <v>217</v>
      </c>
      <c r="R26">
        <v>450</v>
      </c>
      <c r="S26">
        <v>3493</v>
      </c>
      <c r="T26">
        <v>1064</v>
      </c>
      <c r="U26">
        <v>699</v>
      </c>
      <c r="V26">
        <v>5706</v>
      </c>
    </row>
    <row r="27" spans="1:22" x14ac:dyDescent="0.25">
      <c r="A27" t="s">
        <v>307</v>
      </c>
      <c r="B27">
        <v>24</v>
      </c>
      <c r="C27">
        <v>143</v>
      </c>
      <c r="D27">
        <v>226</v>
      </c>
      <c r="E27">
        <v>75</v>
      </c>
      <c r="F27">
        <v>604</v>
      </c>
      <c r="G27">
        <v>599</v>
      </c>
      <c r="H27">
        <v>558</v>
      </c>
      <c r="I27">
        <v>532</v>
      </c>
      <c r="J27">
        <v>522</v>
      </c>
      <c r="K27">
        <v>471</v>
      </c>
      <c r="L27">
        <v>258</v>
      </c>
      <c r="M27">
        <v>198</v>
      </c>
      <c r="N27">
        <v>168</v>
      </c>
      <c r="O27">
        <v>119</v>
      </c>
      <c r="P27">
        <v>101</v>
      </c>
      <c r="Q27">
        <v>88</v>
      </c>
      <c r="R27">
        <v>468</v>
      </c>
      <c r="S27">
        <v>3286</v>
      </c>
      <c r="T27">
        <v>624</v>
      </c>
      <c r="U27">
        <v>308</v>
      </c>
      <c r="V27">
        <v>4686</v>
      </c>
    </row>
    <row r="28" spans="1:22" x14ac:dyDescent="0.25">
      <c r="A28" t="s">
        <v>266</v>
      </c>
      <c r="B28">
        <v>393</v>
      </c>
      <c r="C28">
        <v>1420</v>
      </c>
      <c r="D28">
        <v>4080</v>
      </c>
      <c r="E28">
        <v>1868</v>
      </c>
      <c r="F28">
        <v>11291</v>
      </c>
      <c r="G28">
        <v>10965</v>
      </c>
      <c r="H28">
        <v>10559</v>
      </c>
      <c r="I28">
        <v>10170</v>
      </c>
      <c r="J28">
        <v>9978</v>
      </c>
      <c r="K28">
        <v>9439</v>
      </c>
      <c r="L28">
        <v>5337</v>
      </c>
      <c r="M28">
        <v>4428</v>
      </c>
      <c r="N28">
        <v>3925</v>
      </c>
      <c r="O28">
        <v>2755</v>
      </c>
      <c r="P28">
        <v>2406</v>
      </c>
      <c r="Q28">
        <v>2245</v>
      </c>
      <c r="R28">
        <v>7761</v>
      </c>
      <c r="S28">
        <v>62402</v>
      </c>
      <c r="T28">
        <v>13690</v>
      </c>
      <c r="U28">
        <v>7406</v>
      </c>
      <c r="V28">
        <v>91259</v>
      </c>
    </row>
    <row r="29" spans="1:22" x14ac:dyDescent="0.25">
      <c r="A29" t="s">
        <v>308</v>
      </c>
      <c r="B29">
        <v>110</v>
      </c>
      <c r="C29">
        <v>240</v>
      </c>
      <c r="D29">
        <v>681</v>
      </c>
      <c r="E29">
        <v>221</v>
      </c>
      <c r="F29">
        <v>1611</v>
      </c>
      <c r="G29">
        <v>1564</v>
      </c>
      <c r="H29">
        <v>1497</v>
      </c>
      <c r="I29">
        <v>1427</v>
      </c>
      <c r="J29">
        <v>1443</v>
      </c>
      <c r="K29">
        <v>1341</v>
      </c>
      <c r="L29">
        <v>1019</v>
      </c>
      <c r="M29">
        <v>890</v>
      </c>
      <c r="N29">
        <v>827</v>
      </c>
      <c r="O29">
        <v>746</v>
      </c>
      <c r="P29">
        <v>696</v>
      </c>
      <c r="Q29">
        <v>688</v>
      </c>
      <c r="R29">
        <v>1252</v>
      </c>
      <c r="S29">
        <v>8883</v>
      </c>
      <c r="T29">
        <v>2736</v>
      </c>
      <c r="U29">
        <v>2130</v>
      </c>
      <c r="V29">
        <v>15001</v>
      </c>
    </row>
    <row r="30" spans="1:22" x14ac:dyDescent="0.25">
      <c r="A30" t="s">
        <v>309</v>
      </c>
      <c r="B30">
        <v>283</v>
      </c>
      <c r="C30">
        <v>1180</v>
      </c>
      <c r="D30">
        <v>3399</v>
      </c>
      <c r="E30">
        <v>1647</v>
      </c>
      <c r="F30">
        <v>9680</v>
      </c>
      <c r="G30">
        <v>9401</v>
      </c>
      <c r="H30">
        <v>9062</v>
      </c>
      <c r="I30">
        <v>8743</v>
      </c>
      <c r="J30">
        <v>8535</v>
      </c>
      <c r="K30">
        <v>8098</v>
      </c>
      <c r="L30">
        <v>4318</v>
      </c>
      <c r="M30">
        <v>3538</v>
      </c>
      <c r="N30">
        <v>3098</v>
      </c>
      <c r="O30">
        <v>2009</v>
      </c>
      <c r="P30">
        <v>1710</v>
      </c>
      <c r="Q30">
        <v>1557</v>
      </c>
      <c r="R30">
        <v>6509</v>
      </c>
      <c r="S30">
        <v>53519</v>
      </c>
      <c r="T30">
        <v>10954</v>
      </c>
      <c r="U30">
        <v>5276</v>
      </c>
      <c r="V30">
        <v>76258</v>
      </c>
    </row>
  </sheetData>
  <mergeCells count="6">
    <mergeCell ref="A1:A2"/>
    <mergeCell ref="R1:V1"/>
    <mergeCell ref="L1:N1"/>
    <mergeCell ref="B1:E1"/>
    <mergeCell ref="O1:Q1"/>
    <mergeCell ref="F1:K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70AD47"/>
  </sheetPr>
  <dimension ref="A1:M32"/>
  <sheetViews>
    <sheetView workbookViewId="0"/>
  </sheetViews>
  <sheetFormatPr defaultRowHeight="15" x14ac:dyDescent="0.25"/>
  <cols>
    <col min="1" max="1" width="26.7109375" customWidth="1"/>
    <col min="2" max="2" width="13.42578125" customWidth="1"/>
    <col min="4" max="4" width="14.140625" customWidth="1"/>
    <col min="6" max="6" width="12.140625" customWidth="1"/>
    <col min="7" max="7" width="12.42578125" customWidth="1"/>
    <col min="13" max="13" width="12.140625" customWidth="1"/>
  </cols>
  <sheetData>
    <row r="1" spans="1:13" x14ac:dyDescent="0.25">
      <c r="A1" s="29" t="s">
        <v>349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350</v>
      </c>
      <c r="C2" s="29" t="s">
        <v>351</v>
      </c>
      <c r="D2" s="29" t="s">
        <v>352</v>
      </c>
      <c r="E2" s="29"/>
      <c r="F2" s="29" t="s">
        <v>353</v>
      </c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/>
      <c r="C3" s="29"/>
      <c r="D3" s="29" t="s">
        <v>261</v>
      </c>
      <c r="E3" s="29" t="s">
        <v>256</v>
      </c>
      <c r="F3" s="29" t="s">
        <v>354</v>
      </c>
      <c r="G3" s="29"/>
      <c r="H3" s="29" t="s">
        <v>327</v>
      </c>
      <c r="I3" s="29"/>
      <c r="J3" s="29" t="s">
        <v>355</v>
      </c>
      <c r="K3" s="29"/>
      <c r="L3" s="29" t="s">
        <v>356</v>
      </c>
      <c r="M3" s="29"/>
    </row>
    <row r="4" spans="1:13" x14ac:dyDescent="0.25">
      <c r="A4" s="29"/>
      <c r="B4" s="29"/>
      <c r="C4" s="29"/>
      <c r="D4" s="29"/>
      <c r="E4" s="29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408</v>
      </c>
      <c r="C5">
        <v>86</v>
      </c>
      <c r="D5">
        <v>322</v>
      </c>
      <c r="E5">
        <v>2212</v>
      </c>
      <c r="F5">
        <v>8</v>
      </c>
      <c r="G5">
        <v>8</v>
      </c>
      <c r="H5">
        <v>10</v>
      </c>
      <c r="I5">
        <v>73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649</v>
      </c>
      <c r="C6">
        <v>155</v>
      </c>
      <c r="D6">
        <v>494</v>
      </c>
      <c r="E6">
        <v>3606</v>
      </c>
      <c r="F6">
        <v>27</v>
      </c>
      <c r="G6">
        <v>51</v>
      </c>
      <c r="H6">
        <v>34</v>
      </c>
      <c r="I6">
        <v>302</v>
      </c>
      <c r="J6">
        <v>2</v>
      </c>
      <c r="K6">
        <v>12</v>
      </c>
      <c r="L6">
        <v>0</v>
      </c>
      <c r="M6">
        <v>0</v>
      </c>
    </row>
    <row r="7" spans="1:13" x14ac:dyDescent="0.25">
      <c r="A7" t="s">
        <v>285</v>
      </c>
      <c r="B7">
        <v>409</v>
      </c>
      <c r="C7">
        <v>64</v>
      </c>
      <c r="D7">
        <v>345</v>
      </c>
      <c r="E7">
        <v>2896</v>
      </c>
      <c r="F7">
        <v>45</v>
      </c>
      <c r="G7">
        <v>70</v>
      </c>
      <c r="H7">
        <v>83</v>
      </c>
      <c r="I7">
        <v>687</v>
      </c>
      <c r="J7">
        <v>10</v>
      </c>
      <c r="K7">
        <v>59</v>
      </c>
      <c r="L7">
        <v>2</v>
      </c>
      <c r="M7">
        <v>37</v>
      </c>
    </row>
    <row r="8" spans="1:13" x14ac:dyDescent="0.25">
      <c r="A8" t="s">
        <v>286</v>
      </c>
      <c r="B8">
        <v>279</v>
      </c>
      <c r="C8">
        <v>48</v>
      </c>
      <c r="D8">
        <v>231</v>
      </c>
      <c r="E8">
        <v>1658</v>
      </c>
      <c r="F8">
        <v>11</v>
      </c>
      <c r="G8">
        <v>20</v>
      </c>
      <c r="H8">
        <v>26</v>
      </c>
      <c r="I8">
        <v>205</v>
      </c>
      <c r="J8">
        <v>8</v>
      </c>
      <c r="K8">
        <v>33</v>
      </c>
      <c r="L8">
        <v>0</v>
      </c>
      <c r="M8">
        <v>0</v>
      </c>
    </row>
    <row r="9" spans="1:13" x14ac:dyDescent="0.25">
      <c r="A9" t="s">
        <v>287</v>
      </c>
      <c r="B9">
        <v>314</v>
      </c>
      <c r="C9">
        <v>48</v>
      </c>
      <c r="D9">
        <v>266</v>
      </c>
      <c r="E9">
        <v>2226</v>
      </c>
      <c r="F9">
        <v>16</v>
      </c>
      <c r="G9">
        <v>26</v>
      </c>
      <c r="H9">
        <v>29</v>
      </c>
      <c r="I9">
        <v>258</v>
      </c>
      <c r="J9">
        <v>1</v>
      </c>
      <c r="K9">
        <v>5</v>
      </c>
      <c r="L9">
        <v>1</v>
      </c>
      <c r="M9">
        <v>14</v>
      </c>
    </row>
    <row r="10" spans="1:13" x14ac:dyDescent="0.25">
      <c r="A10" t="s">
        <v>288</v>
      </c>
      <c r="B10">
        <v>490</v>
      </c>
      <c r="C10">
        <v>77</v>
      </c>
      <c r="D10">
        <v>413</v>
      </c>
      <c r="E10">
        <v>2511</v>
      </c>
      <c r="F10">
        <v>33</v>
      </c>
      <c r="G10">
        <v>43</v>
      </c>
      <c r="H10">
        <v>43</v>
      </c>
      <c r="I10">
        <v>301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289</v>
      </c>
      <c r="B11">
        <v>311</v>
      </c>
      <c r="C11">
        <v>63</v>
      </c>
      <c r="D11">
        <v>248</v>
      </c>
      <c r="E11">
        <v>1756</v>
      </c>
      <c r="F11">
        <v>108</v>
      </c>
      <c r="G11">
        <v>143</v>
      </c>
      <c r="H11">
        <v>154</v>
      </c>
      <c r="I11">
        <v>1293</v>
      </c>
      <c r="J11">
        <v>34</v>
      </c>
      <c r="K11">
        <v>349</v>
      </c>
      <c r="L11">
        <v>1</v>
      </c>
      <c r="M11">
        <v>11</v>
      </c>
    </row>
    <row r="12" spans="1:13" x14ac:dyDescent="0.25">
      <c r="A12" t="s">
        <v>290</v>
      </c>
      <c r="B12">
        <v>373</v>
      </c>
      <c r="C12">
        <v>77</v>
      </c>
      <c r="D12">
        <v>498</v>
      </c>
      <c r="E12">
        <v>3411</v>
      </c>
      <c r="F12">
        <v>72</v>
      </c>
      <c r="G12">
        <v>160</v>
      </c>
      <c r="H12">
        <v>114</v>
      </c>
      <c r="I12">
        <v>1268</v>
      </c>
      <c r="J12">
        <v>15</v>
      </c>
      <c r="K12">
        <v>89</v>
      </c>
      <c r="L12">
        <v>3</v>
      </c>
      <c r="M12">
        <v>49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110</v>
      </c>
      <c r="F13">
        <v>6</v>
      </c>
      <c r="G13">
        <v>9</v>
      </c>
      <c r="H13">
        <v>5</v>
      </c>
      <c r="I13">
        <v>43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575</v>
      </c>
      <c r="F14">
        <v>2</v>
      </c>
      <c r="G14">
        <v>2</v>
      </c>
      <c r="H14">
        <v>2</v>
      </c>
      <c r="I14">
        <v>13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286</v>
      </c>
      <c r="C15">
        <v>51</v>
      </c>
      <c r="D15">
        <v>235</v>
      </c>
      <c r="E15">
        <v>1659</v>
      </c>
      <c r="F15">
        <v>20</v>
      </c>
      <c r="G15">
        <v>36</v>
      </c>
      <c r="H15">
        <v>27</v>
      </c>
      <c r="I15">
        <v>212</v>
      </c>
      <c r="J15">
        <v>5</v>
      </c>
      <c r="K15">
        <v>21</v>
      </c>
      <c r="L15">
        <v>2</v>
      </c>
      <c r="M15">
        <v>36</v>
      </c>
    </row>
    <row r="16" spans="1:13" x14ac:dyDescent="0.25">
      <c r="A16" t="s">
        <v>294</v>
      </c>
      <c r="B16">
        <v>88</v>
      </c>
      <c r="C16">
        <v>11</v>
      </c>
      <c r="D16">
        <v>77</v>
      </c>
      <c r="E16">
        <v>531</v>
      </c>
      <c r="F16">
        <v>1</v>
      </c>
      <c r="G16">
        <v>1</v>
      </c>
      <c r="H16">
        <v>1</v>
      </c>
      <c r="I16">
        <v>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218</v>
      </c>
      <c r="C17">
        <v>27</v>
      </c>
      <c r="D17">
        <v>191</v>
      </c>
      <c r="E17">
        <v>1248</v>
      </c>
      <c r="F17">
        <v>3</v>
      </c>
      <c r="G17">
        <v>3</v>
      </c>
      <c r="H17">
        <v>2</v>
      </c>
      <c r="I17">
        <v>22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48</v>
      </c>
      <c r="C18">
        <v>8</v>
      </c>
      <c r="D18">
        <v>40</v>
      </c>
      <c r="E18">
        <v>280</v>
      </c>
      <c r="F18">
        <v>1</v>
      </c>
      <c r="G18">
        <v>1</v>
      </c>
      <c r="H18">
        <v>1</v>
      </c>
      <c r="I18">
        <v>12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163</v>
      </c>
      <c r="C19">
        <v>40</v>
      </c>
      <c r="D19">
        <v>123</v>
      </c>
      <c r="E19">
        <v>2030</v>
      </c>
      <c r="F19">
        <v>32</v>
      </c>
      <c r="G19">
        <v>40</v>
      </c>
      <c r="H19">
        <v>46</v>
      </c>
      <c r="I19">
        <v>575</v>
      </c>
      <c r="J19">
        <v>4</v>
      </c>
      <c r="K19">
        <v>34</v>
      </c>
      <c r="L19">
        <v>1</v>
      </c>
      <c r="M19">
        <v>17</v>
      </c>
    </row>
    <row r="20" spans="1:13" x14ac:dyDescent="0.25">
      <c r="A20" t="s">
        <v>298</v>
      </c>
      <c r="B20">
        <v>72</v>
      </c>
      <c r="C20">
        <v>15</v>
      </c>
      <c r="D20">
        <v>57</v>
      </c>
      <c r="E20">
        <v>556</v>
      </c>
      <c r="F20">
        <v>10</v>
      </c>
      <c r="G20">
        <v>13</v>
      </c>
      <c r="H20">
        <v>6</v>
      </c>
      <c r="I20">
        <v>73</v>
      </c>
      <c r="J20">
        <v>2</v>
      </c>
      <c r="K20">
        <v>9</v>
      </c>
      <c r="L20">
        <v>0</v>
      </c>
      <c r="M20">
        <v>0</v>
      </c>
    </row>
    <row r="21" spans="1:13" x14ac:dyDescent="0.25">
      <c r="A21" t="s">
        <v>299</v>
      </c>
      <c r="B21">
        <v>228</v>
      </c>
      <c r="C21">
        <v>34</v>
      </c>
      <c r="D21">
        <v>194</v>
      </c>
      <c r="E21">
        <v>1232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547</v>
      </c>
      <c r="C22">
        <v>98</v>
      </c>
      <c r="D22">
        <v>449</v>
      </c>
      <c r="E22">
        <v>3428</v>
      </c>
      <c r="F22">
        <v>100</v>
      </c>
      <c r="G22">
        <v>152</v>
      </c>
      <c r="H22">
        <v>134</v>
      </c>
      <c r="I22">
        <v>1071</v>
      </c>
      <c r="J22">
        <v>12</v>
      </c>
      <c r="K22">
        <v>75</v>
      </c>
      <c r="L22">
        <v>1</v>
      </c>
      <c r="M22">
        <v>31</v>
      </c>
    </row>
    <row r="23" spans="1:13" x14ac:dyDescent="0.25">
      <c r="A23" t="s">
        <v>301</v>
      </c>
      <c r="B23">
        <v>306</v>
      </c>
      <c r="C23">
        <v>51</v>
      </c>
      <c r="D23">
        <v>255</v>
      </c>
      <c r="E23">
        <v>1666</v>
      </c>
      <c r="F23">
        <v>4</v>
      </c>
      <c r="G23">
        <v>6</v>
      </c>
      <c r="H23">
        <v>6</v>
      </c>
      <c r="I23">
        <v>42</v>
      </c>
      <c r="J23">
        <v>1</v>
      </c>
      <c r="K23">
        <v>10</v>
      </c>
      <c r="L23">
        <v>0</v>
      </c>
      <c r="M23">
        <v>0</v>
      </c>
    </row>
    <row r="24" spans="1:13" x14ac:dyDescent="0.25">
      <c r="A24" t="s">
        <v>302</v>
      </c>
      <c r="B24">
        <v>222</v>
      </c>
      <c r="C24">
        <v>29</v>
      </c>
      <c r="D24">
        <v>193</v>
      </c>
      <c r="E24">
        <v>1113</v>
      </c>
      <c r="F24">
        <v>1</v>
      </c>
      <c r="G24">
        <v>1</v>
      </c>
      <c r="H24">
        <v>2</v>
      </c>
      <c r="I24">
        <v>12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507</v>
      </c>
      <c r="C25">
        <v>79</v>
      </c>
      <c r="D25">
        <v>428</v>
      </c>
      <c r="E25">
        <v>3398</v>
      </c>
      <c r="F25">
        <v>25</v>
      </c>
      <c r="G25">
        <v>47</v>
      </c>
      <c r="H25">
        <v>20</v>
      </c>
      <c r="I25">
        <v>168</v>
      </c>
      <c r="J25">
        <v>2</v>
      </c>
      <c r="K25">
        <v>26</v>
      </c>
      <c r="L25">
        <v>1</v>
      </c>
      <c r="M25">
        <v>8</v>
      </c>
    </row>
    <row r="26" spans="1:13" x14ac:dyDescent="0.25">
      <c r="A26" t="s">
        <v>304</v>
      </c>
      <c r="B26">
        <v>173</v>
      </c>
      <c r="C26">
        <v>22</v>
      </c>
      <c r="D26">
        <v>151</v>
      </c>
      <c r="E26">
        <v>1008</v>
      </c>
      <c r="F26">
        <v>2</v>
      </c>
      <c r="G26">
        <v>2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38</v>
      </c>
      <c r="D27">
        <v>224</v>
      </c>
      <c r="E27">
        <v>1949</v>
      </c>
      <c r="F27">
        <v>25</v>
      </c>
      <c r="G27">
        <v>31</v>
      </c>
      <c r="H27">
        <v>58</v>
      </c>
      <c r="I27">
        <v>411</v>
      </c>
      <c r="J27">
        <v>1</v>
      </c>
      <c r="K27">
        <v>7</v>
      </c>
      <c r="L27">
        <v>1</v>
      </c>
      <c r="M27">
        <v>16</v>
      </c>
    </row>
    <row r="28" spans="1:13" x14ac:dyDescent="0.25">
      <c r="A28" t="s">
        <v>306</v>
      </c>
      <c r="B28">
        <v>382</v>
      </c>
      <c r="C28">
        <v>71</v>
      </c>
      <c r="D28">
        <v>311</v>
      </c>
      <c r="E28">
        <v>2607</v>
      </c>
      <c r="F28">
        <v>82</v>
      </c>
      <c r="G28">
        <v>121</v>
      </c>
      <c r="H28">
        <v>120</v>
      </c>
      <c r="I28">
        <v>1042</v>
      </c>
      <c r="J28">
        <v>14</v>
      </c>
      <c r="K28">
        <v>73</v>
      </c>
      <c r="L28">
        <v>2</v>
      </c>
      <c r="M28">
        <v>49</v>
      </c>
    </row>
    <row r="29" spans="1:13" x14ac:dyDescent="0.25">
      <c r="A29" t="s">
        <v>307</v>
      </c>
      <c r="B29">
        <v>404</v>
      </c>
      <c r="C29">
        <v>52</v>
      </c>
      <c r="D29">
        <v>352</v>
      </c>
      <c r="E29">
        <v>2532</v>
      </c>
      <c r="F29">
        <v>25</v>
      </c>
      <c r="G29">
        <v>48</v>
      </c>
      <c r="H29">
        <v>49</v>
      </c>
      <c r="I29">
        <v>343</v>
      </c>
      <c r="J29">
        <v>3</v>
      </c>
      <c r="K29">
        <v>14</v>
      </c>
      <c r="L29">
        <v>3</v>
      </c>
      <c r="M29">
        <v>94</v>
      </c>
    </row>
    <row r="30" spans="1:13" x14ac:dyDescent="0.25">
      <c r="A30" t="s">
        <v>266</v>
      </c>
      <c r="B30">
        <v>7282</v>
      </c>
      <c r="C30">
        <v>1273</v>
      </c>
      <c r="D30">
        <v>6211</v>
      </c>
      <c r="E30">
        <v>46198</v>
      </c>
      <c r="F30">
        <v>659</v>
      </c>
      <c r="G30">
        <v>1034</v>
      </c>
      <c r="H30">
        <v>974</v>
      </c>
      <c r="I30">
        <v>8441</v>
      </c>
      <c r="J30">
        <v>116</v>
      </c>
      <c r="K30">
        <v>828</v>
      </c>
      <c r="L30">
        <v>18</v>
      </c>
      <c r="M30">
        <v>362</v>
      </c>
    </row>
    <row r="31" spans="1:13" x14ac:dyDescent="0.25">
      <c r="A31" t="s">
        <v>308</v>
      </c>
      <c r="B31">
        <v>659</v>
      </c>
      <c r="C31">
        <v>141</v>
      </c>
      <c r="D31">
        <v>527</v>
      </c>
      <c r="E31">
        <v>5652</v>
      </c>
      <c r="F31">
        <v>68</v>
      </c>
      <c r="G31">
        <v>116</v>
      </c>
      <c r="H31">
        <v>88</v>
      </c>
      <c r="I31">
        <v>1006</v>
      </c>
      <c r="J31">
        <v>8</v>
      </c>
      <c r="K31">
        <v>73</v>
      </c>
      <c r="L31">
        <v>1</v>
      </c>
      <c r="M31">
        <v>17</v>
      </c>
    </row>
    <row r="32" spans="1:13" x14ac:dyDescent="0.25">
      <c r="A32" t="s">
        <v>309</v>
      </c>
      <c r="B32">
        <v>6623</v>
      </c>
      <c r="C32">
        <v>1132</v>
      </c>
      <c r="D32">
        <v>5684</v>
      </c>
      <c r="E32">
        <v>40546</v>
      </c>
      <c r="F32">
        <v>591</v>
      </c>
      <c r="G32">
        <v>918</v>
      </c>
      <c r="H32">
        <v>886</v>
      </c>
      <c r="I32">
        <v>7435</v>
      </c>
      <c r="J32">
        <v>108</v>
      </c>
      <c r="K32">
        <v>755</v>
      </c>
      <c r="L32">
        <v>17</v>
      </c>
      <c r="M32">
        <v>345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70AD47"/>
  </sheetPr>
  <dimension ref="A1:O30"/>
  <sheetViews>
    <sheetView workbookViewId="0"/>
  </sheetViews>
  <sheetFormatPr defaultRowHeight="15" x14ac:dyDescent="0.25"/>
  <cols>
    <col min="1" max="1" width="26.140625" customWidth="1"/>
    <col min="2" max="2" width="11.140625" customWidth="1"/>
    <col min="3" max="3" width="10.85546875" customWidth="1"/>
    <col min="4" max="4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5" max="15" width="10.85546875" customWidth="1"/>
  </cols>
  <sheetData>
    <row r="1" spans="1:15" x14ac:dyDescent="0.25">
      <c r="A1" s="29" t="s">
        <v>709</v>
      </c>
      <c r="B1" s="29" t="s">
        <v>358</v>
      </c>
      <c r="C1" s="29"/>
      <c r="D1" s="29"/>
      <c r="E1" s="29"/>
      <c r="F1" t="s">
        <v>359</v>
      </c>
      <c r="G1" t="s">
        <v>360</v>
      </c>
      <c r="H1" t="s">
        <v>261</v>
      </c>
      <c r="I1" t="s">
        <v>361</v>
      </c>
      <c r="J1" s="29" t="s">
        <v>362</v>
      </c>
      <c r="K1" s="29"/>
      <c r="L1" s="29" t="s">
        <v>363</v>
      </c>
      <c r="M1" s="29"/>
      <c r="N1" s="29"/>
      <c r="O1" s="29"/>
    </row>
    <row r="2" spans="1:15" x14ac:dyDescent="0.25">
      <c r="A2" s="29"/>
      <c r="B2" t="s">
        <v>364</v>
      </c>
      <c r="C2" t="s">
        <v>346</v>
      </c>
      <c r="D2" t="s">
        <v>365</v>
      </c>
      <c r="E2" t="s">
        <v>366</v>
      </c>
      <c r="F2" t="s">
        <v>261</v>
      </c>
      <c r="G2" t="s">
        <v>261</v>
      </c>
      <c r="H2" t="s">
        <v>262</v>
      </c>
      <c r="I2" t="s">
        <v>364</v>
      </c>
      <c r="J2" t="s">
        <v>367</v>
      </c>
      <c r="K2" t="s">
        <v>368</v>
      </c>
      <c r="L2" t="s">
        <v>369</v>
      </c>
      <c r="M2" t="s">
        <v>370</v>
      </c>
      <c r="N2" t="s">
        <v>371</v>
      </c>
      <c r="O2" t="s">
        <v>265</v>
      </c>
    </row>
    <row r="3" spans="1:15" x14ac:dyDescent="0.25">
      <c r="A3" t="s">
        <v>283</v>
      </c>
      <c r="B3">
        <v>326</v>
      </c>
      <c r="C3">
        <v>408</v>
      </c>
      <c r="D3">
        <v>54</v>
      </c>
      <c r="E3">
        <v>30</v>
      </c>
      <c r="F3">
        <v>280</v>
      </c>
      <c r="G3">
        <v>0</v>
      </c>
      <c r="H3">
        <v>19</v>
      </c>
      <c r="I3">
        <v>306</v>
      </c>
      <c r="J3">
        <v>651</v>
      </c>
      <c r="K3">
        <v>389</v>
      </c>
      <c r="L3">
        <v>45.2</v>
      </c>
      <c r="M3">
        <v>22.9</v>
      </c>
      <c r="N3">
        <v>537</v>
      </c>
      <c r="O3">
        <v>91</v>
      </c>
    </row>
    <row r="4" spans="1:15" x14ac:dyDescent="0.25">
      <c r="A4" t="s">
        <v>284</v>
      </c>
      <c r="B4">
        <v>373</v>
      </c>
      <c r="C4">
        <v>649</v>
      </c>
      <c r="D4">
        <v>96</v>
      </c>
      <c r="E4">
        <v>29</v>
      </c>
      <c r="F4">
        <v>581</v>
      </c>
      <c r="G4">
        <v>5</v>
      </c>
      <c r="H4">
        <v>63</v>
      </c>
      <c r="I4">
        <v>348</v>
      </c>
      <c r="J4">
        <v>856</v>
      </c>
      <c r="K4">
        <v>358</v>
      </c>
      <c r="L4">
        <v>43.7</v>
      </c>
      <c r="M4">
        <v>21.6</v>
      </c>
      <c r="N4">
        <v>841</v>
      </c>
      <c r="O4">
        <v>231</v>
      </c>
    </row>
    <row r="5" spans="1:15" x14ac:dyDescent="0.25">
      <c r="A5" t="s">
        <v>285</v>
      </c>
      <c r="B5">
        <v>283</v>
      </c>
      <c r="C5">
        <v>409</v>
      </c>
      <c r="D5">
        <v>81</v>
      </c>
      <c r="E5">
        <v>43</v>
      </c>
      <c r="F5">
        <v>323</v>
      </c>
      <c r="G5">
        <v>0</v>
      </c>
      <c r="H5">
        <v>140</v>
      </c>
      <c r="I5">
        <v>277</v>
      </c>
      <c r="J5">
        <v>476</v>
      </c>
      <c r="K5">
        <v>336</v>
      </c>
      <c r="L5">
        <v>39.299999999999997</v>
      </c>
      <c r="M5">
        <v>26.2</v>
      </c>
      <c r="N5">
        <v>478</v>
      </c>
      <c r="O5">
        <v>110</v>
      </c>
    </row>
    <row r="6" spans="1:15" x14ac:dyDescent="0.25">
      <c r="A6" t="s">
        <v>286</v>
      </c>
      <c r="B6">
        <v>113</v>
      </c>
      <c r="C6">
        <v>279</v>
      </c>
      <c r="D6">
        <v>61</v>
      </c>
      <c r="E6">
        <v>16</v>
      </c>
      <c r="F6">
        <v>185</v>
      </c>
      <c r="G6">
        <v>7</v>
      </c>
      <c r="H6">
        <v>45</v>
      </c>
      <c r="I6">
        <v>95</v>
      </c>
      <c r="J6">
        <v>333</v>
      </c>
      <c r="K6">
        <v>167</v>
      </c>
      <c r="L6">
        <v>45.2</v>
      </c>
      <c r="M6">
        <v>22.2</v>
      </c>
      <c r="N6">
        <v>362</v>
      </c>
      <c r="O6">
        <v>76</v>
      </c>
    </row>
    <row r="7" spans="1:15" x14ac:dyDescent="0.25">
      <c r="A7" t="s">
        <v>287</v>
      </c>
      <c r="B7">
        <v>209</v>
      </c>
      <c r="C7">
        <v>314</v>
      </c>
      <c r="D7">
        <v>72</v>
      </c>
      <c r="E7">
        <v>24</v>
      </c>
      <c r="F7">
        <v>244</v>
      </c>
      <c r="G7">
        <v>0</v>
      </c>
      <c r="H7">
        <v>47</v>
      </c>
      <c r="I7">
        <v>206</v>
      </c>
      <c r="J7">
        <v>409</v>
      </c>
      <c r="K7">
        <v>236</v>
      </c>
      <c r="L7">
        <v>44.6</v>
      </c>
      <c r="M7">
        <v>22.8</v>
      </c>
      <c r="N7">
        <v>455</v>
      </c>
      <c r="O7">
        <v>50</v>
      </c>
    </row>
    <row r="8" spans="1:15" x14ac:dyDescent="0.25">
      <c r="A8" t="s">
        <v>288</v>
      </c>
      <c r="B8">
        <v>207</v>
      </c>
      <c r="C8">
        <v>490</v>
      </c>
      <c r="D8">
        <v>67</v>
      </c>
      <c r="E8">
        <v>25</v>
      </c>
      <c r="F8">
        <v>296</v>
      </c>
      <c r="G8">
        <v>7</v>
      </c>
      <c r="H8">
        <v>76</v>
      </c>
      <c r="I8">
        <v>207</v>
      </c>
      <c r="J8">
        <v>580</v>
      </c>
      <c r="K8">
        <v>297</v>
      </c>
      <c r="L8">
        <v>36.299999999999997</v>
      </c>
      <c r="M8">
        <v>21.2</v>
      </c>
      <c r="N8">
        <v>590</v>
      </c>
      <c r="O8">
        <v>153</v>
      </c>
    </row>
    <row r="9" spans="1:15" x14ac:dyDescent="0.25">
      <c r="A9" t="s">
        <v>289</v>
      </c>
      <c r="B9">
        <v>200</v>
      </c>
      <c r="C9">
        <v>311</v>
      </c>
      <c r="D9">
        <v>76</v>
      </c>
      <c r="E9">
        <v>24</v>
      </c>
      <c r="F9">
        <v>195</v>
      </c>
      <c r="G9">
        <v>0</v>
      </c>
      <c r="H9">
        <v>297</v>
      </c>
      <c r="I9">
        <v>195</v>
      </c>
      <c r="J9">
        <v>460</v>
      </c>
      <c r="K9">
        <v>203</v>
      </c>
      <c r="L9">
        <v>45.9</v>
      </c>
      <c r="M9">
        <v>24.9</v>
      </c>
      <c r="N9">
        <v>514</v>
      </c>
      <c r="O9">
        <v>37</v>
      </c>
    </row>
    <row r="10" spans="1:15" x14ac:dyDescent="0.25">
      <c r="A10" t="s">
        <v>290</v>
      </c>
      <c r="B10">
        <v>239</v>
      </c>
      <c r="C10">
        <v>373</v>
      </c>
      <c r="D10">
        <v>101</v>
      </c>
      <c r="E10">
        <v>39</v>
      </c>
      <c r="F10">
        <v>329</v>
      </c>
      <c r="G10">
        <v>0</v>
      </c>
      <c r="H10">
        <v>204</v>
      </c>
      <c r="I10">
        <v>211</v>
      </c>
      <c r="J10">
        <v>368</v>
      </c>
      <c r="K10">
        <v>270</v>
      </c>
      <c r="L10">
        <v>48</v>
      </c>
      <c r="M10">
        <v>26</v>
      </c>
      <c r="N10">
        <v>526</v>
      </c>
      <c r="O10">
        <v>132</v>
      </c>
    </row>
    <row r="11" spans="1:15" x14ac:dyDescent="0.25">
      <c r="A11" t="s">
        <v>291</v>
      </c>
      <c r="B11">
        <v>22</v>
      </c>
      <c r="C11">
        <v>22</v>
      </c>
      <c r="D11">
        <v>4</v>
      </c>
      <c r="E11">
        <v>2</v>
      </c>
      <c r="F11">
        <v>9</v>
      </c>
      <c r="G11">
        <v>0</v>
      </c>
      <c r="H11">
        <v>11</v>
      </c>
      <c r="I11">
        <v>22</v>
      </c>
      <c r="J11">
        <v>43</v>
      </c>
      <c r="K11">
        <v>27</v>
      </c>
      <c r="L11">
        <v>45.4</v>
      </c>
      <c r="M11">
        <v>22.1</v>
      </c>
      <c r="N11">
        <v>45</v>
      </c>
      <c r="O11">
        <v>4</v>
      </c>
    </row>
    <row r="12" spans="1:15" x14ac:dyDescent="0.25">
      <c r="A12" t="s">
        <v>292</v>
      </c>
      <c r="B12">
        <v>67</v>
      </c>
      <c r="C12">
        <v>121</v>
      </c>
      <c r="D12">
        <v>19</v>
      </c>
      <c r="E12">
        <v>12</v>
      </c>
      <c r="F12">
        <v>78</v>
      </c>
      <c r="G12">
        <v>0</v>
      </c>
      <c r="H12">
        <v>4</v>
      </c>
      <c r="I12">
        <v>67</v>
      </c>
      <c r="J12">
        <v>171</v>
      </c>
      <c r="K12">
        <v>110</v>
      </c>
      <c r="L12">
        <v>39.299999999999997</v>
      </c>
      <c r="M12">
        <v>17.8</v>
      </c>
      <c r="N12">
        <v>158</v>
      </c>
      <c r="O12">
        <v>10</v>
      </c>
    </row>
    <row r="13" spans="1:15" x14ac:dyDescent="0.25">
      <c r="A13" t="s">
        <v>293</v>
      </c>
      <c r="B13">
        <v>100</v>
      </c>
      <c r="C13">
        <v>286</v>
      </c>
      <c r="D13">
        <v>43</v>
      </c>
      <c r="E13">
        <v>12</v>
      </c>
      <c r="F13">
        <v>201</v>
      </c>
      <c r="G13">
        <v>0</v>
      </c>
      <c r="H13">
        <v>54</v>
      </c>
      <c r="I13">
        <v>93</v>
      </c>
      <c r="J13">
        <v>313</v>
      </c>
      <c r="K13">
        <v>150</v>
      </c>
      <c r="L13">
        <v>42.1</v>
      </c>
      <c r="M13">
        <v>20.8</v>
      </c>
      <c r="N13">
        <v>251</v>
      </c>
      <c r="O13">
        <v>83</v>
      </c>
    </row>
    <row r="14" spans="1:15" x14ac:dyDescent="0.25">
      <c r="A14" t="s">
        <v>294</v>
      </c>
      <c r="B14">
        <v>25</v>
      </c>
      <c r="C14">
        <v>88</v>
      </c>
      <c r="D14">
        <v>9</v>
      </c>
      <c r="E14">
        <v>5</v>
      </c>
      <c r="F14">
        <v>46</v>
      </c>
      <c r="G14">
        <v>0</v>
      </c>
      <c r="H14">
        <v>2</v>
      </c>
      <c r="I14">
        <v>20</v>
      </c>
      <c r="J14">
        <v>104</v>
      </c>
      <c r="K14">
        <v>66</v>
      </c>
      <c r="L14">
        <v>36.1</v>
      </c>
      <c r="M14">
        <v>15.2</v>
      </c>
      <c r="N14">
        <v>63</v>
      </c>
      <c r="O14">
        <v>30</v>
      </c>
    </row>
    <row r="15" spans="1:15" x14ac:dyDescent="0.25">
      <c r="A15" t="s">
        <v>295</v>
      </c>
      <c r="B15">
        <v>103</v>
      </c>
      <c r="C15">
        <v>218</v>
      </c>
      <c r="D15">
        <v>29</v>
      </c>
      <c r="E15">
        <v>9</v>
      </c>
      <c r="F15">
        <v>96</v>
      </c>
      <c r="G15">
        <v>0</v>
      </c>
      <c r="H15">
        <v>5</v>
      </c>
      <c r="I15">
        <v>103</v>
      </c>
      <c r="J15">
        <v>296</v>
      </c>
      <c r="K15">
        <v>154</v>
      </c>
      <c r="L15">
        <v>43.3</v>
      </c>
      <c r="M15">
        <v>17.600000000000001</v>
      </c>
      <c r="N15">
        <v>204</v>
      </c>
      <c r="O15">
        <v>17</v>
      </c>
    </row>
    <row r="16" spans="1:15" x14ac:dyDescent="0.25">
      <c r="A16" t="s">
        <v>296</v>
      </c>
      <c r="B16">
        <v>24</v>
      </c>
      <c r="C16">
        <v>48</v>
      </c>
      <c r="D16">
        <v>7</v>
      </c>
      <c r="E16">
        <v>2</v>
      </c>
      <c r="F16">
        <v>27</v>
      </c>
      <c r="G16">
        <v>0</v>
      </c>
      <c r="H16">
        <v>2</v>
      </c>
      <c r="I16">
        <v>22</v>
      </c>
      <c r="J16">
        <v>62</v>
      </c>
      <c r="K16">
        <v>36</v>
      </c>
      <c r="L16">
        <v>40.1</v>
      </c>
      <c r="M16">
        <v>18.100000000000001</v>
      </c>
      <c r="N16">
        <v>67</v>
      </c>
      <c r="O16">
        <v>16</v>
      </c>
    </row>
    <row r="17" spans="1:15" x14ac:dyDescent="0.25">
      <c r="A17" t="s">
        <v>297</v>
      </c>
      <c r="B17">
        <v>145</v>
      </c>
      <c r="C17">
        <v>163</v>
      </c>
      <c r="D17">
        <v>27</v>
      </c>
      <c r="E17">
        <v>39</v>
      </c>
      <c r="F17">
        <v>168</v>
      </c>
      <c r="G17">
        <v>0</v>
      </c>
      <c r="H17">
        <v>83</v>
      </c>
      <c r="I17">
        <v>126</v>
      </c>
      <c r="J17">
        <v>84</v>
      </c>
      <c r="K17">
        <v>227</v>
      </c>
      <c r="L17">
        <v>54.3</v>
      </c>
      <c r="M17">
        <v>28.2</v>
      </c>
      <c r="N17">
        <v>301</v>
      </c>
      <c r="O17">
        <v>70</v>
      </c>
    </row>
    <row r="18" spans="1:15" x14ac:dyDescent="0.25">
      <c r="A18" t="s">
        <v>298</v>
      </c>
      <c r="B18">
        <v>58</v>
      </c>
      <c r="C18">
        <v>72</v>
      </c>
      <c r="D18">
        <v>18</v>
      </c>
      <c r="E18">
        <v>9</v>
      </c>
      <c r="F18">
        <v>71</v>
      </c>
      <c r="G18">
        <v>0</v>
      </c>
      <c r="H18">
        <v>18</v>
      </c>
      <c r="I18">
        <v>56</v>
      </c>
      <c r="J18">
        <v>132</v>
      </c>
      <c r="K18">
        <v>25</v>
      </c>
      <c r="L18">
        <v>43.7</v>
      </c>
      <c r="M18">
        <v>21.6</v>
      </c>
      <c r="N18">
        <v>124</v>
      </c>
      <c r="O18">
        <v>23</v>
      </c>
    </row>
    <row r="19" spans="1:15" x14ac:dyDescent="0.25">
      <c r="A19" t="s">
        <v>299</v>
      </c>
      <c r="B19">
        <v>115</v>
      </c>
      <c r="C19">
        <v>228</v>
      </c>
      <c r="D19">
        <v>47</v>
      </c>
      <c r="E19">
        <v>17</v>
      </c>
      <c r="F19">
        <v>45</v>
      </c>
      <c r="G19">
        <v>1</v>
      </c>
      <c r="H19">
        <v>1</v>
      </c>
      <c r="I19">
        <v>109</v>
      </c>
      <c r="J19">
        <v>334</v>
      </c>
      <c r="K19">
        <v>164</v>
      </c>
      <c r="L19">
        <v>38.299999999999997</v>
      </c>
      <c r="M19">
        <v>16.399999999999999</v>
      </c>
      <c r="N19">
        <v>249</v>
      </c>
      <c r="O19">
        <v>64</v>
      </c>
    </row>
    <row r="20" spans="1:15" x14ac:dyDescent="0.25">
      <c r="A20" t="s">
        <v>300</v>
      </c>
      <c r="B20">
        <v>386</v>
      </c>
      <c r="C20">
        <v>547</v>
      </c>
      <c r="D20">
        <v>92</v>
      </c>
      <c r="E20">
        <v>32</v>
      </c>
      <c r="F20">
        <v>452</v>
      </c>
      <c r="G20">
        <v>0</v>
      </c>
      <c r="H20">
        <v>247</v>
      </c>
      <c r="I20">
        <v>374</v>
      </c>
      <c r="J20">
        <v>690</v>
      </c>
      <c r="K20">
        <v>413</v>
      </c>
      <c r="L20">
        <v>46.1</v>
      </c>
      <c r="M20">
        <v>25.1</v>
      </c>
      <c r="N20">
        <v>661</v>
      </c>
      <c r="O20">
        <v>118</v>
      </c>
    </row>
    <row r="21" spans="1:15" x14ac:dyDescent="0.25">
      <c r="A21" t="s">
        <v>301</v>
      </c>
      <c r="B21">
        <v>177</v>
      </c>
      <c r="C21">
        <v>306</v>
      </c>
      <c r="D21">
        <v>44</v>
      </c>
      <c r="E21">
        <v>16</v>
      </c>
      <c r="F21">
        <v>211</v>
      </c>
      <c r="G21">
        <v>11</v>
      </c>
      <c r="H21">
        <v>11</v>
      </c>
      <c r="I21">
        <v>157</v>
      </c>
      <c r="J21">
        <v>441</v>
      </c>
      <c r="K21">
        <v>200</v>
      </c>
      <c r="L21">
        <v>44</v>
      </c>
      <c r="M21">
        <v>22.8</v>
      </c>
      <c r="N21">
        <v>400</v>
      </c>
      <c r="O21">
        <v>89</v>
      </c>
    </row>
    <row r="22" spans="1:15" x14ac:dyDescent="0.25">
      <c r="A22" t="s">
        <v>302</v>
      </c>
      <c r="B22">
        <v>62</v>
      </c>
      <c r="C22">
        <v>222</v>
      </c>
      <c r="D22">
        <v>16</v>
      </c>
      <c r="E22">
        <v>11</v>
      </c>
      <c r="F22">
        <v>142</v>
      </c>
      <c r="G22">
        <v>0</v>
      </c>
      <c r="H22">
        <v>4</v>
      </c>
      <c r="I22">
        <v>61</v>
      </c>
      <c r="J22">
        <v>246</v>
      </c>
      <c r="K22">
        <v>140</v>
      </c>
      <c r="L22">
        <v>36.299999999999997</v>
      </c>
      <c r="M22">
        <v>14.8</v>
      </c>
      <c r="N22">
        <v>195</v>
      </c>
      <c r="O22">
        <v>35</v>
      </c>
    </row>
    <row r="23" spans="1:15" x14ac:dyDescent="0.25">
      <c r="A23" t="s">
        <v>303</v>
      </c>
      <c r="B23">
        <v>447</v>
      </c>
      <c r="C23">
        <v>507</v>
      </c>
      <c r="D23">
        <v>82</v>
      </c>
      <c r="E23">
        <v>41</v>
      </c>
      <c r="F23">
        <v>382</v>
      </c>
      <c r="G23">
        <v>4</v>
      </c>
      <c r="H23">
        <v>48</v>
      </c>
      <c r="I23">
        <v>428</v>
      </c>
      <c r="J23">
        <v>803</v>
      </c>
      <c r="K23">
        <v>462</v>
      </c>
      <c r="L23">
        <v>42.3</v>
      </c>
      <c r="M23">
        <v>19.600000000000001</v>
      </c>
      <c r="N23">
        <v>670</v>
      </c>
      <c r="O23">
        <v>224</v>
      </c>
    </row>
    <row r="24" spans="1:15" x14ac:dyDescent="0.25">
      <c r="A24" t="s">
        <v>304</v>
      </c>
      <c r="B24">
        <v>36</v>
      </c>
      <c r="C24">
        <v>173</v>
      </c>
      <c r="D24">
        <v>29</v>
      </c>
      <c r="E24">
        <v>8</v>
      </c>
      <c r="F24">
        <v>111</v>
      </c>
      <c r="G24">
        <v>0</v>
      </c>
      <c r="H24">
        <v>3</v>
      </c>
      <c r="I24">
        <v>35</v>
      </c>
      <c r="J24">
        <v>205</v>
      </c>
      <c r="K24">
        <v>95</v>
      </c>
      <c r="L24">
        <v>42.2</v>
      </c>
      <c r="M24">
        <v>15.6</v>
      </c>
      <c r="N24">
        <v>142</v>
      </c>
      <c r="O24">
        <v>46</v>
      </c>
    </row>
    <row r="25" spans="1:15" x14ac:dyDescent="0.25">
      <c r="A25" t="s">
        <v>305</v>
      </c>
      <c r="B25">
        <v>173</v>
      </c>
      <c r="C25">
        <v>262</v>
      </c>
      <c r="D25">
        <v>54</v>
      </c>
      <c r="E25">
        <v>20</v>
      </c>
      <c r="F25">
        <v>160</v>
      </c>
      <c r="G25">
        <v>0</v>
      </c>
      <c r="H25">
        <v>85</v>
      </c>
      <c r="I25">
        <v>167</v>
      </c>
      <c r="J25">
        <v>382</v>
      </c>
      <c r="K25">
        <v>196</v>
      </c>
      <c r="L25">
        <v>47.1</v>
      </c>
      <c r="M25">
        <v>26.2</v>
      </c>
      <c r="N25">
        <v>422</v>
      </c>
      <c r="O25">
        <v>57</v>
      </c>
    </row>
    <row r="26" spans="1:15" x14ac:dyDescent="0.25">
      <c r="A26" t="s">
        <v>306</v>
      </c>
      <c r="B26">
        <v>292</v>
      </c>
      <c r="C26">
        <v>382</v>
      </c>
      <c r="D26">
        <v>67</v>
      </c>
      <c r="E26">
        <v>52</v>
      </c>
      <c r="F26">
        <v>187</v>
      </c>
      <c r="G26">
        <v>0</v>
      </c>
      <c r="H26">
        <v>218</v>
      </c>
      <c r="I26">
        <v>288</v>
      </c>
      <c r="J26">
        <v>556</v>
      </c>
      <c r="K26">
        <v>293</v>
      </c>
      <c r="L26">
        <v>40.5</v>
      </c>
      <c r="M26">
        <v>26.9</v>
      </c>
      <c r="N26">
        <v>616</v>
      </c>
      <c r="O26">
        <v>66</v>
      </c>
    </row>
    <row r="27" spans="1:15" x14ac:dyDescent="0.25">
      <c r="A27" t="s">
        <v>307</v>
      </c>
      <c r="B27">
        <v>227</v>
      </c>
      <c r="C27">
        <v>404</v>
      </c>
      <c r="D27">
        <v>52</v>
      </c>
      <c r="E27">
        <v>27</v>
      </c>
      <c r="F27">
        <v>314</v>
      </c>
      <c r="G27">
        <v>0</v>
      </c>
      <c r="H27">
        <v>80</v>
      </c>
      <c r="I27">
        <v>223</v>
      </c>
      <c r="J27">
        <v>459</v>
      </c>
      <c r="K27">
        <v>250</v>
      </c>
      <c r="L27">
        <v>44.8</v>
      </c>
      <c r="M27">
        <v>21.4</v>
      </c>
      <c r="N27">
        <v>476</v>
      </c>
      <c r="O27">
        <v>80</v>
      </c>
    </row>
    <row r="28" spans="1:15" x14ac:dyDescent="0.25">
      <c r="A28" t="s">
        <v>266</v>
      </c>
      <c r="B28">
        <v>4409</v>
      </c>
      <c r="C28">
        <v>7282</v>
      </c>
      <c r="D28">
        <v>1247</v>
      </c>
      <c r="E28">
        <v>544</v>
      </c>
      <c r="F28">
        <v>5133</v>
      </c>
      <c r="G28">
        <v>35</v>
      </c>
      <c r="H28">
        <v>1767</v>
      </c>
      <c r="I28">
        <v>4196</v>
      </c>
      <c r="J28">
        <v>9454</v>
      </c>
      <c r="K28">
        <v>5264</v>
      </c>
      <c r="L28">
        <v>43.3</v>
      </c>
      <c r="M28">
        <v>22.5</v>
      </c>
      <c r="N28">
        <v>9347</v>
      </c>
      <c r="O28">
        <v>1912</v>
      </c>
    </row>
    <row r="29" spans="1:15" x14ac:dyDescent="0.25">
      <c r="A29" t="s">
        <v>308</v>
      </c>
      <c r="B29">
        <v>503</v>
      </c>
      <c r="C29">
        <v>659</v>
      </c>
      <c r="D29">
        <v>120</v>
      </c>
      <c r="E29">
        <v>108</v>
      </c>
      <c r="F29">
        <v>498</v>
      </c>
      <c r="G29">
        <v>1</v>
      </c>
      <c r="H29">
        <v>165</v>
      </c>
      <c r="I29">
        <v>449</v>
      </c>
      <c r="J29">
        <v>681</v>
      </c>
      <c r="K29">
        <v>592</v>
      </c>
      <c r="L29">
        <v>44.6</v>
      </c>
      <c r="M29">
        <v>25.4</v>
      </c>
      <c r="N29">
        <v>1079</v>
      </c>
      <c r="O29">
        <v>323</v>
      </c>
    </row>
    <row r="30" spans="1:15" x14ac:dyDescent="0.25">
      <c r="A30" t="s">
        <v>309</v>
      </c>
      <c r="B30">
        <v>3906</v>
      </c>
      <c r="C30">
        <v>6623</v>
      </c>
      <c r="D30">
        <v>1127</v>
      </c>
      <c r="E30">
        <v>436</v>
      </c>
      <c r="F30">
        <v>4635</v>
      </c>
      <c r="G30">
        <v>34</v>
      </c>
      <c r="H30">
        <v>1602</v>
      </c>
      <c r="I30">
        <v>3747</v>
      </c>
      <c r="J30">
        <v>8773</v>
      </c>
      <c r="K30">
        <v>4672</v>
      </c>
      <c r="L30">
        <v>43.2</v>
      </c>
      <c r="M30">
        <v>22.2</v>
      </c>
      <c r="N30">
        <v>8268</v>
      </c>
      <c r="O30">
        <v>1589</v>
      </c>
    </row>
  </sheetData>
  <mergeCells count="4">
    <mergeCell ref="J1:K1"/>
    <mergeCell ref="L1:O1"/>
    <mergeCell ref="B1:E1"/>
    <mergeCell ref="A1:A2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70AD47"/>
  </sheetPr>
  <dimension ref="A1:O30"/>
  <sheetViews>
    <sheetView workbookViewId="0"/>
  </sheetViews>
  <sheetFormatPr defaultRowHeight="15" x14ac:dyDescent="0.25"/>
  <cols>
    <col min="1" max="1" width="27.140625" customWidth="1"/>
    <col min="2" max="2" width="11.140625" customWidth="1"/>
    <col min="4" max="4" width="10.85546875" customWidth="1"/>
    <col min="5" max="5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4" max="14" width="10.85546875" customWidth="1"/>
    <col min="15" max="15" width="11.140625" customWidth="1"/>
  </cols>
  <sheetData>
    <row r="1" spans="1:15" x14ac:dyDescent="0.25">
      <c r="A1" s="29" t="s">
        <v>709</v>
      </c>
      <c r="B1" s="29" t="s">
        <v>326</v>
      </c>
      <c r="C1" s="29"/>
      <c r="D1" s="29" t="s">
        <v>346</v>
      </c>
      <c r="E1" s="29"/>
      <c r="F1" s="29"/>
      <c r="G1" s="29"/>
      <c r="H1" s="29"/>
      <c r="I1" s="29"/>
      <c r="J1" s="29" t="s">
        <v>365</v>
      </c>
      <c r="K1" s="29"/>
      <c r="L1" s="29"/>
      <c r="M1" s="29" t="s">
        <v>366</v>
      </c>
      <c r="N1" s="29"/>
      <c r="O1" s="29"/>
    </row>
    <row r="2" spans="1:15" x14ac:dyDescent="0.25">
      <c r="A2" s="29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326</v>
      </c>
      <c r="C3">
        <v>191</v>
      </c>
      <c r="D3">
        <v>1</v>
      </c>
      <c r="E3">
        <v>3</v>
      </c>
      <c r="F3">
        <v>4</v>
      </c>
      <c r="G3">
        <v>9</v>
      </c>
      <c r="H3">
        <v>9</v>
      </c>
      <c r="I3">
        <v>382</v>
      </c>
      <c r="J3">
        <v>0</v>
      </c>
      <c r="K3">
        <v>0</v>
      </c>
      <c r="L3">
        <v>54</v>
      </c>
      <c r="M3">
        <v>2</v>
      </c>
      <c r="N3">
        <v>3</v>
      </c>
      <c r="O3">
        <v>25</v>
      </c>
    </row>
    <row r="4" spans="1:15" x14ac:dyDescent="0.25">
      <c r="A4" t="s">
        <v>284</v>
      </c>
      <c r="B4">
        <v>373</v>
      </c>
      <c r="C4">
        <v>161</v>
      </c>
      <c r="D4">
        <v>3</v>
      </c>
      <c r="E4">
        <v>2</v>
      </c>
      <c r="F4">
        <v>3</v>
      </c>
      <c r="G4">
        <v>15</v>
      </c>
      <c r="H4">
        <v>14</v>
      </c>
      <c r="I4">
        <v>612</v>
      </c>
      <c r="J4">
        <v>2</v>
      </c>
      <c r="K4">
        <v>2</v>
      </c>
      <c r="L4">
        <v>92</v>
      </c>
      <c r="M4">
        <v>1</v>
      </c>
      <c r="N4">
        <v>1</v>
      </c>
      <c r="O4">
        <v>27</v>
      </c>
    </row>
    <row r="5" spans="1:15" x14ac:dyDescent="0.25">
      <c r="A5" t="s">
        <v>285</v>
      </c>
      <c r="B5">
        <v>283</v>
      </c>
      <c r="C5">
        <v>38</v>
      </c>
      <c r="D5">
        <v>2</v>
      </c>
      <c r="E5">
        <v>4</v>
      </c>
      <c r="F5">
        <v>3</v>
      </c>
      <c r="G5">
        <v>4</v>
      </c>
      <c r="H5">
        <v>4</v>
      </c>
      <c r="I5">
        <v>392</v>
      </c>
      <c r="J5">
        <v>1</v>
      </c>
      <c r="K5">
        <v>1</v>
      </c>
      <c r="L5">
        <v>79</v>
      </c>
      <c r="M5">
        <v>0</v>
      </c>
      <c r="N5">
        <v>0</v>
      </c>
      <c r="O5">
        <v>43</v>
      </c>
    </row>
    <row r="6" spans="1:15" x14ac:dyDescent="0.25">
      <c r="A6" t="s">
        <v>286</v>
      </c>
      <c r="B6">
        <v>113</v>
      </c>
      <c r="C6">
        <v>29</v>
      </c>
      <c r="D6">
        <v>0</v>
      </c>
      <c r="E6">
        <v>0</v>
      </c>
      <c r="F6">
        <v>0</v>
      </c>
      <c r="G6">
        <v>4</v>
      </c>
      <c r="H6">
        <v>1</v>
      </c>
      <c r="I6">
        <v>274</v>
      </c>
      <c r="J6">
        <v>1</v>
      </c>
      <c r="K6">
        <v>0</v>
      </c>
      <c r="L6">
        <v>60</v>
      </c>
      <c r="M6">
        <v>0</v>
      </c>
      <c r="N6">
        <v>0</v>
      </c>
      <c r="O6">
        <v>16</v>
      </c>
    </row>
    <row r="7" spans="1:15" x14ac:dyDescent="0.25">
      <c r="A7" t="s">
        <v>287</v>
      </c>
      <c r="B7">
        <v>209</v>
      </c>
      <c r="C7">
        <v>61</v>
      </c>
      <c r="D7">
        <v>0</v>
      </c>
      <c r="E7">
        <v>0</v>
      </c>
      <c r="F7">
        <v>1</v>
      </c>
      <c r="G7">
        <v>0</v>
      </c>
      <c r="H7">
        <v>0</v>
      </c>
      <c r="I7">
        <v>313</v>
      </c>
      <c r="J7">
        <v>1</v>
      </c>
      <c r="K7">
        <v>1</v>
      </c>
      <c r="L7">
        <v>70</v>
      </c>
      <c r="M7">
        <v>0</v>
      </c>
      <c r="N7">
        <v>0</v>
      </c>
      <c r="O7">
        <v>24</v>
      </c>
    </row>
    <row r="8" spans="1:15" x14ac:dyDescent="0.25">
      <c r="A8" t="s">
        <v>288</v>
      </c>
      <c r="B8">
        <v>207</v>
      </c>
      <c r="C8">
        <v>81</v>
      </c>
      <c r="D8">
        <v>3</v>
      </c>
      <c r="E8">
        <v>7</v>
      </c>
      <c r="F8">
        <v>18</v>
      </c>
      <c r="G8">
        <v>13</v>
      </c>
      <c r="H8">
        <v>6</v>
      </c>
      <c r="I8">
        <v>443</v>
      </c>
      <c r="J8">
        <v>1</v>
      </c>
      <c r="K8">
        <v>0</v>
      </c>
      <c r="L8">
        <v>66</v>
      </c>
      <c r="M8">
        <v>0</v>
      </c>
      <c r="N8">
        <v>1</v>
      </c>
      <c r="O8">
        <v>24</v>
      </c>
    </row>
    <row r="9" spans="1:15" x14ac:dyDescent="0.25">
      <c r="A9" t="s">
        <v>289</v>
      </c>
      <c r="B9">
        <v>200</v>
      </c>
      <c r="C9">
        <v>34</v>
      </c>
      <c r="D9">
        <v>0</v>
      </c>
      <c r="E9">
        <v>0</v>
      </c>
      <c r="F9">
        <v>1</v>
      </c>
      <c r="G9">
        <v>2</v>
      </c>
      <c r="H9">
        <v>2</v>
      </c>
      <c r="I9">
        <v>306</v>
      </c>
      <c r="J9">
        <v>0</v>
      </c>
      <c r="K9">
        <v>1</v>
      </c>
      <c r="L9">
        <v>75</v>
      </c>
      <c r="M9">
        <v>0</v>
      </c>
      <c r="N9">
        <v>1</v>
      </c>
      <c r="O9">
        <v>23</v>
      </c>
    </row>
    <row r="10" spans="1:15" x14ac:dyDescent="0.25">
      <c r="A10" t="s">
        <v>290</v>
      </c>
      <c r="B10">
        <v>239</v>
      </c>
      <c r="C10">
        <v>22</v>
      </c>
      <c r="D10">
        <v>0</v>
      </c>
      <c r="E10">
        <v>3</v>
      </c>
      <c r="F10">
        <v>1</v>
      </c>
      <c r="G10">
        <v>3</v>
      </c>
      <c r="H10">
        <v>1</v>
      </c>
      <c r="I10">
        <v>365</v>
      </c>
      <c r="J10">
        <v>0</v>
      </c>
      <c r="K10">
        <v>0</v>
      </c>
      <c r="L10">
        <v>101</v>
      </c>
      <c r="M10">
        <v>1</v>
      </c>
      <c r="N10">
        <v>0</v>
      </c>
      <c r="O10">
        <v>38</v>
      </c>
    </row>
    <row r="11" spans="1:15" x14ac:dyDescent="0.25">
      <c r="A11" t="s">
        <v>291</v>
      </c>
      <c r="B11">
        <v>22</v>
      </c>
      <c r="C11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22</v>
      </c>
      <c r="J11">
        <v>0</v>
      </c>
      <c r="K11">
        <v>0</v>
      </c>
      <c r="L11">
        <v>4</v>
      </c>
      <c r="M11">
        <v>0</v>
      </c>
      <c r="N11">
        <v>0</v>
      </c>
      <c r="O11">
        <v>2</v>
      </c>
    </row>
    <row r="12" spans="1:15" x14ac:dyDescent="0.25">
      <c r="A12" t="s">
        <v>292</v>
      </c>
      <c r="B12">
        <v>67</v>
      </c>
      <c r="C12">
        <v>54</v>
      </c>
      <c r="D12">
        <v>1</v>
      </c>
      <c r="E12">
        <v>5</v>
      </c>
      <c r="F12">
        <v>1</v>
      </c>
      <c r="G12">
        <v>2</v>
      </c>
      <c r="H12">
        <v>6</v>
      </c>
      <c r="I12">
        <v>106</v>
      </c>
      <c r="J12">
        <v>0</v>
      </c>
      <c r="K12">
        <v>1</v>
      </c>
      <c r="L12">
        <v>18</v>
      </c>
      <c r="M12">
        <v>1</v>
      </c>
      <c r="N12">
        <v>3</v>
      </c>
      <c r="O12">
        <v>8</v>
      </c>
    </row>
    <row r="13" spans="1:15" x14ac:dyDescent="0.25">
      <c r="A13" t="s">
        <v>293</v>
      </c>
      <c r="B13">
        <v>100</v>
      </c>
      <c r="C13">
        <v>28</v>
      </c>
      <c r="D13">
        <v>4</v>
      </c>
      <c r="E13">
        <v>5</v>
      </c>
      <c r="F13">
        <v>5</v>
      </c>
      <c r="G13">
        <v>5</v>
      </c>
      <c r="H13">
        <v>15</v>
      </c>
      <c r="I13">
        <v>252</v>
      </c>
      <c r="J13">
        <v>0</v>
      </c>
      <c r="K13">
        <v>2</v>
      </c>
      <c r="L13">
        <v>41</v>
      </c>
      <c r="M13">
        <v>0</v>
      </c>
      <c r="N13">
        <v>0</v>
      </c>
      <c r="O13">
        <v>11</v>
      </c>
    </row>
    <row r="14" spans="1:15" x14ac:dyDescent="0.25">
      <c r="A14" t="s">
        <v>294</v>
      </c>
      <c r="B14">
        <v>25</v>
      </c>
      <c r="C14">
        <v>21</v>
      </c>
      <c r="D14">
        <v>0</v>
      </c>
      <c r="E14">
        <v>0</v>
      </c>
      <c r="F14">
        <v>0</v>
      </c>
      <c r="G14">
        <v>0</v>
      </c>
      <c r="H14">
        <v>2</v>
      </c>
      <c r="I14">
        <v>86</v>
      </c>
      <c r="J14">
        <v>0</v>
      </c>
      <c r="K14">
        <v>0</v>
      </c>
      <c r="L14">
        <v>9</v>
      </c>
      <c r="M14">
        <v>0</v>
      </c>
      <c r="N14">
        <v>0</v>
      </c>
      <c r="O14">
        <v>5</v>
      </c>
    </row>
    <row r="15" spans="1:15" x14ac:dyDescent="0.25">
      <c r="A15" t="s">
        <v>295</v>
      </c>
      <c r="B15">
        <v>103</v>
      </c>
      <c r="C15">
        <v>60</v>
      </c>
      <c r="D15">
        <v>0</v>
      </c>
      <c r="E15">
        <v>0</v>
      </c>
      <c r="F15">
        <v>0</v>
      </c>
      <c r="G15">
        <v>7</v>
      </c>
      <c r="H15">
        <v>5</v>
      </c>
      <c r="I15">
        <v>206</v>
      </c>
      <c r="J15">
        <v>0</v>
      </c>
      <c r="K15">
        <v>1</v>
      </c>
      <c r="L15">
        <v>28</v>
      </c>
      <c r="M15">
        <v>0</v>
      </c>
      <c r="N15">
        <v>0</v>
      </c>
      <c r="O15">
        <v>9</v>
      </c>
    </row>
    <row r="16" spans="1:15" x14ac:dyDescent="0.25">
      <c r="A16" t="s">
        <v>296</v>
      </c>
      <c r="B16">
        <v>24</v>
      </c>
      <c r="C16">
        <v>14</v>
      </c>
      <c r="D16">
        <v>0</v>
      </c>
      <c r="E16">
        <v>0</v>
      </c>
      <c r="F16">
        <v>0</v>
      </c>
      <c r="G16">
        <v>1</v>
      </c>
      <c r="H16">
        <v>0</v>
      </c>
      <c r="I16">
        <v>47</v>
      </c>
      <c r="J16">
        <v>0</v>
      </c>
      <c r="K16">
        <v>0</v>
      </c>
      <c r="L16">
        <v>7</v>
      </c>
      <c r="M16">
        <v>0</v>
      </c>
      <c r="N16">
        <v>0</v>
      </c>
      <c r="O16">
        <v>2</v>
      </c>
    </row>
    <row r="17" spans="1:15" x14ac:dyDescent="0.25">
      <c r="A17" t="s">
        <v>297</v>
      </c>
      <c r="B17">
        <v>145</v>
      </c>
      <c r="C17">
        <v>1</v>
      </c>
      <c r="D17">
        <v>0</v>
      </c>
      <c r="E17">
        <v>2</v>
      </c>
      <c r="F17">
        <v>1</v>
      </c>
      <c r="G17">
        <v>1</v>
      </c>
      <c r="H17">
        <v>0</v>
      </c>
      <c r="I17">
        <v>159</v>
      </c>
      <c r="J17">
        <v>0</v>
      </c>
      <c r="K17">
        <v>0</v>
      </c>
      <c r="L17">
        <v>27</v>
      </c>
      <c r="M17">
        <v>1</v>
      </c>
      <c r="N17">
        <v>2</v>
      </c>
      <c r="O17">
        <v>36</v>
      </c>
    </row>
    <row r="18" spans="1:15" x14ac:dyDescent="0.25">
      <c r="A18" t="s">
        <v>298</v>
      </c>
      <c r="B18">
        <v>58</v>
      </c>
      <c r="C18">
        <v>33</v>
      </c>
      <c r="D18">
        <v>0</v>
      </c>
      <c r="E18">
        <v>1</v>
      </c>
      <c r="F18">
        <v>0</v>
      </c>
      <c r="G18">
        <v>0</v>
      </c>
      <c r="H18">
        <v>3</v>
      </c>
      <c r="I18">
        <v>68</v>
      </c>
      <c r="J18">
        <v>0</v>
      </c>
      <c r="K18">
        <v>1</v>
      </c>
      <c r="L18">
        <v>17</v>
      </c>
      <c r="M18">
        <v>0</v>
      </c>
      <c r="N18">
        <v>1</v>
      </c>
      <c r="O18">
        <v>8</v>
      </c>
    </row>
    <row r="19" spans="1:15" x14ac:dyDescent="0.25">
      <c r="A19" t="s">
        <v>299</v>
      </c>
      <c r="B19">
        <v>115</v>
      </c>
      <c r="C19">
        <v>85</v>
      </c>
      <c r="D19">
        <v>1</v>
      </c>
      <c r="E19">
        <v>0</v>
      </c>
      <c r="F19">
        <v>5</v>
      </c>
      <c r="G19">
        <v>3</v>
      </c>
      <c r="H19">
        <v>8</v>
      </c>
      <c r="I19">
        <v>211</v>
      </c>
      <c r="J19">
        <v>0</v>
      </c>
      <c r="K19">
        <v>0</v>
      </c>
      <c r="L19">
        <v>47</v>
      </c>
      <c r="M19">
        <v>2</v>
      </c>
      <c r="N19">
        <v>0</v>
      </c>
      <c r="O19">
        <v>15</v>
      </c>
    </row>
    <row r="20" spans="1:15" x14ac:dyDescent="0.25">
      <c r="A20" t="s">
        <v>300</v>
      </c>
      <c r="B20">
        <v>386</v>
      </c>
      <c r="C20">
        <v>21</v>
      </c>
      <c r="D20">
        <v>0</v>
      </c>
      <c r="E20">
        <v>3</v>
      </c>
      <c r="F20">
        <v>3</v>
      </c>
      <c r="G20">
        <v>9</v>
      </c>
      <c r="H20">
        <v>8</v>
      </c>
      <c r="I20">
        <v>524</v>
      </c>
      <c r="J20">
        <v>1</v>
      </c>
      <c r="K20">
        <v>0</v>
      </c>
      <c r="L20">
        <v>91</v>
      </c>
      <c r="M20">
        <v>0</v>
      </c>
      <c r="N20">
        <v>1</v>
      </c>
      <c r="O20">
        <v>31</v>
      </c>
    </row>
    <row r="21" spans="1:15" x14ac:dyDescent="0.25">
      <c r="A21" t="s">
        <v>301</v>
      </c>
      <c r="B21">
        <v>177</v>
      </c>
      <c r="C21">
        <v>87</v>
      </c>
      <c r="D21">
        <v>2</v>
      </c>
      <c r="E21">
        <v>6</v>
      </c>
      <c r="F21">
        <v>9</v>
      </c>
      <c r="G21">
        <v>4</v>
      </c>
      <c r="H21">
        <v>7</v>
      </c>
      <c r="I21">
        <v>278</v>
      </c>
      <c r="J21">
        <v>0</v>
      </c>
      <c r="K21">
        <v>0</v>
      </c>
      <c r="L21">
        <v>44</v>
      </c>
      <c r="M21">
        <v>1</v>
      </c>
      <c r="N21">
        <v>0</v>
      </c>
      <c r="O21">
        <v>15</v>
      </c>
    </row>
    <row r="22" spans="1:15" x14ac:dyDescent="0.25">
      <c r="A22" t="s">
        <v>302</v>
      </c>
      <c r="B22">
        <v>62</v>
      </c>
      <c r="C22">
        <v>31</v>
      </c>
      <c r="D22">
        <v>2</v>
      </c>
      <c r="E22">
        <v>4</v>
      </c>
      <c r="F22">
        <v>10</v>
      </c>
      <c r="G22">
        <v>21</v>
      </c>
      <c r="H22">
        <v>25</v>
      </c>
      <c r="I22">
        <v>160</v>
      </c>
      <c r="J22">
        <v>2</v>
      </c>
      <c r="K22">
        <v>4</v>
      </c>
      <c r="L22">
        <v>10</v>
      </c>
      <c r="M22">
        <v>2</v>
      </c>
      <c r="N22">
        <v>0</v>
      </c>
      <c r="O22">
        <v>9</v>
      </c>
    </row>
    <row r="23" spans="1:15" x14ac:dyDescent="0.25">
      <c r="A23" t="s">
        <v>303</v>
      </c>
      <c r="B23">
        <v>447</v>
      </c>
      <c r="C23">
        <v>130</v>
      </c>
      <c r="D23">
        <v>1</v>
      </c>
      <c r="E23">
        <v>2</v>
      </c>
      <c r="F23">
        <v>2</v>
      </c>
      <c r="G23">
        <v>3</v>
      </c>
      <c r="H23">
        <v>2</v>
      </c>
      <c r="I23">
        <v>497</v>
      </c>
      <c r="J23">
        <v>1</v>
      </c>
      <c r="K23">
        <v>2</v>
      </c>
      <c r="L23">
        <v>79</v>
      </c>
      <c r="M23">
        <v>3</v>
      </c>
      <c r="N23">
        <v>3</v>
      </c>
      <c r="O23">
        <v>35</v>
      </c>
    </row>
    <row r="24" spans="1:15" x14ac:dyDescent="0.25">
      <c r="A24" t="s">
        <v>304</v>
      </c>
      <c r="B24">
        <v>36</v>
      </c>
      <c r="C24">
        <v>19</v>
      </c>
      <c r="D24">
        <v>0</v>
      </c>
      <c r="E24">
        <v>2</v>
      </c>
      <c r="F24">
        <v>3</v>
      </c>
      <c r="G24">
        <v>7</v>
      </c>
      <c r="H24">
        <v>4</v>
      </c>
      <c r="I24">
        <v>157</v>
      </c>
      <c r="J24">
        <v>2</v>
      </c>
      <c r="K24">
        <v>2</v>
      </c>
      <c r="L24">
        <v>25</v>
      </c>
      <c r="M24">
        <v>0</v>
      </c>
      <c r="N24">
        <v>0</v>
      </c>
      <c r="O24">
        <v>8</v>
      </c>
    </row>
    <row r="25" spans="1:15" x14ac:dyDescent="0.25">
      <c r="A25" t="s">
        <v>305</v>
      </c>
      <c r="B25">
        <v>173</v>
      </c>
      <c r="C25">
        <v>80</v>
      </c>
      <c r="D25">
        <v>1</v>
      </c>
      <c r="E25">
        <v>1</v>
      </c>
      <c r="F25">
        <v>1</v>
      </c>
      <c r="G25">
        <v>0</v>
      </c>
      <c r="H25">
        <v>1</v>
      </c>
      <c r="I25">
        <v>258</v>
      </c>
      <c r="J25">
        <v>0</v>
      </c>
      <c r="K25">
        <v>0</v>
      </c>
      <c r="L25">
        <v>54</v>
      </c>
      <c r="M25">
        <v>1</v>
      </c>
      <c r="N25">
        <v>0</v>
      </c>
      <c r="O25">
        <v>19</v>
      </c>
    </row>
    <row r="26" spans="1:15" x14ac:dyDescent="0.25">
      <c r="A26" t="s">
        <v>306</v>
      </c>
      <c r="B26">
        <v>292</v>
      </c>
      <c r="C26">
        <v>43</v>
      </c>
      <c r="D26">
        <v>0</v>
      </c>
      <c r="E26">
        <v>0</v>
      </c>
      <c r="F26">
        <v>1</v>
      </c>
      <c r="G26">
        <v>1</v>
      </c>
      <c r="H26">
        <v>0</v>
      </c>
      <c r="I26">
        <v>380</v>
      </c>
      <c r="J26">
        <v>0</v>
      </c>
      <c r="K26">
        <v>0</v>
      </c>
      <c r="L26">
        <v>67</v>
      </c>
      <c r="M26">
        <v>0</v>
      </c>
      <c r="N26">
        <v>2</v>
      </c>
      <c r="O26">
        <v>50</v>
      </c>
    </row>
    <row r="27" spans="1:15" x14ac:dyDescent="0.25">
      <c r="A27" t="s">
        <v>307</v>
      </c>
      <c r="B27">
        <v>227</v>
      </c>
      <c r="C27">
        <v>65</v>
      </c>
      <c r="D27">
        <v>3</v>
      </c>
      <c r="E27">
        <v>17</v>
      </c>
      <c r="F27">
        <v>4</v>
      </c>
      <c r="G27">
        <v>25</v>
      </c>
      <c r="H27">
        <v>10</v>
      </c>
      <c r="I27">
        <v>345</v>
      </c>
      <c r="J27">
        <v>0</v>
      </c>
      <c r="K27">
        <v>1</v>
      </c>
      <c r="L27">
        <v>51</v>
      </c>
      <c r="M27">
        <v>3</v>
      </c>
      <c r="N27">
        <v>0</v>
      </c>
      <c r="O27">
        <v>24</v>
      </c>
    </row>
    <row r="28" spans="1:15" x14ac:dyDescent="0.25">
      <c r="A28" t="s">
        <v>266</v>
      </c>
      <c r="B28">
        <v>4409</v>
      </c>
      <c r="C28">
        <v>1404</v>
      </c>
      <c r="D28">
        <v>24</v>
      </c>
      <c r="E28">
        <v>67</v>
      </c>
      <c r="F28">
        <v>76</v>
      </c>
      <c r="G28">
        <v>139</v>
      </c>
      <c r="H28">
        <v>133</v>
      </c>
      <c r="I28">
        <v>6843</v>
      </c>
      <c r="J28">
        <v>12</v>
      </c>
      <c r="K28">
        <v>19</v>
      </c>
      <c r="L28">
        <v>1216</v>
      </c>
      <c r="M28">
        <v>18</v>
      </c>
      <c r="N28">
        <v>18</v>
      </c>
      <c r="O28">
        <v>507</v>
      </c>
    </row>
    <row r="29" spans="1:15" x14ac:dyDescent="0.25">
      <c r="A29" t="s">
        <v>308</v>
      </c>
      <c r="B29">
        <v>503</v>
      </c>
      <c r="C29">
        <v>147</v>
      </c>
      <c r="D29">
        <v>0</v>
      </c>
      <c r="E29">
        <v>4</v>
      </c>
      <c r="F29">
        <v>4</v>
      </c>
      <c r="G29">
        <v>4</v>
      </c>
      <c r="H29">
        <v>9</v>
      </c>
      <c r="I29">
        <v>638</v>
      </c>
      <c r="J29">
        <v>1</v>
      </c>
      <c r="K29">
        <v>1</v>
      </c>
      <c r="L29">
        <v>118</v>
      </c>
      <c r="M29">
        <v>3</v>
      </c>
      <c r="N29">
        <v>3</v>
      </c>
      <c r="O29">
        <v>102</v>
      </c>
    </row>
    <row r="30" spans="1:15" x14ac:dyDescent="0.25">
      <c r="A30" t="s">
        <v>309</v>
      </c>
      <c r="B30">
        <v>3906</v>
      </c>
      <c r="C30">
        <v>1257</v>
      </c>
      <c r="D30">
        <v>24</v>
      </c>
      <c r="E30">
        <v>63</v>
      </c>
      <c r="F30">
        <v>72</v>
      </c>
      <c r="G30">
        <v>135</v>
      </c>
      <c r="H30">
        <v>124</v>
      </c>
      <c r="I30">
        <v>6205</v>
      </c>
      <c r="J30">
        <v>11</v>
      </c>
      <c r="K30">
        <v>18</v>
      </c>
      <c r="L30">
        <v>1098</v>
      </c>
      <c r="M30">
        <v>15</v>
      </c>
      <c r="N30">
        <v>15</v>
      </c>
      <c r="O30">
        <v>405</v>
      </c>
    </row>
  </sheetData>
  <mergeCells count="5">
    <mergeCell ref="J1:L1"/>
    <mergeCell ref="D1:I1"/>
    <mergeCell ref="M1:O1"/>
    <mergeCell ref="B1:C1"/>
    <mergeCell ref="A1:A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5B9BD5"/>
  </sheetPr>
  <dimension ref="A1:AW30"/>
  <sheetViews>
    <sheetView workbookViewId="0"/>
  </sheetViews>
  <sheetFormatPr defaultRowHeight="15" x14ac:dyDescent="0.25"/>
  <sheetData>
    <row r="1" spans="1:49" x14ac:dyDescent="0.25">
      <c r="A1" s="29" t="s">
        <v>709</v>
      </c>
      <c r="B1" s="29" t="s">
        <v>375</v>
      </c>
      <c r="C1" s="29"/>
      <c r="D1" s="29" t="s">
        <v>376</v>
      </c>
      <c r="E1" s="29"/>
      <c r="F1" s="29" t="s">
        <v>377</v>
      </c>
      <c r="G1" s="29"/>
      <c r="H1" s="29" t="s">
        <v>378</v>
      </c>
      <c r="I1" s="29"/>
      <c r="J1" s="29" t="s">
        <v>379</v>
      </c>
      <c r="K1" s="29"/>
      <c r="L1" s="29" t="s">
        <v>380</v>
      </c>
      <c r="M1" s="29"/>
      <c r="N1" s="29" t="s">
        <v>381</v>
      </c>
      <c r="O1" s="29"/>
      <c r="P1" s="29" t="s">
        <v>382</v>
      </c>
      <c r="Q1" s="29"/>
      <c r="R1" s="29" t="s">
        <v>383</v>
      </c>
      <c r="S1" s="29"/>
      <c r="T1" s="29" t="s">
        <v>384</v>
      </c>
      <c r="U1" s="29"/>
      <c r="V1" s="29" t="s">
        <v>385</v>
      </c>
      <c r="W1" s="29"/>
      <c r="X1" s="29" t="s">
        <v>386</v>
      </c>
      <c r="Y1" s="29"/>
      <c r="Z1" s="29" t="s">
        <v>387</v>
      </c>
      <c r="AA1" s="29"/>
      <c r="AB1" s="29" t="s">
        <v>388</v>
      </c>
      <c r="AC1" s="29"/>
      <c r="AD1" s="29" t="s">
        <v>389</v>
      </c>
      <c r="AE1" s="29"/>
      <c r="AF1" s="29" t="s">
        <v>390</v>
      </c>
      <c r="AG1" s="29"/>
      <c r="AH1" s="29" t="s">
        <v>391</v>
      </c>
      <c r="AI1" s="29"/>
      <c r="AJ1" s="29" t="s">
        <v>392</v>
      </c>
      <c r="AK1" s="29"/>
      <c r="AL1" s="29" t="s">
        <v>393</v>
      </c>
      <c r="AM1" s="29"/>
      <c r="AN1" s="29" t="s">
        <v>394</v>
      </c>
      <c r="AO1" s="29"/>
      <c r="AP1" s="29" t="s">
        <v>395</v>
      </c>
      <c r="AQ1" s="29"/>
      <c r="AR1" s="29" t="s">
        <v>396</v>
      </c>
      <c r="AS1" s="29"/>
      <c r="AT1" s="29" t="s">
        <v>397</v>
      </c>
      <c r="AU1" s="29"/>
      <c r="AV1" s="29" t="s">
        <v>398</v>
      </c>
      <c r="AW1" s="29"/>
    </row>
    <row r="2" spans="1:49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  <c r="L2" t="s">
        <v>263</v>
      </c>
      <c r="M2" t="s">
        <v>264</v>
      </c>
      <c r="N2" t="s">
        <v>263</v>
      </c>
      <c r="O2" t="s">
        <v>264</v>
      </c>
      <c r="P2" t="s">
        <v>263</v>
      </c>
      <c r="Q2" t="s">
        <v>264</v>
      </c>
      <c r="R2" t="s">
        <v>263</v>
      </c>
      <c r="S2" t="s">
        <v>264</v>
      </c>
      <c r="T2" t="s">
        <v>263</v>
      </c>
      <c r="U2" t="s">
        <v>264</v>
      </c>
      <c r="V2" t="s">
        <v>263</v>
      </c>
      <c r="W2" t="s">
        <v>264</v>
      </c>
      <c r="X2" t="s">
        <v>263</v>
      </c>
      <c r="Y2" t="s">
        <v>264</v>
      </c>
      <c r="Z2" t="s">
        <v>263</v>
      </c>
      <c r="AA2" t="s">
        <v>264</v>
      </c>
      <c r="AB2" t="s">
        <v>263</v>
      </c>
      <c r="AC2" t="s">
        <v>264</v>
      </c>
      <c r="AD2" t="s">
        <v>263</v>
      </c>
      <c r="AE2" t="s">
        <v>264</v>
      </c>
      <c r="AF2" t="s">
        <v>263</v>
      </c>
      <c r="AG2" t="s">
        <v>264</v>
      </c>
      <c r="AH2" t="s">
        <v>263</v>
      </c>
      <c r="AI2" t="s">
        <v>264</v>
      </c>
      <c r="AJ2" t="s">
        <v>263</v>
      </c>
      <c r="AK2" t="s">
        <v>264</v>
      </c>
      <c r="AL2" t="s">
        <v>263</v>
      </c>
      <c r="AM2" t="s">
        <v>264</v>
      </c>
      <c r="AN2" t="s">
        <v>263</v>
      </c>
      <c r="AO2" t="s">
        <v>264</v>
      </c>
      <c r="AP2" t="s">
        <v>263</v>
      </c>
      <c r="AQ2" t="s">
        <v>264</v>
      </c>
      <c r="AR2" t="s">
        <v>263</v>
      </c>
      <c r="AS2" t="s">
        <v>264</v>
      </c>
      <c r="AT2" t="s">
        <v>263</v>
      </c>
      <c r="AU2" t="s">
        <v>264</v>
      </c>
      <c r="AV2" t="s">
        <v>263</v>
      </c>
      <c r="AW2" t="s">
        <v>264</v>
      </c>
    </row>
    <row r="3" spans="1:49" x14ac:dyDescent="0.25">
      <c r="A3" t="s">
        <v>283</v>
      </c>
      <c r="B3">
        <v>17988</v>
      </c>
      <c r="C3">
        <v>8373</v>
      </c>
      <c r="D3">
        <v>1152</v>
      </c>
      <c r="E3">
        <v>404</v>
      </c>
      <c r="F3">
        <v>17401</v>
      </c>
      <c r="G3">
        <v>8344</v>
      </c>
      <c r="H3">
        <v>817</v>
      </c>
      <c r="I3">
        <v>297</v>
      </c>
      <c r="J3">
        <v>16217</v>
      </c>
      <c r="K3">
        <v>7788</v>
      </c>
      <c r="L3">
        <v>582</v>
      </c>
      <c r="M3">
        <v>194</v>
      </c>
      <c r="N3">
        <v>15983</v>
      </c>
      <c r="O3">
        <v>7716</v>
      </c>
      <c r="P3">
        <v>478</v>
      </c>
      <c r="Q3">
        <v>123</v>
      </c>
      <c r="R3">
        <v>15414</v>
      </c>
      <c r="S3">
        <v>7546</v>
      </c>
      <c r="T3">
        <v>265</v>
      </c>
      <c r="U3">
        <v>73</v>
      </c>
      <c r="V3">
        <v>14154</v>
      </c>
      <c r="W3">
        <v>7083</v>
      </c>
      <c r="X3">
        <v>175</v>
      </c>
      <c r="Y3">
        <v>69</v>
      </c>
      <c r="Z3">
        <v>11717</v>
      </c>
      <c r="AA3">
        <v>6067</v>
      </c>
      <c r="AB3">
        <v>239</v>
      </c>
      <c r="AC3">
        <v>72</v>
      </c>
      <c r="AD3">
        <v>8784</v>
      </c>
      <c r="AE3">
        <v>4791</v>
      </c>
      <c r="AF3">
        <v>159</v>
      </c>
      <c r="AG3">
        <v>47</v>
      </c>
      <c r="AH3">
        <v>7519</v>
      </c>
      <c r="AI3">
        <v>4073</v>
      </c>
      <c r="AJ3">
        <v>268</v>
      </c>
      <c r="AK3">
        <v>87</v>
      </c>
      <c r="AL3">
        <v>5330</v>
      </c>
      <c r="AM3">
        <v>3095</v>
      </c>
      <c r="AN3">
        <v>38</v>
      </c>
      <c r="AO3">
        <v>11</v>
      </c>
      <c r="AP3">
        <v>4249</v>
      </c>
      <c r="AQ3">
        <v>2467</v>
      </c>
      <c r="AR3">
        <v>15</v>
      </c>
      <c r="AS3">
        <v>5</v>
      </c>
      <c r="AT3">
        <v>3835</v>
      </c>
      <c r="AU3">
        <v>2065</v>
      </c>
      <c r="AV3">
        <v>104</v>
      </c>
      <c r="AW3">
        <v>45</v>
      </c>
    </row>
    <row r="4" spans="1:49" x14ac:dyDescent="0.25">
      <c r="A4" t="s">
        <v>284</v>
      </c>
      <c r="B4">
        <v>33046</v>
      </c>
      <c r="C4">
        <v>15345</v>
      </c>
      <c r="D4">
        <v>3796</v>
      </c>
      <c r="E4">
        <v>1456</v>
      </c>
      <c r="F4">
        <v>31067</v>
      </c>
      <c r="G4">
        <v>14568</v>
      </c>
      <c r="H4">
        <v>2384</v>
      </c>
      <c r="I4">
        <v>848</v>
      </c>
      <c r="J4">
        <v>28768</v>
      </c>
      <c r="K4">
        <v>13600</v>
      </c>
      <c r="L4">
        <v>1627</v>
      </c>
      <c r="M4">
        <v>575</v>
      </c>
      <c r="N4">
        <v>26888</v>
      </c>
      <c r="O4">
        <v>12831</v>
      </c>
      <c r="P4">
        <v>1087</v>
      </c>
      <c r="Q4">
        <v>359</v>
      </c>
      <c r="R4">
        <v>25739</v>
      </c>
      <c r="S4">
        <v>12525</v>
      </c>
      <c r="T4">
        <v>711</v>
      </c>
      <c r="U4">
        <v>244</v>
      </c>
      <c r="V4">
        <v>23916</v>
      </c>
      <c r="W4">
        <v>11971</v>
      </c>
      <c r="X4">
        <v>528</v>
      </c>
      <c r="Y4">
        <v>174</v>
      </c>
      <c r="Z4">
        <v>19280</v>
      </c>
      <c r="AA4">
        <v>9967</v>
      </c>
      <c r="AB4">
        <v>573</v>
      </c>
      <c r="AC4">
        <v>164</v>
      </c>
      <c r="AD4">
        <v>14309</v>
      </c>
      <c r="AE4">
        <v>7722</v>
      </c>
      <c r="AF4">
        <v>271</v>
      </c>
      <c r="AG4">
        <v>87</v>
      </c>
      <c r="AH4">
        <v>11640</v>
      </c>
      <c r="AI4">
        <v>6378</v>
      </c>
      <c r="AJ4">
        <v>388</v>
      </c>
      <c r="AK4">
        <v>123</v>
      </c>
      <c r="AL4">
        <v>8882</v>
      </c>
      <c r="AM4">
        <v>4960</v>
      </c>
      <c r="AN4">
        <v>109</v>
      </c>
      <c r="AO4">
        <v>26</v>
      </c>
      <c r="AP4">
        <v>6769</v>
      </c>
      <c r="AQ4">
        <v>3806</v>
      </c>
      <c r="AR4">
        <v>34</v>
      </c>
      <c r="AS4">
        <v>16</v>
      </c>
      <c r="AT4">
        <v>5926</v>
      </c>
      <c r="AU4">
        <v>3336</v>
      </c>
      <c r="AV4">
        <v>175</v>
      </c>
      <c r="AW4">
        <v>85</v>
      </c>
    </row>
    <row r="5" spans="1:49" x14ac:dyDescent="0.25">
      <c r="A5" t="s">
        <v>285</v>
      </c>
      <c r="B5">
        <v>26288</v>
      </c>
      <c r="C5">
        <v>12138</v>
      </c>
      <c r="D5">
        <v>3545</v>
      </c>
      <c r="E5">
        <v>1349</v>
      </c>
      <c r="F5">
        <v>25135</v>
      </c>
      <c r="G5">
        <v>11639</v>
      </c>
      <c r="H5">
        <v>2486</v>
      </c>
      <c r="I5">
        <v>907</v>
      </c>
      <c r="J5">
        <v>23789</v>
      </c>
      <c r="K5">
        <v>11102</v>
      </c>
      <c r="L5">
        <v>2079</v>
      </c>
      <c r="M5">
        <v>694</v>
      </c>
      <c r="N5">
        <v>22806</v>
      </c>
      <c r="O5">
        <v>10820</v>
      </c>
      <c r="P5">
        <v>1489</v>
      </c>
      <c r="Q5">
        <v>498</v>
      </c>
      <c r="R5">
        <v>21546</v>
      </c>
      <c r="S5">
        <v>10550</v>
      </c>
      <c r="T5">
        <v>1192</v>
      </c>
      <c r="U5">
        <v>374</v>
      </c>
      <c r="V5">
        <v>19674</v>
      </c>
      <c r="W5">
        <v>9942</v>
      </c>
      <c r="X5">
        <v>730</v>
      </c>
      <c r="Y5">
        <v>231</v>
      </c>
      <c r="Z5">
        <v>17067</v>
      </c>
      <c r="AA5">
        <v>9006</v>
      </c>
      <c r="AB5">
        <v>677</v>
      </c>
      <c r="AC5">
        <v>235</v>
      </c>
      <c r="AD5">
        <v>13633</v>
      </c>
      <c r="AE5">
        <v>7373</v>
      </c>
      <c r="AF5">
        <v>368</v>
      </c>
      <c r="AG5">
        <v>117</v>
      </c>
      <c r="AH5">
        <v>11497</v>
      </c>
      <c r="AI5">
        <v>6397</v>
      </c>
      <c r="AJ5">
        <v>401</v>
      </c>
      <c r="AK5">
        <v>154</v>
      </c>
      <c r="AL5">
        <v>9287</v>
      </c>
      <c r="AM5">
        <v>5250</v>
      </c>
      <c r="AN5">
        <v>147</v>
      </c>
      <c r="AO5">
        <v>54</v>
      </c>
      <c r="AP5">
        <v>7425</v>
      </c>
      <c r="AQ5">
        <v>4336</v>
      </c>
      <c r="AR5">
        <v>51</v>
      </c>
      <c r="AS5">
        <v>19</v>
      </c>
      <c r="AT5">
        <v>6792</v>
      </c>
      <c r="AU5">
        <v>3875</v>
      </c>
      <c r="AV5">
        <v>195</v>
      </c>
      <c r="AW5">
        <v>83</v>
      </c>
    </row>
    <row r="6" spans="1:49" x14ac:dyDescent="0.25">
      <c r="A6" t="s">
        <v>286</v>
      </c>
      <c r="B6">
        <v>13231</v>
      </c>
      <c r="C6">
        <v>6275</v>
      </c>
      <c r="D6">
        <v>1400</v>
      </c>
      <c r="E6">
        <v>547</v>
      </c>
      <c r="F6">
        <v>12648</v>
      </c>
      <c r="G6">
        <v>5957</v>
      </c>
      <c r="H6">
        <v>975</v>
      </c>
      <c r="I6">
        <v>346</v>
      </c>
      <c r="J6">
        <v>12148</v>
      </c>
      <c r="K6">
        <v>5808</v>
      </c>
      <c r="L6">
        <v>797</v>
      </c>
      <c r="M6">
        <v>228</v>
      </c>
      <c r="N6">
        <v>12134</v>
      </c>
      <c r="O6">
        <v>5868</v>
      </c>
      <c r="P6">
        <v>609</v>
      </c>
      <c r="Q6">
        <v>190</v>
      </c>
      <c r="R6">
        <v>11856</v>
      </c>
      <c r="S6">
        <v>5951</v>
      </c>
      <c r="T6">
        <v>355</v>
      </c>
      <c r="U6">
        <v>121</v>
      </c>
      <c r="V6">
        <v>11199</v>
      </c>
      <c r="W6">
        <v>5713</v>
      </c>
      <c r="X6">
        <v>186</v>
      </c>
      <c r="Y6">
        <v>61</v>
      </c>
      <c r="Z6">
        <v>9658</v>
      </c>
      <c r="AA6">
        <v>5096</v>
      </c>
      <c r="AB6">
        <v>255</v>
      </c>
      <c r="AC6">
        <v>64</v>
      </c>
      <c r="AD6">
        <v>7847</v>
      </c>
      <c r="AE6">
        <v>4350</v>
      </c>
      <c r="AF6">
        <v>118</v>
      </c>
      <c r="AG6">
        <v>31</v>
      </c>
      <c r="AH6">
        <v>6784</v>
      </c>
      <c r="AI6">
        <v>3701</v>
      </c>
      <c r="AJ6">
        <v>131</v>
      </c>
      <c r="AK6">
        <v>28</v>
      </c>
      <c r="AL6">
        <v>4914</v>
      </c>
      <c r="AM6">
        <v>2831</v>
      </c>
      <c r="AN6">
        <v>25</v>
      </c>
      <c r="AO6">
        <v>4</v>
      </c>
      <c r="AP6">
        <v>4161</v>
      </c>
      <c r="AQ6">
        <v>2335</v>
      </c>
      <c r="AR6">
        <v>13</v>
      </c>
      <c r="AS6">
        <v>6</v>
      </c>
      <c r="AT6">
        <v>3668</v>
      </c>
      <c r="AU6">
        <v>2055</v>
      </c>
      <c r="AV6">
        <v>96</v>
      </c>
      <c r="AW6">
        <v>45</v>
      </c>
    </row>
    <row r="7" spans="1:49" x14ac:dyDescent="0.25">
      <c r="A7" t="s">
        <v>287</v>
      </c>
      <c r="B7">
        <v>19117</v>
      </c>
      <c r="C7">
        <v>8962</v>
      </c>
      <c r="D7">
        <v>1684</v>
      </c>
      <c r="E7">
        <v>660</v>
      </c>
      <c r="F7">
        <v>17986</v>
      </c>
      <c r="G7">
        <v>8575</v>
      </c>
      <c r="H7">
        <v>1112</v>
      </c>
      <c r="I7">
        <v>436</v>
      </c>
      <c r="J7">
        <v>17956</v>
      </c>
      <c r="K7">
        <v>8494</v>
      </c>
      <c r="L7">
        <v>959</v>
      </c>
      <c r="M7">
        <v>336</v>
      </c>
      <c r="N7">
        <v>17883</v>
      </c>
      <c r="O7">
        <v>8522</v>
      </c>
      <c r="P7">
        <v>694</v>
      </c>
      <c r="Q7">
        <v>253</v>
      </c>
      <c r="R7">
        <v>18220</v>
      </c>
      <c r="S7">
        <v>9035</v>
      </c>
      <c r="T7">
        <v>465</v>
      </c>
      <c r="U7">
        <v>155</v>
      </c>
      <c r="V7">
        <v>17229</v>
      </c>
      <c r="W7">
        <v>8755</v>
      </c>
      <c r="X7">
        <v>398</v>
      </c>
      <c r="Y7">
        <v>172</v>
      </c>
      <c r="Z7">
        <v>14491</v>
      </c>
      <c r="AA7">
        <v>7547</v>
      </c>
      <c r="AB7">
        <v>262</v>
      </c>
      <c r="AC7">
        <v>75</v>
      </c>
      <c r="AD7">
        <v>10687</v>
      </c>
      <c r="AE7">
        <v>5646</v>
      </c>
      <c r="AF7">
        <v>166</v>
      </c>
      <c r="AG7">
        <v>48</v>
      </c>
      <c r="AH7">
        <v>9001</v>
      </c>
      <c r="AI7">
        <v>4707</v>
      </c>
      <c r="AJ7">
        <v>279</v>
      </c>
      <c r="AK7">
        <v>74</v>
      </c>
      <c r="AL7">
        <v>6155</v>
      </c>
      <c r="AM7">
        <v>3323</v>
      </c>
      <c r="AN7">
        <v>14</v>
      </c>
      <c r="AO7">
        <v>2</v>
      </c>
      <c r="AP7">
        <v>5095</v>
      </c>
      <c r="AQ7">
        <v>2711</v>
      </c>
      <c r="AR7">
        <v>12</v>
      </c>
      <c r="AS7">
        <v>1</v>
      </c>
      <c r="AT7">
        <v>4436</v>
      </c>
      <c r="AU7">
        <v>2334</v>
      </c>
      <c r="AV7">
        <v>56</v>
      </c>
      <c r="AW7">
        <v>28</v>
      </c>
    </row>
    <row r="8" spans="1:49" x14ac:dyDescent="0.25">
      <c r="A8" t="s">
        <v>288</v>
      </c>
      <c r="B8">
        <v>19773</v>
      </c>
      <c r="C8">
        <v>9216</v>
      </c>
      <c r="D8">
        <v>2616</v>
      </c>
      <c r="E8">
        <v>1015</v>
      </c>
      <c r="F8">
        <v>18319</v>
      </c>
      <c r="G8">
        <v>8843</v>
      </c>
      <c r="H8">
        <v>1639</v>
      </c>
      <c r="I8">
        <v>611</v>
      </c>
      <c r="J8">
        <v>16909</v>
      </c>
      <c r="K8">
        <v>8026</v>
      </c>
      <c r="L8">
        <v>1219</v>
      </c>
      <c r="M8">
        <v>413</v>
      </c>
      <c r="N8">
        <v>16155</v>
      </c>
      <c r="O8">
        <v>7942</v>
      </c>
      <c r="P8">
        <v>766</v>
      </c>
      <c r="Q8">
        <v>266</v>
      </c>
      <c r="R8">
        <v>14705</v>
      </c>
      <c r="S8">
        <v>7437</v>
      </c>
      <c r="T8">
        <v>485</v>
      </c>
      <c r="U8">
        <v>145</v>
      </c>
      <c r="V8">
        <v>13996</v>
      </c>
      <c r="W8">
        <v>7267</v>
      </c>
      <c r="X8">
        <v>377</v>
      </c>
      <c r="Y8">
        <v>120</v>
      </c>
      <c r="Z8">
        <v>12392</v>
      </c>
      <c r="AA8">
        <v>6555</v>
      </c>
      <c r="AB8">
        <v>508</v>
      </c>
      <c r="AC8">
        <v>189</v>
      </c>
      <c r="AD8">
        <v>9864</v>
      </c>
      <c r="AE8">
        <v>5552</v>
      </c>
      <c r="AF8">
        <v>211</v>
      </c>
      <c r="AG8">
        <v>68</v>
      </c>
      <c r="AH8">
        <v>8255</v>
      </c>
      <c r="AI8">
        <v>4458</v>
      </c>
      <c r="AJ8">
        <v>318</v>
      </c>
      <c r="AK8">
        <v>104</v>
      </c>
      <c r="AL8">
        <v>6107</v>
      </c>
      <c r="AM8">
        <v>3449</v>
      </c>
      <c r="AN8">
        <v>53</v>
      </c>
      <c r="AO8">
        <v>13</v>
      </c>
      <c r="AP8">
        <v>4812</v>
      </c>
      <c r="AQ8">
        <v>2699</v>
      </c>
      <c r="AR8">
        <v>39</v>
      </c>
      <c r="AS8">
        <v>11</v>
      </c>
      <c r="AT8">
        <v>4482</v>
      </c>
      <c r="AU8">
        <v>2574</v>
      </c>
      <c r="AV8">
        <v>55</v>
      </c>
      <c r="AW8">
        <v>24</v>
      </c>
    </row>
    <row r="9" spans="1:49" x14ac:dyDescent="0.25">
      <c r="A9" t="s">
        <v>289</v>
      </c>
      <c r="B9">
        <v>14156</v>
      </c>
      <c r="C9">
        <v>6391</v>
      </c>
      <c r="D9">
        <v>1338</v>
      </c>
      <c r="E9">
        <v>483</v>
      </c>
      <c r="F9">
        <v>13167</v>
      </c>
      <c r="G9">
        <v>6227</v>
      </c>
      <c r="H9">
        <v>827</v>
      </c>
      <c r="I9">
        <v>274</v>
      </c>
      <c r="J9">
        <v>12619</v>
      </c>
      <c r="K9">
        <v>5948</v>
      </c>
      <c r="L9">
        <v>601</v>
      </c>
      <c r="M9">
        <v>200</v>
      </c>
      <c r="N9">
        <v>12556</v>
      </c>
      <c r="O9">
        <v>5954</v>
      </c>
      <c r="P9">
        <v>417</v>
      </c>
      <c r="Q9">
        <v>123</v>
      </c>
      <c r="R9">
        <v>12407</v>
      </c>
      <c r="S9">
        <v>6005</v>
      </c>
      <c r="T9">
        <v>380</v>
      </c>
      <c r="U9">
        <v>130</v>
      </c>
      <c r="V9">
        <v>11756</v>
      </c>
      <c r="W9">
        <v>5896</v>
      </c>
      <c r="X9">
        <v>264</v>
      </c>
      <c r="Y9">
        <v>73</v>
      </c>
      <c r="Z9">
        <v>10768</v>
      </c>
      <c r="AA9">
        <v>5534</v>
      </c>
      <c r="AB9">
        <v>323</v>
      </c>
      <c r="AC9">
        <v>89</v>
      </c>
      <c r="AD9">
        <v>8432</v>
      </c>
      <c r="AE9">
        <v>4392</v>
      </c>
      <c r="AF9">
        <v>172</v>
      </c>
      <c r="AG9">
        <v>36</v>
      </c>
      <c r="AH9">
        <v>7854</v>
      </c>
      <c r="AI9">
        <v>4126</v>
      </c>
      <c r="AJ9">
        <v>306</v>
      </c>
      <c r="AK9">
        <v>80</v>
      </c>
      <c r="AL9">
        <v>5840</v>
      </c>
      <c r="AM9">
        <v>3138</v>
      </c>
      <c r="AN9">
        <v>108</v>
      </c>
      <c r="AO9">
        <v>38</v>
      </c>
      <c r="AP9">
        <v>5219</v>
      </c>
      <c r="AQ9">
        <v>2737</v>
      </c>
      <c r="AR9">
        <v>48</v>
      </c>
      <c r="AS9">
        <v>21</v>
      </c>
      <c r="AT9">
        <v>4695</v>
      </c>
      <c r="AU9">
        <v>2469</v>
      </c>
      <c r="AV9">
        <v>89</v>
      </c>
      <c r="AW9">
        <v>37</v>
      </c>
    </row>
    <row r="10" spans="1:49" x14ac:dyDescent="0.25">
      <c r="A10" t="s">
        <v>290</v>
      </c>
      <c r="B10">
        <v>29507</v>
      </c>
      <c r="C10">
        <v>13637</v>
      </c>
      <c r="D10">
        <v>3727</v>
      </c>
      <c r="E10">
        <v>1448</v>
      </c>
      <c r="F10">
        <v>27771</v>
      </c>
      <c r="G10">
        <v>13182</v>
      </c>
      <c r="H10">
        <v>2625</v>
      </c>
      <c r="I10">
        <v>896</v>
      </c>
      <c r="J10">
        <v>26276</v>
      </c>
      <c r="K10">
        <v>12069</v>
      </c>
      <c r="L10">
        <v>2166</v>
      </c>
      <c r="M10">
        <v>739</v>
      </c>
      <c r="N10">
        <v>26024</v>
      </c>
      <c r="O10">
        <v>12137</v>
      </c>
      <c r="P10">
        <v>1759</v>
      </c>
      <c r="Q10">
        <v>558</v>
      </c>
      <c r="R10">
        <v>25763</v>
      </c>
      <c r="S10">
        <v>12351</v>
      </c>
      <c r="T10">
        <v>1334</v>
      </c>
      <c r="U10">
        <v>440</v>
      </c>
      <c r="V10">
        <v>24273</v>
      </c>
      <c r="W10">
        <v>11964</v>
      </c>
      <c r="X10">
        <v>839</v>
      </c>
      <c r="Y10">
        <v>247</v>
      </c>
      <c r="Z10">
        <v>20343</v>
      </c>
      <c r="AA10">
        <v>10462</v>
      </c>
      <c r="AB10">
        <v>667</v>
      </c>
      <c r="AC10">
        <v>176</v>
      </c>
      <c r="AD10">
        <v>15866</v>
      </c>
      <c r="AE10">
        <v>8346</v>
      </c>
      <c r="AF10">
        <v>273</v>
      </c>
      <c r="AG10">
        <v>92</v>
      </c>
      <c r="AH10">
        <v>13734</v>
      </c>
      <c r="AI10">
        <v>7316</v>
      </c>
      <c r="AJ10">
        <v>372</v>
      </c>
      <c r="AK10">
        <v>116</v>
      </c>
      <c r="AL10">
        <v>11109</v>
      </c>
      <c r="AM10">
        <v>6207</v>
      </c>
      <c r="AN10">
        <v>122</v>
      </c>
      <c r="AO10">
        <v>47</v>
      </c>
      <c r="AP10">
        <v>9249</v>
      </c>
      <c r="AQ10">
        <v>5261</v>
      </c>
      <c r="AR10">
        <v>72</v>
      </c>
      <c r="AS10">
        <v>19</v>
      </c>
      <c r="AT10">
        <v>8285</v>
      </c>
      <c r="AU10">
        <v>4536</v>
      </c>
      <c r="AV10">
        <v>265</v>
      </c>
      <c r="AW10">
        <v>118</v>
      </c>
    </row>
    <row r="11" spans="1:49" x14ac:dyDescent="0.25">
      <c r="A11" t="s">
        <v>291</v>
      </c>
      <c r="B11">
        <v>1136</v>
      </c>
      <c r="C11">
        <v>527</v>
      </c>
      <c r="D11">
        <v>138</v>
      </c>
      <c r="E11">
        <v>56</v>
      </c>
      <c r="F11">
        <v>936</v>
      </c>
      <c r="G11">
        <v>455</v>
      </c>
      <c r="H11">
        <v>94</v>
      </c>
      <c r="I11">
        <v>30</v>
      </c>
      <c r="J11">
        <v>885</v>
      </c>
      <c r="K11">
        <v>425</v>
      </c>
      <c r="L11">
        <v>88</v>
      </c>
      <c r="M11">
        <v>30</v>
      </c>
      <c r="N11">
        <v>823</v>
      </c>
      <c r="O11">
        <v>389</v>
      </c>
      <c r="P11">
        <v>94</v>
      </c>
      <c r="Q11">
        <v>24</v>
      </c>
      <c r="R11">
        <v>721</v>
      </c>
      <c r="S11">
        <v>395</v>
      </c>
      <c r="T11">
        <v>38</v>
      </c>
      <c r="U11">
        <v>5</v>
      </c>
      <c r="V11">
        <v>658</v>
      </c>
      <c r="W11">
        <v>330</v>
      </c>
      <c r="X11">
        <v>27</v>
      </c>
      <c r="Y11">
        <v>4</v>
      </c>
      <c r="Z11">
        <v>601</v>
      </c>
      <c r="AA11">
        <v>302</v>
      </c>
      <c r="AB11">
        <v>39</v>
      </c>
      <c r="AC11">
        <v>6</v>
      </c>
      <c r="AD11">
        <v>445</v>
      </c>
      <c r="AE11">
        <v>236</v>
      </c>
      <c r="AF11">
        <v>16</v>
      </c>
      <c r="AG11">
        <v>3</v>
      </c>
      <c r="AH11">
        <v>422</v>
      </c>
      <c r="AI11">
        <v>223</v>
      </c>
      <c r="AJ11">
        <v>19</v>
      </c>
      <c r="AK11">
        <v>10</v>
      </c>
      <c r="AL11">
        <v>372</v>
      </c>
      <c r="AM11">
        <v>182</v>
      </c>
      <c r="AN11">
        <v>7</v>
      </c>
      <c r="AO11">
        <v>3</v>
      </c>
      <c r="AP11">
        <v>328</v>
      </c>
      <c r="AQ11">
        <v>176</v>
      </c>
      <c r="AR11">
        <v>2</v>
      </c>
      <c r="AS11">
        <v>0</v>
      </c>
      <c r="AT11">
        <v>345</v>
      </c>
      <c r="AU11">
        <v>185</v>
      </c>
      <c r="AV11">
        <v>7</v>
      </c>
      <c r="AW11">
        <v>2</v>
      </c>
    </row>
    <row r="12" spans="1:49" x14ac:dyDescent="0.25">
      <c r="A12" t="s">
        <v>292</v>
      </c>
      <c r="B12">
        <v>3266</v>
      </c>
      <c r="C12">
        <v>1524</v>
      </c>
      <c r="D12">
        <v>305</v>
      </c>
      <c r="E12">
        <v>123</v>
      </c>
      <c r="F12">
        <v>2980</v>
      </c>
      <c r="G12">
        <v>1379</v>
      </c>
      <c r="H12">
        <v>211</v>
      </c>
      <c r="I12">
        <v>74</v>
      </c>
      <c r="J12">
        <v>2747</v>
      </c>
      <c r="K12">
        <v>1294</v>
      </c>
      <c r="L12">
        <v>126</v>
      </c>
      <c r="M12">
        <v>47</v>
      </c>
      <c r="N12">
        <v>2609</v>
      </c>
      <c r="O12">
        <v>1207</v>
      </c>
      <c r="P12">
        <v>86</v>
      </c>
      <c r="Q12">
        <v>29</v>
      </c>
      <c r="R12">
        <v>2428</v>
      </c>
      <c r="S12">
        <v>1204</v>
      </c>
      <c r="T12">
        <v>45</v>
      </c>
      <c r="U12">
        <v>9</v>
      </c>
      <c r="V12">
        <v>2365</v>
      </c>
      <c r="W12">
        <v>1277</v>
      </c>
      <c r="X12">
        <v>35</v>
      </c>
      <c r="Y12">
        <v>12</v>
      </c>
      <c r="Z12">
        <v>2074</v>
      </c>
      <c r="AA12">
        <v>1059</v>
      </c>
      <c r="AB12">
        <v>13</v>
      </c>
      <c r="AC12">
        <v>5</v>
      </c>
      <c r="AD12">
        <v>1634</v>
      </c>
      <c r="AE12">
        <v>839</v>
      </c>
      <c r="AF12">
        <v>11</v>
      </c>
      <c r="AG12">
        <v>2</v>
      </c>
      <c r="AH12">
        <v>1420</v>
      </c>
      <c r="AI12">
        <v>730</v>
      </c>
      <c r="AJ12">
        <v>39</v>
      </c>
      <c r="AK12">
        <v>11</v>
      </c>
      <c r="AL12">
        <v>1014</v>
      </c>
      <c r="AM12">
        <v>523</v>
      </c>
      <c r="AN12">
        <v>5</v>
      </c>
      <c r="AO12">
        <v>1</v>
      </c>
      <c r="AP12">
        <v>906</v>
      </c>
      <c r="AQ12">
        <v>468</v>
      </c>
      <c r="AR12">
        <v>3</v>
      </c>
      <c r="AS12">
        <v>0</v>
      </c>
      <c r="AT12">
        <v>741</v>
      </c>
      <c r="AU12">
        <v>331</v>
      </c>
      <c r="AV12">
        <v>15</v>
      </c>
      <c r="AW12">
        <v>10</v>
      </c>
    </row>
    <row r="13" spans="1:49" x14ac:dyDescent="0.25">
      <c r="A13" t="s">
        <v>293</v>
      </c>
      <c r="B13">
        <v>13347</v>
      </c>
      <c r="C13">
        <v>6067</v>
      </c>
      <c r="D13">
        <v>1858</v>
      </c>
      <c r="E13">
        <v>735</v>
      </c>
      <c r="F13">
        <v>12119</v>
      </c>
      <c r="G13">
        <v>5754</v>
      </c>
      <c r="H13">
        <v>1168</v>
      </c>
      <c r="I13">
        <v>436</v>
      </c>
      <c r="J13">
        <v>11126</v>
      </c>
      <c r="K13">
        <v>5180</v>
      </c>
      <c r="L13">
        <v>854</v>
      </c>
      <c r="M13">
        <v>319</v>
      </c>
      <c r="N13">
        <v>9807</v>
      </c>
      <c r="O13">
        <v>4759</v>
      </c>
      <c r="P13">
        <v>515</v>
      </c>
      <c r="Q13">
        <v>195</v>
      </c>
      <c r="R13">
        <v>9111</v>
      </c>
      <c r="S13">
        <v>4668</v>
      </c>
      <c r="T13">
        <v>353</v>
      </c>
      <c r="U13">
        <v>105</v>
      </c>
      <c r="V13">
        <v>7753</v>
      </c>
      <c r="W13">
        <v>4021</v>
      </c>
      <c r="X13">
        <v>200</v>
      </c>
      <c r="Y13">
        <v>83</v>
      </c>
      <c r="Z13">
        <v>5624</v>
      </c>
      <c r="AA13">
        <v>2926</v>
      </c>
      <c r="AB13">
        <v>107</v>
      </c>
      <c r="AC13">
        <v>31</v>
      </c>
      <c r="AD13">
        <v>4184</v>
      </c>
      <c r="AE13">
        <v>2260</v>
      </c>
      <c r="AF13">
        <v>54</v>
      </c>
      <c r="AG13">
        <v>16</v>
      </c>
      <c r="AH13">
        <v>3299</v>
      </c>
      <c r="AI13">
        <v>1813</v>
      </c>
      <c r="AJ13">
        <v>93</v>
      </c>
      <c r="AK13">
        <v>32</v>
      </c>
      <c r="AL13">
        <v>2346</v>
      </c>
      <c r="AM13">
        <v>1278</v>
      </c>
      <c r="AN13">
        <v>28</v>
      </c>
      <c r="AO13">
        <v>5</v>
      </c>
      <c r="AP13">
        <v>1969</v>
      </c>
      <c r="AQ13">
        <v>1114</v>
      </c>
      <c r="AR13">
        <v>18</v>
      </c>
      <c r="AS13">
        <v>6</v>
      </c>
      <c r="AT13">
        <v>1893</v>
      </c>
      <c r="AU13">
        <v>1035</v>
      </c>
      <c r="AV13">
        <v>44</v>
      </c>
      <c r="AW13">
        <v>12</v>
      </c>
    </row>
    <row r="14" spans="1:49" x14ac:dyDescent="0.25">
      <c r="A14" t="s">
        <v>294</v>
      </c>
      <c r="B14">
        <v>3055</v>
      </c>
      <c r="C14">
        <v>1501</v>
      </c>
      <c r="D14">
        <v>180</v>
      </c>
      <c r="E14">
        <v>89</v>
      </c>
      <c r="F14">
        <v>2881</v>
      </c>
      <c r="G14">
        <v>1441</v>
      </c>
      <c r="H14">
        <v>120</v>
      </c>
      <c r="I14">
        <v>50</v>
      </c>
      <c r="J14">
        <v>2469</v>
      </c>
      <c r="K14">
        <v>1164</v>
      </c>
      <c r="L14">
        <v>95</v>
      </c>
      <c r="M14">
        <v>38</v>
      </c>
      <c r="N14">
        <v>2441</v>
      </c>
      <c r="O14">
        <v>1257</v>
      </c>
      <c r="P14">
        <v>76</v>
      </c>
      <c r="Q14">
        <v>27</v>
      </c>
      <c r="R14">
        <v>2055</v>
      </c>
      <c r="S14">
        <v>1015</v>
      </c>
      <c r="T14">
        <v>41</v>
      </c>
      <c r="U14">
        <v>9</v>
      </c>
      <c r="V14">
        <v>1722</v>
      </c>
      <c r="W14">
        <v>907</v>
      </c>
      <c r="X14">
        <v>26</v>
      </c>
      <c r="Y14">
        <v>13</v>
      </c>
      <c r="Z14">
        <v>1340</v>
      </c>
      <c r="AA14">
        <v>691</v>
      </c>
      <c r="AB14">
        <v>49</v>
      </c>
      <c r="AC14">
        <v>14</v>
      </c>
      <c r="AD14">
        <v>1085</v>
      </c>
      <c r="AE14">
        <v>581</v>
      </c>
      <c r="AF14">
        <v>30</v>
      </c>
      <c r="AG14">
        <v>13</v>
      </c>
      <c r="AH14">
        <v>931</v>
      </c>
      <c r="AI14">
        <v>498</v>
      </c>
      <c r="AJ14">
        <v>86</v>
      </c>
      <c r="AK14">
        <v>26</v>
      </c>
      <c r="AL14">
        <v>604</v>
      </c>
      <c r="AM14">
        <v>334</v>
      </c>
      <c r="AN14">
        <v>1</v>
      </c>
      <c r="AO14">
        <v>0</v>
      </c>
      <c r="AP14">
        <v>491</v>
      </c>
      <c r="AQ14">
        <v>266</v>
      </c>
      <c r="AR14">
        <v>0</v>
      </c>
      <c r="AS14">
        <v>0</v>
      </c>
      <c r="AT14">
        <v>453</v>
      </c>
      <c r="AU14">
        <v>251</v>
      </c>
      <c r="AV14">
        <v>0</v>
      </c>
      <c r="AW14">
        <v>0</v>
      </c>
    </row>
    <row r="15" spans="1:49" x14ac:dyDescent="0.25">
      <c r="A15" t="s">
        <v>295</v>
      </c>
      <c r="B15">
        <v>7847</v>
      </c>
      <c r="C15">
        <v>3603</v>
      </c>
      <c r="D15">
        <v>1072</v>
      </c>
      <c r="E15">
        <v>411</v>
      </c>
      <c r="F15">
        <v>6670</v>
      </c>
      <c r="G15">
        <v>3049</v>
      </c>
      <c r="H15">
        <v>625</v>
      </c>
      <c r="I15">
        <v>222</v>
      </c>
      <c r="J15">
        <v>6314</v>
      </c>
      <c r="K15">
        <v>2983</v>
      </c>
      <c r="L15">
        <v>532</v>
      </c>
      <c r="M15">
        <v>187</v>
      </c>
      <c r="N15">
        <v>5922</v>
      </c>
      <c r="O15">
        <v>2865</v>
      </c>
      <c r="P15">
        <v>328</v>
      </c>
      <c r="Q15">
        <v>105</v>
      </c>
      <c r="R15">
        <v>5523</v>
      </c>
      <c r="S15">
        <v>2723</v>
      </c>
      <c r="T15">
        <v>219</v>
      </c>
      <c r="U15">
        <v>76</v>
      </c>
      <c r="V15">
        <v>4909</v>
      </c>
      <c r="W15">
        <v>2496</v>
      </c>
      <c r="X15">
        <v>182</v>
      </c>
      <c r="Y15">
        <v>64</v>
      </c>
      <c r="Z15">
        <v>4196</v>
      </c>
      <c r="AA15">
        <v>2212</v>
      </c>
      <c r="AB15">
        <v>180</v>
      </c>
      <c r="AC15">
        <v>53</v>
      </c>
      <c r="AD15">
        <v>3135</v>
      </c>
      <c r="AE15">
        <v>1580</v>
      </c>
      <c r="AF15">
        <v>75</v>
      </c>
      <c r="AG15">
        <v>21</v>
      </c>
      <c r="AH15">
        <v>2636</v>
      </c>
      <c r="AI15">
        <v>1350</v>
      </c>
      <c r="AJ15">
        <v>194</v>
      </c>
      <c r="AK15">
        <v>64</v>
      </c>
      <c r="AL15">
        <v>1879</v>
      </c>
      <c r="AM15">
        <v>983</v>
      </c>
      <c r="AN15">
        <v>44</v>
      </c>
      <c r="AO15">
        <v>12</v>
      </c>
      <c r="AP15">
        <v>1475</v>
      </c>
      <c r="AQ15">
        <v>805</v>
      </c>
      <c r="AR15">
        <v>21</v>
      </c>
      <c r="AS15">
        <v>3</v>
      </c>
      <c r="AT15">
        <v>1261</v>
      </c>
      <c r="AU15">
        <v>662</v>
      </c>
      <c r="AV15">
        <v>23</v>
      </c>
      <c r="AW15">
        <v>9</v>
      </c>
    </row>
    <row r="16" spans="1:49" x14ac:dyDescent="0.25">
      <c r="A16" t="s">
        <v>296</v>
      </c>
      <c r="B16">
        <v>2055</v>
      </c>
      <c r="C16">
        <v>961</v>
      </c>
      <c r="D16">
        <v>191</v>
      </c>
      <c r="E16">
        <v>70</v>
      </c>
      <c r="F16">
        <v>1979</v>
      </c>
      <c r="G16">
        <v>928</v>
      </c>
      <c r="H16">
        <v>144</v>
      </c>
      <c r="I16">
        <v>49</v>
      </c>
      <c r="J16">
        <v>1789</v>
      </c>
      <c r="K16">
        <v>840</v>
      </c>
      <c r="L16">
        <v>112</v>
      </c>
      <c r="M16">
        <v>49</v>
      </c>
      <c r="N16">
        <v>1631</v>
      </c>
      <c r="O16">
        <v>753</v>
      </c>
      <c r="P16">
        <v>51</v>
      </c>
      <c r="Q16">
        <v>12</v>
      </c>
      <c r="R16">
        <v>1583</v>
      </c>
      <c r="S16">
        <v>794</v>
      </c>
      <c r="T16">
        <v>59</v>
      </c>
      <c r="U16">
        <v>10</v>
      </c>
      <c r="V16">
        <v>1451</v>
      </c>
      <c r="W16">
        <v>714</v>
      </c>
      <c r="X16">
        <v>12</v>
      </c>
      <c r="Y16">
        <v>1</v>
      </c>
      <c r="Z16">
        <v>1413</v>
      </c>
      <c r="AA16">
        <v>746</v>
      </c>
      <c r="AB16">
        <v>54</v>
      </c>
      <c r="AC16">
        <v>14</v>
      </c>
      <c r="AD16">
        <v>1085</v>
      </c>
      <c r="AE16">
        <v>587</v>
      </c>
      <c r="AF16">
        <v>18</v>
      </c>
      <c r="AG16">
        <v>4</v>
      </c>
      <c r="AH16">
        <v>930</v>
      </c>
      <c r="AI16">
        <v>469</v>
      </c>
      <c r="AJ16">
        <v>76</v>
      </c>
      <c r="AK16">
        <v>31</v>
      </c>
      <c r="AL16">
        <v>593</v>
      </c>
      <c r="AM16">
        <v>325</v>
      </c>
      <c r="AN16">
        <v>13</v>
      </c>
      <c r="AO16">
        <v>3</v>
      </c>
      <c r="AP16">
        <v>499</v>
      </c>
      <c r="AQ16">
        <v>280</v>
      </c>
      <c r="AR16">
        <v>1</v>
      </c>
      <c r="AS16">
        <v>0</v>
      </c>
      <c r="AT16">
        <v>416</v>
      </c>
      <c r="AU16">
        <v>225</v>
      </c>
      <c r="AV16">
        <v>14</v>
      </c>
      <c r="AW16">
        <v>11</v>
      </c>
    </row>
    <row r="17" spans="1:49" x14ac:dyDescent="0.25">
      <c r="A17" t="s">
        <v>297</v>
      </c>
      <c r="B17">
        <v>24321</v>
      </c>
      <c r="C17">
        <v>11365</v>
      </c>
      <c r="D17">
        <v>1549</v>
      </c>
      <c r="E17">
        <v>556</v>
      </c>
      <c r="F17">
        <v>24416</v>
      </c>
      <c r="G17">
        <v>11502</v>
      </c>
      <c r="H17">
        <v>1054</v>
      </c>
      <c r="I17">
        <v>343</v>
      </c>
      <c r="J17">
        <v>22491</v>
      </c>
      <c r="K17">
        <v>10689</v>
      </c>
      <c r="L17">
        <v>753</v>
      </c>
      <c r="M17">
        <v>257</v>
      </c>
      <c r="N17">
        <v>21335</v>
      </c>
      <c r="O17">
        <v>10002</v>
      </c>
      <c r="P17">
        <v>675</v>
      </c>
      <c r="Q17">
        <v>212</v>
      </c>
      <c r="R17">
        <v>23256</v>
      </c>
      <c r="S17">
        <v>11197</v>
      </c>
      <c r="T17">
        <v>467</v>
      </c>
      <c r="U17">
        <v>145</v>
      </c>
      <c r="V17">
        <v>22231</v>
      </c>
      <c r="W17">
        <v>11039</v>
      </c>
      <c r="X17">
        <v>295</v>
      </c>
      <c r="Y17">
        <v>89</v>
      </c>
      <c r="Z17">
        <v>20286</v>
      </c>
      <c r="AA17">
        <v>10198</v>
      </c>
      <c r="AB17">
        <v>633</v>
      </c>
      <c r="AC17">
        <v>229</v>
      </c>
      <c r="AD17">
        <v>16240</v>
      </c>
      <c r="AE17">
        <v>8165</v>
      </c>
      <c r="AF17">
        <v>342</v>
      </c>
      <c r="AG17">
        <v>124</v>
      </c>
      <c r="AH17">
        <v>16108</v>
      </c>
      <c r="AI17">
        <v>8023</v>
      </c>
      <c r="AJ17">
        <v>547</v>
      </c>
      <c r="AK17">
        <v>179</v>
      </c>
      <c r="AL17">
        <v>13391</v>
      </c>
      <c r="AM17">
        <v>6905</v>
      </c>
      <c r="AN17">
        <v>113</v>
      </c>
      <c r="AO17">
        <v>40</v>
      </c>
      <c r="AP17">
        <v>12367</v>
      </c>
      <c r="AQ17">
        <v>6446</v>
      </c>
      <c r="AR17">
        <v>86</v>
      </c>
      <c r="AS17">
        <v>31</v>
      </c>
      <c r="AT17">
        <v>12265</v>
      </c>
      <c r="AU17">
        <v>6146</v>
      </c>
      <c r="AV17">
        <v>580</v>
      </c>
      <c r="AW17">
        <v>219</v>
      </c>
    </row>
    <row r="18" spans="1:49" x14ac:dyDescent="0.25">
      <c r="A18" t="s">
        <v>298</v>
      </c>
      <c r="B18">
        <v>5217</v>
      </c>
      <c r="C18">
        <v>2573</v>
      </c>
      <c r="D18">
        <v>334</v>
      </c>
      <c r="E18">
        <v>136</v>
      </c>
      <c r="F18">
        <v>4694</v>
      </c>
      <c r="G18">
        <v>2215</v>
      </c>
      <c r="H18">
        <v>248</v>
      </c>
      <c r="I18">
        <v>86</v>
      </c>
      <c r="J18">
        <v>4538</v>
      </c>
      <c r="K18">
        <v>2153</v>
      </c>
      <c r="L18">
        <v>215</v>
      </c>
      <c r="M18">
        <v>71</v>
      </c>
      <c r="N18">
        <v>4098</v>
      </c>
      <c r="O18">
        <v>1975</v>
      </c>
      <c r="P18">
        <v>134</v>
      </c>
      <c r="Q18">
        <v>46</v>
      </c>
      <c r="R18">
        <v>4186</v>
      </c>
      <c r="S18">
        <v>2163</v>
      </c>
      <c r="T18">
        <v>81</v>
      </c>
      <c r="U18">
        <v>26</v>
      </c>
      <c r="V18">
        <v>3955</v>
      </c>
      <c r="W18">
        <v>1973</v>
      </c>
      <c r="X18">
        <v>93</v>
      </c>
      <c r="Y18">
        <v>20</v>
      </c>
      <c r="Z18">
        <v>3475</v>
      </c>
      <c r="AA18">
        <v>1681</v>
      </c>
      <c r="AB18">
        <v>196</v>
      </c>
      <c r="AC18">
        <v>40</v>
      </c>
      <c r="AD18">
        <v>2517</v>
      </c>
      <c r="AE18">
        <v>1342</v>
      </c>
      <c r="AF18">
        <v>61</v>
      </c>
      <c r="AG18">
        <v>27</v>
      </c>
      <c r="AH18">
        <v>2204</v>
      </c>
      <c r="AI18">
        <v>1103</v>
      </c>
      <c r="AJ18">
        <v>131</v>
      </c>
      <c r="AK18">
        <v>40</v>
      </c>
      <c r="AL18">
        <v>1595</v>
      </c>
      <c r="AM18">
        <v>868</v>
      </c>
      <c r="AN18">
        <v>16</v>
      </c>
      <c r="AO18">
        <v>7</v>
      </c>
      <c r="AP18">
        <v>1206</v>
      </c>
      <c r="AQ18">
        <v>662</v>
      </c>
      <c r="AR18">
        <v>3</v>
      </c>
      <c r="AS18">
        <v>1</v>
      </c>
      <c r="AT18">
        <v>1334</v>
      </c>
      <c r="AU18">
        <v>678</v>
      </c>
      <c r="AV18">
        <v>205</v>
      </c>
      <c r="AW18">
        <v>106</v>
      </c>
    </row>
    <row r="19" spans="1:49" x14ac:dyDescent="0.25">
      <c r="A19" t="s">
        <v>299</v>
      </c>
      <c r="B19">
        <v>8120</v>
      </c>
      <c r="C19">
        <v>3735</v>
      </c>
      <c r="D19">
        <v>1353</v>
      </c>
      <c r="E19">
        <v>520</v>
      </c>
      <c r="F19">
        <v>7166</v>
      </c>
      <c r="G19">
        <v>3441</v>
      </c>
      <c r="H19">
        <v>819</v>
      </c>
      <c r="I19">
        <v>318</v>
      </c>
      <c r="J19">
        <v>6492</v>
      </c>
      <c r="K19">
        <v>3077</v>
      </c>
      <c r="L19">
        <v>511</v>
      </c>
      <c r="M19">
        <v>168</v>
      </c>
      <c r="N19">
        <v>5720</v>
      </c>
      <c r="O19">
        <v>2834</v>
      </c>
      <c r="P19">
        <v>359</v>
      </c>
      <c r="Q19">
        <v>129</v>
      </c>
      <c r="R19">
        <v>5258</v>
      </c>
      <c r="S19">
        <v>2666</v>
      </c>
      <c r="T19">
        <v>179</v>
      </c>
      <c r="U19">
        <v>58</v>
      </c>
      <c r="V19">
        <v>4782</v>
      </c>
      <c r="W19">
        <v>2517</v>
      </c>
      <c r="X19">
        <v>123</v>
      </c>
      <c r="Y19">
        <v>43</v>
      </c>
      <c r="Z19">
        <v>4213</v>
      </c>
      <c r="AA19">
        <v>2261</v>
      </c>
      <c r="AB19">
        <v>61</v>
      </c>
      <c r="AC19">
        <v>28</v>
      </c>
      <c r="AD19">
        <v>3278</v>
      </c>
      <c r="AE19">
        <v>1871</v>
      </c>
      <c r="AF19">
        <v>28</v>
      </c>
      <c r="AG19">
        <v>13</v>
      </c>
      <c r="AH19">
        <v>2817</v>
      </c>
      <c r="AI19">
        <v>1537</v>
      </c>
      <c r="AJ19">
        <v>44</v>
      </c>
      <c r="AK19">
        <v>11</v>
      </c>
      <c r="AL19">
        <v>2089</v>
      </c>
      <c r="AM19">
        <v>1160</v>
      </c>
      <c r="AN19">
        <v>9</v>
      </c>
      <c r="AO19">
        <v>2</v>
      </c>
      <c r="AP19">
        <v>1589</v>
      </c>
      <c r="AQ19">
        <v>875</v>
      </c>
      <c r="AR19">
        <v>0</v>
      </c>
      <c r="AS19">
        <v>0</v>
      </c>
      <c r="AT19">
        <v>1339</v>
      </c>
      <c r="AU19">
        <v>682</v>
      </c>
      <c r="AV19">
        <v>7</v>
      </c>
      <c r="AW19">
        <v>5</v>
      </c>
    </row>
    <row r="20" spans="1:49" x14ac:dyDescent="0.25">
      <c r="A20" t="s">
        <v>300</v>
      </c>
      <c r="B20">
        <v>25789</v>
      </c>
      <c r="C20">
        <v>11949</v>
      </c>
      <c r="D20">
        <v>3032</v>
      </c>
      <c r="E20">
        <v>1154</v>
      </c>
      <c r="F20">
        <v>25136</v>
      </c>
      <c r="G20">
        <v>11544</v>
      </c>
      <c r="H20">
        <v>2039</v>
      </c>
      <c r="I20">
        <v>695</v>
      </c>
      <c r="J20">
        <v>24917</v>
      </c>
      <c r="K20">
        <v>11367</v>
      </c>
      <c r="L20">
        <v>1718</v>
      </c>
      <c r="M20">
        <v>548</v>
      </c>
      <c r="N20">
        <v>24873</v>
      </c>
      <c r="O20">
        <v>11710</v>
      </c>
      <c r="P20">
        <v>1300</v>
      </c>
      <c r="Q20">
        <v>460</v>
      </c>
      <c r="R20">
        <v>24510</v>
      </c>
      <c r="S20">
        <v>11654</v>
      </c>
      <c r="T20">
        <v>1016</v>
      </c>
      <c r="U20">
        <v>327</v>
      </c>
      <c r="V20">
        <v>23005</v>
      </c>
      <c r="W20">
        <v>11246</v>
      </c>
      <c r="X20">
        <v>793</v>
      </c>
      <c r="Y20">
        <v>247</v>
      </c>
      <c r="Z20">
        <v>18555</v>
      </c>
      <c r="AA20">
        <v>9619</v>
      </c>
      <c r="AB20">
        <v>132</v>
      </c>
      <c r="AC20">
        <v>42</v>
      </c>
      <c r="AD20">
        <v>15452</v>
      </c>
      <c r="AE20">
        <v>8217</v>
      </c>
      <c r="AF20">
        <v>99</v>
      </c>
      <c r="AG20">
        <v>21</v>
      </c>
      <c r="AH20">
        <v>13298</v>
      </c>
      <c r="AI20">
        <v>6932</v>
      </c>
      <c r="AJ20">
        <v>230</v>
      </c>
      <c r="AK20">
        <v>71</v>
      </c>
      <c r="AL20">
        <v>9576</v>
      </c>
      <c r="AM20">
        <v>5327</v>
      </c>
      <c r="AN20">
        <v>75</v>
      </c>
      <c r="AO20">
        <v>37</v>
      </c>
      <c r="AP20">
        <v>7724</v>
      </c>
      <c r="AQ20">
        <v>4206</v>
      </c>
      <c r="AR20">
        <v>42</v>
      </c>
      <c r="AS20">
        <v>11</v>
      </c>
      <c r="AT20">
        <v>6676</v>
      </c>
      <c r="AU20">
        <v>3476</v>
      </c>
      <c r="AV20">
        <v>168</v>
      </c>
      <c r="AW20">
        <v>57</v>
      </c>
    </row>
    <row r="21" spans="1:49" x14ac:dyDescent="0.25">
      <c r="A21" t="s">
        <v>301</v>
      </c>
      <c r="B21">
        <v>13784</v>
      </c>
      <c r="C21">
        <v>6451</v>
      </c>
      <c r="D21">
        <v>2087</v>
      </c>
      <c r="E21">
        <v>850</v>
      </c>
      <c r="F21">
        <v>12590</v>
      </c>
      <c r="G21">
        <v>6047</v>
      </c>
      <c r="H21">
        <v>1146</v>
      </c>
      <c r="I21">
        <v>436</v>
      </c>
      <c r="J21">
        <v>11930</v>
      </c>
      <c r="K21">
        <v>5672</v>
      </c>
      <c r="L21">
        <v>918</v>
      </c>
      <c r="M21">
        <v>342</v>
      </c>
      <c r="N21">
        <v>11005</v>
      </c>
      <c r="O21">
        <v>5367</v>
      </c>
      <c r="P21">
        <v>591</v>
      </c>
      <c r="Q21">
        <v>241</v>
      </c>
      <c r="R21">
        <v>10187</v>
      </c>
      <c r="S21">
        <v>5150</v>
      </c>
      <c r="T21">
        <v>373</v>
      </c>
      <c r="U21">
        <v>121</v>
      </c>
      <c r="V21">
        <v>9342</v>
      </c>
      <c r="W21">
        <v>4820</v>
      </c>
      <c r="X21">
        <v>249</v>
      </c>
      <c r="Y21">
        <v>99</v>
      </c>
      <c r="Z21">
        <v>7900</v>
      </c>
      <c r="AA21">
        <v>4083</v>
      </c>
      <c r="AB21">
        <v>70</v>
      </c>
      <c r="AC21">
        <v>24</v>
      </c>
      <c r="AD21">
        <v>6000</v>
      </c>
      <c r="AE21">
        <v>3259</v>
      </c>
      <c r="AF21">
        <v>33</v>
      </c>
      <c r="AG21">
        <v>10</v>
      </c>
      <c r="AH21">
        <v>5150</v>
      </c>
      <c r="AI21">
        <v>2702</v>
      </c>
      <c r="AJ21">
        <v>137</v>
      </c>
      <c r="AK21">
        <v>35</v>
      </c>
      <c r="AL21">
        <v>3739</v>
      </c>
      <c r="AM21">
        <v>2101</v>
      </c>
      <c r="AN21">
        <v>16</v>
      </c>
      <c r="AO21">
        <v>2</v>
      </c>
      <c r="AP21">
        <v>3254</v>
      </c>
      <c r="AQ21">
        <v>1782</v>
      </c>
      <c r="AR21">
        <v>16</v>
      </c>
      <c r="AS21">
        <v>3</v>
      </c>
      <c r="AT21">
        <v>2815</v>
      </c>
      <c r="AU21">
        <v>1498</v>
      </c>
      <c r="AV21">
        <v>79</v>
      </c>
      <c r="AW21">
        <v>31</v>
      </c>
    </row>
    <row r="22" spans="1:49" x14ac:dyDescent="0.25">
      <c r="A22" t="s">
        <v>302</v>
      </c>
      <c r="B22">
        <v>8650</v>
      </c>
      <c r="C22">
        <v>3994</v>
      </c>
      <c r="D22">
        <v>739</v>
      </c>
      <c r="E22">
        <v>292</v>
      </c>
      <c r="F22">
        <v>7918</v>
      </c>
      <c r="G22">
        <v>3660</v>
      </c>
      <c r="H22">
        <v>365</v>
      </c>
      <c r="I22">
        <v>158</v>
      </c>
      <c r="J22">
        <v>7338</v>
      </c>
      <c r="K22">
        <v>3625</v>
      </c>
      <c r="L22">
        <v>261</v>
      </c>
      <c r="M22">
        <v>111</v>
      </c>
      <c r="N22">
        <v>6657</v>
      </c>
      <c r="O22">
        <v>3280</v>
      </c>
      <c r="P22">
        <v>164</v>
      </c>
      <c r="Q22">
        <v>57</v>
      </c>
      <c r="R22">
        <v>5449</v>
      </c>
      <c r="S22">
        <v>2656</v>
      </c>
      <c r="T22">
        <v>106</v>
      </c>
      <c r="U22">
        <v>49</v>
      </c>
      <c r="V22">
        <v>4600</v>
      </c>
      <c r="W22">
        <v>2330</v>
      </c>
      <c r="X22">
        <v>48</v>
      </c>
      <c r="Y22">
        <v>12</v>
      </c>
      <c r="Z22">
        <v>3448</v>
      </c>
      <c r="AA22">
        <v>1777</v>
      </c>
      <c r="AB22">
        <v>36</v>
      </c>
      <c r="AC22">
        <v>5</v>
      </c>
      <c r="AD22">
        <v>2488</v>
      </c>
      <c r="AE22">
        <v>1259</v>
      </c>
      <c r="AF22">
        <v>2</v>
      </c>
      <c r="AG22">
        <v>0</v>
      </c>
      <c r="AH22">
        <v>2375</v>
      </c>
      <c r="AI22">
        <v>1172</v>
      </c>
      <c r="AJ22">
        <v>58</v>
      </c>
      <c r="AK22">
        <v>21</v>
      </c>
      <c r="AL22">
        <v>1612</v>
      </c>
      <c r="AM22">
        <v>788</v>
      </c>
      <c r="AN22">
        <v>2</v>
      </c>
      <c r="AO22">
        <v>0</v>
      </c>
      <c r="AP22">
        <v>1207</v>
      </c>
      <c r="AQ22">
        <v>563</v>
      </c>
      <c r="AR22">
        <v>4</v>
      </c>
      <c r="AS22">
        <v>2</v>
      </c>
      <c r="AT22">
        <v>980</v>
      </c>
      <c r="AU22">
        <v>446</v>
      </c>
      <c r="AV22">
        <v>23</v>
      </c>
      <c r="AW22">
        <v>10</v>
      </c>
    </row>
    <row r="23" spans="1:49" x14ac:dyDescent="0.25">
      <c r="A23" t="s">
        <v>303</v>
      </c>
      <c r="B23">
        <v>32154</v>
      </c>
      <c r="C23">
        <v>14930</v>
      </c>
      <c r="D23">
        <v>4354</v>
      </c>
      <c r="E23">
        <v>1657</v>
      </c>
      <c r="F23">
        <v>29636</v>
      </c>
      <c r="G23">
        <v>13846</v>
      </c>
      <c r="H23">
        <v>2782</v>
      </c>
      <c r="I23">
        <v>970</v>
      </c>
      <c r="J23">
        <v>27388</v>
      </c>
      <c r="K23">
        <v>12974</v>
      </c>
      <c r="L23">
        <v>2060</v>
      </c>
      <c r="M23">
        <v>648</v>
      </c>
      <c r="N23">
        <v>26485</v>
      </c>
      <c r="O23">
        <v>12877</v>
      </c>
      <c r="P23">
        <v>1262</v>
      </c>
      <c r="Q23">
        <v>391</v>
      </c>
      <c r="R23">
        <v>25643</v>
      </c>
      <c r="S23">
        <v>12868</v>
      </c>
      <c r="T23">
        <v>891</v>
      </c>
      <c r="U23">
        <v>252</v>
      </c>
      <c r="V23">
        <v>23808</v>
      </c>
      <c r="W23">
        <v>12239</v>
      </c>
      <c r="X23">
        <v>555</v>
      </c>
      <c r="Y23">
        <v>151</v>
      </c>
      <c r="Z23">
        <v>20619</v>
      </c>
      <c r="AA23">
        <v>10743</v>
      </c>
      <c r="AB23">
        <v>957</v>
      </c>
      <c r="AC23">
        <v>263</v>
      </c>
      <c r="AD23">
        <v>16066</v>
      </c>
      <c r="AE23">
        <v>8794</v>
      </c>
      <c r="AF23">
        <v>402</v>
      </c>
      <c r="AG23">
        <v>130</v>
      </c>
      <c r="AH23">
        <v>13888</v>
      </c>
      <c r="AI23">
        <v>7618</v>
      </c>
      <c r="AJ23">
        <v>529</v>
      </c>
      <c r="AK23">
        <v>168</v>
      </c>
      <c r="AL23">
        <v>10987</v>
      </c>
      <c r="AM23">
        <v>6437</v>
      </c>
      <c r="AN23">
        <v>230</v>
      </c>
      <c r="AO23">
        <v>80</v>
      </c>
      <c r="AP23">
        <v>8750</v>
      </c>
      <c r="AQ23">
        <v>5067</v>
      </c>
      <c r="AR23">
        <v>107</v>
      </c>
      <c r="AS23">
        <v>33</v>
      </c>
      <c r="AT23">
        <v>7956</v>
      </c>
      <c r="AU23">
        <v>4628</v>
      </c>
      <c r="AV23">
        <v>161</v>
      </c>
      <c r="AW23">
        <v>58</v>
      </c>
    </row>
    <row r="24" spans="1:49" x14ac:dyDescent="0.25">
      <c r="A24" t="s">
        <v>304</v>
      </c>
      <c r="B24">
        <v>6086</v>
      </c>
      <c r="C24">
        <v>2800</v>
      </c>
      <c r="D24">
        <v>1079</v>
      </c>
      <c r="E24">
        <v>458</v>
      </c>
      <c r="F24">
        <v>5114</v>
      </c>
      <c r="G24">
        <v>2482</v>
      </c>
      <c r="H24">
        <v>605</v>
      </c>
      <c r="I24">
        <v>264</v>
      </c>
      <c r="J24">
        <v>4784</v>
      </c>
      <c r="K24">
        <v>2248</v>
      </c>
      <c r="L24">
        <v>412</v>
      </c>
      <c r="M24">
        <v>181</v>
      </c>
      <c r="N24">
        <v>4028</v>
      </c>
      <c r="O24">
        <v>2008</v>
      </c>
      <c r="P24">
        <v>241</v>
      </c>
      <c r="Q24">
        <v>84</v>
      </c>
      <c r="R24">
        <v>3650</v>
      </c>
      <c r="S24">
        <v>1926</v>
      </c>
      <c r="T24">
        <v>104</v>
      </c>
      <c r="U24">
        <v>42</v>
      </c>
      <c r="V24">
        <v>2979</v>
      </c>
      <c r="W24">
        <v>1537</v>
      </c>
      <c r="X24">
        <v>66</v>
      </c>
      <c r="Y24">
        <v>32</v>
      </c>
      <c r="Z24">
        <v>2206</v>
      </c>
      <c r="AA24">
        <v>1099</v>
      </c>
      <c r="AB24">
        <v>62</v>
      </c>
      <c r="AC24">
        <v>23</v>
      </c>
      <c r="AD24">
        <v>1573</v>
      </c>
      <c r="AE24">
        <v>898</v>
      </c>
      <c r="AF24">
        <v>31</v>
      </c>
      <c r="AG24">
        <v>17</v>
      </c>
      <c r="AH24">
        <v>1387</v>
      </c>
      <c r="AI24">
        <v>723</v>
      </c>
      <c r="AJ24">
        <v>33</v>
      </c>
      <c r="AK24">
        <v>11</v>
      </c>
      <c r="AL24">
        <v>886</v>
      </c>
      <c r="AM24">
        <v>478</v>
      </c>
      <c r="AN24">
        <v>22</v>
      </c>
      <c r="AO24">
        <v>3</v>
      </c>
      <c r="AP24">
        <v>814</v>
      </c>
      <c r="AQ24">
        <v>414</v>
      </c>
      <c r="AR24">
        <v>2</v>
      </c>
      <c r="AS24">
        <v>1</v>
      </c>
      <c r="AT24">
        <v>677</v>
      </c>
      <c r="AU24">
        <v>350</v>
      </c>
      <c r="AV24">
        <v>29</v>
      </c>
      <c r="AW24">
        <v>9</v>
      </c>
    </row>
    <row r="25" spans="1:49" x14ac:dyDescent="0.25">
      <c r="A25" t="s">
        <v>305</v>
      </c>
      <c r="B25">
        <v>13280</v>
      </c>
      <c r="C25">
        <v>6361</v>
      </c>
      <c r="D25">
        <v>1082</v>
      </c>
      <c r="E25">
        <v>415</v>
      </c>
      <c r="F25">
        <v>12139</v>
      </c>
      <c r="G25">
        <v>5702</v>
      </c>
      <c r="H25">
        <v>608</v>
      </c>
      <c r="I25">
        <v>210</v>
      </c>
      <c r="J25">
        <v>11863</v>
      </c>
      <c r="K25">
        <v>5670</v>
      </c>
      <c r="L25">
        <v>485</v>
      </c>
      <c r="M25">
        <v>158</v>
      </c>
      <c r="N25">
        <v>11786</v>
      </c>
      <c r="O25">
        <v>5649</v>
      </c>
      <c r="P25">
        <v>360</v>
      </c>
      <c r="Q25">
        <v>108</v>
      </c>
      <c r="R25">
        <v>12202</v>
      </c>
      <c r="S25">
        <v>6076</v>
      </c>
      <c r="T25">
        <v>304</v>
      </c>
      <c r="U25">
        <v>85</v>
      </c>
      <c r="V25">
        <v>11369</v>
      </c>
      <c r="W25">
        <v>5674</v>
      </c>
      <c r="X25">
        <v>195</v>
      </c>
      <c r="Y25">
        <v>51</v>
      </c>
      <c r="Z25">
        <v>10023</v>
      </c>
      <c r="AA25">
        <v>5021</v>
      </c>
      <c r="AB25">
        <v>268</v>
      </c>
      <c r="AC25">
        <v>52</v>
      </c>
      <c r="AD25">
        <v>8198</v>
      </c>
      <c r="AE25">
        <v>4347</v>
      </c>
      <c r="AF25">
        <v>119</v>
      </c>
      <c r="AG25">
        <v>31</v>
      </c>
      <c r="AH25">
        <v>6771</v>
      </c>
      <c r="AI25">
        <v>3483</v>
      </c>
      <c r="AJ25">
        <v>145</v>
      </c>
      <c r="AK25">
        <v>39</v>
      </c>
      <c r="AL25">
        <v>5221</v>
      </c>
      <c r="AM25">
        <v>2793</v>
      </c>
      <c r="AN25">
        <v>66</v>
      </c>
      <c r="AO25">
        <v>22</v>
      </c>
      <c r="AP25">
        <v>4193</v>
      </c>
      <c r="AQ25">
        <v>2161</v>
      </c>
      <c r="AR25">
        <v>18</v>
      </c>
      <c r="AS25">
        <v>2</v>
      </c>
      <c r="AT25">
        <v>3792</v>
      </c>
      <c r="AU25">
        <v>2005</v>
      </c>
      <c r="AV25">
        <v>77</v>
      </c>
      <c r="AW25">
        <v>32</v>
      </c>
    </row>
    <row r="26" spans="1:49" x14ac:dyDescent="0.25">
      <c r="A26" t="s">
        <v>306</v>
      </c>
      <c r="B26">
        <v>19825</v>
      </c>
      <c r="C26">
        <v>9190</v>
      </c>
      <c r="D26">
        <v>2419</v>
      </c>
      <c r="E26">
        <v>869</v>
      </c>
      <c r="F26">
        <v>19460</v>
      </c>
      <c r="G26">
        <v>9084</v>
      </c>
      <c r="H26">
        <v>1866</v>
      </c>
      <c r="I26">
        <v>661</v>
      </c>
      <c r="J26">
        <v>18676</v>
      </c>
      <c r="K26">
        <v>8833</v>
      </c>
      <c r="L26">
        <v>1765</v>
      </c>
      <c r="M26">
        <v>571</v>
      </c>
      <c r="N26">
        <v>18877</v>
      </c>
      <c r="O26">
        <v>8996</v>
      </c>
      <c r="P26">
        <v>1325</v>
      </c>
      <c r="Q26">
        <v>400</v>
      </c>
      <c r="R26">
        <v>19359</v>
      </c>
      <c r="S26">
        <v>9507</v>
      </c>
      <c r="T26">
        <v>1233</v>
      </c>
      <c r="U26">
        <v>395</v>
      </c>
      <c r="V26">
        <v>18664</v>
      </c>
      <c r="W26">
        <v>9210</v>
      </c>
      <c r="X26">
        <v>1207</v>
      </c>
      <c r="Y26">
        <v>351</v>
      </c>
      <c r="Z26">
        <v>16561</v>
      </c>
      <c r="AA26">
        <v>8534</v>
      </c>
      <c r="AB26">
        <v>579</v>
      </c>
      <c r="AC26">
        <v>189</v>
      </c>
      <c r="AD26">
        <v>14561</v>
      </c>
      <c r="AE26">
        <v>7376</v>
      </c>
      <c r="AF26">
        <v>429</v>
      </c>
      <c r="AG26">
        <v>151</v>
      </c>
      <c r="AH26">
        <v>13507</v>
      </c>
      <c r="AI26">
        <v>6851</v>
      </c>
      <c r="AJ26">
        <v>641</v>
      </c>
      <c r="AK26">
        <v>150</v>
      </c>
      <c r="AL26">
        <v>10724</v>
      </c>
      <c r="AM26">
        <v>5779</v>
      </c>
      <c r="AN26">
        <v>148</v>
      </c>
      <c r="AO26">
        <v>36</v>
      </c>
      <c r="AP26">
        <v>9529</v>
      </c>
      <c r="AQ26">
        <v>5081</v>
      </c>
      <c r="AR26">
        <v>76</v>
      </c>
      <c r="AS26">
        <v>23</v>
      </c>
      <c r="AT26">
        <v>8431</v>
      </c>
      <c r="AU26">
        <v>4442</v>
      </c>
      <c r="AV26">
        <v>332</v>
      </c>
      <c r="AW26">
        <v>126</v>
      </c>
    </row>
    <row r="27" spans="1:49" x14ac:dyDescent="0.25">
      <c r="A27" t="s">
        <v>307</v>
      </c>
      <c r="B27">
        <v>22202</v>
      </c>
      <c r="C27">
        <v>10243</v>
      </c>
      <c r="D27">
        <v>2332</v>
      </c>
      <c r="E27">
        <v>921</v>
      </c>
      <c r="F27">
        <v>20971</v>
      </c>
      <c r="G27">
        <v>9882</v>
      </c>
      <c r="H27">
        <v>1553</v>
      </c>
      <c r="I27">
        <v>581</v>
      </c>
      <c r="J27">
        <v>19375</v>
      </c>
      <c r="K27">
        <v>9240</v>
      </c>
      <c r="L27">
        <v>1151</v>
      </c>
      <c r="M27">
        <v>417</v>
      </c>
      <c r="N27">
        <v>18001</v>
      </c>
      <c r="O27">
        <v>8638</v>
      </c>
      <c r="P27">
        <v>831</v>
      </c>
      <c r="Q27">
        <v>297</v>
      </c>
      <c r="R27">
        <v>17560</v>
      </c>
      <c r="S27">
        <v>8749</v>
      </c>
      <c r="T27">
        <v>632</v>
      </c>
      <c r="U27">
        <v>238</v>
      </c>
      <c r="V27">
        <v>15482</v>
      </c>
      <c r="W27">
        <v>7839</v>
      </c>
      <c r="X27">
        <v>381</v>
      </c>
      <c r="Y27">
        <v>114</v>
      </c>
      <c r="Z27">
        <v>12596</v>
      </c>
      <c r="AA27">
        <v>6698</v>
      </c>
      <c r="AB27">
        <v>479</v>
      </c>
      <c r="AC27">
        <v>137</v>
      </c>
      <c r="AD27">
        <v>9387</v>
      </c>
      <c r="AE27">
        <v>5086</v>
      </c>
      <c r="AF27">
        <v>248</v>
      </c>
      <c r="AG27">
        <v>75</v>
      </c>
      <c r="AH27">
        <v>7945</v>
      </c>
      <c r="AI27">
        <v>4368</v>
      </c>
      <c r="AJ27">
        <v>286</v>
      </c>
      <c r="AK27">
        <v>106</v>
      </c>
      <c r="AL27">
        <v>5420</v>
      </c>
      <c r="AM27">
        <v>3083</v>
      </c>
      <c r="AN27">
        <v>84</v>
      </c>
      <c r="AO27">
        <v>33</v>
      </c>
      <c r="AP27">
        <v>4442</v>
      </c>
      <c r="AQ27">
        <v>2578</v>
      </c>
      <c r="AR27">
        <v>27</v>
      </c>
      <c r="AS27">
        <v>7</v>
      </c>
      <c r="AT27">
        <v>3825</v>
      </c>
      <c r="AU27">
        <v>2217</v>
      </c>
      <c r="AV27">
        <v>84</v>
      </c>
      <c r="AW27">
        <v>42</v>
      </c>
    </row>
    <row r="28" spans="1:49" x14ac:dyDescent="0.25">
      <c r="A28" t="s">
        <v>266</v>
      </c>
      <c r="B28">
        <v>383240</v>
      </c>
      <c r="C28">
        <v>178111</v>
      </c>
      <c r="D28">
        <v>43362</v>
      </c>
      <c r="E28">
        <v>16674</v>
      </c>
      <c r="F28">
        <v>360299</v>
      </c>
      <c r="G28">
        <v>169746</v>
      </c>
      <c r="H28">
        <v>28312</v>
      </c>
      <c r="I28">
        <v>10198</v>
      </c>
      <c r="J28">
        <v>339804</v>
      </c>
      <c r="K28">
        <v>160269</v>
      </c>
      <c r="L28">
        <v>22086</v>
      </c>
      <c r="M28">
        <v>7521</v>
      </c>
      <c r="N28">
        <v>326527</v>
      </c>
      <c r="O28">
        <v>156356</v>
      </c>
      <c r="P28">
        <v>15691</v>
      </c>
      <c r="Q28">
        <v>5187</v>
      </c>
      <c r="R28">
        <v>318331</v>
      </c>
      <c r="S28">
        <v>156811</v>
      </c>
      <c r="T28">
        <v>11328</v>
      </c>
      <c r="U28">
        <v>3634</v>
      </c>
      <c r="V28">
        <v>295272</v>
      </c>
      <c r="W28">
        <v>148760</v>
      </c>
      <c r="X28">
        <v>7984</v>
      </c>
      <c r="Y28">
        <v>2533</v>
      </c>
      <c r="Z28">
        <v>250846</v>
      </c>
      <c r="AA28">
        <v>129884</v>
      </c>
      <c r="AB28">
        <v>7419</v>
      </c>
      <c r="AC28">
        <v>2219</v>
      </c>
      <c r="AD28">
        <v>196750</v>
      </c>
      <c r="AE28">
        <v>104869</v>
      </c>
      <c r="AF28">
        <v>3736</v>
      </c>
      <c r="AG28">
        <v>1184</v>
      </c>
      <c r="AH28">
        <v>171372</v>
      </c>
      <c r="AI28">
        <v>90751</v>
      </c>
      <c r="AJ28">
        <v>5751</v>
      </c>
      <c r="AK28">
        <v>1771</v>
      </c>
      <c r="AL28">
        <v>129672</v>
      </c>
      <c r="AM28">
        <v>71597</v>
      </c>
      <c r="AN28">
        <v>1495</v>
      </c>
      <c r="AO28">
        <v>481</v>
      </c>
      <c r="AP28">
        <v>107722</v>
      </c>
      <c r="AQ28">
        <v>59296</v>
      </c>
      <c r="AR28">
        <v>710</v>
      </c>
      <c r="AS28">
        <v>221</v>
      </c>
      <c r="AT28">
        <v>97318</v>
      </c>
      <c r="AU28">
        <v>52501</v>
      </c>
      <c r="AV28">
        <v>2883</v>
      </c>
      <c r="AW28">
        <v>1204</v>
      </c>
    </row>
    <row r="29" spans="1:49" x14ac:dyDescent="0.25">
      <c r="A29" t="s">
        <v>308</v>
      </c>
      <c r="B29">
        <v>62988</v>
      </c>
      <c r="C29">
        <v>29230</v>
      </c>
      <c r="D29">
        <v>5891</v>
      </c>
      <c r="E29">
        <v>2244</v>
      </c>
      <c r="F29">
        <v>60201</v>
      </c>
      <c r="G29">
        <v>28318</v>
      </c>
      <c r="H29">
        <v>3774</v>
      </c>
      <c r="I29">
        <v>1270</v>
      </c>
      <c r="J29">
        <v>55108</v>
      </c>
      <c r="K29">
        <v>26179</v>
      </c>
      <c r="L29">
        <v>2575</v>
      </c>
      <c r="M29">
        <v>862</v>
      </c>
      <c r="N29">
        <v>52107</v>
      </c>
      <c r="O29">
        <v>24689</v>
      </c>
      <c r="P29">
        <v>1873</v>
      </c>
      <c r="Q29">
        <v>579</v>
      </c>
      <c r="R29">
        <v>53796</v>
      </c>
      <c r="S29">
        <v>26328</v>
      </c>
      <c r="T29">
        <v>1232</v>
      </c>
      <c r="U29">
        <v>342</v>
      </c>
      <c r="V29">
        <v>50605</v>
      </c>
      <c r="W29">
        <v>25370</v>
      </c>
      <c r="X29">
        <v>796</v>
      </c>
      <c r="Y29">
        <v>217</v>
      </c>
      <c r="Z29">
        <v>48258</v>
      </c>
      <c r="AA29">
        <v>24494</v>
      </c>
      <c r="AB29">
        <v>1683</v>
      </c>
      <c r="AC29">
        <v>521</v>
      </c>
      <c r="AD29">
        <v>38449</v>
      </c>
      <c r="AE29">
        <v>19832</v>
      </c>
      <c r="AF29">
        <v>813</v>
      </c>
      <c r="AG29">
        <v>261</v>
      </c>
      <c r="AH29">
        <v>36991</v>
      </c>
      <c r="AI29">
        <v>18791</v>
      </c>
      <c r="AJ29">
        <v>1544</v>
      </c>
      <c r="AK29">
        <v>559</v>
      </c>
      <c r="AL29">
        <v>35355</v>
      </c>
      <c r="AM29">
        <v>18928</v>
      </c>
      <c r="AN29">
        <v>447</v>
      </c>
      <c r="AO29">
        <v>142</v>
      </c>
      <c r="AP29">
        <v>31508</v>
      </c>
      <c r="AQ29">
        <v>16924</v>
      </c>
      <c r="AR29">
        <v>233</v>
      </c>
      <c r="AS29">
        <v>72</v>
      </c>
      <c r="AT29">
        <v>30675</v>
      </c>
      <c r="AU29">
        <v>16087</v>
      </c>
      <c r="AV29">
        <v>955</v>
      </c>
      <c r="AW29">
        <v>378</v>
      </c>
    </row>
    <row r="30" spans="1:49" x14ac:dyDescent="0.25">
      <c r="A30" t="s">
        <v>309</v>
      </c>
      <c r="B30">
        <v>320252</v>
      </c>
      <c r="C30">
        <v>148881</v>
      </c>
      <c r="D30">
        <v>37471</v>
      </c>
      <c r="E30">
        <v>14430</v>
      </c>
      <c r="F30">
        <v>300098</v>
      </c>
      <c r="G30">
        <v>141428</v>
      </c>
      <c r="H30">
        <v>24538</v>
      </c>
      <c r="I30">
        <v>8928</v>
      </c>
      <c r="J30">
        <v>284696</v>
      </c>
      <c r="K30">
        <v>134090</v>
      </c>
      <c r="L30">
        <v>19511</v>
      </c>
      <c r="M30">
        <v>6659</v>
      </c>
      <c r="N30">
        <v>274420</v>
      </c>
      <c r="O30">
        <v>131667</v>
      </c>
      <c r="P30">
        <v>13818</v>
      </c>
      <c r="Q30">
        <v>4608</v>
      </c>
      <c r="R30">
        <v>264535</v>
      </c>
      <c r="S30">
        <v>130483</v>
      </c>
      <c r="T30">
        <v>10096</v>
      </c>
      <c r="U30">
        <v>3292</v>
      </c>
      <c r="V30">
        <v>244667</v>
      </c>
      <c r="W30">
        <v>123390</v>
      </c>
      <c r="X30">
        <v>7188</v>
      </c>
      <c r="Y30">
        <v>2316</v>
      </c>
      <c r="Z30">
        <v>202588</v>
      </c>
      <c r="AA30">
        <v>105390</v>
      </c>
      <c r="AB30">
        <v>5736</v>
      </c>
      <c r="AC30">
        <v>1698</v>
      </c>
      <c r="AD30">
        <v>158301</v>
      </c>
      <c r="AE30">
        <v>85037</v>
      </c>
      <c r="AF30">
        <v>2923</v>
      </c>
      <c r="AG30">
        <v>923</v>
      </c>
      <c r="AH30">
        <v>134381</v>
      </c>
      <c r="AI30">
        <v>71960</v>
      </c>
      <c r="AJ30">
        <v>4207</v>
      </c>
      <c r="AK30">
        <v>1212</v>
      </c>
      <c r="AL30">
        <v>94317</v>
      </c>
      <c r="AM30">
        <v>52669</v>
      </c>
      <c r="AN30">
        <v>1048</v>
      </c>
      <c r="AO30">
        <v>339</v>
      </c>
      <c r="AP30">
        <v>76214</v>
      </c>
      <c r="AQ30">
        <v>42372</v>
      </c>
      <c r="AR30">
        <v>477</v>
      </c>
      <c r="AS30">
        <v>149</v>
      </c>
      <c r="AT30">
        <v>66643</v>
      </c>
      <c r="AU30">
        <v>36414</v>
      </c>
      <c r="AV30">
        <v>1928</v>
      </c>
      <c r="AW30">
        <v>826</v>
      </c>
    </row>
  </sheetData>
  <mergeCells count="25">
    <mergeCell ref="A1:A2"/>
    <mergeCell ref="B1:C1"/>
    <mergeCell ref="N1:O1"/>
    <mergeCell ref="T1:U1"/>
    <mergeCell ref="L1:M1"/>
    <mergeCell ref="AF1:AG1"/>
    <mergeCell ref="X1:Y1"/>
    <mergeCell ref="Z1:AA1"/>
    <mergeCell ref="F1:G1"/>
    <mergeCell ref="R1:S1"/>
    <mergeCell ref="AV1:AW1"/>
    <mergeCell ref="D1:E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AJ1:AK1"/>
    <mergeCell ref="AL1:AM1"/>
    <mergeCell ref="AR1:AS1"/>
    <mergeCell ref="AT1:AU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5B9BD5"/>
  </sheetPr>
  <dimension ref="A1:N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3" max="3" width="11.85546875" customWidth="1"/>
    <col min="8" max="8" width="12" customWidth="1"/>
    <col min="9" max="9" width="11.85546875" customWidth="1"/>
    <col min="14" max="14" width="12" customWidth="1"/>
  </cols>
  <sheetData>
    <row r="1" spans="1:14" x14ac:dyDescent="0.25">
      <c r="A1" s="29" t="s">
        <v>709</v>
      </c>
      <c r="B1" t="s">
        <v>254</v>
      </c>
      <c r="C1" s="29" t="s">
        <v>326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402</v>
      </c>
      <c r="N1" s="29"/>
    </row>
    <row r="2" spans="1:14" x14ac:dyDescent="0.25">
      <c r="A2" s="29"/>
      <c r="B2" t="s">
        <v>261</v>
      </c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818</v>
      </c>
      <c r="C3">
        <v>16624</v>
      </c>
      <c r="D3">
        <v>8212</v>
      </c>
      <c r="E3">
        <v>96900</v>
      </c>
      <c r="F3">
        <v>46855</v>
      </c>
      <c r="G3">
        <v>26777</v>
      </c>
      <c r="H3">
        <v>14245</v>
      </c>
      <c r="I3">
        <v>12289</v>
      </c>
      <c r="J3">
        <v>6787</v>
      </c>
      <c r="K3">
        <v>152590</v>
      </c>
      <c r="L3">
        <v>76099</v>
      </c>
      <c r="M3">
        <v>48.4</v>
      </c>
      <c r="N3">
        <v>49.9</v>
      </c>
    </row>
    <row r="4" spans="1:14" x14ac:dyDescent="0.25">
      <c r="A4" t="s">
        <v>284</v>
      </c>
      <c r="B4">
        <v>1133</v>
      </c>
      <c r="C4">
        <v>18765</v>
      </c>
      <c r="D4">
        <v>9360</v>
      </c>
      <c r="E4">
        <v>171713</v>
      </c>
      <c r="F4">
        <v>82096</v>
      </c>
      <c r="G4">
        <v>43372</v>
      </c>
      <c r="H4">
        <v>23034</v>
      </c>
      <c r="I4">
        <v>19631</v>
      </c>
      <c r="J4">
        <v>11089</v>
      </c>
      <c r="K4">
        <v>253481</v>
      </c>
      <c r="L4">
        <v>125579</v>
      </c>
      <c r="M4">
        <v>47.8</v>
      </c>
      <c r="N4">
        <v>49.5</v>
      </c>
    </row>
    <row r="5" spans="1:14" x14ac:dyDescent="0.25">
      <c r="A5" t="s">
        <v>285</v>
      </c>
      <c r="B5">
        <v>804</v>
      </c>
      <c r="C5">
        <v>15704</v>
      </c>
      <c r="D5">
        <v>7756</v>
      </c>
      <c r="E5">
        <v>141437</v>
      </c>
      <c r="F5">
        <v>67395</v>
      </c>
      <c r="G5">
        <v>42139</v>
      </c>
      <c r="H5">
        <v>22561</v>
      </c>
      <c r="I5">
        <v>22427</v>
      </c>
      <c r="J5">
        <v>12651</v>
      </c>
      <c r="K5">
        <v>221707</v>
      </c>
      <c r="L5">
        <v>110363</v>
      </c>
      <c r="M5">
        <v>47.7</v>
      </c>
      <c r="N5">
        <v>49.8</v>
      </c>
    </row>
    <row r="6" spans="1:14" x14ac:dyDescent="0.25">
      <c r="A6" t="s">
        <v>286</v>
      </c>
      <c r="B6">
        <v>466</v>
      </c>
      <c r="C6">
        <v>6914</v>
      </c>
      <c r="D6">
        <v>3452</v>
      </c>
      <c r="E6">
        <v>74274</v>
      </c>
      <c r="F6">
        <v>36121</v>
      </c>
      <c r="G6">
        <v>24396</v>
      </c>
      <c r="H6">
        <v>13059</v>
      </c>
      <c r="I6">
        <v>12560</v>
      </c>
      <c r="J6">
        <v>7009</v>
      </c>
      <c r="K6">
        <v>118144</v>
      </c>
      <c r="L6">
        <v>59641</v>
      </c>
      <c r="M6">
        <v>48.6</v>
      </c>
      <c r="N6">
        <v>50.5</v>
      </c>
    </row>
    <row r="7" spans="1:14" x14ac:dyDescent="0.25">
      <c r="A7" t="s">
        <v>287</v>
      </c>
      <c r="B7">
        <v>603</v>
      </c>
      <c r="C7">
        <v>9886</v>
      </c>
      <c r="D7">
        <v>4992</v>
      </c>
      <c r="E7">
        <v>110874</v>
      </c>
      <c r="F7">
        <v>53596</v>
      </c>
      <c r="G7">
        <v>34034</v>
      </c>
      <c r="H7">
        <v>17505</v>
      </c>
      <c r="I7">
        <v>15428</v>
      </c>
      <c r="J7">
        <v>7878</v>
      </c>
      <c r="K7">
        <v>170222</v>
      </c>
      <c r="L7">
        <v>83971</v>
      </c>
      <c r="M7">
        <v>48.3</v>
      </c>
      <c r="N7">
        <v>49.3</v>
      </c>
    </row>
    <row r="8" spans="1:14" x14ac:dyDescent="0.25">
      <c r="A8" t="s">
        <v>288</v>
      </c>
      <c r="B8">
        <v>782</v>
      </c>
      <c r="C8">
        <v>10080</v>
      </c>
      <c r="D8">
        <v>5071</v>
      </c>
      <c r="E8">
        <v>100565</v>
      </c>
      <c r="F8">
        <v>48939</v>
      </c>
      <c r="G8">
        <v>30503</v>
      </c>
      <c r="H8">
        <v>16654</v>
      </c>
      <c r="I8">
        <v>14963</v>
      </c>
      <c r="J8">
        <v>8337</v>
      </c>
      <c r="K8">
        <v>156111</v>
      </c>
      <c r="L8">
        <v>79001</v>
      </c>
      <c r="M8">
        <v>48.7</v>
      </c>
      <c r="N8">
        <v>50.6</v>
      </c>
    </row>
    <row r="9" spans="1:14" x14ac:dyDescent="0.25">
      <c r="A9" t="s">
        <v>289</v>
      </c>
      <c r="B9">
        <v>608</v>
      </c>
      <c r="C9">
        <v>7056</v>
      </c>
      <c r="D9">
        <v>3396</v>
      </c>
      <c r="E9">
        <v>78535</v>
      </c>
      <c r="F9">
        <v>37379</v>
      </c>
      <c r="G9">
        <v>28240</v>
      </c>
      <c r="H9">
        <v>14436</v>
      </c>
      <c r="I9">
        <v>15963</v>
      </c>
      <c r="J9">
        <v>8231</v>
      </c>
      <c r="K9">
        <v>129794</v>
      </c>
      <c r="L9">
        <v>63442</v>
      </c>
      <c r="M9">
        <v>47.6</v>
      </c>
      <c r="N9">
        <v>48.9</v>
      </c>
    </row>
    <row r="10" spans="1:14" x14ac:dyDescent="0.25">
      <c r="A10" t="s">
        <v>290</v>
      </c>
      <c r="B10">
        <v>748</v>
      </c>
      <c r="C10">
        <v>15755</v>
      </c>
      <c r="D10">
        <v>7748</v>
      </c>
      <c r="E10">
        <v>159688</v>
      </c>
      <c r="F10">
        <v>75273</v>
      </c>
      <c r="G10">
        <v>48495</v>
      </c>
      <c r="H10">
        <v>25225</v>
      </c>
      <c r="I10">
        <v>27412</v>
      </c>
      <c r="J10">
        <v>15170</v>
      </c>
      <c r="K10">
        <v>251350</v>
      </c>
      <c r="L10">
        <v>123416</v>
      </c>
      <c r="M10">
        <v>47.1</v>
      </c>
      <c r="N10">
        <v>49.1</v>
      </c>
    </row>
    <row r="11" spans="1:14" x14ac:dyDescent="0.25">
      <c r="A11" t="s">
        <v>291</v>
      </c>
      <c r="B11">
        <v>50</v>
      </c>
      <c r="C11">
        <v>909</v>
      </c>
      <c r="D11">
        <v>452</v>
      </c>
      <c r="E11">
        <v>5104</v>
      </c>
      <c r="F11">
        <v>2523</v>
      </c>
      <c r="G11">
        <v>1606</v>
      </c>
      <c r="H11">
        <v>793</v>
      </c>
      <c r="I11">
        <v>1070</v>
      </c>
      <c r="J11">
        <v>572</v>
      </c>
      <c r="K11">
        <v>8689</v>
      </c>
      <c r="L11">
        <v>4340</v>
      </c>
      <c r="M11">
        <v>49.4</v>
      </c>
      <c r="N11">
        <v>49.9</v>
      </c>
    </row>
    <row r="12" spans="1:14" x14ac:dyDescent="0.25">
      <c r="A12" t="s">
        <v>292</v>
      </c>
      <c r="B12">
        <v>218</v>
      </c>
      <c r="C12">
        <v>2078</v>
      </c>
      <c r="D12">
        <v>982</v>
      </c>
      <c r="E12">
        <v>16689</v>
      </c>
      <c r="F12">
        <v>8006</v>
      </c>
      <c r="G12">
        <v>5136</v>
      </c>
      <c r="H12">
        <v>2610</v>
      </c>
      <c r="I12">
        <v>2610</v>
      </c>
      <c r="J12">
        <v>1219</v>
      </c>
      <c r="K12">
        <v>26513</v>
      </c>
      <c r="L12">
        <v>12817</v>
      </c>
      <c r="M12">
        <v>48</v>
      </c>
      <c r="N12">
        <v>48.3</v>
      </c>
    </row>
    <row r="13" spans="1:14" x14ac:dyDescent="0.25">
      <c r="A13" t="s">
        <v>293</v>
      </c>
      <c r="B13">
        <v>418</v>
      </c>
      <c r="C13">
        <v>3896</v>
      </c>
      <c r="D13">
        <v>1925</v>
      </c>
      <c r="E13">
        <v>63323</v>
      </c>
      <c r="F13">
        <v>30637</v>
      </c>
      <c r="G13">
        <v>12917</v>
      </c>
      <c r="H13">
        <v>6892</v>
      </c>
      <c r="I13">
        <v>6039</v>
      </c>
      <c r="J13">
        <v>3261</v>
      </c>
      <c r="K13">
        <v>86175</v>
      </c>
      <c r="L13">
        <v>42715</v>
      </c>
      <c r="M13">
        <v>48.4</v>
      </c>
      <c r="N13">
        <v>49.6</v>
      </c>
    </row>
    <row r="14" spans="1:14" x14ac:dyDescent="0.25">
      <c r="A14" t="s">
        <v>294</v>
      </c>
      <c r="B14">
        <v>126</v>
      </c>
      <c r="C14">
        <v>1079</v>
      </c>
      <c r="D14">
        <v>530</v>
      </c>
      <c r="E14">
        <v>14576</v>
      </c>
      <c r="F14">
        <v>7211</v>
      </c>
      <c r="G14">
        <v>3212</v>
      </c>
      <c r="H14">
        <v>1706</v>
      </c>
      <c r="I14">
        <v>1386</v>
      </c>
      <c r="J14">
        <v>747</v>
      </c>
      <c r="K14">
        <v>20253</v>
      </c>
      <c r="L14">
        <v>10194</v>
      </c>
      <c r="M14">
        <v>49.5</v>
      </c>
      <c r="N14">
        <v>50.3</v>
      </c>
    </row>
    <row r="15" spans="1:14" x14ac:dyDescent="0.25">
      <c r="A15" t="s">
        <v>295</v>
      </c>
      <c r="B15">
        <v>358</v>
      </c>
      <c r="C15">
        <v>3652</v>
      </c>
      <c r="D15">
        <v>1788</v>
      </c>
      <c r="E15">
        <v>37379</v>
      </c>
      <c r="F15">
        <v>17940</v>
      </c>
      <c r="G15">
        <v>9509</v>
      </c>
      <c r="H15">
        <v>4773</v>
      </c>
      <c r="I15">
        <v>4181</v>
      </c>
      <c r="J15">
        <v>2150</v>
      </c>
      <c r="K15">
        <v>54721</v>
      </c>
      <c r="L15">
        <v>26651</v>
      </c>
      <c r="M15">
        <v>48</v>
      </c>
      <c r="N15">
        <v>48.7</v>
      </c>
    </row>
    <row r="16" spans="1:14" x14ac:dyDescent="0.25">
      <c r="A16" t="s">
        <v>296</v>
      </c>
      <c r="B16">
        <v>82</v>
      </c>
      <c r="C16">
        <v>1092</v>
      </c>
      <c r="D16">
        <v>565</v>
      </c>
      <c r="E16">
        <v>10316</v>
      </c>
      <c r="F16">
        <v>4960</v>
      </c>
      <c r="G16">
        <v>3210</v>
      </c>
      <c r="H16">
        <v>1655</v>
      </c>
      <c r="I16">
        <v>1479</v>
      </c>
      <c r="J16">
        <v>798</v>
      </c>
      <c r="K16">
        <v>16097</v>
      </c>
      <c r="L16">
        <v>7978</v>
      </c>
      <c r="M16">
        <v>48.1</v>
      </c>
      <c r="N16">
        <v>49.6</v>
      </c>
    </row>
    <row r="17" spans="1:14" x14ac:dyDescent="0.25">
      <c r="A17" t="s">
        <v>297</v>
      </c>
      <c r="B17">
        <v>376</v>
      </c>
      <c r="C17">
        <v>10901</v>
      </c>
      <c r="D17">
        <v>5247</v>
      </c>
      <c r="E17">
        <v>138900</v>
      </c>
      <c r="F17">
        <v>66114</v>
      </c>
      <c r="G17">
        <v>49761</v>
      </c>
      <c r="H17">
        <v>24849</v>
      </c>
      <c r="I17">
        <v>36902</v>
      </c>
      <c r="J17">
        <v>18562</v>
      </c>
      <c r="K17">
        <v>236464</v>
      </c>
      <c r="L17">
        <v>114772</v>
      </c>
      <c r="M17">
        <v>47.6</v>
      </c>
      <c r="N17">
        <v>48.5</v>
      </c>
    </row>
    <row r="18" spans="1:14" x14ac:dyDescent="0.25">
      <c r="A18" t="s">
        <v>298</v>
      </c>
      <c r="B18">
        <v>156</v>
      </c>
      <c r="C18">
        <v>2395</v>
      </c>
      <c r="D18">
        <v>1233</v>
      </c>
      <c r="E18">
        <v>26923</v>
      </c>
      <c r="F18">
        <v>13117</v>
      </c>
      <c r="G18">
        <v>8156</v>
      </c>
      <c r="H18">
        <v>4094</v>
      </c>
      <c r="I18">
        <v>4010</v>
      </c>
      <c r="J18">
        <v>2075</v>
      </c>
      <c r="K18">
        <v>41484</v>
      </c>
      <c r="L18">
        <v>20519</v>
      </c>
      <c r="M18">
        <v>48.7</v>
      </c>
      <c r="N18">
        <v>49.5</v>
      </c>
    </row>
    <row r="19" spans="1:14" x14ac:dyDescent="0.25">
      <c r="A19" t="s">
        <v>299</v>
      </c>
      <c r="B19">
        <v>401</v>
      </c>
      <c r="C19">
        <v>3822</v>
      </c>
      <c r="D19">
        <v>1940</v>
      </c>
      <c r="E19">
        <v>37343</v>
      </c>
      <c r="F19">
        <v>18183</v>
      </c>
      <c r="G19">
        <v>9828</v>
      </c>
      <c r="H19">
        <v>5446</v>
      </c>
      <c r="I19">
        <v>4393</v>
      </c>
      <c r="J19">
        <v>2291</v>
      </c>
      <c r="K19">
        <v>55386</v>
      </c>
      <c r="L19">
        <v>27860</v>
      </c>
      <c r="M19">
        <v>48.7</v>
      </c>
      <c r="N19">
        <v>50.3</v>
      </c>
    </row>
    <row r="20" spans="1:14" x14ac:dyDescent="0.25">
      <c r="A20" t="s">
        <v>300</v>
      </c>
      <c r="B20">
        <v>1035</v>
      </c>
      <c r="C20">
        <v>15501</v>
      </c>
      <c r="D20">
        <v>7625</v>
      </c>
      <c r="E20">
        <v>149003</v>
      </c>
      <c r="F20">
        <v>70067</v>
      </c>
      <c r="G20">
        <v>47242</v>
      </c>
      <c r="H20">
        <v>24689</v>
      </c>
      <c r="I20">
        <v>22950</v>
      </c>
      <c r="J20">
        <v>12149</v>
      </c>
      <c r="K20">
        <v>234696</v>
      </c>
      <c r="L20">
        <v>114530</v>
      </c>
      <c r="M20">
        <v>47</v>
      </c>
      <c r="N20">
        <v>48.8</v>
      </c>
    </row>
    <row r="21" spans="1:14" x14ac:dyDescent="0.25">
      <c r="A21" t="s">
        <v>301</v>
      </c>
      <c r="B21">
        <v>537</v>
      </c>
      <c r="C21">
        <v>8387</v>
      </c>
      <c r="D21">
        <v>4267</v>
      </c>
      <c r="E21">
        <v>69224</v>
      </c>
      <c r="F21">
        <v>33569</v>
      </c>
      <c r="G21">
        <v>18276</v>
      </c>
      <c r="H21">
        <v>9702</v>
      </c>
      <c r="I21">
        <v>8797</v>
      </c>
      <c r="J21">
        <v>4712</v>
      </c>
      <c r="K21">
        <v>104684</v>
      </c>
      <c r="L21">
        <v>52250</v>
      </c>
      <c r="M21">
        <v>48.5</v>
      </c>
      <c r="N21">
        <v>49.9</v>
      </c>
    </row>
    <row r="22" spans="1:14" x14ac:dyDescent="0.25">
      <c r="A22" t="s">
        <v>302</v>
      </c>
      <c r="B22">
        <v>303</v>
      </c>
      <c r="C22">
        <v>2422</v>
      </c>
      <c r="D22">
        <v>1178</v>
      </c>
      <c r="E22">
        <v>40979</v>
      </c>
      <c r="F22">
        <v>19760</v>
      </c>
      <c r="G22">
        <v>7645</v>
      </c>
      <c r="H22">
        <v>3741</v>
      </c>
      <c r="I22">
        <v>3102</v>
      </c>
      <c r="J22">
        <v>1447</v>
      </c>
      <c r="K22">
        <v>54148</v>
      </c>
      <c r="L22">
        <v>26126</v>
      </c>
      <c r="M22">
        <v>48.2</v>
      </c>
      <c r="N22">
        <v>48.2</v>
      </c>
    </row>
    <row r="23" spans="1:14" x14ac:dyDescent="0.25">
      <c r="A23" t="s">
        <v>303</v>
      </c>
      <c r="B23">
        <v>1067</v>
      </c>
      <c r="C23">
        <v>26016</v>
      </c>
      <c r="D23">
        <v>13294</v>
      </c>
      <c r="E23">
        <v>164652</v>
      </c>
      <c r="F23">
        <v>79415</v>
      </c>
      <c r="G23">
        <v>49012</v>
      </c>
      <c r="H23">
        <v>26447</v>
      </c>
      <c r="I23">
        <v>26246</v>
      </c>
      <c r="J23">
        <v>14608</v>
      </c>
      <c r="K23">
        <v>265926</v>
      </c>
      <c r="L23">
        <v>133764</v>
      </c>
      <c r="M23">
        <v>48.2</v>
      </c>
      <c r="N23">
        <v>50.3</v>
      </c>
    </row>
    <row r="24" spans="1:14" x14ac:dyDescent="0.25">
      <c r="A24" t="s">
        <v>304</v>
      </c>
      <c r="B24">
        <v>218</v>
      </c>
      <c r="C24">
        <v>1215</v>
      </c>
      <c r="D24">
        <v>580</v>
      </c>
      <c r="E24">
        <v>25807</v>
      </c>
      <c r="F24">
        <v>12648</v>
      </c>
      <c r="G24">
        <v>4719</v>
      </c>
      <c r="H24">
        <v>2490</v>
      </c>
      <c r="I24">
        <v>2233</v>
      </c>
      <c r="J24">
        <v>1120</v>
      </c>
      <c r="K24">
        <v>33974</v>
      </c>
      <c r="L24">
        <v>16838</v>
      </c>
      <c r="M24">
        <v>49</v>
      </c>
      <c r="N24">
        <v>49.6</v>
      </c>
    </row>
    <row r="25" spans="1:14" x14ac:dyDescent="0.25">
      <c r="A25" t="s">
        <v>305</v>
      </c>
      <c r="B25">
        <v>508</v>
      </c>
      <c r="C25">
        <v>7757</v>
      </c>
      <c r="D25">
        <v>3933</v>
      </c>
      <c r="E25">
        <v>72118</v>
      </c>
      <c r="F25">
        <v>34824</v>
      </c>
      <c r="G25">
        <v>25222</v>
      </c>
      <c r="H25">
        <v>12954</v>
      </c>
      <c r="I25">
        <v>12981</v>
      </c>
      <c r="J25">
        <v>6576</v>
      </c>
      <c r="K25">
        <v>118078</v>
      </c>
      <c r="L25">
        <v>58287</v>
      </c>
      <c r="M25">
        <v>48.3</v>
      </c>
      <c r="N25">
        <v>49.4</v>
      </c>
    </row>
    <row r="26" spans="1:14" x14ac:dyDescent="0.25">
      <c r="A26" t="s">
        <v>306</v>
      </c>
      <c r="B26">
        <v>782</v>
      </c>
      <c r="C26">
        <v>12229</v>
      </c>
      <c r="D26">
        <v>6025</v>
      </c>
      <c r="E26">
        <v>118349</v>
      </c>
      <c r="F26">
        <v>56317</v>
      </c>
      <c r="G26">
        <v>46704</v>
      </c>
      <c r="H26">
        <v>23432</v>
      </c>
      <c r="I26">
        <v>29080</v>
      </c>
      <c r="J26">
        <v>14939</v>
      </c>
      <c r="K26">
        <v>206362</v>
      </c>
      <c r="L26">
        <v>100713</v>
      </c>
      <c r="M26">
        <v>47.6</v>
      </c>
      <c r="N26">
        <v>48.8</v>
      </c>
    </row>
    <row r="27" spans="1:14" x14ac:dyDescent="0.25">
      <c r="A27" t="s">
        <v>307</v>
      </c>
      <c r="B27">
        <v>703</v>
      </c>
      <c r="C27">
        <v>13374</v>
      </c>
      <c r="D27">
        <v>6529</v>
      </c>
      <c r="E27">
        <v>115586</v>
      </c>
      <c r="F27">
        <v>55855</v>
      </c>
      <c r="G27">
        <v>30150</v>
      </c>
      <c r="H27">
        <v>15905</v>
      </c>
      <c r="I27">
        <v>13013</v>
      </c>
      <c r="J27">
        <v>7116</v>
      </c>
      <c r="K27">
        <v>172123</v>
      </c>
      <c r="L27">
        <v>85405</v>
      </c>
      <c r="M27">
        <v>48.3</v>
      </c>
      <c r="N27">
        <v>49.6</v>
      </c>
    </row>
    <row r="28" spans="1:14" x14ac:dyDescent="0.25">
      <c r="A28" t="s">
        <v>266</v>
      </c>
      <c r="B28">
        <v>13300</v>
      </c>
      <c r="C28">
        <v>217509</v>
      </c>
      <c r="D28">
        <v>108080</v>
      </c>
      <c r="E28">
        <v>2040257</v>
      </c>
      <c r="F28">
        <v>978800</v>
      </c>
      <c r="G28">
        <v>610261</v>
      </c>
      <c r="H28">
        <v>318897</v>
      </c>
      <c r="I28">
        <v>321145</v>
      </c>
      <c r="J28">
        <v>171494</v>
      </c>
      <c r="K28">
        <v>3189172</v>
      </c>
      <c r="L28">
        <v>1577271</v>
      </c>
      <c r="M28">
        <v>48</v>
      </c>
      <c r="N28">
        <v>49.5</v>
      </c>
    </row>
    <row r="29" spans="1:14" x14ac:dyDescent="0.25">
      <c r="A29" t="s">
        <v>308</v>
      </c>
      <c r="B29">
        <v>1422</v>
      </c>
      <c r="C29">
        <v>38796</v>
      </c>
      <c r="D29">
        <v>19178</v>
      </c>
      <c r="E29">
        <v>339526</v>
      </c>
      <c r="F29">
        <v>162443</v>
      </c>
      <c r="G29">
        <v>120483</v>
      </c>
      <c r="H29">
        <v>61019</v>
      </c>
      <c r="I29">
        <v>96109</v>
      </c>
      <c r="J29">
        <v>49901</v>
      </c>
      <c r="K29">
        <v>594914</v>
      </c>
      <c r="L29">
        <v>292541</v>
      </c>
      <c r="M29">
        <v>47.8</v>
      </c>
      <c r="N29">
        <v>49.2</v>
      </c>
    </row>
    <row r="30" spans="1:14" x14ac:dyDescent="0.25">
      <c r="A30" t="s">
        <v>309</v>
      </c>
      <c r="B30">
        <v>11878</v>
      </c>
      <c r="C30">
        <v>178713</v>
      </c>
      <c r="D30">
        <v>88902</v>
      </c>
      <c r="E30">
        <v>1700731</v>
      </c>
      <c r="F30">
        <v>816357</v>
      </c>
      <c r="G30">
        <v>489778</v>
      </c>
      <c r="H30">
        <v>257878</v>
      </c>
      <c r="I30">
        <v>225036</v>
      </c>
      <c r="J30">
        <v>121593</v>
      </c>
      <c r="K30">
        <v>2594258</v>
      </c>
      <c r="L30">
        <v>1284730</v>
      </c>
      <c r="M30">
        <v>48</v>
      </c>
      <c r="N30">
        <v>49.5</v>
      </c>
    </row>
  </sheetData>
  <mergeCells count="7">
    <mergeCell ref="A1:A2"/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5B9BD5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85546875" customWidth="1"/>
    <col min="5" max="5" width="11.140625" customWidth="1"/>
    <col min="6" max="6" width="10.140625" customWidth="1"/>
    <col min="9" max="9" width="10" customWidth="1"/>
    <col min="11" max="11" width="10.140625" customWidth="1"/>
    <col min="12" max="12" width="10" customWidth="1"/>
    <col min="15" max="15" width="10.140625" customWidth="1"/>
    <col min="16" max="16" width="10" customWidth="1"/>
  </cols>
  <sheetData>
    <row r="1" spans="1:16" x14ac:dyDescent="0.25">
      <c r="A1" s="29" t="s">
        <v>709</v>
      </c>
      <c r="B1" s="29" t="s">
        <v>406</v>
      </c>
      <c r="C1" s="29"/>
      <c r="D1" s="29" t="s">
        <v>407</v>
      </c>
      <c r="E1" s="29"/>
      <c r="F1" s="29" t="s">
        <v>408</v>
      </c>
      <c r="G1" s="29"/>
      <c r="H1" s="29" t="s">
        <v>409</v>
      </c>
      <c r="I1" s="29"/>
      <c r="J1" s="29" t="s">
        <v>410</v>
      </c>
      <c r="K1" s="29"/>
      <c r="L1" s="29" t="s">
        <v>411</v>
      </c>
      <c r="M1" s="29"/>
      <c r="N1" s="29" t="s">
        <v>412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418</v>
      </c>
      <c r="N2" t="s">
        <v>346</v>
      </c>
      <c r="O2" t="s">
        <v>419</v>
      </c>
      <c r="P2" t="s">
        <v>420</v>
      </c>
    </row>
    <row r="3" spans="1:16" x14ac:dyDescent="0.25">
      <c r="A3" t="s">
        <v>283</v>
      </c>
      <c r="B3">
        <v>16836</v>
      </c>
      <c r="C3">
        <v>13723</v>
      </c>
      <c r="D3">
        <v>97157</v>
      </c>
      <c r="E3">
        <v>11046</v>
      </c>
      <c r="F3">
        <v>11478</v>
      </c>
      <c r="G3">
        <v>6951</v>
      </c>
      <c r="H3">
        <v>28020</v>
      </c>
      <c r="I3">
        <v>5020</v>
      </c>
      <c r="J3">
        <v>5292</v>
      </c>
      <c r="K3">
        <v>4008</v>
      </c>
      <c r="L3">
        <v>13414</v>
      </c>
      <c r="M3">
        <v>2092</v>
      </c>
      <c r="N3">
        <v>11.4</v>
      </c>
      <c r="O3">
        <v>17.899999999999999</v>
      </c>
      <c r="P3">
        <v>15.6</v>
      </c>
    </row>
    <row r="4" spans="1:16" x14ac:dyDescent="0.25">
      <c r="A4" t="s">
        <v>284</v>
      </c>
      <c r="B4">
        <v>29250</v>
      </c>
      <c r="C4">
        <v>23932</v>
      </c>
      <c r="D4">
        <v>169424</v>
      </c>
      <c r="E4">
        <v>22088</v>
      </c>
      <c r="F4">
        <v>18707</v>
      </c>
      <c r="G4">
        <v>9901</v>
      </c>
      <c r="H4">
        <v>45229</v>
      </c>
      <c r="I4">
        <v>9498</v>
      </c>
      <c r="J4">
        <v>8773</v>
      </c>
      <c r="K4">
        <v>5184</v>
      </c>
      <c r="L4">
        <v>21577</v>
      </c>
      <c r="M4">
        <v>4735</v>
      </c>
      <c r="N4">
        <v>13</v>
      </c>
      <c r="O4">
        <v>21</v>
      </c>
      <c r="P4">
        <v>21.9</v>
      </c>
    </row>
    <row r="5" spans="1:16" x14ac:dyDescent="0.25">
      <c r="A5" t="s">
        <v>285</v>
      </c>
      <c r="B5">
        <v>22743</v>
      </c>
      <c r="C5">
        <v>18036</v>
      </c>
      <c r="D5">
        <v>139238</v>
      </c>
      <c r="E5">
        <v>20943</v>
      </c>
      <c r="F5">
        <v>16390</v>
      </c>
      <c r="G5">
        <v>9805</v>
      </c>
      <c r="H5">
        <v>42197</v>
      </c>
      <c r="I5">
        <v>7386</v>
      </c>
      <c r="J5">
        <v>9140</v>
      </c>
      <c r="K5">
        <v>6545</v>
      </c>
      <c r="L5">
        <v>23504</v>
      </c>
      <c r="M5">
        <v>3674</v>
      </c>
      <c r="N5">
        <v>15</v>
      </c>
      <c r="O5">
        <v>17.5</v>
      </c>
      <c r="P5">
        <v>15.6</v>
      </c>
    </row>
    <row r="6" spans="1:16" x14ac:dyDescent="0.25">
      <c r="A6" t="s">
        <v>286</v>
      </c>
      <c r="B6">
        <v>11831</v>
      </c>
      <c r="C6">
        <v>10634</v>
      </c>
      <c r="D6">
        <v>73216</v>
      </c>
      <c r="E6">
        <v>6700</v>
      </c>
      <c r="F6">
        <v>9403</v>
      </c>
      <c r="G6">
        <v>6179</v>
      </c>
      <c r="H6">
        <v>24289</v>
      </c>
      <c r="I6">
        <v>4384</v>
      </c>
      <c r="J6">
        <v>4889</v>
      </c>
      <c r="K6">
        <v>3104</v>
      </c>
      <c r="L6">
        <v>12743</v>
      </c>
      <c r="M6">
        <v>2398</v>
      </c>
      <c r="N6">
        <v>9.1999999999999993</v>
      </c>
      <c r="O6">
        <v>18</v>
      </c>
      <c r="P6">
        <v>18.8</v>
      </c>
    </row>
    <row r="7" spans="1:16" x14ac:dyDescent="0.25">
      <c r="A7" t="s">
        <v>287</v>
      </c>
      <c r="B7">
        <v>17433</v>
      </c>
      <c r="C7">
        <v>15048</v>
      </c>
      <c r="D7">
        <v>108391</v>
      </c>
      <c r="E7">
        <v>11188</v>
      </c>
      <c r="F7">
        <v>14229</v>
      </c>
      <c r="G7">
        <v>8337</v>
      </c>
      <c r="H7">
        <v>34179</v>
      </c>
      <c r="I7">
        <v>5765</v>
      </c>
      <c r="J7">
        <v>6141</v>
      </c>
      <c r="K7">
        <v>4278</v>
      </c>
      <c r="L7">
        <v>15686</v>
      </c>
      <c r="M7">
        <v>2600</v>
      </c>
      <c r="N7">
        <v>10.3</v>
      </c>
      <c r="O7">
        <v>16.899999999999999</v>
      </c>
      <c r="P7">
        <v>16.600000000000001</v>
      </c>
    </row>
    <row r="8" spans="1:16" x14ac:dyDescent="0.25">
      <c r="A8" t="s">
        <v>288</v>
      </c>
      <c r="B8">
        <v>17157</v>
      </c>
      <c r="C8">
        <v>14577</v>
      </c>
      <c r="D8">
        <v>99857</v>
      </c>
      <c r="E8">
        <v>13648</v>
      </c>
      <c r="F8">
        <v>11884</v>
      </c>
      <c r="G8">
        <v>5976</v>
      </c>
      <c r="H8">
        <v>30511</v>
      </c>
      <c r="I8">
        <v>6859</v>
      </c>
      <c r="J8">
        <v>6054</v>
      </c>
      <c r="K8">
        <v>3683</v>
      </c>
      <c r="L8">
        <v>15401</v>
      </c>
      <c r="M8">
        <v>3487</v>
      </c>
      <c r="N8">
        <v>13.7</v>
      </c>
      <c r="O8">
        <v>22.5</v>
      </c>
      <c r="P8">
        <v>22.6</v>
      </c>
    </row>
    <row r="9" spans="1:16" x14ac:dyDescent="0.25">
      <c r="A9" t="s">
        <v>289</v>
      </c>
      <c r="B9">
        <v>12818</v>
      </c>
      <c r="C9">
        <v>11272</v>
      </c>
      <c r="D9">
        <v>76661</v>
      </c>
      <c r="E9">
        <v>7681</v>
      </c>
      <c r="F9">
        <v>10445</v>
      </c>
      <c r="G9">
        <v>6239</v>
      </c>
      <c r="H9">
        <v>27054</v>
      </c>
      <c r="I9">
        <v>5035</v>
      </c>
      <c r="J9">
        <v>5732</v>
      </c>
      <c r="K9">
        <v>3893</v>
      </c>
      <c r="L9">
        <v>15754</v>
      </c>
      <c r="M9">
        <v>3139</v>
      </c>
      <c r="N9">
        <v>10</v>
      </c>
      <c r="O9">
        <v>18.600000000000001</v>
      </c>
      <c r="P9">
        <v>19.899999999999999</v>
      </c>
    </row>
    <row r="10" spans="1:16" x14ac:dyDescent="0.25">
      <c r="A10" t="s">
        <v>290</v>
      </c>
      <c r="B10">
        <v>25780</v>
      </c>
      <c r="C10">
        <v>22388</v>
      </c>
      <c r="D10">
        <v>159614</v>
      </c>
      <c r="E10">
        <v>17672</v>
      </c>
      <c r="F10">
        <v>19676</v>
      </c>
      <c r="G10">
        <v>12188</v>
      </c>
      <c r="H10">
        <v>49943</v>
      </c>
      <c r="I10">
        <v>8171</v>
      </c>
      <c r="J10">
        <v>10987</v>
      </c>
      <c r="K10">
        <v>7647</v>
      </c>
      <c r="L10">
        <v>28643</v>
      </c>
      <c r="M10">
        <v>5043</v>
      </c>
      <c r="N10">
        <v>11.1</v>
      </c>
      <c r="O10">
        <v>16.399999999999999</v>
      </c>
      <c r="P10">
        <v>17.600000000000001</v>
      </c>
    </row>
    <row r="11" spans="1:16" x14ac:dyDescent="0.25">
      <c r="A11" t="s">
        <v>291</v>
      </c>
      <c r="B11">
        <v>998</v>
      </c>
      <c r="C11">
        <v>853</v>
      </c>
      <c r="D11">
        <v>5159</v>
      </c>
      <c r="E11">
        <v>526</v>
      </c>
      <c r="F11">
        <v>562</v>
      </c>
      <c r="G11">
        <v>325</v>
      </c>
      <c r="H11">
        <v>1468</v>
      </c>
      <c r="I11">
        <v>236</v>
      </c>
      <c r="J11">
        <v>365</v>
      </c>
      <c r="K11">
        <v>241</v>
      </c>
      <c r="L11">
        <v>1045</v>
      </c>
      <c r="M11">
        <v>207</v>
      </c>
      <c r="N11">
        <v>10.199999999999999</v>
      </c>
      <c r="O11">
        <v>16.100000000000001</v>
      </c>
      <c r="P11">
        <v>19.8</v>
      </c>
    </row>
    <row r="12" spans="1:16" x14ac:dyDescent="0.25">
      <c r="A12" t="s">
        <v>292</v>
      </c>
      <c r="B12">
        <v>2961</v>
      </c>
      <c r="C12">
        <v>2121</v>
      </c>
      <c r="D12">
        <v>16395</v>
      </c>
      <c r="E12">
        <v>2993</v>
      </c>
      <c r="F12">
        <v>2061</v>
      </c>
      <c r="G12">
        <v>740</v>
      </c>
      <c r="H12">
        <v>5128</v>
      </c>
      <c r="I12">
        <v>1458</v>
      </c>
      <c r="J12">
        <v>1009</v>
      </c>
      <c r="K12">
        <v>457</v>
      </c>
      <c r="L12">
        <v>2661</v>
      </c>
      <c r="M12">
        <v>621</v>
      </c>
      <c r="N12">
        <v>18.3</v>
      </c>
      <c r="O12">
        <v>28.4</v>
      </c>
      <c r="P12">
        <v>23.3</v>
      </c>
    </row>
    <row r="13" spans="1:16" x14ac:dyDescent="0.25">
      <c r="A13" t="s">
        <v>293</v>
      </c>
      <c r="B13">
        <v>11489</v>
      </c>
      <c r="C13">
        <v>8917</v>
      </c>
      <c r="D13">
        <v>63263</v>
      </c>
      <c r="E13">
        <v>9164</v>
      </c>
      <c r="F13">
        <v>5517</v>
      </c>
      <c r="G13">
        <v>2831</v>
      </c>
      <c r="H13">
        <v>13107</v>
      </c>
      <c r="I13">
        <v>2773</v>
      </c>
      <c r="J13">
        <v>2318</v>
      </c>
      <c r="K13">
        <v>1583</v>
      </c>
      <c r="L13">
        <v>6208</v>
      </c>
      <c r="M13">
        <v>1113</v>
      </c>
      <c r="N13">
        <v>14.5</v>
      </c>
      <c r="O13">
        <v>21.2</v>
      </c>
      <c r="P13">
        <v>17.899999999999999</v>
      </c>
    </row>
    <row r="14" spans="1:16" x14ac:dyDescent="0.25">
      <c r="A14" t="s">
        <v>294</v>
      </c>
      <c r="B14">
        <v>2875</v>
      </c>
      <c r="C14">
        <v>2067</v>
      </c>
      <c r="D14">
        <v>14623</v>
      </c>
      <c r="E14">
        <v>3041</v>
      </c>
      <c r="F14">
        <v>1291</v>
      </c>
      <c r="G14">
        <v>392</v>
      </c>
      <c r="H14">
        <v>3356</v>
      </c>
      <c r="I14">
        <v>1201</v>
      </c>
      <c r="J14">
        <v>603</v>
      </c>
      <c r="K14">
        <v>273</v>
      </c>
      <c r="L14">
        <v>1548</v>
      </c>
      <c r="M14">
        <v>522</v>
      </c>
      <c r="N14">
        <v>20.8</v>
      </c>
      <c r="O14">
        <v>35.799999999999997</v>
      </c>
      <c r="P14">
        <v>33.700000000000003</v>
      </c>
    </row>
    <row r="15" spans="1:16" x14ac:dyDescent="0.25">
      <c r="A15" t="s">
        <v>295</v>
      </c>
      <c r="B15">
        <v>6775</v>
      </c>
      <c r="C15">
        <v>5422</v>
      </c>
      <c r="D15">
        <v>37185</v>
      </c>
      <c r="E15">
        <v>5572</v>
      </c>
      <c r="F15">
        <v>4016</v>
      </c>
      <c r="G15">
        <v>2078</v>
      </c>
      <c r="H15">
        <v>9967</v>
      </c>
      <c r="I15">
        <v>2467</v>
      </c>
      <c r="J15">
        <v>1835</v>
      </c>
      <c r="K15">
        <v>1100</v>
      </c>
      <c r="L15">
        <v>4615</v>
      </c>
      <c r="M15">
        <v>1180</v>
      </c>
      <c r="N15">
        <v>15</v>
      </c>
      <c r="O15">
        <v>24.8</v>
      </c>
      <c r="P15">
        <v>25.6</v>
      </c>
    </row>
    <row r="16" spans="1:16" x14ac:dyDescent="0.25">
      <c r="A16" t="s">
        <v>296</v>
      </c>
      <c r="B16">
        <v>1864</v>
      </c>
      <c r="C16">
        <v>1478</v>
      </c>
      <c r="D16">
        <v>10488</v>
      </c>
      <c r="E16">
        <v>1505</v>
      </c>
      <c r="F16">
        <v>1359</v>
      </c>
      <c r="G16">
        <v>726</v>
      </c>
      <c r="H16">
        <v>3428</v>
      </c>
      <c r="I16">
        <v>695</v>
      </c>
      <c r="J16">
        <v>580</v>
      </c>
      <c r="K16">
        <v>362</v>
      </c>
      <c r="L16">
        <v>1508</v>
      </c>
      <c r="M16">
        <v>315</v>
      </c>
      <c r="N16">
        <v>14.3</v>
      </c>
      <c r="O16">
        <v>20.3</v>
      </c>
      <c r="P16">
        <v>20.9</v>
      </c>
    </row>
    <row r="17" spans="1:16" x14ac:dyDescent="0.25">
      <c r="A17" t="s">
        <v>297</v>
      </c>
      <c r="B17">
        <v>22772</v>
      </c>
      <c r="C17">
        <v>19470</v>
      </c>
      <c r="D17">
        <v>138050</v>
      </c>
      <c r="E17">
        <v>12202</v>
      </c>
      <c r="F17">
        <v>19653</v>
      </c>
      <c r="G17">
        <v>13474</v>
      </c>
      <c r="H17">
        <v>52634</v>
      </c>
      <c r="I17">
        <v>8083</v>
      </c>
      <c r="J17">
        <v>13278</v>
      </c>
      <c r="K17">
        <v>9220</v>
      </c>
      <c r="L17">
        <v>38023</v>
      </c>
      <c r="M17">
        <v>6352</v>
      </c>
      <c r="N17">
        <v>8.8000000000000007</v>
      </c>
      <c r="O17">
        <v>15.4</v>
      </c>
      <c r="P17">
        <v>16.7</v>
      </c>
    </row>
    <row r="18" spans="1:16" x14ac:dyDescent="0.25">
      <c r="A18" t="s">
        <v>298</v>
      </c>
      <c r="B18">
        <v>4883</v>
      </c>
      <c r="C18">
        <v>3458</v>
      </c>
      <c r="D18">
        <v>26688</v>
      </c>
      <c r="E18">
        <v>3600</v>
      </c>
      <c r="F18">
        <v>3279</v>
      </c>
      <c r="G18">
        <v>1907</v>
      </c>
      <c r="H18">
        <v>8196</v>
      </c>
      <c r="I18">
        <v>1553</v>
      </c>
      <c r="J18">
        <v>1579</v>
      </c>
      <c r="K18">
        <v>1020</v>
      </c>
      <c r="L18">
        <v>4135</v>
      </c>
      <c r="M18">
        <v>947</v>
      </c>
      <c r="N18">
        <v>13.5</v>
      </c>
      <c r="O18">
        <v>18.899999999999999</v>
      </c>
      <c r="P18">
        <v>22.9</v>
      </c>
    </row>
    <row r="19" spans="1:16" x14ac:dyDescent="0.25">
      <c r="A19" t="s">
        <v>299</v>
      </c>
      <c r="B19">
        <v>6767</v>
      </c>
      <c r="C19">
        <v>4361</v>
      </c>
      <c r="D19">
        <v>37538</v>
      </c>
      <c r="E19">
        <v>9902</v>
      </c>
      <c r="F19">
        <v>4152</v>
      </c>
      <c r="G19">
        <v>1755</v>
      </c>
      <c r="H19">
        <v>10308</v>
      </c>
      <c r="I19">
        <v>2784</v>
      </c>
      <c r="J19">
        <v>2080</v>
      </c>
      <c r="K19">
        <v>1131</v>
      </c>
      <c r="L19">
        <v>5017</v>
      </c>
      <c r="M19">
        <v>1185</v>
      </c>
      <c r="N19">
        <v>26.4</v>
      </c>
      <c r="O19">
        <v>27</v>
      </c>
      <c r="P19">
        <v>23.6</v>
      </c>
    </row>
    <row r="20" spans="1:16" x14ac:dyDescent="0.25">
      <c r="A20" t="s">
        <v>300</v>
      </c>
      <c r="B20">
        <v>22757</v>
      </c>
      <c r="C20">
        <v>19580</v>
      </c>
      <c r="D20">
        <v>148230</v>
      </c>
      <c r="E20">
        <v>19295</v>
      </c>
      <c r="F20">
        <v>18423</v>
      </c>
      <c r="G20">
        <v>11560</v>
      </c>
      <c r="H20">
        <v>47305</v>
      </c>
      <c r="I20">
        <v>8106</v>
      </c>
      <c r="J20">
        <v>9501</v>
      </c>
      <c r="K20">
        <v>6465</v>
      </c>
      <c r="L20">
        <v>23976</v>
      </c>
      <c r="M20">
        <v>4459</v>
      </c>
      <c r="N20">
        <v>13</v>
      </c>
      <c r="O20">
        <v>17.100000000000001</v>
      </c>
      <c r="P20">
        <v>18.600000000000001</v>
      </c>
    </row>
    <row r="21" spans="1:16" x14ac:dyDescent="0.25">
      <c r="A21" t="s">
        <v>301</v>
      </c>
      <c r="B21">
        <v>11697</v>
      </c>
      <c r="C21">
        <v>9024</v>
      </c>
      <c r="D21">
        <v>68838</v>
      </c>
      <c r="E21">
        <v>10390</v>
      </c>
      <c r="F21">
        <v>7830</v>
      </c>
      <c r="G21">
        <v>4073</v>
      </c>
      <c r="H21">
        <v>19050</v>
      </c>
      <c r="I21">
        <v>4294</v>
      </c>
      <c r="J21">
        <v>3723</v>
      </c>
      <c r="K21">
        <v>2076</v>
      </c>
      <c r="L21">
        <v>9808</v>
      </c>
      <c r="M21">
        <v>2362</v>
      </c>
      <c r="N21">
        <v>15.1</v>
      </c>
      <c r="O21">
        <v>22.5</v>
      </c>
      <c r="P21">
        <v>24.1</v>
      </c>
    </row>
    <row r="22" spans="1:16" x14ac:dyDescent="0.25">
      <c r="A22" t="s">
        <v>302</v>
      </c>
      <c r="B22">
        <v>7911</v>
      </c>
      <c r="C22">
        <v>4541</v>
      </c>
      <c r="D22">
        <v>40612</v>
      </c>
      <c r="E22">
        <v>11271</v>
      </c>
      <c r="F22">
        <v>3412</v>
      </c>
      <c r="G22">
        <v>838</v>
      </c>
      <c r="H22">
        <v>8311</v>
      </c>
      <c r="I22">
        <v>3811</v>
      </c>
      <c r="J22">
        <v>1610</v>
      </c>
      <c r="K22">
        <v>580</v>
      </c>
      <c r="L22">
        <v>3799</v>
      </c>
      <c r="M22">
        <v>1418</v>
      </c>
      <c r="N22">
        <v>27.8</v>
      </c>
      <c r="O22">
        <v>45.9</v>
      </c>
      <c r="P22">
        <v>37.299999999999997</v>
      </c>
    </row>
    <row r="23" spans="1:16" x14ac:dyDescent="0.25">
      <c r="A23" t="s">
        <v>303</v>
      </c>
      <c r="B23">
        <v>27800</v>
      </c>
      <c r="C23">
        <v>23589</v>
      </c>
      <c r="D23">
        <v>165114</v>
      </c>
      <c r="E23">
        <v>22770</v>
      </c>
      <c r="F23">
        <v>19662</v>
      </c>
      <c r="G23">
        <v>10675</v>
      </c>
      <c r="H23">
        <v>50573</v>
      </c>
      <c r="I23">
        <v>10658</v>
      </c>
      <c r="J23">
        <v>10757</v>
      </c>
      <c r="K23">
        <v>5971</v>
      </c>
      <c r="L23">
        <v>27693</v>
      </c>
      <c r="M23">
        <v>7929</v>
      </c>
      <c r="N23">
        <v>13.8</v>
      </c>
      <c r="O23">
        <v>21.1</v>
      </c>
      <c r="P23">
        <v>28.6</v>
      </c>
    </row>
    <row r="24" spans="1:16" x14ac:dyDescent="0.25">
      <c r="A24" t="s">
        <v>304</v>
      </c>
      <c r="B24">
        <v>5007</v>
      </c>
      <c r="C24">
        <v>3167</v>
      </c>
      <c r="D24">
        <v>26641</v>
      </c>
      <c r="E24">
        <v>6248</v>
      </c>
      <c r="F24">
        <v>2144</v>
      </c>
      <c r="G24">
        <v>679</v>
      </c>
      <c r="H24">
        <v>5166</v>
      </c>
      <c r="I24">
        <v>1715</v>
      </c>
      <c r="J24">
        <v>864</v>
      </c>
      <c r="K24">
        <v>453</v>
      </c>
      <c r="L24">
        <v>2377</v>
      </c>
      <c r="M24">
        <v>584</v>
      </c>
      <c r="N24">
        <v>23.5</v>
      </c>
      <c r="O24">
        <v>33.200000000000003</v>
      </c>
      <c r="P24">
        <v>24.6</v>
      </c>
    </row>
    <row r="25" spans="1:16" x14ac:dyDescent="0.25">
      <c r="A25" t="s">
        <v>305</v>
      </c>
      <c r="B25">
        <v>12198</v>
      </c>
      <c r="C25">
        <v>9425</v>
      </c>
      <c r="D25">
        <v>72639</v>
      </c>
      <c r="E25">
        <v>10808</v>
      </c>
      <c r="F25">
        <v>9755</v>
      </c>
      <c r="G25">
        <v>6706</v>
      </c>
      <c r="H25">
        <v>24992</v>
      </c>
      <c r="I25">
        <v>3204</v>
      </c>
      <c r="J25">
        <v>5155</v>
      </c>
      <c r="K25">
        <v>3778</v>
      </c>
      <c r="L25">
        <v>13206</v>
      </c>
      <c r="M25">
        <v>2244</v>
      </c>
      <c r="N25">
        <v>14.9</v>
      </c>
      <c r="O25">
        <v>12.8</v>
      </c>
      <c r="P25">
        <v>17</v>
      </c>
    </row>
    <row r="26" spans="1:16" x14ac:dyDescent="0.25">
      <c r="A26" t="s">
        <v>306</v>
      </c>
      <c r="B26">
        <v>17406</v>
      </c>
      <c r="C26">
        <v>16155</v>
      </c>
      <c r="D26">
        <v>114861</v>
      </c>
      <c r="E26">
        <v>9820</v>
      </c>
      <c r="F26">
        <v>15982</v>
      </c>
      <c r="G26">
        <v>10388</v>
      </c>
      <c r="H26">
        <v>44629</v>
      </c>
      <c r="I26">
        <v>7717</v>
      </c>
      <c r="J26">
        <v>10576</v>
      </c>
      <c r="K26">
        <v>7316</v>
      </c>
      <c r="L26">
        <v>28684</v>
      </c>
      <c r="M26">
        <v>4942</v>
      </c>
      <c r="N26">
        <v>8.5</v>
      </c>
      <c r="O26">
        <v>17.3</v>
      </c>
      <c r="P26">
        <v>17.2</v>
      </c>
    </row>
    <row r="27" spans="1:16" x14ac:dyDescent="0.25">
      <c r="A27" t="s">
        <v>307</v>
      </c>
      <c r="B27">
        <v>19870</v>
      </c>
      <c r="C27">
        <v>14736</v>
      </c>
      <c r="D27">
        <v>113591</v>
      </c>
      <c r="E27">
        <v>16601</v>
      </c>
      <c r="F27">
        <v>12117</v>
      </c>
      <c r="G27">
        <v>6579</v>
      </c>
      <c r="H27">
        <v>29928</v>
      </c>
      <c r="I27">
        <v>6371</v>
      </c>
      <c r="J27">
        <v>5336</v>
      </c>
      <c r="K27">
        <v>2828</v>
      </c>
      <c r="L27">
        <v>13687</v>
      </c>
      <c r="M27">
        <v>4284</v>
      </c>
      <c r="N27">
        <v>14.6</v>
      </c>
      <c r="O27">
        <v>21.3</v>
      </c>
      <c r="P27">
        <v>31.3</v>
      </c>
    </row>
    <row r="28" spans="1:16" x14ac:dyDescent="0.25">
      <c r="A28" t="s">
        <v>266</v>
      </c>
      <c r="B28">
        <v>339878</v>
      </c>
      <c r="C28">
        <v>277974</v>
      </c>
      <c r="D28">
        <v>2023473</v>
      </c>
      <c r="E28">
        <v>266674</v>
      </c>
      <c r="F28">
        <v>243427</v>
      </c>
      <c r="G28">
        <v>141302</v>
      </c>
      <c r="H28">
        <v>618968</v>
      </c>
      <c r="I28">
        <v>119244</v>
      </c>
      <c r="J28">
        <v>128177</v>
      </c>
      <c r="K28">
        <v>83196</v>
      </c>
      <c r="L28">
        <v>334712</v>
      </c>
      <c r="M28">
        <v>67832</v>
      </c>
      <c r="N28">
        <v>13.2</v>
      </c>
      <c r="O28">
        <v>19.3</v>
      </c>
      <c r="P28">
        <v>20.3</v>
      </c>
    </row>
    <row r="29" spans="1:16" x14ac:dyDescent="0.25">
      <c r="A29" t="s">
        <v>308</v>
      </c>
      <c r="B29">
        <v>57097</v>
      </c>
      <c r="C29">
        <v>47401</v>
      </c>
      <c r="D29">
        <v>334805</v>
      </c>
      <c r="E29">
        <v>34790</v>
      </c>
      <c r="F29">
        <v>46575</v>
      </c>
      <c r="G29">
        <v>29597</v>
      </c>
      <c r="H29">
        <v>123698</v>
      </c>
      <c r="I29">
        <v>22118</v>
      </c>
      <c r="J29">
        <v>34908</v>
      </c>
      <c r="K29">
        <v>22830</v>
      </c>
      <c r="L29">
        <v>97538</v>
      </c>
      <c r="M29">
        <v>19512</v>
      </c>
      <c r="N29">
        <v>10.4</v>
      </c>
      <c r="O29">
        <v>17.899999999999999</v>
      </c>
      <c r="P29">
        <v>20</v>
      </c>
    </row>
    <row r="30" spans="1:16" x14ac:dyDescent="0.25">
      <c r="A30" t="s">
        <v>309</v>
      </c>
      <c r="B30">
        <v>282781</v>
      </c>
      <c r="C30">
        <v>230573</v>
      </c>
      <c r="D30">
        <v>1688668</v>
      </c>
      <c r="E30">
        <v>231884</v>
      </c>
      <c r="F30">
        <v>196852</v>
      </c>
      <c r="G30">
        <v>111705</v>
      </c>
      <c r="H30">
        <v>495270</v>
      </c>
      <c r="I30">
        <v>97126</v>
      </c>
      <c r="J30">
        <v>93269</v>
      </c>
      <c r="K30">
        <v>60366</v>
      </c>
      <c r="L30">
        <v>237174</v>
      </c>
      <c r="M30">
        <v>48320</v>
      </c>
      <c r="N30">
        <v>13.7</v>
      </c>
      <c r="O30">
        <v>19.600000000000001</v>
      </c>
      <c r="P30">
        <v>20.399999999999999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5B9BD5"/>
  </sheetPr>
  <dimension ref="A1:P30"/>
  <sheetViews>
    <sheetView workbookViewId="0"/>
  </sheetViews>
  <sheetFormatPr defaultRowHeight="15" x14ac:dyDescent="0.25"/>
  <cols>
    <col min="1" max="1" width="27.42578125" customWidth="1"/>
    <col min="2" max="2" width="10.42578125" customWidth="1"/>
    <col min="3" max="3" width="10.7109375" customWidth="1"/>
    <col min="4" max="4" width="10.42578125" customWidth="1"/>
    <col min="5" max="5" width="10.7109375" customWidth="1"/>
    <col min="6" max="6" width="11.140625" customWidth="1"/>
    <col min="7" max="7" width="10.85546875" customWidth="1"/>
    <col min="8" max="8" width="10.140625" customWidth="1"/>
    <col min="9" max="9" width="10" customWidth="1"/>
    <col min="10" max="10" width="10.140625" customWidth="1"/>
    <col min="11" max="11" width="10" customWidth="1"/>
    <col min="13" max="13" width="10.140625" customWidth="1"/>
    <col min="14" max="14" width="10" customWidth="1"/>
    <col min="16" max="16" width="10.140625" customWidth="1"/>
  </cols>
  <sheetData>
    <row r="1" spans="1:16" x14ac:dyDescent="0.25">
      <c r="A1" s="29" t="s">
        <v>709</v>
      </c>
      <c r="B1" s="29" t="s">
        <v>406</v>
      </c>
      <c r="C1" s="29"/>
      <c r="D1" s="29" t="s">
        <v>407</v>
      </c>
      <c r="E1" s="29"/>
      <c r="F1" s="29" t="s">
        <v>408</v>
      </c>
      <c r="G1" s="29"/>
      <c r="H1" s="29" t="s">
        <v>409</v>
      </c>
      <c r="I1" s="29"/>
      <c r="J1" s="29" t="s">
        <v>410</v>
      </c>
      <c r="K1" s="29"/>
      <c r="L1" s="29" t="s">
        <v>411</v>
      </c>
      <c r="M1" s="29"/>
      <c r="N1" s="29" t="s">
        <v>412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418</v>
      </c>
      <c r="N2" t="s">
        <v>346</v>
      </c>
      <c r="O2" t="s">
        <v>419</v>
      </c>
      <c r="P2" t="s">
        <v>420</v>
      </c>
    </row>
    <row r="3" spans="1:16" x14ac:dyDescent="0.25">
      <c r="A3" t="s">
        <v>283</v>
      </c>
      <c r="B3">
        <v>7969</v>
      </c>
      <c r="C3">
        <v>6600</v>
      </c>
      <c r="D3">
        <v>46850</v>
      </c>
      <c r="E3">
        <v>4764</v>
      </c>
      <c r="F3">
        <v>5995</v>
      </c>
      <c r="G3">
        <v>3868</v>
      </c>
      <c r="H3">
        <v>14931</v>
      </c>
      <c r="I3">
        <v>2306</v>
      </c>
      <c r="J3">
        <v>3084</v>
      </c>
      <c r="K3">
        <v>2403</v>
      </c>
      <c r="L3">
        <v>7627</v>
      </c>
      <c r="M3">
        <v>962</v>
      </c>
      <c r="N3">
        <v>10.199999999999999</v>
      </c>
      <c r="O3">
        <v>15.4</v>
      </c>
      <c r="P3">
        <v>12.6</v>
      </c>
    </row>
    <row r="4" spans="1:16" x14ac:dyDescent="0.25">
      <c r="A4" t="s">
        <v>284</v>
      </c>
      <c r="B4">
        <v>13889</v>
      </c>
      <c r="C4">
        <v>11646</v>
      </c>
      <c r="D4">
        <v>80840</v>
      </c>
      <c r="E4">
        <v>9265</v>
      </c>
      <c r="F4">
        <v>9803</v>
      </c>
      <c r="G4">
        <v>5570</v>
      </c>
      <c r="H4">
        <v>24067</v>
      </c>
      <c r="I4">
        <v>4546</v>
      </c>
      <c r="J4">
        <v>4934</v>
      </c>
      <c r="K4">
        <v>3053</v>
      </c>
      <c r="L4">
        <v>12102</v>
      </c>
      <c r="M4">
        <v>2461</v>
      </c>
      <c r="N4">
        <v>11.5</v>
      </c>
      <c r="O4">
        <v>18.899999999999999</v>
      </c>
      <c r="P4">
        <v>20.3</v>
      </c>
    </row>
    <row r="5" spans="1:16" x14ac:dyDescent="0.25">
      <c r="A5" t="s">
        <v>285</v>
      </c>
      <c r="B5">
        <v>10789</v>
      </c>
      <c r="C5">
        <v>8650</v>
      </c>
      <c r="D5">
        <v>66191</v>
      </c>
      <c r="E5">
        <v>9468</v>
      </c>
      <c r="F5">
        <v>8771</v>
      </c>
      <c r="G5">
        <v>5623</v>
      </c>
      <c r="H5">
        <v>22776</v>
      </c>
      <c r="I5">
        <v>3516</v>
      </c>
      <c r="J5">
        <v>5196</v>
      </c>
      <c r="K5">
        <v>3922</v>
      </c>
      <c r="L5">
        <v>13461</v>
      </c>
      <c r="M5">
        <v>1804</v>
      </c>
      <c r="N5">
        <v>14.3</v>
      </c>
      <c r="O5">
        <v>15.4</v>
      </c>
      <c r="P5">
        <v>13.4</v>
      </c>
    </row>
    <row r="6" spans="1:16" x14ac:dyDescent="0.25">
      <c r="A6" t="s">
        <v>286</v>
      </c>
      <c r="B6">
        <v>5728</v>
      </c>
      <c r="C6">
        <v>5244</v>
      </c>
      <c r="D6">
        <v>35572</v>
      </c>
      <c r="E6">
        <v>2905</v>
      </c>
      <c r="F6">
        <v>5032</v>
      </c>
      <c r="G6">
        <v>3381</v>
      </c>
      <c r="H6">
        <v>13147</v>
      </c>
      <c r="I6">
        <v>2061</v>
      </c>
      <c r="J6">
        <v>2827</v>
      </c>
      <c r="K6">
        <v>1883</v>
      </c>
      <c r="L6">
        <v>7221</v>
      </c>
      <c r="M6">
        <v>1164</v>
      </c>
      <c r="N6">
        <v>8.1999999999999993</v>
      </c>
      <c r="O6">
        <v>15.7</v>
      </c>
      <c r="P6">
        <v>16.100000000000001</v>
      </c>
    </row>
    <row r="7" spans="1:16" x14ac:dyDescent="0.25">
      <c r="A7" t="s">
        <v>287</v>
      </c>
      <c r="B7">
        <v>8302</v>
      </c>
      <c r="C7">
        <v>7291</v>
      </c>
      <c r="D7">
        <v>52343</v>
      </c>
      <c r="E7">
        <v>4979</v>
      </c>
      <c r="F7">
        <v>7472</v>
      </c>
      <c r="G7">
        <v>4668</v>
      </c>
      <c r="H7">
        <v>17900</v>
      </c>
      <c r="I7">
        <v>2561</v>
      </c>
      <c r="J7">
        <v>3321</v>
      </c>
      <c r="K7">
        <v>2486</v>
      </c>
      <c r="L7">
        <v>8368</v>
      </c>
      <c r="M7">
        <v>1194</v>
      </c>
      <c r="N7">
        <v>9.5</v>
      </c>
      <c r="O7">
        <v>14.3</v>
      </c>
      <c r="P7">
        <v>14.3</v>
      </c>
    </row>
    <row r="8" spans="1:16" x14ac:dyDescent="0.25">
      <c r="A8" t="s">
        <v>288</v>
      </c>
      <c r="B8">
        <v>8201</v>
      </c>
      <c r="C8">
        <v>7125</v>
      </c>
      <c r="D8">
        <v>48731</v>
      </c>
      <c r="E8">
        <v>6089</v>
      </c>
      <c r="F8">
        <v>6366</v>
      </c>
      <c r="G8">
        <v>3380</v>
      </c>
      <c r="H8">
        <v>16565</v>
      </c>
      <c r="I8">
        <v>3273</v>
      </c>
      <c r="J8">
        <v>3436</v>
      </c>
      <c r="K8">
        <v>2196</v>
      </c>
      <c r="L8">
        <v>8722</v>
      </c>
      <c r="M8">
        <v>1753</v>
      </c>
      <c r="N8">
        <v>12.5</v>
      </c>
      <c r="O8">
        <v>19.8</v>
      </c>
      <c r="P8">
        <v>20.100000000000001</v>
      </c>
    </row>
    <row r="9" spans="1:16" x14ac:dyDescent="0.25">
      <c r="A9" t="s">
        <v>289</v>
      </c>
      <c r="B9">
        <v>5908</v>
      </c>
      <c r="C9">
        <v>5270</v>
      </c>
      <c r="D9">
        <v>36421</v>
      </c>
      <c r="E9">
        <v>3232</v>
      </c>
      <c r="F9">
        <v>5445</v>
      </c>
      <c r="G9">
        <v>3459</v>
      </c>
      <c r="H9">
        <v>14052</v>
      </c>
      <c r="I9">
        <v>2190</v>
      </c>
      <c r="J9">
        <v>3100</v>
      </c>
      <c r="K9">
        <v>2220</v>
      </c>
      <c r="L9">
        <v>8344</v>
      </c>
      <c r="M9">
        <v>1441</v>
      </c>
      <c r="N9">
        <v>8.9</v>
      </c>
      <c r="O9">
        <v>15.6</v>
      </c>
      <c r="P9">
        <v>17.3</v>
      </c>
    </row>
    <row r="10" spans="1:16" x14ac:dyDescent="0.25">
      <c r="A10" t="s">
        <v>290</v>
      </c>
      <c r="B10">
        <v>12189</v>
      </c>
      <c r="C10">
        <v>10875</v>
      </c>
      <c r="D10">
        <v>75340</v>
      </c>
      <c r="E10">
        <v>6858</v>
      </c>
      <c r="F10">
        <v>10286</v>
      </c>
      <c r="G10">
        <v>6815</v>
      </c>
      <c r="H10">
        <v>26124</v>
      </c>
      <c r="I10">
        <v>3633</v>
      </c>
      <c r="J10">
        <v>6160</v>
      </c>
      <c r="K10">
        <v>4575</v>
      </c>
      <c r="L10">
        <v>16004</v>
      </c>
      <c r="M10">
        <v>2251</v>
      </c>
      <c r="N10">
        <v>9.1</v>
      </c>
      <c r="O10">
        <v>13.9</v>
      </c>
      <c r="P10">
        <v>14.1</v>
      </c>
    </row>
    <row r="11" spans="1:16" x14ac:dyDescent="0.25">
      <c r="A11" t="s">
        <v>291</v>
      </c>
      <c r="B11">
        <v>471</v>
      </c>
      <c r="C11">
        <v>419</v>
      </c>
      <c r="D11">
        <v>2521</v>
      </c>
      <c r="E11">
        <v>223</v>
      </c>
      <c r="F11">
        <v>296</v>
      </c>
      <c r="G11">
        <v>174</v>
      </c>
      <c r="H11">
        <v>761</v>
      </c>
      <c r="I11">
        <v>112</v>
      </c>
      <c r="J11">
        <v>179</v>
      </c>
      <c r="K11">
        <v>123</v>
      </c>
      <c r="L11">
        <v>543</v>
      </c>
      <c r="M11">
        <v>89</v>
      </c>
      <c r="N11">
        <v>8.8000000000000007</v>
      </c>
      <c r="O11">
        <v>14.7</v>
      </c>
      <c r="P11">
        <v>16.399999999999999</v>
      </c>
    </row>
    <row r="12" spans="1:16" x14ac:dyDescent="0.25">
      <c r="A12" t="s">
        <v>292</v>
      </c>
      <c r="B12">
        <v>1401</v>
      </c>
      <c r="C12">
        <v>1045</v>
      </c>
      <c r="D12">
        <v>7885</v>
      </c>
      <c r="E12">
        <v>1353</v>
      </c>
      <c r="F12">
        <v>1054</v>
      </c>
      <c r="G12">
        <v>423</v>
      </c>
      <c r="H12">
        <v>2628</v>
      </c>
      <c r="I12">
        <v>633</v>
      </c>
      <c r="J12">
        <v>522</v>
      </c>
      <c r="K12">
        <v>261</v>
      </c>
      <c r="L12">
        <v>1322</v>
      </c>
      <c r="M12">
        <v>222</v>
      </c>
      <c r="N12">
        <v>17.2</v>
      </c>
      <c r="O12">
        <v>24.1</v>
      </c>
      <c r="P12">
        <v>16.8</v>
      </c>
    </row>
    <row r="13" spans="1:16" x14ac:dyDescent="0.25">
      <c r="A13" t="s">
        <v>293</v>
      </c>
      <c r="B13">
        <v>5332</v>
      </c>
      <c r="C13">
        <v>4289</v>
      </c>
      <c r="D13">
        <v>30449</v>
      </c>
      <c r="E13">
        <v>4148</v>
      </c>
      <c r="F13">
        <v>2895</v>
      </c>
      <c r="G13">
        <v>1627</v>
      </c>
      <c r="H13">
        <v>6999</v>
      </c>
      <c r="I13">
        <v>1270</v>
      </c>
      <c r="J13">
        <v>1273</v>
      </c>
      <c r="K13">
        <v>923</v>
      </c>
      <c r="L13">
        <v>3427</v>
      </c>
      <c r="M13">
        <v>505</v>
      </c>
      <c r="N13">
        <v>13.6</v>
      </c>
      <c r="O13">
        <v>18.100000000000001</v>
      </c>
      <c r="P13">
        <v>14.7</v>
      </c>
    </row>
    <row r="14" spans="1:16" x14ac:dyDescent="0.25">
      <c r="A14" t="s">
        <v>294</v>
      </c>
      <c r="B14">
        <v>1412</v>
      </c>
      <c r="C14">
        <v>1058</v>
      </c>
      <c r="D14">
        <v>7285</v>
      </c>
      <c r="E14">
        <v>1379</v>
      </c>
      <c r="F14">
        <v>677</v>
      </c>
      <c r="G14">
        <v>223</v>
      </c>
      <c r="H14">
        <v>1770</v>
      </c>
      <c r="I14">
        <v>577</v>
      </c>
      <c r="J14">
        <v>334</v>
      </c>
      <c r="K14">
        <v>173</v>
      </c>
      <c r="L14">
        <v>851</v>
      </c>
      <c r="M14">
        <v>247</v>
      </c>
      <c r="N14">
        <v>18.899999999999999</v>
      </c>
      <c r="O14">
        <v>32.6</v>
      </c>
      <c r="P14">
        <v>29</v>
      </c>
    </row>
    <row r="15" spans="1:16" x14ac:dyDescent="0.25">
      <c r="A15" t="s">
        <v>295</v>
      </c>
      <c r="B15">
        <v>3192</v>
      </c>
      <c r="C15">
        <v>2610</v>
      </c>
      <c r="D15">
        <v>17719</v>
      </c>
      <c r="E15">
        <v>2417</v>
      </c>
      <c r="F15">
        <v>2159</v>
      </c>
      <c r="G15">
        <v>1202</v>
      </c>
      <c r="H15">
        <v>5142</v>
      </c>
      <c r="I15">
        <v>1053</v>
      </c>
      <c r="J15">
        <v>971</v>
      </c>
      <c r="K15">
        <v>616</v>
      </c>
      <c r="L15">
        <v>2450</v>
      </c>
      <c r="M15">
        <v>543</v>
      </c>
      <c r="N15">
        <v>13.6</v>
      </c>
      <c r="O15">
        <v>20.5</v>
      </c>
      <c r="P15">
        <v>22.2</v>
      </c>
    </row>
    <row r="16" spans="1:16" x14ac:dyDescent="0.25">
      <c r="A16" t="s">
        <v>296</v>
      </c>
      <c r="B16">
        <v>891</v>
      </c>
      <c r="C16">
        <v>733</v>
      </c>
      <c r="D16">
        <v>4990</v>
      </c>
      <c r="E16">
        <v>628</v>
      </c>
      <c r="F16">
        <v>732</v>
      </c>
      <c r="G16">
        <v>430</v>
      </c>
      <c r="H16">
        <v>1802</v>
      </c>
      <c r="I16">
        <v>290</v>
      </c>
      <c r="J16">
        <v>322</v>
      </c>
      <c r="K16">
        <v>233</v>
      </c>
      <c r="L16">
        <v>830</v>
      </c>
      <c r="M16">
        <v>134</v>
      </c>
      <c r="N16">
        <v>12.6</v>
      </c>
      <c r="O16">
        <v>16.100000000000001</v>
      </c>
      <c r="P16">
        <v>16.100000000000001</v>
      </c>
    </row>
    <row r="17" spans="1:16" x14ac:dyDescent="0.25">
      <c r="A17" t="s">
        <v>297</v>
      </c>
      <c r="B17">
        <v>10809</v>
      </c>
      <c r="C17">
        <v>9299</v>
      </c>
      <c r="D17">
        <v>65794</v>
      </c>
      <c r="E17">
        <v>4870</v>
      </c>
      <c r="F17">
        <v>9969</v>
      </c>
      <c r="G17">
        <v>7161</v>
      </c>
      <c r="H17">
        <v>26386</v>
      </c>
      <c r="I17">
        <v>3300</v>
      </c>
      <c r="J17">
        <v>6865</v>
      </c>
      <c r="K17">
        <v>4901</v>
      </c>
      <c r="L17">
        <v>19497</v>
      </c>
      <c r="M17">
        <v>2688</v>
      </c>
      <c r="N17">
        <v>7.4</v>
      </c>
      <c r="O17">
        <v>12.5</v>
      </c>
      <c r="P17">
        <v>13.8</v>
      </c>
    </row>
    <row r="18" spans="1:16" x14ac:dyDescent="0.25">
      <c r="A18" t="s">
        <v>298</v>
      </c>
      <c r="B18">
        <v>2437</v>
      </c>
      <c r="C18">
        <v>1737</v>
      </c>
      <c r="D18">
        <v>13052</v>
      </c>
      <c r="E18">
        <v>1545</v>
      </c>
      <c r="F18">
        <v>1641</v>
      </c>
      <c r="G18">
        <v>1072</v>
      </c>
      <c r="H18">
        <v>4126</v>
      </c>
      <c r="I18">
        <v>631</v>
      </c>
      <c r="J18">
        <v>861</v>
      </c>
      <c r="K18">
        <v>588</v>
      </c>
      <c r="L18">
        <v>2208</v>
      </c>
      <c r="M18">
        <v>430</v>
      </c>
      <c r="N18">
        <v>11.8</v>
      </c>
      <c r="O18">
        <v>15.3</v>
      </c>
      <c r="P18">
        <v>19.5</v>
      </c>
    </row>
    <row r="19" spans="1:16" x14ac:dyDescent="0.25">
      <c r="A19" t="s">
        <v>299</v>
      </c>
      <c r="B19">
        <v>3215</v>
      </c>
      <c r="C19">
        <v>2232</v>
      </c>
      <c r="D19">
        <v>18270</v>
      </c>
      <c r="E19">
        <v>4666</v>
      </c>
      <c r="F19">
        <v>2233</v>
      </c>
      <c r="G19">
        <v>1039</v>
      </c>
      <c r="H19">
        <v>5669</v>
      </c>
      <c r="I19">
        <v>1389</v>
      </c>
      <c r="J19">
        <v>1158</v>
      </c>
      <c r="K19">
        <v>645</v>
      </c>
      <c r="L19">
        <v>2717</v>
      </c>
      <c r="M19">
        <v>544</v>
      </c>
      <c r="N19">
        <v>25.5</v>
      </c>
      <c r="O19">
        <v>24.5</v>
      </c>
      <c r="P19">
        <v>20</v>
      </c>
    </row>
    <row r="20" spans="1:16" x14ac:dyDescent="0.25">
      <c r="A20" t="s">
        <v>300</v>
      </c>
      <c r="B20">
        <v>10795</v>
      </c>
      <c r="C20">
        <v>9371</v>
      </c>
      <c r="D20">
        <v>69470</v>
      </c>
      <c r="E20">
        <v>7559</v>
      </c>
      <c r="F20">
        <v>9577</v>
      </c>
      <c r="G20">
        <v>6396</v>
      </c>
      <c r="H20">
        <v>24768</v>
      </c>
      <c r="I20">
        <v>3716</v>
      </c>
      <c r="J20">
        <v>5290</v>
      </c>
      <c r="K20">
        <v>3752</v>
      </c>
      <c r="L20">
        <v>13009</v>
      </c>
      <c r="M20">
        <v>2132</v>
      </c>
      <c r="N20">
        <v>10.9</v>
      </c>
      <c r="O20">
        <v>15</v>
      </c>
      <c r="P20">
        <v>16.399999999999999</v>
      </c>
    </row>
    <row r="21" spans="1:16" x14ac:dyDescent="0.25">
      <c r="A21" t="s">
        <v>301</v>
      </c>
      <c r="B21">
        <v>5601</v>
      </c>
      <c r="C21">
        <v>4342</v>
      </c>
      <c r="D21">
        <v>33507</v>
      </c>
      <c r="E21">
        <v>5017</v>
      </c>
      <c r="F21">
        <v>4059</v>
      </c>
      <c r="G21">
        <v>2249</v>
      </c>
      <c r="H21">
        <v>10044</v>
      </c>
      <c r="I21">
        <v>1967</v>
      </c>
      <c r="J21">
        <v>2099</v>
      </c>
      <c r="K21">
        <v>1238</v>
      </c>
      <c r="L21">
        <v>5381</v>
      </c>
      <c r="M21">
        <v>1161</v>
      </c>
      <c r="N21">
        <v>15</v>
      </c>
      <c r="O21">
        <v>19.600000000000001</v>
      </c>
      <c r="P21">
        <v>21.6</v>
      </c>
    </row>
    <row r="22" spans="1:16" x14ac:dyDescent="0.25">
      <c r="A22" t="s">
        <v>302</v>
      </c>
      <c r="B22">
        <v>3702</v>
      </c>
      <c r="C22">
        <v>2158</v>
      </c>
      <c r="D22">
        <v>19545</v>
      </c>
      <c r="E22">
        <v>5290</v>
      </c>
      <c r="F22">
        <v>1772</v>
      </c>
      <c r="G22">
        <v>512</v>
      </c>
      <c r="H22">
        <v>4208</v>
      </c>
      <c r="I22">
        <v>1742</v>
      </c>
      <c r="J22">
        <v>788</v>
      </c>
      <c r="K22">
        <v>336</v>
      </c>
      <c r="L22">
        <v>1797</v>
      </c>
      <c r="M22">
        <v>548</v>
      </c>
      <c r="N22">
        <v>27.1</v>
      </c>
      <c r="O22">
        <v>41.4</v>
      </c>
      <c r="P22">
        <v>30.5</v>
      </c>
    </row>
    <row r="23" spans="1:16" x14ac:dyDescent="0.25">
      <c r="A23" t="s">
        <v>303</v>
      </c>
      <c r="B23">
        <v>13273</v>
      </c>
      <c r="C23">
        <v>11498</v>
      </c>
      <c r="D23">
        <v>79734</v>
      </c>
      <c r="E23">
        <v>9801</v>
      </c>
      <c r="F23">
        <v>10480</v>
      </c>
      <c r="G23">
        <v>6128</v>
      </c>
      <c r="H23">
        <v>27155</v>
      </c>
      <c r="I23">
        <v>5034</v>
      </c>
      <c r="J23">
        <v>6357</v>
      </c>
      <c r="K23">
        <v>3727</v>
      </c>
      <c r="L23">
        <v>16132</v>
      </c>
      <c r="M23">
        <v>4146</v>
      </c>
      <c r="N23">
        <v>12.3</v>
      </c>
      <c r="O23">
        <v>18.5</v>
      </c>
      <c r="P23">
        <v>25.7</v>
      </c>
    </row>
    <row r="24" spans="1:16" x14ac:dyDescent="0.25">
      <c r="A24" t="s">
        <v>304</v>
      </c>
      <c r="B24">
        <v>2342</v>
      </c>
      <c r="C24">
        <v>1513</v>
      </c>
      <c r="D24">
        <v>13001</v>
      </c>
      <c r="E24">
        <v>2950</v>
      </c>
      <c r="F24">
        <v>1076</v>
      </c>
      <c r="G24">
        <v>377</v>
      </c>
      <c r="H24">
        <v>2720</v>
      </c>
      <c r="I24">
        <v>822</v>
      </c>
      <c r="J24">
        <v>475</v>
      </c>
      <c r="K24">
        <v>302</v>
      </c>
      <c r="L24">
        <v>1242</v>
      </c>
      <c r="M24">
        <v>260</v>
      </c>
      <c r="N24">
        <v>22.7</v>
      </c>
      <c r="O24">
        <v>30.2</v>
      </c>
      <c r="P24">
        <v>20.9</v>
      </c>
    </row>
    <row r="25" spans="1:16" x14ac:dyDescent="0.25">
      <c r="A25" t="s">
        <v>305</v>
      </c>
      <c r="B25">
        <v>5946</v>
      </c>
      <c r="C25">
        <v>4645</v>
      </c>
      <c r="D25">
        <v>35132</v>
      </c>
      <c r="E25">
        <v>4789</v>
      </c>
      <c r="F25">
        <v>4969</v>
      </c>
      <c r="G25">
        <v>3608</v>
      </c>
      <c r="H25">
        <v>12851</v>
      </c>
      <c r="I25">
        <v>1369</v>
      </c>
      <c r="J25">
        <v>2771</v>
      </c>
      <c r="K25">
        <v>2128</v>
      </c>
      <c r="L25">
        <v>6959</v>
      </c>
      <c r="M25">
        <v>975</v>
      </c>
      <c r="N25">
        <v>13.6</v>
      </c>
      <c r="O25">
        <v>10.7</v>
      </c>
      <c r="P25">
        <v>14</v>
      </c>
    </row>
    <row r="26" spans="1:16" x14ac:dyDescent="0.25">
      <c r="A26" t="s">
        <v>306</v>
      </c>
      <c r="B26">
        <v>8321</v>
      </c>
      <c r="C26">
        <v>7794</v>
      </c>
      <c r="D26">
        <v>54820</v>
      </c>
      <c r="E26">
        <v>3998</v>
      </c>
      <c r="F26">
        <v>8345</v>
      </c>
      <c r="G26">
        <v>5661</v>
      </c>
      <c r="H26">
        <v>22761</v>
      </c>
      <c r="I26">
        <v>3291</v>
      </c>
      <c r="J26">
        <v>5743</v>
      </c>
      <c r="K26">
        <v>4130</v>
      </c>
      <c r="L26">
        <v>15302</v>
      </c>
      <c r="M26">
        <v>2287</v>
      </c>
      <c r="N26">
        <v>7.3</v>
      </c>
      <c r="O26">
        <v>14.5</v>
      </c>
      <c r="P26">
        <v>14.9</v>
      </c>
    </row>
    <row r="27" spans="1:16" x14ac:dyDescent="0.25">
      <c r="A27" t="s">
        <v>307</v>
      </c>
      <c r="B27">
        <v>9322</v>
      </c>
      <c r="C27">
        <v>7084</v>
      </c>
      <c r="D27">
        <v>54591</v>
      </c>
      <c r="E27">
        <v>7312</v>
      </c>
      <c r="F27">
        <v>6561</v>
      </c>
      <c r="G27">
        <v>3792</v>
      </c>
      <c r="H27">
        <v>16152</v>
      </c>
      <c r="I27">
        <v>3054</v>
      </c>
      <c r="J27">
        <v>3050</v>
      </c>
      <c r="K27">
        <v>1740</v>
      </c>
      <c r="L27">
        <v>7878</v>
      </c>
      <c r="M27">
        <v>2296</v>
      </c>
      <c r="N27">
        <v>13.4</v>
      </c>
      <c r="O27">
        <v>18.899999999999999</v>
      </c>
      <c r="P27">
        <v>29.1</v>
      </c>
    </row>
    <row r="28" spans="1:16" x14ac:dyDescent="0.25">
      <c r="A28" t="s">
        <v>266</v>
      </c>
      <c r="B28">
        <v>161437</v>
      </c>
      <c r="C28">
        <v>134528</v>
      </c>
      <c r="D28">
        <v>970053</v>
      </c>
      <c r="E28">
        <v>115505</v>
      </c>
      <c r="F28">
        <v>127665</v>
      </c>
      <c r="G28">
        <v>78838</v>
      </c>
      <c r="H28">
        <v>325504</v>
      </c>
      <c r="I28">
        <v>54336</v>
      </c>
      <c r="J28">
        <v>71116</v>
      </c>
      <c r="K28">
        <v>48554</v>
      </c>
      <c r="L28">
        <v>183394</v>
      </c>
      <c r="M28">
        <v>32237</v>
      </c>
      <c r="N28">
        <v>11.9</v>
      </c>
      <c r="O28">
        <v>16.7</v>
      </c>
      <c r="P28">
        <v>17.600000000000001</v>
      </c>
    </row>
    <row r="29" spans="1:16" x14ac:dyDescent="0.25">
      <c r="A29" t="s">
        <v>308</v>
      </c>
      <c r="B29">
        <v>26986</v>
      </c>
      <c r="C29">
        <v>22736</v>
      </c>
      <c r="D29">
        <v>160114</v>
      </c>
      <c r="E29">
        <v>14286</v>
      </c>
      <c r="F29">
        <v>23973</v>
      </c>
      <c r="G29">
        <v>16156</v>
      </c>
      <c r="H29">
        <v>63117</v>
      </c>
      <c r="I29">
        <v>9450</v>
      </c>
      <c r="J29">
        <v>18786</v>
      </c>
      <c r="K29">
        <v>12727</v>
      </c>
      <c r="L29">
        <v>51939</v>
      </c>
      <c r="M29">
        <v>8903</v>
      </c>
      <c r="N29">
        <v>8.9</v>
      </c>
      <c r="O29">
        <v>15</v>
      </c>
      <c r="P29">
        <v>17.100000000000001</v>
      </c>
    </row>
    <row r="30" spans="1:16" x14ac:dyDescent="0.25">
      <c r="A30" t="s">
        <v>309</v>
      </c>
      <c r="B30">
        <v>134451</v>
      </c>
      <c r="C30">
        <v>111792</v>
      </c>
      <c r="D30">
        <v>809939</v>
      </c>
      <c r="E30">
        <v>101219</v>
      </c>
      <c r="F30">
        <v>103692</v>
      </c>
      <c r="G30">
        <v>62682</v>
      </c>
      <c r="H30">
        <v>262387</v>
      </c>
      <c r="I30">
        <v>44886</v>
      </c>
      <c r="J30">
        <v>52330</v>
      </c>
      <c r="K30">
        <v>35827</v>
      </c>
      <c r="L30">
        <v>131455</v>
      </c>
      <c r="M30">
        <v>23334</v>
      </c>
      <c r="N30">
        <v>12.5</v>
      </c>
      <c r="O30">
        <v>17.100000000000001</v>
      </c>
      <c r="P30">
        <v>17.8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5B9BD5"/>
  </sheetPr>
  <dimension ref="A1:K30"/>
  <sheetViews>
    <sheetView workbookViewId="0"/>
  </sheetViews>
  <sheetFormatPr defaultRowHeight="15" x14ac:dyDescent="0.25"/>
  <cols>
    <col min="1" max="1" width="27.28515625" customWidth="1"/>
    <col min="2" max="2" width="15.28515625" customWidth="1"/>
    <col min="3" max="3" width="15.85546875" customWidth="1"/>
    <col min="4" max="4" width="15.42578125" customWidth="1"/>
    <col min="5" max="5" width="15.28515625" customWidth="1"/>
    <col min="6" max="6" width="15.42578125" customWidth="1"/>
    <col min="8" max="8" width="15.28515625" customWidth="1"/>
    <col min="9" max="9" width="15.42578125" customWidth="1"/>
    <col min="11" max="11" width="15.28515625" customWidth="1"/>
  </cols>
  <sheetData>
    <row r="1" spans="1:11" x14ac:dyDescent="0.25">
      <c r="A1" s="29" t="s">
        <v>709</v>
      </c>
      <c r="B1" s="29" t="s">
        <v>423</v>
      </c>
      <c r="C1" s="29"/>
      <c r="D1" s="29" t="s">
        <v>424</v>
      </c>
      <c r="E1" s="29"/>
      <c r="F1" s="29" t="s">
        <v>425</v>
      </c>
      <c r="G1" s="29"/>
      <c r="H1" s="29" t="s">
        <v>373</v>
      </c>
      <c r="I1" s="29"/>
      <c r="J1" s="29" t="s">
        <v>426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1017</v>
      </c>
      <c r="C3">
        <v>536</v>
      </c>
      <c r="D3">
        <v>3208</v>
      </c>
      <c r="E3">
        <v>1611</v>
      </c>
      <c r="F3">
        <v>5852</v>
      </c>
      <c r="G3">
        <v>2845</v>
      </c>
      <c r="H3">
        <v>7532</v>
      </c>
      <c r="I3">
        <v>3740</v>
      </c>
      <c r="J3">
        <v>17609</v>
      </c>
      <c r="K3">
        <v>8732</v>
      </c>
    </row>
    <row r="4" spans="1:11" x14ac:dyDescent="0.25">
      <c r="A4" t="s">
        <v>284</v>
      </c>
      <c r="B4">
        <v>870</v>
      </c>
      <c r="C4">
        <v>454</v>
      </c>
      <c r="D4">
        <v>4204</v>
      </c>
      <c r="E4">
        <v>2178</v>
      </c>
      <c r="F4">
        <v>8585</v>
      </c>
      <c r="G4">
        <v>4279</v>
      </c>
      <c r="H4">
        <v>5475</v>
      </c>
      <c r="I4">
        <v>2777</v>
      </c>
      <c r="J4">
        <v>19134</v>
      </c>
      <c r="K4">
        <v>9688</v>
      </c>
    </row>
    <row r="5" spans="1:11" x14ac:dyDescent="0.25">
      <c r="A5" t="s">
        <v>285</v>
      </c>
      <c r="B5">
        <v>371</v>
      </c>
      <c r="C5">
        <v>175</v>
      </c>
      <c r="D5">
        <v>3451</v>
      </c>
      <c r="E5">
        <v>1709</v>
      </c>
      <c r="F5">
        <v>11428</v>
      </c>
      <c r="G5">
        <v>5559</v>
      </c>
      <c r="H5">
        <v>1163</v>
      </c>
      <c r="I5">
        <v>563</v>
      </c>
      <c r="J5">
        <v>16413</v>
      </c>
      <c r="K5">
        <v>8006</v>
      </c>
    </row>
    <row r="6" spans="1:11" x14ac:dyDescent="0.25">
      <c r="A6" t="s">
        <v>286</v>
      </c>
      <c r="B6">
        <v>459</v>
      </c>
      <c r="C6">
        <v>222</v>
      </c>
      <c r="D6">
        <v>1753</v>
      </c>
      <c r="E6">
        <v>899</v>
      </c>
      <c r="F6">
        <v>3753</v>
      </c>
      <c r="G6">
        <v>1824</v>
      </c>
      <c r="H6">
        <v>1209</v>
      </c>
      <c r="I6">
        <v>603</v>
      </c>
      <c r="J6">
        <v>7174</v>
      </c>
      <c r="K6">
        <v>3548</v>
      </c>
    </row>
    <row r="7" spans="1:11" x14ac:dyDescent="0.25">
      <c r="A7" t="s">
        <v>287</v>
      </c>
      <c r="B7">
        <v>316</v>
      </c>
      <c r="C7">
        <v>176</v>
      </c>
      <c r="D7">
        <v>1041</v>
      </c>
      <c r="E7">
        <v>515</v>
      </c>
      <c r="F7">
        <v>6791</v>
      </c>
      <c r="G7">
        <v>3381</v>
      </c>
      <c r="H7">
        <v>2535</v>
      </c>
      <c r="I7">
        <v>1295</v>
      </c>
      <c r="J7">
        <v>10683</v>
      </c>
      <c r="K7">
        <v>5367</v>
      </c>
    </row>
    <row r="8" spans="1:11" x14ac:dyDescent="0.25">
      <c r="A8" t="s">
        <v>288</v>
      </c>
      <c r="B8">
        <v>519</v>
      </c>
      <c r="C8">
        <v>284</v>
      </c>
      <c r="D8">
        <v>2109</v>
      </c>
      <c r="E8">
        <v>1037</v>
      </c>
      <c r="F8">
        <v>4828</v>
      </c>
      <c r="G8">
        <v>2404</v>
      </c>
      <c r="H8">
        <v>3098</v>
      </c>
      <c r="I8">
        <v>1590</v>
      </c>
      <c r="J8">
        <v>10554</v>
      </c>
      <c r="K8">
        <v>5315</v>
      </c>
    </row>
    <row r="9" spans="1:11" x14ac:dyDescent="0.25">
      <c r="A9" t="s">
        <v>289</v>
      </c>
      <c r="B9">
        <v>194</v>
      </c>
      <c r="C9">
        <v>91</v>
      </c>
      <c r="D9">
        <v>939</v>
      </c>
      <c r="E9">
        <v>486</v>
      </c>
      <c r="F9">
        <v>5414</v>
      </c>
      <c r="G9">
        <v>2591</v>
      </c>
      <c r="H9">
        <v>1181</v>
      </c>
      <c r="I9">
        <v>583</v>
      </c>
      <c r="J9">
        <v>7728</v>
      </c>
      <c r="K9">
        <v>3751</v>
      </c>
    </row>
    <row r="10" spans="1:11" x14ac:dyDescent="0.25">
      <c r="A10" t="s">
        <v>290</v>
      </c>
      <c r="B10">
        <v>1008</v>
      </c>
      <c r="C10">
        <v>520</v>
      </c>
      <c r="D10">
        <v>4291</v>
      </c>
      <c r="E10">
        <v>2160</v>
      </c>
      <c r="F10">
        <v>10782</v>
      </c>
      <c r="G10">
        <v>5263</v>
      </c>
      <c r="H10">
        <v>676</v>
      </c>
      <c r="I10">
        <v>340</v>
      </c>
      <c r="J10">
        <v>16757</v>
      </c>
      <c r="K10">
        <v>8283</v>
      </c>
    </row>
    <row r="11" spans="1:11" x14ac:dyDescent="0.25">
      <c r="A11" t="s">
        <v>291</v>
      </c>
      <c r="B11">
        <v>23</v>
      </c>
      <c r="C11">
        <v>15</v>
      </c>
      <c r="D11">
        <v>141</v>
      </c>
      <c r="E11">
        <v>71</v>
      </c>
      <c r="F11">
        <v>300</v>
      </c>
      <c r="G11">
        <v>146</v>
      </c>
      <c r="H11">
        <v>423</v>
      </c>
      <c r="I11">
        <v>223</v>
      </c>
      <c r="J11">
        <v>887</v>
      </c>
      <c r="K11">
        <v>455</v>
      </c>
    </row>
    <row r="12" spans="1:11" x14ac:dyDescent="0.25">
      <c r="A12" t="s">
        <v>292</v>
      </c>
      <c r="B12">
        <v>96</v>
      </c>
      <c r="C12">
        <v>47</v>
      </c>
      <c r="D12">
        <v>197</v>
      </c>
      <c r="E12">
        <v>110</v>
      </c>
      <c r="F12">
        <v>498</v>
      </c>
      <c r="G12">
        <v>232</v>
      </c>
      <c r="H12">
        <v>1591</v>
      </c>
      <c r="I12">
        <v>819</v>
      </c>
      <c r="J12">
        <v>2382</v>
      </c>
      <c r="K12">
        <v>1208</v>
      </c>
    </row>
    <row r="13" spans="1:11" x14ac:dyDescent="0.25">
      <c r="A13" t="s">
        <v>293</v>
      </c>
      <c r="B13">
        <v>145</v>
      </c>
      <c r="C13">
        <v>72</v>
      </c>
      <c r="D13">
        <v>901</v>
      </c>
      <c r="E13">
        <v>503</v>
      </c>
      <c r="F13">
        <v>2447</v>
      </c>
      <c r="G13">
        <v>1198</v>
      </c>
      <c r="H13">
        <v>1133</v>
      </c>
      <c r="I13">
        <v>580</v>
      </c>
      <c r="J13">
        <v>4626</v>
      </c>
      <c r="K13">
        <v>2353</v>
      </c>
    </row>
    <row r="14" spans="1:11" x14ac:dyDescent="0.25">
      <c r="A14" t="s">
        <v>294</v>
      </c>
      <c r="B14">
        <v>76</v>
      </c>
      <c r="C14">
        <v>31</v>
      </c>
      <c r="D14">
        <v>176</v>
      </c>
      <c r="E14">
        <v>88</v>
      </c>
      <c r="F14">
        <v>229</v>
      </c>
      <c r="G14">
        <v>109</v>
      </c>
      <c r="H14">
        <v>680</v>
      </c>
      <c r="I14">
        <v>353</v>
      </c>
      <c r="J14">
        <v>1161</v>
      </c>
      <c r="K14">
        <v>581</v>
      </c>
    </row>
    <row r="15" spans="1:11" x14ac:dyDescent="0.25">
      <c r="A15" t="s">
        <v>295</v>
      </c>
      <c r="B15">
        <v>78</v>
      </c>
      <c r="C15">
        <v>41</v>
      </c>
      <c r="D15">
        <v>472</v>
      </c>
      <c r="E15">
        <v>243</v>
      </c>
      <c r="F15">
        <v>1540</v>
      </c>
      <c r="G15">
        <v>710</v>
      </c>
      <c r="H15">
        <v>1757</v>
      </c>
      <c r="I15">
        <v>888</v>
      </c>
      <c r="J15">
        <v>3847</v>
      </c>
      <c r="K15">
        <v>1882</v>
      </c>
    </row>
    <row r="16" spans="1:11" x14ac:dyDescent="0.25">
      <c r="A16" t="s">
        <v>296</v>
      </c>
      <c r="B16">
        <v>72</v>
      </c>
      <c r="C16">
        <v>40</v>
      </c>
      <c r="D16">
        <v>254</v>
      </c>
      <c r="E16">
        <v>144</v>
      </c>
      <c r="F16">
        <v>392</v>
      </c>
      <c r="G16">
        <v>203</v>
      </c>
      <c r="H16">
        <v>455</v>
      </c>
      <c r="I16">
        <v>224</v>
      </c>
      <c r="J16">
        <v>1173</v>
      </c>
      <c r="K16">
        <v>611</v>
      </c>
    </row>
    <row r="17" spans="1:11" x14ac:dyDescent="0.25">
      <c r="A17" t="s">
        <v>297</v>
      </c>
      <c r="B17">
        <v>690</v>
      </c>
      <c r="C17">
        <v>336</v>
      </c>
      <c r="D17">
        <v>1422</v>
      </c>
      <c r="E17">
        <v>696</v>
      </c>
      <c r="F17">
        <v>8748</v>
      </c>
      <c r="G17">
        <v>4111</v>
      </c>
      <c r="H17">
        <v>201</v>
      </c>
      <c r="I17">
        <v>111</v>
      </c>
      <c r="J17">
        <v>11061</v>
      </c>
      <c r="K17">
        <v>5254</v>
      </c>
    </row>
    <row r="18" spans="1:11" x14ac:dyDescent="0.25">
      <c r="A18" t="s">
        <v>298</v>
      </c>
      <c r="B18">
        <v>76</v>
      </c>
      <c r="C18">
        <v>42</v>
      </c>
      <c r="D18">
        <v>363</v>
      </c>
      <c r="E18">
        <v>172</v>
      </c>
      <c r="F18">
        <v>846</v>
      </c>
      <c r="G18">
        <v>438</v>
      </c>
      <c r="H18">
        <v>1086</v>
      </c>
      <c r="I18">
        <v>543</v>
      </c>
      <c r="J18">
        <v>2371</v>
      </c>
      <c r="K18">
        <v>1195</v>
      </c>
    </row>
    <row r="19" spans="1:11" x14ac:dyDescent="0.25">
      <c r="A19" t="s">
        <v>299</v>
      </c>
      <c r="B19">
        <v>206</v>
      </c>
      <c r="C19">
        <v>121</v>
      </c>
      <c r="D19">
        <v>700</v>
      </c>
      <c r="E19">
        <v>345</v>
      </c>
      <c r="F19">
        <v>1068</v>
      </c>
      <c r="G19">
        <v>572</v>
      </c>
      <c r="H19">
        <v>2637</v>
      </c>
      <c r="I19">
        <v>1386</v>
      </c>
      <c r="J19">
        <v>4611</v>
      </c>
      <c r="K19">
        <v>2424</v>
      </c>
    </row>
    <row r="20" spans="1:11" x14ac:dyDescent="0.25">
      <c r="A20" t="s">
        <v>300</v>
      </c>
      <c r="B20">
        <v>511</v>
      </c>
      <c r="C20">
        <v>276</v>
      </c>
      <c r="D20">
        <v>3082</v>
      </c>
      <c r="E20">
        <v>1525</v>
      </c>
      <c r="F20">
        <v>12963</v>
      </c>
      <c r="G20">
        <v>6348</v>
      </c>
      <c r="H20">
        <v>733</v>
      </c>
      <c r="I20">
        <v>362</v>
      </c>
      <c r="J20">
        <v>17289</v>
      </c>
      <c r="K20">
        <v>8511</v>
      </c>
    </row>
    <row r="21" spans="1:11" x14ac:dyDescent="0.25">
      <c r="A21" t="s">
        <v>301</v>
      </c>
      <c r="B21">
        <v>560</v>
      </c>
      <c r="C21">
        <v>300</v>
      </c>
      <c r="D21">
        <v>1835</v>
      </c>
      <c r="E21">
        <v>943</v>
      </c>
      <c r="F21">
        <v>3967</v>
      </c>
      <c r="G21">
        <v>1950</v>
      </c>
      <c r="H21">
        <v>2970</v>
      </c>
      <c r="I21">
        <v>1555</v>
      </c>
      <c r="J21">
        <v>9332</v>
      </c>
      <c r="K21">
        <v>4748</v>
      </c>
    </row>
    <row r="22" spans="1:11" x14ac:dyDescent="0.25">
      <c r="A22" t="s">
        <v>302</v>
      </c>
      <c r="B22">
        <v>237</v>
      </c>
      <c r="C22">
        <v>138</v>
      </c>
      <c r="D22">
        <v>689</v>
      </c>
      <c r="E22">
        <v>362</v>
      </c>
      <c r="F22">
        <v>1106</v>
      </c>
      <c r="G22">
        <v>552</v>
      </c>
      <c r="H22">
        <v>857</v>
      </c>
      <c r="I22">
        <v>446</v>
      </c>
      <c r="J22">
        <v>2889</v>
      </c>
      <c r="K22">
        <v>1498</v>
      </c>
    </row>
    <row r="23" spans="1:11" x14ac:dyDescent="0.25">
      <c r="A23" t="s">
        <v>303</v>
      </c>
      <c r="B23">
        <v>1686</v>
      </c>
      <c r="C23">
        <v>845</v>
      </c>
      <c r="D23">
        <v>6535</v>
      </c>
      <c r="E23">
        <v>3330</v>
      </c>
      <c r="F23">
        <v>13834</v>
      </c>
      <c r="G23">
        <v>6821</v>
      </c>
      <c r="H23">
        <v>6218</v>
      </c>
      <c r="I23">
        <v>3183</v>
      </c>
      <c r="J23">
        <v>28273</v>
      </c>
      <c r="K23">
        <v>14179</v>
      </c>
    </row>
    <row r="24" spans="1:11" x14ac:dyDescent="0.25">
      <c r="A24" t="s">
        <v>304</v>
      </c>
      <c r="B24">
        <v>91</v>
      </c>
      <c r="C24">
        <v>52</v>
      </c>
      <c r="D24">
        <v>233</v>
      </c>
      <c r="E24">
        <v>120</v>
      </c>
      <c r="F24">
        <v>496</v>
      </c>
      <c r="G24">
        <v>231</v>
      </c>
      <c r="H24">
        <v>514</v>
      </c>
      <c r="I24">
        <v>245</v>
      </c>
      <c r="J24">
        <v>1334</v>
      </c>
      <c r="K24">
        <v>648</v>
      </c>
    </row>
    <row r="25" spans="1:11" x14ac:dyDescent="0.25">
      <c r="A25" t="s">
        <v>305</v>
      </c>
      <c r="B25">
        <v>288</v>
      </c>
      <c r="C25">
        <v>158</v>
      </c>
      <c r="D25">
        <v>1600</v>
      </c>
      <c r="E25">
        <v>840</v>
      </c>
      <c r="F25">
        <v>3259</v>
      </c>
      <c r="G25">
        <v>1627</v>
      </c>
      <c r="H25">
        <v>3284</v>
      </c>
      <c r="I25">
        <v>1662</v>
      </c>
      <c r="J25">
        <v>8431</v>
      </c>
      <c r="K25">
        <v>4287</v>
      </c>
    </row>
    <row r="26" spans="1:11" x14ac:dyDescent="0.25">
      <c r="A26" t="s">
        <v>306</v>
      </c>
      <c r="B26">
        <v>365</v>
      </c>
      <c r="C26">
        <v>202</v>
      </c>
      <c r="D26">
        <v>2222</v>
      </c>
      <c r="E26">
        <v>1135</v>
      </c>
      <c r="F26">
        <v>8854</v>
      </c>
      <c r="G26">
        <v>4344</v>
      </c>
      <c r="H26">
        <v>1613</v>
      </c>
      <c r="I26">
        <v>785</v>
      </c>
      <c r="J26">
        <v>13054</v>
      </c>
      <c r="K26">
        <v>6466</v>
      </c>
    </row>
    <row r="27" spans="1:11" x14ac:dyDescent="0.25">
      <c r="A27" t="s">
        <v>307</v>
      </c>
      <c r="B27">
        <v>557</v>
      </c>
      <c r="C27">
        <v>311</v>
      </c>
      <c r="D27">
        <v>4515</v>
      </c>
      <c r="E27">
        <v>2294</v>
      </c>
      <c r="F27">
        <v>7004</v>
      </c>
      <c r="G27">
        <v>3375</v>
      </c>
      <c r="H27">
        <v>2283</v>
      </c>
      <c r="I27">
        <v>1126</v>
      </c>
      <c r="J27">
        <v>14359</v>
      </c>
      <c r="K27">
        <v>7106</v>
      </c>
    </row>
    <row r="28" spans="1:11" x14ac:dyDescent="0.25">
      <c r="A28" t="s">
        <v>266</v>
      </c>
      <c r="B28">
        <v>10511</v>
      </c>
      <c r="C28">
        <v>5485</v>
      </c>
      <c r="D28">
        <v>46333</v>
      </c>
      <c r="E28">
        <v>23516</v>
      </c>
      <c r="F28">
        <v>124984</v>
      </c>
      <c r="G28">
        <v>61113</v>
      </c>
      <c r="H28">
        <v>51304</v>
      </c>
      <c r="I28">
        <v>25982</v>
      </c>
      <c r="J28">
        <v>233132</v>
      </c>
      <c r="K28">
        <v>116096</v>
      </c>
    </row>
    <row r="29" spans="1:11" x14ac:dyDescent="0.25">
      <c r="A29" t="s">
        <v>308</v>
      </c>
      <c r="B29">
        <v>3283</v>
      </c>
      <c r="C29">
        <v>1696</v>
      </c>
      <c r="D29">
        <v>9429</v>
      </c>
      <c r="E29">
        <v>4741</v>
      </c>
      <c r="F29">
        <v>21614</v>
      </c>
      <c r="G29">
        <v>10324</v>
      </c>
      <c r="H29">
        <v>5248</v>
      </c>
      <c r="I29">
        <v>2611</v>
      </c>
      <c r="J29">
        <v>39574</v>
      </c>
      <c r="K29">
        <v>19372</v>
      </c>
    </row>
    <row r="30" spans="1:11" x14ac:dyDescent="0.25">
      <c r="A30" t="s">
        <v>309</v>
      </c>
      <c r="B30">
        <v>7228</v>
      </c>
      <c r="C30">
        <v>3789</v>
      </c>
      <c r="D30">
        <v>36904</v>
      </c>
      <c r="E30">
        <v>18775</v>
      </c>
      <c r="F30">
        <v>103370</v>
      </c>
      <c r="G30">
        <v>50789</v>
      </c>
      <c r="H30">
        <v>46056</v>
      </c>
      <c r="I30">
        <v>23371</v>
      </c>
      <c r="J30">
        <v>193558</v>
      </c>
      <c r="K30">
        <v>96724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5B9BD5"/>
  </sheetPr>
  <dimension ref="A1:N30"/>
  <sheetViews>
    <sheetView workbookViewId="0"/>
  </sheetViews>
  <sheetFormatPr defaultRowHeight="15" x14ac:dyDescent="0.25"/>
  <cols>
    <col min="1" max="1" width="24.140625" customWidth="1"/>
    <col min="2" max="2" width="14.42578125" customWidth="1"/>
    <col min="3" max="3" width="11.85546875" customWidth="1"/>
    <col min="4" max="4" width="12" customWidth="1"/>
    <col min="6" max="6" width="11.85546875" customWidth="1"/>
    <col min="7" max="7" width="12" customWidth="1"/>
    <col min="8" max="8" width="11.85546875" customWidth="1"/>
    <col min="9" max="9" width="12" customWidth="1"/>
    <col min="11" max="11" width="11.85546875" customWidth="1"/>
    <col min="12" max="12" width="12" customWidth="1"/>
    <col min="14" max="14" width="11.85546875" customWidth="1"/>
  </cols>
  <sheetData>
    <row r="1" spans="1:14" x14ac:dyDescent="0.25">
      <c r="A1" s="29" t="s">
        <v>709</v>
      </c>
      <c r="B1" t="s">
        <v>254</v>
      </c>
      <c r="C1" s="29" t="s">
        <v>326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402</v>
      </c>
      <c r="N1" s="29"/>
    </row>
    <row r="2" spans="1:14" x14ac:dyDescent="0.25">
      <c r="A2" s="29"/>
      <c r="B2" t="s">
        <v>261</v>
      </c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818</v>
      </c>
      <c r="C3">
        <v>17609</v>
      </c>
      <c r="D3">
        <v>8732</v>
      </c>
      <c r="E3">
        <v>97157</v>
      </c>
      <c r="F3">
        <v>46850</v>
      </c>
      <c r="G3">
        <v>28020</v>
      </c>
      <c r="H3">
        <v>14931</v>
      </c>
      <c r="I3">
        <v>13414</v>
      </c>
      <c r="J3">
        <v>7627</v>
      </c>
      <c r="K3">
        <v>156200</v>
      </c>
      <c r="L3">
        <v>78140</v>
      </c>
      <c r="M3">
        <v>48.2</v>
      </c>
      <c r="N3">
        <v>50</v>
      </c>
    </row>
    <row r="4" spans="1:14" x14ac:dyDescent="0.25">
      <c r="A4" t="s">
        <v>284</v>
      </c>
      <c r="B4">
        <v>1147</v>
      </c>
      <c r="C4">
        <v>19134</v>
      </c>
      <c r="D4">
        <v>9688</v>
      </c>
      <c r="E4">
        <v>169424</v>
      </c>
      <c r="F4">
        <v>80840</v>
      </c>
      <c r="G4">
        <v>45229</v>
      </c>
      <c r="H4">
        <v>24067</v>
      </c>
      <c r="I4">
        <v>21577</v>
      </c>
      <c r="J4">
        <v>12102</v>
      </c>
      <c r="K4">
        <v>255364</v>
      </c>
      <c r="L4">
        <v>126697</v>
      </c>
      <c r="M4">
        <v>47.7</v>
      </c>
      <c r="N4">
        <v>49.6</v>
      </c>
    </row>
    <row r="5" spans="1:14" x14ac:dyDescent="0.25">
      <c r="A5" t="s">
        <v>285</v>
      </c>
      <c r="B5">
        <v>816</v>
      </c>
      <c r="C5">
        <v>16413</v>
      </c>
      <c r="D5">
        <v>8006</v>
      </c>
      <c r="E5">
        <v>139238</v>
      </c>
      <c r="F5">
        <v>66191</v>
      </c>
      <c r="G5">
        <v>42197</v>
      </c>
      <c r="H5">
        <v>22776</v>
      </c>
      <c r="I5">
        <v>23504</v>
      </c>
      <c r="J5">
        <v>13461</v>
      </c>
      <c r="K5">
        <v>221352</v>
      </c>
      <c r="L5">
        <v>110434</v>
      </c>
      <c r="M5">
        <v>47.5</v>
      </c>
      <c r="N5">
        <v>49.9</v>
      </c>
    </row>
    <row r="6" spans="1:14" x14ac:dyDescent="0.25">
      <c r="A6" t="s">
        <v>286</v>
      </c>
      <c r="B6">
        <v>469</v>
      </c>
      <c r="C6">
        <v>7174</v>
      </c>
      <c r="D6">
        <v>3548</v>
      </c>
      <c r="E6">
        <v>73216</v>
      </c>
      <c r="F6">
        <v>35572</v>
      </c>
      <c r="G6">
        <v>24289</v>
      </c>
      <c r="H6">
        <v>13147</v>
      </c>
      <c r="I6">
        <v>12743</v>
      </c>
      <c r="J6">
        <v>7221</v>
      </c>
      <c r="K6">
        <v>117422</v>
      </c>
      <c r="L6">
        <v>59488</v>
      </c>
      <c r="M6">
        <v>48.6</v>
      </c>
      <c r="N6">
        <v>50.7</v>
      </c>
    </row>
    <row r="7" spans="1:14" x14ac:dyDescent="0.25">
      <c r="A7" t="s">
        <v>287</v>
      </c>
      <c r="B7">
        <v>619</v>
      </c>
      <c r="C7">
        <v>10683</v>
      </c>
      <c r="D7">
        <v>5367</v>
      </c>
      <c r="E7">
        <v>108391</v>
      </c>
      <c r="F7">
        <v>52343</v>
      </c>
      <c r="G7">
        <v>34179</v>
      </c>
      <c r="H7">
        <v>17900</v>
      </c>
      <c r="I7">
        <v>15686</v>
      </c>
      <c r="J7">
        <v>8368</v>
      </c>
      <c r="K7">
        <v>168939</v>
      </c>
      <c r="L7">
        <v>83978</v>
      </c>
      <c r="M7">
        <v>48.3</v>
      </c>
      <c r="N7">
        <v>49.7</v>
      </c>
    </row>
    <row r="8" spans="1:14" x14ac:dyDescent="0.25">
      <c r="A8" t="s">
        <v>288</v>
      </c>
      <c r="B8">
        <v>789</v>
      </c>
      <c r="C8">
        <v>10554</v>
      </c>
      <c r="D8">
        <v>5315</v>
      </c>
      <c r="E8">
        <v>99857</v>
      </c>
      <c r="F8">
        <v>48731</v>
      </c>
      <c r="G8">
        <v>30511</v>
      </c>
      <c r="H8">
        <v>16565</v>
      </c>
      <c r="I8">
        <v>15401</v>
      </c>
      <c r="J8">
        <v>8722</v>
      </c>
      <c r="K8">
        <v>156323</v>
      </c>
      <c r="L8">
        <v>79333</v>
      </c>
      <c r="M8">
        <v>48.8</v>
      </c>
      <c r="N8">
        <v>50.7</v>
      </c>
    </row>
    <row r="9" spans="1:14" x14ac:dyDescent="0.25">
      <c r="A9" t="s">
        <v>289</v>
      </c>
      <c r="B9">
        <v>611</v>
      </c>
      <c r="C9">
        <v>7728</v>
      </c>
      <c r="D9">
        <v>3751</v>
      </c>
      <c r="E9">
        <v>76661</v>
      </c>
      <c r="F9">
        <v>36421</v>
      </c>
      <c r="G9">
        <v>27054</v>
      </c>
      <c r="H9">
        <v>14052</v>
      </c>
      <c r="I9">
        <v>15754</v>
      </c>
      <c r="J9">
        <v>8344</v>
      </c>
      <c r="K9">
        <v>127197</v>
      </c>
      <c r="L9">
        <v>62568</v>
      </c>
      <c r="M9">
        <v>47.5</v>
      </c>
      <c r="N9">
        <v>49.2</v>
      </c>
    </row>
    <row r="10" spans="1:14" x14ac:dyDescent="0.25">
      <c r="A10" t="s">
        <v>290</v>
      </c>
      <c r="B10">
        <v>752</v>
      </c>
      <c r="C10">
        <v>16757</v>
      </c>
      <c r="D10">
        <v>8283</v>
      </c>
      <c r="E10">
        <v>159614</v>
      </c>
      <c r="F10">
        <v>75340</v>
      </c>
      <c r="G10">
        <v>49943</v>
      </c>
      <c r="H10">
        <v>26124</v>
      </c>
      <c r="I10">
        <v>28643</v>
      </c>
      <c r="J10">
        <v>16004</v>
      </c>
      <c r="K10">
        <v>254957</v>
      </c>
      <c r="L10">
        <v>125751</v>
      </c>
      <c r="M10">
        <v>47.2</v>
      </c>
      <c r="N10">
        <v>49.3</v>
      </c>
    </row>
    <row r="11" spans="1:14" x14ac:dyDescent="0.25">
      <c r="A11" t="s">
        <v>291</v>
      </c>
      <c r="B11">
        <v>50</v>
      </c>
      <c r="C11">
        <v>887</v>
      </c>
      <c r="D11">
        <v>455</v>
      </c>
      <c r="E11">
        <v>5159</v>
      </c>
      <c r="F11">
        <v>2521</v>
      </c>
      <c r="G11">
        <v>1468</v>
      </c>
      <c r="H11">
        <v>761</v>
      </c>
      <c r="I11">
        <v>1045</v>
      </c>
      <c r="J11">
        <v>543</v>
      </c>
      <c r="K11">
        <v>8559</v>
      </c>
      <c r="L11">
        <v>4280</v>
      </c>
      <c r="M11">
        <v>48.9</v>
      </c>
      <c r="N11">
        <v>50</v>
      </c>
    </row>
    <row r="12" spans="1:14" x14ac:dyDescent="0.25">
      <c r="A12" t="s">
        <v>292</v>
      </c>
      <c r="B12">
        <v>219</v>
      </c>
      <c r="C12">
        <v>2382</v>
      </c>
      <c r="D12">
        <v>1208</v>
      </c>
      <c r="E12">
        <v>16395</v>
      </c>
      <c r="F12">
        <v>7885</v>
      </c>
      <c r="G12">
        <v>5128</v>
      </c>
      <c r="H12">
        <v>2628</v>
      </c>
      <c r="I12">
        <v>2661</v>
      </c>
      <c r="J12">
        <v>1322</v>
      </c>
      <c r="K12">
        <v>26566</v>
      </c>
      <c r="L12">
        <v>13043</v>
      </c>
      <c r="M12">
        <v>48.1</v>
      </c>
      <c r="N12">
        <v>49.1</v>
      </c>
    </row>
    <row r="13" spans="1:14" x14ac:dyDescent="0.25">
      <c r="A13" t="s">
        <v>293</v>
      </c>
      <c r="B13">
        <v>441</v>
      </c>
      <c r="C13">
        <v>4626</v>
      </c>
      <c r="D13">
        <v>2353</v>
      </c>
      <c r="E13">
        <v>63263</v>
      </c>
      <c r="F13">
        <v>30449</v>
      </c>
      <c r="G13">
        <v>13107</v>
      </c>
      <c r="H13">
        <v>6999</v>
      </c>
      <c r="I13">
        <v>6208</v>
      </c>
      <c r="J13">
        <v>3427</v>
      </c>
      <c r="K13">
        <v>87204</v>
      </c>
      <c r="L13">
        <v>43228</v>
      </c>
      <c r="M13">
        <v>48.1</v>
      </c>
      <c r="N13">
        <v>49.6</v>
      </c>
    </row>
    <row r="14" spans="1:14" x14ac:dyDescent="0.25">
      <c r="A14" t="s">
        <v>294</v>
      </c>
      <c r="B14">
        <v>127</v>
      </c>
      <c r="C14">
        <v>1161</v>
      </c>
      <c r="D14">
        <v>581</v>
      </c>
      <c r="E14">
        <v>14623</v>
      </c>
      <c r="F14">
        <v>7285</v>
      </c>
      <c r="G14">
        <v>3356</v>
      </c>
      <c r="H14">
        <v>1770</v>
      </c>
      <c r="I14">
        <v>1548</v>
      </c>
      <c r="J14">
        <v>851</v>
      </c>
      <c r="K14">
        <v>20688</v>
      </c>
      <c r="L14">
        <v>10487</v>
      </c>
      <c r="M14">
        <v>49.8</v>
      </c>
      <c r="N14">
        <v>50.7</v>
      </c>
    </row>
    <row r="15" spans="1:14" x14ac:dyDescent="0.25">
      <c r="A15" t="s">
        <v>295</v>
      </c>
      <c r="B15">
        <v>359</v>
      </c>
      <c r="C15">
        <v>3847</v>
      </c>
      <c r="D15">
        <v>1882</v>
      </c>
      <c r="E15">
        <v>37185</v>
      </c>
      <c r="F15">
        <v>17719</v>
      </c>
      <c r="G15">
        <v>9967</v>
      </c>
      <c r="H15">
        <v>5142</v>
      </c>
      <c r="I15">
        <v>4615</v>
      </c>
      <c r="J15">
        <v>2450</v>
      </c>
      <c r="K15">
        <v>55614</v>
      </c>
      <c r="L15">
        <v>27193</v>
      </c>
      <c r="M15">
        <v>47.7</v>
      </c>
      <c r="N15">
        <v>48.9</v>
      </c>
    </row>
    <row r="16" spans="1:14" x14ac:dyDescent="0.25">
      <c r="A16" t="s">
        <v>296</v>
      </c>
      <c r="B16">
        <v>81</v>
      </c>
      <c r="C16">
        <v>1173</v>
      </c>
      <c r="D16">
        <v>611</v>
      </c>
      <c r="E16">
        <v>10488</v>
      </c>
      <c r="F16">
        <v>4990</v>
      </c>
      <c r="G16">
        <v>3428</v>
      </c>
      <c r="H16">
        <v>1802</v>
      </c>
      <c r="I16">
        <v>1508</v>
      </c>
      <c r="J16">
        <v>830</v>
      </c>
      <c r="K16">
        <v>16597</v>
      </c>
      <c r="L16">
        <v>8233</v>
      </c>
      <c r="M16">
        <v>47.6</v>
      </c>
      <c r="N16">
        <v>49.6</v>
      </c>
    </row>
    <row r="17" spans="1:14" x14ac:dyDescent="0.25">
      <c r="A17" t="s">
        <v>297</v>
      </c>
      <c r="B17">
        <v>374</v>
      </c>
      <c r="C17">
        <v>11061</v>
      </c>
      <c r="D17">
        <v>5254</v>
      </c>
      <c r="E17">
        <v>138050</v>
      </c>
      <c r="F17">
        <v>65794</v>
      </c>
      <c r="G17">
        <v>52634</v>
      </c>
      <c r="H17">
        <v>26386</v>
      </c>
      <c r="I17">
        <v>38023</v>
      </c>
      <c r="J17">
        <v>19497</v>
      </c>
      <c r="K17">
        <v>239768</v>
      </c>
      <c r="L17">
        <v>116931</v>
      </c>
      <c r="M17">
        <v>47.7</v>
      </c>
      <c r="N17">
        <v>48.8</v>
      </c>
    </row>
    <row r="18" spans="1:14" x14ac:dyDescent="0.25">
      <c r="A18" t="s">
        <v>298</v>
      </c>
      <c r="B18">
        <v>157</v>
      </c>
      <c r="C18">
        <v>2371</v>
      </c>
      <c r="D18">
        <v>1195</v>
      </c>
      <c r="E18">
        <v>26688</v>
      </c>
      <c r="F18">
        <v>13052</v>
      </c>
      <c r="G18">
        <v>8196</v>
      </c>
      <c r="H18">
        <v>4126</v>
      </c>
      <c r="I18">
        <v>4135</v>
      </c>
      <c r="J18">
        <v>2208</v>
      </c>
      <c r="K18">
        <v>41390</v>
      </c>
      <c r="L18">
        <v>20581</v>
      </c>
      <c r="M18">
        <v>48.9</v>
      </c>
      <c r="N18">
        <v>49.7</v>
      </c>
    </row>
    <row r="19" spans="1:14" x14ac:dyDescent="0.25">
      <c r="A19" t="s">
        <v>299</v>
      </c>
      <c r="B19">
        <v>407</v>
      </c>
      <c r="C19">
        <v>4611</v>
      </c>
      <c r="D19">
        <v>2424</v>
      </c>
      <c r="E19">
        <v>37538</v>
      </c>
      <c r="F19">
        <v>18270</v>
      </c>
      <c r="G19">
        <v>10308</v>
      </c>
      <c r="H19">
        <v>5669</v>
      </c>
      <c r="I19">
        <v>5017</v>
      </c>
      <c r="J19">
        <v>2717</v>
      </c>
      <c r="K19">
        <v>57474</v>
      </c>
      <c r="L19">
        <v>29080</v>
      </c>
      <c r="M19">
        <v>48.7</v>
      </c>
      <c r="N19">
        <v>50.6</v>
      </c>
    </row>
    <row r="20" spans="1:14" x14ac:dyDescent="0.25">
      <c r="A20" t="s">
        <v>300</v>
      </c>
      <c r="B20">
        <v>1057</v>
      </c>
      <c r="C20">
        <v>17289</v>
      </c>
      <c r="D20">
        <v>8511</v>
      </c>
      <c r="E20">
        <v>148230</v>
      </c>
      <c r="F20">
        <v>69470</v>
      </c>
      <c r="G20">
        <v>47305</v>
      </c>
      <c r="H20">
        <v>24768</v>
      </c>
      <c r="I20">
        <v>23976</v>
      </c>
      <c r="J20">
        <v>13009</v>
      </c>
      <c r="K20">
        <v>236800</v>
      </c>
      <c r="L20">
        <v>115758</v>
      </c>
      <c r="M20">
        <v>46.9</v>
      </c>
      <c r="N20">
        <v>48.9</v>
      </c>
    </row>
    <row r="21" spans="1:14" x14ac:dyDescent="0.25">
      <c r="A21" t="s">
        <v>301</v>
      </c>
      <c r="B21">
        <v>543</v>
      </c>
      <c r="C21">
        <v>9332</v>
      </c>
      <c r="D21">
        <v>4748</v>
      </c>
      <c r="E21">
        <v>68838</v>
      </c>
      <c r="F21">
        <v>33507</v>
      </c>
      <c r="G21">
        <v>19050</v>
      </c>
      <c r="H21">
        <v>10044</v>
      </c>
      <c r="I21">
        <v>9808</v>
      </c>
      <c r="J21">
        <v>5381</v>
      </c>
      <c r="K21">
        <v>107028</v>
      </c>
      <c r="L21">
        <v>53680</v>
      </c>
      <c r="M21">
        <v>48.7</v>
      </c>
      <c r="N21">
        <v>50.2</v>
      </c>
    </row>
    <row r="22" spans="1:14" x14ac:dyDescent="0.25">
      <c r="A22" t="s">
        <v>302</v>
      </c>
      <c r="B22">
        <v>311</v>
      </c>
      <c r="C22">
        <v>2889</v>
      </c>
      <c r="D22">
        <v>1498</v>
      </c>
      <c r="E22">
        <v>40612</v>
      </c>
      <c r="F22">
        <v>19545</v>
      </c>
      <c r="G22">
        <v>8311</v>
      </c>
      <c r="H22">
        <v>4208</v>
      </c>
      <c r="I22">
        <v>3799</v>
      </c>
      <c r="J22">
        <v>1797</v>
      </c>
      <c r="K22">
        <v>55611</v>
      </c>
      <c r="L22">
        <v>27048</v>
      </c>
      <c r="M22">
        <v>48.1</v>
      </c>
      <c r="N22">
        <v>48.6</v>
      </c>
    </row>
    <row r="23" spans="1:14" x14ac:dyDescent="0.25">
      <c r="A23" t="s">
        <v>303</v>
      </c>
      <c r="B23">
        <v>1077</v>
      </c>
      <c r="C23">
        <v>28273</v>
      </c>
      <c r="D23">
        <v>14179</v>
      </c>
      <c r="E23">
        <v>165114</v>
      </c>
      <c r="F23">
        <v>79734</v>
      </c>
      <c r="G23">
        <v>50573</v>
      </c>
      <c r="H23">
        <v>27155</v>
      </c>
      <c r="I23">
        <v>27693</v>
      </c>
      <c r="J23">
        <v>16132</v>
      </c>
      <c r="K23">
        <v>271653</v>
      </c>
      <c r="L23">
        <v>137200</v>
      </c>
      <c r="M23">
        <v>48.3</v>
      </c>
      <c r="N23">
        <v>50.5</v>
      </c>
    </row>
    <row r="24" spans="1:14" x14ac:dyDescent="0.25">
      <c r="A24" t="s">
        <v>304</v>
      </c>
      <c r="B24">
        <v>246</v>
      </c>
      <c r="C24">
        <v>1334</v>
      </c>
      <c r="D24">
        <v>648</v>
      </c>
      <c r="E24">
        <v>26641</v>
      </c>
      <c r="F24">
        <v>13001</v>
      </c>
      <c r="G24">
        <v>5166</v>
      </c>
      <c r="H24">
        <v>2720</v>
      </c>
      <c r="I24">
        <v>2377</v>
      </c>
      <c r="J24">
        <v>1242</v>
      </c>
      <c r="K24">
        <v>35518</v>
      </c>
      <c r="L24">
        <v>17611</v>
      </c>
      <c r="M24">
        <v>48.8</v>
      </c>
      <c r="N24">
        <v>49.6</v>
      </c>
    </row>
    <row r="25" spans="1:14" x14ac:dyDescent="0.25">
      <c r="A25" t="s">
        <v>305</v>
      </c>
      <c r="B25">
        <v>509</v>
      </c>
      <c r="C25">
        <v>8431</v>
      </c>
      <c r="D25">
        <v>4287</v>
      </c>
      <c r="E25">
        <v>72639</v>
      </c>
      <c r="F25">
        <v>35132</v>
      </c>
      <c r="G25">
        <v>24992</v>
      </c>
      <c r="H25">
        <v>12851</v>
      </c>
      <c r="I25">
        <v>13206</v>
      </c>
      <c r="J25">
        <v>6959</v>
      </c>
      <c r="K25">
        <v>119268</v>
      </c>
      <c r="L25">
        <v>59229</v>
      </c>
      <c r="M25">
        <v>48.4</v>
      </c>
      <c r="N25">
        <v>49.7</v>
      </c>
    </row>
    <row r="26" spans="1:14" x14ac:dyDescent="0.25">
      <c r="A26" t="s">
        <v>306</v>
      </c>
      <c r="B26">
        <v>793</v>
      </c>
      <c r="C26">
        <v>13054</v>
      </c>
      <c r="D26">
        <v>6466</v>
      </c>
      <c r="E26">
        <v>114861</v>
      </c>
      <c r="F26">
        <v>54820</v>
      </c>
      <c r="G26">
        <v>44629</v>
      </c>
      <c r="H26">
        <v>22761</v>
      </c>
      <c r="I26">
        <v>28684</v>
      </c>
      <c r="J26">
        <v>15302</v>
      </c>
      <c r="K26">
        <v>201228</v>
      </c>
      <c r="L26">
        <v>99349</v>
      </c>
      <c r="M26">
        <v>47.7</v>
      </c>
      <c r="N26">
        <v>49.4</v>
      </c>
    </row>
    <row r="27" spans="1:14" x14ac:dyDescent="0.25">
      <c r="A27" t="s">
        <v>307</v>
      </c>
      <c r="B27">
        <v>710</v>
      </c>
      <c r="C27">
        <v>14359</v>
      </c>
      <c r="D27">
        <v>7106</v>
      </c>
      <c r="E27">
        <v>113591</v>
      </c>
      <c r="F27">
        <v>54591</v>
      </c>
      <c r="G27">
        <v>29928</v>
      </c>
      <c r="H27">
        <v>16152</v>
      </c>
      <c r="I27">
        <v>13687</v>
      </c>
      <c r="J27">
        <v>7878</v>
      </c>
      <c r="K27">
        <v>171565</v>
      </c>
      <c r="L27">
        <v>85727</v>
      </c>
      <c r="M27">
        <v>48.1</v>
      </c>
      <c r="N27">
        <v>50</v>
      </c>
    </row>
    <row r="28" spans="1:14" x14ac:dyDescent="0.25">
      <c r="A28" t="s">
        <v>266</v>
      </c>
      <c r="B28">
        <v>13482</v>
      </c>
      <c r="C28">
        <v>233132</v>
      </c>
      <c r="D28">
        <v>116096</v>
      </c>
      <c r="E28">
        <v>2023473</v>
      </c>
      <c r="F28">
        <v>970053</v>
      </c>
      <c r="G28">
        <v>618968</v>
      </c>
      <c r="H28">
        <v>325504</v>
      </c>
      <c r="I28">
        <v>334712</v>
      </c>
      <c r="J28">
        <v>183394</v>
      </c>
      <c r="K28">
        <v>3210285</v>
      </c>
      <c r="L28">
        <v>1595047</v>
      </c>
      <c r="M28">
        <v>47.9</v>
      </c>
      <c r="N28">
        <v>49.7</v>
      </c>
    </row>
    <row r="29" spans="1:14" x14ac:dyDescent="0.25">
      <c r="A29" t="s">
        <v>308</v>
      </c>
      <c r="B29">
        <v>1390</v>
      </c>
      <c r="C29">
        <v>39574</v>
      </c>
      <c r="D29">
        <v>19372</v>
      </c>
      <c r="E29">
        <v>334805</v>
      </c>
      <c r="F29">
        <v>160114</v>
      </c>
      <c r="G29">
        <v>123698</v>
      </c>
      <c r="H29">
        <v>63117</v>
      </c>
      <c r="I29">
        <v>97538</v>
      </c>
      <c r="J29">
        <v>51939</v>
      </c>
      <c r="K29">
        <v>595615</v>
      </c>
      <c r="L29">
        <v>294542</v>
      </c>
      <c r="M29">
        <v>47.8</v>
      </c>
      <c r="N29">
        <v>49.5</v>
      </c>
    </row>
    <row r="30" spans="1:14" x14ac:dyDescent="0.25">
      <c r="A30" t="s">
        <v>309</v>
      </c>
      <c r="B30">
        <v>12092</v>
      </c>
      <c r="C30">
        <v>193558</v>
      </c>
      <c r="D30">
        <v>96724</v>
      </c>
      <c r="E30">
        <v>1688668</v>
      </c>
      <c r="F30">
        <v>809939</v>
      </c>
      <c r="G30">
        <v>495270</v>
      </c>
      <c r="H30">
        <v>262387</v>
      </c>
      <c r="I30">
        <v>237174</v>
      </c>
      <c r="J30">
        <v>131455</v>
      </c>
      <c r="K30">
        <v>2614670</v>
      </c>
      <c r="L30">
        <v>1300505</v>
      </c>
      <c r="M30">
        <v>48</v>
      </c>
      <c r="N30">
        <v>49.7</v>
      </c>
    </row>
  </sheetData>
  <mergeCells count="7">
    <mergeCell ref="A1:A2"/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FFC000"/>
  </sheetPr>
  <dimension ref="A1:L30"/>
  <sheetViews>
    <sheetView workbookViewId="0"/>
  </sheetViews>
  <sheetFormatPr defaultRowHeight="15" x14ac:dyDescent="0.25"/>
  <cols>
    <col min="1" max="1" width="21.42578125" customWidth="1"/>
    <col min="2" max="2" width="26.85546875" customWidth="1"/>
    <col min="3" max="3" width="13.28515625" customWidth="1"/>
    <col min="5" max="5" width="13.140625" customWidth="1"/>
    <col min="6" max="6" width="13.28515625" customWidth="1"/>
    <col min="9" max="9" width="13.140625" customWidth="1"/>
    <col min="10" max="10" width="13.28515625" customWidth="1"/>
    <col min="12" max="12" width="12.7109375" customWidth="1"/>
  </cols>
  <sheetData>
    <row r="1" spans="1:12" x14ac:dyDescent="0.25">
      <c r="A1" s="29" t="s">
        <v>709</v>
      </c>
      <c r="B1" t="s">
        <v>428</v>
      </c>
      <c r="C1" s="29" t="s">
        <v>429</v>
      </c>
      <c r="D1" s="29"/>
      <c r="E1" s="29" t="s">
        <v>430</v>
      </c>
      <c r="F1" s="29"/>
      <c r="G1" s="29" t="s">
        <v>431</v>
      </c>
      <c r="H1" s="29"/>
      <c r="I1" s="29" t="s">
        <v>432</v>
      </c>
      <c r="J1" s="29"/>
      <c r="K1" s="29" t="s">
        <v>260</v>
      </c>
      <c r="L1" s="29"/>
    </row>
    <row r="2" spans="1:12" x14ac:dyDescent="0.25">
      <c r="A2" s="29"/>
      <c r="B2" t="s">
        <v>433</v>
      </c>
      <c r="C2" t="s">
        <v>263</v>
      </c>
      <c r="D2" t="s">
        <v>265</v>
      </c>
      <c r="E2" t="s">
        <v>263</v>
      </c>
      <c r="F2" t="s">
        <v>265</v>
      </c>
      <c r="G2" t="s">
        <v>263</v>
      </c>
      <c r="H2" t="s">
        <v>265</v>
      </c>
      <c r="I2" t="s">
        <v>263</v>
      </c>
      <c r="J2" t="s">
        <v>265</v>
      </c>
      <c r="K2" t="s">
        <v>263</v>
      </c>
      <c r="L2" t="s">
        <v>265</v>
      </c>
    </row>
    <row r="3" spans="1:12" x14ac:dyDescent="0.25">
      <c r="A3" t="s">
        <v>283</v>
      </c>
      <c r="B3" t="s">
        <v>780</v>
      </c>
      <c r="C3">
        <v>91</v>
      </c>
      <c r="D3">
        <v>25</v>
      </c>
      <c r="E3">
        <v>154</v>
      </c>
      <c r="F3">
        <v>40</v>
      </c>
      <c r="G3">
        <v>4834</v>
      </c>
      <c r="H3">
        <v>2516</v>
      </c>
      <c r="I3">
        <v>894</v>
      </c>
      <c r="J3">
        <v>216</v>
      </c>
      <c r="K3">
        <v>5973</v>
      </c>
      <c r="L3">
        <v>2797</v>
      </c>
    </row>
    <row r="4" spans="1:12" x14ac:dyDescent="0.25">
      <c r="A4" t="s">
        <v>284</v>
      </c>
      <c r="B4" t="s">
        <v>781</v>
      </c>
      <c r="C4">
        <v>121</v>
      </c>
      <c r="D4">
        <v>31</v>
      </c>
      <c r="E4">
        <v>181</v>
      </c>
      <c r="F4">
        <v>47</v>
      </c>
      <c r="G4">
        <v>6851</v>
      </c>
      <c r="H4">
        <v>4128</v>
      </c>
      <c r="I4">
        <v>1686</v>
      </c>
      <c r="J4">
        <v>632</v>
      </c>
      <c r="K4">
        <v>8839</v>
      </c>
      <c r="L4">
        <v>4838</v>
      </c>
    </row>
    <row r="5" spans="1:12" x14ac:dyDescent="0.25">
      <c r="A5" t="s">
        <v>285</v>
      </c>
      <c r="B5" t="s">
        <v>436</v>
      </c>
      <c r="C5">
        <v>140</v>
      </c>
      <c r="D5">
        <v>54</v>
      </c>
      <c r="E5">
        <v>127</v>
      </c>
      <c r="F5">
        <v>39</v>
      </c>
      <c r="G5">
        <v>5779</v>
      </c>
      <c r="H5">
        <v>3352</v>
      </c>
      <c r="I5">
        <v>1743</v>
      </c>
      <c r="J5">
        <v>684</v>
      </c>
      <c r="K5">
        <v>7789</v>
      </c>
      <c r="L5">
        <v>4129</v>
      </c>
    </row>
    <row r="6" spans="1:12" x14ac:dyDescent="0.25">
      <c r="A6" t="s">
        <v>286</v>
      </c>
      <c r="B6" t="s">
        <v>782</v>
      </c>
      <c r="C6">
        <v>121</v>
      </c>
      <c r="D6">
        <v>34</v>
      </c>
      <c r="E6">
        <v>113</v>
      </c>
      <c r="F6">
        <v>31</v>
      </c>
      <c r="G6">
        <v>3567</v>
      </c>
      <c r="H6">
        <v>1727</v>
      </c>
      <c r="I6">
        <v>675</v>
      </c>
      <c r="J6">
        <v>175</v>
      </c>
      <c r="K6">
        <v>4476</v>
      </c>
      <c r="L6">
        <v>1967</v>
      </c>
    </row>
    <row r="7" spans="1:12" x14ac:dyDescent="0.25">
      <c r="A7" t="s">
        <v>287</v>
      </c>
      <c r="B7" t="s">
        <v>438</v>
      </c>
      <c r="C7">
        <v>96</v>
      </c>
      <c r="D7">
        <v>27</v>
      </c>
      <c r="E7">
        <v>109</v>
      </c>
      <c r="F7">
        <v>21</v>
      </c>
      <c r="G7">
        <v>4390</v>
      </c>
      <c r="H7">
        <v>1939</v>
      </c>
      <c r="I7">
        <v>793</v>
      </c>
      <c r="J7">
        <v>142</v>
      </c>
      <c r="K7">
        <v>5388</v>
      </c>
      <c r="L7">
        <v>2129</v>
      </c>
    </row>
    <row r="8" spans="1:12" x14ac:dyDescent="0.25">
      <c r="A8" t="s">
        <v>288</v>
      </c>
      <c r="B8" t="s">
        <v>783</v>
      </c>
      <c r="C8">
        <v>94</v>
      </c>
      <c r="D8">
        <v>22</v>
      </c>
      <c r="E8">
        <v>111</v>
      </c>
      <c r="F8">
        <v>25</v>
      </c>
      <c r="G8">
        <v>4398</v>
      </c>
      <c r="H8">
        <v>2444</v>
      </c>
      <c r="I8">
        <v>774</v>
      </c>
      <c r="J8">
        <v>192</v>
      </c>
      <c r="K8">
        <v>5377</v>
      </c>
      <c r="L8">
        <v>2683</v>
      </c>
    </row>
    <row r="9" spans="1:12" x14ac:dyDescent="0.25">
      <c r="A9" t="s">
        <v>289</v>
      </c>
      <c r="B9" t="s">
        <v>440</v>
      </c>
      <c r="C9">
        <v>105</v>
      </c>
      <c r="D9">
        <v>13</v>
      </c>
      <c r="E9">
        <v>122</v>
      </c>
      <c r="F9">
        <v>21</v>
      </c>
      <c r="G9">
        <v>4802</v>
      </c>
      <c r="H9">
        <v>2378</v>
      </c>
      <c r="I9">
        <v>944</v>
      </c>
      <c r="J9">
        <v>199</v>
      </c>
      <c r="K9">
        <v>5973</v>
      </c>
      <c r="L9">
        <v>2611</v>
      </c>
    </row>
    <row r="10" spans="1:12" x14ac:dyDescent="0.25">
      <c r="A10" t="s">
        <v>290</v>
      </c>
      <c r="B10" t="s">
        <v>441</v>
      </c>
      <c r="C10">
        <v>114</v>
      </c>
      <c r="D10">
        <v>40</v>
      </c>
      <c r="E10">
        <v>148</v>
      </c>
      <c r="F10">
        <v>43</v>
      </c>
      <c r="G10">
        <v>7298</v>
      </c>
      <c r="H10">
        <v>4050</v>
      </c>
      <c r="I10">
        <v>1461</v>
      </c>
      <c r="J10">
        <v>391</v>
      </c>
      <c r="K10">
        <v>9021</v>
      </c>
      <c r="L10">
        <v>4524</v>
      </c>
    </row>
    <row r="11" spans="1:12" x14ac:dyDescent="0.25">
      <c r="A11" t="s">
        <v>291</v>
      </c>
      <c r="B11" t="s">
        <v>442</v>
      </c>
      <c r="C11">
        <v>47</v>
      </c>
      <c r="D11">
        <v>13</v>
      </c>
      <c r="E11">
        <v>22</v>
      </c>
      <c r="F11">
        <v>6</v>
      </c>
      <c r="G11">
        <v>456</v>
      </c>
      <c r="H11">
        <v>239</v>
      </c>
      <c r="I11">
        <v>93</v>
      </c>
      <c r="J11">
        <v>20</v>
      </c>
      <c r="K11">
        <v>618</v>
      </c>
      <c r="L11">
        <v>278</v>
      </c>
    </row>
    <row r="12" spans="1:12" x14ac:dyDescent="0.25">
      <c r="A12" t="s">
        <v>292</v>
      </c>
      <c r="B12" t="s">
        <v>443</v>
      </c>
      <c r="C12">
        <v>64</v>
      </c>
      <c r="D12">
        <v>19</v>
      </c>
      <c r="E12">
        <v>69</v>
      </c>
      <c r="F12">
        <v>18</v>
      </c>
      <c r="G12">
        <v>1097</v>
      </c>
      <c r="H12">
        <v>503</v>
      </c>
      <c r="I12">
        <v>162</v>
      </c>
      <c r="J12">
        <v>41</v>
      </c>
      <c r="K12">
        <v>1392</v>
      </c>
      <c r="L12">
        <v>581</v>
      </c>
    </row>
    <row r="13" spans="1:12" x14ac:dyDescent="0.25">
      <c r="A13" t="s">
        <v>293</v>
      </c>
      <c r="B13" t="s">
        <v>444</v>
      </c>
      <c r="C13">
        <v>69</v>
      </c>
      <c r="D13">
        <v>22</v>
      </c>
      <c r="E13">
        <v>72</v>
      </c>
      <c r="F13">
        <v>19</v>
      </c>
      <c r="G13">
        <v>2577</v>
      </c>
      <c r="H13">
        <v>1623</v>
      </c>
      <c r="I13">
        <v>372</v>
      </c>
      <c r="J13">
        <v>132</v>
      </c>
      <c r="K13">
        <v>3090</v>
      </c>
      <c r="L13">
        <v>1796</v>
      </c>
    </row>
    <row r="14" spans="1:12" x14ac:dyDescent="0.25">
      <c r="A14" t="s">
        <v>294</v>
      </c>
      <c r="B14" t="s">
        <v>445</v>
      </c>
      <c r="C14">
        <v>5</v>
      </c>
      <c r="D14">
        <v>0</v>
      </c>
      <c r="E14">
        <v>21</v>
      </c>
      <c r="F14">
        <v>3</v>
      </c>
      <c r="G14">
        <v>839</v>
      </c>
      <c r="H14">
        <v>408</v>
      </c>
      <c r="I14">
        <v>53</v>
      </c>
      <c r="J14">
        <v>11</v>
      </c>
      <c r="K14">
        <v>918</v>
      </c>
      <c r="L14">
        <v>422</v>
      </c>
    </row>
    <row r="15" spans="1:12" x14ac:dyDescent="0.25">
      <c r="A15" t="s">
        <v>295</v>
      </c>
      <c r="B15" t="s">
        <v>446</v>
      </c>
      <c r="C15">
        <v>51</v>
      </c>
      <c r="D15">
        <v>12</v>
      </c>
      <c r="E15">
        <v>63</v>
      </c>
      <c r="F15">
        <v>11</v>
      </c>
      <c r="G15">
        <v>1561</v>
      </c>
      <c r="H15">
        <v>721</v>
      </c>
      <c r="I15">
        <v>318</v>
      </c>
      <c r="J15">
        <v>73</v>
      </c>
      <c r="K15">
        <v>1993</v>
      </c>
      <c r="L15">
        <v>817</v>
      </c>
    </row>
    <row r="16" spans="1:12" x14ac:dyDescent="0.25">
      <c r="A16" t="s">
        <v>296</v>
      </c>
      <c r="B16" t="s">
        <v>447</v>
      </c>
      <c r="C16">
        <v>47</v>
      </c>
      <c r="D16">
        <v>12</v>
      </c>
      <c r="E16">
        <v>19</v>
      </c>
      <c r="F16">
        <v>4</v>
      </c>
      <c r="G16">
        <v>636</v>
      </c>
      <c r="H16">
        <v>341</v>
      </c>
      <c r="I16">
        <v>81</v>
      </c>
      <c r="J16">
        <v>22</v>
      </c>
      <c r="K16">
        <v>783</v>
      </c>
      <c r="L16">
        <v>379</v>
      </c>
    </row>
    <row r="17" spans="1:12" x14ac:dyDescent="0.25">
      <c r="A17" t="s">
        <v>297</v>
      </c>
      <c r="B17" t="s">
        <v>448</v>
      </c>
      <c r="C17">
        <v>109</v>
      </c>
      <c r="D17">
        <v>32</v>
      </c>
      <c r="E17">
        <v>112</v>
      </c>
      <c r="F17">
        <v>42</v>
      </c>
      <c r="G17">
        <v>9445</v>
      </c>
      <c r="H17">
        <v>5506</v>
      </c>
      <c r="I17">
        <v>1133</v>
      </c>
      <c r="J17">
        <v>439</v>
      </c>
      <c r="K17">
        <v>10799</v>
      </c>
      <c r="L17">
        <v>6019</v>
      </c>
    </row>
    <row r="18" spans="1:12" x14ac:dyDescent="0.25">
      <c r="A18" t="s">
        <v>298</v>
      </c>
      <c r="B18" t="s">
        <v>784</v>
      </c>
      <c r="C18">
        <v>65</v>
      </c>
      <c r="D18">
        <v>20</v>
      </c>
      <c r="E18">
        <v>49</v>
      </c>
      <c r="F18">
        <v>16</v>
      </c>
      <c r="G18">
        <v>1570</v>
      </c>
      <c r="H18">
        <v>781</v>
      </c>
      <c r="I18">
        <v>232</v>
      </c>
      <c r="J18">
        <v>75</v>
      </c>
      <c r="K18">
        <v>1916</v>
      </c>
      <c r="L18">
        <v>892</v>
      </c>
    </row>
    <row r="19" spans="1:12" x14ac:dyDescent="0.25">
      <c r="A19" t="s">
        <v>299</v>
      </c>
      <c r="B19" t="s">
        <v>450</v>
      </c>
      <c r="C19">
        <v>64</v>
      </c>
      <c r="D19">
        <v>13</v>
      </c>
      <c r="E19">
        <v>88</v>
      </c>
      <c r="F19">
        <v>20</v>
      </c>
      <c r="G19">
        <v>2041</v>
      </c>
      <c r="H19">
        <v>1061</v>
      </c>
      <c r="I19">
        <v>321</v>
      </c>
      <c r="J19">
        <v>88</v>
      </c>
      <c r="K19">
        <v>2514</v>
      </c>
      <c r="L19">
        <v>1182</v>
      </c>
    </row>
    <row r="20" spans="1:12" x14ac:dyDescent="0.25">
      <c r="A20" t="s">
        <v>300</v>
      </c>
      <c r="B20" t="s">
        <v>785</v>
      </c>
      <c r="C20">
        <v>104</v>
      </c>
      <c r="D20">
        <v>39</v>
      </c>
      <c r="E20">
        <v>155</v>
      </c>
      <c r="F20">
        <v>46</v>
      </c>
      <c r="G20">
        <v>5648</v>
      </c>
      <c r="H20">
        <v>2699</v>
      </c>
      <c r="I20">
        <v>1863</v>
      </c>
      <c r="J20">
        <v>450</v>
      </c>
      <c r="K20">
        <v>7770</v>
      </c>
      <c r="L20">
        <v>3234</v>
      </c>
    </row>
    <row r="21" spans="1:12" x14ac:dyDescent="0.25">
      <c r="A21" t="s">
        <v>301</v>
      </c>
      <c r="B21" t="s">
        <v>452</v>
      </c>
      <c r="C21">
        <v>84</v>
      </c>
      <c r="D21">
        <v>19</v>
      </c>
      <c r="E21">
        <v>99</v>
      </c>
      <c r="F21">
        <v>26</v>
      </c>
      <c r="G21">
        <v>3138</v>
      </c>
      <c r="H21">
        <v>1540</v>
      </c>
      <c r="I21">
        <v>679</v>
      </c>
      <c r="J21">
        <v>191</v>
      </c>
      <c r="K21">
        <v>4000</v>
      </c>
      <c r="L21">
        <v>1776</v>
      </c>
    </row>
    <row r="22" spans="1:12" x14ac:dyDescent="0.25">
      <c r="A22" t="s">
        <v>302</v>
      </c>
      <c r="B22" t="s">
        <v>453</v>
      </c>
      <c r="C22">
        <v>50</v>
      </c>
      <c r="D22">
        <v>11</v>
      </c>
      <c r="E22">
        <v>52</v>
      </c>
      <c r="F22">
        <v>5</v>
      </c>
      <c r="G22">
        <v>1316</v>
      </c>
      <c r="H22">
        <v>624</v>
      </c>
      <c r="I22">
        <v>125</v>
      </c>
      <c r="J22">
        <v>33</v>
      </c>
      <c r="K22">
        <v>1543</v>
      </c>
      <c r="L22">
        <v>673</v>
      </c>
    </row>
    <row r="23" spans="1:12" x14ac:dyDescent="0.25">
      <c r="A23" t="s">
        <v>303</v>
      </c>
      <c r="B23" t="s">
        <v>454</v>
      </c>
      <c r="C23">
        <v>127</v>
      </c>
      <c r="D23">
        <v>33</v>
      </c>
      <c r="E23">
        <v>170</v>
      </c>
      <c r="F23">
        <v>49</v>
      </c>
      <c r="G23">
        <v>5769</v>
      </c>
      <c r="H23">
        <v>3579</v>
      </c>
      <c r="I23">
        <v>1809</v>
      </c>
      <c r="J23">
        <v>792</v>
      </c>
      <c r="K23">
        <v>7875</v>
      </c>
      <c r="L23">
        <v>4453</v>
      </c>
    </row>
    <row r="24" spans="1:12" x14ac:dyDescent="0.25">
      <c r="A24" t="s">
        <v>304</v>
      </c>
      <c r="B24" t="s">
        <v>455</v>
      </c>
      <c r="C24">
        <v>60</v>
      </c>
      <c r="D24">
        <v>17</v>
      </c>
      <c r="E24">
        <v>58</v>
      </c>
      <c r="F24">
        <v>19</v>
      </c>
      <c r="G24">
        <v>1321</v>
      </c>
      <c r="H24">
        <v>740</v>
      </c>
      <c r="I24">
        <v>146</v>
      </c>
      <c r="J24">
        <v>46</v>
      </c>
      <c r="K24">
        <v>1585</v>
      </c>
      <c r="L24">
        <v>822</v>
      </c>
    </row>
    <row r="25" spans="1:12" x14ac:dyDescent="0.25">
      <c r="A25" t="s">
        <v>305</v>
      </c>
      <c r="B25" t="s">
        <v>456</v>
      </c>
      <c r="C25">
        <v>115</v>
      </c>
      <c r="D25">
        <v>21</v>
      </c>
      <c r="E25">
        <v>123</v>
      </c>
      <c r="F25">
        <v>24</v>
      </c>
      <c r="G25">
        <v>3694</v>
      </c>
      <c r="H25">
        <v>1423</v>
      </c>
      <c r="I25">
        <v>933</v>
      </c>
      <c r="J25">
        <v>211</v>
      </c>
      <c r="K25">
        <v>4865</v>
      </c>
      <c r="L25">
        <v>1679</v>
      </c>
    </row>
    <row r="26" spans="1:12" x14ac:dyDescent="0.25">
      <c r="A26" t="s">
        <v>306</v>
      </c>
      <c r="B26" t="s">
        <v>457</v>
      </c>
      <c r="C26">
        <v>151</v>
      </c>
      <c r="D26">
        <v>45</v>
      </c>
      <c r="E26">
        <v>135</v>
      </c>
      <c r="F26">
        <v>25</v>
      </c>
      <c r="G26">
        <v>6473</v>
      </c>
      <c r="H26">
        <v>2652</v>
      </c>
      <c r="I26">
        <v>1724</v>
      </c>
      <c r="J26">
        <v>402</v>
      </c>
      <c r="K26">
        <v>8483</v>
      </c>
      <c r="L26">
        <v>3124</v>
      </c>
    </row>
    <row r="27" spans="1:12" x14ac:dyDescent="0.25">
      <c r="A27" t="s">
        <v>307</v>
      </c>
      <c r="B27" t="s">
        <v>458</v>
      </c>
      <c r="C27">
        <v>87</v>
      </c>
      <c r="D27">
        <v>28</v>
      </c>
      <c r="E27">
        <v>80</v>
      </c>
      <c r="F27">
        <v>16</v>
      </c>
      <c r="G27">
        <v>3725</v>
      </c>
      <c r="H27">
        <v>2068</v>
      </c>
      <c r="I27">
        <v>848</v>
      </c>
      <c r="J27">
        <v>246</v>
      </c>
      <c r="K27">
        <v>4740</v>
      </c>
      <c r="L27">
        <v>2358</v>
      </c>
    </row>
    <row r="28" spans="1:12" x14ac:dyDescent="0.25">
      <c r="A28" t="s">
        <v>266</v>
      </c>
      <c r="C28">
        <v>2181</v>
      </c>
      <c r="D28">
        <v>602</v>
      </c>
      <c r="E28">
        <v>2452</v>
      </c>
      <c r="F28">
        <v>616</v>
      </c>
      <c r="G28">
        <v>93225</v>
      </c>
      <c r="H28">
        <v>49042</v>
      </c>
      <c r="I28">
        <v>19862</v>
      </c>
      <c r="J28">
        <v>5903</v>
      </c>
      <c r="K28">
        <v>117720</v>
      </c>
      <c r="L28">
        <v>56163</v>
      </c>
    </row>
    <row r="29" spans="1:12" x14ac:dyDescent="0.25">
      <c r="A29" t="s">
        <v>459</v>
      </c>
      <c r="C29">
        <v>2181</v>
      </c>
      <c r="D29">
        <v>602</v>
      </c>
      <c r="E29">
        <v>480</v>
      </c>
      <c r="F29">
        <v>178</v>
      </c>
      <c r="G29">
        <v>22331</v>
      </c>
      <c r="H29">
        <v>12970</v>
      </c>
      <c r="I29">
        <v>3488</v>
      </c>
      <c r="J29">
        <v>1425</v>
      </c>
      <c r="K29">
        <v>28480</v>
      </c>
      <c r="L29">
        <v>15175</v>
      </c>
    </row>
    <row r="30" spans="1:12" x14ac:dyDescent="0.25">
      <c r="A30" t="s">
        <v>460</v>
      </c>
      <c r="C30">
        <v>0</v>
      </c>
      <c r="D30">
        <v>0</v>
      </c>
      <c r="E30">
        <v>1972</v>
      </c>
      <c r="F30">
        <v>438</v>
      </c>
      <c r="G30">
        <v>70894</v>
      </c>
      <c r="H30">
        <v>36072</v>
      </c>
      <c r="I30">
        <v>16374</v>
      </c>
      <c r="J30">
        <v>4478</v>
      </c>
      <c r="K30">
        <v>89240</v>
      </c>
      <c r="L30">
        <v>40988</v>
      </c>
    </row>
  </sheetData>
  <mergeCells count="6">
    <mergeCell ref="A1:A2"/>
    <mergeCell ref="C1:D1"/>
    <mergeCell ref="G1:H1"/>
    <mergeCell ref="E1:F1"/>
    <mergeCell ref="K1:L1"/>
    <mergeCell ref="I1:J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FFC000"/>
  </sheetPr>
  <dimension ref="A1:M30"/>
  <sheetViews>
    <sheetView workbookViewId="0"/>
  </sheetViews>
  <sheetFormatPr defaultRowHeight="15" x14ac:dyDescent="0.25"/>
  <cols>
    <col min="1" max="1" width="28.42578125" customWidth="1"/>
    <col min="2" max="2" width="12.42578125" customWidth="1"/>
    <col min="9" max="9" width="12.140625" customWidth="1"/>
    <col min="10" max="10" width="12.42578125" customWidth="1"/>
    <col min="12" max="12" width="14.42578125" customWidth="1"/>
    <col min="13" max="13" width="14.7109375" customWidth="1"/>
  </cols>
  <sheetData>
    <row r="1" spans="1:13" x14ac:dyDescent="0.25">
      <c r="A1" s="29" t="s">
        <v>709</v>
      </c>
      <c r="B1" s="29" t="s">
        <v>462</v>
      </c>
      <c r="C1" s="29"/>
      <c r="D1" s="29"/>
      <c r="E1" s="29"/>
      <c r="F1" s="29"/>
      <c r="G1" s="29"/>
      <c r="H1" s="29"/>
      <c r="I1" s="29"/>
      <c r="J1" s="29"/>
      <c r="K1" s="29"/>
      <c r="L1" t="s">
        <v>463</v>
      </c>
      <c r="M1" t="s">
        <v>464</v>
      </c>
    </row>
    <row r="2" spans="1:13" x14ac:dyDescent="0.25">
      <c r="A2" s="29"/>
      <c r="B2" t="s">
        <v>465</v>
      </c>
      <c r="C2" t="s">
        <v>466</v>
      </c>
      <c r="D2" t="s">
        <v>467</v>
      </c>
      <c r="E2" t="s">
        <v>468</v>
      </c>
      <c r="F2" t="s">
        <v>469</v>
      </c>
      <c r="G2" t="s">
        <v>470</v>
      </c>
      <c r="H2" t="s">
        <v>471</v>
      </c>
      <c r="I2" t="s">
        <v>472</v>
      </c>
      <c r="J2" t="s">
        <v>473</v>
      </c>
      <c r="K2" t="s">
        <v>474</v>
      </c>
      <c r="L2" t="s">
        <v>475</v>
      </c>
      <c r="M2" t="s">
        <v>475</v>
      </c>
    </row>
    <row r="3" spans="1:13" x14ac:dyDescent="0.25">
      <c r="A3" t="s">
        <v>283</v>
      </c>
      <c r="B3">
        <v>173</v>
      </c>
      <c r="C3">
        <v>231</v>
      </c>
      <c r="D3">
        <v>118</v>
      </c>
      <c r="E3">
        <v>50</v>
      </c>
      <c r="F3">
        <v>112</v>
      </c>
      <c r="G3">
        <v>26</v>
      </c>
      <c r="H3">
        <v>36</v>
      </c>
      <c r="I3">
        <v>72</v>
      </c>
      <c r="J3">
        <v>21</v>
      </c>
      <c r="K3">
        <v>837</v>
      </c>
      <c r="L3">
        <v>23</v>
      </c>
      <c r="M3">
        <v>0</v>
      </c>
    </row>
    <row r="4" spans="1:13" x14ac:dyDescent="0.25">
      <c r="A4" t="s">
        <v>284</v>
      </c>
      <c r="B4">
        <v>461</v>
      </c>
      <c r="C4">
        <v>384</v>
      </c>
      <c r="D4">
        <v>168</v>
      </c>
      <c r="E4">
        <v>75</v>
      </c>
      <c r="F4">
        <v>437</v>
      </c>
      <c r="G4">
        <v>32</v>
      </c>
      <c r="H4">
        <v>79</v>
      </c>
      <c r="I4">
        <v>152</v>
      </c>
      <c r="J4">
        <v>51</v>
      </c>
      <c r="K4">
        <v>1830</v>
      </c>
      <c r="L4">
        <v>15</v>
      </c>
      <c r="M4">
        <v>0</v>
      </c>
    </row>
    <row r="5" spans="1:13" x14ac:dyDescent="0.25">
      <c r="A5" t="s">
        <v>285</v>
      </c>
      <c r="B5">
        <v>329</v>
      </c>
      <c r="C5">
        <v>360</v>
      </c>
      <c r="D5">
        <v>139</v>
      </c>
      <c r="E5">
        <v>27</v>
      </c>
      <c r="F5">
        <v>185</v>
      </c>
      <c r="G5">
        <v>59</v>
      </c>
      <c r="H5">
        <v>80</v>
      </c>
      <c r="I5">
        <v>47</v>
      </c>
      <c r="J5">
        <v>32</v>
      </c>
      <c r="K5">
        <v>1250</v>
      </c>
      <c r="L5">
        <v>12</v>
      </c>
      <c r="M5">
        <v>0</v>
      </c>
    </row>
    <row r="6" spans="1:13" x14ac:dyDescent="0.25">
      <c r="A6" t="s">
        <v>286</v>
      </c>
      <c r="B6">
        <v>107</v>
      </c>
      <c r="C6">
        <v>140</v>
      </c>
      <c r="D6">
        <v>90</v>
      </c>
      <c r="E6">
        <v>22</v>
      </c>
      <c r="F6">
        <v>118</v>
      </c>
      <c r="G6">
        <v>10</v>
      </c>
      <c r="H6">
        <v>108</v>
      </c>
      <c r="I6">
        <v>84</v>
      </c>
      <c r="J6">
        <v>42</v>
      </c>
      <c r="K6">
        <v>719</v>
      </c>
      <c r="L6">
        <v>17</v>
      </c>
      <c r="M6">
        <v>0</v>
      </c>
    </row>
    <row r="7" spans="1:13" x14ac:dyDescent="0.25">
      <c r="A7" t="s">
        <v>287</v>
      </c>
      <c r="B7">
        <v>188</v>
      </c>
      <c r="C7">
        <v>227</v>
      </c>
      <c r="D7">
        <v>205</v>
      </c>
      <c r="E7">
        <v>70</v>
      </c>
      <c r="F7">
        <v>349</v>
      </c>
      <c r="G7">
        <v>18</v>
      </c>
      <c r="H7">
        <v>205</v>
      </c>
      <c r="I7">
        <v>87</v>
      </c>
      <c r="J7">
        <v>110</v>
      </c>
      <c r="K7">
        <v>1451</v>
      </c>
      <c r="L7">
        <v>32</v>
      </c>
      <c r="M7">
        <v>0</v>
      </c>
    </row>
    <row r="8" spans="1:13" x14ac:dyDescent="0.25">
      <c r="A8" t="s">
        <v>288</v>
      </c>
      <c r="B8">
        <v>127</v>
      </c>
      <c r="C8">
        <v>228</v>
      </c>
      <c r="D8">
        <v>96</v>
      </c>
      <c r="E8">
        <v>23</v>
      </c>
      <c r="F8">
        <v>108</v>
      </c>
      <c r="G8">
        <v>19</v>
      </c>
      <c r="H8">
        <v>46</v>
      </c>
      <c r="I8">
        <v>81</v>
      </c>
      <c r="J8">
        <v>22</v>
      </c>
      <c r="K8">
        <v>748</v>
      </c>
      <c r="L8">
        <v>37</v>
      </c>
      <c r="M8">
        <v>0</v>
      </c>
    </row>
    <row r="9" spans="1:13" x14ac:dyDescent="0.25">
      <c r="A9" t="s">
        <v>289</v>
      </c>
      <c r="B9">
        <v>221</v>
      </c>
      <c r="C9">
        <v>212</v>
      </c>
      <c r="D9">
        <v>182</v>
      </c>
      <c r="E9">
        <v>25</v>
      </c>
      <c r="F9">
        <v>130</v>
      </c>
      <c r="G9">
        <v>15</v>
      </c>
      <c r="H9">
        <v>58</v>
      </c>
      <c r="I9">
        <v>88</v>
      </c>
      <c r="J9">
        <v>106</v>
      </c>
      <c r="K9">
        <v>1035</v>
      </c>
      <c r="L9">
        <v>12</v>
      </c>
      <c r="M9">
        <v>0</v>
      </c>
    </row>
    <row r="10" spans="1:13" x14ac:dyDescent="0.25">
      <c r="A10" t="s">
        <v>290</v>
      </c>
      <c r="B10">
        <v>311</v>
      </c>
      <c r="C10">
        <v>396</v>
      </c>
      <c r="D10">
        <v>170</v>
      </c>
      <c r="E10">
        <v>50</v>
      </c>
      <c r="F10">
        <v>139</v>
      </c>
      <c r="G10">
        <v>69</v>
      </c>
      <c r="H10">
        <v>109</v>
      </c>
      <c r="I10">
        <v>117</v>
      </c>
      <c r="J10">
        <v>19</v>
      </c>
      <c r="K10">
        <v>1374</v>
      </c>
      <c r="L10">
        <v>34</v>
      </c>
      <c r="M10">
        <v>0</v>
      </c>
    </row>
    <row r="11" spans="1:13" x14ac:dyDescent="0.25">
      <c r="A11" t="s">
        <v>291</v>
      </c>
      <c r="B11">
        <v>22</v>
      </c>
      <c r="C11">
        <v>26</v>
      </c>
      <c r="D11">
        <v>15</v>
      </c>
      <c r="E11">
        <v>7</v>
      </c>
      <c r="F11">
        <v>9</v>
      </c>
      <c r="G11">
        <v>7</v>
      </c>
      <c r="H11">
        <v>6</v>
      </c>
      <c r="I11">
        <v>12</v>
      </c>
      <c r="J11">
        <v>3</v>
      </c>
      <c r="K11">
        <v>107</v>
      </c>
      <c r="L11">
        <v>0</v>
      </c>
      <c r="M11">
        <v>0</v>
      </c>
    </row>
    <row r="12" spans="1:13" x14ac:dyDescent="0.25">
      <c r="A12" t="s">
        <v>292</v>
      </c>
      <c r="B12">
        <v>63</v>
      </c>
      <c r="C12">
        <v>56</v>
      </c>
      <c r="D12">
        <v>29</v>
      </c>
      <c r="E12">
        <v>14</v>
      </c>
      <c r="F12">
        <v>59</v>
      </c>
      <c r="G12">
        <v>8</v>
      </c>
      <c r="H12">
        <v>20</v>
      </c>
      <c r="I12">
        <v>31</v>
      </c>
      <c r="J12">
        <v>13</v>
      </c>
      <c r="K12">
        <v>292</v>
      </c>
      <c r="L12">
        <v>2</v>
      </c>
      <c r="M12">
        <v>0</v>
      </c>
    </row>
    <row r="13" spans="1:13" x14ac:dyDescent="0.25">
      <c r="A13" t="s">
        <v>293</v>
      </c>
      <c r="B13">
        <v>82</v>
      </c>
      <c r="C13">
        <v>83</v>
      </c>
      <c r="D13">
        <v>63</v>
      </c>
      <c r="E13">
        <v>24</v>
      </c>
      <c r="F13">
        <v>138</v>
      </c>
      <c r="G13">
        <v>9</v>
      </c>
      <c r="H13">
        <v>42</v>
      </c>
      <c r="I13">
        <v>45</v>
      </c>
      <c r="J13">
        <v>27</v>
      </c>
      <c r="K13">
        <v>510</v>
      </c>
      <c r="L13">
        <v>0</v>
      </c>
      <c r="M13">
        <v>0</v>
      </c>
    </row>
    <row r="14" spans="1:13" x14ac:dyDescent="0.25">
      <c r="A14" t="s">
        <v>294</v>
      </c>
      <c r="B14">
        <v>14</v>
      </c>
      <c r="C14">
        <v>11</v>
      </c>
      <c r="D14">
        <v>23</v>
      </c>
      <c r="E14">
        <v>9</v>
      </c>
      <c r="F14">
        <v>35</v>
      </c>
      <c r="G14">
        <v>5</v>
      </c>
      <c r="H14">
        <v>14</v>
      </c>
      <c r="I14">
        <v>5</v>
      </c>
      <c r="J14">
        <v>2</v>
      </c>
      <c r="K14">
        <v>118</v>
      </c>
      <c r="L14">
        <v>0</v>
      </c>
      <c r="M14">
        <v>0</v>
      </c>
    </row>
    <row r="15" spans="1:13" x14ac:dyDescent="0.25">
      <c r="A15" t="s">
        <v>295</v>
      </c>
      <c r="B15">
        <v>109</v>
      </c>
      <c r="C15">
        <v>56</v>
      </c>
      <c r="D15">
        <v>40</v>
      </c>
      <c r="E15">
        <v>9</v>
      </c>
      <c r="F15">
        <v>63</v>
      </c>
      <c r="G15">
        <v>2</v>
      </c>
      <c r="H15">
        <v>16</v>
      </c>
      <c r="I15">
        <v>17</v>
      </c>
      <c r="J15">
        <v>12</v>
      </c>
      <c r="K15">
        <v>321</v>
      </c>
      <c r="L15">
        <v>9</v>
      </c>
      <c r="M15">
        <v>0</v>
      </c>
    </row>
    <row r="16" spans="1:13" x14ac:dyDescent="0.25">
      <c r="A16" t="s">
        <v>296</v>
      </c>
      <c r="B16">
        <v>17</v>
      </c>
      <c r="C16">
        <v>20</v>
      </c>
      <c r="D16">
        <v>18</v>
      </c>
      <c r="E16">
        <v>4</v>
      </c>
      <c r="F16">
        <v>13</v>
      </c>
      <c r="G16">
        <v>5</v>
      </c>
      <c r="H16">
        <v>7</v>
      </c>
      <c r="I16">
        <v>5</v>
      </c>
      <c r="J16">
        <v>3</v>
      </c>
      <c r="K16">
        <v>92</v>
      </c>
      <c r="L16">
        <v>1</v>
      </c>
      <c r="M16">
        <v>0</v>
      </c>
    </row>
    <row r="17" spans="1:13" x14ac:dyDescent="0.25">
      <c r="A17" t="s">
        <v>297</v>
      </c>
      <c r="B17">
        <v>178</v>
      </c>
      <c r="C17">
        <v>208</v>
      </c>
      <c r="D17">
        <v>267</v>
      </c>
      <c r="E17">
        <v>73</v>
      </c>
      <c r="F17">
        <v>143</v>
      </c>
      <c r="G17">
        <v>94</v>
      </c>
      <c r="H17">
        <v>135</v>
      </c>
      <c r="I17">
        <v>272</v>
      </c>
      <c r="J17">
        <v>38</v>
      </c>
      <c r="K17">
        <v>1380</v>
      </c>
      <c r="L17">
        <v>61</v>
      </c>
      <c r="M17">
        <v>2</v>
      </c>
    </row>
    <row r="18" spans="1:13" x14ac:dyDescent="0.25">
      <c r="A18" t="s">
        <v>298</v>
      </c>
      <c r="B18">
        <v>21</v>
      </c>
      <c r="C18">
        <v>21</v>
      </c>
      <c r="D18">
        <v>8</v>
      </c>
      <c r="E18">
        <v>3</v>
      </c>
      <c r="F18">
        <v>11</v>
      </c>
      <c r="G18">
        <v>0</v>
      </c>
      <c r="H18">
        <v>5</v>
      </c>
      <c r="I18">
        <v>3</v>
      </c>
      <c r="J18">
        <v>6</v>
      </c>
      <c r="K18">
        <v>77</v>
      </c>
      <c r="L18">
        <v>0</v>
      </c>
      <c r="M18">
        <v>0</v>
      </c>
    </row>
    <row r="19" spans="1:13" x14ac:dyDescent="0.25">
      <c r="A19" t="s">
        <v>299</v>
      </c>
      <c r="B19">
        <v>111</v>
      </c>
      <c r="C19">
        <v>55</v>
      </c>
      <c r="D19">
        <v>51</v>
      </c>
      <c r="E19">
        <v>24</v>
      </c>
      <c r="F19">
        <v>171</v>
      </c>
      <c r="G19">
        <v>9</v>
      </c>
      <c r="H19">
        <v>20</v>
      </c>
      <c r="I19">
        <v>25</v>
      </c>
      <c r="J19">
        <v>29</v>
      </c>
      <c r="K19">
        <v>494</v>
      </c>
      <c r="L19">
        <v>17</v>
      </c>
      <c r="M19">
        <v>0</v>
      </c>
    </row>
    <row r="20" spans="1:13" x14ac:dyDescent="0.25">
      <c r="A20" t="s">
        <v>300</v>
      </c>
      <c r="B20">
        <v>503</v>
      </c>
      <c r="C20">
        <v>352</v>
      </c>
      <c r="D20">
        <v>202</v>
      </c>
      <c r="E20">
        <v>77</v>
      </c>
      <c r="F20">
        <v>316</v>
      </c>
      <c r="G20">
        <v>44</v>
      </c>
      <c r="H20">
        <v>119</v>
      </c>
      <c r="I20">
        <v>141</v>
      </c>
      <c r="J20">
        <v>97</v>
      </c>
      <c r="K20">
        <v>1835</v>
      </c>
      <c r="L20">
        <v>33</v>
      </c>
      <c r="M20">
        <v>17</v>
      </c>
    </row>
    <row r="21" spans="1:13" x14ac:dyDescent="0.25">
      <c r="A21" t="s">
        <v>301</v>
      </c>
      <c r="B21">
        <v>107</v>
      </c>
      <c r="C21">
        <v>108</v>
      </c>
      <c r="D21">
        <v>95</v>
      </c>
      <c r="E21">
        <v>31</v>
      </c>
      <c r="F21">
        <v>197</v>
      </c>
      <c r="G21">
        <v>7</v>
      </c>
      <c r="H21">
        <v>75</v>
      </c>
      <c r="I21">
        <v>52</v>
      </c>
      <c r="J21">
        <v>34</v>
      </c>
      <c r="K21">
        <v>688</v>
      </c>
      <c r="L21">
        <v>24</v>
      </c>
      <c r="M21">
        <v>2</v>
      </c>
    </row>
    <row r="22" spans="1:13" x14ac:dyDescent="0.25">
      <c r="A22" t="s">
        <v>302</v>
      </c>
      <c r="B22">
        <v>36</v>
      </c>
      <c r="C22">
        <v>38</v>
      </c>
      <c r="D22">
        <v>25</v>
      </c>
      <c r="E22">
        <v>21</v>
      </c>
      <c r="F22">
        <v>39</v>
      </c>
      <c r="G22">
        <v>5</v>
      </c>
      <c r="H22">
        <v>18</v>
      </c>
      <c r="I22">
        <v>27</v>
      </c>
      <c r="J22">
        <v>5</v>
      </c>
      <c r="K22">
        <v>211</v>
      </c>
      <c r="L22">
        <v>12</v>
      </c>
      <c r="M22">
        <v>0</v>
      </c>
    </row>
    <row r="23" spans="1:13" x14ac:dyDescent="0.25">
      <c r="A23" t="s">
        <v>303</v>
      </c>
      <c r="B23">
        <v>284</v>
      </c>
      <c r="C23">
        <v>382</v>
      </c>
      <c r="D23">
        <v>115</v>
      </c>
      <c r="E23">
        <v>41</v>
      </c>
      <c r="F23">
        <v>156</v>
      </c>
      <c r="G23">
        <v>12</v>
      </c>
      <c r="H23">
        <v>82</v>
      </c>
      <c r="I23">
        <v>109</v>
      </c>
      <c r="J23">
        <v>39</v>
      </c>
      <c r="K23">
        <v>1208</v>
      </c>
      <c r="L23">
        <v>102</v>
      </c>
      <c r="M23">
        <v>0</v>
      </c>
    </row>
    <row r="24" spans="1:13" x14ac:dyDescent="0.25">
      <c r="A24" t="s">
        <v>304</v>
      </c>
      <c r="B24">
        <v>71</v>
      </c>
      <c r="C24">
        <v>38</v>
      </c>
      <c r="D24">
        <v>38</v>
      </c>
      <c r="E24">
        <v>7</v>
      </c>
      <c r="F24">
        <v>54</v>
      </c>
      <c r="G24">
        <v>12</v>
      </c>
      <c r="H24">
        <v>21</v>
      </c>
      <c r="I24">
        <v>33</v>
      </c>
      <c r="J24">
        <v>26</v>
      </c>
      <c r="K24">
        <v>300</v>
      </c>
      <c r="L24">
        <v>4</v>
      </c>
      <c r="M24">
        <v>0</v>
      </c>
    </row>
    <row r="25" spans="1:13" x14ac:dyDescent="0.25">
      <c r="A25" t="s">
        <v>305</v>
      </c>
      <c r="B25">
        <v>180</v>
      </c>
      <c r="C25">
        <v>198</v>
      </c>
      <c r="D25">
        <v>92</v>
      </c>
      <c r="E25">
        <v>69</v>
      </c>
      <c r="F25">
        <v>185</v>
      </c>
      <c r="G25">
        <v>23</v>
      </c>
      <c r="H25">
        <v>72</v>
      </c>
      <c r="I25">
        <v>86</v>
      </c>
      <c r="J25">
        <v>48</v>
      </c>
      <c r="K25">
        <v>949</v>
      </c>
      <c r="L25">
        <v>20</v>
      </c>
      <c r="M25">
        <v>0</v>
      </c>
    </row>
    <row r="26" spans="1:13" x14ac:dyDescent="0.25">
      <c r="A26" t="s">
        <v>306</v>
      </c>
      <c r="B26">
        <v>323</v>
      </c>
      <c r="C26">
        <v>348</v>
      </c>
      <c r="D26">
        <v>272</v>
      </c>
      <c r="E26">
        <v>47</v>
      </c>
      <c r="F26">
        <v>203</v>
      </c>
      <c r="G26">
        <v>65</v>
      </c>
      <c r="H26">
        <v>99</v>
      </c>
      <c r="I26">
        <v>164</v>
      </c>
      <c r="J26">
        <v>90</v>
      </c>
      <c r="K26">
        <v>1605</v>
      </c>
      <c r="L26">
        <v>52</v>
      </c>
      <c r="M26">
        <v>0</v>
      </c>
    </row>
    <row r="27" spans="1:13" x14ac:dyDescent="0.25">
      <c r="A27" t="s">
        <v>307</v>
      </c>
      <c r="B27">
        <v>212</v>
      </c>
      <c r="C27">
        <v>186</v>
      </c>
      <c r="D27">
        <v>91</v>
      </c>
      <c r="E27">
        <v>34</v>
      </c>
      <c r="F27">
        <v>196</v>
      </c>
      <c r="G27">
        <v>17</v>
      </c>
      <c r="H27">
        <v>63</v>
      </c>
      <c r="I27">
        <v>52</v>
      </c>
      <c r="J27">
        <v>36</v>
      </c>
      <c r="K27">
        <v>881</v>
      </c>
      <c r="L27">
        <v>9</v>
      </c>
      <c r="M27">
        <v>1</v>
      </c>
    </row>
    <row r="28" spans="1:13" x14ac:dyDescent="0.25">
      <c r="A28" t="s">
        <v>266</v>
      </c>
      <c r="B28">
        <v>4250</v>
      </c>
      <c r="C28">
        <v>4364</v>
      </c>
      <c r="D28">
        <v>2612</v>
      </c>
      <c r="E28">
        <v>836</v>
      </c>
      <c r="F28">
        <v>3566</v>
      </c>
      <c r="G28">
        <v>572</v>
      </c>
      <c r="H28">
        <v>1535</v>
      </c>
      <c r="I28">
        <v>1807</v>
      </c>
      <c r="J28">
        <v>911</v>
      </c>
      <c r="K28">
        <v>20312</v>
      </c>
      <c r="L28">
        <v>528</v>
      </c>
      <c r="M28">
        <v>22</v>
      </c>
    </row>
    <row r="29" spans="1:13" x14ac:dyDescent="0.25">
      <c r="A29" t="s">
        <v>308</v>
      </c>
      <c r="B29">
        <v>612</v>
      </c>
      <c r="C29">
        <v>745</v>
      </c>
      <c r="D29">
        <v>575</v>
      </c>
      <c r="E29">
        <v>206</v>
      </c>
      <c r="F29">
        <v>459</v>
      </c>
      <c r="G29">
        <v>216</v>
      </c>
      <c r="H29">
        <v>364</v>
      </c>
      <c r="I29">
        <v>496</v>
      </c>
      <c r="J29">
        <v>171</v>
      </c>
      <c r="K29">
        <v>3785</v>
      </c>
      <c r="L29">
        <v>76</v>
      </c>
      <c r="M29">
        <v>2</v>
      </c>
    </row>
    <row r="30" spans="1:13" x14ac:dyDescent="0.25">
      <c r="A30" t="s">
        <v>309</v>
      </c>
      <c r="B30">
        <v>3638</v>
      </c>
      <c r="C30">
        <v>3619</v>
      </c>
      <c r="D30">
        <v>2037</v>
      </c>
      <c r="E30">
        <v>630</v>
      </c>
      <c r="F30">
        <v>3107</v>
      </c>
      <c r="G30">
        <v>356</v>
      </c>
      <c r="H30">
        <v>1171</v>
      </c>
      <c r="I30">
        <v>1311</v>
      </c>
      <c r="J30">
        <v>740</v>
      </c>
      <c r="K30">
        <v>16527</v>
      </c>
      <c r="L30">
        <v>452</v>
      </c>
      <c r="M30">
        <v>20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C000"/>
  </sheetPr>
  <dimension ref="A1:S30"/>
  <sheetViews>
    <sheetView workbookViewId="0"/>
  </sheetViews>
  <sheetFormatPr defaultRowHeight="15" x14ac:dyDescent="0.25"/>
  <cols>
    <col min="1" max="1" width="24.42578125" customWidth="1"/>
    <col min="2" max="2" width="8.7109375" customWidth="1"/>
    <col min="4" max="4" width="8.42578125" customWidth="1"/>
    <col min="5" max="5" width="8.7109375" customWidth="1"/>
    <col min="9" max="9" width="8.42578125" customWidth="1"/>
    <col min="10" max="10" width="8.7109375" customWidth="1"/>
    <col min="15" max="15" width="8.42578125" customWidth="1"/>
    <col min="16" max="16" width="8.7109375" customWidth="1"/>
    <col min="19" max="19" width="8.42578125" customWidth="1"/>
  </cols>
  <sheetData>
    <row r="1" spans="1:19" x14ac:dyDescent="0.25">
      <c r="A1" s="29" t="s">
        <v>709</v>
      </c>
      <c r="B1" s="29" t="s">
        <v>477</v>
      </c>
      <c r="C1" s="29"/>
      <c r="D1" s="29"/>
      <c r="E1" s="29"/>
      <c r="F1" s="29"/>
      <c r="G1" s="29"/>
      <c r="H1" s="29" t="s">
        <v>478</v>
      </c>
      <c r="I1" s="29"/>
      <c r="J1" s="29"/>
      <c r="K1" s="29"/>
      <c r="L1" s="29"/>
      <c r="M1" s="29"/>
      <c r="N1" s="29" t="s">
        <v>479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480</v>
      </c>
      <c r="D2" t="s">
        <v>481</v>
      </c>
      <c r="E2" t="s">
        <v>482</v>
      </c>
      <c r="F2" t="s">
        <v>483</v>
      </c>
      <c r="G2" t="s">
        <v>484</v>
      </c>
      <c r="H2" t="s">
        <v>346</v>
      </c>
      <c r="I2" t="s">
        <v>480</v>
      </c>
      <c r="J2" t="s">
        <v>481</v>
      </c>
      <c r="K2" t="s">
        <v>482</v>
      </c>
      <c r="L2" t="s">
        <v>485</v>
      </c>
      <c r="M2" t="s">
        <v>484</v>
      </c>
      <c r="N2" t="s">
        <v>346</v>
      </c>
      <c r="O2" t="s">
        <v>480</v>
      </c>
      <c r="P2" t="s">
        <v>481</v>
      </c>
      <c r="Q2" t="s">
        <v>482</v>
      </c>
      <c r="R2" t="s">
        <v>485</v>
      </c>
      <c r="S2" t="s">
        <v>484</v>
      </c>
    </row>
    <row r="3" spans="1:19" x14ac:dyDescent="0.25">
      <c r="A3" t="s">
        <v>283</v>
      </c>
      <c r="B3">
        <v>74</v>
      </c>
      <c r="C3">
        <v>769</v>
      </c>
      <c r="D3">
        <v>2722</v>
      </c>
      <c r="E3">
        <v>1192</v>
      </c>
      <c r="F3">
        <v>77</v>
      </c>
      <c r="G3">
        <v>0</v>
      </c>
      <c r="H3">
        <v>20</v>
      </c>
      <c r="I3">
        <v>175</v>
      </c>
      <c r="J3">
        <v>434</v>
      </c>
      <c r="K3">
        <v>230</v>
      </c>
      <c r="L3">
        <v>35</v>
      </c>
      <c r="M3">
        <v>0</v>
      </c>
      <c r="N3">
        <v>1</v>
      </c>
      <c r="O3">
        <v>5</v>
      </c>
      <c r="P3">
        <v>12</v>
      </c>
      <c r="Q3">
        <v>27</v>
      </c>
      <c r="R3">
        <v>0</v>
      </c>
      <c r="S3">
        <v>0</v>
      </c>
    </row>
    <row r="4" spans="1:19" x14ac:dyDescent="0.25">
      <c r="A4" t="s">
        <v>284</v>
      </c>
      <c r="B4">
        <v>147</v>
      </c>
      <c r="C4">
        <v>1038</v>
      </c>
      <c r="D4">
        <v>2980</v>
      </c>
      <c r="E4">
        <v>2524</v>
      </c>
      <c r="F4">
        <v>159</v>
      </c>
      <c r="G4">
        <v>1</v>
      </c>
      <c r="H4">
        <v>56</v>
      </c>
      <c r="I4">
        <v>283</v>
      </c>
      <c r="J4">
        <v>603</v>
      </c>
      <c r="K4">
        <v>647</v>
      </c>
      <c r="L4">
        <v>95</v>
      </c>
      <c r="M4">
        <v>2</v>
      </c>
      <c r="N4">
        <v>13</v>
      </c>
      <c r="O4">
        <v>22</v>
      </c>
      <c r="P4">
        <v>46</v>
      </c>
      <c r="Q4">
        <v>47</v>
      </c>
      <c r="R4">
        <v>2</v>
      </c>
      <c r="S4">
        <v>0</v>
      </c>
    </row>
    <row r="5" spans="1:19" x14ac:dyDescent="0.25">
      <c r="A5" t="s">
        <v>285</v>
      </c>
      <c r="B5">
        <v>215</v>
      </c>
      <c r="C5">
        <v>1491</v>
      </c>
      <c r="D5">
        <v>2716</v>
      </c>
      <c r="E5">
        <v>1291</v>
      </c>
      <c r="F5">
        <v>63</v>
      </c>
      <c r="G5">
        <v>3</v>
      </c>
      <c r="H5">
        <v>66</v>
      </c>
      <c r="I5">
        <v>530</v>
      </c>
      <c r="J5">
        <v>813</v>
      </c>
      <c r="K5">
        <v>286</v>
      </c>
      <c r="L5">
        <v>48</v>
      </c>
      <c r="M5">
        <v>0</v>
      </c>
      <c r="N5">
        <v>7</v>
      </c>
      <c r="O5">
        <v>38</v>
      </c>
      <c r="P5">
        <v>47</v>
      </c>
      <c r="Q5">
        <v>63</v>
      </c>
      <c r="R5">
        <v>3</v>
      </c>
      <c r="S5">
        <v>3</v>
      </c>
    </row>
    <row r="6" spans="1:19" x14ac:dyDescent="0.25">
      <c r="A6" t="s">
        <v>286</v>
      </c>
      <c r="B6">
        <v>38</v>
      </c>
      <c r="C6">
        <v>624</v>
      </c>
      <c r="D6">
        <v>1764</v>
      </c>
      <c r="E6">
        <v>1090</v>
      </c>
      <c r="F6">
        <v>51</v>
      </c>
      <c r="G6">
        <v>0</v>
      </c>
      <c r="H6">
        <v>14</v>
      </c>
      <c r="I6">
        <v>150</v>
      </c>
      <c r="J6">
        <v>305</v>
      </c>
      <c r="K6">
        <v>181</v>
      </c>
      <c r="L6">
        <v>25</v>
      </c>
      <c r="M6">
        <v>0</v>
      </c>
      <c r="N6">
        <v>0</v>
      </c>
      <c r="O6">
        <v>3</v>
      </c>
      <c r="P6">
        <v>6</v>
      </c>
      <c r="Q6">
        <v>4</v>
      </c>
      <c r="R6">
        <v>0</v>
      </c>
      <c r="S6">
        <v>0</v>
      </c>
    </row>
    <row r="7" spans="1:19" x14ac:dyDescent="0.25">
      <c r="A7" t="s">
        <v>287</v>
      </c>
      <c r="B7">
        <v>154</v>
      </c>
      <c r="C7">
        <v>906</v>
      </c>
      <c r="D7">
        <v>1931</v>
      </c>
      <c r="E7">
        <v>1318</v>
      </c>
      <c r="F7">
        <v>79</v>
      </c>
      <c r="G7">
        <v>2</v>
      </c>
      <c r="H7">
        <v>42</v>
      </c>
      <c r="I7">
        <v>190</v>
      </c>
      <c r="J7">
        <v>265</v>
      </c>
      <c r="K7">
        <v>257</v>
      </c>
      <c r="L7">
        <v>39</v>
      </c>
      <c r="M7">
        <v>0</v>
      </c>
      <c r="N7">
        <v>1</v>
      </c>
      <c r="O7">
        <v>9</v>
      </c>
      <c r="P7">
        <v>7</v>
      </c>
      <c r="Q7">
        <v>8</v>
      </c>
      <c r="R7">
        <v>0</v>
      </c>
      <c r="S7">
        <v>0</v>
      </c>
    </row>
    <row r="8" spans="1:19" x14ac:dyDescent="0.25">
      <c r="A8" t="s">
        <v>288</v>
      </c>
      <c r="B8">
        <v>158</v>
      </c>
      <c r="C8">
        <v>721</v>
      </c>
      <c r="D8">
        <v>2165</v>
      </c>
      <c r="E8">
        <v>1277</v>
      </c>
      <c r="F8">
        <v>75</v>
      </c>
      <c r="G8">
        <v>2</v>
      </c>
      <c r="H8">
        <v>25</v>
      </c>
      <c r="I8">
        <v>143</v>
      </c>
      <c r="J8">
        <v>290</v>
      </c>
      <c r="K8">
        <v>287</v>
      </c>
      <c r="L8">
        <v>29</v>
      </c>
      <c r="M8">
        <v>0</v>
      </c>
      <c r="N8">
        <v>0</v>
      </c>
      <c r="O8">
        <v>0</v>
      </c>
      <c r="P8">
        <v>19</v>
      </c>
      <c r="Q8">
        <v>1</v>
      </c>
      <c r="R8">
        <v>4</v>
      </c>
      <c r="S8">
        <v>0</v>
      </c>
    </row>
    <row r="9" spans="1:19" x14ac:dyDescent="0.25">
      <c r="A9" t="s">
        <v>289</v>
      </c>
      <c r="B9">
        <v>65</v>
      </c>
      <c r="C9">
        <v>872</v>
      </c>
      <c r="D9">
        <v>2517</v>
      </c>
      <c r="E9">
        <v>1286</v>
      </c>
      <c r="F9">
        <v>62</v>
      </c>
      <c r="G9">
        <v>0</v>
      </c>
      <c r="H9">
        <v>12</v>
      </c>
      <c r="I9">
        <v>172</v>
      </c>
      <c r="J9">
        <v>430</v>
      </c>
      <c r="K9">
        <v>291</v>
      </c>
      <c r="L9">
        <v>39</v>
      </c>
      <c r="M9">
        <v>0</v>
      </c>
      <c r="N9">
        <v>1</v>
      </c>
      <c r="O9">
        <v>7</v>
      </c>
      <c r="P9">
        <v>12</v>
      </c>
      <c r="Q9">
        <v>15</v>
      </c>
      <c r="R9">
        <v>0</v>
      </c>
      <c r="S9">
        <v>0</v>
      </c>
    </row>
    <row r="10" spans="1:19" x14ac:dyDescent="0.25">
      <c r="A10" t="s">
        <v>290</v>
      </c>
      <c r="B10">
        <v>277</v>
      </c>
      <c r="C10">
        <v>1554</v>
      </c>
      <c r="D10">
        <v>2988</v>
      </c>
      <c r="E10">
        <v>2337</v>
      </c>
      <c r="F10">
        <v>141</v>
      </c>
      <c r="G10">
        <v>1</v>
      </c>
      <c r="H10">
        <v>57</v>
      </c>
      <c r="I10">
        <v>358</v>
      </c>
      <c r="J10">
        <v>544</v>
      </c>
      <c r="K10">
        <v>415</v>
      </c>
      <c r="L10">
        <v>87</v>
      </c>
      <c r="M10">
        <v>0</v>
      </c>
      <c r="N10">
        <v>2</v>
      </c>
      <c r="O10">
        <v>6</v>
      </c>
      <c r="P10">
        <v>13</v>
      </c>
      <c r="Q10">
        <v>28</v>
      </c>
      <c r="R10">
        <v>2</v>
      </c>
      <c r="S10">
        <v>0</v>
      </c>
    </row>
    <row r="11" spans="1:19" x14ac:dyDescent="0.25">
      <c r="A11" t="s">
        <v>291</v>
      </c>
      <c r="B11">
        <v>1</v>
      </c>
      <c r="C11">
        <v>62</v>
      </c>
      <c r="D11">
        <v>230</v>
      </c>
      <c r="E11">
        <v>157</v>
      </c>
      <c r="F11">
        <v>6</v>
      </c>
      <c r="G11">
        <v>0</v>
      </c>
      <c r="H11">
        <v>0</v>
      </c>
      <c r="I11">
        <v>8</v>
      </c>
      <c r="J11">
        <v>44</v>
      </c>
      <c r="K11">
        <v>37</v>
      </c>
      <c r="L11">
        <v>4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</row>
    <row r="12" spans="1:19" x14ac:dyDescent="0.25">
      <c r="A12" t="s">
        <v>292</v>
      </c>
      <c r="B12">
        <v>17</v>
      </c>
      <c r="C12">
        <v>185</v>
      </c>
      <c r="D12">
        <v>734</v>
      </c>
      <c r="E12">
        <v>159</v>
      </c>
      <c r="F12">
        <v>2</v>
      </c>
      <c r="G12">
        <v>0</v>
      </c>
      <c r="H12">
        <v>3</v>
      </c>
      <c r="I12">
        <v>45</v>
      </c>
      <c r="J12">
        <v>79</v>
      </c>
      <c r="K12">
        <v>32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293</v>
      </c>
      <c r="B13">
        <v>48</v>
      </c>
      <c r="C13">
        <v>676</v>
      </c>
      <c r="D13">
        <v>1596</v>
      </c>
      <c r="E13">
        <v>248</v>
      </c>
      <c r="F13">
        <v>8</v>
      </c>
      <c r="G13">
        <v>0</v>
      </c>
      <c r="H13">
        <v>7</v>
      </c>
      <c r="I13">
        <v>134</v>
      </c>
      <c r="J13">
        <v>190</v>
      </c>
      <c r="K13">
        <v>30</v>
      </c>
      <c r="L13">
        <v>9</v>
      </c>
      <c r="M13">
        <v>0</v>
      </c>
      <c r="N13">
        <v>0</v>
      </c>
      <c r="O13">
        <v>2</v>
      </c>
      <c r="P13">
        <v>23</v>
      </c>
      <c r="Q13">
        <v>12</v>
      </c>
      <c r="R13">
        <v>0</v>
      </c>
      <c r="S13">
        <v>0</v>
      </c>
    </row>
    <row r="14" spans="1:19" x14ac:dyDescent="0.25">
      <c r="A14" t="s">
        <v>294</v>
      </c>
      <c r="B14">
        <v>32</v>
      </c>
      <c r="C14">
        <v>251</v>
      </c>
      <c r="D14">
        <v>484</v>
      </c>
      <c r="E14">
        <v>72</v>
      </c>
      <c r="F14">
        <v>0</v>
      </c>
      <c r="G14">
        <v>0</v>
      </c>
      <c r="H14">
        <v>8</v>
      </c>
      <c r="I14">
        <v>14</v>
      </c>
      <c r="J14">
        <v>21</v>
      </c>
      <c r="K14">
        <v>9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295</v>
      </c>
      <c r="B15">
        <v>104</v>
      </c>
      <c r="C15">
        <v>319</v>
      </c>
      <c r="D15">
        <v>902</v>
      </c>
      <c r="E15">
        <v>225</v>
      </c>
      <c r="F15">
        <v>11</v>
      </c>
      <c r="G15">
        <v>0</v>
      </c>
      <c r="H15">
        <v>36</v>
      </c>
      <c r="I15">
        <v>80</v>
      </c>
      <c r="J15">
        <v>165</v>
      </c>
      <c r="K15">
        <v>32</v>
      </c>
      <c r="L15">
        <v>5</v>
      </c>
      <c r="M15">
        <v>0</v>
      </c>
      <c r="N15">
        <v>0</v>
      </c>
      <c r="O15">
        <v>1</v>
      </c>
      <c r="P15">
        <v>10</v>
      </c>
      <c r="Q15">
        <v>7</v>
      </c>
      <c r="R15">
        <v>5</v>
      </c>
      <c r="S15">
        <v>0</v>
      </c>
    </row>
    <row r="16" spans="1:19" x14ac:dyDescent="0.25">
      <c r="A16" t="s">
        <v>296</v>
      </c>
      <c r="B16">
        <v>19</v>
      </c>
      <c r="C16">
        <v>43</v>
      </c>
      <c r="D16">
        <v>408</v>
      </c>
      <c r="E16">
        <v>163</v>
      </c>
      <c r="F16">
        <v>3</v>
      </c>
      <c r="G16">
        <v>0</v>
      </c>
      <c r="H16">
        <v>1</v>
      </c>
      <c r="I16">
        <v>10</v>
      </c>
      <c r="J16">
        <v>34</v>
      </c>
      <c r="K16">
        <v>31</v>
      </c>
      <c r="L16">
        <v>4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297</v>
      </c>
      <c r="B17">
        <v>324</v>
      </c>
      <c r="C17">
        <v>1785</v>
      </c>
      <c r="D17">
        <v>3613</v>
      </c>
      <c r="E17">
        <v>3202</v>
      </c>
      <c r="F17">
        <v>420</v>
      </c>
      <c r="G17">
        <v>5</v>
      </c>
      <c r="H17">
        <v>52</v>
      </c>
      <c r="I17">
        <v>235</v>
      </c>
      <c r="J17">
        <v>361</v>
      </c>
      <c r="K17">
        <v>332</v>
      </c>
      <c r="L17">
        <v>140</v>
      </c>
      <c r="M17">
        <v>4</v>
      </c>
      <c r="N17">
        <v>5</v>
      </c>
      <c r="O17">
        <v>33</v>
      </c>
      <c r="P17">
        <v>109</v>
      </c>
      <c r="Q17">
        <v>44</v>
      </c>
      <c r="R17">
        <v>0</v>
      </c>
      <c r="S17">
        <v>3</v>
      </c>
    </row>
    <row r="18" spans="1:19" x14ac:dyDescent="0.25">
      <c r="A18" t="s">
        <v>298</v>
      </c>
      <c r="B18">
        <v>14</v>
      </c>
      <c r="C18">
        <v>194</v>
      </c>
      <c r="D18">
        <v>1003</v>
      </c>
      <c r="E18">
        <v>344</v>
      </c>
      <c r="F18">
        <v>15</v>
      </c>
      <c r="G18">
        <v>0</v>
      </c>
      <c r="H18">
        <v>2</v>
      </c>
      <c r="I18">
        <v>28</v>
      </c>
      <c r="J18">
        <v>141</v>
      </c>
      <c r="K18">
        <v>59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</row>
    <row r="19" spans="1:19" x14ac:dyDescent="0.25">
      <c r="A19" t="s">
        <v>299</v>
      </c>
      <c r="B19">
        <v>110</v>
      </c>
      <c r="C19">
        <v>327</v>
      </c>
      <c r="D19">
        <v>1274</v>
      </c>
      <c r="E19">
        <v>270</v>
      </c>
      <c r="F19">
        <v>14</v>
      </c>
      <c r="G19">
        <v>0</v>
      </c>
      <c r="H19">
        <v>40</v>
      </c>
      <c r="I19">
        <v>73</v>
      </c>
      <c r="J19">
        <v>142</v>
      </c>
      <c r="K19">
        <v>57</v>
      </c>
      <c r="L19">
        <v>4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126</v>
      </c>
      <c r="C20">
        <v>1325</v>
      </c>
      <c r="D20">
        <v>2425</v>
      </c>
      <c r="E20">
        <v>1735</v>
      </c>
      <c r="F20">
        <v>36</v>
      </c>
      <c r="G20">
        <v>1</v>
      </c>
      <c r="H20">
        <v>42</v>
      </c>
      <c r="I20">
        <v>575</v>
      </c>
      <c r="J20">
        <v>684</v>
      </c>
      <c r="K20">
        <v>517</v>
      </c>
      <c r="L20">
        <v>44</v>
      </c>
      <c r="M20">
        <v>1</v>
      </c>
      <c r="N20">
        <v>1</v>
      </c>
      <c r="O20">
        <v>14</v>
      </c>
      <c r="P20">
        <v>28</v>
      </c>
      <c r="Q20">
        <v>24</v>
      </c>
      <c r="R20">
        <v>0</v>
      </c>
      <c r="S20">
        <v>0</v>
      </c>
    </row>
    <row r="21" spans="1:19" x14ac:dyDescent="0.25">
      <c r="A21" t="s">
        <v>301</v>
      </c>
      <c r="B21">
        <v>70</v>
      </c>
      <c r="C21">
        <v>645</v>
      </c>
      <c r="D21">
        <v>1710</v>
      </c>
      <c r="E21">
        <v>684</v>
      </c>
      <c r="F21">
        <v>29</v>
      </c>
      <c r="G21">
        <v>0</v>
      </c>
      <c r="H21">
        <v>12</v>
      </c>
      <c r="I21">
        <v>191</v>
      </c>
      <c r="J21">
        <v>336</v>
      </c>
      <c r="K21">
        <v>120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302</v>
      </c>
      <c r="B22">
        <v>60</v>
      </c>
      <c r="C22">
        <v>213</v>
      </c>
      <c r="D22">
        <v>817</v>
      </c>
      <c r="E22">
        <v>172</v>
      </c>
      <c r="F22">
        <v>6</v>
      </c>
      <c r="G22">
        <v>0</v>
      </c>
      <c r="H22">
        <v>14</v>
      </c>
      <c r="I22">
        <v>22</v>
      </c>
      <c r="J22">
        <v>56</v>
      </c>
      <c r="K22">
        <v>24</v>
      </c>
      <c r="L22">
        <v>1</v>
      </c>
      <c r="M22">
        <v>0</v>
      </c>
      <c r="N22">
        <v>1</v>
      </c>
      <c r="O22">
        <v>5</v>
      </c>
      <c r="P22">
        <v>10</v>
      </c>
      <c r="Q22">
        <v>15</v>
      </c>
      <c r="R22">
        <v>0</v>
      </c>
      <c r="S22">
        <v>0</v>
      </c>
    </row>
    <row r="23" spans="1:19" x14ac:dyDescent="0.25">
      <c r="A23" t="s">
        <v>303</v>
      </c>
      <c r="B23">
        <v>53</v>
      </c>
      <c r="C23">
        <v>623</v>
      </c>
      <c r="D23">
        <v>3378</v>
      </c>
      <c r="E23">
        <v>1572</v>
      </c>
      <c r="F23">
        <v>142</v>
      </c>
      <c r="G23">
        <v>1</v>
      </c>
      <c r="H23">
        <v>33</v>
      </c>
      <c r="I23">
        <v>257</v>
      </c>
      <c r="J23">
        <v>1085</v>
      </c>
      <c r="K23">
        <v>364</v>
      </c>
      <c r="L23">
        <v>68</v>
      </c>
      <c r="M23">
        <v>2</v>
      </c>
      <c r="N23">
        <v>1</v>
      </c>
      <c r="O23">
        <v>6</v>
      </c>
      <c r="P23">
        <v>25</v>
      </c>
      <c r="Q23">
        <v>17</v>
      </c>
      <c r="R23">
        <v>0</v>
      </c>
      <c r="S23">
        <v>0</v>
      </c>
    </row>
    <row r="24" spans="1:19" x14ac:dyDescent="0.25">
      <c r="A24" t="s">
        <v>304</v>
      </c>
      <c r="B24">
        <v>84</v>
      </c>
      <c r="C24">
        <v>360</v>
      </c>
      <c r="D24">
        <v>804</v>
      </c>
      <c r="E24">
        <v>73</v>
      </c>
      <c r="F24">
        <v>1</v>
      </c>
      <c r="G24">
        <v>0</v>
      </c>
      <c r="H24">
        <v>16</v>
      </c>
      <c r="I24">
        <v>33</v>
      </c>
      <c r="J24">
        <v>76</v>
      </c>
      <c r="K24">
        <v>17</v>
      </c>
      <c r="L24">
        <v>4</v>
      </c>
      <c r="M24">
        <v>0</v>
      </c>
      <c r="N24">
        <v>0</v>
      </c>
      <c r="O24">
        <v>3</v>
      </c>
      <c r="P24">
        <v>10</v>
      </c>
      <c r="Q24">
        <v>1</v>
      </c>
      <c r="R24">
        <v>0</v>
      </c>
      <c r="S24">
        <v>0</v>
      </c>
    </row>
    <row r="25" spans="1:19" x14ac:dyDescent="0.25">
      <c r="A25" t="s">
        <v>305</v>
      </c>
      <c r="B25">
        <v>100</v>
      </c>
      <c r="C25">
        <v>528</v>
      </c>
      <c r="D25">
        <v>2019</v>
      </c>
      <c r="E25">
        <v>1012</v>
      </c>
      <c r="F25">
        <v>34</v>
      </c>
      <c r="G25">
        <v>1</v>
      </c>
      <c r="H25">
        <v>31</v>
      </c>
      <c r="I25">
        <v>202</v>
      </c>
      <c r="J25">
        <v>487</v>
      </c>
      <c r="K25">
        <v>195</v>
      </c>
      <c r="L25">
        <v>17</v>
      </c>
      <c r="M25">
        <v>1</v>
      </c>
      <c r="N25">
        <v>0</v>
      </c>
      <c r="O25">
        <v>5</v>
      </c>
      <c r="P25">
        <v>11</v>
      </c>
      <c r="Q25">
        <v>2</v>
      </c>
      <c r="R25">
        <v>0</v>
      </c>
      <c r="S25">
        <v>0</v>
      </c>
    </row>
    <row r="26" spans="1:19" x14ac:dyDescent="0.25">
      <c r="A26" t="s">
        <v>306</v>
      </c>
      <c r="B26">
        <v>87</v>
      </c>
      <c r="C26">
        <v>1088</v>
      </c>
      <c r="D26">
        <v>3166</v>
      </c>
      <c r="E26">
        <v>2048</v>
      </c>
      <c r="F26">
        <v>78</v>
      </c>
      <c r="G26">
        <v>6</v>
      </c>
      <c r="H26">
        <v>35</v>
      </c>
      <c r="I26">
        <v>322</v>
      </c>
      <c r="J26">
        <v>851</v>
      </c>
      <c r="K26">
        <v>476</v>
      </c>
      <c r="L26">
        <v>40</v>
      </c>
      <c r="M26">
        <v>0</v>
      </c>
      <c r="N26">
        <v>1</v>
      </c>
      <c r="O26">
        <v>11</v>
      </c>
      <c r="P26">
        <v>30</v>
      </c>
      <c r="Q26">
        <v>27</v>
      </c>
      <c r="R26">
        <v>0</v>
      </c>
      <c r="S26">
        <v>0</v>
      </c>
    </row>
    <row r="27" spans="1:19" x14ac:dyDescent="0.25">
      <c r="A27" t="s">
        <v>307</v>
      </c>
      <c r="B27">
        <v>105</v>
      </c>
      <c r="C27">
        <v>743</v>
      </c>
      <c r="D27">
        <v>2091</v>
      </c>
      <c r="E27">
        <v>755</v>
      </c>
      <c r="F27">
        <v>31</v>
      </c>
      <c r="G27">
        <v>0</v>
      </c>
      <c r="H27">
        <v>42</v>
      </c>
      <c r="I27">
        <v>213</v>
      </c>
      <c r="J27">
        <v>397</v>
      </c>
      <c r="K27">
        <v>170</v>
      </c>
      <c r="L27">
        <v>26</v>
      </c>
      <c r="M27">
        <v>0</v>
      </c>
      <c r="N27">
        <v>4</v>
      </c>
      <c r="O27">
        <v>17</v>
      </c>
      <c r="P27">
        <v>35</v>
      </c>
      <c r="Q27">
        <v>50</v>
      </c>
      <c r="R27">
        <v>2</v>
      </c>
      <c r="S27">
        <v>0</v>
      </c>
    </row>
    <row r="28" spans="1:19" x14ac:dyDescent="0.25">
      <c r="A28" t="s">
        <v>266</v>
      </c>
      <c r="B28">
        <v>2482</v>
      </c>
      <c r="C28">
        <v>17342</v>
      </c>
      <c r="D28">
        <v>46437</v>
      </c>
      <c r="E28">
        <v>25206</v>
      </c>
      <c r="F28">
        <v>1543</v>
      </c>
      <c r="G28">
        <v>23</v>
      </c>
      <c r="H28">
        <v>666</v>
      </c>
      <c r="I28">
        <v>4443</v>
      </c>
      <c r="J28">
        <v>8833</v>
      </c>
      <c r="K28">
        <v>5096</v>
      </c>
      <c r="L28">
        <v>788</v>
      </c>
      <c r="M28">
        <v>12</v>
      </c>
      <c r="N28">
        <v>38</v>
      </c>
      <c r="O28">
        <v>188</v>
      </c>
      <c r="P28">
        <v>457</v>
      </c>
      <c r="Q28">
        <v>399</v>
      </c>
      <c r="R28">
        <v>18</v>
      </c>
      <c r="S28">
        <v>6</v>
      </c>
    </row>
    <row r="29" spans="1:19" x14ac:dyDescent="0.25">
      <c r="A29" t="s">
        <v>308</v>
      </c>
      <c r="B29">
        <v>525</v>
      </c>
      <c r="C29">
        <v>3840</v>
      </c>
      <c r="D29">
        <v>9712</v>
      </c>
      <c r="E29">
        <v>7371</v>
      </c>
      <c r="F29">
        <v>781</v>
      </c>
      <c r="G29">
        <v>6</v>
      </c>
      <c r="H29">
        <v>110</v>
      </c>
      <c r="I29">
        <v>674</v>
      </c>
      <c r="J29">
        <v>1347</v>
      </c>
      <c r="K29">
        <v>1073</v>
      </c>
      <c r="L29">
        <v>268</v>
      </c>
      <c r="M29">
        <v>7</v>
      </c>
      <c r="N29">
        <v>4</v>
      </c>
      <c r="O29">
        <v>38</v>
      </c>
      <c r="P29">
        <v>127</v>
      </c>
      <c r="Q29">
        <v>64</v>
      </c>
      <c r="R29">
        <v>5</v>
      </c>
      <c r="S29">
        <v>3</v>
      </c>
    </row>
    <row r="30" spans="1:19" x14ac:dyDescent="0.25">
      <c r="A30" t="s">
        <v>309</v>
      </c>
      <c r="B30">
        <v>1957</v>
      </c>
      <c r="C30">
        <v>13502</v>
      </c>
      <c r="D30">
        <v>36725</v>
      </c>
      <c r="E30">
        <v>17835</v>
      </c>
      <c r="F30">
        <v>762</v>
      </c>
      <c r="G30">
        <v>17</v>
      </c>
      <c r="H30">
        <v>556</v>
      </c>
      <c r="I30">
        <v>3769</v>
      </c>
      <c r="J30">
        <v>7486</v>
      </c>
      <c r="K30">
        <v>4023</v>
      </c>
      <c r="L30">
        <v>520</v>
      </c>
      <c r="M30">
        <v>5</v>
      </c>
      <c r="N30">
        <v>34</v>
      </c>
      <c r="O30">
        <v>150</v>
      </c>
      <c r="P30">
        <v>330</v>
      </c>
      <c r="Q30">
        <v>335</v>
      </c>
      <c r="R30">
        <v>13</v>
      </c>
      <c r="S30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FFC000"/>
  </sheetPr>
  <dimension ref="A1:T30"/>
  <sheetViews>
    <sheetView workbookViewId="0"/>
  </sheetViews>
  <sheetFormatPr defaultRowHeight="15" x14ac:dyDescent="0.25"/>
  <cols>
    <col min="1" max="1" width="25.140625" customWidth="1"/>
    <col min="2" max="2" width="8" customWidth="1"/>
    <col min="5" max="5" width="7.85546875" customWidth="1"/>
    <col min="6" max="6" width="8" customWidth="1"/>
    <col min="8" max="8" width="8.140625" customWidth="1"/>
    <col min="9" max="9" width="8" customWidth="1"/>
    <col min="10" max="10" width="8.140625" customWidth="1"/>
    <col min="11" max="11" width="8" customWidth="1"/>
    <col min="12" max="12" width="8.140625" customWidth="1"/>
    <col min="13" max="13" width="8" customWidth="1"/>
    <col min="20" max="20" width="9.42578125" customWidth="1"/>
  </cols>
  <sheetData>
    <row r="1" spans="1:20" x14ac:dyDescent="0.25">
      <c r="A1" s="29" t="s">
        <v>709</v>
      </c>
      <c r="B1" s="29" t="s">
        <v>487</v>
      </c>
      <c r="C1" s="29"/>
      <c r="D1" s="29"/>
      <c r="E1" s="29"/>
      <c r="F1" s="29"/>
      <c r="G1" s="29"/>
      <c r="H1" s="29" t="s">
        <v>488</v>
      </c>
      <c r="I1" s="29"/>
      <c r="J1" s="29"/>
      <c r="K1" s="29"/>
      <c r="L1" s="29"/>
      <c r="M1" s="29"/>
      <c r="N1" s="29" t="s">
        <v>489</v>
      </c>
      <c r="O1" s="29"/>
      <c r="P1" s="29"/>
      <c r="Q1" s="29"/>
      <c r="R1" s="29"/>
      <c r="S1" s="29"/>
      <c r="T1" t="s">
        <v>490</v>
      </c>
    </row>
    <row r="2" spans="1:20" x14ac:dyDescent="0.25">
      <c r="A2" s="29"/>
      <c r="B2" t="s">
        <v>346</v>
      </c>
      <c r="C2" t="s">
        <v>480</v>
      </c>
      <c r="D2" t="s">
        <v>481</v>
      </c>
      <c r="E2" t="s">
        <v>482</v>
      </c>
      <c r="F2" t="s">
        <v>485</v>
      </c>
      <c r="G2" t="s">
        <v>484</v>
      </c>
      <c r="H2" t="s">
        <v>346</v>
      </c>
      <c r="I2" t="s">
        <v>480</v>
      </c>
      <c r="J2" t="s">
        <v>481</v>
      </c>
      <c r="K2" t="s">
        <v>482</v>
      </c>
      <c r="L2" t="s">
        <v>485</v>
      </c>
      <c r="M2" t="s">
        <v>484</v>
      </c>
      <c r="N2" t="s">
        <v>346</v>
      </c>
      <c r="O2" t="s">
        <v>480</v>
      </c>
      <c r="P2" t="s">
        <v>481</v>
      </c>
      <c r="Q2" t="s">
        <v>482</v>
      </c>
      <c r="R2" t="s">
        <v>485</v>
      </c>
      <c r="S2" t="s">
        <v>484</v>
      </c>
      <c r="T2" t="s">
        <v>491</v>
      </c>
    </row>
    <row r="3" spans="1:20" x14ac:dyDescent="0.25">
      <c r="A3" t="s">
        <v>283</v>
      </c>
      <c r="B3">
        <v>3</v>
      </c>
      <c r="C3">
        <v>15</v>
      </c>
      <c r="D3">
        <v>59</v>
      </c>
      <c r="E3">
        <v>9</v>
      </c>
      <c r="F3">
        <v>0</v>
      </c>
      <c r="G3">
        <v>0</v>
      </c>
      <c r="H3">
        <v>68</v>
      </c>
      <c r="I3">
        <v>600</v>
      </c>
      <c r="J3">
        <v>1864</v>
      </c>
      <c r="K3">
        <v>381</v>
      </c>
      <c r="L3">
        <v>11</v>
      </c>
      <c r="M3">
        <v>0</v>
      </c>
      <c r="N3">
        <v>3</v>
      </c>
      <c r="O3">
        <v>154</v>
      </c>
      <c r="P3">
        <v>799</v>
      </c>
      <c r="Q3">
        <v>802</v>
      </c>
      <c r="R3">
        <v>66</v>
      </c>
      <c r="S3">
        <v>0</v>
      </c>
      <c r="T3">
        <v>45</v>
      </c>
    </row>
    <row r="4" spans="1:20" x14ac:dyDescent="0.25">
      <c r="A4" t="s">
        <v>284</v>
      </c>
      <c r="B4">
        <v>14</v>
      </c>
      <c r="C4">
        <v>141</v>
      </c>
      <c r="D4">
        <v>317</v>
      </c>
      <c r="E4">
        <v>147</v>
      </c>
      <c r="F4">
        <v>5</v>
      </c>
      <c r="G4">
        <v>0</v>
      </c>
      <c r="H4">
        <v>93</v>
      </c>
      <c r="I4">
        <v>691</v>
      </c>
      <c r="J4">
        <v>1749</v>
      </c>
      <c r="K4">
        <v>1047</v>
      </c>
      <c r="L4">
        <v>41</v>
      </c>
      <c r="M4">
        <v>0</v>
      </c>
      <c r="N4">
        <v>40</v>
      </c>
      <c r="O4">
        <v>206</v>
      </c>
      <c r="P4">
        <v>914</v>
      </c>
      <c r="Q4">
        <v>1330</v>
      </c>
      <c r="R4">
        <v>113</v>
      </c>
      <c r="S4">
        <v>1</v>
      </c>
      <c r="T4">
        <v>128</v>
      </c>
    </row>
    <row r="5" spans="1:20" x14ac:dyDescent="0.25">
      <c r="A5" t="s">
        <v>285</v>
      </c>
      <c r="B5">
        <v>17</v>
      </c>
      <c r="C5">
        <v>101</v>
      </c>
      <c r="D5">
        <v>193</v>
      </c>
      <c r="E5">
        <v>23</v>
      </c>
      <c r="F5">
        <v>0</v>
      </c>
      <c r="G5">
        <v>0</v>
      </c>
      <c r="H5">
        <v>115</v>
      </c>
      <c r="I5">
        <v>871</v>
      </c>
      <c r="J5">
        <v>1292</v>
      </c>
      <c r="K5">
        <v>248</v>
      </c>
      <c r="L5">
        <v>12</v>
      </c>
      <c r="M5">
        <v>0</v>
      </c>
      <c r="N5">
        <v>83</v>
      </c>
      <c r="O5">
        <v>519</v>
      </c>
      <c r="P5">
        <v>1231</v>
      </c>
      <c r="Q5">
        <v>1020</v>
      </c>
      <c r="R5">
        <v>51</v>
      </c>
      <c r="S5">
        <v>3</v>
      </c>
      <c r="T5">
        <v>158</v>
      </c>
    </row>
    <row r="6" spans="1:20" x14ac:dyDescent="0.25">
      <c r="A6" t="s">
        <v>286</v>
      </c>
      <c r="B6">
        <v>9</v>
      </c>
      <c r="C6">
        <v>59</v>
      </c>
      <c r="D6">
        <v>78</v>
      </c>
      <c r="E6">
        <v>15</v>
      </c>
      <c r="F6">
        <v>0</v>
      </c>
      <c r="G6">
        <v>0</v>
      </c>
      <c r="H6">
        <v>21</v>
      </c>
      <c r="I6">
        <v>322</v>
      </c>
      <c r="J6">
        <v>1186</v>
      </c>
      <c r="K6">
        <v>268</v>
      </c>
      <c r="L6">
        <v>7</v>
      </c>
      <c r="M6">
        <v>0</v>
      </c>
      <c r="N6">
        <v>8</v>
      </c>
      <c r="O6">
        <v>243</v>
      </c>
      <c r="P6">
        <v>500</v>
      </c>
      <c r="Q6">
        <v>807</v>
      </c>
      <c r="R6">
        <v>44</v>
      </c>
      <c r="S6">
        <v>0</v>
      </c>
      <c r="T6">
        <v>13</v>
      </c>
    </row>
    <row r="7" spans="1:20" x14ac:dyDescent="0.25">
      <c r="A7" t="s">
        <v>287</v>
      </c>
      <c r="B7">
        <v>22</v>
      </c>
      <c r="C7">
        <v>81</v>
      </c>
      <c r="D7">
        <v>120</v>
      </c>
      <c r="E7">
        <v>22</v>
      </c>
      <c r="F7">
        <v>1</v>
      </c>
      <c r="G7">
        <v>0</v>
      </c>
      <c r="H7">
        <v>117</v>
      </c>
      <c r="I7">
        <v>553</v>
      </c>
      <c r="J7">
        <v>1166</v>
      </c>
      <c r="K7">
        <v>319</v>
      </c>
      <c r="L7">
        <v>10</v>
      </c>
      <c r="M7">
        <v>0</v>
      </c>
      <c r="N7">
        <v>15</v>
      </c>
      <c r="O7">
        <v>272</v>
      </c>
      <c r="P7">
        <v>645</v>
      </c>
      <c r="Q7">
        <v>977</v>
      </c>
      <c r="R7">
        <v>68</v>
      </c>
      <c r="S7">
        <v>2</v>
      </c>
      <c r="T7">
        <v>25</v>
      </c>
    </row>
    <row r="8" spans="1:20" x14ac:dyDescent="0.25">
      <c r="A8" t="s">
        <v>288</v>
      </c>
      <c r="B8">
        <v>13</v>
      </c>
      <c r="C8">
        <v>64</v>
      </c>
      <c r="D8">
        <v>173</v>
      </c>
      <c r="E8">
        <v>31</v>
      </c>
      <c r="F8">
        <v>0</v>
      </c>
      <c r="G8">
        <v>0</v>
      </c>
      <c r="H8">
        <v>116</v>
      </c>
      <c r="I8">
        <v>386</v>
      </c>
      <c r="J8">
        <v>1384</v>
      </c>
      <c r="K8">
        <v>491</v>
      </c>
      <c r="L8">
        <v>10</v>
      </c>
      <c r="M8">
        <v>2</v>
      </c>
      <c r="N8">
        <v>29</v>
      </c>
      <c r="O8">
        <v>271</v>
      </c>
      <c r="P8">
        <v>608</v>
      </c>
      <c r="Q8">
        <v>755</v>
      </c>
      <c r="R8">
        <v>65</v>
      </c>
      <c r="S8">
        <v>0</v>
      </c>
      <c r="T8">
        <v>20</v>
      </c>
    </row>
    <row r="9" spans="1:20" x14ac:dyDescent="0.25">
      <c r="A9" t="s">
        <v>289</v>
      </c>
      <c r="B9">
        <v>6</v>
      </c>
      <c r="C9">
        <v>74</v>
      </c>
      <c r="D9">
        <v>158</v>
      </c>
      <c r="E9">
        <v>18</v>
      </c>
      <c r="F9">
        <v>0</v>
      </c>
      <c r="G9">
        <v>0</v>
      </c>
      <c r="H9">
        <v>27</v>
      </c>
      <c r="I9">
        <v>476</v>
      </c>
      <c r="J9">
        <v>1430</v>
      </c>
      <c r="K9">
        <v>355</v>
      </c>
      <c r="L9">
        <v>9</v>
      </c>
      <c r="M9">
        <v>0</v>
      </c>
      <c r="N9">
        <v>32</v>
      </c>
      <c r="O9">
        <v>322</v>
      </c>
      <c r="P9">
        <v>929</v>
      </c>
      <c r="Q9">
        <v>913</v>
      </c>
      <c r="R9">
        <v>53</v>
      </c>
      <c r="S9">
        <v>0</v>
      </c>
      <c r="T9">
        <v>35</v>
      </c>
    </row>
    <row r="10" spans="1:20" x14ac:dyDescent="0.25">
      <c r="A10" t="s">
        <v>290</v>
      </c>
      <c r="B10">
        <v>22</v>
      </c>
      <c r="C10">
        <v>189</v>
      </c>
      <c r="D10">
        <v>262</v>
      </c>
      <c r="E10">
        <v>35</v>
      </c>
      <c r="F10">
        <v>1</v>
      </c>
      <c r="G10">
        <v>0</v>
      </c>
      <c r="H10">
        <v>56</v>
      </c>
      <c r="I10">
        <v>735</v>
      </c>
      <c r="J10">
        <v>1356</v>
      </c>
      <c r="K10">
        <v>253</v>
      </c>
      <c r="L10">
        <v>6</v>
      </c>
      <c r="M10">
        <v>1</v>
      </c>
      <c r="N10">
        <v>199</v>
      </c>
      <c r="O10">
        <v>630</v>
      </c>
      <c r="P10">
        <v>1370</v>
      </c>
      <c r="Q10">
        <v>2049</v>
      </c>
      <c r="R10">
        <v>134</v>
      </c>
      <c r="S10">
        <v>0</v>
      </c>
      <c r="T10">
        <v>49</v>
      </c>
    </row>
    <row r="11" spans="1:20" x14ac:dyDescent="0.25">
      <c r="A11" t="s">
        <v>291</v>
      </c>
      <c r="B11">
        <v>1</v>
      </c>
      <c r="C11">
        <v>5</v>
      </c>
      <c r="D11">
        <v>23</v>
      </c>
      <c r="E11">
        <v>2</v>
      </c>
      <c r="F11">
        <v>0</v>
      </c>
      <c r="G11">
        <v>0</v>
      </c>
      <c r="H11">
        <v>0</v>
      </c>
      <c r="I11">
        <v>10</v>
      </c>
      <c r="J11">
        <v>131</v>
      </c>
      <c r="K11">
        <v>59</v>
      </c>
      <c r="L11">
        <v>0</v>
      </c>
      <c r="M11">
        <v>0</v>
      </c>
      <c r="N11">
        <v>0</v>
      </c>
      <c r="O11">
        <v>47</v>
      </c>
      <c r="P11">
        <v>76</v>
      </c>
      <c r="Q11">
        <v>96</v>
      </c>
      <c r="R11">
        <v>6</v>
      </c>
      <c r="S11">
        <v>0</v>
      </c>
      <c r="T11">
        <v>6</v>
      </c>
    </row>
    <row r="12" spans="1:20" x14ac:dyDescent="0.25">
      <c r="A12" t="s">
        <v>292</v>
      </c>
      <c r="B12">
        <v>2</v>
      </c>
      <c r="C12">
        <v>9</v>
      </c>
      <c r="D12">
        <v>22</v>
      </c>
      <c r="E12">
        <v>0</v>
      </c>
      <c r="F12">
        <v>0</v>
      </c>
      <c r="G12">
        <v>0</v>
      </c>
      <c r="H12">
        <v>11</v>
      </c>
      <c r="I12">
        <v>133</v>
      </c>
      <c r="J12">
        <v>462</v>
      </c>
      <c r="K12">
        <v>23</v>
      </c>
      <c r="L12">
        <v>0</v>
      </c>
      <c r="M12">
        <v>0</v>
      </c>
      <c r="N12">
        <v>4</v>
      </c>
      <c r="O12">
        <v>43</v>
      </c>
      <c r="P12">
        <v>250</v>
      </c>
      <c r="Q12">
        <v>136</v>
      </c>
      <c r="R12">
        <v>2</v>
      </c>
      <c r="S12">
        <v>0</v>
      </c>
      <c r="T12">
        <v>1</v>
      </c>
    </row>
    <row r="13" spans="1:20" x14ac:dyDescent="0.25">
      <c r="A13" t="s">
        <v>293</v>
      </c>
      <c r="B13">
        <v>5</v>
      </c>
      <c r="C13">
        <v>54</v>
      </c>
      <c r="D13">
        <v>81</v>
      </c>
      <c r="E13">
        <v>0</v>
      </c>
      <c r="F13">
        <v>0</v>
      </c>
      <c r="G13">
        <v>0</v>
      </c>
      <c r="H13">
        <v>39</v>
      </c>
      <c r="I13">
        <v>407</v>
      </c>
      <c r="J13">
        <v>1001</v>
      </c>
      <c r="K13">
        <v>37</v>
      </c>
      <c r="L13">
        <v>1</v>
      </c>
      <c r="M13">
        <v>0</v>
      </c>
      <c r="N13">
        <v>4</v>
      </c>
      <c r="O13">
        <v>215</v>
      </c>
      <c r="P13">
        <v>514</v>
      </c>
      <c r="Q13">
        <v>211</v>
      </c>
      <c r="R13">
        <v>7</v>
      </c>
      <c r="S13">
        <v>0</v>
      </c>
      <c r="T13">
        <v>37</v>
      </c>
    </row>
    <row r="14" spans="1:20" x14ac:dyDescent="0.25">
      <c r="A14" t="s">
        <v>294</v>
      </c>
      <c r="B14">
        <v>0</v>
      </c>
      <c r="C14">
        <v>12</v>
      </c>
      <c r="D14">
        <v>23</v>
      </c>
      <c r="E14">
        <v>0</v>
      </c>
      <c r="F14">
        <v>0</v>
      </c>
      <c r="G14">
        <v>0</v>
      </c>
      <c r="H14">
        <v>32</v>
      </c>
      <c r="I14">
        <v>239</v>
      </c>
      <c r="J14">
        <v>292</v>
      </c>
      <c r="K14">
        <v>7</v>
      </c>
      <c r="L14">
        <v>0</v>
      </c>
      <c r="M14">
        <v>0</v>
      </c>
      <c r="N14">
        <v>0</v>
      </c>
      <c r="O14">
        <v>0</v>
      </c>
      <c r="P14">
        <v>169</v>
      </c>
      <c r="Q14">
        <v>65</v>
      </c>
      <c r="R14">
        <v>0</v>
      </c>
      <c r="S14">
        <v>0</v>
      </c>
      <c r="T14">
        <v>1</v>
      </c>
    </row>
    <row r="15" spans="1:20" x14ac:dyDescent="0.25">
      <c r="A15" t="s">
        <v>295</v>
      </c>
      <c r="B15">
        <v>6</v>
      </c>
      <c r="C15">
        <v>16</v>
      </c>
      <c r="D15">
        <v>72</v>
      </c>
      <c r="E15">
        <v>0</v>
      </c>
      <c r="F15">
        <v>0</v>
      </c>
      <c r="G15">
        <v>0</v>
      </c>
      <c r="H15">
        <v>98</v>
      </c>
      <c r="I15">
        <v>229</v>
      </c>
      <c r="J15">
        <v>600</v>
      </c>
      <c r="K15">
        <v>39</v>
      </c>
      <c r="L15">
        <v>1</v>
      </c>
      <c r="M15">
        <v>0</v>
      </c>
      <c r="N15">
        <v>0</v>
      </c>
      <c r="O15">
        <v>74</v>
      </c>
      <c r="P15">
        <v>230</v>
      </c>
      <c r="Q15">
        <v>186</v>
      </c>
      <c r="R15">
        <v>10</v>
      </c>
      <c r="S15">
        <v>0</v>
      </c>
      <c r="T15">
        <v>18</v>
      </c>
    </row>
    <row r="16" spans="1:20" x14ac:dyDescent="0.25">
      <c r="A16" t="s">
        <v>296</v>
      </c>
      <c r="B16">
        <v>1</v>
      </c>
      <c r="C16">
        <v>5</v>
      </c>
      <c r="D16">
        <v>24</v>
      </c>
      <c r="E16">
        <v>4</v>
      </c>
      <c r="F16">
        <v>0</v>
      </c>
      <c r="G16">
        <v>0</v>
      </c>
      <c r="H16">
        <v>18</v>
      </c>
      <c r="I16">
        <v>37</v>
      </c>
      <c r="J16">
        <v>199</v>
      </c>
      <c r="K16">
        <v>37</v>
      </c>
      <c r="L16">
        <v>2</v>
      </c>
      <c r="M16">
        <v>0</v>
      </c>
      <c r="N16">
        <v>0</v>
      </c>
      <c r="O16">
        <v>1</v>
      </c>
      <c r="P16">
        <v>185</v>
      </c>
      <c r="Q16">
        <v>122</v>
      </c>
      <c r="R16">
        <v>1</v>
      </c>
      <c r="S16">
        <v>0</v>
      </c>
      <c r="T16">
        <v>0</v>
      </c>
    </row>
    <row r="17" spans="1:20" x14ac:dyDescent="0.25">
      <c r="A17" t="s">
        <v>297</v>
      </c>
      <c r="B17">
        <v>20</v>
      </c>
      <c r="C17">
        <v>139</v>
      </c>
      <c r="D17">
        <v>117</v>
      </c>
      <c r="E17">
        <v>35</v>
      </c>
      <c r="F17">
        <v>3</v>
      </c>
      <c r="G17">
        <v>1</v>
      </c>
      <c r="H17">
        <v>86</v>
      </c>
      <c r="I17">
        <v>842</v>
      </c>
      <c r="J17">
        <v>1797</v>
      </c>
      <c r="K17">
        <v>568</v>
      </c>
      <c r="L17">
        <v>58</v>
      </c>
      <c r="M17">
        <v>0</v>
      </c>
      <c r="N17">
        <v>218</v>
      </c>
      <c r="O17">
        <v>804</v>
      </c>
      <c r="P17">
        <v>1699</v>
      </c>
      <c r="Q17">
        <v>2599</v>
      </c>
      <c r="R17">
        <v>359</v>
      </c>
      <c r="S17">
        <v>4</v>
      </c>
      <c r="T17">
        <v>194</v>
      </c>
    </row>
    <row r="18" spans="1:20" x14ac:dyDescent="0.25">
      <c r="A18" t="s">
        <v>298</v>
      </c>
      <c r="B18">
        <v>6</v>
      </c>
      <c r="C18">
        <v>29</v>
      </c>
      <c r="D18">
        <v>57</v>
      </c>
      <c r="E18">
        <v>3</v>
      </c>
      <c r="F18">
        <v>0</v>
      </c>
      <c r="G18">
        <v>0</v>
      </c>
      <c r="H18">
        <v>8</v>
      </c>
      <c r="I18">
        <v>131</v>
      </c>
      <c r="J18">
        <v>562</v>
      </c>
      <c r="K18">
        <v>80</v>
      </c>
      <c r="L18">
        <v>5</v>
      </c>
      <c r="M18">
        <v>0</v>
      </c>
      <c r="N18">
        <v>0</v>
      </c>
      <c r="O18">
        <v>34</v>
      </c>
      <c r="P18">
        <v>384</v>
      </c>
      <c r="Q18">
        <v>261</v>
      </c>
      <c r="R18">
        <v>10</v>
      </c>
      <c r="S18">
        <v>0</v>
      </c>
      <c r="T18">
        <v>2</v>
      </c>
    </row>
    <row r="19" spans="1:20" x14ac:dyDescent="0.25">
      <c r="A19" t="s">
        <v>299</v>
      </c>
      <c r="B19">
        <v>15</v>
      </c>
      <c r="C19">
        <v>27</v>
      </c>
      <c r="D19">
        <v>44</v>
      </c>
      <c r="E19">
        <v>3</v>
      </c>
      <c r="F19">
        <v>0</v>
      </c>
      <c r="G19">
        <v>0</v>
      </c>
      <c r="H19">
        <v>85</v>
      </c>
      <c r="I19">
        <v>235</v>
      </c>
      <c r="J19">
        <v>830</v>
      </c>
      <c r="K19">
        <v>39</v>
      </c>
      <c r="L19">
        <v>1</v>
      </c>
      <c r="M19">
        <v>0</v>
      </c>
      <c r="N19">
        <v>10</v>
      </c>
      <c r="O19">
        <v>65</v>
      </c>
      <c r="P19">
        <v>400</v>
      </c>
      <c r="Q19">
        <v>228</v>
      </c>
      <c r="R19">
        <v>13</v>
      </c>
      <c r="S19">
        <v>0</v>
      </c>
      <c r="T19">
        <v>2</v>
      </c>
    </row>
    <row r="20" spans="1:20" x14ac:dyDescent="0.25">
      <c r="A20" t="s">
        <v>300</v>
      </c>
      <c r="B20">
        <v>28</v>
      </c>
      <c r="C20">
        <v>145</v>
      </c>
      <c r="D20">
        <v>207</v>
      </c>
      <c r="E20">
        <v>72</v>
      </c>
      <c r="F20">
        <v>1</v>
      </c>
      <c r="G20">
        <v>0</v>
      </c>
      <c r="H20">
        <v>73</v>
      </c>
      <c r="I20">
        <v>778</v>
      </c>
      <c r="J20">
        <v>1291</v>
      </c>
      <c r="K20">
        <v>543</v>
      </c>
      <c r="L20">
        <v>6</v>
      </c>
      <c r="M20">
        <v>0</v>
      </c>
      <c r="N20">
        <v>25</v>
      </c>
      <c r="O20">
        <v>402</v>
      </c>
      <c r="P20">
        <v>927</v>
      </c>
      <c r="Q20">
        <v>1120</v>
      </c>
      <c r="R20">
        <v>29</v>
      </c>
      <c r="S20">
        <v>1</v>
      </c>
      <c r="T20">
        <v>67</v>
      </c>
    </row>
    <row r="21" spans="1:20" x14ac:dyDescent="0.25">
      <c r="A21" t="s">
        <v>301</v>
      </c>
      <c r="B21">
        <v>5</v>
      </c>
      <c r="C21">
        <v>61</v>
      </c>
      <c r="D21">
        <v>97</v>
      </c>
      <c r="E21">
        <v>9</v>
      </c>
      <c r="F21">
        <v>0</v>
      </c>
      <c r="G21">
        <v>0</v>
      </c>
      <c r="H21">
        <v>48</v>
      </c>
      <c r="I21">
        <v>384</v>
      </c>
      <c r="J21">
        <v>972</v>
      </c>
      <c r="K21">
        <v>137</v>
      </c>
      <c r="L21">
        <v>3</v>
      </c>
      <c r="M21">
        <v>0</v>
      </c>
      <c r="N21">
        <v>17</v>
      </c>
      <c r="O21">
        <v>200</v>
      </c>
      <c r="P21">
        <v>641</v>
      </c>
      <c r="Q21">
        <v>538</v>
      </c>
      <c r="R21">
        <v>26</v>
      </c>
      <c r="S21">
        <v>0</v>
      </c>
      <c r="T21">
        <v>0</v>
      </c>
    </row>
    <row r="22" spans="1:20" x14ac:dyDescent="0.25">
      <c r="A22" t="s">
        <v>302</v>
      </c>
      <c r="B22">
        <v>6</v>
      </c>
      <c r="C22">
        <v>13</v>
      </c>
      <c r="D22">
        <v>43</v>
      </c>
      <c r="E22">
        <v>1</v>
      </c>
      <c r="F22">
        <v>0</v>
      </c>
      <c r="G22">
        <v>0</v>
      </c>
      <c r="H22">
        <v>53</v>
      </c>
      <c r="I22">
        <v>190</v>
      </c>
      <c r="J22">
        <v>509</v>
      </c>
      <c r="K22">
        <v>26</v>
      </c>
      <c r="L22">
        <v>1</v>
      </c>
      <c r="M22">
        <v>0</v>
      </c>
      <c r="N22">
        <v>1</v>
      </c>
      <c r="O22">
        <v>10</v>
      </c>
      <c r="P22">
        <v>265</v>
      </c>
      <c r="Q22">
        <v>145</v>
      </c>
      <c r="R22">
        <v>5</v>
      </c>
      <c r="S22">
        <v>0</v>
      </c>
      <c r="T22">
        <v>31</v>
      </c>
    </row>
    <row r="23" spans="1:20" x14ac:dyDescent="0.25">
      <c r="A23" t="s">
        <v>303</v>
      </c>
      <c r="B23">
        <v>9</v>
      </c>
      <c r="C23">
        <v>111</v>
      </c>
      <c r="D23">
        <v>326</v>
      </c>
      <c r="E23">
        <v>18</v>
      </c>
      <c r="F23">
        <v>0</v>
      </c>
      <c r="G23">
        <v>0</v>
      </c>
      <c r="H23">
        <v>29</v>
      </c>
      <c r="I23">
        <v>365</v>
      </c>
      <c r="J23">
        <v>2152</v>
      </c>
      <c r="K23">
        <v>270</v>
      </c>
      <c r="L23">
        <v>29</v>
      </c>
      <c r="M23">
        <v>0</v>
      </c>
      <c r="N23">
        <v>15</v>
      </c>
      <c r="O23">
        <v>147</v>
      </c>
      <c r="P23">
        <v>900</v>
      </c>
      <c r="Q23">
        <v>1284</v>
      </c>
      <c r="R23">
        <v>113</v>
      </c>
      <c r="S23">
        <v>1</v>
      </c>
      <c r="T23">
        <v>49</v>
      </c>
    </row>
    <row r="24" spans="1:20" x14ac:dyDescent="0.25">
      <c r="A24" t="s">
        <v>304</v>
      </c>
      <c r="B24">
        <v>9</v>
      </c>
      <c r="C24">
        <v>12</v>
      </c>
      <c r="D24">
        <v>27</v>
      </c>
      <c r="E24">
        <v>0</v>
      </c>
      <c r="F24">
        <v>0</v>
      </c>
      <c r="G24">
        <v>0</v>
      </c>
      <c r="H24">
        <v>60</v>
      </c>
      <c r="I24">
        <v>210</v>
      </c>
      <c r="J24">
        <v>530</v>
      </c>
      <c r="K24">
        <v>16</v>
      </c>
      <c r="L24">
        <v>0</v>
      </c>
      <c r="M24">
        <v>0</v>
      </c>
      <c r="N24">
        <v>15</v>
      </c>
      <c r="O24">
        <v>138</v>
      </c>
      <c r="P24">
        <v>247</v>
      </c>
      <c r="Q24">
        <v>57</v>
      </c>
      <c r="R24">
        <v>1</v>
      </c>
      <c r="S24">
        <v>0</v>
      </c>
      <c r="T24">
        <v>14</v>
      </c>
    </row>
    <row r="25" spans="1:20" x14ac:dyDescent="0.25">
      <c r="A25" t="s">
        <v>305</v>
      </c>
      <c r="B25">
        <v>5</v>
      </c>
      <c r="C25">
        <v>53</v>
      </c>
      <c r="D25">
        <v>121</v>
      </c>
      <c r="E25">
        <v>24</v>
      </c>
      <c r="F25">
        <v>0</v>
      </c>
      <c r="G25">
        <v>0</v>
      </c>
      <c r="H25">
        <v>31</v>
      </c>
      <c r="I25">
        <v>253</v>
      </c>
      <c r="J25">
        <v>1125</v>
      </c>
      <c r="K25">
        <v>245</v>
      </c>
      <c r="L25">
        <v>3</v>
      </c>
      <c r="M25">
        <v>1</v>
      </c>
      <c r="N25">
        <v>64</v>
      </c>
      <c r="O25">
        <v>222</v>
      </c>
      <c r="P25">
        <v>773</v>
      </c>
      <c r="Q25">
        <v>743</v>
      </c>
      <c r="R25">
        <v>31</v>
      </c>
      <c r="S25">
        <v>0</v>
      </c>
      <c r="T25">
        <v>18</v>
      </c>
    </row>
    <row r="26" spans="1:20" x14ac:dyDescent="0.25">
      <c r="A26" t="s">
        <v>306</v>
      </c>
      <c r="B26">
        <v>12</v>
      </c>
      <c r="C26">
        <v>115</v>
      </c>
      <c r="D26">
        <v>261</v>
      </c>
      <c r="E26">
        <v>47</v>
      </c>
      <c r="F26">
        <v>0</v>
      </c>
      <c r="G26">
        <v>0</v>
      </c>
      <c r="H26">
        <v>53</v>
      </c>
      <c r="I26">
        <v>570</v>
      </c>
      <c r="J26">
        <v>1656</v>
      </c>
      <c r="K26">
        <v>559</v>
      </c>
      <c r="L26">
        <v>6</v>
      </c>
      <c r="M26">
        <v>0</v>
      </c>
      <c r="N26">
        <v>22</v>
      </c>
      <c r="O26">
        <v>403</v>
      </c>
      <c r="P26">
        <v>1249</v>
      </c>
      <c r="Q26">
        <v>1442</v>
      </c>
      <c r="R26">
        <v>72</v>
      </c>
      <c r="S26">
        <v>6</v>
      </c>
      <c r="T26">
        <v>69</v>
      </c>
    </row>
    <row r="27" spans="1:20" x14ac:dyDescent="0.25">
      <c r="A27" t="s">
        <v>307</v>
      </c>
      <c r="B27">
        <v>2</v>
      </c>
      <c r="C27">
        <v>39</v>
      </c>
      <c r="D27">
        <v>163</v>
      </c>
      <c r="E27">
        <v>12</v>
      </c>
      <c r="F27">
        <v>0</v>
      </c>
      <c r="G27">
        <v>0</v>
      </c>
      <c r="H27">
        <v>91</v>
      </c>
      <c r="I27">
        <v>415</v>
      </c>
      <c r="J27">
        <v>1368</v>
      </c>
      <c r="K27">
        <v>209</v>
      </c>
      <c r="L27">
        <v>8</v>
      </c>
      <c r="M27">
        <v>0</v>
      </c>
      <c r="N27">
        <v>12</v>
      </c>
      <c r="O27">
        <v>289</v>
      </c>
      <c r="P27">
        <v>560</v>
      </c>
      <c r="Q27">
        <v>534</v>
      </c>
      <c r="R27">
        <v>23</v>
      </c>
      <c r="S27">
        <v>0</v>
      </c>
      <c r="T27">
        <v>106</v>
      </c>
    </row>
    <row r="28" spans="1:20" x14ac:dyDescent="0.25">
      <c r="A28" t="s">
        <v>266</v>
      </c>
      <c r="B28">
        <v>238</v>
      </c>
      <c r="C28">
        <v>1569</v>
      </c>
      <c r="D28">
        <v>3068</v>
      </c>
      <c r="E28">
        <v>530</v>
      </c>
      <c r="F28">
        <v>11</v>
      </c>
      <c r="G28">
        <v>1</v>
      </c>
      <c r="H28">
        <v>1428</v>
      </c>
      <c r="I28">
        <v>10062</v>
      </c>
      <c r="J28">
        <v>26904</v>
      </c>
      <c r="K28">
        <v>6256</v>
      </c>
      <c r="L28">
        <v>230</v>
      </c>
      <c r="M28">
        <v>4</v>
      </c>
      <c r="N28">
        <v>816</v>
      </c>
      <c r="O28">
        <v>5711</v>
      </c>
      <c r="P28" t="s">
        <v>786</v>
      </c>
      <c r="Q28" t="s">
        <v>786</v>
      </c>
      <c r="R28">
        <v>1302</v>
      </c>
      <c r="S28">
        <v>18</v>
      </c>
      <c r="T28">
        <v>1088</v>
      </c>
    </row>
    <row r="29" spans="1:20" x14ac:dyDescent="0.25">
      <c r="A29" t="s">
        <v>308</v>
      </c>
      <c r="B29">
        <v>47</v>
      </c>
      <c r="C29">
        <v>309</v>
      </c>
      <c r="D29">
        <v>505</v>
      </c>
      <c r="E29">
        <v>113</v>
      </c>
      <c r="F29">
        <v>4</v>
      </c>
      <c r="G29">
        <v>1</v>
      </c>
      <c r="H29">
        <v>218</v>
      </c>
      <c r="I29">
        <v>1916</v>
      </c>
      <c r="J29">
        <v>5146</v>
      </c>
      <c r="K29">
        <v>1579</v>
      </c>
      <c r="L29">
        <v>117</v>
      </c>
      <c r="M29">
        <v>0</v>
      </c>
      <c r="N29">
        <v>260</v>
      </c>
      <c r="O29">
        <v>1615</v>
      </c>
      <c r="P29">
        <v>4061</v>
      </c>
      <c r="Q29">
        <v>5679</v>
      </c>
      <c r="R29">
        <v>660</v>
      </c>
      <c r="S29">
        <v>5</v>
      </c>
      <c r="T29">
        <v>236</v>
      </c>
    </row>
    <row r="30" spans="1:20" x14ac:dyDescent="0.25">
      <c r="A30" t="s">
        <v>309</v>
      </c>
      <c r="B30">
        <v>191</v>
      </c>
      <c r="C30">
        <v>1260</v>
      </c>
      <c r="D30">
        <v>2563</v>
      </c>
      <c r="E30">
        <v>417</v>
      </c>
      <c r="F30">
        <v>7</v>
      </c>
      <c r="G30">
        <v>0</v>
      </c>
      <c r="H30">
        <v>1210</v>
      </c>
      <c r="I30">
        <v>8146</v>
      </c>
      <c r="J30">
        <v>21758</v>
      </c>
      <c r="K30">
        <v>4677</v>
      </c>
      <c r="L30">
        <v>113</v>
      </c>
      <c r="M30">
        <v>4</v>
      </c>
      <c r="N30">
        <v>556</v>
      </c>
      <c r="O30">
        <v>4096</v>
      </c>
      <c r="P30" t="s">
        <v>786</v>
      </c>
      <c r="Q30" t="s">
        <v>786</v>
      </c>
      <c r="R30">
        <v>642</v>
      </c>
      <c r="S30">
        <v>13</v>
      </c>
      <c r="T30">
        <v>852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A9D18E"/>
  </sheetPr>
  <dimension ref="A1:J30"/>
  <sheetViews>
    <sheetView workbookViewId="0"/>
  </sheetViews>
  <sheetFormatPr defaultRowHeight="15" x14ac:dyDescent="0.25"/>
  <cols>
    <col min="1" max="1" width="31.85546875" customWidth="1"/>
    <col min="2" max="2" width="15.42578125" customWidth="1"/>
    <col min="3" max="3" width="16.85546875" customWidth="1"/>
    <col min="4" max="4" width="16.7109375" customWidth="1"/>
    <col min="5" max="5" width="16.85546875" customWidth="1"/>
    <col min="8" max="8" width="16.7109375" customWidth="1"/>
    <col min="9" max="9" width="16.85546875" customWidth="1"/>
  </cols>
  <sheetData>
    <row r="1" spans="1:10" x14ac:dyDescent="0.25">
      <c r="A1" s="29" t="s">
        <v>709</v>
      </c>
      <c r="B1" t="s">
        <v>254</v>
      </c>
      <c r="C1" s="29" t="s">
        <v>493</v>
      </c>
      <c r="D1" s="29"/>
      <c r="E1" s="29"/>
      <c r="F1" s="29" t="s">
        <v>494</v>
      </c>
      <c r="G1" s="29"/>
      <c r="H1" s="29"/>
      <c r="I1" s="29" t="s">
        <v>495</v>
      </c>
      <c r="J1" s="29"/>
    </row>
    <row r="2" spans="1:10" x14ac:dyDescent="0.25">
      <c r="A2" s="29"/>
      <c r="B2" t="s">
        <v>313</v>
      </c>
      <c r="C2" t="s">
        <v>262</v>
      </c>
      <c r="D2" t="s">
        <v>496</v>
      </c>
      <c r="E2" t="s">
        <v>497</v>
      </c>
      <c r="F2" t="s">
        <v>498</v>
      </c>
      <c r="G2" t="s">
        <v>499</v>
      </c>
      <c r="H2" t="s">
        <v>500</v>
      </c>
      <c r="I2" t="s">
        <v>501</v>
      </c>
      <c r="J2" t="s">
        <v>502</v>
      </c>
    </row>
    <row r="3" spans="1:10" x14ac:dyDescent="0.25">
      <c r="A3" t="s">
        <v>283</v>
      </c>
      <c r="B3">
        <v>3760</v>
      </c>
      <c r="C3">
        <v>8</v>
      </c>
      <c r="D3">
        <v>99</v>
      </c>
      <c r="E3">
        <v>894</v>
      </c>
      <c r="F3">
        <v>934</v>
      </c>
      <c r="G3">
        <v>609</v>
      </c>
      <c r="H3">
        <v>832</v>
      </c>
      <c r="I3">
        <v>146</v>
      </c>
      <c r="J3">
        <v>148</v>
      </c>
    </row>
    <row r="4" spans="1:10" x14ac:dyDescent="0.25">
      <c r="A4" t="s">
        <v>284</v>
      </c>
      <c r="B4">
        <v>5441</v>
      </c>
      <c r="C4">
        <v>31</v>
      </c>
      <c r="D4">
        <v>338</v>
      </c>
      <c r="E4">
        <v>587</v>
      </c>
      <c r="F4">
        <v>1628</v>
      </c>
      <c r="G4">
        <v>1001</v>
      </c>
      <c r="H4">
        <v>1224</v>
      </c>
      <c r="I4">
        <v>192</v>
      </c>
      <c r="J4">
        <v>136</v>
      </c>
    </row>
    <row r="5" spans="1:10" x14ac:dyDescent="0.25">
      <c r="A5" t="s">
        <v>285</v>
      </c>
      <c r="B5">
        <v>4695</v>
      </c>
      <c r="C5">
        <v>112</v>
      </c>
      <c r="D5">
        <v>345</v>
      </c>
      <c r="E5">
        <v>335</v>
      </c>
      <c r="F5">
        <v>1281</v>
      </c>
      <c r="G5">
        <v>751</v>
      </c>
      <c r="H5">
        <v>839</v>
      </c>
      <c r="I5">
        <v>144</v>
      </c>
      <c r="J5">
        <v>200</v>
      </c>
    </row>
    <row r="6" spans="1:10" x14ac:dyDescent="0.25">
      <c r="A6" t="s">
        <v>286</v>
      </c>
      <c r="B6">
        <v>2463</v>
      </c>
      <c r="C6">
        <v>18</v>
      </c>
      <c r="D6">
        <v>82</v>
      </c>
      <c r="E6">
        <v>448</v>
      </c>
      <c r="F6">
        <v>499</v>
      </c>
      <c r="G6">
        <v>336</v>
      </c>
      <c r="H6">
        <v>464</v>
      </c>
      <c r="I6">
        <v>98</v>
      </c>
      <c r="J6">
        <v>79</v>
      </c>
    </row>
    <row r="7" spans="1:10" x14ac:dyDescent="0.25">
      <c r="A7" t="s">
        <v>287</v>
      </c>
      <c r="B7">
        <v>3290</v>
      </c>
      <c r="C7">
        <v>41</v>
      </c>
      <c r="D7">
        <v>203</v>
      </c>
      <c r="E7">
        <v>243</v>
      </c>
      <c r="F7">
        <v>1235</v>
      </c>
      <c r="G7">
        <v>691</v>
      </c>
      <c r="H7">
        <v>810</v>
      </c>
      <c r="I7">
        <v>115</v>
      </c>
      <c r="J7">
        <v>129</v>
      </c>
    </row>
    <row r="8" spans="1:10" x14ac:dyDescent="0.25">
      <c r="A8" t="s">
        <v>288</v>
      </c>
      <c r="B8">
        <v>3660</v>
      </c>
      <c r="C8">
        <v>50</v>
      </c>
      <c r="D8">
        <v>180</v>
      </c>
      <c r="E8">
        <v>346</v>
      </c>
      <c r="F8">
        <v>818</v>
      </c>
      <c r="G8">
        <v>334</v>
      </c>
      <c r="H8">
        <v>484</v>
      </c>
      <c r="I8">
        <v>99</v>
      </c>
      <c r="J8">
        <v>151</v>
      </c>
    </row>
    <row r="9" spans="1:10" x14ac:dyDescent="0.25">
      <c r="A9" t="s">
        <v>289</v>
      </c>
      <c r="B9">
        <v>3248</v>
      </c>
      <c r="C9">
        <v>0</v>
      </c>
      <c r="D9">
        <v>132</v>
      </c>
      <c r="E9">
        <v>283</v>
      </c>
      <c r="F9">
        <v>926</v>
      </c>
      <c r="G9">
        <v>485</v>
      </c>
      <c r="H9">
        <v>472</v>
      </c>
      <c r="I9">
        <v>137</v>
      </c>
      <c r="J9">
        <v>102</v>
      </c>
    </row>
    <row r="10" spans="1:10" x14ac:dyDescent="0.25">
      <c r="A10" t="s">
        <v>290</v>
      </c>
      <c r="B10">
        <v>5294</v>
      </c>
      <c r="C10">
        <v>112</v>
      </c>
      <c r="D10">
        <v>393</v>
      </c>
      <c r="E10">
        <v>400</v>
      </c>
      <c r="F10">
        <v>1150</v>
      </c>
      <c r="G10">
        <v>793</v>
      </c>
      <c r="H10">
        <v>895</v>
      </c>
      <c r="I10">
        <v>152</v>
      </c>
      <c r="J10">
        <v>122</v>
      </c>
    </row>
    <row r="11" spans="1:10" x14ac:dyDescent="0.25">
      <c r="A11" t="s">
        <v>291</v>
      </c>
      <c r="B11">
        <v>252</v>
      </c>
      <c r="C11">
        <v>9</v>
      </c>
      <c r="D11">
        <v>24</v>
      </c>
      <c r="E11">
        <v>85</v>
      </c>
      <c r="F11">
        <v>50</v>
      </c>
      <c r="G11">
        <v>45</v>
      </c>
      <c r="H11">
        <v>53</v>
      </c>
      <c r="I11">
        <v>8</v>
      </c>
      <c r="J11">
        <v>8</v>
      </c>
    </row>
    <row r="12" spans="1:10" x14ac:dyDescent="0.25">
      <c r="A12" t="s">
        <v>292</v>
      </c>
      <c r="B12">
        <v>807</v>
      </c>
      <c r="C12">
        <v>0</v>
      </c>
      <c r="D12">
        <v>35</v>
      </c>
      <c r="E12">
        <v>376</v>
      </c>
      <c r="F12">
        <v>86</v>
      </c>
      <c r="G12">
        <v>26</v>
      </c>
      <c r="H12">
        <v>97</v>
      </c>
      <c r="I12">
        <v>33</v>
      </c>
      <c r="J12">
        <v>27</v>
      </c>
    </row>
    <row r="13" spans="1:10" x14ac:dyDescent="0.25">
      <c r="A13" t="s">
        <v>293</v>
      </c>
      <c r="B13">
        <v>1944</v>
      </c>
      <c r="C13">
        <v>71</v>
      </c>
      <c r="D13">
        <v>105</v>
      </c>
      <c r="E13">
        <v>252</v>
      </c>
      <c r="F13">
        <v>436</v>
      </c>
      <c r="G13">
        <v>283</v>
      </c>
      <c r="H13">
        <v>334</v>
      </c>
      <c r="I13">
        <v>70</v>
      </c>
      <c r="J13">
        <v>74</v>
      </c>
    </row>
    <row r="14" spans="1:10" x14ac:dyDescent="0.25">
      <c r="A14" t="s">
        <v>294</v>
      </c>
      <c r="B14">
        <v>571</v>
      </c>
      <c r="C14">
        <v>2</v>
      </c>
      <c r="D14">
        <v>33</v>
      </c>
      <c r="E14">
        <v>155</v>
      </c>
      <c r="F14">
        <v>203</v>
      </c>
      <c r="G14">
        <v>93</v>
      </c>
      <c r="H14">
        <v>136</v>
      </c>
      <c r="I14">
        <v>8</v>
      </c>
      <c r="J14">
        <v>5</v>
      </c>
    </row>
    <row r="15" spans="1:10" x14ac:dyDescent="0.25">
      <c r="A15" t="s">
        <v>295</v>
      </c>
      <c r="B15">
        <v>1470</v>
      </c>
      <c r="C15">
        <v>27</v>
      </c>
      <c r="D15">
        <v>47</v>
      </c>
      <c r="E15">
        <v>224</v>
      </c>
      <c r="F15">
        <v>280</v>
      </c>
      <c r="G15">
        <v>206</v>
      </c>
      <c r="H15">
        <v>227</v>
      </c>
      <c r="I15">
        <v>56</v>
      </c>
      <c r="J15">
        <v>20</v>
      </c>
    </row>
    <row r="16" spans="1:10" x14ac:dyDescent="0.25">
      <c r="A16" t="s">
        <v>296</v>
      </c>
      <c r="B16">
        <v>415</v>
      </c>
      <c r="C16">
        <v>2</v>
      </c>
      <c r="D16">
        <v>42</v>
      </c>
      <c r="E16">
        <v>112</v>
      </c>
      <c r="F16">
        <v>69</v>
      </c>
      <c r="G16">
        <v>18</v>
      </c>
      <c r="H16">
        <v>43</v>
      </c>
      <c r="I16">
        <v>18</v>
      </c>
      <c r="J16">
        <v>16</v>
      </c>
    </row>
    <row r="17" spans="1:10" x14ac:dyDescent="0.25">
      <c r="A17" t="s">
        <v>297</v>
      </c>
      <c r="B17">
        <v>3793</v>
      </c>
      <c r="C17">
        <v>40</v>
      </c>
      <c r="D17">
        <v>526</v>
      </c>
      <c r="E17">
        <v>200</v>
      </c>
      <c r="F17">
        <v>905</v>
      </c>
      <c r="G17">
        <v>614</v>
      </c>
      <c r="H17">
        <v>616</v>
      </c>
      <c r="I17">
        <v>102</v>
      </c>
      <c r="J17">
        <v>91</v>
      </c>
    </row>
    <row r="18" spans="1:10" x14ac:dyDescent="0.25">
      <c r="A18" t="s">
        <v>298</v>
      </c>
      <c r="B18">
        <v>1147</v>
      </c>
      <c r="C18">
        <v>0</v>
      </c>
      <c r="D18">
        <v>5</v>
      </c>
      <c r="E18">
        <v>193</v>
      </c>
      <c r="F18">
        <v>60</v>
      </c>
      <c r="G18">
        <v>52</v>
      </c>
      <c r="H18">
        <v>48</v>
      </c>
      <c r="I18">
        <v>12</v>
      </c>
      <c r="J18">
        <v>8</v>
      </c>
    </row>
    <row r="19" spans="1:10" x14ac:dyDescent="0.25">
      <c r="A19" t="s">
        <v>299</v>
      </c>
      <c r="B19">
        <v>1644</v>
      </c>
      <c r="C19">
        <v>4</v>
      </c>
      <c r="D19">
        <v>66</v>
      </c>
      <c r="E19">
        <v>322</v>
      </c>
      <c r="F19">
        <v>408</v>
      </c>
      <c r="G19">
        <v>204</v>
      </c>
      <c r="H19">
        <v>242</v>
      </c>
      <c r="I19">
        <v>36</v>
      </c>
      <c r="J19">
        <v>23</v>
      </c>
    </row>
    <row r="20" spans="1:10" x14ac:dyDescent="0.25">
      <c r="A20" t="s">
        <v>300</v>
      </c>
      <c r="B20">
        <v>5535</v>
      </c>
      <c r="C20">
        <v>105</v>
      </c>
      <c r="D20">
        <v>365</v>
      </c>
      <c r="E20">
        <v>759</v>
      </c>
      <c r="F20">
        <v>1497</v>
      </c>
      <c r="G20">
        <v>951</v>
      </c>
      <c r="H20">
        <v>1065</v>
      </c>
      <c r="I20">
        <v>226</v>
      </c>
      <c r="J20">
        <v>215</v>
      </c>
    </row>
    <row r="21" spans="1:10" x14ac:dyDescent="0.25">
      <c r="A21" t="s">
        <v>301</v>
      </c>
      <c r="B21">
        <v>2474</v>
      </c>
      <c r="C21">
        <v>9</v>
      </c>
      <c r="D21">
        <v>123</v>
      </c>
      <c r="E21">
        <v>235</v>
      </c>
      <c r="F21">
        <v>453</v>
      </c>
      <c r="G21">
        <v>372</v>
      </c>
      <c r="H21">
        <v>403</v>
      </c>
      <c r="I21">
        <v>85</v>
      </c>
      <c r="J21">
        <v>58</v>
      </c>
    </row>
    <row r="22" spans="1:10" x14ac:dyDescent="0.25">
      <c r="A22" t="s">
        <v>302</v>
      </c>
      <c r="B22">
        <v>1168</v>
      </c>
      <c r="C22">
        <v>24</v>
      </c>
      <c r="D22">
        <v>109</v>
      </c>
      <c r="E22">
        <v>299</v>
      </c>
      <c r="F22">
        <v>263</v>
      </c>
      <c r="G22">
        <v>221</v>
      </c>
      <c r="H22">
        <v>185</v>
      </c>
      <c r="I22">
        <v>21</v>
      </c>
      <c r="J22">
        <v>27</v>
      </c>
    </row>
    <row r="23" spans="1:10" x14ac:dyDescent="0.25">
      <c r="A23" t="s">
        <v>303</v>
      </c>
      <c r="B23">
        <v>5447</v>
      </c>
      <c r="C23">
        <v>98</v>
      </c>
      <c r="D23">
        <v>262</v>
      </c>
      <c r="E23">
        <v>416</v>
      </c>
      <c r="F23">
        <v>1152</v>
      </c>
      <c r="G23">
        <v>759</v>
      </c>
      <c r="H23">
        <v>880</v>
      </c>
      <c r="I23">
        <v>198</v>
      </c>
      <c r="J23">
        <v>240</v>
      </c>
    </row>
    <row r="24" spans="1:10" x14ac:dyDescent="0.25">
      <c r="A24" t="s">
        <v>304</v>
      </c>
      <c r="B24">
        <v>1020</v>
      </c>
      <c r="C24">
        <v>7</v>
      </c>
      <c r="D24">
        <v>90</v>
      </c>
      <c r="E24">
        <v>240</v>
      </c>
      <c r="F24">
        <v>218</v>
      </c>
      <c r="G24">
        <v>188</v>
      </c>
      <c r="H24">
        <v>252</v>
      </c>
      <c r="I24">
        <v>24</v>
      </c>
      <c r="J24">
        <v>18</v>
      </c>
    </row>
    <row r="25" spans="1:10" x14ac:dyDescent="0.25">
      <c r="A25" t="s">
        <v>305</v>
      </c>
      <c r="B25">
        <v>2865</v>
      </c>
      <c r="C25">
        <v>43</v>
      </c>
      <c r="D25">
        <v>161</v>
      </c>
      <c r="E25">
        <v>323</v>
      </c>
      <c r="F25">
        <v>696</v>
      </c>
      <c r="G25">
        <v>416</v>
      </c>
      <c r="H25">
        <v>536</v>
      </c>
      <c r="I25">
        <v>92</v>
      </c>
      <c r="J25">
        <v>89</v>
      </c>
    </row>
    <row r="26" spans="1:10" x14ac:dyDescent="0.25">
      <c r="A26" t="s">
        <v>306</v>
      </c>
      <c r="B26">
        <v>5195</v>
      </c>
      <c r="C26">
        <v>106</v>
      </c>
      <c r="D26">
        <v>397</v>
      </c>
      <c r="E26">
        <v>310</v>
      </c>
      <c r="F26">
        <v>1906</v>
      </c>
      <c r="G26">
        <v>1139</v>
      </c>
      <c r="H26">
        <v>1449</v>
      </c>
      <c r="I26">
        <v>166</v>
      </c>
      <c r="J26">
        <v>150</v>
      </c>
    </row>
    <row r="27" spans="1:10" x14ac:dyDescent="0.25">
      <c r="A27" t="s">
        <v>307</v>
      </c>
      <c r="B27">
        <v>3580</v>
      </c>
      <c r="C27">
        <v>39</v>
      </c>
      <c r="D27">
        <v>290</v>
      </c>
      <c r="E27">
        <v>504</v>
      </c>
      <c r="F27">
        <v>927</v>
      </c>
      <c r="G27">
        <v>592</v>
      </c>
      <c r="H27">
        <v>641</v>
      </c>
      <c r="I27">
        <v>102</v>
      </c>
      <c r="J27">
        <v>105</v>
      </c>
    </row>
    <row r="28" spans="1:10" x14ac:dyDescent="0.25">
      <c r="A28" t="s">
        <v>266</v>
      </c>
      <c r="B28">
        <v>71178</v>
      </c>
      <c r="C28">
        <v>958</v>
      </c>
      <c r="D28">
        <v>4452</v>
      </c>
      <c r="E28">
        <v>8541</v>
      </c>
      <c r="F28">
        <v>18080</v>
      </c>
      <c r="G28">
        <v>11179</v>
      </c>
      <c r="H28">
        <v>13227</v>
      </c>
      <c r="I28">
        <v>2340</v>
      </c>
      <c r="J28">
        <v>2241</v>
      </c>
    </row>
    <row r="29" spans="1:10" x14ac:dyDescent="0.25">
      <c r="A29" t="s">
        <v>308</v>
      </c>
      <c r="B29">
        <v>11541</v>
      </c>
      <c r="C29">
        <v>135</v>
      </c>
      <c r="D29">
        <v>1067</v>
      </c>
      <c r="E29">
        <v>1596</v>
      </c>
      <c r="F29">
        <v>2358</v>
      </c>
      <c r="G29">
        <v>1601</v>
      </c>
      <c r="H29">
        <v>1777</v>
      </c>
      <c r="I29">
        <v>361</v>
      </c>
      <c r="J29">
        <v>331</v>
      </c>
    </row>
    <row r="30" spans="1:10" x14ac:dyDescent="0.25">
      <c r="A30" t="s">
        <v>309</v>
      </c>
      <c r="B30">
        <v>59637</v>
      </c>
      <c r="C30">
        <v>823</v>
      </c>
      <c r="D30">
        <v>3385</v>
      </c>
      <c r="E30">
        <v>6945</v>
      </c>
      <c r="F30">
        <v>15722</v>
      </c>
      <c r="G30">
        <v>9578</v>
      </c>
      <c r="H30">
        <v>11450</v>
      </c>
      <c r="I30">
        <v>1979</v>
      </c>
      <c r="J30">
        <v>1910</v>
      </c>
    </row>
  </sheetData>
  <mergeCells count="4">
    <mergeCell ref="I1:J1"/>
    <mergeCell ref="C1:E1"/>
    <mergeCell ref="F1:H1"/>
    <mergeCell ref="A1:A2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A9D18E"/>
  </sheetPr>
  <dimension ref="A1:N30"/>
  <sheetViews>
    <sheetView workbookViewId="0"/>
  </sheetViews>
  <sheetFormatPr defaultRowHeight="15" x14ac:dyDescent="0.25"/>
  <cols>
    <col min="1" max="1" width="30.42578125" customWidth="1"/>
    <col min="2" max="2" width="11.140625" customWidth="1"/>
    <col min="4" max="4" width="10.85546875" customWidth="1"/>
    <col min="5" max="5" width="11.140625" customWidth="1"/>
    <col min="8" max="8" width="12.85546875" customWidth="1"/>
    <col min="10" max="10" width="11.85546875" customWidth="1"/>
    <col min="11" max="11" width="11.28515625" customWidth="1"/>
    <col min="12" max="12" width="15.140625" customWidth="1"/>
    <col min="13" max="13" width="9.42578125" customWidth="1"/>
    <col min="14" max="14" width="10.85546875" customWidth="1"/>
  </cols>
  <sheetData>
    <row r="1" spans="1:14" x14ac:dyDescent="0.25">
      <c r="A1" s="29" t="s">
        <v>709</v>
      </c>
      <c r="B1" s="29" t="s">
        <v>504</v>
      </c>
      <c r="C1" s="29"/>
      <c r="D1" s="29"/>
      <c r="E1" s="29"/>
      <c r="F1" t="s">
        <v>505</v>
      </c>
      <c r="G1" t="s">
        <v>506</v>
      </c>
      <c r="H1" s="29" t="s">
        <v>507</v>
      </c>
      <c r="I1" s="29"/>
      <c r="J1" s="29" t="s">
        <v>508</v>
      </c>
      <c r="K1" s="29"/>
      <c r="L1" s="29"/>
      <c r="M1" s="29"/>
      <c r="N1" s="29"/>
    </row>
    <row r="2" spans="1:14" x14ac:dyDescent="0.25">
      <c r="A2" s="29"/>
      <c r="B2" t="s">
        <v>509</v>
      </c>
      <c r="C2" t="s">
        <v>510</v>
      </c>
      <c r="D2" t="s">
        <v>263</v>
      </c>
      <c r="E2" t="s">
        <v>265</v>
      </c>
      <c r="F2" t="s">
        <v>475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517</v>
      </c>
      <c r="N2" t="s">
        <v>518</v>
      </c>
    </row>
    <row r="3" spans="1:14" x14ac:dyDescent="0.25">
      <c r="A3" t="s">
        <v>283</v>
      </c>
      <c r="B3">
        <v>687</v>
      </c>
      <c r="C3">
        <v>616</v>
      </c>
      <c r="D3">
        <v>6</v>
      </c>
      <c r="E3">
        <v>2</v>
      </c>
      <c r="F3">
        <v>4</v>
      </c>
      <c r="G3">
        <v>4</v>
      </c>
      <c r="H3">
        <v>51851</v>
      </c>
      <c r="I3">
        <v>12125841</v>
      </c>
      <c r="J3">
        <v>100</v>
      </c>
      <c r="K3">
        <v>26</v>
      </c>
      <c r="L3">
        <v>9</v>
      </c>
      <c r="M3">
        <v>145</v>
      </c>
      <c r="N3">
        <v>27</v>
      </c>
    </row>
    <row r="4" spans="1:14" x14ac:dyDescent="0.25">
      <c r="A4" t="s">
        <v>284</v>
      </c>
      <c r="B4">
        <v>1100</v>
      </c>
      <c r="C4">
        <v>1073</v>
      </c>
      <c r="D4">
        <v>5</v>
      </c>
      <c r="E4">
        <v>2</v>
      </c>
      <c r="F4">
        <v>8</v>
      </c>
      <c r="G4">
        <v>7</v>
      </c>
      <c r="H4">
        <v>59500</v>
      </c>
      <c r="I4">
        <v>12432941</v>
      </c>
      <c r="J4">
        <v>149</v>
      </c>
      <c r="K4">
        <v>55</v>
      </c>
      <c r="L4">
        <v>48</v>
      </c>
      <c r="M4">
        <v>126</v>
      </c>
      <c r="N4">
        <v>54</v>
      </c>
    </row>
    <row r="5" spans="1:14" x14ac:dyDescent="0.25">
      <c r="A5" t="s">
        <v>285</v>
      </c>
      <c r="B5">
        <v>703</v>
      </c>
      <c r="C5">
        <v>650</v>
      </c>
      <c r="D5">
        <v>7</v>
      </c>
      <c r="E5">
        <v>2</v>
      </c>
      <c r="F5">
        <v>30</v>
      </c>
      <c r="G5">
        <v>0</v>
      </c>
      <c r="H5">
        <v>42922</v>
      </c>
      <c r="I5">
        <v>11034024</v>
      </c>
      <c r="J5">
        <v>66</v>
      </c>
      <c r="K5">
        <v>21</v>
      </c>
      <c r="L5">
        <v>23</v>
      </c>
      <c r="M5">
        <v>467</v>
      </c>
      <c r="N5">
        <v>24</v>
      </c>
    </row>
    <row r="6" spans="1:14" x14ac:dyDescent="0.25">
      <c r="A6" t="s">
        <v>286</v>
      </c>
      <c r="B6">
        <v>458</v>
      </c>
      <c r="C6">
        <v>422</v>
      </c>
      <c r="D6">
        <v>6</v>
      </c>
      <c r="E6">
        <v>2</v>
      </c>
      <c r="F6">
        <v>2</v>
      </c>
      <c r="G6">
        <v>0</v>
      </c>
      <c r="H6">
        <v>51760</v>
      </c>
      <c r="I6">
        <v>13181354</v>
      </c>
      <c r="J6">
        <v>61</v>
      </c>
      <c r="K6">
        <v>34</v>
      </c>
      <c r="L6">
        <v>19</v>
      </c>
      <c r="M6">
        <v>207</v>
      </c>
      <c r="N6">
        <v>38</v>
      </c>
    </row>
    <row r="7" spans="1:14" x14ac:dyDescent="0.25">
      <c r="A7" t="s">
        <v>287</v>
      </c>
      <c r="B7">
        <v>559</v>
      </c>
      <c r="C7">
        <v>538</v>
      </c>
      <c r="D7">
        <v>6</v>
      </c>
      <c r="E7">
        <v>1</v>
      </c>
      <c r="F7">
        <v>8</v>
      </c>
      <c r="G7">
        <v>0</v>
      </c>
      <c r="H7">
        <v>42251</v>
      </c>
      <c r="I7">
        <v>11348481</v>
      </c>
      <c r="J7">
        <v>130</v>
      </c>
      <c r="K7">
        <v>66</v>
      </c>
      <c r="L7">
        <v>21</v>
      </c>
      <c r="M7">
        <v>364</v>
      </c>
      <c r="N7">
        <v>28</v>
      </c>
    </row>
    <row r="8" spans="1:14" x14ac:dyDescent="0.25">
      <c r="A8" t="s">
        <v>288</v>
      </c>
      <c r="B8">
        <v>683</v>
      </c>
      <c r="C8">
        <v>646</v>
      </c>
      <c r="D8">
        <v>7</v>
      </c>
      <c r="E8">
        <v>2</v>
      </c>
      <c r="F8">
        <v>42</v>
      </c>
      <c r="G8">
        <v>2</v>
      </c>
      <c r="H8">
        <v>79408</v>
      </c>
      <c r="I8">
        <v>16600587</v>
      </c>
      <c r="J8">
        <v>183</v>
      </c>
      <c r="K8">
        <v>50</v>
      </c>
      <c r="L8">
        <v>31</v>
      </c>
      <c r="M8">
        <v>388</v>
      </c>
      <c r="N8">
        <v>89</v>
      </c>
    </row>
    <row r="9" spans="1:14" x14ac:dyDescent="0.25">
      <c r="A9" t="s">
        <v>289</v>
      </c>
      <c r="B9">
        <v>540</v>
      </c>
      <c r="C9">
        <v>520</v>
      </c>
      <c r="D9">
        <v>7</v>
      </c>
      <c r="E9">
        <v>2</v>
      </c>
      <c r="F9">
        <v>3</v>
      </c>
      <c r="G9">
        <v>0</v>
      </c>
      <c r="H9">
        <v>49932</v>
      </c>
      <c r="I9">
        <v>11111035</v>
      </c>
      <c r="J9">
        <v>73</v>
      </c>
      <c r="K9">
        <v>13</v>
      </c>
      <c r="L9">
        <v>19</v>
      </c>
      <c r="M9">
        <v>212</v>
      </c>
      <c r="N9">
        <v>30</v>
      </c>
    </row>
    <row r="10" spans="1:14" x14ac:dyDescent="0.25">
      <c r="A10" t="s">
        <v>290</v>
      </c>
      <c r="B10">
        <v>692</v>
      </c>
      <c r="C10">
        <v>643</v>
      </c>
      <c r="D10">
        <v>6</v>
      </c>
      <c r="E10">
        <v>2</v>
      </c>
      <c r="F10">
        <v>13</v>
      </c>
      <c r="G10">
        <v>0</v>
      </c>
      <c r="H10">
        <v>40988</v>
      </c>
      <c r="I10">
        <v>15546371</v>
      </c>
      <c r="J10">
        <v>29</v>
      </c>
      <c r="K10">
        <v>8</v>
      </c>
      <c r="L10">
        <v>18</v>
      </c>
      <c r="M10">
        <v>335</v>
      </c>
      <c r="N10">
        <v>8</v>
      </c>
    </row>
    <row r="11" spans="1:14" x14ac:dyDescent="0.25">
      <c r="A11" t="s">
        <v>291</v>
      </c>
      <c r="B11">
        <v>42</v>
      </c>
      <c r="C11">
        <v>36</v>
      </c>
      <c r="D11">
        <v>6</v>
      </c>
      <c r="E11">
        <v>2</v>
      </c>
      <c r="F11">
        <v>0</v>
      </c>
      <c r="G11">
        <v>0</v>
      </c>
      <c r="H11">
        <v>46582</v>
      </c>
      <c r="I11">
        <v>6895077</v>
      </c>
      <c r="J11">
        <v>3</v>
      </c>
      <c r="K11">
        <v>1</v>
      </c>
      <c r="L11">
        <v>1</v>
      </c>
      <c r="M11">
        <v>42</v>
      </c>
      <c r="N11">
        <v>0</v>
      </c>
    </row>
    <row r="12" spans="1:14" x14ac:dyDescent="0.25">
      <c r="A12" t="s">
        <v>292</v>
      </c>
      <c r="B12">
        <v>183</v>
      </c>
      <c r="C12">
        <v>172</v>
      </c>
      <c r="D12">
        <v>6</v>
      </c>
      <c r="E12">
        <v>2</v>
      </c>
      <c r="F12">
        <v>3</v>
      </c>
      <c r="G12">
        <v>0</v>
      </c>
      <c r="H12">
        <v>81683</v>
      </c>
      <c r="I12">
        <v>11954892</v>
      </c>
      <c r="J12">
        <v>28</v>
      </c>
      <c r="K12">
        <v>5</v>
      </c>
      <c r="L12">
        <v>2</v>
      </c>
      <c r="M12">
        <v>113</v>
      </c>
      <c r="N12">
        <v>1</v>
      </c>
    </row>
    <row r="13" spans="1:14" x14ac:dyDescent="0.25">
      <c r="A13" t="s">
        <v>293</v>
      </c>
      <c r="B13">
        <v>402</v>
      </c>
      <c r="C13">
        <v>371</v>
      </c>
      <c r="D13">
        <v>6</v>
      </c>
      <c r="E13">
        <v>2</v>
      </c>
      <c r="F13">
        <v>8</v>
      </c>
      <c r="G13">
        <v>0</v>
      </c>
      <c r="H13">
        <v>55336</v>
      </c>
      <c r="I13">
        <v>12442739</v>
      </c>
      <c r="J13">
        <v>40</v>
      </c>
      <c r="K13">
        <v>11</v>
      </c>
      <c r="L13">
        <v>7</v>
      </c>
      <c r="M13">
        <v>213</v>
      </c>
      <c r="N13">
        <v>7</v>
      </c>
    </row>
    <row r="14" spans="1:14" x14ac:dyDescent="0.25">
      <c r="A14" t="s">
        <v>294</v>
      </c>
      <c r="B14">
        <v>112</v>
      </c>
      <c r="C14">
        <v>111</v>
      </c>
      <c r="D14">
        <v>6</v>
      </c>
      <c r="E14">
        <v>2</v>
      </c>
      <c r="F14">
        <v>0</v>
      </c>
      <c r="G14">
        <v>0</v>
      </c>
      <c r="H14">
        <v>74203</v>
      </c>
      <c r="I14">
        <v>13237762</v>
      </c>
      <c r="J14">
        <v>8</v>
      </c>
      <c r="K14">
        <v>4</v>
      </c>
      <c r="L14">
        <v>0</v>
      </c>
      <c r="M14">
        <v>91</v>
      </c>
      <c r="N14">
        <v>0</v>
      </c>
    </row>
    <row r="15" spans="1:14" x14ac:dyDescent="0.25">
      <c r="A15" t="s">
        <v>295</v>
      </c>
      <c r="B15">
        <v>303</v>
      </c>
      <c r="C15">
        <v>292</v>
      </c>
      <c r="D15">
        <v>5</v>
      </c>
      <c r="E15">
        <v>1</v>
      </c>
      <c r="F15">
        <v>1</v>
      </c>
      <c r="G15">
        <v>0</v>
      </c>
      <c r="H15">
        <v>71698</v>
      </c>
      <c r="I15">
        <v>10718490</v>
      </c>
      <c r="J15">
        <v>50</v>
      </c>
      <c r="K15">
        <v>70</v>
      </c>
      <c r="L15">
        <v>3</v>
      </c>
      <c r="M15">
        <v>98</v>
      </c>
      <c r="N15">
        <v>6</v>
      </c>
    </row>
    <row r="16" spans="1:14" x14ac:dyDescent="0.25">
      <c r="A16" t="s">
        <v>296</v>
      </c>
      <c r="B16">
        <v>73</v>
      </c>
      <c r="C16">
        <v>72</v>
      </c>
      <c r="D16">
        <v>6</v>
      </c>
      <c r="E16">
        <v>3</v>
      </c>
      <c r="F16">
        <v>0</v>
      </c>
      <c r="G16">
        <v>0</v>
      </c>
      <c r="H16">
        <v>57728</v>
      </c>
      <c r="I16">
        <v>11395283</v>
      </c>
      <c r="J16">
        <v>2</v>
      </c>
      <c r="K16">
        <v>1</v>
      </c>
      <c r="L16">
        <v>4</v>
      </c>
      <c r="M16">
        <v>5</v>
      </c>
      <c r="N16">
        <v>2</v>
      </c>
    </row>
    <row r="17" spans="1:14" x14ac:dyDescent="0.25">
      <c r="A17" t="s">
        <v>297</v>
      </c>
      <c r="B17">
        <v>360</v>
      </c>
      <c r="C17">
        <v>353</v>
      </c>
      <c r="D17">
        <v>8</v>
      </c>
      <c r="E17">
        <v>3</v>
      </c>
      <c r="F17">
        <v>1</v>
      </c>
      <c r="G17">
        <v>1</v>
      </c>
      <c r="H17">
        <v>33152</v>
      </c>
      <c r="I17">
        <v>19731288</v>
      </c>
      <c r="J17">
        <v>81</v>
      </c>
      <c r="K17">
        <v>7</v>
      </c>
      <c r="L17">
        <v>6</v>
      </c>
      <c r="M17">
        <v>75</v>
      </c>
      <c r="N17">
        <v>44</v>
      </c>
    </row>
    <row r="18" spans="1:14" x14ac:dyDescent="0.25">
      <c r="A18" t="s">
        <v>298</v>
      </c>
      <c r="B18">
        <v>138</v>
      </c>
      <c r="C18">
        <v>52</v>
      </c>
      <c r="D18">
        <v>3</v>
      </c>
      <c r="E18">
        <v>1</v>
      </c>
      <c r="F18">
        <v>2</v>
      </c>
      <c r="G18">
        <v>0</v>
      </c>
      <c r="H18">
        <v>51925</v>
      </c>
      <c r="I18">
        <v>14069064</v>
      </c>
      <c r="J18">
        <v>2</v>
      </c>
      <c r="K18">
        <v>0</v>
      </c>
      <c r="L18">
        <v>1</v>
      </c>
      <c r="M18">
        <v>5</v>
      </c>
      <c r="N18">
        <v>0</v>
      </c>
    </row>
    <row r="19" spans="1:14" x14ac:dyDescent="0.25">
      <c r="A19" t="s">
        <v>299</v>
      </c>
      <c r="B19">
        <v>340</v>
      </c>
      <c r="C19">
        <v>325</v>
      </c>
      <c r="D19">
        <v>8</v>
      </c>
      <c r="E19">
        <v>3</v>
      </c>
      <c r="F19">
        <v>3</v>
      </c>
      <c r="G19">
        <v>2</v>
      </c>
      <c r="H19">
        <v>65742</v>
      </c>
      <c r="I19">
        <v>9597150</v>
      </c>
      <c r="J19">
        <v>44</v>
      </c>
      <c r="K19">
        <v>11</v>
      </c>
      <c r="L19">
        <v>5</v>
      </c>
      <c r="M19">
        <v>113</v>
      </c>
      <c r="N19">
        <v>27</v>
      </c>
    </row>
    <row r="20" spans="1:14" x14ac:dyDescent="0.25">
      <c r="A20" t="s">
        <v>300</v>
      </c>
      <c r="B20">
        <v>938</v>
      </c>
      <c r="C20">
        <v>888</v>
      </c>
      <c r="D20">
        <v>7</v>
      </c>
      <c r="E20">
        <v>2</v>
      </c>
      <c r="F20">
        <v>3</v>
      </c>
      <c r="G20">
        <v>0</v>
      </c>
      <c r="H20">
        <v>40683</v>
      </c>
      <c r="I20">
        <v>8995634</v>
      </c>
      <c r="J20">
        <v>234</v>
      </c>
      <c r="K20">
        <v>58</v>
      </c>
      <c r="L20">
        <v>44</v>
      </c>
      <c r="M20">
        <v>518</v>
      </c>
      <c r="N20">
        <v>86</v>
      </c>
    </row>
    <row r="21" spans="1:14" x14ac:dyDescent="0.25">
      <c r="A21" t="s">
        <v>301</v>
      </c>
      <c r="B21">
        <v>475</v>
      </c>
      <c r="C21">
        <v>459</v>
      </c>
      <c r="D21">
        <v>6</v>
      </c>
      <c r="E21">
        <v>2</v>
      </c>
      <c r="F21">
        <v>2</v>
      </c>
      <c r="G21">
        <v>0</v>
      </c>
      <c r="H21">
        <v>53962</v>
      </c>
      <c r="I21">
        <v>9764332</v>
      </c>
      <c r="J21">
        <v>73</v>
      </c>
      <c r="K21">
        <v>19</v>
      </c>
      <c r="L21">
        <v>15</v>
      </c>
      <c r="M21">
        <v>227</v>
      </c>
      <c r="N21">
        <v>48</v>
      </c>
    </row>
    <row r="22" spans="1:14" x14ac:dyDescent="0.25">
      <c r="A22" t="s">
        <v>302</v>
      </c>
      <c r="B22">
        <v>265</v>
      </c>
      <c r="C22">
        <v>257</v>
      </c>
      <c r="D22">
        <v>7</v>
      </c>
      <c r="E22">
        <v>2</v>
      </c>
      <c r="F22">
        <v>22</v>
      </c>
      <c r="G22">
        <v>0</v>
      </c>
      <c r="H22">
        <v>67298</v>
      </c>
      <c r="I22">
        <v>12181502</v>
      </c>
      <c r="J22">
        <v>10</v>
      </c>
      <c r="K22">
        <v>25</v>
      </c>
      <c r="L22">
        <v>7</v>
      </c>
      <c r="M22">
        <v>74</v>
      </c>
      <c r="N22">
        <v>1</v>
      </c>
    </row>
    <row r="23" spans="1:14" x14ac:dyDescent="0.25">
      <c r="A23" t="s">
        <v>303</v>
      </c>
      <c r="B23">
        <v>808</v>
      </c>
      <c r="C23">
        <v>780</v>
      </c>
      <c r="D23">
        <v>8</v>
      </c>
      <c r="E23">
        <v>2</v>
      </c>
      <c r="F23">
        <v>16</v>
      </c>
      <c r="G23">
        <v>4</v>
      </c>
      <c r="H23">
        <v>44282</v>
      </c>
      <c r="I23">
        <v>10337649</v>
      </c>
      <c r="J23">
        <v>144</v>
      </c>
      <c r="K23">
        <v>79</v>
      </c>
      <c r="L23">
        <v>33</v>
      </c>
      <c r="M23">
        <v>394</v>
      </c>
      <c r="N23">
        <v>23</v>
      </c>
    </row>
    <row r="24" spans="1:14" x14ac:dyDescent="0.25">
      <c r="A24" t="s">
        <v>304</v>
      </c>
      <c r="B24">
        <v>225</v>
      </c>
      <c r="C24">
        <v>217</v>
      </c>
      <c r="D24">
        <v>6</v>
      </c>
      <c r="E24">
        <v>2</v>
      </c>
      <c r="F24">
        <v>8</v>
      </c>
      <c r="G24">
        <v>0</v>
      </c>
      <c r="H24">
        <v>70322</v>
      </c>
      <c r="I24">
        <v>10110095</v>
      </c>
      <c r="J24">
        <v>16</v>
      </c>
      <c r="K24">
        <v>8</v>
      </c>
      <c r="L24">
        <v>12</v>
      </c>
      <c r="M24">
        <v>96</v>
      </c>
      <c r="N24">
        <v>4</v>
      </c>
    </row>
    <row r="25" spans="1:14" x14ac:dyDescent="0.25">
      <c r="A25" t="s">
        <v>305</v>
      </c>
      <c r="B25">
        <v>427</v>
      </c>
      <c r="C25">
        <v>407</v>
      </c>
      <c r="D25">
        <v>9</v>
      </c>
      <c r="E25">
        <v>2</v>
      </c>
      <c r="F25">
        <v>32</v>
      </c>
      <c r="G25">
        <v>0</v>
      </c>
      <c r="H25">
        <v>62346</v>
      </c>
      <c r="I25">
        <v>14410660</v>
      </c>
      <c r="J25">
        <v>143</v>
      </c>
      <c r="K25">
        <v>28</v>
      </c>
      <c r="L25">
        <v>18</v>
      </c>
      <c r="M25">
        <v>227</v>
      </c>
      <c r="N25">
        <v>82</v>
      </c>
    </row>
    <row r="26" spans="1:14" x14ac:dyDescent="0.25">
      <c r="A26" t="s">
        <v>306</v>
      </c>
      <c r="B26">
        <v>730</v>
      </c>
      <c r="C26">
        <v>658</v>
      </c>
      <c r="D26">
        <v>10</v>
      </c>
      <c r="E26">
        <v>2</v>
      </c>
      <c r="F26">
        <v>13</v>
      </c>
      <c r="G26">
        <v>0</v>
      </c>
      <c r="H26">
        <v>43128</v>
      </c>
      <c r="I26">
        <v>11323975</v>
      </c>
      <c r="J26">
        <v>87</v>
      </c>
      <c r="K26">
        <v>28</v>
      </c>
      <c r="L26">
        <v>24</v>
      </c>
      <c r="M26">
        <v>309</v>
      </c>
      <c r="N26">
        <v>36</v>
      </c>
    </row>
    <row r="27" spans="1:14" x14ac:dyDescent="0.25">
      <c r="A27" t="s">
        <v>307</v>
      </c>
      <c r="B27">
        <v>652</v>
      </c>
      <c r="C27">
        <v>624</v>
      </c>
      <c r="D27">
        <v>6</v>
      </c>
      <c r="E27">
        <v>2</v>
      </c>
      <c r="F27">
        <v>33</v>
      </c>
      <c r="G27">
        <v>0</v>
      </c>
      <c r="H27">
        <v>50484</v>
      </c>
      <c r="I27">
        <v>11725641</v>
      </c>
      <c r="J27">
        <v>61</v>
      </c>
      <c r="K27">
        <v>19</v>
      </c>
      <c r="L27">
        <v>46</v>
      </c>
      <c r="M27">
        <v>283</v>
      </c>
      <c r="N27">
        <v>10</v>
      </c>
    </row>
    <row r="28" spans="1:14" x14ac:dyDescent="0.25">
      <c r="A28" t="s">
        <v>266</v>
      </c>
      <c r="B28">
        <v>11895</v>
      </c>
      <c r="C28">
        <v>11182</v>
      </c>
      <c r="D28">
        <v>7</v>
      </c>
      <c r="E28">
        <v>2</v>
      </c>
      <c r="F28">
        <v>257</v>
      </c>
      <c r="G28">
        <v>20</v>
      </c>
      <c r="H28">
        <v>50198</v>
      </c>
      <c r="I28">
        <v>12058004</v>
      </c>
      <c r="J28">
        <v>1817</v>
      </c>
      <c r="K28">
        <v>647</v>
      </c>
      <c r="L28">
        <v>416</v>
      </c>
      <c r="M28">
        <v>5127</v>
      </c>
      <c r="N28">
        <v>675</v>
      </c>
    </row>
    <row r="29" spans="1:14" x14ac:dyDescent="0.25">
      <c r="A29" t="s">
        <v>308</v>
      </c>
      <c r="B29">
        <v>1219</v>
      </c>
      <c r="C29">
        <v>1148</v>
      </c>
      <c r="D29">
        <v>7</v>
      </c>
      <c r="E29">
        <v>2</v>
      </c>
      <c r="F29">
        <v>12</v>
      </c>
      <c r="G29">
        <v>6</v>
      </c>
      <c r="H29">
        <v>38612</v>
      </c>
      <c r="I29">
        <v>16228522</v>
      </c>
      <c r="J29">
        <v>190</v>
      </c>
      <c r="K29">
        <v>94</v>
      </c>
      <c r="L29">
        <v>30</v>
      </c>
      <c r="M29">
        <v>404</v>
      </c>
      <c r="N29">
        <v>85</v>
      </c>
    </row>
    <row r="30" spans="1:14" x14ac:dyDescent="0.25">
      <c r="A30" t="s">
        <v>309</v>
      </c>
      <c r="B30">
        <v>10676</v>
      </c>
      <c r="C30">
        <v>10034</v>
      </c>
      <c r="D30">
        <v>7</v>
      </c>
      <c r="E30">
        <v>2</v>
      </c>
      <c r="F30">
        <v>245</v>
      </c>
      <c r="G30">
        <v>14</v>
      </c>
      <c r="H30">
        <v>52801</v>
      </c>
      <c r="I30">
        <v>11569449</v>
      </c>
      <c r="J30">
        <v>1627</v>
      </c>
      <c r="K30">
        <v>553</v>
      </c>
      <c r="L30">
        <v>386</v>
      </c>
      <c r="M30">
        <v>4723</v>
      </c>
      <c r="N30">
        <v>590</v>
      </c>
    </row>
  </sheetData>
  <mergeCells count="4">
    <mergeCell ref="B1:E1"/>
    <mergeCell ref="J1:N1"/>
    <mergeCell ref="H1:I1"/>
    <mergeCell ref="A1:A2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A9D18E"/>
  </sheetPr>
  <dimension ref="A1:N30"/>
  <sheetViews>
    <sheetView workbookViewId="0"/>
  </sheetViews>
  <sheetFormatPr defaultRowHeight="15" x14ac:dyDescent="0.25"/>
  <cols>
    <col min="1" max="1" width="30" customWidth="1"/>
    <col min="2" max="2" width="11.42578125" customWidth="1"/>
    <col min="3" max="3" width="11.85546875" customWidth="1"/>
    <col min="4" max="4" width="11.42578125" customWidth="1"/>
    <col min="5" max="5" width="11.85546875" customWidth="1"/>
    <col min="6" max="6" width="11.42578125" customWidth="1"/>
    <col min="7" max="7" width="11.85546875" customWidth="1"/>
    <col min="8" max="8" width="11.42578125" customWidth="1"/>
    <col min="9" max="9" width="11.85546875" customWidth="1"/>
    <col min="10" max="10" width="11.42578125" customWidth="1"/>
    <col min="11" max="11" width="11.85546875" customWidth="1"/>
    <col min="12" max="12" width="11.42578125" customWidth="1"/>
    <col min="13" max="13" width="11.85546875" customWidth="1"/>
    <col min="14" max="14" width="11.42578125" customWidth="1"/>
  </cols>
  <sheetData>
    <row r="1" spans="1:14" x14ac:dyDescent="0.25">
      <c r="A1" s="29" t="s">
        <v>709</v>
      </c>
      <c r="B1" s="29" t="s">
        <v>520</v>
      </c>
      <c r="C1" s="29"/>
      <c r="D1" s="29" t="s">
        <v>521</v>
      </c>
      <c r="E1" s="29"/>
      <c r="F1" s="29" t="s">
        <v>522</v>
      </c>
      <c r="G1" s="29"/>
      <c r="H1" s="29" t="s">
        <v>523</v>
      </c>
      <c r="I1" s="29"/>
      <c r="J1" s="29" t="s">
        <v>524</v>
      </c>
      <c r="K1" s="29"/>
      <c r="L1" s="29" t="s">
        <v>525</v>
      </c>
      <c r="M1" s="29"/>
      <c r="N1" s="29"/>
    </row>
    <row r="2" spans="1:14" x14ac:dyDescent="0.25">
      <c r="A2" s="29"/>
      <c r="B2" t="s">
        <v>526</v>
      </c>
      <c r="C2" t="s">
        <v>527</v>
      </c>
      <c r="D2" t="s">
        <v>526</v>
      </c>
      <c r="E2" t="s">
        <v>527</v>
      </c>
      <c r="F2" t="s">
        <v>526</v>
      </c>
      <c r="G2" t="s">
        <v>527</v>
      </c>
      <c r="H2" t="s">
        <v>526</v>
      </c>
      <c r="I2" t="s">
        <v>527</v>
      </c>
      <c r="J2" t="s">
        <v>528</v>
      </c>
      <c r="K2" t="s">
        <v>529</v>
      </c>
      <c r="L2" t="s">
        <v>498</v>
      </c>
      <c r="M2" t="s">
        <v>499</v>
      </c>
      <c r="N2" t="s">
        <v>500</v>
      </c>
    </row>
    <row r="3" spans="1:14" x14ac:dyDescent="0.25">
      <c r="A3" t="s">
        <v>283</v>
      </c>
      <c r="B3">
        <v>1177</v>
      </c>
      <c r="C3">
        <v>5402</v>
      </c>
      <c r="D3">
        <v>958</v>
      </c>
      <c r="E3">
        <v>4735</v>
      </c>
      <c r="F3">
        <v>217</v>
      </c>
      <c r="G3">
        <v>665</v>
      </c>
      <c r="H3">
        <v>2</v>
      </c>
      <c r="I3">
        <v>2</v>
      </c>
      <c r="J3">
        <v>29</v>
      </c>
      <c r="K3">
        <v>119</v>
      </c>
      <c r="L3">
        <v>257</v>
      </c>
      <c r="M3">
        <v>179</v>
      </c>
      <c r="N3">
        <v>210</v>
      </c>
    </row>
    <row r="4" spans="1:14" x14ac:dyDescent="0.25">
      <c r="A4" t="s">
        <v>284</v>
      </c>
      <c r="B4">
        <v>1885</v>
      </c>
      <c r="C4">
        <v>7921</v>
      </c>
      <c r="D4">
        <v>1417</v>
      </c>
      <c r="E4">
        <v>6507</v>
      </c>
      <c r="F4">
        <v>459</v>
      </c>
      <c r="G4">
        <v>1398</v>
      </c>
      <c r="H4">
        <v>9</v>
      </c>
      <c r="I4">
        <v>16</v>
      </c>
      <c r="J4">
        <v>101</v>
      </c>
      <c r="K4">
        <v>139</v>
      </c>
      <c r="L4">
        <v>471</v>
      </c>
      <c r="M4">
        <v>292</v>
      </c>
      <c r="N4">
        <v>405</v>
      </c>
    </row>
    <row r="5" spans="1:14" x14ac:dyDescent="0.25">
      <c r="A5" t="s">
        <v>285</v>
      </c>
      <c r="B5">
        <v>1567</v>
      </c>
      <c r="C5">
        <v>6719</v>
      </c>
      <c r="D5">
        <v>1493</v>
      </c>
      <c r="E5">
        <v>6507</v>
      </c>
      <c r="F5">
        <v>73</v>
      </c>
      <c r="G5">
        <v>210</v>
      </c>
      <c r="H5">
        <v>1</v>
      </c>
      <c r="I5">
        <v>2</v>
      </c>
      <c r="J5">
        <v>76</v>
      </c>
      <c r="K5">
        <v>59</v>
      </c>
      <c r="L5">
        <v>320</v>
      </c>
      <c r="M5">
        <v>194</v>
      </c>
      <c r="N5">
        <v>218</v>
      </c>
    </row>
    <row r="6" spans="1:14" x14ac:dyDescent="0.25">
      <c r="A6" t="s">
        <v>286</v>
      </c>
      <c r="B6">
        <v>838</v>
      </c>
      <c r="C6">
        <v>3759</v>
      </c>
      <c r="D6">
        <v>777</v>
      </c>
      <c r="E6">
        <v>3607</v>
      </c>
      <c r="F6">
        <v>60</v>
      </c>
      <c r="G6">
        <v>151</v>
      </c>
      <c r="H6">
        <v>1</v>
      </c>
      <c r="I6">
        <v>1</v>
      </c>
      <c r="J6">
        <v>22</v>
      </c>
      <c r="K6">
        <v>63</v>
      </c>
      <c r="L6">
        <v>140</v>
      </c>
      <c r="M6">
        <v>94</v>
      </c>
      <c r="N6">
        <v>138</v>
      </c>
    </row>
    <row r="7" spans="1:14" x14ac:dyDescent="0.25">
      <c r="A7" t="s">
        <v>287</v>
      </c>
      <c r="B7">
        <v>1197</v>
      </c>
      <c r="C7">
        <v>6537</v>
      </c>
      <c r="D7">
        <v>1117</v>
      </c>
      <c r="E7">
        <v>6319</v>
      </c>
      <c r="F7">
        <v>80</v>
      </c>
      <c r="G7">
        <v>218</v>
      </c>
      <c r="H7">
        <v>0</v>
      </c>
      <c r="I7">
        <v>0</v>
      </c>
      <c r="J7">
        <v>48</v>
      </c>
      <c r="K7">
        <v>56</v>
      </c>
      <c r="L7">
        <v>304</v>
      </c>
      <c r="M7">
        <v>183</v>
      </c>
      <c r="N7">
        <v>218</v>
      </c>
    </row>
    <row r="8" spans="1:14" x14ac:dyDescent="0.25">
      <c r="A8" t="s">
        <v>288</v>
      </c>
      <c r="B8">
        <v>1243</v>
      </c>
      <c r="C8">
        <v>5003</v>
      </c>
      <c r="D8">
        <v>1140</v>
      </c>
      <c r="E8">
        <v>4729</v>
      </c>
      <c r="F8">
        <v>101</v>
      </c>
      <c r="G8">
        <v>268</v>
      </c>
      <c r="H8">
        <v>2</v>
      </c>
      <c r="I8">
        <v>6</v>
      </c>
      <c r="J8">
        <v>48</v>
      </c>
      <c r="K8">
        <v>85</v>
      </c>
      <c r="L8">
        <v>227</v>
      </c>
      <c r="M8">
        <v>107</v>
      </c>
      <c r="N8">
        <v>150</v>
      </c>
    </row>
    <row r="9" spans="1:14" x14ac:dyDescent="0.25">
      <c r="A9" t="s">
        <v>289</v>
      </c>
      <c r="B9">
        <v>1024</v>
      </c>
      <c r="C9">
        <v>4611</v>
      </c>
      <c r="D9">
        <v>982</v>
      </c>
      <c r="E9">
        <v>4490</v>
      </c>
      <c r="F9">
        <v>40</v>
      </c>
      <c r="G9">
        <v>118</v>
      </c>
      <c r="H9">
        <v>2</v>
      </c>
      <c r="I9">
        <v>3</v>
      </c>
      <c r="J9">
        <v>31</v>
      </c>
      <c r="K9">
        <v>56</v>
      </c>
      <c r="L9">
        <v>226</v>
      </c>
      <c r="M9">
        <v>122</v>
      </c>
      <c r="N9">
        <v>130</v>
      </c>
    </row>
    <row r="10" spans="1:14" x14ac:dyDescent="0.25">
      <c r="A10" t="s">
        <v>290</v>
      </c>
      <c r="B10">
        <v>1676</v>
      </c>
      <c r="C10">
        <v>7439</v>
      </c>
      <c r="D10">
        <v>1648</v>
      </c>
      <c r="E10">
        <v>7364</v>
      </c>
      <c r="F10">
        <v>28</v>
      </c>
      <c r="G10">
        <v>75</v>
      </c>
      <c r="H10">
        <v>0</v>
      </c>
      <c r="I10">
        <v>0</v>
      </c>
      <c r="J10">
        <v>96</v>
      </c>
      <c r="K10">
        <v>76</v>
      </c>
      <c r="L10">
        <v>304</v>
      </c>
      <c r="M10">
        <v>216</v>
      </c>
      <c r="N10">
        <v>284</v>
      </c>
    </row>
    <row r="11" spans="1:14" x14ac:dyDescent="0.25">
      <c r="A11" t="s">
        <v>291</v>
      </c>
      <c r="B11">
        <v>82</v>
      </c>
      <c r="C11">
        <v>373</v>
      </c>
      <c r="D11">
        <v>82</v>
      </c>
      <c r="E11">
        <v>373</v>
      </c>
      <c r="F11">
        <v>0</v>
      </c>
      <c r="G11">
        <v>0</v>
      </c>
      <c r="H11">
        <v>0</v>
      </c>
      <c r="I11">
        <v>0</v>
      </c>
      <c r="J11">
        <v>6</v>
      </c>
      <c r="K11">
        <v>4</v>
      </c>
      <c r="L11">
        <v>13</v>
      </c>
      <c r="M11">
        <v>11</v>
      </c>
      <c r="N11">
        <v>12</v>
      </c>
    </row>
    <row r="12" spans="1:14" x14ac:dyDescent="0.25">
      <c r="A12" t="s">
        <v>292</v>
      </c>
      <c r="B12">
        <v>269</v>
      </c>
      <c r="C12">
        <v>1207</v>
      </c>
      <c r="D12">
        <v>207</v>
      </c>
      <c r="E12">
        <v>1078</v>
      </c>
      <c r="F12">
        <v>60</v>
      </c>
      <c r="G12">
        <v>127</v>
      </c>
      <c r="H12">
        <v>2</v>
      </c>
      <c r="I12">
        <v>2</v>
      </c>
      <c r="J12">
        <v>13</v>
      </c>
      <c r="K12">
        <v>42</v>
      </c>
      <c r="L12">
        <v>31</v>
      </c>
      <c r="M12">
        <v>11</v>
      </c>
      <c r="N12">
        <v>38</v>
      </c>
    </row>
    <row r="13" spans="1:14" x14ac:dyDescent="0.25">
      <c r="A13" t="s">
        <v>293</v>
      </c>
      <c r="B13">
        <v>673</v>
      </c>
      <c r="C13">
        <v>2622</v>
      </c>
      <c r="D13">
        <v>454</v>
      </c>
      <c r="E13">
        <v>2055</v>
      </c>
      <c r="F13">
        <v>217</v>
      </c>
      <c r="G13">
        <v>566</v>
      </c>
      <c r="H13">
        <v>2</v>
      </c>
      <c r="I13">
        <v>1</v>
      </c>
      <c r="J13">
        <v>35</v>
      </c>
      <c r="K13">
        <v>69</v>
      </c>
      <c r="L13">
        <v>139</v>
      </c>
      <c r="M13">
        <v>92</v>
      </c>
      <c r="N13">
        <v>128</v>
      </c>
    </row>
    <row r="14" spans="1:14" x14ac:dyDescent="0.25">
      <c r="A14" t="s">
        <v>294</v>
      </c>
      <c r="B14">
        <v>219</v>
      </c>
      <c r="C14">
        <v>732</v>
      </c>
      <c r="D14">
        <v>100</v>
      </c>
      <c r="E14">
        <v>469</v>
      </c>
      <c r="F14">
        <v>119</v>
      </c>
      <c r="G14">
        <v>263</v>
      </c>
      <c r="H14">
        <v>0</v>
      </c>
      <c r="I14">
        <v>0</v>
      </c>
      <c r="J14">
        <v>15</v>
      </c>
      <c r="K14">
        <v>30</v>
      </c>
      <c r="L14">
        <v>70</v>
      </c>
      <c r="M14">
        <v>41</v>
      </c>
      <c r="N14">
        <v>59</v>
      </c>
    </row>
    <row r="15" spans="1:14" x14ac:dyDescent="0.25">
      <c r="A15" t="s">
        <v>295</v>
      </c>
      <c r="B15">
        <v>462</v>
      </c>
      <c r="C15">
        <v>2151</v>
      </c>
      <c r="D15">
        <v>347</v>
      </c>
      <c r="E15">
        <v>1870</v>
      </c>
      <c r="F15">
        <v>108</v>
      </c>
      <c r="G15">
        <v>272</v>
      </c>
      <c r="H15">
        <v>7</v>
      </c>
      <c r="I15">
        <v>9</v>
      </c>
      <c r="J15">
        <v>13</v>
      </c>
      <c r="K15">
        <v>32</v>
      </c>
      <c r="L15">
        <v>72</v>
      </c>
      <c r="M15">
        <v>56</v>
      </c>
      <c r="N15">
        <v>70</v>
      </c>
    </row>
    <row r="16" spans="1:14" x14ac:dyDescent="0.25">
      <c r="A16" t="s">
        <v>296</v>
      </c>
      <c r="B16">
        <v>134</v>
      </c>
      <c r="C16">
        <v>772</v>
      </c>
      <c r="D16">
        <v>122</v>
      </c>
      <c r="E16">
        <v>744</v>
      </c>
      <c r="F16">
        <v>12</v>
      </c>
      <c r="G16">
        <v>28</v>
      </c>
      <c r="H16">
        <v>0</v>
      </c>
      <c r="I16">
        <v>0</v>
      </c>
      <c r="J16">
        <v>9</v>
      </c>
      <c r="K16">
        <v>18</v>
      </c>
      <c r="L16">
        <v>17</v>
      </c>
      <c r="M16">
        <v>6</v>
      </c>
      <c r="N16">
        <v>14</v>
      </c>
    </row>
    <row r="17" spans="1:14" x14ac:dyDescent="0.25">
      <c r="A17" t="s">
        <v>297</v>
      </c>
      <c r="B17">
        <v>1028</v>
      </c>
      <c r="C17">
        <v>5558</v>
      </c>
      <c r="D17">
        <v>1017</v>
      </c>
      <c r="E17">
        <v>5527</v>
      </c>
      <c r="F17">
        <v>11</v>
      </c>
      <c r="G17">
        <v>31</v>
      </c>
      <c r="H17">
        <v>0</v>
      </c>
      <c r="I17">
        <v>0</v>
      </c>
      <c r="J17">
        <v>89</v>
      </c>
      <c r="K17">
        <v>23</v>
      </c>
      <c r="L17">
        <v>196</v>
      </c>
      <c r="M17">
        <v>138</v>
      </c>
      <c r="N17">
        <v>140</v>
      </c>
    </row>
    <row r="18" spans="1:14" x14ac:dyDescent="0.25">
      <c r="A18" t="s">
        <v>298</v>
      </c>
      <c r="B18">
        <v>106</v>
      </c>
      <c r="C18">
        <v>616</v>
      </c>
      <c r="D18">
        <v>105</v>
      </c>
      <c r="E18">
        <v>613</v>
      </c>
      <c r="F18">
        <v>1</v>
      </c>
      <c r="G18">
        <v>3</v>
      </c>
      <c r="H18">
        <v>0</v>
      </c>
      <c r="I18">
        <v>0</v>
      </c>
      <c r="J18">
        <v>1</v>
      </c>
      <c r="K18">
        <v>14</v>
      </c>
      <c r="L18">
        <v>10</v>
      </c>
      <c r="M18">
        <v>9</v>
      </c>
      <c r="N18">
        <v>9</v>
      </c>
    </row>
    <row r="19" spans="1:14" x14ac:dyDescent="0.25">
      <c r="A19" t="s">
        <v>299</v>
      </c>
      <c r="B19">
        <v>525</v>
      </c>
      <c r="C19">
        <v>2246</v>
      </c>
      <c r="D19">
        <v>343</v>
      </c>
      <c r="E19">
        <v>1854</v>
      </c>
      <c r="F19">
        <v>179</v>
      </c>
      <c r="G19">
        <v>385</v>
      </c>
      <c r="H19">
        <v>3</v>
      </c>
      <c r="I19">
        <v>7</v>
      </c>
      <c r="J19">
        <v>23</v>
      </c>
      <c r="K19">
        <v>58</v>
      </c>
      <c r="L19">
        <v>128</v>
      </c>
      <c r="M19">
        <v>85</v>
      </c>
      <c r="N19">
        <v>101</v>
      </c>
    </row>
    <row r="20" spans="1:14" x14ac:dyDescent="0.25">
      <c r="A20" t="s">
        <v>300</v>
      </c>
      <c r="B20">
        <v>1954</v>
      </c>
      <c r="C20">
        <v>8301</v>
      </c>
      <c r="D20">
        <v>1869</v>
      </c>
      <c r="E20">
        <v>8066</v>
      </c>
      <c r="F20">
        <v>85</v>
      </c>
      <c r="G20">
        <v>235</v>
      </c>
      <c r="H20">
        <v>0</v>
      </c>
      <c r="I20">
        <v>0</v>
      </c>
      <c r="J20">
        <v>89</v>
      </c>
      <c r="K20">
        <v>125</v>
      </c>
      <c r="L20">
        <v>402</v>
      </c>
      <c r="M20">
        <v>259</v>
      </c>
      <c r="N20">
        <v>327</v>
      </c>
    </row>
    <row r="21" spans="1:14" x14ac:dyDescent="0.25">
      <c r="A21" t="s">
        <v>301</v>
      </c>
      <c r="B21">
        <v>834</v>
      </c>
      <c r="C21">
        <v>4441</v>
      </c>
      <c r="D21">
        <v>637</v>
      </c>
      <c r="E21">
        <v>3975</v>
      </c>
      <c r="F21">
        <v>187</v>
      </c>
      <c r="G21">
        <v>450</v>
      </c>
      <c r="H21">
        <v>10</v>
      </c>
      <c r="I21">
        <v>16</v>
      </c>
      <c r="J21">
        <v>35</v>
      </c>
      <c r="K21">
        <v>71</v>
      </c>
      <c r="L21">
        <v>136</v>
      </c>
      <c r="M21">
        <v>108</v>
      </c>
      <c r="N21">
        <v>129</v>
      </c>
    </row>
    <row r="22" spans="1:14" x14ac:dyDescent="0.25">
      <c r="A22" t="s">
        <v>302</v>
      </c>
      <c r="B22">
        <v>511</v>
      </c>
      <c r="C22">
        <v>1625</v>
      </c>
      <c r="D22">
        <v>271</v>
      </c>
      <c r="E22">
        <v>1129</v>
      </c>
      <c r="F22">
        <v>239</v>
      </c>
      <c r="G22">
        <v>494</v>
      </c>
      <c r="H22">
        <v>1</v>
      </c>
      <c r="I22">
        <v>2</v>
      </c>
      <c r="J22">
        <v>41</v>
      </c>
      <c r="K22">
        <v>71</v>
      </c>
      <c r="L22">
        <v>97</v>
      </c>
      <c r="M22">
        <v>82</v>
      </c>
      <c r="N22">
        <v>87</v>
      </c>
    </row>
    <row r="23" spans="1:14" x14ac:dyDescent="0.25">
      <c r="A23" t="s">
        <v>303</v>
      </c>
      <c r="B23">
        <v>1911</v>
      </c>
      <c r="C23">
        <v>7312</v>
      </c>
      <c r="D23">
        <v>1638</v>
      </c>
      <c r="E23">
        <v>6742</v>
      </c>
      <c r="F23">
        <v>243</v>
      </c>
      <c r="G23">
        <v>522</v>
      </c>
      <c r="H23">
        <v>30</v>
      </c>
      <c r="I23">
        <v>48</v>
      </c>
      <c r="J23">
        <v>69</v>
      </c>
      <c r="K23">
        <v>126</v>
      </c>
      <c r="L23">
        <v>355</v>
      </c>
      <c r="M23">
        <v>235</v>
      </c>
      <c r="N23">
        <v>425</v>
      </c>
    </row>
    <row r="24" spans="1:14" x14ac:dyDescent="0.25">
      <c r="A24" t="s">
        <v>304</v>
      </c>
      <c r="B24">
        <v>375</v>
      </c>
      <c r="C24">
        <v>1406</v>
      </c>
      <c r="D24">
        <v>214</v>
      </c>
      <c r="E24">
        <v>994</v>
      </c>
      <c r="F24">
        <v>154</v>
      </c>
      <c r="G24">
        <v>404</v>
      </c>
      <c r="H24">
        <v>7</v>
      </c>
      <c r="I24">
        <v>8</v>
      </c>
      <c r="J24">
        <v>24</v>
      </c>
      <c r="K24">
        <v>56</v>
      </c>
      <c r="L24">
        <v>76</v>
      </c>
      <c r="M24">
        <v>65</v>
      </c>
      <c r="N24">
        <v>91</v>
      </c>
    </row>
    <row r="25" spans="1:14" x14ac:dyDescent="0.25">
      <c r="A25" t="s">
        <v>305</v>
      </c>
      <c r="B25">
        <v>987</v>
      </c>
      <c r="C25">
        <v>156691</v>
      </c>
      <c r="D25">
        <v>951</v>
      </c>
      <c r="E25">
        <v>156604</v>
      </c>
      <c r="F25">
        <v>32</v>
      </c>
      <c r="G25">
        <v>78</v>
      </c>
      <c r="H25">
        <v>4</v>
      </c>
      <c r="I25">
        <v>9</v>
      </c>
      <c r="J25">
        <v>41</v>
      </c>
      <c r="K25">
        <v>50</v>
      </c>
      <c r="L25">
        <v>209</v>
      </c>
      <c r="M25">
        <v>113</v>
      </c>
      <c r="N25">
        <v>152</v>
      </c>
    </row>
    <row r="26" spans="1:14" x14ac:dyDescent="0.25">
      <c r="A26" t="s">
        <v>306</v>
      </c>
      <c r="B26">
        <v>2223</v>
      </c>
      <c r="C26">
        <v>8301</v>
      </c>
      <c r="D26">
        <v>2190</v>
      </c>
      <c r="E26">
        <v>8203</v>
      </c>
      <c r="F26">
        <v>31</v>
      </c>
      <c r="G26">
        <v>95</v>
      </c>
      <c r="H26">
        <v>2</v>
      </c>
      <c r="I26">
        <v>3</v>
      </c>
      <c r="J26">
        <v>93</v>
      </c>
      <c r="K26">
        <v>62</v>
      </c>
      <c r="L26">
        <v>444</v>
      </c>
      <c r="M26">
        <v>279</v>
      </c>
      <c r="N26">
        <v>446</v>
      </c>
    </row>
    <row r="27" spans="1:14" x14ac:dyDescent="0.25">
      <c r="A27" t="s">
        <v>307</v>
      </c>
      <c r="B27">
        <v>1093</v>
      </c>
      <c r="C27">
        <v>4944</v>
      </c>
      <c r="D27">
        <v>1039</v>
      </c>
      <c r="E27">
        <v>4819</v>
      </c>
      <c r="F27">
        <v>54</v>
      </c>
      <c r="G27">
        <v>125</v>
      </c>
      <c r="H27">
        <v>0</v>
      </c>
      <c r="I27">
        <v>0</v>
      </c>
      <c r="J27">
        <v>77</v>
      </c>
      <c r="K27">
        <v>64</v>
      </c>
      <c r="L27">
        <v>235</v>
      </c>
      <c r="M27">
        <v>159</v>
      </c>
      <c r="N27">
        <v>162</v>
      </c>
    </row>
    <row r="28" spans="1:14" x14ac:dyDescent="0.25">
      <c r="A28" t="s">
        <v>266</v>
      </c>
      <c r="B28">
        <v>23993</v>
      </c>
      <c r="C28">
        <v>256689</v>
      </c>
      <c r="D28">
        <v>21118</v>
      </c>
      <c r="E28">
        <v>249373</v>
      </c>
      <c r="F28">
        <v>2790</v>
      </c>
      <c r="G28">
        <v>7181</v>
      </c>
      <c r="H28">
        <v>85</v>
      </c>
      <c r="I28">
        <v>135</v>
      </c>
      <c r="J28">
        <v>1124</v>
      </c>
      <c r="K28">
        <v>1568</v>
      </c>
      <c r="L28">
        <v>4879</v>
      </c>
      <c r="M28">
        <v>3136</v>
      </c>
      <c r="N28">
        <v>4143</v>
      </c>
    </row>
    <row r="29" spans="1:14" x14ac:dyDescent="0.25">
      <c r="A29" t="s">
        <v>308</v>
      </c>
      <c r="B29">
        <v>3234</v>
      </c>
      <c r="C29">
        <v>16805</v>
      </c>
      <c r="D29">
        <v>2994</v>
      </c>
      <c r="E29">
        <v>16104</v>
      </c>
      <c r="F29">
        <v>237</v>
      </c>
      <c r="G29">
        <v>696</v>
      </c>
      <c r="H29">
        <v>3</v>
      </c>
      <c r="I29">
        <v>5</v>
      </c>
      <c r="J29">
        <v>209</v>
      </c>
      <c r="K29">
        <v>218</v>
      </c>
      <c r="L29">
        <v>583</v>
      </c>
      <c r="M29">
        <v>414</v>
      </c>
      <c r="N29">
        <v>599</v>
      </c>
    </row>
    <row r="30" spans="1:14" x14ac:dyDescent="0.25">
      <c r="A30" t="s">
        <v>309</v>
      </c>
      <c r="B30">
        <v>20759</v>
      </c>
      <c r="C30">
        <v>239884</v>
      </c>
      <c r="D30">
        <v>18124</v>
      </c>
      <c r="E30">
        <v>233269</v>
      </c>
      <c r="F30">
        <v>2553</v>
      </c>
      <c r="G30">
        <v>6485</v>
      </c>
      <c r="H30">
        <v>82</v>
      </c>
      <c r="I30">
        <v>130</v>
      </c>
      <c r="J30">
        <v>915</v>
      </c>
      <c r="K30">
        <v>1350</v>
      </c>
      <c r="L30">
        <v>4296</v>
      </c>
      <c r="M30">
        <v>2722</v>
      </c>
      <c r="N30">
        <v>3544</v>
      </c>
    </row>
  </sheetData>
  <mergeCells count="7">
    <mergeCell ref="A1:A2"/>
    <mergeCell ref="L1:N1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A9D18E"/>
  </sheetPr>
  <dimension ref="A1:M30"/>
  <sheetViews>
    <sheetView workbookViewId="0"/>
  </sheetViews>
  <sheetFormatPr defaultRowHeight="15" x14ac:dyDescent="0.25"/>
  <cols>
    <col min="1" max="1" width="28" customWidth="1"/>
    <col min="2" max="2" width="14" customWidth="1"/>
    <col min="3" max="3" width="14.140625" customWidth="1"/>
    <col min="4" max="4" width="12.7109375" customWidth="1"/>
    <col min="5" max="5" width="13.28515625" customWidth="1"/>
    <col min="6" max="6" width="12.42578125" customWidth="1"/>
    <col min="10" max="10" width="12.140625" customWidth="1"/>
    <col min="11" max="11" width="12.42578125" customWidth="1"/>
  </cols>
  <sheetData>
    <row r="1" spans="1:13" x14ac:dyDescent="0.25">
      <c r="A1" s="29" t="s">
        <v>709</v>
      </c>
      <c r="B1" s="29" t="s">
        <v>531</v>
      </c>
      <c r="C1" s="29"/>
      <c r="D1" t="s">
        <v>532</v>
      </c>
      <c r="E1" t="s">
        <v>533</v>
      </c>
      <c r="F1" s="29" t="s">
        <v>534</v>
      </c>
      <c r="G1" s="29"/>
      <c r="H1" s="29"/>
      <c r="I1" s="29"/>
      <c r="J1" s="29"/>
      <c r="K1" s="29"/>
      <c r="L1" s="29"/>
      <c r="M1" s="29"/>
    </row>
    <row r="2" spans="1:13" x14ac:dyDescent="0.25">
      <c r="A2" s="29"/>
      <c r="B2" t="s">
        <v>535</v>
      </c>
      <c r="C2" t="s">
        <v>536</v>
      </c>
      <c r="D2" t="s">
        <v>512</v>
      </c>
      <c r="E2" t="s">
        <v>537</v>
      </c>
      <c r="F2" t="s">
        <v>538</v>
      </c>
      <c r="G2" t="s">
        <v>539</v>
      </c>
      <c r="H2" t="s">
        <v>540</v>
      </c>
      <c r="I2" t="s">
        <v>541</v>
      </c>
      <c r="J2" t="s">
        <v>542</v>
      </c>
      <c r="K2" t="s">
        <v>543</v>
      </c>
      <c r="L2" t="s">
        <v>544</v>
      </c>
      <c r="M2" t="s">
        <v>545</v>
      </c>
    </row>
    <row r="3" spans="1:13" x14ac:dyDescent="0.25">
      <c r="A3" t="s">
        <v>283</v>
      </c>
      <c r="B3">
        <v>31744</v>
      </c>
      <c r="C3">
        <v>12348</v>
      </c>
      <c r="D3">
        <v>1.36</v>
      </c>
      <c r="E3">
        <v>137</v>
      </c>
      <c r="F3">
        <v>161</v>
      </c>
      <c r="G3">
        <v>172</v>
      </c>
      <c r="H3">
        <v>31</v>
      </c>
      <c r="I3">
        <v>35</v>
      </c>
      <c r="J3">
        <v>52</v>
      </c>
      <c r="K3">
        <v>92</v>
      </c>
      <c r="L3">
        <v>88</v>
      </c>
      <c r="M3">
        <v>97</v>
      </c>
    </row>
    <row r="4" spans="1:13" x14ac:dyDescent="0.25">
      <c r="A4" t="s">
        <v>284</v>
      </c>
      <c r="B4">
        <v>27697</v>
      </c>
      <c r="C4">
        <v>5172</v>
      </c>
      <c r="D4">
        <v>1.25</v>
      </c>
      <c r="E4">
        <v>176</v>
      </c>
      <c r="F4">
        <v>187</v>
      </c>
      <c r="G4">
        <v>165</v>
      </c>
      <c r="H4">
        <v>32</v>
      </c>
      <c r="I4">
        <v>43</v>
      </c>
      <c r="J4">
        <v>79</v>
      </c>
      <c r="K4">
        <v>102</v>
      </c>
      <c r="L4">
        <v>109</v>
      </c>
      <c r="M4">
        <v>120</v>
      </c>
    </row>
    <row r="5" spans="1:13" x14ac:dyDescent="0.25">
      <c r="A5" t="s">
        <v>285</v>
      </c>
      <c r="B5">
        <v>21328</v>
      </c>
      <c r="C5">
        <v>6855</v>
      </c>
      <c r="D5">
        <v>1.35</v>
      </c>
      <c r="E5">
        <v>104</v>
      </c>
      <c r="F5">
        <v>126</v>
      </c>
      <c r="G5">
        <v>33</v>
      </c>
      <c r="H5">
        <v>11</v>
      </c>
      <c r="I5">
        <v>30</v>
      </c>
      <c r="J5">
        <v>43</v>
      </c>
      <c r="K5">
        <v>40</v>
      </c>
      <c r="L5">
        <v>46</v>
      </c>
      <c r="M5">
        <v>59</v>
      </c>
    </row>
    <row r="6" spans="1:13" x14ac:dyDescent="0.25">
      <c r="A6" t="s">
        <v>286</v>
      </c>
      <c r="B6">
        <v>24079</v>
      </c>
      <c r="C6">
        <v>38107</v>
      </c>
      <c r="D6">
        <v>1.19</v>
      </c>
      <c r="E6">
        <v>48</v>
      </c>
      <c r="F6">
        <v>132</v>
      </c>
      <c r="G6">
        <v>91</v>
      </c>
      <c r="H6">
        <v>21</v>
      </c>
      <c r="I6">
        <v>45</v>
      </c>
      <c r="J6">
        <v>60</v>
      </c>
      <c r="K6">
        <v>126</v>
      </c>
      <c r="L6">
        <v>123</v>
      </c>
      <c r="M6">
        <v>122</v>
      </c>
    </row>
    <row r="7" spans="1:13" x14ac:dyDescent="0.25">
      <c r="A7" t="s">
        <v>287</v>
      </c>
      <c r="B7">
        <v>27711</v>
      </c>
      <c r="C7">
        <v>21384</v>
      </c>
      <c r="D7">
        <v>1.27</v>
      </c>
      <c r="E7">
        <v>119</v>
      </c>
      <c r="F7">
        <v>265</v>
      </c>
      <c r="G7">
        <v>211</v>
      </c>
      <c r="H7">
        <v>30</v>
      </c>
      <c r="I7">
        <v>35</v>
      </c>
      <c r="J7">
        <v>51</v>
      </c>
      <c r="K7">
        <v>217</v>
      </c>
      <c r="L7">
        <v>209</v>
      </c>
      <c r="M7">
        <v>202</v>
      </c>
    </row>
    <row r="8" spans="1:13" x14ac:dyDescent="0.25">
      <c r="A8" t="s">
        <v>288</v>
      </c>
      <c r="B8">
        <v>25886</v>
      </c>
      <c r="C8">
        <v>8868</v>
      </c>
      <c r="D8">
        <v>1.47</v>
      </c>
      <c r="E8">
        <v>75</v>
      </c>
      <c r="F8">
        <v>128</v>
      </c>
      <c r="G8">
        <v>106</v>
      </c>
      <c r="H8">
        <v>12</v>
      </c>
      <c r="I8">
        <v>20</v>
      </c>
      <c r="J8">
        <v>70</v>
      </c>
      <c r="K8">
        <v>123</v>
      </c>
      <c r="L8">
        <v>115</v>
      </c>
      <c r="M8">
        <v>114</v>
      </c>
    </row>
    <row r="9" spans="1:13" x14ac:dyDescent="0.25">
      <c r="A9" t="s">
        <v>289</v>
      </c>
      <c r="B9">
        <v>11695</v>
      </c>
      <c r="C9">
        <v>5088</v>
      </c>
      <c r="D9">
        <v>1.49</v>
      </c>
      <c r="E9">
        <v>54</v>
      </c>
      <c r="F9">
        <v>191</v>
      </c>
      <c r="G9">
        <v>69</v>
      </c>
      <c r="H9">
        <v>23</v>
      </c>
      <c r="I9">
        <v>61</v>
      </c>
      <c r="J9">
        <v>107</v>
      </c>
      <c r="K9">
        <v>187</v>
      </c>
      <c r="L9">
        <v>180</v>
      </c>
      <c r="M9">
        <v>179</v>
      </c>
    </row>
    <row r="10" spans="1:13" x14ac:dyDescent="0.25">
      <c r="A10" t="s">
        <v>290</v>
      </c>
      <c r="B10">
        <v>46911</v>
      </c>
      <c r="C10">
        <v>16861</v>
      </c>
      <c r="D10">
        <v>1.31</v>
      </c>
      <c r="E10">
        <v>109</v>
      </c>
      <c r="F10">
        <v>189</v>
      </c>
      <c r="G10">
        <v>104</v>
      </c>
      <c r="H10">
        <v>37</v>
      </c>
      <c r="I10">
        <v>75</v>
      </c>
      <c r="J10">
        <v>92</v>
      </c>
      <c r="K10">
        <v>208</v>
      </c>
      <c r="L10">
        <v>197</v>
      </c>
      <c r="M10">
        <v>217</v>
      </c>
    </row>
    <row r="11" spans="1:13" x14ac:dyDescent="0.25">
      <c r="A11" t="s">
        <v>291</v>
      </c>
      <c r="B11">
        <v>13939</v>
      </c>
      <c r="C11">
        <v>2142</v>
      </c>
      <c r="D11">
        <v>2.46</v>
      </c>
      <c r="E11">
        <v>3</v>
      </c>
      <c r="F11">
        <v>15</v>
      </c>
      <c r="G11">
        <v>5</v>
      </c>
      <c r="H11">
        <v>1</v>
      </c>
      <c r="I11">
        <v>1</v>
      </c>
      <c r="J11">
        <v>11</v>
      </c>
      <c r="K11">
        <v>20</v>
      </c>
      <c r="L11">
        <v>18</v>
      </c>
      <c r="M11">
        <v>19</v>
      </c>
    </row>
    <row r="12" spans="1:13" x14ac:dyDescent="0.25">
      <c r="A12" t="s">
        <v>292</v>
      </c>
      <c r="B12">
        <v>11025</v>
      </c>
      <c r="C12">
        <v>6548</v>
      </c>
      <c r="D12">
        <v>1.74</v>
      </c>
      <c r="E12">
        <v>21</v>
      </c>
      <c r="F12">
        <v>39</v>
      </c>
      <c r="G12">
        <v>35</v>
      </c>
      <c r="H12">
        <v>6</v>
      </c>
      <c r="I12">
        <v>3</v>
      </c>
      <c r="J12">
        <v>10</v>
      </c>
      <c r="K12">
        <v>13</v>
      </c>
      <c r="L12">
        <v>17</v>
      </c>
      <c r="M12">
        <v>17</v>
      </c>
    </row>
    <row r="13" spans="1:13" x14ac:dyDescent="0.25">
      <c r="A13" t="s">
        <v>293</v>
      </c>
      <c r="B13">
        <v>15405</v>
      </c>
      <c r="C13">
        <v>10489</v>
      </c>
      <c r="D13">
        <v>1.32</v>
      </c>
      <c r="E13">
        <v>48</v>
      </c>
      <c r="F13">
        <v>112</v>
      </c>
      <c r="G13">
        <v>70</v>
      </c>
      <c r="H13">
        <v>15</v>
      </c>
      <c r="I13">
        <v>33</v>
      </c>
      <c r="J13">
        <v>57</v>
      </c>
      <c r="K13">
        <v>116</v>
      </c>
      <c r="L13">
        <v>102</v>
      </c>
      <c r="M13">
        <v>105</v>
      </c>
    </row>
    <row r="14" spans="1:13" x14ac:dyDescent="0.25">
      <c r="A14" t="s">
        <v>294</v>
      </c>
      <c r="B14">
        <v>13786</v>
      </c>
      <c r="C14">
        <v>7931</v>
      </c>
      <c r="D14">
        <v>1.55</v>
      </c>
      <c r="E14">
        <v>7</v>
      </c>
      <c r="F14">
        <v>33</v>
      </c>
      <c r="G14">
        <v>23</v>
      </c>
      <c r="H14">
        <v>4</v>
      </c>
      <c r="I14">
        <v>4</v>
      </c>
      <c r="J14">
        <v>9</v>
      </c>
      <c r="K14">
        <v>12</v>
      </c>
      <c r="L14">
        <v>10</v>
      </c>
      <c r="M14">
        <v>9</v>
      </c>
    </row>
    <row r="15" spans="1:13" x14ac:dyDescent="0.25">
      <c r="A15" t="s">
        <v>295</v>
      </c>
      <c r="B15">
        <v>30257</v>
      </c>
      <c r="C15">
        <v>11113</v>
      </c>
      <c r="D15">
        <v>1.54</v>
      </c>
      <c r="E15">
        <v>27</v>
      </c>
      <c r="F15">
        <v>96</v>
      </c>
      <c r="G15">
        <v>97</v>
      </c>
      <c r="H15">
        <v>6</v>
      </c>
      <c r="I15">
        <v>12</v>
      </c>
      <c r="J15">
        <v>36</v>
      </c>
      <c r="K15">
        <v>57</v>
      </c>
      <c r="L15">
        <v>54</v>
      </c>
      <c r="M15">
        <v>58</v>
      </c>
    </row>
    <row r="16" spans="1:13" x14ac:dyDescent="0.25">
      <c r="A16" t="s">
        <v>296</v>
      </c>
      <c r="B16">
        <v>17639</v>
      </c>
      <c r="C16">
        <v>4114</v>
      </c>
      <c r="D16">
        <v>1.39</v>
      </c>
      <c r="E16">
        <v>11</v>
      </c>
      <c r="F16">
        <v>22</v>
      </c>
      <c r="G16">
        <v>16</v>
      </c>
      <c r="H16">
        <v>9</v>
      </c>
      <c r="I16">
        <v>2</v>
      </c>
      <c r="J16">
        <v>6</v>
      </c>
      <c r="K16">
        <v>16</v>
      </c>
      <c r="L16">
        <v>18</v>
      </c>
      <c r="M16">
        <v>16</v>
      </c>
    </row>
    <row r="17" spans="1:13" x14ac:dyDescent="0.25">
      <c r="A17" t="s">
        <v>297</v>
      </c>
      <c r="B17">
        <v>114662</v>
      </c>
      <c r="C17">
        <v>26894</v>
      </c>
      <c r="D17">
        <v>0.91</v>
      </c>
      <c r="E17">
        <v>95</v>
      </c>
      <c r="F17">
        <v>98</v>
      </c>
      <c r="G17">
        <v>55</v>
      </c>
      <c r="H17">
        <v>37</v>
      </c>
      <c r="I17">
        <v>30</v>
      </c>
      <c r="J17">
        <v>47</v>
      </c>
      <c r="K17">
        <v>122</v>
      </c>
      <c r="L17">
        <v>118</v>
      </c>
      <c r="M17">
        <v>116</v>
      </c>
    </row>
    <row r="18" spans="1:13" x14ac:dyDescent="0.25">
      <c r="A18" t="s">
        <v>298</v>
      </c>
      <c r="B18">
        <v>93461</v>
      </c>
      <c r="C18">
        <v>28787</v>
      </c>
      <c r="D18">
        <v>1.69</v>
      </c>
      <c r="E18">
        <v>12</v>
      </c>
      <c r="F18">
        <v>4</v>
      </c>
      <c r="G18">
        <v>3</v>
      </c>
      <c r="H18">
        <v>3</v>
      </c>
      <c r="I18">
        <v>0</v>
      </c>
      <c r="J18">
        <v>1</v>
      </c>
      <c r="K18">
        <v>1</v>
      </c>
      <c r="L18">
        <v>1</v>
      </c>
      <c r="M18">
        <v>2</v>
      </c>
    </row>
    <row r="19" spans="1:13" x14ac:dyDescent="0.25">
      <c r="A19" t="s">
        <v>299</v>
      </c>
      <c r="B19">
        <v>21246</v>
      </c>
      <c r="C19">
        <v>6340</v>
      </c>
      <c r="D19">
        <v>3.31</v>
      </c>
      <c r="E19">
        <v>28</v>
      </c>
      <c r="F19">
        <v>86</v>
      </c>
      <c r="G19">
        <v>77</v>
      </c>
      <c r="H19">
        <v>5</v>
      </c>
      <c r="I19">
        <v>15</v>
      </c>
      <c r="J19">
        <v>27</v>
      </c>
      <c r="K19">
        <v>34</v>
      </c>
      <c r="L19">
        <v>32</v>
      </c>
      <c r="M19">
        <v>38</v>
      </c>
    </row>
    <row r="20" spans="1:13" x14ac:dyDescent="0.25">
      <c r="A20" t="s">
        <v>300</v>
      </c>
      <c r="B20">
        <v>233281</v>
      </c>
      <c r="C20">
        <v>4959</v>
      </c>
      <c r="D20">
        <v>1.4</v>
      </c>
      <c r="E20">
        <v>138</v>
      </c>
      <c r="F20">
        <v>299</v>
      </c>
      <c r="G20">
        <v>207</v>
      </c>
      <c r="H20">
        <v>31</v>
      </c>
      <c r="I20">
        <v>51</v>
      </c>
      <c r="J20">
        <v>76</v>
      </c>
      <c r="K20">
        <v>113</v>
      </c>
      <c r="L20">
        <v>119</v>
      </c>
      <c r="M20">
        <v>145</v>
      </c>
    </row>
    <row r="21" spans="1:13" x14ac:dyDescent="0.25">
      <c r="A21" t="s">
        <v>301</v>
      </c>
      <c r="B21">
        <v>45458</v>
      </c>
      <c r="C21">
        <v>13558</v>
      </c>
      <c r="D21">
        <v>1.33</v>
      </c>
      <c r="E21">
        <v>64</v>
      </c>
      <c r="F21">
        <v>165</v>
      </c>
      <c r="G21">
        <v>92</v>
      </c>
      <c r="H21">
        <v>20</v>
      </c>
      <c r="I21">
        <v>24</v>
      </c>
      <c r="J21">
        <v>38</v>
      </c>
      <c r="K21">
        <v>83</v>
      </c>
      <c r="L21">
        <v>89</v>
      </c>
      <c r="M21">
        <v>95</v>
      </c>
    </row>
    <row r="22" spans="1:13" x14ac:dyDescent="0.25">
      <c r="A22" t="s">
        <v>302</v>
      </c>
      <c r="B22">
        <v>14990</v>
      </c>
      <c r="C22">
        <v>5072</v>
      </c>
      <c r="D22">
        <v>1.49</v>
      </c>
      <c r="E22">
        <v>16</v>
      </c>
      <c r="F22">
        <v>91</v>
      </c>
      <c r="G22">
        <v>68</v>
      </c>
      <c r="H22">
        <v>10</v>
      </c>
      <c r="I22">
        <v>7</v>
      </c>
      <c r="J22">
        <v>23</v>
      </c>
      <c r="K22">
        <v>48</v>
      </c>
      <c r="L22">
        <v>43</v>
      </c>
      <c r="M22">
        <v>43</v>
      </c>
    </row>
    <row r="23" spans="1:13" x14ac:dyDescent="0.25">
      <c r="A23" t="s">
        <v>303</v>
      </c>
      <c r="B23">
        <v>22527</v>
      </c>
      <c r="C23">
        <v>8243</v>
      </c>
      <c r="D23">
        <v>1.1399999999999999</v>
      </c>
      <c r="E23">
        <v>174</v>
      </c>
      <c r="F23">
        <v>148</v>
      </c>
      <c r="G23">
        <v>134</v>
      </c>
      <c r="H23">
        <v>33</v>
      </c>
      <c r="I23">
        <v>16</v>
      </c>
      <c r="J23">
        <v>49</v>
      </c>
      <c r="K23">
        <v>67</v>
      </c>
      <c r="L23">
        <v>69</v>
      </c>
      <c r="M23">
        <v>98</v>
      </c>
    </row>
    <row r="24" spans="1:13" x14ac:dyDescent="0.25">
      <c r="A24" t="s">
        <v>304</v>
      </c>
      <c r="B24">
        <v>19303</v>
      </c>
      <c r="C24">
        <v>7565</v>
      </c>
      <c r="D24">
        <v>1.7</v>
      </c>
      <c r="E24">
        <v>28</v>
      </c>
      <c r="F24">
        <v>62</v>
      </c>
      <c r="G24">
        <v>56</v>
      </c>
      <c r="H24">
        <v>7</v>
      </c>
      <c r="I24">
        <v>3</v>
      </c>
      <c r="J24">
        <v>19</v>
      </c>
      <c r="K24">
        <v>28</v>
      </c>
      <c r="L24">
        <v>23</v>
      </c>
      <c r="M24">
        <v>29</v>
      </c>
    </row>
    <row r="25" spans="1:13" x14ac:dyDescent="0.25">
      <c r="A25" t="s">
        <v>305</v>
      </c>
      <c r="B25">
        <v>23490</v>
      </c>
      <c r="C25">
        <v>48445</v>
      </c>
      <c r="D25">
        <v>1.37</v>
      </c>
      <c r="E25">
        <v>67</v>
      </c>
      <c r="F25">
        <v>139</v>
      </c>
      <c r="G25">
        <v>89</v>
      </c>
      <c r="H25">
        <v>14</v>
      </c>
      <c r="I25">
        <v>37</v>
      </c>
      <c r="J25">
        <v>42</v>
      </c>
      <c r="K25">
        <v>61</v>
      </c>
      <c r="L25">
        <v>59</v>
      </c>
      <c r="M25">
        <v>72</v>
      </c>
    </row>
    <row r="26" spans="1:13" x14ac:dyDescent="0.25">
      <c r="A26" t="s">
        <v>306</v>
      </c>
      <c r="B26">
        <v>58964</v>
      </c>
      <c r="C26">
        <v>47227</v>
      </c>
      <c r="D26">
        <v>1.68</v>
      </c>
      <c r="E26">
        <v>142</v>
      </c>
      <c r="F26">
        <v>305</v>
      </c>
      <c r="G26">
        <v>107</v>
      </c>
      <c r="H26">
        <v>25</v>
      </c>
      <c r="I26">
        <v>90</v>
      </c>
      <c r="J26">
        <v>101</v>
      </c>
      <c r="K26">
        <v>245</v>
      </c>
      <c r="L26">
        <v>248</v>
      </c>
      <c r="M26">
        <v>253</v>
      </c>
    </row>
    <row r="27" spans="1:13" x14ac:dyDescent="0.25">
      <c r="A27" t="s">
        <v>307</v>
      </c>
      <c r="B27">
        <v>72354</v>
      </c>
      <c r="C27">
        <v>6307</v>
      </c>
      <c r="D27">
        <v>1.68</v>
      </c>
      <c r="E27">
        <v>90</v>
      </c>
      <c r="F27">
        <v>106</v>
      </c>
      <c r="G27">
        <v>92</v>
      </c>
      <c r="H27">
        <v>10</v>
      </c>
      <c r="I27">
        <v>21</v>
      </c>
      <c r="J27">
        <v>30</v>
      </c>
      <c r="K27">
        <v>44</v>
      </c>
      <c r="L27">
        <v>38</v>
      </c>
      <c r="M27">
        <v>54</v>
      </c>
    </row>
    <row r="28" spans="1:13" x14ac:dyDescent="0.25">
      <c r="A28" t="s">
        <v>266</v>
      </c>
      <c r="B28">
        <v>47352</v>
      </c>
      <c r="C28">
        <v>14392</v>
      </c>
      <c r="D28">
        <v>1.39</v>
      </c>
      <c r="E28">
        <v>1793</v>
      </c>
      <c r="F28">
        <v>3199</v>
      </c>
      <c r="G28">
        <v>2177</v>
      </c>
      <c r="H28">
        <v>433</v>
      </c>
      <c r="I28">
        <v>693</v>
      </c>
      <c r="J28">
        <v>1136</v>
      </c>
      <c r="K28">
        <v>2175</v>
      </c>
      <c r="L28">
        <v>2125</v>
      </c>
      <c r="M28">
        <v>2279</v>
      </c>
    </row>
    <row r="29" spans="1:13" x14ac:dyDescent="0.25">
      <c r="A29" t="s">
        <v>308</v>
      </c>
      <c r="B29">
        <v>58036</v>
      </c>
      <c r="C29">
        <v>31147</v>
      </c>
      <c r="D29">
        <v>1.17</v>
      </c>
      <c r="E29">
        <v>282</v>
      </c>
      <c r="F29">
        <v>312</v>
      </c>
      <c r="G29">
        <v>216</v>
      </c>
      <c r="H29">
        <v>117</v>
      </c>
      <c r="I29">
        <v>90</v>
      </c>
      <c r="J29">
        <v>175</v>
      </c>
      <c r="K29">
        <v>312</v>
      </c>
      <c r="L29">
        <v>305</v>
      </c>
      <c r="M29">
        <v>313</v>
      </c>
    </row>
    <row r="30" spans="1:13" x14ac:dyDescent="0.25">
      <c r="A30" t="s">
        <v>309</v>
      </c>
      <c r="B30">
        <v>46152</v>
      </c>
      <c r="C30">
        <v>12535</v>
      </c>
      <c r="D30">
        <v>1.43</v>
      </c>
      <c r="E30">
        <v>1511</v>
      </c>
      <c r="F30">
        <v>2887</v>
      </c>
      <c r="G30">
        <v>1961</v>
      </c>
      <c r="H30">
        <v>316</v>
      </c>
      <c r="I30">
        <v>603</v>
      </c>
      <c r="J30">
        <v>961</v>
      </c>
      <c r="K30">
        <v>1863</v>
      </c>
      <c r="L30">
        <v>1820</v>
      </c>
      <c r="M30">
        <v>1966</v>
      </c>
    </row>
  </sheetData>
  <mergeCells count="3">
    <mergeCell ref="B1:C1"/>
    <mergeCell ref="F1:M1"/>
    <mergeCell ref="A1:A2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7030A0"/>
  </sheetPr>
  <dimension ref="A1:J30"/>
  <sheetViews>
    <sheetView workbookViewId="0"/>
  </sheetViews>
  <sheetFormatPr defaultRowHeight="15" x14ac:dyDescent="0.25"/>
  <cols>
    <col min="1" max="1" width="25.28515625" customWidth="1"/>
    <col min="2" max="2" width="16.42578125" customWidth="1"/>
    <col min="3" max="3" width="15.85546875" customWidth="1"/>
    <col min="5" max="5" width="19.42578125" customWidth="1"/>
    <col min="6" max="6" width="18.7109375" customWidth="1"/>
    <col min="7" max="7" width="15.85546875" customWidth="1"/>
    <col min="8" max="8" width="15.42578125" customWidth="1"/>
    <col min="9" max="9" width="15.85546875" customWidth="1"/>
    <col min="10" max="10" width="21.140625" customWidth="1"/>
  </cols>
  <sheetData>
    <row r="1" spans="1:10" x14ac:dyDescent="0.25">
      <c r="A1" s="29" t="s">
        <v>709</v>
      </c>
      <c r="B1" t="s">
        <v>547</v>
      </c>
      <c r="C1" t="s">
        <v>548</v>
      </c>
      <c r="D1" t="s">
        <v>549</v>
      </c>
      <c r="E1" t="s">
        <v>550</v>
      </c>
      <c r="F1" t="s">
        <v>550</v>
      </c>
      <c r="G1" s="29" t="s">
        <v>551</v>
      </c>
      <c r="H1" s="29"/>
      <c r="I1" s="29"/>
      <c r="J1" t="s">
        <v>552</v>
      </c>
    </row>
    <row r="2" spans="1:10" x14ac:dyDescent="0.25">
      <c r="A2" s="29"/>
      <c r="B2" t="s">
        <v>553</v>
      </c>
      <c r="C2" t="s">
        <v>553</v>
      </c>
      <c r="D2" t="s">
        <v>554</v>
      </c>
      <c r="E2" t="s">
        <v>787</v>
      </c>
      <c r="F2" t="s">
        <v>788</v>
      </c>
      <c r="G2" t="s">
        <v>346</v>
      </c>
      <c r="H2" t="s">
        <v>480</v>
      </c>
      <c r="I2" t="s">
        <v>481</v>
      </c>
      <c r="J2" t="s">
        <v>346</v>
      </c>
    </row>
    <row r="3" spans="1:10" x14ac:dyDescent="0.25">
      <c r="A3" t="s">
        <v>283</v>
      </c>
      <c r="B3">
        <v>105.3</v>
      </c>
      <c r="C3">
        <v>84.6</v>
      </c>
      <c r="D3">
        <v>19.7</v>
      </c>
      <c r="E3">
        <v>83.1</v>
      </c>
      <c r="F3">
        <v>65.3</v>
      </c>
      <c r="G3">
        <v>94.4</v>
      </c>
      <c r="H3">
        <v>43.2</v>
      </c>
      <c r="I3">
        <v>18</v>
      </c>
      <c r="J3">
        <v>82.6</v>
      </c>
    </row>
    <row r="4" spans="1:10" x14ac:dyDescent="0.25">
      <c r="A4" t="s">
        <v>284</v>
      </c>
      <c r="B4">
        <v>119.8</v>
      </c>
      <c r="C4">
        <v>95.8</v>
      </c>
      <c r="D4">
        <v>20</v>
      </c>
      <c r="E4">
        <v>77.8</v>
      </c>
      <c r="F4">
        <v>70.900000000000006</v>
      </c>
      <c r="G4">
        <v>108.8</v>
      </c>
      <c r="H4">
        <v>44.9</v>
      </c>
      <c r="I4">
        <v>18.5</v>
      </c>
      <c r="J4">
        <v>93.1</v>
      </c>
    </row>
    <row r="5" spans="1:10" x14ac:dyDescent="0.25">
      <c r="A5" t="s">
        <v>285</v>
      </c>
      <c r="B5">
        <v>123.4</v>
      </c>
      <c r="C5">
        <v>96.9</v>
      </c>
      <c r="D5">
        <v>21.5</v>
      </c>
      <c r="E5">
        <v>78.599999999999994</v>
      </c>
      <c r="F5">
        <v>73.400000000000006</v>
      </c>
      <c r="G5">
        <v>117.9</v>
      </c>
      <c r="H5">
        <v>55.1</v>
      </c>
      <c r="I5">
        <v>27</v>
      </c>
      <c r="J5">
        <v>99.4</v>
      </c>
    </row>
    <row r="6" spans="1:10" x14ac:dyDescent="0.25">
      <c r="A6" t="s">
        <v>286</v>
      </c>
      <c r="B6">
        <v>102.4</v>
      </c>
      <c r="C6">
        <v>90.4</v>
      </c>
      <c r="D6">
        <v>11.7</v>
      </c>
      <c r="E6">
        <v>81.400000000000006</v>
      </c>
      <c r="F6">
        <v>67.2</v>
      </c>
      <c r="G6">
        <v>99.9</v>
      </c>
      <c r="H6">
        <v>52</v>
      </c>
      <c r="I6">
        <v>24.8</v>
      </c>
      <c r="J6">
        <v>89.8</v>
      </c>
    </row>
    <row r="7" spans="1:10" x14ac:dyDescent="0.25">
      <c r="A7" t="s">
        <v>287</v>
      </c>
      <c r="B7">
        <v>104.3</v>
      </c>
      <c r="C7">
        <v>88.6</v>
      </c>
      <c r="D7">
        <v>15</v>
      </c>
      <c r="E7">
        <v>80</v>
      </c>
      <c r="F7">
        <v>62.3</v>
      </c>
      <c r="G7">
        <v>99.3</v>
      </c>
      <c r="H7">
        <v>50.6</v>
      </c>
      <c r="I7">
        <v>22</v>
      </c>
      <c r="J7">
        <v>88.3</v>
      </c>
    </row>
    <row r="8" spans="1:10" x14ac:dyDescent="0.25">
      <c r="A8" t="s">
        <v>288</v>
      </c>
      <c r="B8">
        <v>116.3</v>
      </c>
      <c r="C8">
        <v>96.8</v>
      </c>
      <c r="D8">
        <v>16.8</v>
      </c>
      <c r="E8">
        <v>81.2</v>
      </c>
      <c r="F8">
        <v>70.400000000000006</v>
      </c>
      <c r="G8">
        <v>104</v>
      </c>
      <c r="H8">
        <v>50.8</v>
      </c>
      <c r="I8">
        <v>23.4</v>
      </c>
      <c r="J8">
        <v>88.6</v>
      </c>
    </row>
    <row r="9" spans="1:10" x14ac:dyDescent="0.25">
      <c r="A9" t="s">
        <v>289</v>
      </c>
      <c r="B9">
        <v>104.2</v>
      </c>
      <c r="C9">
        <v>90.5</v>
      </c>
      <c r="D9">
        <v>13.1</v>
      </c>
      <c r="E9">
        <v>82.4</v>
      </c>
      <c r="F9">
        <v>65.3</v>
      </c>
      <c r="G9">
        <v>92.1</v>
      </c>
      <c r="H9">
        <v>51.3</v>
      </c>
      <c r="I9">
        <v>28.4</v>
      </c>
      <c r="J9">
        <v>82</v>
      </c>
    </row>
    <row r="10" spans="1:10" x14ac:dyDescent="0.25">
      <c r="A10" t="s">
        <v>290</v>
      </c>
      <c r="B10">
        <v>115.4</v>
      </c>
      <c r="C10">
        <v>97.8</v>
      </c>
      <c r="D10">
        <v>15.3</v>
      </c>
      <c r="E10">
        <v>81.7</v>
      </c>
      <c r="F10">
        <v>77</v>
      </c>
      <c r="G10">
        <v>114.7</v>
      </c>
      <c r="H10">
        <v>55.8</v>
      </c>
      <c r="I10">
        <v>26.5</v>
      </c>
      <c r="J10">
        <v>100</v>
      </c>
    </row>
    <row r="11" spans="1:10" x14ac:dyDescent="0.25">
      <c r="A11" t="s">
        <v>291</v>
      </c>
      <c r="B11">
        <v>91.3</v>
      </c>
      <c r="C11">
        <v>75.2</v>
      </c>
      <c r="D11">
        <v>17.600000000000001</v>
      </c>
      <c r="E11">
        <v>82.1</v>
      </c>
      <c r="F11">
        <v>74.099999999999994</v>
      </c>
      <c r="G11">
        <v>68.900000000000006</v>
      </c>
      <c r="H11">
        <v>31.7</v>
      </c>
      <c r="I11">
        <v>21.6</v>
      </c>
      <c r="J11">
        <v>61</v>
      </c>
    </row>
    <row r="12" spans="1:10" x14ac:dyDescent="0.25">
      <c r="A12" t="s">
        <v>292</v>
      </c>
      <c r="B12">
        <v>88.7</v>
      </c>
      <c r="C12">
        <v>61.2</v>
      </c>
      <c r="D12">
        <v>31</v>
      </c>
      <c r="E12">
        <v>83.5</v>
      </c>
      <c r="F12">
        <v>70.3</v>
      </c>
      <c r="G12">
        <v>77.3</v>
      </c>
      <c r="H12">
        <v>40.9</v>
      </c>
      <c r="I12">
        <v>21</v>
      </c>
      <c r="J12">
        <v>62.4</v>
      </c>
    </row>
    <row r="13" spans="1:10" x14ac:dyDescent="0.25">
      <c r="A13" t="s">
        <v>293</v>
      </c>
      <c r="B13">
        <v>132.6</v>
      </c>
      <c r="C13">
        <v>99.7</v>
      </c>
      <c r="D13">
        <v>24.8</v>
      </c>
      <c r="E13">
        <v>72.5</v>
      </c>
      <c r="F13">
        <v>65</v>
      </c>
      <c r="G13">
        <v>115.2</v>
      </c>
      <c r="H13">
        <v>40.799999999999997</v>
      </c>
      <c r="I13">
        <v>18.5</v>
      </c>
      <c r="J13">
        <v>97.6</v>
      </c>
    </row>
    <row r="14" spans="1:10" x14ac:dyDescent="0.25">
      <c r="A14" t="s">
        <v>294</v>
      </c>
      <c r="B14">
        <v>127.6</v>
      </c>
      <c r="C14">
        <v>88</v>
      </c>
      <c r="D14">
        <v>31</v>
      </c>
      <c r="E14">
        <v>79.5</v>
      </c>
      <c r="F14">
        <v>69</v>
      </c>
      <c r="G14">
        <v>105.7</v>
      </c>
      <c r="H14">
        <v>46</v>
      </c>
      <c r="I14">
        <v>20.8</v>
      </c>
      <c r="J14">
        <v>81.7</v>
      </c>
    </row>
    <row r="15" spans="1:10" x14ac:dyDescent="0.25">
      <c r="A15" t="s">
        <v>295</v>
      </c>
      <c r="B15">
        <v>112.1</v>
      </c>
      <c r="C15">
        <v>88</v>
      </c>
      <c r="D15">
        <v>21.5</v>
      </c>
      <c r="E15">
        <v>79.5</v>
      </c>
      <c r="F15">
        <v>67.7</v>
      </c>
      <c r="G15">
        <v>95.5</v>
      </c>
      <c r="H15">
        <v>43.4</v>
      </c>
      <c r="I15">
        <v>19.100000000000001</v>
      </c>
      <c r="J15">
        <v>80</v>
      </c>
    </row>
    <row r="16" spans="1:10" x14ac:dyDescent="0.25">
      <c r="A16" t="s">
        <v>296</v>
      </c>
      <c r="B16">
        <v>80.3</v>
      </c>
      <c r="C16">
        <v>61.5</v>
      </c>
      <c r="D16">
        <v>23.4</v>
      </c>
      <c r="E16">
        <v>96.2</v>
      </c>
      <c r="F16">
        <v>67.7</v>
      </c>
      <c r="G16">
        <v>74.7</v>
      </c>
      <c r="H16">
        <v>39</v>
      </c>
      <c r="I16">
        <v>14.2</v>
      </c>
      <c r="J16">
        <v>62.8</v>
      </c>
    </row>
    <row r="17" spans="1:10" x14ac:dyDescent="0.25">
      <c r="A17" t="s">
        <v>297</v>
      </c>
      <c r="B17">
        <v>83.1</v>
      </c>
      <c r="C17">
        <v>70.7</v>
      </c>
      <c r="D17">
        <v>15</v>
      </c>
      <c r="E17">
        <v>92.8</v>
      </c>
      <c r="F17">
        <v>86.6</v>
      </c>
      <c r="G17">
        <v>87.9</v>
      </c>
      <c r="H17">
        <v>56.3</v>
      </c>
      <c r="I17">
        <v>34</v>
      </c>
      <c r="J17">
        <v>79</v>
      </c>
    </row>
    <row r="18" spans="1:10" x14ac:dyDescent="0.25">
      <c r="A18" t="s">
        <v>298</v>
      </c>
      <c r="B18">
        <v>92.4</v>
      </c>
      <c r="C18">
        <v>65</v>
      </c>
      <c r="D18">
        <v>29.6</v>
      </c>
      <c r="E18">
        <v>82.7</v>
      </c>
      <c r="F18">
        <v>63.3</v>
      </c>
      <c r="G18">
        <v>81.5</v>
      </c>
      <c r="H18">
        <v>40.9</v>
      </c>
      <c r="I18">
        <v>17.3</v>
      </c>
      <c r="J18">
        <v>69.2</v>
      </c>
    </row>
    <row r="19" spans="1:10" x14ac:dyDescent="0.25">
      <c r="A19" t="s">
        <v>299</v>
      </c>
      <c r="B19">
        <v>141.5</v>
      </c>
      <c r="C19">
        <v>84.8</v>
      </c>
      <c r="D19">
        <v>40.1</v>
      </c>
      <c r="E19">
        <v>84.7</v>
      </c>
      <c r="F19">
        <v>75.7</v>
      </c>
      <c r="G19">
        <v>122.5</v>
      </c>
      <c r="H19">
        <v>56.2</v>
      </c>
      <c r="I19">
        <v>28.1</v>
      </c>
      <c r="J19">
        <v>89.2</v>
      </c>
    </row>
    <row r="20" spans="1:10" x14ac:dyDescent="0.25">
      <c r="A20" t="s">
        <v>300</v>
      </c>
      <c r="B20">
        <v>116.8</v>
      </c>
      <c r="C20">
        <v>99.7</v>
      </c>
      <c r="D20">
        <v>14.7</v>
      </c>
      <c r="E20">
        <v>79.400000000000006</v>
      </c>
      <c r="F20">
        <v>66.400000000000006</v>
      </c>
      <c r="G20">
        <v>117.2</v>
      </c>
      <c r="H20">
        <v>58</v>
      </c>
      <c r="I20">
        <v>27.2</v>
      </c>
      <c r="J20">
        <v>99.7</v>
      </c>
    </row>
    <row r="21" spans="1:10" x14ac:dyDescent="0.25">
      <c r="A21" t="s">
        <v>301</v>
      </c>
      <c r="B21">
        <v>124.4</v>
      </c>
      <c r="C21">
        <v>95.6</v>
      </c>
      <c r="D21">
        <v>23.2</v>
      </c>
      <c r="E21">
        <v>79.7</v>
      </c>
      <c r="F21">
        <v>71</v>
      </c>
      <c r="G21">
        <v>113.5</v>
      </c>
      <c r="H21">
        <v>50.5</v>
      </c>
      <c r="I21">
        <v>23.1</v>
      </c>
      <c r="J21">
        <v>96.3</v>
      </c>
    </row>
    <row r="22" spans="1:10" x14ac:dyDescent="0.25">
      <c r="A22" t="s">
        <v>302</v>
      </c>
      <c r="B22">
        <v>173.5</v>
      </c>
      <c r="C22">
        <v>98.2</v>
      </c>
      <c r="D22">
        <v>43.4</v>
      </c>
      <c r="E22">
        <v>79.2</v>
      </c>
      <c r="F22">
        <v>77.599999999999994</v>
      </c>
      <c r="G22">
        <v>138.80000000000001</v>
      </c>
      <c r="H22">
        <v>52.9</v>
      </c>
      <c r="I22">
        <v>27.1</v>
      </c>
      <c r="J22">
        <v>99.4</v>
      </c>
    </row>
    <row r="23" spans="1:10" x14ac:dyDescent="0.25">
      <c r="A23" t="s">
        <v>303</v>
      </c>
      <c r="B23">
        <v>111.8</v>
      </c>
      <c r="C23">
        <v>93.1</v>
      </c>
      <c r="D23">
        <v>16.8</v>
      </c>
      <c r="E23">
        <v>84.4</v>
      </c>
      <c r="F23">
        <v>73.7</v>
      </c>
      <c r="G23">
        <v>107.6</v>
      </c>
      <c r="H23">
        <v>55.1</v>
      </c>
      <c r="I23">
        <v>26.4</v>
      </c>
      <c r="J23">
        <v>91.2</v>
      </c>
    </row>
    <row r="24" spans="1:10" x14ac:dyDescent="0.25">
      <c r="A24" t="s">
        <v>304</v>
      </c>
      <c r="B24">
        <v>156.9</v>
      </c>
      <c r="C24">
        <v>97.4</v>
      </c>
      <c r="D24">
        <v>37.9</v>
      </c>
      <c r="E24">
        <v>82.3</v>
      </c>
      <c r="F24">
        <v>61.6</v>
      </c>
      <c r="G24">
        <v>131.30000000000001</v>
      </c>
      <c r="H24">
        <v>45.6</v>
      </c>
      <c r="I24">
        <v>20.7</v>
      </c>
      <c r="J24">
        <v>99.5</v>
      </c>
    </row>
    <row r="25" spans="1:10" x14ac:dyDescent="0.25">
      <c r="A25" t="s">
        <v>305</v>
      </c>
      <c r="B25">
        <v>130.19999999999999</v>
      </c>
      <c r="C25">
        <v>99.5</v>
      </c>
      <c r="D25">
        <v>23.5</v>
      </c>
      <c r="E25">
        <v>87.1</v>
      </c>
      <c r="F25">
        <v>68.7</v>
      </c>
      <c r="G25">
        <v>118.7</v>
      </c>
      <c r="H25">
        <v>63.9</v>
      </c>
      <c r="I25">
        <v>29.9</v>
      </c>
      <c r="J25">
        <v>99.6</v>
      </c>
    </row>
    <row r="26" spans="1:10" x14ac:dyDescent="0.25">
      <c r="A26" t="s">
        <v>306</v>
      </c>
      <c r="B26">
        <v>100.3</v>
      </c>
      <c r="C26">
        <v>92.3</v>
      </c>
      <c r="D26">
        <v>8</v>
      </c>
      <c r="E26">
        <v>80.099999999999994</v>
      </c>
      <c r="F26">
        <v>67.900000000000006</v>
      </c>
      <c r="G26">
        <v>99.6</v>
      </c>
      <c r="H26">
        <v>60.8</v>
      </c>
      <c r="I26">
        <v>34.9</v>
      </c>
      <c r="J26">
        <v>90</v>
      </c>
    </row>
    <row r="27" spans="1:10" x14ac:dyDescent="0.25">
      <c r="A27" t="s">
        <v>307</v>
      </c>
      <c r="B27">
        <v>133.1</v>
      </c>
      <c r="C27">
        <v>96.6</v>
      </c>
      <c r="D27">
        <v>27.5</v>
      </c>
      <c r="E27">
        <v>74.7</v>
      </c>
      <c r="F27">
        <v>63.4</v>
      </c>
      <c r="G27">
        <v>116.4</v>
      </c>
      <c r="H27">
        <v>47.8</v>
      </c>
      <c r="I27">
        <v>19.100000000000001</v>
      </c>
      <c r="J27">
        <v>98.1</v>
      </c>
    </row>
    <row r="28" spans="1:10" x14ac:dyDescent="0.25">
      <c r="A28" t="s">
        <v>266</v>
      </c>
      <c r="B28">
        <v>113</v>
      </c>
      <c r="C28">
        <v>90.9</v>
      </c>
      <c r="D28">
        <v>19.600000000000001</v>
      </c>
      <c r="E28">
        <v>81.5</v>
      </c>
      <c r="F28">
        <v>70.8</v>
      </c>
      <c r="G28">
        <v>105.8</v>
      </c>
      <c r="H28">
        <v>52</v>
      </c>
      <c r="I28">
        <v>25.2</v>
      </c>
      <c r="J28">
        <v>90.6</v>
      </c>
    </row>
    <row r="29" spans="1:10" x14ac:dyDescent="0.25">
      <c r="A29" t="s">
        <v>459</v>
      </c>
      <c r="B29">
        <v>90</v>
      </c>
      <c r="C29">
        <v>73.8</v>
      </c>
      <c r="D29">
        <v>18.100000000000001</v>
      </c>
      <c r="E29">
        <v>94.2</v>
      </c>
      <c r="F29">
        <v>93.6</v>
      </c>
      <c r="G29">
        <v>86.4</v>
      </c>
      <c r="H29">
        <v>53.1</v>
      </c>
      <c r="I29">
        <v>36.200000000000003</v>
      </c>
      <c r="J29">
        <v>76.2</v>
      </c>
    </row>
    <row r="30" spans="1:10" x14ac:dyDescent="0.25">
      <c r="A30" t="s">
        <v>460</v>
      </c>
      <c r="B30">
        <v>119.2</v>
      </c>
      <c r="C30">
        <v>95.4</v>
      </c>
      <c r="D30">
        <v>19.899999999999999</v>
      </c>
      <c r="E30">
        <v>78.900000000000006</v>
      </c>
      <c r="F30">
        <v>64.599999999999994</v>
      </c>
      <c r="G30">
        <v>110.8</v>
      </c>
      <c r="H30">
        <v>51.7</v>
      </c>
      <c r="I30">
        <v>22.2</v>
      </c>
      <c r="J30">
        <v>94.3</v>
      </c>
    </row>
  </sheetData>
  <mergeCells count="2">
    <mergeCell ref="G1:I1"/>
    <mergeCell ref="A1:A2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7030A0"/>
  </sheetPr>
  <dimension ref="A1:K30"/>
  <sheetViews>
    <sheetView workbookViewId="0"/>
  </sheetViews>
  <sheetFormatPr defaultRowHeight="15" x14ac:dyDescent="0.25"/>
  <cols>
    <col min="1" max="1" width="26.140625" customWidth="1"/>
    <col min="2" max="2" width="15.140625" customWidth="1"/>
    <col min="3" max="3" width="14.85546875" customWidth="1"/>
    <col min="4" max="4" width="15.140625" customWidth="1"/>
    <col min="5" max="5" width="14.85546875" customWidth="1"/>
    <col min="7" max="7" width="15.140625" customWidth="1"/>
    <col min="8" max="8" width="16.140625" customWidth="1"/>
  </cols>
  <sheetData>
    <row r="1" spans="1:11" x14ac:dyDescent="0.25">
      <c r="A1" s="29" t="s">
        <v>709</v>
      </c>
      <c r="B1" s="29" t="s">
        <v>558</v>
      </c>
      <c r="C1" s="29"/>
      <c r="D1" s="29" t="s">
        <v>559</v>
      </c>
      <c r="E1" s="29"/>
      <c r="F1" s="29" t="s">
        <v>560</v>
      </c>
      <c r="G1" s="29"/>
      <c r="H1" s="29" t="s">
        <v>789</v>
      </c>
      <c r="I1" s="29"/>
      <c r="J1" s="29" t="s">
        <v>790</v>
      </c>
      <c r="K1" s="29"/>
    </row>
    <row r="2" spans="1:11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263</v>
      </c>
      <c r="K2" t="s">
        <v>264</v>
      </c>
    </row>
    <row r="3" spans="1:11" x14ac:dyDescent="0.25">
      <c r="A3" t="s">
        <v>283</v>
      </c>
      <c r="B3">
        <v>102.3</v>
      </c>
      <c r="C3">
        <v>99.1</v>
      </c>
      <c r="D3">
        <v>83.4</v>
      </c>
      <c r="E3">
        <v>82.1</v>
      </c>
      <c r="F3">
        <v>18.5</v>
      </c>
      <c r="G3">
        <v>17.2</v>
      </c>
      <c r="H3">
        <v>85.1</v>
      </c>
      <c r="I3">
        <v>87</v>
      </c>
      <c r="J3">
        <v>72</v>
      </c>
      <c r="K3">
        <v>77.7</v>
      </c>
    </row>
    <row r="4" spans="1:11" x14ac:dyDescent="0.25">
      <c r="A4" t="s">
        <v>284</v>
      </c>
      <c r="B4">
        <v>118.2</v>
      </c>
      <c r="C4">
        <v>116.6</v>
      </c>
      <c r="D4">
        <v>96.7</v>
      </c>
      <c r="E4">
        <v>97.8</v>
      </c>
      <c r="F4">
        <v>18.2</v>
      </c>
      <c r="G4">
        <v>16.100000000000001</v>
      </c>
      <c r="H4">
        <v>81.099999999999994</v>
      </c>
      <c r="I4">
        <v>84.4</v>
      </c>
      <c r="J4">
        <v>75.400000000000006</v>
      </c>
      <c r="K4">
        <v>79.400000000000006</v>
      </c>
    </row>
    <row r="5" spans="1:11" x14ac:dyDescent="0.25">
      <c r="A5" t="s">
        <v>285</v>
      </c>
      <c r="B5">
        <v>120.5</v>
      </c>
      <c r="C5">
        <v>117.5</v>
      </c>
      <c r="D5">
        <v>95.6</v>
      </c>
      <c r="E5">
        <v>94.2</v>
      </c>
      <c r="F5">
        <v>20.7</v>
      </c>
      <c r="G5">
        <v>19.8</v>
      </c>
      <c r="H5">
        <v>83.5</v>
      </c>
      <c r="I5">
        <v>88.2</v>
      </c>
      <c r="J5">
        <v>77</v>
      </c>
      <c r="K5">
        <v>80</v>
      </c>
    </row>
    <row r="6" spans="1:11" x14ac:dyDescent="0.25">
      <c r="A6" t="s">
        <v>286</v>
      </c>
      <c r="B6">
        <v>101.6</v>
      </c>
      <c r="C6">
        <v>100.9</v>
      </c>
      <c r="D6">
        <v>91.4</v>
      </c>
      <c r="E6">
        <v>92.4</v>
      </c>
      <c r="F6">
        <v>10.1</v>
      </c>
      <c r="G6">
        <v>8.4</v>
      </c>
      <c r="H6">
        <v>85.4</v>
      </c>
      <c r="I6">
        <v>89.2</v>
      </c>
      <c r="J6">
        <v>70.599999999999994</v>
      </c>
      <c r="K6">
        <v>73.400000000000006</v>
      </c>
    </row>
    <row r="7" spans="1:11" x14ac:dyDescent="0.25">
      <c r="A7" t="s">
        <v>287</v>
      </c>
      <c r="B7">
        <v>101.4</v>
      </c>
      <c r="C7">
        <v>98.3</v>
      </c>
      <c r="D7">
        <v>87.5</v>
      </c>
      <c r="E7">
        <v>86.4</v>
      </c>
      <c r="F7">
        <v>13.7</v>
      </c>
      <c r="G7">
        <v>12.2</v>
      </c>
      <c r="H7">
        <v>83.4</v>
      </c>
      <c r="I7">
        <v>86.7</v>
      </c>
      <c r="J7">
        <v>66</v>
      </c>
      <c r="K7">
        <v>69.599999999999994</v>
      </c>
    </row>
    <row r="8" spans="1:11" x14ac:dyDescent="0.25">
      <c r="A8" t="s">
        <v>288</v>
      </c>
      <c r="B8">
        <v>115.1</v>
      </c>
      <c r="C8">
        <v>113.9</v>
      </c>
      <c r="D8">
        <v>97.8</v>
      </c>
      <c r="E8">
        <v>99</v>
      </c>
      <c r="F8">
        <v>15</v>
      </c>
      <c r="G8">
        <v>13.1</v>
      </c>
      <c r="H8">
        <v>85.3</v>
      </c>
      <c r="I8">
        <v>89.1</v>
      </c>
      <c r="J8">
        <v>73.2</v>
      </c>
      <c r="K8">
        <v>75.5</v>
      </c>
    </row>
    <row r="9" spans="1:11" x14ac:dyDescent="0.25">
      <c r="A9" t="s">
        <v>289</v>
      </c>
      <c r="B9">
        <v>99.8</v>
      </c>
      <c r="C9">
        <v>95.1</v>
      </c>
      <c r="D9">
        <v>87.7</v>
      </c>
      <c r="E9">
        <v>84.8</v>
      </c>
      <c r="F9">
        <v>12.1</v>
      </c>
      <c r="G9">
        <v>10.8</v>
      </c>
      <c r="H9">
        <v>86</v>
      </c>
      <c r="I9">
        <v>89.6</v>
      </c>
      <c r="J9">
        <v>69</v>
      </c>
      <c r="K9">
        <v>72.400000000000006</v>
      </c>
    </row>
    <row r="10" spans="1:11" x14ac:dyDescent="0.25">
      <c r="A10" t="s">
        <v>290</v>
      </c>
      <c r="B10">
        <v>113</v>
      </c>
      <c r="C10">
        <v>110.4</v>
      </c>
      <c r="D10">
        <v>98.1</v>
      </c>
      <c r="E10">
        <v>98.5</v>
      </c>
      <c r="F10">
        <v>13.2</v>
      </c>
      <c r="G10">
        <v>10.8</v>
      </c>
      <c r="H10">
        <v>87</v>
      </c>
      <c r="I10">
        <v>92.4</v>
      </c>
      <c r="J10">
        <v>80.900000000000006</v>
      </c>
      <c r="K10">
        <v>84.3</v>
      </c>
    </row>
    <row r="11" spans="1:11" x14ac:dyDescent="0.25">
      <c r="A11" t="s">
        <v>291</v>
      </c>
      <c r="B11">
        <v>90.5</v>
      </c>
      <c r="C11">
        <v>89.5</v>
      </c>
      <c r="D11">
        <v>77.3</v>
      </c>
      <c r="E11">
        <v>79.7</v>
      </c>
      <c r="F11">
        <v>14.5</v>
      </c>
      <c r="G11">
        <v>11</v>
      </c>
      <c r="H11">
        <v>88.2</v>
      </c>
      <c r="I11">
        <v>94.6</v>
      </c>
      <c r="J11">
        <v>75.900000000000006</v>
      </c>
      <c r="K11">
        <v>77.8</v>
      </c>
    </row>
    <row r="12" spans="1:11" x14ac:dyDescent="0.25">
      <c r="A12" t="s">
        <v>292</v>
      </c>
      <c r="B12">
        <v>87.6</v>
      </c>
      <c r="C12">
        <v>86.3</v>
      </c>
      <c r="D12">
        <v>62.7</v>
      </c>
      <c r="E12">
        <v>64.400000000000006</v>
      </c>
      <c r="F12">
        <v>28.4</v>
      </c>
      <c r="G12">
        <v>25.4</v>
      </c>
      <c r="H12">
        <v>85.7</v>
      </c>
      <c r="I12">
        <v>87.9</v>
      </c>
      <c r="J12">
        <v>72.900000000000006</v>
      </c>
      <c r="K12">
        <v>75.400000000000006</v>
      </c>
    </row>
    <row r="13" spans="1:11" x14ac:dyDescent="0.25">
      <c r="A13" t="s">
        <v>293</v>
      </c>
      <c r="B13">
        <v>126.1</v>
      </c>
      <c r="C13">
        <v>119.3</v>
      </c>
      <c r="D13">
        <v>97.8</v>
      </c>
      <c r="E13">
        <v>96</v>
      </c>
      <c r="F13">
        <v>22.4</v>
      </c>
      <c r="G13">
        <v>19.600000000000001</v>
      </c>
      <c r="H13">
        <v>74.599999999999994</v>
      </c>
      <c r="I13">
        <v>76.7</v>
      </c>
      <c r="J13">
        <v>68.400000000000006</v>
      </c>
      <c r="K13">
        <v>71.599999999999994</v>
      </c>
    </row>
    <row r="14" spans="1:11" x14ac:dyDescent="0.25">
      <c r="A14" t="s">
        <v>294</v>
      </c>
      <c r="B14">
        <v>128.4</v>
      </c>
      <c r="C14">
        <v>129.30000000000001</v>
      </c>
      <c r="D14">
        <v>92.3</v>
      </c>
      <c r="E14">
        <v>96.9</v>
      </c>
      <c r="F14">
        <v>28.1</v>
      </c>
      <c r="G14">
        <v>25.1</v>
      </c>
      <c r="H14">
        <v>78.7</v>
      </c>
      <c r="I14">
        <v>77.900000000000006</v>
      </c>
      <c r="J14">
        <v>72</v>
      </c>
      <c r="K14">
        <v>74.599999999999994</v>
      </c>
    </row>
    <row r="15" spans="1:11" x14ac:dyDescent="0.25">
      <c r="A15" t="s">
        <v>295</v>
      </c>
      <c r="B15">
        <v>109.3</v>
      </c>
      <c r="C15">
        <v>106.3</v>
      </c>
      <c r="D15">
        <v>87.5</v>
      </c>
      <c r="E15">
        <v>86.9</v>
      </c>
      <c r="F15">
        <v>20</v>
      </c>
      <c r="G15">
        <v>18.2</v>
      </c>
      <c r="H15">
        <v>82.8</v>
      </c>
      <c r="I15">
        <v>85.8</v>
      </c>
      <c r="J15">
        <v>71.3</v>
      </c>
      <c r="K15">
        <v>74.8</v>
      </c>
    </row>
    <row r="16" spans="1:11" x14ac:dyDescent="0.25">
      <c r="A16" t="s">
        <v>296</v>
      </c>
      <c r="B16">
        <v>79.599999999999994</v>
      </c>
      <c r="C16">
        <v>78.8</v>
      </c>
      <c r="D16">
        <v>63.1</v>
      </c>
      <c r="E16">
        <v>64.900000000000006</v>
      </c>
      <c r="F16">
        <v>20.7</v>
      </c>
      <c r="G16">
        <v>17.7</v>
      </c>
      <c r="H16">
        <v>99.4</v>
      </c>
      <c r="I16">
        <v>102.4</v>
      </c>
      <c r="J16">
        <v>72.900000000000006</v>
      </c>
      <c r="K16">
        <v>77.599999999999994</v>
      </c>
    </row>
    <row r="17" spans="1:11" x14ac:dyDescent="0.25">
      <c r="A17" t="s">
        <v>297</v>
      </c>
      <c r="B17">
        <v>82.1</v>
      </c>
      <c r="C17">
        <v>81</v>
      </c>
      <c r="D17">
        <v>70.2</v>
      </c>
      <c r="E17">
        <v>69.7</v>
      </c>
      <c r="F17">
        <v>14.5</v>
      </c>
      <c r="G17">
        <v>14</v>
      </c>
      <c r="H17">
        <v>94.4</v>
      </c>
      <c r="I17">
        <v>95.9</v>
      </c>
      <c r="J17">
        <v>89.4</v>
      </c>
      <c r="K17">
        <v>92.1</v>
      </c>
    </row>
    <row r="18" spans="1:11" x14ac:dyDescent="0.25">
      <c r="A18" t="s">
        <v>298</v>
      </c>
      <c r="B18">
        <v>95.4</v>
      </c>
      <c r="C18">
        <v>98.7</v>
      </c>
      <c r="D18">
        <v>67.599999999999994</v>
      </c>
      <c r="E18">
        <v>70.3</v>
      </c>
      <c r="F18">
        <v>29.2</v>
      </c>
      <c r="G18">
        <v>28.7</v>
      </c>
      <c r="H18">
        <v>83.9</v>
      </c>
      <c r="I18">
        <v>85.1</v>
      </c>
      <c r="J18">
        <v>70.599999999999994</v>
      </c>
      <c r="K18">
        <v>78</v>
      </c>
    </row>
    <row r="19" spans="1:11" x14ac:dyDescent="0.25">
      <c r="A19" t="s">
        <v>299</v>
      </c>
      <c r="B19">
        <v>136.6</v>
      </c>
      <c r="C19">
        <v>131.5</v>
      </c>
      <c r="D19">
        <v>88</v>
      </c>
      <c r="E19">
        <v>91.3</v>
      </c>
      <c r="F19">
        <v>35.6</v>
      </c>
      <c r="G19">
        <v>30.6</v>
      </c>
      <c r="H19">
        <v>86.9</v>
      </c>
      <c r="I19">
        <v>88.9</v>
      </c>
      <c r="J19">
        <v>76.900000000000006</v>
      </c>
      <c r="K19">
        <v>77.8</v>
      </c>
    </row>
    <row r="20" spans="1:11" x14ac:dyDescent="0.25">
      <c r="A20" t="s">
        <v>300</v>
      </c>
      <c r="B20">
        <v>114.2</v>
      </c>
      <c r="C20">
        <v>111.4</v>
      </c>
      <c r="D20">
        <v>98.2</v>
      </c>
      <c r="E20">
        <v>96.7</v>
      </c>
      <c r="F20">
        <v>14</v>
      </c>
      <c r="G20">
        <v>13.2</v>
      </c>
      <c r="H20">
        <v>84.5</v>
      </c>
      <c r="I20">
        <v>90</v>
      </c>
      <c r="J20">
        <v>70.3</v>
      </c>
      <c r="K20">
        <v>73.8</v>
      </c>
    </row>
    <row r="21" spans="1:11" x14ac:dyDescent="0.25">
      <c r="A21" t="s">
        <v>301</v>
      </c>
      <c r="B21">
        <v>124.1</v>
      </c>
      <c r="C21">
        <v>123.7</v>
      </c>
      <c r="D21">
        <v>95.7</v>
      </c>
      <c r="E21">
        <v>95.9</v>
      </c>
      <c r="F21">
        <v>22.9</v>
      </c>
      <c r="G21">
        <v>22.5</v>
      </c>
      <c r="H21">
        <v>82.7</v>
      </c>
      <c r="I21">
        <v>85.7</v>
      </c>
      <c r="J21">
        <v>76.099999999999994</v>
      </c>
      <c r="K21">
        <v>80.5</v>
      </c>
    </row>
    <row r="22" spans="1:11" x14ac:dyDescent="0.25">
      <c r="A22" t="s">
        <v>302</v>
      </c>
      <c r="B22">
        <v>165.3</v>
      </c>
      <c r="C22">
        <v>156.80000000000001</v>
      </c>
      <c r="D22">
        <v>94.9</v>
      </c>
      <c r="E22">
        <v>91.4</v>
      </c>
      <c r="F22">
        <v>42.6</v>
      </c>
      <c r="G22">
        <v>41.7</v>
      </c>
      <c r="H22">
        <v>81.5</v>
      </c>
      <c r="I22">
        <v>83.8</v>
      </c>
      <c r="J22">
        <v>78.900000000000006</v>
      </c>
      <c r="K22">
        <v>80.3</v>
      </c>
    </row>
    <row r="23" spans="1:11" x14ac:dyDescent="0.25">
      <c r="A23" t="s">
        <v>303</v>
      </c>
      <c r="B23">
        <v>111.3</v>
      </c>
      <c r="C23">
        <v>110.6</v>
      </c>
      <c r="D23">
        <v>94.4</v>
      </c>
      <c r="E23">
        <v>95.8</v>
      </c>
      <c r="F23">
        <v>15.1</v>
      </c>
      <c r="G23">
        <v>13.4</v>
      </c>
      <c r="H23">
        <v>88.3</v>
      </c>
      <c r="I23">
        <v>91.9</v>
      </c>
      <c r="J23">
        <v>79.7</v>
      </c>
      <c r="K23">
        <v>84.4</v>
      </c>
    </row>
    <row r="24" spans="1:11" x14ac:dyDescent="0.25">
      <c r="A24" t="s">
        <v>304</v>
      </c>
      <c r="B24">
        <v>149.80000000000001</v>
      </c>
      <c r="C24">
        <v>142.5</v>
      </c>
      <c r="D24">
        <v>94.8</v>
      </c>
      <c r="E24">
        <v>92</v>
      </c>
      <c r="F24">
        <v>36.700000000000003</v>
      </c>
      <c r="G24">
        <v>35.4</v>
      </c>
      <c r="H24">
        <v>79.599999999999994</v>
      </c>
      <c r="I24">
        <v>77.099999999999994</v>
      </c>
      <c r="J24">
        <v>68.099999999999994</v>
      </c>
      <c r="K24">
        <v>74.599999999999994</v>
      </c>
    </row>
    <row r="25" spans="1:11" x14ac:dyDescent="0.25">
      <c r="A25" t="s">
        <v>305</v>
      </c>
      <c r="B25">
        <v>128.69999999999999</v>
      </c>
      <c r="C25">
        <v>127.2</v>
      </c>
      <c r="D25">
        <v>99.4</v>
      </c>
      <c r="E25">
        <v>99.3</v>
      </c>
      <c r="F25">
        <v>22.7</v>
      </c>
      <c r="G25">
        <v>21.9</v>
      </c>
      <c r="H25">
        <v>89.5</v>
      </c>
      <c r="I25">
        <v>91.9</v>
      </c>
      <c r="J25">
        <v>71.5</v>
      </c>
      <c r="K25">
        <v>74.099999999999994</v>
      </c>
    </row>
    <row r="26" spans="1:11" x14ac:dyDescent="0.25">
      <c r="A26" t="s">
        <v>306</v>
      </c>
      <c r="B26">
        <v>99.1</v>
      </c>
      <c r="C26">
        <v>97.8</v>
      </c>
      <c r="D26">
        <v>92</v>
      </c>
      <c r="E26">
        <v>91.6</v>
      </c>
      <c r="F26">
        <v>7.2</v>
      </c>
      <c r="G26">
        <v>6.3</v>
      </c>
      <c r="H26">
        <v>85.4</v>
      </c>
      <c r="I26">
        <v>90.9</v>
      </c>
      <c r="J26">
        <v>73.5</v>
      </c>
      <c r="K26">
        <v>79</v>
      </c>
    </row>
    <row r="27" spans="1:11" x14ac:dyDescent="0.25">
      <c r="A27" t="s">
        <v>307</v>
      </c>
      <c r="B27">
        <v>129.30000000000001</v>
      </c>
      <c r="C27">
        <v>125.2</v>
      </c>
      <c r="D27">
        <v>95.9</v>
      </c>
      <c r="E27">
        <v>95.1</v>
      </c>
      <c r="F27">
        <v>25.8</v>
      </c>
      <c r="G27">
        <v>24</v>
      </c>
      <c r="H27">
        <v>78.599999999999994</v>
      </c>
      <c r="I27">
        <v>82.3</v>
      </c>
      <c r="J27">
        <v>68.900000000000006</v>
      </c>
      <c r="K27">
        <v>73.8</v>
      </c>
    </row>
    <row r="28" spans="1:11" x14ac:dyDescent="0.25">
      <c r="A28" t="s">
        <v>266</v>
      </c>
      <c r="B28">
        <v>110.9</v>
      </c>
      <c r="C28">
        <v>108.6</v>
      </c>
      <c r="D28">
        <v>90.7</v>
      </c>
      <c r="E28">
        <v>90.5</v>
      </c>
      <c r="F28">
        <v>18.2</v>
      </c>
      <c r="G28">
        <v>16.7</v>
      </c>
      <c r="H28">
        <v>85</v>
      </c>
      <c r="I28">
        <v>88.6</v>
      </c>
      <c r="J28">
        <v>74.900000000000006</v>
      </c>
      <c r="K28">
        <v>78.599999999999994</v>
      </c>
    </row>
    <row r="29" spans="1:11" x14ac:dyDescent="0.25">
      <c r="A29" t="s">
        <v>459</v>
      </c>
      <c r="B29">
        <v>88.5</v>
      </c>
      <c r="C29">
        <v>86.8</v>
      </c>
      <c r="D29">
        <v>73.400000000000006</v>
      </c>
      <c r="E29">
        <v>73.099999999999994</v>
      </c>
      <c r="F29">
        <v>17</v>
      </c>
      <c r="G29">
        <v>15.7</v>
      </c>
      <c r="H29">
        <v>96.2</v>
      </c>
      <c r="I29">
        <v>98.2</v>
      </c>
      <c r="J29">
        <v>98.6</v>
      </c>
      <c r="K29">
        <v>103.3</v>
      </c>
    </row>
    <row r="30" spans="1:11" x14ac:dyDescent="0.25">
      <c r="A30" t="s">
        <v>460</v>
      </c>
      <c r="B30">
        <v>116.9</v>
      </c>
      <c r="C30">
        <v>114.4</v>
      </c>
      <c r="D30">
        <v>95.3</v>
      </c>
      <c r="E30">
        <v>95.1</v>
      </c>
      <c r="F30">
        <v>18.5</v>
      </c>
      <c r="G30">
        <v>16.899999999999999</v>
      </c>
      <c r="H30">
        <v>82.8</v>
      </c>
      <c r="I30">
        <v>86.6</v>
      </c>
      <c r="J30">
        <v>68.8</v>
      </c>
      <c r="K30">
        <v>72.400000000000006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7030A0"/>
  </sheetPr>
  <dimension ref="A1:N31"/>
  <sheetViews>
    <sheetView workbookViewId="0"/>
  </sheetViews>
  <sheetFormatPr defaultRowHeight="15" x14ac:dyDescent="0.25"/>
  <cols>
    <col min="1" max="1" width="28.140625" customWidth="1"/>
    <col min="2" max="2" width="12.7109375" customWidth="1"/>
    <col min="13" max="13" width="12.42578125" customWidth="1"/>
    <col min="14" max="14" width="7.42578125" customWidth="1"/>
  </cols>
  <sheetData>
    <row r="1" spans="1:14" x14ac:dyDescent="0.25">
      <c r="A1" s="29" t="s">
        <v>563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564</v>
      </c>
      <c r="C2" s="29"/>
      <c r="D2" s="29"/>
      <c r="E2" s="29" t="s">
        <v>565</v>
      </c>
      <c r="F2" s="29"/>
      <c r="G2" s="29"/>
      <c r="H2" s="29" t="s">
        <v>566</v>
      </c>
      <c r="I2" s="29"/>
      <c r="J2" s="29"/>
      <c r="K2" s="29" t="s">
        <v>567</v>
      </c>
      <c r="L2" s="29"/>
      <c r="M2" s="29"/>
    </row>
    <row r="3" spans="1:14" x14ac:dyDescent="0.25">
      <c r="A3" s="29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3.6</v>
      </c>
      <c r="C4">
        <v>2.4</v>
      </c>
      <c r="D4">
        <v>1.2</v>
      </c>
      <c r="E4">
        <v>11.4</v>
      </c>
      <c r="F4">
        <v>17.899999999999999</v>
      </c>
      <c r="G4">
        <v>15.6</v>
      </c>
      <c r="H4">
        <v>2.5</v>
      </c>
      <c r="I4">
        <v>1.4</v>
      </c>
      <c r="J4">
        <v>0.8</v>
      </c>
      <c r="K4">
        <v>10.199999999999999</v>
      </c>
      <c r="L4">
        <v>15.4</v>
      </c>
      <c r="M4">
        <v>12.6</v>
      </c>
    </row>
    <row r="5" spans="1:14" x14ac:dyDescent="0.25">
      <c r="A5" t="s">
        <v>284</v>
      </c>
      <c r="B5">
        <v>6</v>
      </c>
      <c r="C5">
        <v>2.7</v>
      </c>
      <c r="D5">
        <v>1.5</v>
      </c>
      <c r="E5">
        <v>13</v>
      </c>
      <c r="F5">
        <v>21</v>
      </c>
      <c r="G5">
        <v>21.9</v>
      </c>
      <c r="H5">
        <v>4.5</v>
      </c>
      <c r="I5">
        <v>1.6</v>
      </c>
      <c r="J5">
        <v>1</v>
      </c>
      <c r="K5">
        <v>11.5</v>
      </c>
      <c r="L5">
        <v>18.899999999999999</v>
      </c>
      <c r="M5">
        <v>20.3</v>
      </c>
    </row>
    <row r="6" spans="1:14" x14ac:dyDescent="0.25">
      <c r="A6" t="s">
        <v>285</v>
      </c>
      <c r="B6">
        <v>8.3000000000000007</v>
      </c>
      <c r="C6">
        <v>3.4</v>
      </c>
      <c r="D6">
        <v>1.7</v>
      </c>
      <c r="E6">
        <v>15</v>
      </c>
      <c r="F6">
        <v>17.5</v>
      </c>
      <c r="G6">
        <v>15.6</v>
      </c>
      <c r="H6">
        <v>6.1</v>
      </c>
      <c r="I6">
        <v>2.2000000000000002</v>
      </c>
      <c r="J6">
        <v>1.2</v>
      </c>
      <c r="K6">
        <v>14.3</v>
      </c>
      <c r="L6">
        <v>15.4</v>
      </c>
      <c r="M6">
        <v>13.4</v>
      </c>
    </row>
    <row r="7" spans="1:14" x14ac:dyDescent="0.25">
      <c r="A7" t="s">
        <v>286</v>
      </c>
      <c r="B7">
        <v>5.9</v>
      </c>
      <c r="C7">
        <v>2.1</v>
      </c>
      <c r="D7">
        <v>1.1000000000000001</v>
      </c>
      <c r="E7">
        <v>9.1999999999999993</v>
      </c>
      <c r="F7">
        <v>18</v>
      </c>
      <c r="G7">
        <v>18.8</v>
      </c>
      <c r="H7">
        <v>4.2</v>
      </c>
      <c r="I7">
        <v>0.9</v>
      </c>
      <c r="J7">
        <v>0.8</v>
      </c>
      <c r="K7">
        <v>8.1999999999999993</v>
      </c>
      <c r="L7">
        <v>15.7</v>
      </c>
      <c r="M7">
        <v>16.100000000000001</v>
      </c>
    </row>
    <row r="8" spans="1:14" x14ac:dyDescent="0.25">
      <c r="A8" t="s">
        <v>287</v>
      </c>
      <c r="B8">
        <v>4.9000000000000004</v>
      </c>
      <c r="C8">
        <v>2.1</v>
      </c>
      <c r="D8">
        <v>0.5</v>
      </c>
      <c r="E8">
        <v>10.3</v>
      </c>
      <c r="F8">
        <v>16.899999999999999</v>
      </c>
      <c r="G8">
        <v>16.600000000000001</v>
      </c>
      <c r="H8">
        <v>3.8</v>
      </c>
      <c r="I8">
        <v>1.1000000000000001</v>
      </c>
      <c r="J8">
        <v>0.4</v>
      </c>
      <c r="K8">
        <v>9.5</v>
      </c>
      <c r="L8">
        <v>14.3</v>
      </c>
      <c r="M8">
        <v>14.3</v>
      </c>
    </row>
    <row r="9" spans="1:14" x14ac:dyDescent="0.25">
      <c r="A9" t="s">
        <v>288</v>
      </c>
      <c r="B9">
        <v>7.1</v>
      </c>
      <c r="C9">
        <v>3.4</v>
      </c>
      <c r="D9">
        <v>1</v>
      </c>
      <c r="E9">
        <v>13.7</v>
      </c>
      <c r="F9">
        <v>22.5</v>
      </c>
      <c r="G9">
        <v>22.6</v>
      </c>
      <c r="H9">
        <v>5.3</v>
      </c>
      <c r="I9">
        <v>2.2000000000000002</v>
      </c>
      <c r="J9">
        <v>0.6</v>
      </c>
      <c r="K9">
        <v>12.5</v>
      </c>
      <c r="L9">
        <v>19.8</v>
      </c>
      <c r="M9">
        <v>20.100000000000001</v>
      </c>
    </row>
    <row r="10" spans="1:14" x14ac:dyDescent="0.25">
      <c r="A10" t="s">
        <v>289</v>
      </c>
      <c r="B10">
        <v>5</v>
      </c>
      <c r="C10">
        <v>3</v>
      </c>
      <c r="D10">
        <v>1.6</v>
      </c>
      <c r="E10">
        <v>10</v>
      </c>
      <c r="F10">
        <v>18.600000000000001</v>
      </c>
      <c r="G10">
        <v>19.899999999999999</v>
      </c>
      <c r="H10">
        <v>3.5</v>
      </c>
      <c r="I10">
        <v>1.5</v>
      </c>
      <c r="J10">
        <v>1.2</v>
      </c>
      <c r="K10">
        <v>8.9</v>
      </c>
      <c r="L10">
        <v>15.6</v>
      </c>
      <c r="M10">
        <v>17.3</v>
      </c>
    </row>
    <row r="11" spans="1:14" x14ac:dyDescent="0.25">
      <c r="A11" t="s">
        <v>290</v>
      </c>
      <c r="B11">
        <v>7.8</v>
      </c>
      <c r="C11">
        <v>2.6</v>
      </c>
      <c r="D11">
        <v>1.6</v>
      </c>
      <c r="E11">
        <v>11.1</v>
      </c>
      <c r="F11">
        <v>16.399999999999999</v>
      </c>
      <c r="G11">
        <v>17.600000000000001</v>
      </c>
      <c r="H11">
        <v>5.7</v>
      </c>
      <c r="I11">
        <v>1.5</v>
      </c>
      <c r="J11">
        <v>1.1000000000000001</v>
      </c>
      <c r="K11">
        <v>9.1</v>
      </c>
      <c r="L11">
        <v>13.9</v>
      </c>
      <c r="M11">
        <v>14.1</v>
      </c>
    </row>
    <row r="12" spans="1:14" x14ac:dyDescent="0.25">
      <c r="A12" t="s">
        <v>291</v>
      </c>
      <c r="B12">
        <v>9.3000000000000007</v>
      </c>
      <c r="C12">
        <v>5</v>
      </c>
      <c r="D12">
        <v>1.5</v>
      </c>
      <c r="E12">
        <v>10.199999999999999</v>
      </c>
      <c r="F12">
        <v>16.100000000000001</v>
      </c>
      <c r="G12">
        <v>19.8</v>
      </c>
      <c r="H12">
        <v>5.9</v>
      </c>
      <c r="I12">
        <v>2.5</v>
      </c>
      <c r="J12">
        <v>0.9</v>
      </c>
      <c r="K12">
        <v>8.8000000000000007</v>
      </c>
      <c r="L12">
        <v>14.7</v>
      </c>
      <c r="M12">
        <v>16.399999999999999</v>
      </c>
    </row>
    <row r="13" spans="1:14" x14ac:dyDescent="0.25">
      <c r="A13" t="s">
        <v>292</v>
      </c>
      <c r="B13">
        <v>4.9000000000000004</v>
      </c>
      <c r="C13">
        <v>1.2</v>
      </c>
      <c r="D13">
        <v>0.9</v>
      </c>
      <c r="E13">
        <v>18.3</v>
      </c>
      <c r="F13">
        <v>28.4</v>
      </c>
      <c r="G13">
        <v>23.3</v>
      </c>
      <c r="H13">
        <v>3.7</v>
      </c>
      <c r="I13">
        <v>0.7</v>
      </c>
      <c r="J13">
        <v>0.8</v>
      </c>
      <c r="K13">
        <v>17.2</v>
      </c>
      <c r="L13">
        <v>24.1</v>
      </c>
      <c r="M13">
        <v>16.8</v>
      </c>
    </row>
    <row r="14" spans="1:14" x14ac:dyDescent="0.25">
      <c r="A14" t="s">
        <v>293</v>
      </c>
      <c r="B14">
        <v>7.8</v>
      </c>
      <c r="C14">
        <v>1.9</v>
      </c>
      <c r="D14">
        <v>1.4</v>
      </c>
      <c r="E14">
        <v>14.5</v>
      </c>
      <c r="F14">
        <v>21.2</v>
      </c>
      <c r="G14">
        <v>17.899999999999999</v>
      </c>
      <c r="H14">
        <v>6.2</v>
      </c>
      <c r="I14">
        <v>1.1000000000000001</v>
      </c>
      <c r="J14">
        <v>0.7</v>
      </c>
      <c r="K14">
        <v>13.6</v>
      </c>
      <c r="L14">
        <v>18.100000000000001</v>
      </c>
      <c r="M14">
        <v>14.7</v>
      </c>
    </row>
    <row r="15" spans="1:14" x14ac:dyDescent="0.25">
      <c r="A15" t="s">
        <v>294</v>
      </c>
      <c r="B15">
        <v>3.7</v>
      </c>
      <c r="C15">
        <v>4.9000000000000004</v>
      </c>
      <c r="D15">
        <v>0.1</v>
      </c>
      <c r="E15">
        <v>20.8</v>
      </c>
      <c r="F15">
        <v>35.799999999999997</v>
      </c>
      <c r="G15">
        <v>33.700000000000003</v>
      </c>
      <c r="H15">
        <v>3.1</v>
      </c>
      <c r="I15">
        <v>3</v>
      </c>
      <c r="J15">
        <v>0</v>
      </c>
      <c r="K15">
        <v>18.899999999999999</v>
      </c>
      <c r="L15">
        <v>32.6</v>
      </c>
      <c r="M15">
        <v>29</v>
      </c>
    </row>
    <row r="16" spans="1:14" x14ac:dyDescent="0.25">
      <c r="A16" t="s">
        <v>295</v>
      </c>
      <c r="B16">
        <v>8</v>
      </c>
      <c r="C16">
        <v>4.5</v>
      </c>
      <c r="D16">
        <v>1.9</v>
      </c>
      <c r="E16">
        <v>15</v>
      </c>
      <c r="F16">
        <v>24.8</v>
      </c>
      <c r="G16">
        <v>25.6</v>
      </c>
      <c r="H16">
        <v>6</v>
      </c>
      <c r="I16">
        <v>2.7</v>
      </c>
      <c r="J16">
        <v>1</v>
      </c>
      <c r="K16">
        <v>13.6</v>
      </c>
      <c r="L16">
        <v>20.5</v>
      </c>
      <c r="M16">
        <v>22.2</v>
      </c>
    </row>
    <row r="17" spans="1:13" x14ac:dyDescent="0.25">
      <c r="A17" t="s">
        <v>296</v>
      </c>
      <c r="B17">
        <v>5.4</v>
      </c>
      <c r="C17">
        <v>4.3</v>
      </c>
      <c r="D17">
        <v>1.9</v>
      </c>
      <c r="E17">
        <v>14.3</v>
      </c>
      <c r="F17">
        <v>20.3</v>
      </c>
      <c r="G17">
        <v>20.9</v>
      </c>
      <c r="H17">
        <v>3.8</v>
      </c>
      <c r="I17">
        <v>2.7</v>
      </c>
      <c r="J17">
        <v>1.7</v>
      </c>
      <c r="K17">
        <v>12.6</v>
      </c>
      <c r="L17">
        <v>16.100000000000001</v>
      </c>
      <c r="M17">
        <v>16.100000000000001</v>
      </c>
    </row>
    <row r="18" spans="1:13" x14ac:dyDescent="0.25">
      <c r="A18" t="s">
        <v>297</v>
      </c>
      <c r="B18">
        <v>3.5</v>
      </c>
      <c r="C18">
        <v>2.9</v>
      </c>
      <c r="D18">
        <v>2</v>
      </c>
      <c r="E18">
        <v>8.8000000000000007</v>
      </c>
      <c r="F18">
        <v>15.4</v>
      </c>
      <c r="G18">
        <v>16.7</v>
      </c>
      <c r="H18">
        <v>2.4</v>
      </c>
      <c r="I18">
        <v>2</v>
      </c>
      <c r="J18">
        <v>1.5</v>
      </c>
      <c r="K18">
        <v>7.4</v>
      </c>
      <c r="L18">
        <v>12.5</v>
      </c>
      <c r="M18">
        <v>13.8</v>
      </c>
    </row>
    <row r="19" spans="1:13" x14ac:dyDescent="0.25">
      <c r="A19" t="s">
        <v>298</v>
      </c>
      <c r="B19">
        <v>4.0999999999999996</v>
      </c>
      <c r="C19">
        <v>4.7</v>
      </c>
      <c r="D19">
        <v>5.4</v>
      </c>
      <c r="E19">
        <v>13.5</v>
      </c>
      <c r="F19">
        <v>18.899999999999999</v>
      </c>
      <c r="G19">
        <v>22.9</v>
      </c>
      <c r="H19">
        <v>2.9</v>
      </c>
      <c r="I19">
        <v>2.6</v>
      </c>
      <c r="J19">
        <v>5.2</v>
      </c>
      <c r="K19">
        <v>11.8</v>
      </c>
      <c r="L19">
        <v>15.3</v>
      </c>
      <c r="M19">
        <v>19.5</v>
      </c>
    </row>
    <row r="20" spans="1:13" x14ac:dyDescent="0.25">
      <c r="A20" t="s">
        <v>299</v>
      </c>
      <c r="B20">
        <v>8.9</v>
      </c>
      <c r="C20">
        <v>1.3</v>
      </c>
      <c r="D20">
        <v>0.3</v>
      </c>
      <c r="E20">
        <v>26.4</v>
      </c>
      <c r="F20">
        <v>27</v>
      </c>
      <c r="G20">
        <v>23.6</v>
      </c>
      <c r="H20">
        <v>6.8</v>
      </c>
      <c r="I20">
        <v>0.9</v>
      </c>
      <c r="J20">
        <v>0.3</v>
      </c>
      <c r="K20">
        <v>25.5</v>
      </c>
      <c r="L20">
        <v>24.5</v>
      </c>
      <c r="M20">
        <v>20</v>
      </c>
    </row>
    <row r="21" spans="1:13" x14ac:dyDescent="0.25">
      <c r="A21" t="s">
        <v>300</v>
      </c>
      <c r="B21">
        <v>6.7</v>
      </c>
      <c r="C21">
        <v>1</v>
      </c>
      <c r="D21">
        <v>1.2</v>
      </c>
      <c r="E21">
        <v>13</v>
      </c>
      <c r="F21">
        <v>17.100000000000001</v>
      </c>
      <c r="G21">
        <v>18.600000000000001</v>
      </c>
      <c r="H21">
        <v>4.9000000000000004</v>
      </c>
      <c r="I21">
        <v>0.5</v>
      </c>
      <c r="J21">
        <v>0.8</v>
      </c>
      <c r="K21">
        <v>10.9</v>
      </c>
      <c r="L21">
        <v>15</v>
      </c>
      <c r="M21">
        <v>16.399999999999999</v>
      </c>
    </row>
    <row r="22" spans="1:13" x14ac:dyDescent="0.25">
      <c r="A22" t="s">
        <v>301</v>
      </c>
      <c r="B22">
        <v>7.8</v>
      </c>
      <c r="C22">
        <v>1.3</v>
      </c>
      <c r="D22">
        <v>1.1000000000000001</v>
      </c>
      <c r="E22">
        <v>15.1</v>
      </c>
      <c r="F22">
        <v>22.5</v>
      </c>
      <c r="G22">
        <v>24.1</v>
      </c>
      <c r="H22">
        <v>6.2</v>
      </c>
      <c r="I22">
        <v>0.7</v>
      </c>
      <c r="J22">
        <v>0.7</v>
      </c>
      <c r="K22">
        <v>15</v>
      </c>
      <c r="L22">
        <v>19.600000000000001</v>
      </c>
      <c r="M22">
        <v>21.6</v>
      </c>
    </row>
    <row r="23" spans="1:13" x14ac:dyDescent="0.25">
      <c r="A23" t="s">
        <v>302</v>
      </c>
      <c r="B23">
        <v>4.0999999999999996</v>
      </c>
      <c r="C23">
        <v>1.2</v>
      </c>
      <c r="D23">
        <v>0.8</v>
      </c>
      <c r="E23">
        <v>27.8</v>
      </c>
      <c r="F23">
        <v>45.9</v>
      </c>
      <c r="G23">
        <v>37.299999999999997</v>
      </c>
      <c r="H23">
        <v>3.5</v>
      </c>
      <c r="I23">
        <v>0.6</v>
      </c>
      <c r="J23">
        <v>0.7</v>
      </c>
      <c r="K23">
        <v>27.1</v>
      </c>
      <c r="L23">
        <v>41.4</v>
      </c>
      <c r="M23">
        <v>30.5</v>
      </c>
    </row>
    <row r="24" spans="1:13" x14ac:dyDescent="0.25">
      <c r="A24" t="s">
        <v>303</v>
      </c>
      <c r="B24">
        <v>7.2</v>
      </c>
      <c r="C24">
        <v>3.7</v>
      </c>
      <c r="D24">
        <v>1.8</v>
      </c>
      <c r="E24">
        <v>13.8</v>
      </c>
      <c r="F24">
        <v>21.1</v>
      </c>
      <c r="G24">
        <v>28.6</v>
      </c>
      <c r="H24">
        <v>5.0999999999999996</v>
      </c>
      <c r="I24">
        <v>2.1</v>
      </c>
      <c r="J24">
        <v>1.1000000000000001</v>
      </c>
      <c r="K24">
        <v>12.3</v>
      </c>
      <c r="L24">
        <v>18.5</v>
      </c>
      <c r="M24">
        <v>25.7</v>
      </c>
    </row>
    <row r="25" spans="1:13" x14ac:dyDescent="0.25">
      <c r="A25" t="s">
        <v>304</v>
      </c>
      <c r="B25">
        <v>9.4</v>
      </c>
      <c r="C25">
        <v>2.4</v>
      </c>
      <c r="D25">
        <v>2.2000000000000002</v>
      </c>
      <c r="E25">
        <v>23.5</v>
      </c>
      <c r="F25">
        <v>33.200000000000003</v>
      </c>
      <c r="G25">
        <v>24.6</v>
      </c>
      <c r="H25">
        <v>8.1999999999999993</v>
      </c>
      <c r="I25">
        <v>1.9</v>
      </c>
      <c r="J25">
        <v>1</v>
      </c>
      <c r="K25">
        <v>22.7</v>
      </c>
      <c r="L25">
        <v>30.2</v>
      </c>
      <c r="M25">
        <v>20.9</v>
      </c>
    </row>
    <row r="26" spans="1:13" x14ac:dyDescent="0.25">
      <c r="A26" t="s">
        <v>305</v>
      </c>
      <c r="B26">
        <v>4.2</v>
      </c>
      <c r="C26">
        <v>2.1</v>
      </c>
      <c r="D26">
        <v>1.2</v>
      </c>
      <c r="E26">
        <v>14.9</v>
      </c>
      <c r="F26">
        <v>12.8</v>
      </c>
      <c r="G26">
        <v>17</v>
      </c>
      <c r="H26">
        <v>2.9</v>
      </c>
      <c r="I26">
        <v>0.9</v>
      </c>
      <c r="J26">
        <v>0.8</v>
      </c>
      <c r="K26">
        <v>13.6</v>
      </c>
      <c r="L26">
        <v>10.7</v>
      </c>
      <c r="M26">
        <v>14</v>
      </c>
    </row>
    <row r="27" spans="1:13" x14ac:dyDescent="0.25">
      <c r="A27" t="s">
        <v>306</v>
      </c>
      <c r="B27">
        <v>8.5</v>
      </c>
      <c r="C27">
        <v>3.7</v>
      </c>
      <c r="D27">
        <v>1.9</v>
      </c>
      <c r="E27">
        <v>8.5</v>
      </c>
      <c r="F27">
        <v>17.3</v>
      </c>
      <c r="G27">
        <v>17.2</v>
      </c>
      <c r="H27">
        <v>5.9</v>
      </c>
      <c r="I27">
        <v>2.2000000000000002</v>
      </c>
      <c r="J27">
        <v>1.2</v>
      </c>
      <c r="K27">
        <v>7.3</v>
      </c>
      <c r="L27">
        <v>14.5</v>
      </c>
      <c r="M27">
        <v>14.9</v>
      </c>
    </row>
    <row r="28" spans="1:13" x14ac:dyDescent="0.25">
      <c r="A28" t="s">
        <v>307</v>
      </c>
      <c r="B28">
        <v>6.1</v>
      </c>
      <c r="C28">
        <v>3.4</v>
      </c>
      <c r="D28">
        <v>1.4</v>
      </c>
      <c r="E28">
        <v>14.6</v>
      </c>
      <c r="F28">
        <v>21.3</v>
      </c>
      <c r="G28">
        <v>31.3</v>
      </c>
      <c r="H28">
        <v>4.7</v>
      </c>
      <c r="I28">
        <v>2</v>
      </c>
      <c r="J28">
        <v>1</v>
      </c>
      <c r="K28">
        <v>13.4</v>
      </c>
      <c r="L28">
        <v>18.899999999999999</v>
      </c>
      <c r="M28">
        <v>29.1</v>
      </c>
    </row>
    <row r="29" spans="1:13" x14ac:dyDescent="0.25">
      <c r="A29" t="s">
        <v>266</v>
      </c>
      <c r="B29">
        <v>6.4</v>
      </c>
      <c r="C29">
        <v>2.7</v>
      </c>
      <c r="D29">
        <v>1.5</v>
      </c>
      <c r="E29">
        <v>13.2</v>
      </c>
      <c r="F29">
        <v>19.3</v>
      </c>
      <c r="G29">
        <v>20.3</v>
      </c>
      <c r="H29">
        <v>4.7</v>
      </c>
      <c r="I29">
        <v>1.6</v>
      </c>
      <c r="J29">
        <v>1</v>
      </c>
      <c r="K29">
        <v>11.9</v>
      </c>
      <c r="L29">
        <v>16.7</v>
      </c>
      <c r="M29">
        <v>17.600000000000001</v>
      </c>
    </row>
    <row r="30" spans="1:13" x14ac:dyDescent="0.25">
      <c r="A30" t="s">
        <v>459</v>
      </c>
      <c r="B30">
        <v>4.8</v>
      </c>
      <c r="C30">
        <v>3.3</v>
      </c>
      <c r="D30">
        <v>1.7</v>
      </c>
      <c r="E30">
        <v>10.4</v>
      </c>
      <c r="F30">
        <v>17.899999999999999</v>
      </c>
      <c r="G30">
        <v>20</v>
      </c>
      <c r="H30">
        <v>3.4</v>
      </c>
      <c r="I30">
        <v>2.1</v>
      </c>
      <c r="J30">
        <v>1.1000000000000001</v>
      </c>
      <c r="K30">
        <v>8.9</v>
      </c>
      <c r="L30">
        <v>15</v>
      </c>
      <c r="M30">
        <v>17.100000000000001</v>
      </c>
    </row>
    <row r="31" spans="1:13" x14ac:dyDescent="0.25">
      <c r="A31" t="s">
        <v>460</v>
      </c>
      <c r="B31">
        <v>6.7</v>
      </c>
      <c r="C31">
        <v>2.6</v>
      </c>
      <c r="D31">
        <v>1.5</v>
      </c>
      <c r="E31">
        <v>13.7</v>
      </c>
      <c r="F31">
        <v>19.600000000000001</v>
      </c>
      <c r="G31">
        <v>20.399999999999999</v>
      </c>
      <c r="H31">
        <v>5</v>
      </c>
      <c r="I31">
        <v>1.5</v>
      </c>
      <c r="J31">
        <v>1</v>
      </c>
      <c r="K31">
        <v>12.5</v>
      </c>
      <c r="L31">
        <v>17.100000000000001</v>
      </c>
      <c r="M31">
        <v>17.8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7030A0"/>
  </sheetPr>
  <dimension ref="A1:M30"/>
  <sheetViews>
    <sheetView workbookViewId="0"/>
  </sheetViews>
  <sheetFormatPr defaultRowHeight="15" x14ac:dyDescent="0.25"/>
  <cols>
    <col min="1" max="1" width="25.28515625" customWidth="1"/>
    <col min="2" max="2" width="12.140625" customWidth="1"/>
    <col min="4" max="4" width="12.42578125" customWidth="1"/>
    <col min="5" max="5" width="12.140625" customWidth="1"/>
    <col min="8" max="8" width="12.42578125" customWidth="1"/>
    <col min="9" max="9" width="12.140625" customWidth="1"/>
    <col min="12" max="12" width="12.42578125" customWidth="1"/>
    <col min="13" max="13" width="12.140625" customWidth="1"/>
  </cols>
  <sheetData>
    <row r="1" spans="1:13" x14ac:dyDescent="0.25">
      <c r="A1" s="29" t="s">
        <v>709</v>
      </c>
      <c r="B1" s="29" t="s">
        <v>569</v>
      </c>
      <c r="C1" s="29"/>
      <c r="D1" s="29"/>
      <c r="E1" s="29" t="s">
        <v>570</v>
      </c>
      <c r="F1" s="29"/>
      <c r="G1" s="29"/>
      <c r="H1" s="29" t="s">
        <v>571</v>
      </c>
      <c r="I1" s="29"/>
      <c r="J1" s="29"/>
      <c r="K1" s="29" t="s">
        <v>572</v>
      </c>
      <c r="L1" s="29"/>
      <c r="M1" s="29"/>
    </row>
    <row r="2" spans="1:13" x14ac:dyDescent="0.25">
      <c r="A2" s="29"/>
      <c r="B2" t="s">
        <v>346</v>
      </c>
      <c r="C2" t="s">
        <v>480</v>
      </c>
      <c r="D2" t="s">
        <v>481</v>
      </c>
      <c r="E2" t="s">
        <v>346</v>
      </c>
      <c r="F2" t="s">
        <v>480</v>
      </c>
      <c r="G2" t="s">
        <v>481</v>
      </c>
      <c r="H2" t="s">
        <v>346</v>
      </c>
      <c r="I2" t="s">
        <v>480</v>
      </c>
      <c r="J2" t="s">
        <v>481</v>
      </c>
      <c r="K2" t="s">
        <v>346</v>
      </c>
      <c r="L2" t="s">
        <v>480</v>
      </c>
      <c r="M2" t="s">
        <v>481</v>
      </c>
    </row>
    <row r="3" spans="1:13" x14ac:dyDescent="0.25">
      <c r="A3" t="s">
        <v>283</v>
      </c>
      <c r="B3">
        <v>93.8</v>
      </c>
      <c r="C3">
        <v>47.9</v>
      </c>
      <c r="D3">
        <v>21.5</v>
      </c>
      <c r="E3">
        <v>83.2</v>
      </c>
      <c r="F3">
        <v>39.299999999999997</v>
      </c>
      <c r="G3">
        <v>18.2</v>
      </c>
      <c r="H3">
        <v>93.3</v>
      </c>
      <c r="I3">
        <v>52.9</v>
      </c>
      <c r="J3">
        <v>25.3</v>
      </c>
      <c r="K3">
        <v>83.8</v>
      </c>
      <c r="L3">
        <v>44.7</v>
      </c>
      <c r="M3">
        <v>22.1</v>
      </c>
    </row>
    <row r="4" spans="1:13" x14ac:dyDescent="0.25">
      <c r="A4" t="s">
        <v>284</v>
      </c>
      <c r="B4">
        <v>107.8</v>
      </c>
      <c r="C4">
        <v>49.6</v>
      </c>
      <c r="D4">
        <v>21.9</v>
      </c>
      <c r="E4">
        <v>93.7</v>
      </c>
      <c r="F4">
        <v>39.200000000000003</v>
      </c>
      <c r="G4">
        <v>17.100000000000001</v>
      </c>
      <c r="H4">
        <v>106.6</v>
      </c>
      <c r="I4">
        <v>54.6</v>
      </c>
      <c r="J4">
        <v>25.5</v>
      </c>
      <c r="K4">
        <v>94.4</v>
      </c>
      <c r="L4">
        <v>44.3</v>
      </c>
      <c r="M4">
        <v>20.3</v>
      </c>
    </row>
    <row r="5" spans="1:13" x14ac:dyDescent="0.25">
      <c r="A5" t="s">
        <v>285</v>
      </c>
      <c r="B5">
        <v>115.3</v>
      </c>
      <c r="C5">
        <v>61.8</v>
      </c>
      <c r="D5">
        <v>33.200000000000003</v>
      </c>
      <c r="E5">
        <v>98</v>
      </c>
      <c r="F5">
        <v>51</v>
      </c>
      <c r="G5">
        <v>28</v>
      </c>
      <c r="H5">
        <v>112.6</v>
      </c>
      <c r="I5">
        <v>69</v>
      </c>
      <c r="J5">
        <v>40</v>
      </c>
      <c r="K5">
        <v>96.5</v>
      </c>
      <c r="L5">
        <v>58.3</v>
      </c>
      <c r="M5">
        <v>34.6</v>
      </c>
    </row>
    <row r="6" spans="1:13" x14ac:dyDescent="0.25">
      <c r="A6" t="s">
        <v>286</v>
      </c>
      <c r="B6">
        <v>99.6</v>
      </c>
      <c r="C6">
        <v>58.6</v>
      </c>
      <c r="D6">
        <v>29.9</v>
      </c>
      <c r="E6">
        <v>90.5</v>
      </c>
      <c r="F6">
        <v>48</v>
      </c>
      <c r="G6">
        <v>24.3</v>
      </c>
      <c r="H6">
        <v>99.3</v>
      </c>
      <c r="I6">
        <v>65.599999999999994</v>
      </c>
      <c r="J6">
        <v>35.6</v>
      </c>
      <c r="K6">
        <v>91.2</v>
      </c>
      <c r="L6">
        <v>55.3</v>
      </c>
      <c r="M6">
        <v>29.9</v>
      </c>
    </row>
    <row r="7" spans="1:13" x14ac:dyDescent="0.25">
      <c r="A7" t="s">
        <v>287</v>
      </c>
      <c r="B7">
        <v>97.9</v>
      </c>
      <c r="C7">
        <v>54.8</v>
      </c>
      <c r="D7">
        <v>25</v>
      </c>
      <c r="E7">
        <v>87.8</v>
      </c>
      <c r="F7">
        <v>45.5</v>
      </c>
      <c r="G7">
        <v>20.8</v>
      </c>
      <c r="H7">
        <v>96.4</v>
      </c>
      <c r="I7">
        <v>59.3</v>
      </c>
      <c r="J7">
        <v>28.3</v>
      </c>
      <c r="K7">
        <v>87.2</v>
      </c>
      <c r="L7">
        <v>50.8</v>
      </c>
      <c r="M7">
        <v>24.3</v>
      </c>
    </row>
    <row r="8" spans="1:13" x14ac:dyDescent="0.25">
      <c r="A8" t="s">
        <v>288</v>
      </c>
      <c r="B8">
        <v>104.6</v>
      </c>
      <c r="C8">
        <v>57.4</v>
      </c>
      <c r="D8">
        <v>28.5</v>
      </c>
      <c r="E8">
        <v>90.3</v>
      </c>
      <c r="F8">
        <v>44.5</v>
      </c>
      <c r="G8">
        <v>22.1</v>
      </c>
      <c r="H8">
        <v>105.3</v>
      </c>
      <c r="I8">
        <v>64.5</v>
      </c>
      <c r="J8">
        <v>34.299999999999997</v>
      </c>
      <c r="K8">
        <v>92.1</v>
      </c>
      <c r="L8">
        <v>51.8</v>
      </c>
      <c r="M8">
        <v>27.4</v>
      </c>
    </row>
    <row r="9" spans="1:13" x14ac:dyDescent="0.25">
      <c r="A9" t="s">
        <v>289</v>
      </c>
      <c r="B9">
        <v>90.7</v>
      </c>
      <c r="C9">
        <v>55.3</v>
      </c>
      <c r="D9">
        <v>31.7</v>
      </c>
      <c r="E9">
        <v>81.599999999999994</v>
      </c>
      <c r="F9">
        <v>45</v>
      </c>
      <c r="G9">
        <v>25.4</v>
      </c>
      <c r="H9">
        <v>89.1</v>
      </c>
      <c r="I9">
        <v>59.6</v>
      </c>
      <c r="J9">
        <v>35.299999999999997</v>
      </c>
      <c r="K9">
        <v>81.2</v>
      </c>
      <c r="L9">
        <v>50.3</v>
      </c>
      <c r="M9">
        <v>29.2</v>
      </c>
    </row>
    <row r="10" spans="1:13" x14ac:dyDescent="0.25">
      <c r="A10" t="s">
        <v>290</v>
      </c>
      <c r="B10">
        <v>112.4</v>
      </c>
      <c r="C10">
        <v>60.7</v>
      </c>
      <c r="D10">
        <v>31.4</v>
      </c>
      <c r="E10">
        <v>99.9</v>
      </c>
      <c r="F10">
        <v>50.8</v>
      </c>
      <c r="G10">
        <v>25.8</v>
      </c>
      <c r="H10">
        <v>109.9</v>
      </c>
      <c r="I10">
        <v>66.099999999999994</v>
      </c>
      <c r="J10">
        <v>36.700000000000003</v>
      </c>
      <c r="K10">
        <v>99.9</v>
      </c>
      <c r="L10">
        <v>56.9</v>
      </c>
      <c r="M10">
        <v>31.6</v>
      </c>
    </row>
    <row r="11" spans="1:13" x14ac:dyDescent="0.25">
      <c r="A11" t="s">
        <v>291</v>
      </c>
      <c r="B11">
        <v>70.7</v>
      </c>
      <c r="C11">
        <v>34.6</v>
      </c>
      <c r="D11">
        <v>23.8</v>
      </c>
      <c r="E11">
        <v>63.5</v>
      </c>
      <c r="F11">
        <v>29</v>
      </c>
      <c r="G11">
        <v>19</v>
      </c>
      <c r="H11">
        <v>72.7</v>
      </c>
      <c r="I11">
        <v>37.700000000000003</v>
      </c>
      <c r="J11">
        <v>26.1</v>
      </c>
      <c r="K11">
        <v>66.3</v>
      </c>
      <c r="L11">
        <v>32.200000000000003</v>
      </c>
      <c r="M11">
        <v>21.8</v>
      </c>
    </row>
    <row r="12" spans="1:13" x14ac:dyDescent="0.25">
      <c r="A12" t="s">
        <v>292</v>
      </c>
      <c r="B12">
        <v>77.099999999999994</v>
      </c>
      <c r="C12">
        <v>43</v>
      </c>
      <c r="D12">
        <v>21.5</v>
      </c>
      <c r="E12">
        <v>63</v>
      </c>
      <c r="F12">
        <v>30.8</v>
      </c>
      <c r="G12">
        <v>16.5</v>
      </c>
      <c r="H12">
        <v>76.8</v>
      </c>
      <c r="I12">
        <v>45.2</v>
      </c>
      <c r="J12">
        <v>22</v>
      </c>
      <c r="K12">
        <v>63.7</v>
      </c>
      <c r="L12">
        <v>34.299999999999997</v>
      </c>
      <c r="M12">
        <v>18.3</v>
      </c>
    </row>
    <row r="13" spans="1:13" x14ac:dyDescent="0.25">
      <c r="A13" t="s">
        <v>293</v>
      </c>
      <c r="B13">
        <v>112.8</v>
      </c>
      <c r="C13">
        <v>44.6</v>
      </c>
      <c r="D13">
        <v>21.5</v>
      </c>
      <c r="E13">
        <v>96.4</v>
      </c>
      <c r="F13">
        <v>35.200000000000003</v>
      </c>
      <c r="G13">
        <v>17.7</v>
      </c>
      <c r="H13">
        <v>110.3</v>
      </c>
      <c r="I13">
        <v>48.6</v>
      </c>
      <c r="J13">
        <v>24.8</v>
      </c>
      <c r="K13">
        <v>95.3</v>
      </c>
      <c r="L13">
        <v>39.700000000000003</v>
      </c>
      <c r="M13">
        <v>21.2</v>
      </c>
    </row>
    <row r="14" spans="1:13" x14ac:dyDescent="0.25">
      <c r="A14" t="s">
        <v>294</v>
      </c>
      <c r="B14">
        <v>107.5</v>
      </c>
      <c r="C14">
        <v>49.4</v>
      </c>
      <c r="D14">
        <v>23.5</v>
      </c>
      <c r="E14">
        <v>85.2</v>
      </c>
      <c r="F14">
        <v>31.7</v>
      </c>
      <c r="G14">
        <v>15.6</v>
      </c>
      <c r="H14">
        <v>109.4</v>
      </c>
      <c r="I14">
        <v>52.9</v>
      </c>
      <c r="J14">
        <v>26.4</v>
      </c>
      <c r="K14">
        <v>88.7</v>
      </c>
      <c r="L14">
        <v>35.700000000000003</v>
      </c>
      <c r="M14">
        <v>18.7</v>
      </c>
    </row>
    <row r="15" spans="1:13" x14ac:dyDescent="0.25">
      <c r="A15" t="s">
        <v>295</v>
      </c>
      <c r="B15">
        <v>94.5</v>
      </c>
      <c r="C15">
        <v>46.5</v>
      </c>
      <c r="D15">
        <v>21.1</v>
      </c>
      <c r="E15">
        <v>80.3</v>
      </c>
      <c r="F15">
        <v>35</v>
      </c>
      <c r="G15">
        <v>15.7</v>
      </c>
      <c r="H15">
        <v>93.3</v>
      </c>
      <c r="I15">
        <v>49.8</v>
      </c>
      <c r="J15">
        <v>23.2</v>
      </c>
      <c r="K15">
        <v>80.599999999999994</v>
      </c>
      <c r="L15">
        <v>39.6</v>
      </c>
      <c r="M15">
        <v>18.100000000000001</v>
      </c>
    </row>
    <row r="16" spans="1:13" x14ac:dyDescent="0.25">
      <c r="A16" t="s">
        <v>296</v>
      </c>
      <c r="B16">
        <v>74</v>
      </c>
      <c r="C16">
        <v>42.5</v>
      </c>
      <c r="D16">
        <v>16.2</v>
      </c>
      <c r="E16">
        <v>63.4</v>
      </c>
      <c r="F16">
        <v>33.9</v>
      </c>
      <c r="G16">
        <v>12.8</v>
      </c>
      <c r="H16">
        <v>73.2</v>
      </c>
      <c r="I16">
        <v>46.3</v>
      </c>
      <c r="J16">
        <v>18.399999999999999</v>
      </c>
      <c r="K16">
        <v>64</v>
      </c>
      <c r="L16">
        <v>38.799999999999997</v>
      </c>
      <c r="M16">
        <v>15.4</v>
      </c>
    </row>
    <row r="17" spans="1:13" x14ac:dyDescent="0.25">
      <c r="A17" t="s">
        <v>297</v>
      </c>
      <c r="B17">
        <v>88</v>
      </c>
      <c r="C17">
        <v>57.2</v>
      </c>
      <c r="D17">
        <v>32.799999999999997</v>
      </c>
      <c r="E17">
        <v>80.3</v>
      </c>
      <c r="F17">
        <v>48.4</v>
      </c>
      <c r="G17">
        <v>27.3</v>
      </c>
      <c r="H17">
        <v>88.2</v>
      </c>
      <c r="I17">
        <v>58.2</v>
      </c>
      <c r="J17">
        <v>31.7</v>
      </c>
      <c r="K17">
        <v>81.7</v>
      </c>
      <c r="L17">
        <v>50.9</v>
      </c>
      <c r="M17">
        <v>27.3</v>
      </c>
    </row>
    <row r="18" spans="1:13" x14ac:dyDescent="0.25">
      <c r="A18" t="s">
        <v>298</v>
      </c>
      <c r="B18">
        <v>82.6</v>
      </c>
      <c r="C18">
        <v>42.5</v>
      </c>
      <c r="D18">
        <v>19.100000000000001</v>
      </c>
      <c r="E18">
        <v>71.5</v>
      </c>
      <c r="F18">
        <v>34.5</v>
      </c>
      <c r="G18">
        <v>14.7</v>
      </c>
      <c r="H18">
        <v>83.8</v>
      </c>
      <c r="I18">
        <v>44.2</v>
      </c>
      <c r="J18">
        <v>21</v>
      </c>
      <c r="K18">
        <v>73.8</v>
      </c>
      <c r="L18">
        <v>37.4</v>
      </c>
      <c r="M18">
        <v>16.899999999999999</v>
      </c>
    </row>
    <row r="19" spans="1:13" x14ac:dyDescent="0.25">
      <c r="A19" t="s">
        <v>299</v>
      </c>
      <c r="B19">
        <v>121.5</v>
      </c>
      <c r="C19">
        <v>63.9</v>
      </c>
      <c r="D19">
        <v>31.5</v>
      </c>
      <c r="E19">
        <v>89.4</v>
      </c>
      <c r="F19">
        <v>46.7</v>
      </c>
      <c r="G19">
        <v>24.1</v>
      </c>
      <c r="H19">
        <v>120.4</v>
      </c>
      <c r="I19">
        <v>72</v>
      </c>
      <c r="J19">
        <v>35.200000000000003</v>
      </c>
      <c r="K19">
        <v>89.6</v>
      </c>
      <c r="L19">
        <v>54.3</v>
      </c>
      <c r="M19">
        <v>28.1</v>
      </c>
    </row>
    <row r="20" spans="1:13" x14ac:dyDescent="0.25">
      <c r="A20" t="s">
        <v>300</v>
      </c>
      <c r="B20">
        <v>113.4</v>
      </c>
      <c r="C20">
        <v>63.5</v>
      </c>
      <c r="D20">
        <v>32</v>
      </c>
      <c r="E20">
        <v>98.6</v>
      </c>
      <c r="F20">
        <v>52.6</v>
      </c>
      <c r="G20">
        <v>26</v>
      </c>
      <c r="H20">
        <v>109.3</v>
      </c>
      <c r="I20">
        <v>69.5</v>
      </c>
      <c r="J20">
        <v>37.6</v>
      </c>
      <c r="K20">
        <v>97.5</v>
      </c>
      <c r="L20">
        <v>59</v>
      </c>
      <c r="M20">
        <v>31.5</v>
      </c>
    </row>
    <row r="21" spans="1:13" x14ac:dyDescent="0.25">
      <c r="A21" t="s">
        <v>301</v>
      </c>
      <c r="B21">
        <v>114.9</v>
      </c>
      <c r="C21">
        <v>55.3</v>
      </c>
      <c r="D21">
        <v>26.6</v>
      </c>
      <c r="E21">
        <v>97.6</v>
      </c>
      <c r="F21">
        <v>42.9</v>
      </c>
      <c r="G21">
        <v>20.2</v>
      </c>
      <c r="H21">
        <v>116.5</v>
      </c>
      <c r="I21">
        <v>60.6</v>
      </c>
      <c r="J21">
        <v>30.3</v>
      </c>
      <c r="K21">
        <v>99</v>
      </c>
      <c r="L21">
        <v>48.7</v>
      </c>
      <c r="M21">
        <v>23.8</v>
      </c>
    </row>
    <row r="22" spans="1:13" x14ac:dyDescent="0.25">
      <c r="A22" t="s">
        <v>302</v>
      </c>
      <c r="B22">
        <v>136.69999999999999</v>
      </c>
      <c r="C22">
        <v>55.3</v>
      </c>
      <c r="D22">
        <v>26.6</v>
      </c>
      <c r="E22">
        <v>98.7</v>
      </c>
      <c r="F22">
        <v>29.9</v>
      </c>
      <c r="G22">
        <v>16.7</v>
      </c>
      <c r="H22">
        <v>134.4</v>
      </c>
      <c r="I22">
        <v>57.8</v>
      </c>
      <c r="J22">
        <v>26.2</v>
      </c>
      <c r="K22">
        <v>98</v>
      </c>
      <c r="L22">
        <v>33.9</v>
      </c>
      <c r="M22">
        <v>18.2</v>
      </c>
    </row>
    <row r="23" spans="1:13" x14ac:dyDescent="0.25">
      <c r="A23" t="s">
        <v>303</v>
      </c>
      <c r="B23">
        <v>108.2</v>
      </c>
      <c r="C23">
        <v>61.6</v>
      </c>
      <c r="D23">
        <v>32.799999999999997</v>
      </c>
      <c r="E23">
        <v>93.3</v>
      </c>
      <c r="F23">
        <v>48.6</v>
      </c>
      <c r="G23">
        <v>23.4</v>
      </c>
      <c r="H23">
        <v>108.9</v>
      </c>
      <c r="I23">
        <v>68.7</v>
      </c>
      <c r="J23">
        <v>39.5</v>
      </c>
      <c r="K23">
        <v>95.5</v>
      </c>
      <c r="L23">
        <v>56</v>
      </c>
      <c r="M23">
        <v>29.4</v>
      </c>
    </row>
    <row r="24" spans="1:13" x14ac:dyDescent="0.25">
      <c r="A24" t="s">
        <v>304</v>
      </c>
      <c r="B24">
        <v>130.30000000000001</v>
      </c>
      <c r="C24">
        <v>48.8</v>
      </c>
      <c r="D24">
        <v>21.9</v>
      </c>
      <c r="E24">
        <v>99.8</v>
      </c>
      <c r="F24">
        <v>32.6</v>
      </c>
      <c r="G24">
        <v>16.5</v>
      </c>
      <c r="H24">
        <v>129.4</v>
      </c>
      <c r="I24">
        <v>52.1</v>
      </c>
      <c r="J24">
        <v>23.2</v>
      </c>
      <c r="K24">
        <v>100</v>
      </c>
      <c r="L24">
        <v>36.4</v>
      </c>
      <c r="M24">
        <v>18.3</v>
      </c>
    </row>
    <row r="25" spans="1:13" x14ac:dyDescent="0.25">
      <c r="A25" t="s">
        <v>305</v>
      </c>
      <c r="B25">
        <v>117</v>
      </c>
      <c r="C25">
        <v>68.5</v>
      </c>
      <c r="D25">
        <v>34.299999999999997</v>
      </c>
      <c r="E25">
        <v>99.6</v>
      </c>
      <c r="F25">
        <v>59.7</v>
      </c>
      <c r="G25">
        <v>28.4</v>
      </c>
      <c r="H25">
        <v>115.2</v>
      </c>
      <c r="I25">
        <v>73.599999999999994</v>
      </c>
      <c r="J25">
        <v>39.4</v>
      </c>
      <c r="K25">
        <v>99.5</v>
      </c>
      <c r="L25">
        <v>65.8</v>
      </c>
      <c r="M25">
        <v>33.9</v>
      </c>
    </row>
    <row r="26" spans="1:13" x14ac:dyDescent="0.25">
      <c r="A26" t="s">
        <v>306</v>
      </c>
      <c r="B26">
        <v>98.2</v>
      </c>
      <c r="C26">
        <v>64.599999999999994</v>
      </c>
      <c r="D26">
        <v>40.1</v>
      </c>
      <c r="E26">
        <v>89.8</v>
      </c>
      <c r="F26">
        <v>53.5</v>
      </c>
      <c r="G26">
        <v>33.200000000000003</v>
      </c>
      <c r="H26">
        <v>96.7</v>
      </c>
      <c r="I26">
        <v>68.900000000000006</v>
      </c>
      <c r="J26">
        <v>46.1</v>
      </c>
      <c r="K26">
        <v>89.7</v>
      </c>
      <c r="L26">
        <v>58.9</v>
      </c>
      <c r="M26">
        <v>39.299999999999997</v>
      </c>
    </row>
    <row r="27" spans="1:13" x14ac:dyDescent="0.25">
      <c r="A27" t="s">
        <v>307</v>
      </c>
      <c r="B27">
        <v>115.6</v>
      </c>
      <c r="C27">
        <v>53.9</v>
      </c>
      <c r="D27">
        <v>23.7</v>
      </c>
      <c r="E27">
        <v>98.7</v>
      </c>
      <c r="F27">
        <v>42.4</v>
      </c>
      <c r="G27">
        <v>16.3</v>
      </c>
      <c r="H27">
        <v>114.6</v>
      </c>
      <c r="I27">
        <v>60.4</v>
      </c>
      <c r="J27">
        <v>28.9</v>
      </c>
      <c r="K27">
        <v>99.3</v>
      </c>
      <c r="L27">
        <v>49</v>
      </c>
      <c r="M27">
        <v>20.5</v>
      </c>
    </row>
    <row r="28" spans="1:13" x14ac:dyDescent="0.25">
      <c r="A28" t="s">
        <v>266</v>
      </c>
      <c r="B28">
        <v>104.8</v>
      </c>
      <c r="C28">
        <v>56.6</v>
      </c>
      <c r="D28">
        <v>28.9</v>
      </c>
      <c r="E28">
        <v>91</v>
      </c>
      <c r="F28">
        <v>45.7</v>
      </c>
      <c r="G28">
        <v>23</v>
      </c>
      <c r="H28">
        <v>103.8</v>
      </c>
      <c r="I28">
        <v>61.6</v>
      </c>
      <c r="J28">
        <v>32.9</v>
      </c>
      <c r="K28">
        <v>91.4</v>
      </c>
      <c r="L28">
        <v>51.3</v>
      </c>
      <c r="M28">
        <v>27.1</v>
      </c>
    </row>
    <row r="29" spans="1:13" x14ac:dyDescent="0.25">
      <c r="A29" t="s">
        <v>459</v>
      </c>
      <c r="B29">
        <v>86.2</v>
      </c>
      <c r="C29">
        <v>55.7</v>
      </c>
      <c r="D29">
        <v>38.6</v>
      </c>
      <c r="E29">
        <v>77.2</v>
      </c>
      <c r="F29">
        <v>45.8</v>
      </c>
      <c r="G29">
        <v>30.9</v>
      </c>
      <c r="H29">
        <v>86</v>
      </c>
      <c r="I29">
        <v>58.5</v>
      </c>
      <c r="J29">
        <v>41</v>
      </c>
      <c r="K29">
        <v>78.3</v>
      </c>
      <c r="L29">
        <v>49.8</v>
      </c>
      <c r="M29">
        <v>34</v>
      </c>
    </row>
    <row r="30" spans="1:13" x14ac:dyDescent="0.25">
      <c r="A30" t="s">
        <v>460</v>
      </c>
      <c r="B30">
        <v>109.5</v>
      </c>
      <c r="C30">
        <v>56.9</v>
      </c>
      <c r="D30">
        <v>26.2</v>
      </c>
      <c r="E30">
        <v>94.5</v>
      </c>
      <c r="F30">
        <v>45.7</v>
      </c>
      <c r="G30">
        <v>20.8</v>
      </c>
      <c r="H30">
        <v>108.2</v>
      </c>
      <c r="I30">
        <v>62.4</v>
      </c>
      <c r="J30">
        <v>30.5</v>
      </c>
      <c r="K30">
        <v>94.7</v>
      </c>
      <c r="L30">
        <v>51.7</v>
      </c>
      <c r="M30">
        <v>25.1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7030A0"/>
  </sheetPr>
  <dimension ref="A1:L32"/>
  <sheetViews>
    <sheetView workbookViewId="0"/>
  </sheetViews>
  <sheetFormatPr defaultRowHeight="15" x14ac:dyDescent="0.25"/>
  <cols>
    <col min="1" max="1" width="28" customWidth="1"/>
    <col min="2" max="2" width="14.140625" customWidth="1"/>
    <col min="3" max="3" width="14" customWidth="1"/>
    <col min="4" max="4" width="14.140625" customWidth="1"/>
    <col min="5" max="5" width="14" customWidth="1"/>
    <col min="6" max="6" width="14.140625" customWidth="1"/>
    <col min="7" max="7" width="14" customWidth="1"/>
    <col min="8" max="8" width="14.140625" customWidth="1"/>
    <col min="9" max="9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29" t="s">
        <v>573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238.1</v>
      </c>
      <c r="C5">
        <v>7.2</v>
      </c>
      <c r="D5">
        <v>8.5</v>
      </c>
      <c r="E5">
        <v>2.1</v>
      </c>
      <c r="F5">
        <v>8.4</v>
      </c>
      <c r="G5">
        <v>5.7</v>
      </c>
      <c r="H5">
        <v>7.9</v>
      </c>
      <c r="I5">
        <v>64.7</v>
      </c>
      <c r="J5">
        <v>2.5</v>
      </c>
      <c r="K5">
        <v>74.8</v>
      </c>
      <c r="L5">
        <v>26.2</v>
      </c>
    </row>
    <row r="6" spans="1:12" x14ac:dyDescent="0.25">
      <c r="A6" t="s">
        <v>284</v>
      </c>
      <c r="B6">
        <v>261.10000000000002</v>
      </c>
      <c r="C6">
        <v>5.6</v>
      </c>
      <c r="D6">
        <v>7.4</v>
      </c>
      <c r="E6">
        <v>2.1</v>
      </c>
      <c r="F6">
        <v>8.3000000000000007</v>
      </c>
      <c r="G6">
        <v>5.5</v>
      </c>
      <c r="H6">
        <v>8.5</v>
      </c>
      <c r="I6">
        <v>85.4</v>
      </c>
      <c r="J6">
        <v>5.2</v>
      </c>
      <c r="K6">
        <v>73.7</v>
      </c>
      <c r="L6">
        <v>17.3</v>
      </c>
    </row>
    <row r="7" spans="1:12" x14ac:dyDescent="0.25">
      <c r="A7" t="s">
        <v>285</v>
      </c>
      <c r="B7">
        <v>340.4</v>
      </c>
      <c r="C7">
        <v>6.2</v>
      </c>
      <c r="D7">
        <v>8.8000000000000007</v>
      </c>
      <c r="E7">
        <v>2.6</v>
      </c>
      <c r="F7">
        <v>10.7</v>
      </c>
      <c r="G7">
        <v>7.1</v>
      </c>
      <c r="H7">
        <v>9.4</v>
      </c>
      <c r="I7">
        <v>71.400000000000006</v>
      </c>
      <c r="J7">
        <v>20.3</v>
      </c>
      <c r="K7">
        <v>56.5</v>
      </c>
      <c r="L7">
        <v>25.2</v>
      </c>
    </row>
    <row r="8" spans="1:12" x14ac:dyDescent="0.25">
      <c r="A8" t="s">
        <v>286</v>
      </c>
      <c r="B8">
        <v>262.39999999999998</v>
      </c>
      <c r="C8">
        <v>6.5</v>
      </c>
      <c r="D8">
        <v>7.9</v>
      </c>
      <c r="E8">
        <v>2.1</v>
      </c>
      <c r="F8">
        <v>8.1999999999999993</v>
      </c>
      <c r="G8">
        <v>5.4</v>
      </c>
      <c r="H8">
        <v>7.9</v>
      </c>
      <c r="I8">
        <v>62.4</v>
      </c>
      <c r="J8">
        <v>9.3000000000000007</v>
      </c>
      <c r="K8">
        <v>67.7</v>
      </c>
      <c r="L8">
        <v>25.8</v>
      </c>
    </row>
    <row r="9" spans="1:12" x14ac:dyDescent="0.25">
      <c r="A9" t="s">
        <v>287</v>
      </c>
      <c r="B9">
        <v>345.2</v>
      </c>
      <c r="C9">
        <v>6.9</v>
      </c>
      <c r="D9">
        <v>8.5</v>
      </c>
      <c r="E9">
        <v>2.5</v>
      </c>
      <c r="F9">
        <v>10.199999999999999</v>
      </c>
      <c r="G9">
        <v>6.9</v>
      </c>
      <c r="H9">
        <v>9.1</v>
      </c>
      <c r="I9">
        <v>66.599999999999994</v>
      </c>
      <c r="J9">
        <v>9.1999999999999993</v>
      </c>
      <c r="K9">
        <v>65.900000000000006</v>
      </c>
      <c r="L9">
        <v>26.1</v>
      </c>
    </row>
    <row r="10" spans="1:12" x14ac:dyDescent="0.25">
      <c r="A10" t="s">
        <v>288</v>
      </c>
      <c r="B10">
        <v>203.8</v>
      </c>
      <c r="C10">
        <v>4.9000000000000004</v>
      </c>
      <c r="D10">
        <v>5.8</v>
      </c>
      <c r="E10">
        <v>1.9</v>
      </c>
      <c r="F10">
        <v>7.1</v>
      </c>
      <c r="G10">
        <v>5</v>
      </c>
      <c r="H10">
        <v>6.7</v>
      </c>
      <c r="I10">
        <v>59.4</v>
      </c>
      <c r="J10">
        <v>8.8000000000000007</v>
      </c>
      <c r="K10">
        <v>71.400000000000006</v>
      </c>
      <c r="L10">
        <v>25.3</v>
      </c>
    </row>
    <row r="11" spans="1:12" x14ac:dyDescent="0.25">
      <c r="A11" t="s">
        <v>289</v>
      </c>
      <c r="B11">
        <v>246.5</v>
      </c>
      <c r="C11">
        <v>7.4</v>
      </c>
      <c r="D11">
        <v>9.1</v>
      </c>
      <c r="E11">
        <v>2.2000000000000002</v>
      </c>
      <c r="F11">
        <v>9.4</v>
      </c>
      <c r="G11">
        <v>6.6</v>
      </c>
      <c r="H11">
        <v>7.8</v>
      </c>
      <c r="I11">
        <v>57.2</v>
      </c>
      <c r="J11">
        <v>49.5</v>
      </c>
      <c r="K11">
        <v>74.599999999999994</v>
      </c>
      <c r="L11">
        <v>22.8</v>
      </c>
    </row>
    <row r="12" spans="1:12" x14ac:dyDescent="0.25">
      <c r="A12" t="s">
        <v>290</v>
      </c>
      <c r="B12">
        <v>427.9</v>
      </c>
      <c r="C12">
        <v>6.5</v>
      </c>
      <c r="D12">
        <v>8.6999999999999993</v>
      </c>
      <c r="E12">
        <v>2.9</v>
      </c>
      <c r="F12">
        <v>12.1</v>
      </c>
      <c r="G12">
        <v>8.4</v>
      </c>
      <c r="H12">
        <v>11.5</v>
      </c>
      <c r="I12">
        <v>80.400000000000006</v>
      </c>
      <c r="J12">
        <v>30.6</v>
      </c>
      <c r="K12">
        <v>46.9</v>
      </c>
      <c r="L12">
        <v>24.4</v>
      </c>
    </row>
    <row r="13" spans="1:12" x14ac:dyDescent="0.25">
      <c r="A13" t="s">
        <v>291</v>
      </c>
      <c r="B13">
        <v>234.5</v>
      </c>
      <c r="C13">
        <v>9.1</v>
      </c>
      <c r="D13">
        <v>11.8</v>
      </c>
      <c r="E13">
        <v>2.7</v>
      </c>
      <c r="F13">
        <v>11</v>
      </c>
      <c r="G13">
        <v>6.8</v>
      </c>
      <c r="H13">
        <v>7.9</v>
      </c>
      <c r="I13">
        <v>40.9</v>
      </c>
      <c r="J13">
        <v>22.7</v>
      </c>
      <c r="K13">
        <v>90.9</v>
      </c>
      <c r="L13">
        <v>40.9</v>
      </c>
    </row>
    <row r="14" spans="1:12" x14ac:dyDescent="0.25">
      <c r="A14" t="s">
        <v>292</v>
      </c>
      <c r="B14">
        <v>135.5</v>
      </c>
      <c r="C14">
        <v>5.2</v>
      </c>
      <c r="D14">
        <v>6.1</v>
      </c>
      <c r="E14">
        <v>1.6</v>
      </c>
      <c r="F14">
        <v>5.8</v>
      </c>
      <c r="G14">
        <v>4.4000000000000004</v>
      </c>
      <c r="H14">
        <v>6.7</v>
      </c>
      <c r="I14">
        <v>56.2</v>
      </c>
      <c r="J14">
        <v>1.7</v>
      </c>
      <c r="K14">
        <v>78.5</v>
      </c>
      <c r="L14">
        <v>37.200000000000003</v>
      </c>
    </row>
    <row r="15" spans="1:12" x14ac:dyDescent="0.25">
      <c r="A15" t="s">
        <v>293</v>
      </c>
      <c r="B15">
        <v>221.2</v>
      </c>
      <c r="C15">
        <v>5.2</v>
      </c>
      <c r="D15">
        <v>6</v>
      </c>
      <c r="E15">
        <v>1.7</v>
      </c>
      <c r="F15">
        <v>6.4</v>
      </c>
      <c r="G15">
        <v>4.8</v>
      </c>
      <c r="H15">
        <v>7.7</v>
      </c>
      <c r="I15">
        <v>68.2</v>
      </c>
      <c r="J15">
        <v>9.4</v>
      </c>
      <c r="K15">
        <v>71</v>
      </c>
      <c r="L15">
        <v>28.7</v>
      </c>
    </row>
    <row r="16" spans="1:12" x14ac:dyDescent="0.25">
      <c r="A16" t="s">
        <v>294</v>
      </c>
      <c r="B16">
        <v>166.2</v>
      </c>
      <c r="C16">
        <v>6.5</v>
      </c>
      <c r="D16">
        <v>6.9</v>
      </c>
      <c r="E16">
        <v>2.1</v>
      </c>
      <c r="F16">
        <v>6.2</v>
      </c>
      <c r="G16">
        <v>4.9000000000000004</v>
      </c>
      <c r="H16">
        <v>7.5</v>
      </c>
      <c r="I16">
        <v>47.7</v>
      </c>
      <c r="J16">
        <v>1.1000000000000001</v>
      </c>
      <c r="K16">
        <v>85.2</v>
      </c>
      <c r="L16">
        <v>56.8</v>
      </c>
    </row>
    <row r="17" spans="1:12" x14ac:dyDescent="0.25">
      <c r="A17" t="s">
        <v>295</v>
      </c>
      <c r="B17">
        <v>170.6</v>
      </c>
      <c r="C17">
        <v>4.4000000000000004</v>
      </c>
      <c r="D17">
        <v>5.6</v>
      </c>
      <c r="E17">
        <v>1.6</v>
      </c>
      <c r="F17">
        <v>6.6</v>
      </c>
      <c r="G17">
        <v>4.8</v>
      </c>
      <c r="H17">
        <v>6.9</v>
      </c>
      <c r="I17">
        <v>39.9</v>
      </c>
      <c r="J17">
        <v>0.9</v>
      </c>
      <c r="K17">
        <v>81.2</v>
      </c>
      <c r="L17">
        <v>35.299999999999997</v>
      </c>
    </row>
    <row r="18" spans="1:12" x14ac:dyDescent="0.25">
      <c r="A18" t="s">
        <v>296</v>
      </c>
      <c r="B18">
        <v>218.5</v>
      </c>
      <c r="C18">
        <v>6.1</v>
      </c>
      <c r="D18">
        <v>6.9</v>
      </c>
      <c r="E18">
        <v>2</v>
      </c>
      <c r="F18">
        <v>8.8000000000000007</v>
      </c>
      <c r="G18">
        <v>5.5</v>
      </c>
      <c r="H18">
        <v>7.5</v>
      </c>
      <c r="I18">
        <v>52.1</v>
      </c>
      <c r="J18">
        <v>2.1</v>
      </c>
      <c r="K18">
        <v>81.3</v>
      </c>
      <c r="L18">
        <v>45.8</v>
      </c>
    </row>
    <row r="19" spans="1:12" x14ac:dyDescent="0.25">
      <c r="A19" t="s">
        <v>297</v>
      </c>
      <c r="B19">
        <v>846.9</v>
      </c>
      <c r="C19">
        <v>20.6</v>
      </c>
      <c r="D19">
        <v>23.9</v>
      </c>
      <c r="E19">
        <v>3.7</v>
      </c>
      <c r="F19">
        <v>20.5</v>
      </c>
      <c r="G19">
        <v>13.6</v>
      </c>
      <c r="H19">
        <v>20</v>
      </c>
      <c r="I19">
        <v>78.5</v>
      </c>
      <c r="J19">
        <v>28.2</v>
      </c>
      <c r="K19">
        <v>24.5</v>
      </c>
      <c r="L19">
        <v>58.9</v>
      </c>
    </row>
    <row r="20" spans="1:12" x14ac:dyDescent="0.25">
      <c r="A20" t="s">
        <v>298</v>
      </c>
      <c r="B20">
        <v>370.7</v>
      </c>
      <c r="C20">
        <v>10.9</v>
      </c>
      <c r="D20">
        <v>12.9</v>
      </c>
      <c r="E20">
        <v>0.7</v>
      </c>
      <c r="F20">
        <v>4.5999999999999996</v>
      </c>
      <c r="G20">
        <v>10.5</v>
      </c>
      <c r="H20">
        <v>11.2</v>
      </c>
      <c r="I20">
        <v>86.1</v>
      </c>
      <c r="J20">
        <v>8.3000000000000007</v>
      </c>
      <c r="K20">
        <v>88.9</v>
      </c>
      <c r="L20">
        <v>1.4</v>
      </c>
    </row>
    <row r="21" spans="1:12" x14ac:dyDescent="0.25">
      <c r="A21" t="s">
        <v>299</v>
      </c>
      <c r="B21">
        <v>164.6</v>
      </c>
      <c r="C21">
        <v>5.3</v>
      </c>
      <c r="D21">
        <v>6.3</v>
      </c>
      <c r="E21">
        <v>1.7</v>
      </c>
      <c r="F21">
        <v>6.6</v>
      </c>
      <c r="G21">
        <v>4.9000000000000004</v>
      </c>
      <c r="H21">
        <v>6.9</v>
      </c>
      <c r="I21">
        <v>18.399999999999999</v>
      </c>
      <c r="J21">
        <v>0.4</v>
      </c>
      <c r="K21">
        <v>81.099999999999994</v>
      </c>
      <c r="L21">
        <v>25.9</v>
      </c>
    </row>
    <row r="22" spans="1:12" x14ac:dyDescent="0.25">
      <c r="A22" t="s">
        <v>300</v>
      </c>
      <c r="B22">
        <v>271</v>
      </c>
      <c r="C22">
        <v>4.9000000000000004</v>
      </c>
      <c r="D22">
        <v>7.2</v>
      </c>
      <c r="E22">
        <v>2.4</v>
      </c>
      <c r="F22">
        <v>9.6</v>
      </c>
      <c r="G22">
        <v>6.5</v>
      </c>
      <c r="H22">
        <v>8.3000000000000007</v>
      </c>
      <c r="I22">
        <v>78.8</v>
      </c>
      <c r="J22">
        <v>24.5</v>
      </c>
      <c r="K22">
        <v>64</v>
      </c>
      <c r="L22">
        <v>25.2</v>
      </c>
    </row>
    <row r="23" spans="1:12" x14ac:dyDescent="0.25">
      <c r="A23" t="s">
        <v>301</v>
      </c>
      <c r="B23">
        <v>225</v>
      </c>
      <c r="C23">
        <v>5</v>
      </c>
      <c r="D23">
        <v>6.5</v>
      </c>
      <c r="E23">
        <v>2</v>
      </c>
      <c r="F23">
        <v>7.3</v>
      </c>
      <c r="G23">
        <v>5.2</v>
      </c>
      <c r="H23">
        <v>7.7</v>
      </c>
      <c r="I23">
        <v>66</v>
      </c>
      <c r="J23">
        <v>2</v>
      </c>
      <c r="K23">
        <v>83.3</v>
      </c>
      <c r="L23">
        <v>17.600000000000001</v>
      </c>
    </row>
    <row r="24" spans="1:12" x14ac:dyDescent="0.25">
      <c r="A24" t="s">
        <v>302</v>
      </c>
      <c r="B24">
        <v>182.9</v>
      </c>
      <c r="C24">
        <v>3.6</v>
      </c>
      <c r="D24">
        <v>4</v>
      </c>
      <c r="E24">
        <v>1.8</v>
      </c>
      <c r="F24">
        <v>5.4</v>
      </c>
      <c r="G24">
        <v>4</v>
      </c>
      <c r="H24">
        <v>6.4</v>
      </c>
      <c r="I24">
        <v>59.9</v>
      </c>
      <c r="J24">
        <v>0.9</v>
      </c>
      <c r="K24">
        <v>81.099999999999994</v>
      </c>
      <c r="L24">
        <v>41</v>
      </c>
    </row>
    <row r="25" spans="1:12" x14ac:dyDescent="0.25">
      <c r="A25" t="s">
        <v>303</v>
      </c>
      <c r="B25">
        <v>325.7</v>
      </c>
      <c r="C25">
        <v>5.6</v>
      </c>
      <c r="D25">
        <v>8.1999999999999993</v>
      </c>
      <c r="E25">
        <v>2.7</v>
      </c>
      <c r="F25">
        <v>9.4</v>
      </c>
      <c r="G25">
        <v>6.4</v>
      </c>
      <c r="H25">
        <v>9.1</v>
      </c>
      <c r="I25">
        <v>64.7</v>
      </c>
      <c r="J25">
        <v>3.9</v>
      </c>
      <c r="K25">
        <v>65.5</v>
      </c>
      <c r="L25">
        <v>30</v>
      </c>
    </row>
    <row r="26" spans="1:12" x14ac:dyDescent="0.25">
      <c r="A26" t="s">
        <v>304</v>
      </c>
      <c r="B26">
        <v>154</v>
      </c>
      <c r="C26">
        <v>4.7</v>
      </c>
      <c r="D26">
        <v>5.2</v>
      </c>
      <c r="E26">
        <v>1.6</v>
      </c>
      <c r="F26">
        <v>5.5</v>
      </c>
      <c r="G26">
        <v>4.5</v>
      </c>
      <c r="H26">
        <v>6.9</v>
      </c>
      <c r="I26">
        <v>61.3</v>
      </c>
      <c r="J26">
        <v>0.6</v>
      </c>
      <c r="K26">
        <v>87.9</v>
      </c>
      <c r="L26">
        <v>42.8</v>
      </c>
    </row>
    <row r="27" spans="1:12" x14ac:dyDescent="0.25">
      <c r="A27" t="s">
        <v>305</v>
      </c>
      <c r="B27">
        <v>277.2</v>
      </c>
      <c r="C27">
        <v>6.3</v>
      </c>
      <c r="D27">
        <v>8.4</v>
      </c>
      <c r="E27">
        <v>2.5</v>
      </c>
      <c r="F27">
        <v>592.1</v>
      </c>
      <c r="G27">
        <v>6.8</v>
      </c>
      <c r="H27">
        <v>9.5</v>
      </c>
      <c r="I27">
        <v>56.5</v>
      </c>
      <c r="J27">
        <v>22.1</v>
      </c>
      <c r="K27">
        <v>73.7</v>
      </c>
      <c r="L27">
        <v>22.1</v>
      </c>
    </row>
    <row r="28" spans="1:12" x14ac:dyDescent="0.25">
      <c r="A28" t="s">
        <v>306</v>
      </c>
      <c r="B28">
        <v>300.7</v>
      </c>
      <c r="C28">
        <v>7.4</v>
      </c>
      <c r="D28">
        <v>9.9</v>
      </c>
      <c r="E28">
        <v>3.8</v>
      </c>
      <c r="F28">
        <v>13.2</v>
      </c>
      <c r="G28">
        <v>7.9</v>
      </c>
      <c r="H28">
        <v>9.1</v>
      </c>
      <c r="I28">
        <v>47.4</v>
      </c>
      <c r="J28">
        <v>31.4</v>
      </c>
      <c r="K28">
        <v>68.599999999999994</v>
      </c>
      <c r="L28">
        <v>27</v>
      </c>
    </row>
    <row r="29" spans="1:12" x14ac:dyDescent="0.25">
      <c r="A29" t="s">
        <v>307</v>
      </c>
      <c r="B29">
        <v>281.2</v>
      </c>
      <c r="C29">
        <v>5.2</v>
      </c>
      <c r="D29">
        <v>6.7</v>
      </c>
      <c r="E29">
        <v>1.9</v>
      </c>
      <c r="F29">
        <v>8.1999999999999993</v>
      </c>
      <c r="G29">
        <v>5.8</v>
      </c>
      <c r="H29">
        <v>8.1</v>
      </c>
      <c r="I29">
        <v>72.5</v>
      </c>
      <c r="J29">
        <v>12.1</v>
      </c>
      <c r="K29">
        <v>61.4</v>
      </c>
      <c r="L29">
        <v>23.5</v>
      </c>
    </row>
    <row r="30" spans="1:12" x14ac:dyDescent="0.25">
      <c r="A30" t="s">
        <v>266</v>
      </c>
      <c r="B30">
        <v>277.89999999999998</v>
      </c>
      <c r="C30">
        <v>6.2</v>
      </c>
      <c r="D30">
        <v>7.9</v>
      </c>
      <c r="E30">
        <v>2.2999999999999998</v>
      </c>
      <c r="F30">
        <v>29.9</v>
      </c>
      <c r="G30">
        <v>6.2</v>
      </c>
      <c r="H30">
        <v>8.6</v>
      </c>
      <c r="I30">
        <v>65.099999999999994</v>
      </c>
      <c r="J30">
        <v>13.4</v>
      </c>
      <c r="K30">
        <v>69.2</v>
      </c>
      <c r="L30">
        <v>27</v>
      </c>
    </row>
    <row r="31" spans="1:12" x14ac:dyDescent="0.25">
      <c r="A31" t="s">
        <v>308</v>
      </c>
      <c r="B31">
        <v>508.1</v>
      </c>
      <c r="C31">
        <v>13.6</v>
      </c>
      <c r="D31">
        <v>16.399999999999999</v>
      </c>
      <c r="E31">
        <v>3</v>
      </c>
      <c r="F31">
        <v>13.8</v>
      </c>
      <c r="G31">
        <v>9.8000000000000007</v>
      </c>
      <c r="H31">
        <v>13.5</v>
      </c>
      <c r="I31">
        <v>62.1</v>
      </c>
      <c r="J31">
        <v>13.4</v>
      </c>
      <c r="K31">
        <v>49.8</v>
      </c>
      <c r="L31">
        <v>35.799999999999997</v>
      </c>
    </row>
    <row r="32" spans="1:12" x14ac:dyDescent="0.25">
      <c r="A32" t="s">
        <v>309</v>
      </c>
      <c r="B32">
        <v>255</v>
      </c>
      <c r="C32">
        <v>5.4</v>
      </c>
      <c r="D32">
        <v>7</v>
      </c>
      <c r="E32">
        <v>2.2000000000000002</v>
      </c>
      <c r="F32">
        <v>31.5</v>
      </c>
      <c r="G32">
        <v>5.9</v>
      </c>
      <c r="H32">
        <v>8.1</v>
      </c>
      <c r="I32">
        <v>65.400000000000006</v>
      </c>
      <c r="J32">
        <v>13.4</v>
      </c>
      <c r="K32">
        <v>71.099999999999994</v>
      </c>
      <c r="L32">
        <v>26.2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7030A0"/>
  </sheetPr>
  <dimension ref="A1:L18"/>
  <sheetViews>
    <sheetView workbookViewId="0"/>
  </sheetViews>
  <sheetFormatPr defaultRowHeight="15" x14ac:dyDescent="0.25"/>
  <cols>
    <col min="1" max="1" width="45.85546875" customWidth="1"/>
    <col min="2" max="2" width="12.140625" customWidth="1"/>
    <col min="3" max="3" width="12.42578125" customWidth="1"/>
    <col min="9" max="9" width="11.85546875" customWidth="1"/>
  </cols>
  <sheetData>
    <row r="1" spans="1:12" x14ac:dyDescent="0.25">
      <c r="A1" s="29" t="s">
        <v>580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253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238.1</v>
      </c>
      <c r="C5">
        <v>6.9</v>
      </c>
      <c r="D5">
        <v>8.4</v>
      </c>
      <c r="E5">
        <v>1.8</v>
      </c>
      <c r="F5">
        <v>19</v>
      </c>
      <c r="G5">
        <v>5.3</v>
      </c>
      <c r="H5">
        <v>6.8</v>
      </c>
      <c r="I5">
        <v>38.1</v>
      </c>
      <c r="J5">
        <v>13.1</v>
      </c>
      <c r="K5">
        <v>70.099999999999994</v>
      </c>
      <c r="L5">
        <v>39</v>
      </c>
    </row>
    <row r="6" spans="1:12" x14ac:dyDescent="0.25">
      <c r="A6" t="s">
        <v>267</v>
      </c>
      <c r="B6">
        <v>428.5</v>
      </c>
      <c r="C6">
        <v>16.100000000000001</v>
      </c>
      <c r="D6">
        <v>18.600000000000001</v>
      </c>
      <c r="E6">
        <v>2.2999999999999998</v>
      </c>
      <c r="F6">
        <v>12.1</v>
      </c>
      <c r="G6">
        <v>8.3000000000000007</v>
      </c>
      <c r="H6">
        <v>10.8</v>
      </c>
      <c r="I6">
        <v>35.799999999999997</v>
      </c>
      <c r="J6">
        <v>11.9</v>
      </c>
      <c r="K6">
        <v>49</v>
      </c>
      <c r="L6">
        <v>42.6</v>
      </c>
    </row>
    <row r="7" spans="1:12" x14ac:dyDescent="0.25">
      <c r="A7" t="s">
        <v>268</v>
      </c>
      <c r="B7">
        <v>216.2</v>
      </c>
      <c r="C7">
        <v>5.9</v>
      </c>
      <c r="D7">
        <v>7.2</v>
      </c>
      <c r="E7">
        <v>1.7</v>
      </c>
      <c r="F7">
        <v>19.8</v>
      </c>
      <c r="G7">
        <v>4.9000000000000004</v>
      </c>
      <c r="H7">
        <v>6.3</v>
      </c>
      <c r="I7">
        <v>38.299999999999997</v>
      </c>
      <c r="J7">
        <v>13.2</v>
      </c>
      <c r="K7">
        <v>72.599999999999994</v>
      </c>
      <c r="L7">
        <v>38.6</v>
      </c>
    </row>
    <row r="8" spans="1:12" x14ac:dyDescent="0.25">
      <c r="A8" t="s">
        <v>269</v>
      </c>
      <c r="B8">
        <v>52.9</v>
      </c>
      <c r="C8">
        <v>1.2</v>
      </c>
      <c r="D8">
        <v>1.3</v>
      </c>
      <c r="E8">
        <v>0.4</v>
      </c>
      <c r="F8">
        <v>1.5</v>
      </c>
      <c r="G8">
        <v>1.5</v>
      </c>
      <c r="H8">
        <v>1.8</v>
      </c>
      <c r="I8">
        <v>0</v>
      </c>
      <c r="J8">
        <v>14.9</v>
      </c>
      <c r="K8">
        <v>72.900000000000006</v>
      </c>
      <c r="L8">
        <v>67.3</v>
      </c>
    </row>
    <row r="9" spans="1:12" x14ac:dyDescent="0.25">
      <c r="A9" t="s">
        <v>270</v>
      </c>
      <c r="B9">
        <v>277.89999999999998</v>
      </c>
      <c r="C9">
        <v>6.2</v>
      </c>
      <c r="D9">
        <v>7.9</v>
      </c>
      <c r="E9">
        <v>2.2999999999999998</v>
      </c>
      <c r="F9">
        <v>29.9</v>
      </c>
      <c r="G9">
        <v>6.2</v>
      </c>
      <c r="H9">
        <v>8.6</v>
      </c>
      <c r="I9">
        <v>65.099999999999994</v>
      </c>
      <c r="J9">
        <v>13.4</v>
      </c>
      <c r="K9">
        <v>69.2</v>
      </c>
      <c r="L9">
        <v>27</v>
      </c>
    </row>
    <row r="10" spans="1:12" x14ac:dyDescent="0.25">
      <c r="A10" t="s">
        <v>581</v>
      </c>
      <c r="B10">
        <v>260.60000000000002</v>
      </c>
      <c r="C10">
        <v>11.6</v>
      </c>
      <c r="D10">
        <v>13.8</v>
      </c>
      <c r="E10">
        <v>1.8</v>
      </c>
      <c r="F10">
        <v>10.8</v>
      </c>
      <c r="G10">
        <v>5.5</v>
      </c>
      <c r="H10">
        <v>6</v>
      </c>
      <c r="I10">
        <v>16.100000000000001</v>
      </c>
      <c r="J10">
        <v>9.3000000000000007</v>
      </c>
      <c r="K10">
        <v>73.099999999999994</v>
      </c>
      <c r="L10">
        <v>19.7</v>
      </c>
    </row>
    <row r="11" spans="1:12" x14ac:dyDescent="0.25">
      <c r="A11" t="s">
        <v>582</v>
      </c>
      <c r="B11">
        <v>1155.7</v>
      </c>
      <c r="C11">
        <v>52.4</v>
      </c>
      <c r="D11">
        <v>60.3</v>
      </c>
      <c r="E11">
        <v>5.9</v>
      </c>
      <c r="F11">
        <v>34.200000000000003</v>
      </c>
      <c r="G11">
        <v>22.6</v>
      </c>
      <c r="H11">
        <v>25.1</v>
      </c>
      <c r="I11">
        <v>34.700000000000003</v>
      </c>
      <c r="J11">
        <v>3.3</v>
      </c>
      <c r="K11">
        <v>53.9</v>
      </c>
      <c r="L11">
        <v>15.1</v>
      </c>
    </row>
    <row r="12" spans="1:12" x14ac:dyDescent="0.25">
      <c r="A12" t="s">
        <v>583</v>
      </c>
      <c r="B12">
        <v>352.3</v>
      </c>
      <c r="C12">
        <v>15.8</v>
      </c>
      <c r="D12">
        <v>18.600000000000001</v>
      </c>
      <c r="E12">
        <v>1.3</v>
      </c>
      <c r="F12">
        <v>7.6</v>
      </c>
      <c r="G12">
        <v>7</v>
      </c>
      <c r="H12">
        <v>7.8</v>
      </c>
      <c r="I12">
        <v>11.4</v>
      </c>
      <c r="J12">
        <v>6.6</v>
      </c>
      <c r="K12">
        <v>80.900000000000006</v>
      </c>
      <c r="L12">
        <v>43</v>
      </c>
    </row>
    <row r="13" spans="1:12" x14ac:dyDescent="0.25">
      <c r="A13" t="s">
        <v>584</v>
      </c>
      <c r="B13">
        <v>615.29999999999995</v>
      </c>
      <c r="C13">
        <v>27.9</v>
      </c>
      <c r="D13">
        <v>32.1</v>
      </c>
      <c r="E13">
        <v>5.9</v>
      </c>
      <c r="F13">
        <v>34.200000000000003</v>
      </c>
      <c r="G13">
        <v>12.4</v>
      </c>
      <c r="H13">
        <v>13.6</v>
      </c>
      <c r="I13">
        <v>34.700000000000003</v>
      </c>
      <c r="J13">
        <v>3.3</v>
      </c>
      <c r="K13">
        <v>53.9</v>
      </c>
      <c r="L13">
        <v>15.1</v>
      </c>
    </row>
    <row r="14" spans="1:12" x14ac:dyDescent="0.25">
      <c r="A14" t="s">
        <v>276</v>
      </c>
      <c r="B14">
        <v>501.5</v>
      </c>
      <c r="C14">
        <v>11</v>
      </c>
      <c r="D14">
        <v>14.1</v>
      </c>
      <c r="E14">
        <v>3.6</v>
      </c>
      <c r="F14">
        <v>15.4</v>
      </c>
      <c r="G14">
        <v>9.8000000000000007</v>
      </c>
      <c r="H14">
        <v>13.1</v>
      </c>
      <c r="I14">
        <v>74.3</v>
      </c>
      <c r="J14">
        <v>13</v>
      </c>
      <c r="K14">
        <v>57.4</v>
      </c>
      <c r="L14">
        <v>26.6</v>
      </c>
    </row>
    <row r="15" spans="1:12" x14ac:dyDescent="0.25">
      <c r="A15" t="s">
        <v>277</v>
      </c>
      <c r="B15">
        <v>230.5</v>
      </c>
      <c r="C15">
        <v>5.0999999999999996</v>
      </c>
      <c r="D15">
        <v>6.6</v>
      </c>
      <c r="E15">
        <v>2</v>
      </c>
      <c r="F15">
        <v>33</v>
      </c>
      <c r="G15">
        <v>5.5</v>
      </c>
      <c r="H15">
        <v>7.6</v>
      </c>
      <c r="I15">
        <v>63.2</v>
      </c>
      <c r="J15">
        <v>13.4</v>
      </c>
      <c r="K15">
        <v>71.7</v>
      </c>
      <c r="L15">
        <v>27.1</v>
      </c>
    </row>
    <row r="16" spans="1:12" x14ac:dyDescent="0.25">
      <c r="A16" t="s">
        <v>279</v>
      </c>
      <c r="B16">
        <v>188.7</v>
      </c>
      <c r="C16">
        <v>4.4000000000000004</v>
      </c>
      <c r="D16">
        <v>5.5</v>
      </c>
      <c r="E16">
        <v>1.8</v>
      </c>
      <c r="F16">
        <v>6.7</v>
      </c>
      <c r="G16">
        <v>4.8</v>
      </c>
      <c r="H16">
        <v>6.7</v>
      </c>
      <c r="I16">
        <v>51.5</v>
      </c>
      <c r="J16">
        <v>13.4</v>
      </c>
      <c r="K16">
        <v>76.599999999999994</v>
      </c>
      <c r="L16">
        <v>29.6</v>
      </c>
    </row>
    <row r="17" spans="1:12" x14ac:dyDescent="0.25">
      <c r="A17" t="s">
        <v>280</v>
      </c>
      <c r="B17">
        <v>291.39999999999998</v>
      </c>
      <c r="C17">
        <v>6.5</v>
      </c>
      <c r="D17">
        <v>8.6</v>
      </c>
      <c r="E17">
        <v>2.7</v>
      </c>
      <c r="F17">
        <v>10</v>
      </c>
      <c r="G17">
        <v>6.8</v>
      </c>
      <c r="H17">
        <v>8.6999999999999993</v>
      </c>
      <c r="I17">
        <v>64.5</v>
      </c>
      <c r="J17">
        <v>100</v>
      </c>
      <c r="K17">
        <v>65.3</v>
      </c>
      <c r="L17">
        <v>25.1</v>
      </c>
    </row>
    <row r="18" spans="1:12" x14ac:dyDescent="0.25">
      <c r="A18" t="s">
        <v>281</v>
      </c>
      <c r="B18">
        <v>182.2</v>
      </c>
      <c r="C18">
        <v>4</v>
      </c>
      <c r="D18">
        <v>5.0999999999999996</v>
      </c>
      <c r="E18">
        <v>1.7</v>
      </c>
      <c r="F18">
        <v>6.3</v>
      </c>
      <c r="G18">
        <v>3.9</v>
      </c>
      <c r="H18">
        <v>5.6</v>
      </c>
      <c r="I18">
        <v>42.8</v>
      </c>
      <c r="J18">
        <v>13.7</v>
      </c>
      <c r="K18">
        <v>100</v>
      </c>
      <c r="L18">
        <v>100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7030A0"/>
  </sheetPr>
  <dimension ref="A1:L32"/>
  <sheetViews>
    <sheetView workbookViewId="0"/>
  </sheetViews>
  <sheetFormatPr defaultRowHeight="15" x14ac:dyDescent="0.25"/>
  <cols>
    <col min="1" max="1" width="26.42578125" customWidth="1"/>
    <col min="2" max="2" width="14.140625" customWidth="1"/>
    <col min="8" max="8" width="14.42578125" customWidth="1"/>
    <col min="9" max="9" width="14" customWidth="1"/>
    <col min="10" max="10" width="14.140625" customWidth="1"/>
  </cols>
  <sheetData>
    <row r="1" spans="1:12" x14ac:dyDescent="0.25">
      <c r="A1" s="29" t="s">
        <v>585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191</v>
      </c>
      <c r="C5">
        <v>5.9</v>
      </c>
      <c r="D5">
        <v>7</v>
      </c>
      <c r="E5">
        <v>1.4</v>
      </c>
      <c r="F5">
        <v>6.6</v>
      </c>
      <c r="G5">
        <v>4.5999999999999996</v>
      </c>
      <c r="H5">
        <v>5.7</v>
      </c>
      <c r="I5">
        <v>34.200000000000003</v>
      </c>
      <c r="J5">
        <v>2.2999999999999998</v>
      </c>
      <c r="K5">
        <v>79.599999999999994</v>
      </c>
      <c r="L5">
        <v>47.6</v>
      </c>
    </row>
    <row r="6" spans="1:12" x14ac:dyDescent="0.25">
      <c r="A6" t="s">
        <v>284</v>
      </c>
      <c r="B6">
        <v>222.6</v>
      </c>
      <c r="C6">
        <v>6</v>
      </c>
      <c r="D6">
        <v>7.4</v>
      </c>
      <c r="E6">
        <v>1.6</v>
      </c>
      <c r="F6">
        <v>6.9</v>
      </c>
      <c r="G6">
        <v>4.7</v>
      </c>
      <c r="H6">
        <v>6.7</v>
      </c>
      <c r="I6">
        <v>50.7</v>
      </c>
      <c r="J6">
        <v>5.5</v>
      </c>
      <c r="K6">
        <v>74.599999999999994</v>
      </c>
      <c r="L6">
        <v>31.2</v>
      </c>
    </row>
    <row r="7" spans="1:12" x14ac:dyDescent="0.25">
      <c r="A7" t="s">
        <v>285</v>
      </c>
      <c r="B7">
        <v>271.3</v>
      </c>
      <c r="C7">
        <v>7.1</v>
      </c>
      <c r="D7">
        <v>9.1999999999999993</v>
      </c>
      <c r="E7">
        <v>1.9</v>
      </c>
      <c r="F7">
        <v>8.1999999999999993</v>
      </c>
      <c r="G7">
        <v>5.8</v>
      </c>
      <c r="H7">
        <v>7.2</v>
      </c>
      <c r="I7">
        <v>39.6</v>
      </c>
      <c r="J7">
        <v>17.2</v>
      </c>
      <c r="K7">
        <v>58.3</v>
      </c>
      <c r="L7">
        <v>41.2</v>
      </c>
    </row>
    <row r="8" spans="1:12" x14ac:dyDescent="0.25">
      <c r="A8" t="s">
        <v>286</v>
      </c>
      <c r="B8">
        <v>250.4</v>
      </c>
      <c r="C8">
        <v>7.6</v>
      </c>
      <c r="D8">
        <v>9</v>
      </c>
      <c r="E8">
        <v>1.8</v>
      </c>
      <c r="F8">
        <v>8</v>
      </c>
      <c r="G8">
        <v>5.3</v>
      </c>
      <c r="H8">
        <v>6.8</v>
      </c>
      <c r="I8">
        <v>39.4</v>
      </c>
      <c r="J8">
        <v>9.6</v>
      </c>
      <c r="K8">
        <v>71</v>
      </c>
      <c r="L8">
        <v>35.6</v>
      </c>
    </row>
    <row r="9" spans="1:12" x14ac:dyDescent="0.25">
      <c r="A9" t="s">
        <v>287</v>
      </c>
      <c r="B9">
        <v>272.89999999999998</v>
      </c>
      <c r="C9">
        <v>7.1</v>
      </c>
      <c r="D9">
        <v>8.4</v>
      </c>
      <c r="E9">
        <v>1.9</v>
      </c>
      <c r="F9">
        <v>10.6</v>
      </c>
      <c r="G9">
        <v>5.3</v>
      </c>
      <c r="H9">
        <v>6.7</v>
      </c>
      <c r="I9">
        <v>39.4</v>
      </c>
      <c r="J9">
        <v>7.6</v>
      </c>
      <c r="K9">
        <v>66.099999999999994</v>
      </c>
      <c r="L9">
        <v>38.1</v>
      </c>
    </row>
    <row r="10" spans="1:12" x14ac:dyDescent="0.25">
      <c r="A10" t="s">
        <v>288</v>
      </c>
      <c r="B10">
        <v>198.1</v>
      </c>
      <c r="C10">
        <v>5.6</v>
      </c>
      <c r="D10">
        <v>6.6</v>
      </c>
      <c r="E10">
        <v>1.6</v>
      </c>
      <c r="F10">
        <v>6.3</v>
      </c>
      <c r="G10">
        <v>4.5999999999999996</v>
      </c>
      <c r="H10">
        <v>5.8</v>
      </c>
      <c r="I10">
        <v>37.5</v>
      </c>
      <c r="J10">
        <v>9.6</v>
      </c>
      <c r="K10">
        <v>73.5</v>
      </c>
      <c r="L10">
        <v>37.6</v>
      </c>
    </row>
    <row r="11" spans="1:12" x14ac:dyDescent="0.25">
      <c r="A11" t="s">
        <v>289</v>
      </c>
      <c r="B11">
        <v>208.2</v>
      </c>
      <c r="C11">
        <v>7.9</v>
      </c>
      <c r="D11">
        <v>9.4</v>
      </c>
      <c r="E11">
        <v>1.7</v>
      </c>
      <c r="F11">
        <v>7.5</v>
      </c>
      <c r="G11">
        <v>5.3</v>
      </c>
      <c r="H11">
        <v>6.3</v>
      </c>
      <c r="I11">
        <v>31.9</v>
      </c>
      <c r="J11">
        <v>48.6</v>
      </c>
      <c r="K11">
        <v>75.3</v>
      </c>
      <c r="L11">
        <v>33.200000000000003</v>
      </c>
    </row>
    <row r="12" spans="1:12" x14ac:dyDescent="0.25">
      <c r="A12" t="s">
        <v>290</v>
      </c>
      <c r="B12">
        <v>339</v>
      </c>
      <c r="C12">
        <v>9.6999999999999993</v>
      </c>
      <c r="D12">
        <v>11.6</v>
      </c>
      <c r="E12">
        <v>2.2000000000000002</v>
      </c>
      <c r="F12">
        <v>9.9</v>
      </c>
      <c r="G12">
        <v>7</v>
      </c>
      <c r="H12">
        <v>8.8000000000000007</v>
      </c>
      <c r="I12">
        <v>43.8</v>
      </c>
      <c r="J12">
        <v>27.1</v>
      </c>
      <c r="K12">
        <v>48.9</v>
      </c>
      <c r="L12">
        <v>35.9</v>
      </c>
    </row>
    <row r="13" spans="1:12" x14ac:dyDescent="0.25">
      <c r="A13" t="s">
        <v>291</v>
      </c>
      <c r="B13">
        <v>171.2</v>
      </c>
      <c r="C13">
        <v>9.1</v>
      </c>
      <c r="D13">
        <v>11</v>
      </c>
      <c r="E13">
        <v>1.6</v>
      </c>
      <c r="F13">
        <v>7.5</v>
      </c>
      <c r="G13">
        <v>5</v>
      </c>
      <c r="H13">
        <v>5.5</v>
      </c>
      <c r="I13">
        <v>18</v>
      </c>
      <c r="J13">
        <v>22</v>
      </c>
      <c r="K13">
        <v>86</v>
      </c>
      <c r="L13">
        <v>54</v>
      </c>
    </row>
    <row r="14" spans="1:12" x14ac:dyDescent="0.25">
      <c r="A14" t="s">
        <v>292</v>
      </c>
      <c r="B14">
        <v>121.3</v>
      </c>
      <c r="C14">
        <v>5</v>
      </c>
      <c r="D14">
        <v>5.7</v>
      </c>
      <c r="E14">
        <v>1.2</v>
      </c>
      <c r="F14">
        <v>5.5</v>
      </c>
      <c r="G14">
        <v>3.7</v>
      </c>
      <c r="H14">
        <v>5</v>
      </c>
      <c r="I14">
        <v>35.6</v>
      </c>
      <c r="J14">
        <v>1.8</v>
      </c>
      <c r="K14">
        <v>78.099999999999994</v>
      </c>
      <c r="L14">
        <v>50.2</v>
      </c>
    </row>
    <row r="15" spans="1:12" x14ac:dyDescent="0.25">
      <c r="A15" t="s">
        <v>293</v>
      </c>
      <c r="B15">
        <v>197.7</v>
      </c>
      <c r="C15">
        <v>5.8</v>
      </c>
      <c r="D15">
        <v>6.7</v>
      </c>
      <c r="E15">
        <v>1.5</v>
      </c>
      <c r="F15">
        <v>5.9</v>
      </c>
      <c r="G15">
        <v>4.4000000000000004</v>
      </c>
      <c r="H15">
        <v>6.3</v>
      </c>
      <c r="I15">
        <v>45.6</v>
      </c>
      <c r="J15">
        <v>12.2</v>
      </c>
      <c r="K15">
        <v>71</v>
      </c>
      <c r="L15">
        <v>34</v>
      </c>
    </row>
    <row r="16" spans="1:12" x14ac:dyDescent="0.25">
      <c r="A16" t="s">
        <v>294</v>
      </c>
      <c r="B16">
        <v>162.9</v>
      </c>
      <c r="C16">
        <v>6.6</v>
      </c>
      <c r="D16">
        <v>7</v>
      </c>
      <c r="E16">
        <v>1.7</v>
      </c>
      <c r="F16">
        <v>5.8</v>
      </c>
      <c r="G16">
        <v>4.5</v>
      </c>
      <c r="H16">
        <v>6.3</v>
      </c>
      <c r="I16">
        <v>36.200000000000003</v>
      </c>
      <c r="J16">
        <v>1.6</v>
      </c>
      <c r="K16">
        <v>81.900000000000006</v>
      </c>
      <c r="L16">
        <v>52</v>
      </c>
    </row>
    <row r="17" spans="1:12" x14ac:dyDescent="0.25">
      <c r="A17" t="s">
        <v>295</v>
      </c>
      <c r="B17">
        <v>154.9</v>
      </c>
      <c r="C17">
        <v>4.3</v>
      </c>
      <c r="D17">
        <v>5.2</v>
      </c>
      <c r="E17">
        <v>1.3</v>
      </c>
      <c r="F17">
        <v>6</v>
      </c>
      <c r="G17">
        <v>4.0999999999999996</v>
      </c>
      <c r="H17">
        <v>5.5</v>
      </c>
      <c r="I17">
        <v>26.7</v>
      </c>
      <c r="J17">
        <v>1.4</v>
      </c>
      <c r="K17">
        <v>82.5</v>
      </c>
      <c r="L17">
        <v>42.9</v>
      </c>
    </row>
    <row r="18" spans="1:12" x14ac:dyDescent="0.25">
      <c r="A18" t="s">
        <v>296</v>
      </c>
      <c r="B18">
        <v>204.9</v>
      </c>
      <c r="C18">
        <v>7.9</v>
      </c>
      <c r="D18">
        <v>8.9</v>
      </c>
      <c r="E18">
        <v>1.7</v>
      </c>
      <c r="F18">
        <v>9.5</v>
      </c>
      <c r="G18">
        <v>5.0999999999999996</v>
      </c>
      <c r="H18">
        <v>6.3</v>
      </c>
      <c r="I18">
        <v>33.299999999999997</v>
      </c>
      <c r="J18">
        <v>2.5</v>
      </c>
      <c r="K18">
        <v>76.5</v>
      </c>
      <c r="L18">
        <v>44.4</v>
      </c>
    </row>
    <row r="19" spans="1:12" x14ac:dyDescent="0.25">
      <c r="A19" t="s">
        <v>297</v>
      </c>
      <c r="B19">
        <v>641.1</v>
      </c>
      <c r="C19">
        <v>25.3</v>
      </c>
      <c r="D19">
        <v>28.3</v>
      </c>
      <c r="E19">
        <v>2.7</v>
      </c>
      <c r="F19">
        <v>14.9</v>
      </c>
      <c r="G19">
        <v>10.1</v>
      </c>
      <c r="H19">
        <v>14.7</v>
      </c>
      <c r="I19">
        <v>44.9</v>
      </c>
      <c r="J19">
        <v>22.2</v>
      </c>
      <c r="K19">
        <v>22.5</v>
      </c>
      <c r="L19">
        <v>60.7</v>
      </c>
    </row>
    <row r="20" spans="1:12" x14ac:dyDescent="0.25">
      <c r="A20" t="s">
        <v>298</v>
      </c>
      <c r="B20">
        <v>263.60000000000002</v>
      </c>
      <c r="C20">
        <v>10</v>
      </c>
      <c r="D20">
        <v>11.5</v>
      </c>
      <c r="E20">
        <v>0.7</v>
      </c>
      <c r="F20">
        <v>3.9</v>
      </c>
      <c r="G20">
        <v>7.3</v>
      </c>
      <c r="H20">
        <v>7.6</v>
      </c>
      <c r="I20">
        <v>45.2</v>
      </c>
      <c r="J20">
        <v>11.5</v>
      </c>
      <c r="K20">
        <v>84.1</v>
      </c>
      <c r="L20">
        <v>15.9</v>
      </c>
    </row>
    <row r="21" spans="1:12" x14ac:dyDescent="0.25">
      <c r="A21" t="s">
        <v>299</v>
      </c>
      <c r="B21">
        <v>141.19999999999999</v>
      </c>
      <c r="C21">
        <v>5</v>
      </c>
      <c r="D21">
        <v>5.8</v>
      </c>
      <c r="E21">
        <v>1.3</v>
      </c>
      <c r="F21">
        <v>5.5</v>
      </c>
      <c r="G21">
        <v>4</v>
      </c>
      <c r="H21">
        <v>5.2</v>
      </c>
      <c r="I21">
        <v>11.1</v>
      </c>
      <c r="J21">
        <v>0.2</v>
      </c>
      <c r="K21">
        <v>82.1</v>
      </c>
      <c r="L21">
        <v>40.299999999999997</v>
      </c>
    </row>
    <row r="22" spans="1:12" x14ac:dyDescent="0.25">
      <c r="A22" t="s">
        <v>300</v>
      </c>
      <c r="B22">
        <v>224</v>
      </c>
      <c r="C22">
        <v>5.3</v>
      </c>
      <c r="D22">
        <v>7.1</v>
      </c>
      <c r="E22">
        <v>1.8</v>
      </c>
      <c r="F22">
        <v>7.9</v>
      </c>
      <c r="G22">
        <v>5.2</v>
      </c>
      <c r="H22">
        <v>6.3</v>
      </c>
      <c r="I22">
        <v>42.8</v>
      </c>
      <c r="J22">
        <v>23.4</v>
      </c>
      <c r="K22">
        <v>65.3</v>
      </c>
      <c r="L22">
        <v>39.1</v>
      </c>
    </row>
    <row r="23" spans="1:12" x14ac:dyDescent="0.25">
      <c r="A23" t="s">
        <v>301</v>
      </c>
      <c r="B23">
        <v>197.1</v>
      </c>
      <c r="C23">
        <v>5.8</v>
      </c>
      <c r="D23">
        <v>7</v>
      </c>
      <c r="E23">
        <v>1.5</v>
      </c>
      <c r="F23">
        <v>8.1999999999999993</v>
      </c>
      <c r="G23">
        <v>4.5999999999999996</v>
      </c>
      <c r="H23">
        <v>6</v>
      </c>
      <c r="I23">
        <v>38.9</v>
      </c>
      <c r="J23">
        <v>2</v>
      </c>
      <c r="K23">
        <v>81.2</v>
      </c>
      <c r="L23">
        <v>36.799999999999997</v>
      </c>
    </row>
    <row r="24" spans="1:12" x14ac:dyDescent="0.25">
      <c r="A24" t="s">
        <v>302</v>
      </c>
      <c r="B24">
        <v>178.8</v>
      </c>
      <c r="C24">
        <v>4.2</v>
      </c>
      <c r="D24">
        <v>4.5999999999999996</v>
      </c>
      <c r="E24">
        <v>1.6</v>
      </c>
      <c r="F24">
        <v>5.2</v>
      </c>
      <c r="G24">
        <v>3.8</v>
      </c>
      <c r="H24">
        <v>6</v>
      </c>
      <c r="I24">
        <v>45.7</v>
      </c>
      <c r="J24">
        <v>1.3</v>
      </c>
      <c r="K24">
        <v>79.099999999999994</v>
      </c>
      <c r="L24">
        <v>45</v>
      </c>
    </row>
    <row r="25" spans="1:12" x14ac:dyDescent="0.25">
      <c r="A25" t="s">
        <v>303</v>
      </c>
      <c r="B25">
        <v>252.2</v>
      </c>
      <c r="C25">
        <v>5.4</v>
      </c>
      <c r="D25">
        <v>7</v>
      </c>
      <c r="E25">
        <v>1.8</v>
      </c>
      <c r="F25">
        <v>6.8</v>
      </c>
      <c r="G25">
        <v>5.0999999999999996</v>
      </c>
      <c r="H25">
        <v>6.6</v>
      </c>
      <c r="I25">
        <v>35.5</v>
      </c>
      <c r="J25">
        <v>4.5</v>
      </c>
      <c r="K25">
        <v>74.599999999999994</v>
      </c>
      <c r="L25">
        <v>42.9</v>
      </c>
    </row>
    <row r="26" spans="1:12" x14ac:dyDescent="0.25">
      <c r="A26" t="s">
        <v>304</v>
      </c>
      <c r="B26">
        <v>144.4</v>
      </c>
      <c r="C26">
        <v>5.4</v>
      </c>
      <c r="D26">
        <v>6</v>
      </c>
      <c r="E26">
        <v>1.5</v>
      </c>
      <c r="F26">
        <v>5.7</v>
      </c>
      <c r="G26">
        <v>4.0999999999999996</v>
      </c>
      <c r="H26">
        <v>5.9</v>
      </c>
      <c r="I26">
        <v>45.1</v>
      </c>
      <c r="J26">
        <v>1.2</v>
      </c>
      <c r="K26">
        <v>83.3</v>
      </c>
      <c r="L26">
        <v>38.6</v>
      </c>
    </row>
    <row r="27" spans="1:12" x14ac:dyDescent="0.25">
      <c r="A27" t="s">
        <v>305</v>
      </c>
      <c r="B27">
        <v>234.3</v>
      </c>
      <c r="C27">
        <v>7.3</v>
      </c>
      <c r="D27">
        <v>9.1</v>
      </c>
      <c r="E27">
        <v>1.9</v>
      </c>
      <c r="F27">
        <v>307.8</v>
      </c>
      <c r="G27">
        <v>5.6</v>
      </c>
      <c r="H27">
        <v>7.1</v>
      </c>
      <c r="I27">
        <v>31.4</v>
      </c>
      <c r="J27">
        <v>16.7</v>
      </c>
      <c r="K27">
        <v>75</v>
      </c>
      <c r="L27">
        <v>38.5</v>
      </c>
    </row>
    <row r="28" spans="1:12" x14ac:dyDescent="0.25">
      <c r="A28" t="s">
        <v>306</v>
      </c>
      <c r="B28">
        <v>253.8</v>
      </c>
      <c r="C28">
        <v>8.1999999999999993</v>
      </c>
      <c r="D28">
        <v>10.3</v>
      </c>
      <c r="E28">
        <v>2.8</v>
      </c>
      <c r="F28">
        <v>10.5</v>
      </c>
      <c r="G28">
        <v>6.6</v>
      </c>
      <c r="H28">
        <v>7.2</v>
      </c>
      <c r="I28">
        <v>23.6</v>
      </c>
      <c r="J28">
        <v>27.5</v>
      </c>
      <c r="K28">
        <v>70.099999999999994</v>
      </c>
      <c r="L28">
        <v>36.9</v>
      </c>
    </row>
    <row r="29" spans="1:12" x14ac:dyDescent="0.25">
      <c r="A29" t="s">
        <v>307</v>
      </c>
      <c r="B29">
        <v>241.6</v>
      </c>
      <c r="C29">
        <v>5.2</v>
      </c>
      <c r="D29">
        <v>6.4</v>
      </c>
      <c r="E29">
        <v>1.5</v>
      </c>
      <c r="F29">
        <v>7</v>
      </c>
      <c r="G29">
        <v>5</v>
      </c>
      <c r="H29">
        <v>6.6</v>
      </c>
      <c r="I29">
        <v>44.2</v>
      </c>
      <c r="J29">
        <v>11.3</v>
      </c>
      <c r="K29">
        <v>64.599999999999994</v>
      </c>
      <c r="L29">
        <v>35.200000000000003</v>
      </c>
    </row>
    <row r="30" spans="1:12" x14ac:dyDescent="0.25">
      <c r="A30" t="s">
        <v>266</v>
      </c>
      <c r="B30">
        <v>238.1</v>
      </c>
      <c r="C30">
        <v>6.9</v>
      </c>
      <c r="D30">
        <v>8.4</v>
      </c>
      <c r="E30">
        <v>1.8</v>
      </c>
      <c r="F30">
        <v>19</v>
      </c>
      <c r="G30">
        <v>5.3</v>
      </c>
      <c r="H30">
        <v>6.8</v>
      </c>
      <c r="I30">
        <v>38.1</v>
      </c>
      <c r="J30">
        <v>13.1</v>
      </c>
      <c r="K30">
        <v>70.099999999999994</v>
      </c>
      <c r="L30">
        <v>39</v>
      </c>
    </row>
    <row r="31" spans="1:12" x14ac:dyDescent="0.25">
      <c r="A31" t="s">
        <v>308</v>
      </c>
      <c r="B31">
        <v>428.5</v>
      </c>
      <c r="C31">
        <v>16.100000000000001</v>
      </c>
      <c r="D31">
        <v>18.600000000000001</v>
      </c>
      <c r="E31">
        <v>2.2999999999999998</v>
      </c>
      <c r="F31">
        <v>12.1</v>
      </c>
      <c r="G31">
        <v>8.3000000000000007</v>
      </c>
      <c r="H31">
        <v>10.8</v>
      </c>
      <c r="I31">
        <v>35.799999999999997</v>
      </c>
      <c r="J31">
        <v>11.9</v>
      </c>
      <c r="K31">
        <v>49</v>
      </c>
      <c r="L31">
        <v>42.6</v>
      </c>
    </row>
    <row r="32" spans="1:12" x14ac:dyDescent="0.25">
      <c r="A32" t="s">
        <v>309</v>
      </c>
      <c r="B32">
        <v>216.2</v>
      </c>
      <c r="C32">
        <v>5.9</v>
      </c>
      <c r="D32">
        <v>7.2</v>
      </c>
      <c r="E32">
        <v>1.7</v>
      </c>
      <c r="F32">
        <v>19.8</v>
      </c>
      <c r="G32">
        <v>4.9000000000000004</v>
      </c>
      <c r="H32">
        <v>6.3</v>
      </c>
      <c r="I32">
        <v>38.299999999999997</v>
      </c>
      <c r="J32">
        <v>13.2</v>
      </c>
      <c r="K32">
        <v>72.599999999999994</v>
      </c>
      <c r="L32">
        <v>38.6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7030A0"/>
  </sheetPr>
  <dimension ref="A1:L32"/>
  <sheetViews>
    <sheetView workbookViewId="0"/>
  </sheetViews>
  <sheetFormatPr defaultRowHeight="15" x14ac:dyDescent="0.25"/>
  <cols>
    <col min="1" max="1" width="28" customWidth="1"/>
    <col min="2" max="2" width="13.42578125" customWidth="1"/>
    <col min="3" max="3" width="14" customWidth="1"/>
    <col min="4" max="4" width="13.42578125" customWidth="1"/>
    <col min="5" max="5" width="14" customWidth="1"/>
    <col min="6" max="6" width="13.42578125" customWidth="1"/>
    <col min="8" max="8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29" t="s">
        <v>587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493.3</v>
      </c>
      <c r="C5">
        <v>21.7</v>
      </c>
      <c r="D5">
        <v>25.5</v>
      </c>
      <c r="E5">
        <v>3.1</v>
      </c>
      <c r="F5">
        <v>20.399999999999999</v>
      </c>
      <c r="G5">
        <v>10.5</v>
      </c>
      <c r="H5">
        <v>10.6</v>
      </c>
      <c r="I5">
        <v>19</v>
      </c>
      <c r="J5">
        <v>1.2</v>
      </c>
      <c r="K5">
        <v>76.2</v>
      </c>
      <c r="L5">
        <v>16.7</v>
      </c>
    </row>
    <row r="6" spans="1:12" x14ac:dyDescent="0.25">
      <c r="A6" t="s">
        <v>284</v>
      </c>
      <c r="B6">
        <v>534.4</v>
      </c>
      <c r="C6">
        <v>20.8</v>
      </c>
      <c r="D6">
        <v>24.8</v>
      </c>
      <c r="E6">
        <v>2.8</v>
      </c>
      <c r="F6">
        <v>15.2</v>
      </c>
      <c r="G6">
        <v>10.1</v>
      </c>
      <c r="H6">
        <v>11</v>
      </c>
      <c r="I6">
        <v>21.6</v>
      </c>
      <c r="J6">
        <v>1.6</v>
      </c>
      <c r="K6">
        <v>76</v>
      </c>
      <c r="L6">
        <v>13.6</v>
      </c>
    </row>
    <row r="7" spans="1:12" x14ac:dyDescent="0.25">
      <c r="A7" t="s">
        <v>285</v>
      </c>
      <c r="B7">
        <v>529.79999999999995</v>
      </c>
      <c r="C7">
        <v>23.4</v>
      </c>
      <c r="D7">
        <v>28.9</v>
      </c>
      <c r="E7">
        <v>3.3</v>
      </c>
      <c r="F7">
        <v>15.8</v>
      </c>
      <c r="G7">
        <v>10.9</v>
      </c>
      <c r="H7">
        <v>12.1</v>
      </c>
      <c r="I7">
        <v>25</v>
      </c>
      <c r="J7">
        <v>9.6999999999999993</v>
      </c>
      <c r="K7">
        <v>57.3</v>
      </c>
      <c r="L7">
        <v>25.8</v>
      </c>
    </row>
    <row r="8" spans="1:12" x14ac:dyDescent="0.25">
      <c r="A8" t="s">
        <v>286</v>
      </c>
      <c r="B8">
        <v>480.9</v>
      </c>
      <c r="C8">
        <v>20.8</v>
      </c>
      <c r="D8">
        <v>24.2</v>
      </c>
      <c r="E8">
        <v>2.9</v>
      </c>
      <c r="F8">
        <v>16</v>
      </c>
      <c r="G8">
        <v>9.6</v>
      </c>
      <c r="H8">
        <v>10</v>
      </c>
      <c r="I8">
        <v>14.3</v>
      </c>
      <c r="J8">
        <v>10.4</v>
      </c>
      <c r="K8">
        <v>71.400000000000006</v>
      </c>
      <c r="L8">
        <v>20.8</v>
      </c>
    </row>
    <row r="9" spans="1:12" x14ac:dyDescent="0.25">
      <c r="A9" t="s">
        <v>287</v>
      </c>
      <c r="B9">
        <v>519.4</v>
      </c>
      <c r="C9">
        <v>20.6</v>
      </c>
      <c r="D9">
        <v>23.6</v>
      </c>
      <c r="E9">
        <v>2.7</v>
      </c>
      <c r="F9">
        <v>29</v>
      </c>
      <c r="G9">
        <v>8.6</v>
      </c>
      <c r="H9">
        <v>10.1</v>
      </c>
      <c r="I9">
        <v>36.5</v>
      </c>
      <c r="J9">
        <v>2.1</v>
      </c>
      <c r="K9">
        <v>56.3</v>
      </c>
      <c r="L9">
        <v>19.8</v>
      </c>
    </row>
    <row r="10" spans="1:12" x14ac:dyDescent="0.25">
      <c r="A10" t="s">
        <v>288</v>
      </c>
      <c r="B10">
        <v>499</v>
      </c>
      <c r="C10">
        <v>18.8</v>
      </c>
      <c r="D10">
        <v>22.3</v>
      </c>
      <c r="E10">
        <v>3</v>
      </c>
      <c r="F10">
        <v>15</v>
      </c>
      <c r="G10">
        <v>10.3</v>
      </c>
      <c r="H10">
        <v>10.6</v>
      </c>
      <c r="I10">
        <v>5.4</v>
      </c>
      <c r="J10">
        <v>0</v>
      </c>
      <c r="K10">
        <v>73.900000000000006</v>
      </c>
      <c r="L10">
        <v>28.3</v>
      </c>
    </row>
    <row r="11" spans="1:12" x14ac:dyDescent="0.25">
      <c r="A11" t="s">
        <v>289</v>
      </c>
      <c r="B11">
        <v>428.1</v>
      </c>
      <c r="C11">
        <v>22.5</v>
      </c>
      <c r="D11">
        <v>26.6</v>
      </c>
      <c r="E11">
        <v>2.8</v>
      </c>
      <c r="F11">
        <v>13.6</v>
      </c>
      <c r="G11">
        <v>9.1999999999999993</v>
      </c>
      <c r="H11">
        <v>11.6</v>
      </c>
      <c r="I11">
        <v>17</v>
      </c>
      <c r="J11">
        <v>35</v>
      </c>
      <c r="K11">
        <v>70</v>
      </c>
      <c r="L11">
        <v>13</v>
      </c>
    </row>
    <row r="12" spans="1:12" x14ac:dyDescent="0.25">
      <c r="A12" t="s">
        <v>290</v>
      </c>
      <c r="B12">
        <v>561.29999999999995</v>
      </c>
      <c r="C12">
        <v>31.3</v>
      </c>
      <c r="D12">
        <v>35.6</v>
      </c>
      <c r="E12">
        <v>3.4</v>
      </c>
      <c r="F12">
        <v>17.600000000000001</v>
      </c>
      <c r="G12">
        <v>11.8</v>
      </c>
      <c r="H12">
        <v>12.8</v>
      </c>
      <c r="I12">
        <v>20</v>
      </c>
      <c r="J12">
        <v>12.9</v>
      </c>
      <c r="K12">
        <v>48.6</v>
      </c>
      <c r="L12">
        <v>20</v>
      </c>
    </row>
    <row r="13" spans="1:12" x14ac:dyDescent="0.25">
      <c r="A13" t="s">
        <v>291</v>
      </c>
      <c r="B13">
        <v>418.8</v>
      </c>
      <c r="C13">
        <v>37.5</v>
      </c>
      <c r="D13">
        <v>43</v>
      </c>
      <c r="E13">
        <v>3</v>
      </c>
      <c r="F13">
        <v>16.2</v>
      </c>
      <c r="G13">
        <v>11.8</v>
      </c>
      <c r="H13">
        <v>11.8</v>
      </c>
      <c r="I13">
        <v>0</v>
      </c>
      <c r="J13">
        <v>0</v>
      </c>
      <c r="K13">
        <v>66.7</v>
      </c>
      <c r="L13">
        <v>16.7</v>
      </c>
    </row>
    <row r="14" spans="1:12" x14ac:dyDescent="0.25">
      <c r="A14" t="s">
        <v>292</v>
      </c>
      <c r="B14">
        <v>251.3</v>
      </c>
      <c r="C14">
        <v>14</v>
      </c>
      <c r="D14">
        <v>15.7</v>
      </c>
      <c r="E14">
        <v>2.1</v>
      </c>
      <c r="F14">
        <v>14.3</v>
      </c>
      <c r="G14">
        <v>6.2</v>
      </c>
      <c r="H14">
        <v>6.6</v>
      </c>
      <c r="I14">
        <v>32.299999999999997</v>
      </c>
      <c r="J14">
        <v>0</v>
      </c>
      <c r="K14">
        <v>71</v>
      </c>
      <c r="L14">
        <v>25.8</v>
      </c>
    </row>
    <row r="15" spans="1:12" x14ac:dyDescent="0.25">
      <c r="A15" t="s">
        <v>293</v>
      </c>
      <c r="B15">
        <v>351.2</v>
      </c>
      <c r="C15">
        <v>17.3</v>
      </c>
      <c r="D15">
        <v>19.399999999999999</v>
      </c>
      <c r="E15">
        <v>2.2999999999999998</v>
      </c>
      <c r="F15">
        <v>11.7</v>
      </c>
      <c r="G15">
        <v>7.6</v>
      </c>
      <c r="H15">
        <v>7.8</v>
      </c>
      <c r="I15">
        <v>10.9</v>
      </c>
      <c r="J15">
        <v>12.7</v>
      </c>
      <c r="K15">
        <v>69.099999999999994</v>
      </c>
      <c r="L15">
        <v>14.5</v>
      </c>
    </row>
    <row r="16" spans="1:12" x14ac:dyDescent="0.25">
      <c r="A16" t="s">
        <v>294</v>
      </c>
      <c r="B16">
        <v>350.3</v>
      </c>
      <c r="C16">
        <v>16.7</v>
      </c>
      <c r="D16">
        <v>17.8</v>
      </c>
      <c r="E16">
        <v>2.1</v>
      </c>
      <c r="F16">
        <v>11.4</v>
      </c>
      <c r="G16">
        <v>7.2</v>
      </c>
      <c r="H16">
        <v>7.7</v>
      </c>
      <c r="I16">
        <v>28.6</v>
      </c>
      <c r="J16">
        <v>0</v>
      </c>
      <c r="K16">
        <v>78.599999999999994</v>
      </c>
      <c r="L16">
        <v>14.3</v>
      </c>
    </row>
    <row r="17" spans="1:12" x14ac:dyDescent="0.25">
      <c r="A17" t="s">
        <v>295</v>
      </c>
      <c r="B17">
        <v>383.7</v>
      </c>
      <c r="C17">
        <v>13.2</v>
      </c>
      <c r="D17">
        <v>14.8</v>
      </c>
      <c r="E17">
        <v>2.2999999999999998</v>
      </c>
      <c r="F17">
        <v>16</v>
      </c>
      <c r="G17">
        <v>8</v>
      </c>
      <c r="H17">
        <v>8.5</v>
      </c>
      <c r="I17">
        <v>23.7</v>
      </c>
      <c r="J17">
        <v>0</v>
      </c>
      <c r="K17">
        <v>81.599999999999994</v>
      </c>
      <c r="L17">
        <v>18.399999999999999</v>
      </c>
    </row>
    <row r="18" spans="1:12" x14ac:dyDescent="0.25">
      <c r="A18" t="s">
        <v>296</v>
      </c>
      <c r="B18">
        <v>548.4</v>
      </c>
      <c r="C18">
        <v>34.299999999999997</v>
      </c>
      <c r="D18">
        <v>38.9</v>
      </c>
      <c r="E18">
        <v>3.7</v>
      </c>
      <c r="F18">
        <v>35</v>
      </c>
      <c r="G18">
        <v>12.7</v>
      </c>
      <c r="H18">
        <v>12.7</v>
      </c>
      <c r="I18">
        <v>22.2</v>
      </c>
      <c r="J18">
        <v>0</v>
      </c>
      <c r="K18">
        <v>55.6</v>
      </c>
      <c r="L18">
        <v>0</v>
      </c>
    </row>
    <row r="19" spans="1:12" x14ac:dyDescent="0.25">
      <c r="A19" t="s">
        <v>297</v>
      </c>
      <c r="B19">
        <v>1373.6</v>
      </c>
      <c r="C19">
        <v>87.6</v>
      </c>
      <c r="D19">
        <v>95.9</v>
      </c>
      <c r="E19">
        <v>4.0999999999999996</v>
      </c>
      <c r="F19">
        <v>28.3</v>
      </c>
      <c r="G19">
        <v>20</v>
      </c>
      <c r="H19">
        <v>29.8</v>
      </c>
      <c r="I19">
        <v>60.6</v>
      </c>
      <c r="J19">
        <v>7.6</v>
      </c>
      <c r="K19">
        <v>30.3</v>
      </c>
      <c r="L19">
        <v>18.2</v>
      </c>
    </row>
    <row r="20" spans="1:12" x14ac:dyDescent="0.25">
      <c r="A20" t="s">
        <v>298</v>
      </c>
      <c r="B20">
        <v>456.7</v>
      </c>
      <c r="C20">
        <v>25.5</v>
      </c>
      <c r="D20">
        <v>28.7</v>
      </c>
      <c r="E20">
        <v>0.8</v>
      </c>
      <c r="F20">
        <v>5.0999999999999996</v>
      </c>
      <c r="G20">
        <v>11.1</v>
      </c>
      <c r="H20">
        <v>11.1</v>
      </c>
      <c r="I20">
        <v>33.299999999999997</v>
      </c>
      <c r="J20">
        <v>7.4</v>
      </c>
      <c r="K20">
        <v>85.2</v>
      </c>
      <c r="L20">
        <v>0</v>
      </c>
    </row>
    <row r="21" spans="1:12" x14ac:dyDescent="0.25">
      <c r="A21" t="s">
        <v>299</v>
      </c>
      <c r="B21">
        <v>239.5</v>
      </c>
      <c r="C21">
        <v>11.7</v>
      </c>
      <c r="D21">
        <v>12.9</v>
      </c>
      <c r="E21">
        <v>1.7</v>
      </c>
      <c r="F21">
        <v>10.4</v>
      </c>
      <c r="G21">
        <v>5.9</v>
      </c>
      <c r="H21">
        <v>5.9</v>
      </c>
      <c r="I21">
        <v>4.7</v>
      </c>
      <c r="J21">
        <v>0</v>
      </c>
      <c r="K21">
        <v>81.3</v>
      </c>
      <c r="L21">
        <v>29.7</v>
      </c>
    </row>
    <row r="22" spans="1:12" x14ac:dyDescent="0.25">
      <c r="A22" t="s">
        <v>300</v>
      </c>
      <c r="B22">
        <v>574.79999999999995</v>
      </c>
      <c r="C22">
        <v>20.2</v>
      </c>
      <c r="D22">
        <v>25</v>
      </c>
      <c r="E22">
        <v>3.3</v>
      </c>
      <c r="F22">
        <v>17.7</v>
      </c>
      <c r="G22">
        <v>11.7</v>
      </c>
      <c r="H22">
        <v>12.6</v>
      </c>
      <c r="I22">
        <v>16.899999999999999</v>
      </c>
      <c r="J22">
        <v>10.5</v>
      </c>
      <c r="K22">
        <v>65.3</v>
      </c>
      <c r="L22">
        <v>17.7</v>
      </c>
    </row>
    <row r="23" spans="1:12" x14ac:dyDescent="0.25">
      <c r="A23" t="s">
        <v>301</v>
      </c>
      <c r="B23">
        <v>481</v>
      </c>
      <c r="C23">
        <v>23.7</v>
      </c>
      <c r="D23">
        <v>27.5</v>
      </c>
      <c r="E23">
        <v>3.2</v>
      </c>
      <c r="F23">
        <v>33.799999999999997</v>
      </c>
      <c r="G23">
        <v>10.6</v>
      </c>
      <c r="H23">
        <v>10.9</v>
      </c>
      <c r="I23">
        <v>15</v>
      </c>
      <c r="J23">
        <v>1.7</v>
      </c>
      <c r="K23">
        <v>73.3</v>
      </c>
      <c r="L23">
        <v>11.7</v>
      </c>
    </row>
    <row r="24" spans="1:12" x14ac:dyDescent="0.25">
      <c r="A24" t="s">
        <v>302</v>
      </c>
      <c r="B24">
        <v>448.5</v>
      </c>
      <c r="C24">
        <v>17.100000000000001</v>
      </c>
      <c r="D24">
        <v>18.399999999999999</v>
      </c>
      <c r="E24">
        <v>2.5</v>
      </c>
      <c r="F24">
        <v>13.4</v>
      </c>
      <c r="G24">
        <v>8.4</v>
      </c>
      <c r="H24">
        <v>9</v>
      </c>
      <c r="I24">
        <v>33.299999999999997</v>
      </c>
      <c r="J24">
        <v>3.7</v>
      </c>
      <c r="K24">
        <v>77.8</v>
      </c>
      <c r="L24">
        <v>25.9</v>
      </c>
    </row>
    <row r="25" spans="1:12" x14ac:dyDescent="0.25">
      <c r="A25" t="s">
        <v>303</v>
      </c>
      <c r="B25">
        <v>636.29999999999995</v>
      </c>
      <c r="C25">
        <v>20</v>
      </c>
      <c r="D25">
        <v>23.9</v>
      </c>
      <c r="E25">
        <v>2.9</v>
      </c>
      <c r="F25">
        <v>17.2</v>
      </c>
      <c r="G25">
        <v>11.4</v>
      </c>
      <c r="H25">
        <v>12.7</v>
      </c>
      <c r="I25">
        <v>43.9</v>
      </c>
      <c r="J25">
        <v>2.4</v>
      </c>
      <c r="K25">
        <v>73.2</v>
      </c>
      <c r="L25">
        <v>22</v>
      </c>
    </row>
    <row r="26" spans="1:12" x14ac:dyDescent="0.25">
      <c r="A26" t="s">
        <v>304</v>
      </c>
      <c r="B26">
        <v>203.9</v>
      </c>
      <c r="C26">
        <v>12.4</v>
      </c>
      <c r="D26">
        <v>13.8</v>
      </c>
      <c r="E26">
        <v>1.8</v>
      </c>
      <c r="F26">
        <v>9.6999999999999993</v>
      </c>
      <c r="G26">
        <v>5</v>
      </c>
      <c r="H26">
        <v>5.2</v>
      </c>
      <c r="I26">
        <v>13.5</v>
      </c>
      <c r="J26">
        <v>0</v>
      </c>
      <c r="K26">
        <v>70.3</v>
      </c>
      <c r="L26">
        <v>13.5</v>
      </c>
    </row>
    <row r="27" spans="1:12" x14ac:dyDescent="0.25">
      <c r="A27" t="s">
        <v>305</v>
      </c>
      <c r="B27">
        <v>516.20000000000005</v>
      </c>
      <c r="C27">
        <v>24.8</v>
      </c>
      <c r="D27">
        <v>29.8</v>
      </c>
      <c r="E27">
        <v>3.7</v>
      </c>
      <c r="F27">
        <v>18</v>
      </c>
      <c r="G27">
        <v>11.2</v>
      </c>
      <c r="H27">
        <v>11.8</v>
      </c>
      <c r="I27">
        <v>16.2</v>
      </c>
      <c r="J27">
        <v>2.7</v>
      </c>
      <c r="K27">
        <v>73</v>
      </c>
      <c r="L27">
        <v>16.2</v>
      </c>
    </row>
    <row r="28" spans="1:12" x14ac:dyDescent="0.25">
      <c r="A28" t="s">
        <v>306</v>
      </c>
      <c r="B28">
        <v>616.1</v>
      </c>
      <c r="C28">
        <v>26.8</v>
      </c>
      <c r="D28">
        <v>33.200000000000003</v>
      </c>
      <c r="E28">
        <v>4.7</v>
      </c>
      <c r="F28">
        <v>21.2</v>
      </c>
      <c r="G28">
        <v>14.5</v>
      </c>
      <c r="H28">
        <v>14.8</v>
      </c>
      <c r="I28">
        <v>5</v>
      </c>
      <c r="J28">
        <v>13.4</v>
      </c>
      <c r="K28">
        <v>71.400000000000006</v>
      </c>
      <c r="L28">
        <v>16.8</v>
      </c>
    </row>
    <row r="29" spans="1:12" x14ac:dyDescent="0.25">
      <c r="A29" t="s">
        <v>307</v>
      </c>
      <c r="B29">
        <v>552.1</v>
      </c>
      <c r="C29">
        <v>17.899999999999999</v>
      </c>
      <c r="D29">
        <v>21.1</v>
      </c>
      <c r="E29">
        <v>3</v>
      </c>
      <c r="F29">
        <v>17.7</v>
      </c>
      <c r="G29">
        <v>11.1</v>
      </c>
      <c r="H29">
        <v>11.8</v>
      </c>
      <c r="I29">
        <v>26.6</v>
      </c>
      <c r="J29">
        <v>7.6</v>
      </c>
      <c r="K29">
        <v>67.099999999999994</v>
      </c>
      <c r="L29">
        <v>7.6</v>
      </c>
    </row>
    <row r="30" spans="1:12" x14ac:dyDescent="0.25">
      <c r="A30" t="s">
        <v>266</v>
      </c>
      <c r="B30">
        <v>532.5</v>
      </c>
      <c r="C30">
        <v>24</v>
      </c>
      <c r="D30">
        <v>28</v>
      </c>
      <c r="E30">
        <v>3.1</v>
      </c>
      <c r="F30">
        <v>17.899999999999999</v>
      </c>
      <c r="G30">
        <v>10.7</v>
      </c>
      <c r="H30">
        <v>11.8</v>
      </c>
      <c r="I30">
        <v>21.8</v>
      </c>
      <c r="J30">
        <v>7.5</v>
      </c>
      <c r="K30">
        <v>67.3</v>
      </c>
      <c r="L30">
        <v>18.3</v>
      </c>
    </row>
    <row r="31" spans="1:12" x14ac:dyDescent="0.25">
      <c r="A31" t="s">
        <v>308</v>
      </c>
      <c r="B31">
        <v>970.3</v>
      </c>
      <c r="C31">
        <v>54.3</v>
      </c>
      <c r="D31">
        <v>61.2</v>
      </c>
      <c r="E31">
        <v>4.2</v>
      </c>
      <c r="F31">
        <v>29.2</v>
      </c>
      <c r="G31">
        <v>18</v>
      </c>
      <c r="H31">
        <v>21.3</v>
      </c>
      <c r="I31">
        <v>39</v>
      </c>
      <c r="J31">
        <v>3.9</v>
      </c>
      <c r="K31">
        <v>45.2</v>
      </c>
      <c r="L31">
        <v>16.2</v>
      </c>
    </row>
    <row r="32" spans="1:12" x14ac:dyDescent="0.25">
      <c r="A32" t="s">
        <v>309</v>
      </c>
      <c r="B32">
        <v>468.6</v>
      </c>
      <c r="C32">
        <v>19.5</v>
      </c>
      <c r="D32">
        <v>23.1</v>
      </c>
      <c r="E32">
        <v>2.9</v>
      </c>
      <c r="F32">
        <v>16.2</v>
      </c>
      <c r="G32">
        <v>9.6</v>
      </c>
      <c r="H32">
        <v>10.4</v>
      </c>
      <c r="I32">
        <v>19.3</v>
      </c>
      <c r="J32">
        <v>8</v>
      </c>
      <c r="K32">
        <v>70.5</v>
      </c>
      <c r="L32">
        <v>18.600000000000001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7030A0"/>
  </sheetPr>
  <dimension ref="A1:K32"/>
  <sheetViews>
    <sheetView workbookViewId="0"/>
  </sheetViews>
  <sheetFormatPr defaultRowHeight="15" x14ac:dyDescent="0.25"/>
  <cols>
    <col min="1" max="1" width="28.7109375" customWidth="1"/>
    <col min="2" max="2" width="15.140625" customWidth="1"/>
    <col min="3" max="3" width="15.28515625" customWidth="1"/>
    <col min="4" max="4" width="15.140625" customWidth="1"/>
    <col min="5" max="5" width="15.28515625" customWidth="1"/>
    <col min="6" max="6" width="15.140625" customWidth="1"/>
    <col min="7" max="7" width="15.28515625" customWidth="1"/>
    <col min="8" max="8" width="15.140625" customWidth="1"/>
    <col min="9" max="9" width="15.28515625" customWidth="1"/>
    <col min="10" max="10" width="15.140625" customWidth="1"/>
    <col min="11" max="11" width="15.28515625" customWidth="1"/>
  </cols>
  <sheetData>
    <row r="1" spans="1:11" x14ac:dyDescent="0.25">
      <c r="A1" s="29" t="s">
        <v>588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33.200000000000003</v>
      </c>
      <c r="C5">
        <v>27.9</v>
      </c>
      <c r="D5">
        <v>30.1</v>
      </c>
      <c r="E5">
        <v>41.6</v>
      </c>
      <c r="F5">
        <v>1.4</v>
      </c>
      <c r="G5">
        <v>1.4</v>
      </c>
      <c r="H5">
        <v>16</v>
      </c>
      <c r="I5">
        <v>51.3</v>
      </c>
      <c r="J5">
        <v>57.4</v>
      </c>
      <c r="K5">
        <v>19.3</v>
      </c>
    </row>
    <row r="6" spans="1:11" x14ac:dyDescent="0.25">
      <c r="A6" t="s">
        <v>284</v>
      </c>
      <c r="B6">
        <v>46.8</v>
      </c>
      <c r="C6">
        <v>35.4</v>
      </c>
      <c r="D6">
        <v>30.6</v>
      </c>
      <c r="E6">
        <v>47.2</v>
      </c>
      <c r="F6">
        <v>1.5</v>
      </c>
      <c r="G6">
        <v>1.2</v>
      </c>
      <c r="H6">
        <v>24.4</v>
      </c>
      <c r="I6">
        <v>57.8</v>
      </c>
      <c r="J6">
        <v>64</v>
      </c>
      <c r="K6">
        <v>38.4</v>
      </c>
    </row>
    <row r="7" spans="1:11" x14ac:dyDescent="0.25">
      <c r="A7" t="s">
        <v>285</v>
      </c>
      <c r="B7">
        <v>54.9</v>
      </c>
      <c r="C7">
        <v>38.799999999999997</v>
      </c>
      <c r="D7">
        <v>36.1</v>
      </c>
      <c r="E7">
        <v>47.9</v>
      </c>
      <c r="F7">
        <v>1.3</v>
      </c>
      <c r="G7">
        <v>1.2</v>
      </c>
      <c r="H7">
        <v>29.3</v>
      </c>
      <c r="I7">
        <v>57.1</v>
      </c>
      <c r="J7">
        <v>64.5</v>
      </c>
      <c r="K7">
        <v>39.1</v>
      </c>
    </row>
    <row r="8" spans="1:11" x14ac:dyDescent="0.25">
      <c r="A8" t="s">
        <v>286</v>
      </c>
      <c r="B8">
        <v>40.6</v>
      </c>
      <c r="C8">
        <v>33.200000000000003</v>
      </c>
      <c r="D8">
        <v>33.1</v>
      </c>
      <c r="E8">
        <v>48.5</v>
      </c>
      <c r="F8">
        <v>1.5</v>
      </c>
      <c r="G8">
        <v>1.2</v>
      </c>
      <c r="H8">
        <v>18.2</v>
      </c>
      <c r="I8">
        <v>45.4</v>
      </c>
      <c r="J8">
        <v>50.4</v>
      </c>
      <c r="K8">
        <v>22.9</v>
      </c>
    </row>
    <row r="9" spans="1:11" x14ac:dyDescent="0.25">
      <c r="A9" t="s">
        <v>287</v>
      </c>
      <c r="B9">
        <v>50.1</v>
      </c>
      <c r="C9">
        <v>40.799999999999997</v>
      </c>
      <c r="D9">
        <v>37.9</v>
      </c>
      <c r="E9">
        <v>50</v>
      </c>
      <c r="F9">
        <v>1.3</v>
      </c>
      <c r="G9">
        <v>1.2</v>
      </c>
      <c r="H9">
        <v>18.5</v>
      </c>
      <c r="I9">
        <v>41.7</v>
      </c>
      <c r="J9">
        <v>47.1</v>
      </c>
      <c r="K9">
        <v>18.2</v>
      </c>
    </row>
    <row r="10" spans="1:11" x14ac:dyDescent="0.25">
      <c r="A10" t="s">
        <v>288</v>
      </c>
      <c r="B10">
        <v>41.8</v>
      </c>
      <c r="C10">
        <v>35.200000000000003</v>
      </c>
      <c r="D10">
        <v>30.3</v>
      </c>
      <c r="E10">
        <v>40.9</v>
      </c>
      <c r="F10">
        <v>1.4</v>
      </c>
      <c r="G10">
        <v>1.5</v>
      </c>
      <c r="H10">
        <v>15.9</v>
      </c>
      <c r="I10">
        <v>53</v>
      </c>
      <c r="J10">
        <v>57.6</v>
      </c>
      <c r="K10">
        <v>28.4</v>
      </c>
    </row>
    <row r="11" spans="1:11" x14ac:dyDescent="0.25">
      <c r="A11" t="s">
        <v>289</v>
      </c>
      <c r="B11">
        <v>33.4</v>
      </c>
      <c r="C11">
        <v>27.1</v>
      </c>
      <c r="D11">
        <v>31.5</v>
      </c>
      <c r="E11">
        <v>37.200000000000003</v>
      </c>
      <c r="F11">
        <v>1.2</v>
      </c>
      <c r="G11">
        <v>1.5</v>
      </c>
      <c r="H11">
        <v>18.8</v>
      </c>
      <c r="I11">
        <v>46.1</v>
      </c>
      <c r="J11">
        <v>52.2</v>
      </c>
      <c r="K11">
        <v>20.100000000000001</v>
      </c>
    </row>
    <row r="12" spans="1:11" x14ac:dyDescent="0.25">
      <c r="A12" t="s">
        <v>290</v>
      </c>
      <c r="B12">
        <v>66.3</v>
      </c>
      <c r="C12">
        <v>49.3</v>
      </c>
      <c r="D12">
        <v>37.1</v>
      </c>
      <c r="E12">
        <v>50.8</v>
      </c>
      <c r="F12">
        <v>1.4</v>
      </c>
      <c r="G12">
        <v>1.2</v>
      </c>
      <c r="H12">
        <v>25.7</v>
      </c>
      <c r="I12">
        <v>54.8</v>
      </c>
      <c r="J12">
        <v>64</v>
      </c>
      <c r="K12">
        <v>28.5</v>
      </c>
    </row>
    <row r="13" spans="1:11" x14ac:dyDescent="0.25">
      <c r="A13" t="s">
        <v>291</v>
      </c>
      <c r="B13">
        <v>25.8</v>
      </c>
      <c r="C13">
        <v>19.8</v>
      </c>
      <c r="D13">
        <v>29.8</v>
      </c>
      <c r="E13">
        <v>34.6</v>
      </c>
      <c r="F13">
        <v>1.2</v>
      </c>
      <c r="G13">
        <v>1.7</v>
      </c>
      <c r="H13">
        <v>23.1</v>
      </c>
      <c r="I13">
        <v>47.3</v>
      </c>
      <c r="J13">
        <v>55.5</v>
      </c>
      <c r="K13">
        <v>20</v>
      </c>
    </row>
    <row r="14" spans="1:11" x14ac:dyDescent="0.25">
      <c r="A14" t="s">
        <v>292</v>
      </c>
      <c r="B14">
        <v>26.1</v>
      </c>
      <c r="C14">
        <v>22.2</v>
      </c>
      <c r="D14">
        <v>20.3</v>
      </c>
      <c r="E14">
        <v>30.8</v>
      </c>
      <c r="F14">
        <v>1.5</v>
      </c>
      <c r="G14">
        <v>1.8</v>
      </c>
      <c r="H14">
        <v>14.7</v>
      </c>
      <c r="I14">
        <v>47.1</v>
      </c>
      <c r="J14">
        <v>50.7</v>
      </c>
      <c r="K14">
        <v>25.9</v>
      </c>
    </row>
    <row r="15" spans="1:11" x14ac:dyDescent="0.25">
      <c r="A15" t="s">
        <v>293</v>
      </c>
      <c r="B15">
        <v>42.6</v>
      </c>
      <c r="C15">
        <v>36.6</v>
      </c>
      <c r="D15">
        <v>28.8</v>
      </c>
      <c r="E15">
        <v>45.8</v>
      </c>
      <c r="F15">
        <v>1.6</v>
      </c>
      <c r="G15">
        <v>1.3</v>
      </c>
      <c r="H15">
        <v>14.2</v>
      </c>
      <c r="I15">
        <v>63</v>
      </c>
      <c r="J15">
        <v>67.400000000000006</v>
      </c>
      <c r="K15">
        <v>36.299999999999997</v>
      </c>
    </row>
    <row r="16" spans="1:11" x14ac:dyDescent="0.25">
      <c r="A16" t="s">
        <v>294</v>
      </c>
      <c r="B16">
        <v>25.7</v>
      </c>
      <c r="C16">
        <v>24.1</v>
      </c>
      <c r="D16">
        <v>22.2</v>
      </c>
      <c r="E16">
        <v>33.6</v>
      </c>
      <c r="F16">
        <v>1.5</v>
      </c>
      <c r="G16">
        <v>1.7</v>
      </c>
      <c r="H16">
        <v>6.3</v>
      </c>
      <c r="I16">
        <v>48.7</v>
      </c>
      <c r="J16">
        <v>50.4</v>
      </c>
      <c r="K16">
        <v>23.7</v>
      </c>
    </row>
    <row r="17" spans="1:11" x14ac:dyDescent="0.25">
      <c r="A17" t="s">
        <v>295</v>
      </c>
      <c r="B17">
        <v>38.5</v>
      </c>
      <c r="C17">
        <v>30.4</v>
      </c>
      <c r="D17">
        <v>24.7</v>
      </c>
      <c r="E17">
        <v>35.6</v>
      </c>
      <c r="F17">
        <v>1.4</v>
      </c>
      <c r="G17">
        <v>1.6</v>
      </c>
      <c r="H17">
        <v>21</v>
      </c>
      <c r="I17">
        <v>42.2</v>
      </c>
      <c r="J17">
        <v>46.8</v>
      </c>
      <c r="K17">
        <v>24.5</v>
      </c>
    </row>
    <row r="18" spans="1:11" x14ac:dyDescent="0.25">
      <c r="A18" t="s">
        <v>296</v>
      </c>
      <c r="B18">
        <v>35.799999999999997</v>
      </c>
      <c r="C18">
        <v>31.6</v>
      </c>
      <c r="D18">
        <v>29.2</v>
      </c>
      <c r="E18">
        <v>39.700000000000003</v>
      </c>
      <c r="F18">
        <v>1.4</v>
      </c>
      <c r="G18">
        <v>1.4</v>
      </c>
      <c r="H18">
        <v>11.7</v>
      </c>
      <c r="I18">
        <v>55.7</v>
      </c>
      <c r="J18">
        <v>58.7</v>
      </c>
      <c r="K18">
        <v>33.299999999999997</v>
      </c>
    </row>
    <row r="19" spans="1:11" x14ac:dyDescent="0.25">
      <c r="A19" t="s">
        <v>297</v>
      </c>
      <c r="B19">
        <v>41.2</v>
      </c>
      <c r="C19">
        <v>35.5</v>
      </c>
      <c r="D19">
        <v>42.4</v>
      </c>
      <c r="E19">
        <v>62.1</v>
      </c>
      <c r="F19">
        <v>1.5</v>
      </c>
      <c r="G19">
        <v>0.9</v>
      </c>
      <c r="H19">
        <v>13.9</v>
      </c>
      <c r="I19">
        <v>71.3</v>
      </c>
      <c r="J19">
        <v>76</v>
      </c>
      <c r="K19">
        <v>42.4</v>
      </c>
    </row>
    <row r="20" spans="1:11" x14ac:dyDescent="0.25">
      <c r="A20" t="s">
        <v>298</v>
      </c>
      <c r="B20">
        <v>34</v>
      </c>
      <c r="C20">
        <v>28.7</v>
      </c>
      <c r="D20">
        <v>33.200000000000003</v>
      </c>
      <c r="E20">
        <v>35.4</v>
      </c>
      <c r="F20">
        <v>1.1000000000000001</v>
      </c>
      <c r="G20">
        <v>1.6</v>
      </c>
      <c r="H20">
        <v>15.5</v>
      </c>
      <c r="I20">
        <v>53.2</v>
      </c>
      <c r="J20">
        <v>56.5</v>
      </c>
      <c r="K20">
        <v>35.4</v>
      </c>
    </row>
    <row r="21" spans="1:11" x14ac:dyDescent="0.25">
      <c r="A21" t="s">
        <v>299</v>
      </c>
      <c r="B21">
        <v>31</v>
      </c>
      <c r="C21">
        <v>26</v>
      </c>
      <c r="D21">
        <v>24</v>
      </c>
      <c r="E21">
        <v>33.4</v>
      </c>
      <c r="F21">
        <v>1.4</v>
      </c>
      <c r="G21">
        <v>4.2</v>
      </c>
      <c r="H21">
        <v>16.3</v>
      </c>
      <c r="I21">
        <v>50.6</v>
      </c>
      <c r="J21">
        <v>55.7</v>
      </c>
      <c r="K21">
        <v>24.6</v>
      </c>
    </row>
    <row r="22" spans="1:11" x14ac:dyDescent="0.25">
      <c r="A22" t="s">
        <v>300</v>
      </c>
      <c r="B22">
        <v>55.1</v>
      </c>
      <c r="C22">
        <v>37.5</v>
      </c>
      <c r="D22">
        <v>32.700000000000003</v>
      </c>
      <c r="E22">
        <v>41.9</v>
      </c>
      <c r="F22">
        <v>1.3</v>
      </c>
      <c r="G22">
        <v>1.4</v>
      </c>
      <c r="H22">
        <v>31.9</v>
      </c>
      <c r="I22">
        <v>42.2</v>
      </c>
      <c r="J22">
        <v>49.8</v>
      </c>
      <c r="K22">
        <v>25.9</v>
      </c>
    </row>
    <row r="23" spans="1:11" x14ac:dyDescent="0.25">
      <c r="A23" t="s">
        <v>301</v>
      </c>
      <c r="B23">
        <v>44.6</v>
      </c>
      <c r="C23">
        <v>34.799999999999997</v>
      </c>
      <c r="D23">
        <v>29.4</v>
      </c>
      <c r="E23">
        <v>43.6</v>
      </c>
      <c r="F23">
        <v>1.5</v>
      </c>
      <c r="G23">
        <v>1.3</v>
      </c>
      <c r="H23">
        <v>21.9</v>
      </c>
      <c r="I23">
        <v>48.7</v>
      </c>
      <c r="J23">
        <v>54.1</v>
      </c>
      <c r="K23">
        <v>29.3</v>
      </c>
    </row>
    <row r="24" spans="1:11" x14ac:dyDescent="0.25">
      <c r="A24" t="s">
        <v>302</v>
      </c>
      <c r="B24">
        <v>51.3</v>
      </c>
      <c r="C24">
        <v>46.3</v>
      </c>
      <c r="D24">
        <v>28.7</v>
      </c>
      <c r="E24">
        <v>46.3</v>
      </c>
      <c r="F24">
        <v>1.6</v>
      </c>
      <c r="G24">
        <v>1.4</v>
      </c>
      <c r="H24">
        <v>9.9</v>
      </c>
      <c r="I24">
        <v>44.5</v>
      </c>
      <c r="J24">
        <v>47</v>
      </c>
      <c r="K24">
        <v>21.8</v>
      </c>
    </row>
    <row r="25" spans="1:11" x14ac:dyDescent="0.25">
      <c r="A25" t="s">
        <v>303</v>
      </c>
      <c r="B25">
        <v>58</v>
      </c>
      <c r="C25">
        <v>39.799999999999997</v>
      </c>
      <c r="D25">
        <v>36</v>
      </c>
      <c r="E25">
        <v>50.8</v>
      </c>
      <c r="F25">
        <v>1.4</v>
      </c>
      <c r="G25">
        <v>1.1000000000000001</v>
      </c>
      <c r="H25">
        <v>31.4</v>
      </c>
      <c r="I25">
        <v>61.4</v>
      </c>
      <c r="J25">
        <v>68.900000000000006</v>
      </c>
      <c r="K25">
        <v>44.9</v>
      </c>
    </row>
    <row r="26" spans="1:11" x14ac:dyDescent="0.25">
      <c r="A26" t="s">
        <v>304</v>
      </c>
      <c r="B26">
        <v>32.700000000000003</v>
      </c>
      <c r="C26">
        <v>29.3</v>
      </c>
      <c r="D26">
        <v>22.2</v>
      </c>
      <c r="E26">
        <v>33.9</v>
      </c>
      <c r="F26">
        <v>1.5</v>
      </c>
      <c r="G26">
        <v>1.7</v>
      </c>
      <c r="H26">
        <v>10.199999999999999</v>
      </c>
      <c r="I26">
        <v>58.5</v>
      </c>
      <c r="J26">
        <v>61.3</v>
      </c>
      <c r="K26">
        <v>33.299999999999997</v>
      </c>
    </row>
    <row r="27" spans="1:11" x14ac:dyDescent="0.25">
      <c r="A27" t="s">
        <v>305</v>
      </c>
      <c r="B27">
        <v>43.8</v>
      </c>
      <c r="C27">
        <v>33</v>
      </c>
      <c r="D27">
        <v>29.3</v>
      </c>
      <c r="E27">
        <v>40.5</v>
      </c>
      <c r="F27">
        <v>1.4</v>
      </c>
      <c r="G27">
        <v>1.4</v>
      </c>
      <c r="H27">
        <v>24.7</v>
      </c>
      <c r="I27">
        <v>36.6</v>
      </c>
      <c r="J27">
        <v>41.8</v>
      </c>
      <c r="K27">
        <v>20.6</v>
      </c>
    </row>
    <row r="28" spans="1:11" x14ac:dyDescent="0.25">
      <c r="A28" t="s">
        <v>306</v>
      </c>
      <c r="B28">
        <v>40.4</v>
      </c>
      <c r="C28">
        <v>30.2</v>
      </c>
      <c r="D28">
        <v>32.9</v>
      </c>
      <c r="E28">
        <v>38</v>
      </c>
      <c r="F28">
        <v>1.2</v>
      </c>
      <c r="G28">
        <v>1.7</v>
      </c>
      <c r="H28">
        <v>25.1</v>
      </c>
      <c r="I28">
        <v>38.700000000000003</v>
      </c>
      <c r="J28">
        <v>44.3</v>
      </c>
      <c r="K28">
        <v>22</v>
      </c>
    </row>
    <row r="29" spans="1:11" x14ac:dyDescent="0.25">
      <c r="A29" t="s">
        <v>307</v>
      </c>
      <c r="B29">
        <v>54.3</v>
      </c>
      <c r="C29">
        <v>42.2</v>
      </c>
      <c r="D29">
        <v>34.6</v>
      </c>
      <c r="E29">
        <v>48.4</v>
      </c>
      <c r="F29">
        <v>1.4</v>
      </c>
      <c r="G29">
        <v>1.2</v>
      </c>
      <c r="H29">
        <v>22.3</v>
      </c>
      <c r="I29">
        <v>54.1</v>
      </c>
      <c r="J29">
        <v>61</v>
      </c>
      <c r="K29">
        <v>30.3</v>
      </c>
    </row>
    <row r="30" spans="1:11" x14ac:dyDescent="0.25">
      <c r="A30" t="s">
        <v>266</v>
      </c>
      <c r="B30">
        <v>45.1</v>
      </c>
      <c r="C30">
        <v>35.299999999999997</v>
      </c>
      <c r="D30">
        <v>32.4</v>
      </c>
      <c r="E30">
        <v>44.7</v>
      </c>
      <c r="F30">
        <v>1.4</v>
      </c>
      <c r="G30">
        <v>1.3</v>
      </c>
      <c r="H30">
        <v>21.7</v>
      </c>
      <c r="I30">
        <v>51.8</v>
      </c>
      <c r="J30">
        <v>57.7</v>
      </c>
      <c r="K30">
        <v>30.3</v>
      </c>
    </row>
    <row r="31" spans="1:11" x14ac:dyDescent="0.25">
      <c r="A31" t="s">
        <v>308</v>
      </c>
      <c r="B31">
        <v>37.299999999999997</v>
      </c>
      <c r="C31">
        <v>31.1</v>
      </c>
      <c r="D31">
        <v>37.700000000000003</v>
      </c>
      <c r="E31">
        <v>51.7</v>
      </c>
      <c r="F31">
        <v>1.4</v>
      </c>
      <c r="G31">
        <v>1.1000000000000001</v>
      </c>
      <c r="H31">
        <v>16.7</v>
      </c>
      <c r="I31">
        <v>65.900000000000006</v>
      </c>
      <c r="J31">
        <v>70.8</v>
      </c>
      <c r="K31">
        <v>41.9</v>
      </c>
    </row>
    <row r="32" spans="1:11" x14ac:dyDescent="0.25">
      <c r="A32" t="s">
        <v>309</v>
      </c>
      <c r="B32">
        <v>47</v>
      </c>
      <c r="C32">
        <v>36.299999999999997</v>
      </c>
      <c r="D32">
        <v>31.6</v>
      </c>
      <c r="E32">
        <v>43.6</v>
      </c>
      <c r="F32">
        <v>1.4</v>
      </c>
      <c r="G32">
        <v>1.4</v>
      </c>
      <c r="H32">
        <v>22.8</v>
      </c>
      <c r="I32">
        <v>48.5</v>
      </c>
      <c r="J32">
        <v>54.5</v>
      </c>
      <c r="K32">
        <v>28.3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7030A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29" t="s">
        <v>709</v>
      </c>
      <c r="B1" s="29" t="s">
        <v>413</v>
      </c>
      <c r="C1" s="29"/>
      <c r="D1" s="29" t="s">
        <v>600</v>
      </c>
      <c r="E1" s="29"/>
      <c r="F1" s="29" t="s">
        <v>601</v>
      </c>
      <c r="G1" s="29"/>
      <c r="H1" s="29" t="s">
        <v>602</v>
      </c>
      <c r="I1" s="29"/>
      <c r="J1" s="29" t="s">
        <v>603</v>
      </c>
      <c r="K1" s="29"/>
      <c r="L1" s="29"/>
      <c r="M1" s="29"/>
    </row>
    <row r="2" spans="1:13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  <c r="H2" t="s">
        <v>263</v>
      </c>
      <c r="I2" t="s">
        <v>264</v>
      </c>
      <c r="J2" t="s">
        <v>413</v>
      </c>
      <c r="K2" t="s">
        <v>604</v>
      </c>
      <c r="L2" t="s">
        <v>605</v>
      </c>
      <c r="M2" t="s">
        <v>606</v>
      </c>
    </row>
    <row r="3" spans="1:13" x14ac:dyDescent="0.25">
      <c r="A3" t="s">
        <v>283</v>
      </c>
      <c r="B3">
        <v>16461</v>
      </c>
      <c r="C3">
        <v>8039</v>
      </c>
      <c r="D3">
        <v>103525</v>
      </c>
      <c r="E3">
        <v>50225</v>
      </c>
      <c r="F3">
        <v>58512</v>
      </c>
      <c r="G3">
        <v>28221</v>
      </c>
      <c r="H3">
        <v>62353</v>
      </c>
      <c r="I3">
        <v>30131</v>
      </c>
      <c r="J3">
        <v>104.8</v>
      </c>
      <c r="K3">
        <v>106.1</v>
      </c>
      <c r="L3">
        <v>107.3</v>
      </c>
      <c r="M3">
        <v>106.9</v>
      </c>
    </row>
    <row r="4" spans="1:13" x14ac:dyDescent="0.25">
      <c r="A4" t="s">
        <v>284</v>
      </c>
      <c r="B4">
        <v>24736</v>
      </c>
      <c r="C4">
        <v>11911</v>
      </c>
      <c r="D4">
        <v>157226</v>
      </c>
      <c r="E4">
        <v>75840</v>
      </c>
      <c r="F4">
        <v>91224</v>
      </c>
      <c r="G4">
        <v>44088</v>
      </c>
      <c r="H4">
        <v>98706</v>
      </c>
      <c r="I4">
        <v>47411</v>
      </c>
      <c r="J4">
        <v>107.7</v>
      </c>
      <c r="K4">
        <v>107.3</v>
      </c>
      <c r="L4">
        <v>106.9</v>
      </c>
      <c r="M4">
        <v>108.2</v>
      </c>
    </row>
    <row r="5" spans="1:13" x14ac:dyDescent="0.25">
      <c r="A5" t="s">
        <v>285</v>
      </c>
      <c r="B5">
        <v>18874</v>
      </c>
      <c r="C5">
        <v>9185</v>
      </c>
      <c r="D5">
        <v>120717</v>
      </c>
      <c r="E5">
        <v>58767</v>
      </c>
      <c r="F5">
        <v>68241</v>
      </c>
      <c r="G5">
        <v>33016</v>
      </c>
      <c r="H5">
        <v>70837</v>
      </c>
      <c r="I5">
        <v>33662</v>
      </c>
      <c r="J5">
        <v>105.5</v>
      </c>
      <c r="K5">
        <v>105.4</v>
      </c>
      <c r="L5">
        <v>106.7</v>
      </c>
      <c r="M5">
        <v>110.4</v>
      </c>
    </row>
    <row r="6" spans="1:13" x14ac:dyDescent="0.25">
      <c r="A6" t="s">
        <v>286</v>
      </c>
      <c r="B6">
        <v>11640</v>
      </c>
      <c r="C6">
        <v>5678</v>
      </c>
      <c r="D6">
        <v>73482</v>
      </c>
      <c r="E6">
        <v>35807</v>
      </c>
      <c r="F6">
        <v>41471</v>
      </c>
      <c r="G6">
        <v>20055</v>
      </c>
      <c r="H6">
        <v>42553</v>
      </c>
      <c r="I6">
        <v>20258</v>
      </c>
      <c r="J6">
        <v>105</v>
      </c>
      <c r="K6">
        <v>105.2</v>
      </c>
      <c r="L6">
        <v>106.8</v>
      </c>
      <c r="M6">
        <v>110.1</v>
      </c>
    </row>
    <row r="7" spans="1:13" x14ac:dyDescent="0.25">
      <c r="A7" t="s">
        <v>287</v>
      </c>
      <c r="B7">
        <v>17200</v>
      </c>
      <c r="C7">
        <v>8442</v>
      </c>
      <c r="D7">
        <v>110761</v>
      </c>
      <c r="E7">
        <v>54321</v>
      </c>
      <c r="F7">
        <v>62401</v>
      </c>
      <c r="G7">
        <v>30209</v>
      </c>
      <c r="H7">
        <v>62830</v>
      </c>
      <c r="I7">
        <v>29519</v>
      </c>
      <c r="J7">
        <v>103.7</v>
      </c>
      <c r="K7">
        <v>103.9</v>
      </c>
      <c r="L7">
        <v>106.6</v>
      </c>
      <c r="M7">
        <v>112.8</v>
      </c>
    </row>
    <row r="8" spans="1:13" x14ac:dyDescent="0.25">
      <c r="A8" t="s">
        <v>288</v>
      </c>
      <c r="B8">
        <v>14900</v>
      </c>
      <c r="C8">
        <v>7198</v>
      </c>
      <c r="D8">
        <v>95443</v>
      </c>
      <c r="E8">
        <v>46290</v>
      </c>
      <c r="F8">
        <v>53145</v>
      </c>
      <c r="G8">
        <v>25681</v>
      </c>
      <c r="H8">
        <v>53982</v>
      </c>
      <c r="I8">
        <v>25433</v>
      </c>
      <c r="J8">
        <v>107</v>
      </c>
      <c r="K8">
        <v>106.2</v>
      </c>
      <c r="L8">
        <v>106.9</v>
      </c>
      <c r="M8">
        <v>112.3</v>
      </c>
    </row>
    <row r="9" spans="1:13" x14ac:dyDescent="0.25">
      <c r="A9" t="s">
        <v>289</v>
      </c>
      <c r="B9">
        <v>12846</v>
      </c>
      <c r="C9">
        <v>6212</v>
      </c>
      <c r="D9">
        <v>84540</v>
      </c>
      <c r="E9">
        <v>40872</v>
      </c>
      <c r="F9">
        <v>48903</v>
      </c>
      <c r="G9">
        <v>23561</v>
      </c>
      <c r="H9">
        <v>49701</v>
      </c>
      <c r="I9">
        <v>23608</v>
      </c>
      <c r="J9">
        <v>106.8</v>
      </c>
      <c r="K9">
        <v>106.8</v>
      </c>
      <c r="L9">
        <v>107.6</v>
      </c>
      <c r="M9">
        <v>110.5</v>
      </c>
    </row>
    <row r="10" spans="1:13" x14ac:dyDescent="0.25">
      <c r="A10" t="s">
        <v>290</v>
      </c>
      <c r="B10">
        <v>22822</v>
      </c>
      <c r="C10">
        <v>11044</v>
      </c>
      <c r="D10">
        <v>142022</v>
      </c>
      <c r="E10">
        <v>68565</v>
      </c>
      <c r="F10">
        <v>82231</v>
      </c>
      <c r="G10">
        <v>39530</v>
      </c>
      <c r="H10">
        <v>91323</v>
      </c>
      <c r="I10">
        <v>43571</v>
      </c>
      <c r="J10">
        <v>106.6</v>
      </c>
      <c r="K10">
        <v>107.1</v>
      </c>
      <c r="L10">
        <v>108</v>
      </c>
      <c r="M10">
        <v>109.6</v>
      </c>
    </row>
    <row r="11" spans="1:13" x14ac:dyDescent="0.25">
      <c r="A11" t="s">
        <v>291</v>
      </c>
      <c r="B11">
        <v>1103</v>
      </c>
      <c r="C11">
        <v>526</v>
      </c>
      <c r="D11">
        <v>7294</v>
      </c>
      <c r="E11">
        <v>3467</v>
      </c>
      <c r="F11">
        <v>4245</v>
      </c>
      <c r="G11">
        <v>2016</v>
      </c>
      <c r="H11">
        <v>4399</v>
      </c>
      <c r="I11">
        <v>2080</v>
      </c>
      <c r="J11">
        <v>109.7</v>
      </c>
      <c r="K11">
        <v>110.4</v>
      </c>
      <c r="L11">
        <v>110.6</v>
      </c>
      <c r="M11">
        <v>111.5</v>
      </c>
    </row>
    <row r="12" spans="1:13" x14ac:dyDescent="0.25">
      <c r="A12" t="s">
        <v>292</v>
      </c>
      <c r="B12">
        <v>3382</v>
      </c>
      <c r="C12">
        <v>1623</v>
      </c>
      <c r="D12">
        <v>21264</v>
      </c>
      <c r="E12">
        <v>10262</v>
      </c>
      <c r="F12">
        <v>11931</v>
      </c>
      <c r="G12">
        <v>5816</v>
      </c>
      <c r="H12">
        <v>12401</v>
      </c>
      <c r="I12">
        <v>6020</v>
      </c>
      <c r="J12">
        <v>108.4</v>
      </c>
      <c r="K12">
        <v>107.2</v>
      </c>
      <c r="L12">
        <v>105.1</v>
      </c>
      <c r="M12">
        <v>106</v>
      </c>
    </row>
    <row r="13" spans="1:13" x14ac:dyDescent="0.25">
      <c r="A13" t="s">
        <v>293</v>
      </c>
      <c r="B13">
        <v>9114</v>
      </c>
      <c r="C13">
        <v>4470</v>
      </c>
      <c r="D13">
        <v>56104</v>
      </c>
      <c r="E13">
        <v>27611</v>
      </c>
      <c r="F13">
        <v>29369</v>
      </c>
      <c r="G13">
        <v>14415</v>
      </c>
      <c r="H13">
        <v>28820</v>
      </c>
      <c r="I13">
        <v>13815</v>
      </c>
      <c r="J13">
        <v>103.9</v>
      </c>
      <c r="K13">
        <v>103.2</v>
      </c>
      <c r="L13">
        <v>103.7</v>
      </c>
      <c r="M13">
        <v>108.6</v>
      </c>
    </row>
    <row r="14" spans="1:13" x14ac:dyDescent="0.25">
      <c r="A14" t="s">
        <v>294</v>
      </c>
      <c r="B14">
        <v>2239</v>
      </c>
      <c r="C14">
        <v>1092</v>
      </c>
      <c r="D14">
        <v>13601</v>
      </c>
      <c r="E14">
        <v>6657</v>
      </c>
      <c r="F14">
        <v>6790</v>
      </c>
      <c r="G14">
        <v>3345</v>
      </c>
      <c r="H14">
        <v>6579</v>
      </c>
      <c r="I14">
        <v>3222</v>
      </c>
      <c r="J14">
        <v>105</v>
      </c>
      <c r="K14">
        <v>104.3</v>
      </c>
      <c r="L14">
        <v>103</v>
      </c>
      <c r="M14">
        <v>104.2</v>
      </c>
    </row>
    <row r="15" spans="1:13" x14ac:dyDescent="0.25">
      <c r="A15" t="s">
        <v>295</v>
      </c>
      <c r="B15">
        <v>6199</v>
      </c>
      <c r="C15">
        <v>3002</v>
      </c>
      <c r="D15">
        <v>39369</v>
      </c>
      <c r="E15">
        <v>18987</v>
      </c>
      <c r="F15">
        <v>21429</v>
      </c>
      <c r="G15">
        <v>10319</v>
      </c>
      <c r="H15">
        <v>21883</v>
      </c>
      <c r="I15">
        <v>10563</v>
      </c>
      <c r="J15">
        <v>106.5</v>
      </c>
      <c r="K15">
        <v>107.3</v>
      </c>
      <c r="L15">
        <v>107.7</v>
      </c>
      <c r="M15">
        <v>107.2</v>
      </c>
    </row>
    <row r="16" spans="1:13" x14ac:dyDescent="0.25">
      <c r="A16" t="s">
        <v>296</v>
      </c>
      <c r="B16">
        <v>2341</v>
      </c>
      <c r="C16">
        <v>1130</v>
      </c>
      <c r="D16">
        <v>14177</v>
      </c>
      <c r="E16">
        <v>6819</v>
      </c>
      <c r="F16">
        <v>8060</v>
      </c>
      <c r="G16">
        <v>3894</v>
      </c>
      <c r="H16">
        <v>9295</v>
      </c>
      <c r="I16">
        <v>4523</v>
      </c>
      <c r="J16">
        <v>107.2</v>
      </c>
      <c r="K16">
        <v>107.9</v>
      </c>
      <c r="L16">
        <v>107</v>
      </c>
      <c r="M16">
        <v>105.5</v>
      </c>
    </row>
    <row r="17" spans="1:13" x14ac:dyDescent="0.25">
      <c r="A17" t="s">
        <v>297</v>
      </c>
      <c r="B17">
        <v>27732</v>
      </c>
      <c r="C17">
        <v>13343</v>
      </c>
      <c r="D17">
        <v>156796</v>
      </c>
      <c r="E17">
        <v>74611</v>
      </c>
      <c r="F17">
        <v>92010</v>
      </c>
      <c r="G17">
        <v>45368</v>
      </c>
      <c r="H17">
        <v>116095</v>
      </c>
      <c r="I17">
        <v>61547</v>
      </c>
      <c r="J17">
        <v>107.8</v>
      </c>
      <c r="K17">
        <v>110.2</v>
      </c>
      <c r="L17">
        <v>102.8</v>
      </c>
      <c r="M17">
        <v>88.6</v>
      </c>
    </row>
    <row r="18" spans="1:13" x14ac:dyDescent="0.25">
      <c r="A18" t="s">
        <v>298</v>
      </c>
      <c r="B18">
        <v>5118</v>
      </c>
      <c r="C18">
        <v>2470</v>
      </c>
      <c r="D18">
        <v>32310</v>
      </c>
      <c r="E18">
        <v>15583</v>
      </c>
      <c r="F18">
        <v>19282</v>
      </c>
      <c r="G18">
        <v>9342</v>
      </c>
      <c r="H18">
        <v>21691</v>
      </c>
      <c r="I18">
        <v>10531</v>
      </c>
      <c r="J18">
        <v>107.2</v>
      </c>
      <c r="K18">
        <v>107.3</v>
      </c>
      <c r="L18">
        <v>106.4</v>
      </c>
      <c r="M18">
        <v>106</v>
      </c>
    </row>
    <row r="19" spans="1:13" x14ac:dyDescent="0.25">
      <c r="A19" t="s">
        <v>299</v>
      </c>
      <c r="B19">
        <v>4955</v>
      </c>
      <c r="C19">
        <v>2444</v>
      </c>
      <c r="D19">
        <v>30901</v>
      </c>
      <c r="E19">
        <v>15176</v>
      </c>
      <c r="F19">
        <v>16127</v>
      </c>
      <c r="G19">
        <v>7875</v>
      </c>
      <c r="H19">
        <v>15902</v>
      </c>
      <c r="I19">
        <v>7722</v>
      </c>
      <c r="J19">
        <v>102.7</v>
      </c>
      <c r="K19">
        <v>103.6</v>
      </c>
      <c r="L19">
        <v>104.8</v>
      </c>
      <c r="M19">
        <v>105.9</v>
      </c>
    </row>
    <row r="20" spans="1:13" x14ac:dyDescent="0.25">
      <c r="A20" t="s">
        <v>300</v>
      </c>
      <c r="B20">
        <v>19931</v>
      </c>
      <c r="C20">
        <v>9690</v>
      </c>
      <c r="D20">
        <v>130757</v>
      </c>
      <c r="E20">
        <v>63531</v>
      </c>
      <c r="F20">
        <v>74528</v>
      </c>
      <c r="G20">
        <v>35663</v>
      </c>
      <c r="H20">
        <v>74933</v>
      </c>
      <c r="I20">
        <v>34575</v>
      </c>
      <c r="J20">
        <v>105.7</v>
      </c>
      <c r="K20">
        <v>105.8</v>
      </c>
      <c r="L20">
        <v>109</v>
      </c>
      <c r="M20">
        <v>116.7</v>
      </c>
    </row>
    <row r="21" spans="1:13" x14ac:dyDescent="0.25">
      <c r="A21" t="s">
        <v>301</v>
      </c>
      <c r="B21">
        <v>9428</v>
      </c>
      <c r="C21">
        <v>4528</v>
      </c>
      <c r="D21">
        <v>59895</v>
      </c>
      <c r="E21">
        <v>28772</v>
      </c>
      <c r="F21">
        <v>34424</v>
      </c>
      <c r="G21">
        <v>16581</v>
      </c>
      <c r="H21">
        <v>36941</v>
      </c>
      <c r="I21">
        <v>17755</v>
      </c>
      <c r="J21">
        <v>108.2</v>
      </c>
      <c r="K21">
        <v>108.2</v>
      </c>
      <c r="L21">
        <v>107.6</v>
      </c>
      <c r="M21">
        <v>108.1</v>
      </c>
    </row>
    <row r="22" spans="1:13" x14ac:dyDescent="0.25">
      <c r="A22" t="s">
        <v>302</v>
      </c>
      <c r="B22">
        <v>4787</v>
      </c>
      <c r="C22">
        <v>2361</v>
      </c>
      <c r="D22">
        <v>29715</v>
      </c>
      <c r="E22">
        <v>14541</v>
      </c>
      <c r="F22">
        <v>15029</v>
      </c>
      <c r="G22">
        <v>7274</v>
      </c>
      <c r="H22">
        <v>14259</v>
      </c>
      <c r="I22">
        <v>6865</v>
      </c>
      <c r="J22">
        <v>102.8</v>
      </c>
      <c r="K22">
        <v>104.4</v>
      </c>
      <c r="L22">
        <v>106.6</v>
      </c>
      <c r="M22">
        <v>107.7</v>
      </c>
    </row>
    <row r="23" spans="1:13" x14ac:dyDescent="0.25">
      <c r="A23" t="s">
        <v>303</v>
      </c>
      <c r="B23">
        <v>24984</v>
      </c>
      <c r="C23">
        <v>11996</v>
      </c>
      <c r="D23">
        <v>152609</v>
      </c>
      <c r="E23">
        <v>73242</v>
      </c>
      <c r="F23">
        <v>82046</v>
      </c>
      <c r="G23">
        <v>39526</v>
      </c>
      <c r="H23">
        <v>84528</v>
      </c>
      <c r="I23">
        <v>40809</v>
      </c>
      <c r="J23">
        <v>108.3</v>
      </c>
      <c r="K23">
        <v>108.4</v>
      </c>
      <c r="L23">
        <v>107.6</v>
      </c>
      <c r="M23">
        <v>107.1</v>
      </c>
    </row>
    <row r="24" spans="1:13" x14ac:dyDescent="0.25">
      <c r="A24" t="s">
        <v>304</v>
      </c>
      <c r="B24">
        <v>3342</v>
      </c>
      <c r="C24">
        <v>1644</v>
      </c>
      <c r="D24">
        <v>20440</v>
      </c>
      <c r="E24">
        <v>10051</v>
      </c>
      <c r="F24">
        <v>10586</v>
      </c>
      <c r="G24">
        <v>5221</v>
      </c>
      <c r="H24">
        <v>10842</v>
      </c>
      <c r="I24">
        <v>5363</v>
      </c>
      <c r="J24">
        <v>103.3</v>
      </c>
      <c r="K24">
        <v>103.4</v>
      </c>
      <c r="L24">
        <v>102.8</v>
      </c>
      <c r="M24">
        <v>102.2</v>
      </c>
    </row>
    <row r="25" spans="1:13" x14ac:dyDescent="0.25">
      <c r="A25" t="s">
        <v>305</v>
      </c>
      <c r="B25">
        <v>9479</v>
      </c>
      <c r="C25">
        <v>4676</v>
      </c>
      <c r="D25">
        <v>62102</v>
      </c>
      <c r="E25">
        <v>30503</v>
      </c>
      <c r="F25">
        <v>36467</v>
      </c>
      <c r="G25">
        <v>17462</v>
      </c>
      <c r="H25">
        <v>38556</v>
      </c>
      <c r="I25">
        <v>17667</v>
      </c>
      <c r="J25">
        <v>102.7</v>
      </c>
      <c r="K25">
        <v>103.6</v>
      </c>
      <c r="L25">
        <v>108.8</v>
      </c>
      <c r="M25">
        <v>118.2</v>
      </c>
    </row>
    <row r="26" spans="1:13" x14ac:dyDescent="0.25">
      <c r="A26" t="s">
        <v>306</v>
      </c>
      <c r="B26">
        <v>17564</v>
      </c>
      <c r="C26">
        <v>8510</v>
      </c>
      <c r="D26">
        <v>116938</v>
      </c>
      <c r="E26">
        <v>56677</v>
      </c>
      <c r="F26">
        <v>69039</v>
      </c>
      <c r="G26">
        <v>33052</v>
      </c>
      <c r="H26">
        <v>71503</v>
      </c>
      <c r="I26">
        <v>33159</v>
      </c>
      <c r="J26">
        <v>106.4</v>
      </c>
      <c r="K26">
        <v>106.3</v>
      </c>
      <c r="L26">
        <v>108.9</v>
      </c>
      <c r="M26">
        <v>115.6</v>
      </c>
    </row>
    <row r="27" spans="1:13" x14ac:dyDescent="0.25">
      <c r="A27" t="s">
        <v>307</v>
      </c>
      <c r="B27">
        <v>15368</v>
      </c>
      <c r="C27">
        <v>7446</v>
      </c>
      <c r="D27">
        <v>98296</v>
      </c>
      <c r="E27">
        <v>47630</v>
      </c>
      <c r="F27">
        <v>55567</v>
      </c>
      <c r="G27">
        <v>26757</v>
      </c>
      <c r="H27">
        <v>57681</v>
      </c>
      <c r="I27">
        <v>27278</v>
      </c>
      <c r="J27">
        <v>106.4</v>
      </c>
      <c r="K27">
        <v>106.4</v>
      </c>
      <c r="L27">
        <v>107.7</v>
      </c>
      <c r="M27">
        <v>111.5</v>
      </c>
    </row>
    <row r="28" spans="1:13" x14ac:dyDescent="0.25">
      <c r="A28" t="s">
        <v>266</v>
      </c>
      <c r="B28">
        <v>306545</v>
      </c>
      <c r="C28">
        <v>148660</v>
      </c>
      <c r="D28">
        <v>1930284</v>
      </c>
      <c r="E28">
        <v>934807</v>
      </c>
      <c r="F28">
        <v>1093057</v>
      </c>
      <c r="G28">
        <v>528287</v>
      </c>
      <c r="H28">
        <v>1158593</v>
      </c>
      <c r="I28">
        <v>557087</v>
      </c>
      <c r="J28">
        <v>106.2</v>
      </c>
      <c r="K28">
        <v>106.5</v>
      </c>
      <c r="L28">
        <v>106.9</v>
      </c>
      <c r="M28">
        <v>108</v>
      </c>
    </row>
    <row r="29" spans="1:13" x14ac:dyDescent="0.25">
      <c r="A29" t="s">
        <v>459</v>
      </c>
      <c r="B29">
        <v>64543</v>
      </c>
      <c r="C29">
        <v>31102</v>
      </c>
      <c r="D29">
        <v>388562</v>
      </c>
      <c r="E29">
        <v>186285</v>
      </c>
      <c r="F29">
        <v>221931</v>
      </c>
      <c r="G29">
        <v>107826</v>
      </c>
      <c r="H29">
        <v>252564</v>
      </c>
      <c r="I29">
        <v>126680</v>
      </c>
      <c r="J29">
        <v>107.5</v>
      </c>
      <c r="K29">
        <v>108.6</v>
      </c>
      <c r="L29">
        <v>105.8</v>
      </c>
      <c r="M29">
        <v>99.4</v>
      </c>
    </row>
    <row r="30" spans="1:13" x14ac:dyDescent="0.25">
      <c r="A30" t="s">
        <v>460</v>
      </c>
      <c r="B30">
        <v>242002</v>
      </c>
      <c r="C30">
        <v>117558</v>
      </c>
      <c r="D30">
        <v>1541722</v>
      </c>
      <c r="E30">
        <v>748522</v>
      </c>
      <c r="F30">
        <v>871126</v>
      </c>
      <c r="G30">
        <v>420461</v>
      </c>
      <c r="H30">
        <v>906029</v>
      </c>
      <c r="I30">
        <v>430407</v>
      </c>
      <c r="J30">
        <v>105.9</v>
      </c>
      <c r="K30">
        <v>106</v>
      </c>
      <c r="L30">
        <v>107.2</v>
      </c>
      <c r="M30">
        <v>110.5</v>
      </c>
    </row>
  </sheetData>
  <mergeCells count="6">
    <mergeCell ref="A1:A2"/>
    <mergeCell ref="D1:E1"/>
    <mergeCell ref="H1:I1"/>
    <mergeCell ref="B1:C1"/>
    <mergeCell ref="F1:G1"/>
    <mergeCell ref="J1:M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7030A0"/>
  </sheetPr>
  <dimension ref="A1:K32"/>
  <sheetViews>
    <sheetView workbookViewId="0"/>
  </sheetViews>
  <sheetFormatPr defaultRowHeight="15" x14ac:dyDescent="0.25"/>
  <cols>
    <col min="1" max="1" width="25.28515625" customWidth="1"/>
    <col min="2" max="2" width="15.42578125" customWidth="1"/>
    <col min="6" max="6" width="15.85546875" customWidth="1"/>
    <col min="7" max="7" width="15.42578125" customWidth="1"/>
  </cols>
  <sheetData>
    <row r="1" spans="1:11" x14ac:dyDescent="0.25">
      <c r="A1" s="29" t="s">
        <v>607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22.7</v>
      </c>
      <c r="C5">
        <v>19.399999999999999</v>
      </c>
      <c r="D5">
        <v>46.6</v>
      </c>
      <c r="E5">
        <v>46.9</v>
      </c>
      <c r="F5">
        <v>1</v>
      </c>
      <c r="G5">
        <v>1.2</v>
      </c>
      <c r="H5">
        <v>14.7</v>
      </c>
      <c r="I5">
        <v>39.200000000000003</v>
      </c>
      <c r="J5">
        <v>41.2</v>
      </c>
      <c r="K5">
        <v>27.7</v>
      </c>
    </row>
    <row r="6" spans="1:11" x14ac:dyDescent="0.25">
      <c r="A6" t="s">
        <v>284</v>
      </c>
      <c r="B6">
        <v>25.6</v>
      </c>
      <c r="C6">
        <v>21.5</v>
      </c>
      <c r="D6">
        <v>48.8</v>
      </c>
      <c r="E6">
        <v>52.7</v>
      </c>
      <c r="F6">
        <v>1.1000000000000001</v>
      </c>
      <c r="G6">
        <v>1.1000000000000001</v>
      </c>
      <c r="H6">
        <v>16.100000000000001</v>
      </c>
      <c r="I6">
        <v>44.9</v>
      </c>
      <c r="J6">
        <v>47.2</v>
      </c>
      <c r="K6">
        <v>33.1</v>
      </c>
    </row>
    <row r="7" spans="1:11" x14ac:dyDescent="0.25">
      <c r="A7" t="s">
        <v>285</v>
      </c>
      <c r="B7">
        <v>22.6</v>
      </c>
      <c r="C7">
        <v>18.399999999999999</v>
      </c>
      <c r="D7">
        <v>43.9</v>
      </c>
      <c r="E7">
        <v>48.5</v>
      </c>
      <c r="F7">
        <v>1.1000000000000001</v>
      </c>
      <c r="G7">
        <v>1.2</v>
      </c>
      <c r="H7">
        <v>18.8</v>
      </c>
      <c r="I7">
        <v>46.2</v>
      </c>
      <c r="J7">
        <v>48.1</v>
      </c>
      <c r="K7">
        <v>37.9</v>
      </c>
    </row>
    <row r="8" spans="1:11" x14ac:dyDescent="0.25">
      <c r="A8" t="s">
        <v>286</v>
      </c>
      <c r="B8">
        <v>23.1</v>
      </c>
      <c r="C8">
        <v>19.899999999999999</v>
      </c>
      <c r="D8">
        <v>47.9</v>
      </c>
      <c r="E8">
        <v>49.9</v>
      </c>
      <c r="F8">
        <v>1</v>
      </c>
      <c r="G8">
        <v>1.1000000000000001</v>
      </c>
      <c r="H8">
        <v>13.9</v>
      </c>
      <c r="I8">
        <v>39</v>
      </c>
      <c r="J8">
        <v>41</v>
      </c>
      <c r="K8">
        <v>26.3</v>
      </c>
    </row>
    <row r="9" spans="1:11" x14ac:dyDescent="0.25">
      <c r="A9" t="s">
        <v>287</v>
      </c>
      <c r="B9">
        <v>25.2</v>
      </c>
      <c r="C9">
        <v>22</v>
      </c>
      <c r="D9">
        <v>51.3</v>
      </c>
      <c r="E9">
        <v>60.2</v>
      </c>
      <c r="F9">
        <v>1.2</v>
      </c>
      <c r="G9">
        <v>1</v>
      </c>
      <c r="H9">
        <v>12.7</v>
      </c>
      <c r="I9">
        <v>32.700000000000003</v>
      </c>
      <c r="J9">
        <v>35.200000000000003</v>
      </c>
      <c r="K9">
        <v>15.3</v>
      </c>
    </row>
    <row r="10" spans="1:11" x14ac:dyDescent="0.25">
      <c r="A10" t="s">
        <v>288</v>
      </c>
      <c r="B10">
        <v>26.6</v>
      </c>
      <c r="C10">
        <v>22.4</v>
      </c>
      <c r="D10">
        <v>47.1</v>
      </c>
      <c r="E10">
        <v>48.6</v>
      </c>
      <c r="F10">
        <v>1</v>
      </c>
      <c r="G10">
        <v>1.3</v>
      </c>
      <c r="H10">
        <v>15.6</v>
      </c>
      <c r="I10">
        <v>41.7</v>
      </c>
      <c r="J10">
        <v>45.9</v>
      </c>
      <c r="K10">
        <v>18.8</v>
      </c>
    </row>
    <row r="11" spans="1:11" x14ac:dyDescent="0.25">
      <c r="A11" t="s">
        <v>289</v>
      </c>
      <c r="B11">
        <v>19</v>
      </c>
      <c r="C11">
        <v>16.100000000000001</v>
      </c>
      <c r="D11">
        <v>36.9</v>
      </c>
      <c r="E11">
        <v>46.4</v>
      </c>
      <c r="F11">
        <v>1.3</v>
      </c>
      <c r="G11">
        <v>1.2</v>
      </c>
      <c r="H11">
        <v>15.4</v>
      </c>
      <c r="I11">
        <v>38.4</v>
      </c>
      <c r="J11">
        <v>41.4</v>
      </c>
      <c r="K11">
        <v>22.2</v>
      </c>
    </row>
    <row r="12" spans="1:11" x14ac:dyDescent="0.25">
      <c r="A12" t="s">
        <v>290</v>
      </c>
      <c r="B12">
        <v>17.899999999999999</v>
      </c>
      <c r="C12">
        <v>15.8</v>
      </c>
      <c r="D12">
        <v>43.8</v>
      </c>
      <c r="E12">
        <v>47.5</v>
      </c>
      <c r="F12">
        <v>1.1000000000000001</v>
      </c>
      <c r="G12">
        <v>1.3</v>
      </c>
      <c r="H12">
        <v>12.1</v>
      </c>
      <c r="I12">
        <v>43.4</v>
      </c>
      <c r="J12">
        <v>46.3</v>
      </c>
      <c r="K12">
        <v>21.9</v>
      </c>
    </row>
    <row r="13" spans="1:11" x14ac:dyDescent="0.25">
      <c r="A13" t="s">
        <v>291</v>
      </c>
      <c r="B13">
        <v>11.2</v>
      </c>
      <c r="C13">
        <v>9.6999999999999993</v>
      </c>
      <c r="D13">
        <v>35.4</v>
      </c>
      <c r="E13">
        <v>35.4</v>
      </c>
      <c r="F13">
        <v>1</v>
      </c>
      <c r="G13">
        <v>1.7</v>
      </c>
      <c r="H13">
        <v>12.8</v>
      </c>
      <c r="I13">
        <v>40.700000000000003</v>
      </c>
      <c r="J13">
        <v>43.1</v>
      </c>
      <c r="K13">
        <v>24.2</v>
      </c>
    </row>
    <row r="14" spans="1:11" x14ac:dyDescent="0.25">
      <c r="A14" t="s">
        <v>292</v>
      </c>
      <c r="B14">
        <v>17.899999999999999</v>
      </c>
      <c r="C14">
        <v>16</v>
      </c>
      <c r="D14">
        <v>38</v>
      </c>
      <c r="E14">
        <v>40.6</v>
      </c>
      <c r="F14">
        <v>1.1000000000000001</v>
      </c>
      <c r="G14">
        <v>1.4</v>
      </c>
      <c r="H14">
        <v>10.9</v>
      </c>
      <c r="I14">
        <v>33.4</v>
      </c>
      <c r="J14">
        <v>34.700000000000003</v>
      </c>
      <c r="K14">
        <v>22.6</v>
      </c>
    </row>
    <row r="15" spans="1:11" x14ac:dyDescent="0.25">
      <c r="A15" t="s">
        <v>293</v>
      </c>
      <c r="B15">
        <v>20.3</v>
      </c>
      <c r="C15">
        <v>18.100000000000001</v>
      </c>
      <c r="D15">
        <v>45</v>
      </c>
      <c r="E15">
        <v>46.1</v>
      </c>
      <c r="F15">
        <v>1</v>
      </c>
      <c r="G15">
        <v>1.3</v>
      </c>
      <c r="H15">
        <v>10.9</v>
      </c>
      <c r="I15">
        <v>48.3</v>
      </c>
      <c r="J15">
        <v>50.8</v>
      </c>
      <c r="K15">
        <v>27.6</v>
      </c>
    </row>
    <row r="16" spans="1:11" x14ac:dyDescent="0.25">
      <c r="A16" t="s">
        <v>294</v>
      </c>
      <c r="B16">
        <v>21</v>
      </c>
      <c r="C16">
        <v>19.7</v>
      </c>
      <c r="D16">
        <v>45.4</v>
      </c>
      <c r="E16">
        <v>48.6</v>
      </c>
      <c r="F16">
        <v>1.1000000000000001</v>
      </c>
      <c r="G16">
        <v>1.2</v>
      </c>
      <c r="H16">
        <v>6</v>
      </c>
      <c r="I16">
        <v>35.700000000000003</v>
      </c>
      <c r="J16">
        <v>37.200000000000003</v>
      </c>
      <c r="K16">
        <v>13.3</v>
      </c>
    </row>
    <row r="17" spans="1:11" x14ac:dyDescent="0.25">
      <c r="A17" t="s">
        <v>295</v>
      </c>
      <c r="B17">
        <v>29.2</v>
      </c>
      <c r="C17">
        <v>26</v>
      </c>
      <c r="D17">
        <v>45.3</v>
      </c>
      <c r="E17">
        <v>48.1</v>
      </c>
      <c r="F17">
        <v>1.1000000000000001</v>
      </c>
      <c r="G17">
        <v>1.2</v>
      </c>
      <c r="H17">
        <v>10.9</v>
      </c>
      <c r="I17">
        <v>33.5</v>
      </c>
      <c r="J17">
        <v>35.6</v>
      </c>
      <c r="K17">
        <v>16.399999999999999</v>
      </c>
    </row>
    <row r="18" spans="1:11" x14ac:dyDescent="0.25">
      <c r="A18" t="s">
        <v>296</v>
      </c>
      <c r="B18">
        <v>16</v>
      </c>
      <c r="C18">
        <v>14.1</v>
      </c>
      <c r="D18">
        <v>43.3</v>
      </c>
      <c r="E18">
        <v>43.3</v>
      </c>
      <c r="F18">
        <v>1</v>
      </c>
      <c r="G18">
        <v>1.3</v>
      </c>
      <c r="H18">
        <v>11.7</v>
      </c>
      <c r="I18">
        <v>40.9</v>
      </c>
      <c r="J18">
        <v>43.7</v>
      </c>
      <c r="K18">
        <v>19.5</v>
      </c>
    </row>
    <row r="19" spans="1:11" x14ac:dyDescent="0.25">
      <c r="A19" t="s">
        <v>297</v>
      </c>
      <c r="B19">
        <v>15.7</v>
      </c>
      <c r="C19">
        <v>14.3</v>
      </c>
      <c r="D19">
        <v>46.1</v>
      </c>
      <c r="E19">
        <v>68.599999999999994</v>
      </c>
      <c r="F19">
        <v>1.5</v>
      </c>
      <c r="G19">
        <v>0.8</v>
      </c>
      <c r="H19">
        <v>8.6999999999999993</v>
      </c>
      <c r="I19">
        <v>44.5</v>
      </c>
      <c r="J19">
        <v>45.8</v>
      </c>
      <c r="K19">
        <v>31.3</v>
      </c>
    </row>
    <row r="20" spans="1:11" x14ac:dyDescent="0.25">
      <c r="A20" t="s">
        <v>298</v>
      </c>
      <c r="B20">
        <v>17.899999999999999</v>
      </c>
      <c r="C20">
        <v>15.9</v>
      </c>
      <c r="D20">
        <v>41.1</v>
      </c>
      <c r="E20">
        <v>41.1</v>
      </c>
      <c r="F20">
        <v>1</v>
      </c>
      <c r="G20">
        <v>1.4</v>
      </c>
      <c r="H20">
        <v>11.2</v>
      </c>
      <c r="I20">
        <v>34.700000000000003</v>
      </c>
      <c r="J20">
        <v>35.700000000000003</v>
      </c>
      <c r="K20">
        <v>26.4</v>
      </c>
    </row>
    <row r="21" spans="1:11" x14ac:dyDescent="0.25">
      <c r="A21" t="s">
        <v>299</v>
      </c>
      <c r="B21">
        <v>20.5</v>
      </c>
      <c r="C21">
        <v>18.5</v>
      </c>
      <c r="D21">
        <v>40.5</v>
      </c>
      <c r="E21">
        <v>40.5</v>
      </c>
      <c r="F21">
        <v>1</v>
      </c>
      <c r="G21">
        <v>1.5</v>
      </c>
      <c r="H21">
        <v>9.8000000000000007</v>
      </c>
      <c r="I21">
        <v>40</v>
      </c>
      <c r="J21">
        <v>40.799999999999997</v>
      </c>
      <c r="K21">
        <v>32.1</v>
      </c>
    </row>
    <row r="22" spans="1:11" x14ac:dyDescent="0.25">
      <c r="A22" t="s">
        <v>300</v>
      </c>
      <c r="B22">
        <v>28.5</v>
      </c>
      <c r="C22">
        <v>23</v>
      </c>
      <c r="D22">
        <v>45.8</v>
      </c>
      <c r="E22">
        <v>49.2</v>
      </c>
      <c r="F22">
        <v>1.1000000000000001</v>
      </c>
      <c r="G22">
        <v>1.1000000000000001</v>
      </c>
      <c r="H22">
        <v>19.100000000000001</v>
      </c>
      <c r="I22">
        <v>34</v>
      </c>
      <c r="J22">
        <v>37.5</v>
      </c>
      <c r="K22">
        <v>19</v>
      </c>
    </row>
    <row r="23" spans="1:11" x14ac:dyDescent="0.25">
      <c r="A23" t="s">
        <v>301</v>
      </c>
      <c r="B23">
        <v>20.3</v>
      </c>
      <c r="C23">
        <v>17.5</v>
      </c>
      <c r="D23">
        <v>44.2</v>
      </c>
      <c r="E23">
        <v>45.5</v>
      </c>
      <c r="F23">
        <v>1</v>
      </c>
      <c r="G23">
        <v>1.3</v>
      </c>
      <c r="H23">
        <v>13.8</v>
      </c>
      <c r="I23">
        <v>35.4</v>
      </c>
      <c r="J23">
        <v>37.799999999999997</v>
      </c>
      <c r="K23">
        <v>20.3</v>
      </c>
    </row>
    <row r="24" spans="1:11" x14ac:dyDescent="0.25">
      <c r="A24" t="s">
        <v>302</v>
      </c>
      <c r="B24">
        <v>26.3</v>
      </c>
      <c r="C24">
        <v>24.4</v>
      </c>
      <c r="D24">
        <v>50</v>
      </c>
      <c r="E24">
        <v>53.3</v>
      </c>
      <c r="F24">
        <v>1.1000000000000001</v>
      </c>
      <c r="G24">
        <v>1.7</v>
      </c>
      <c r="H24">
        <v>7.2</v>
      </c>
      <c r="I24">
        <v>41.4</v>
      </c>
      <c r="J24">
        <v>42.1</v>
      </c>
      <c r="K24">
        <v>33.299999999999997</v>
      </c>
    </row>
    <row r="25" spans="1:11" x14ac:dyDescent="0.25">
      <c r="A25" t="s">
        <v>303</v>
      </c>
      <c r="B25">
        <v>31.8</v>
      </c>
      <c r="C25">
        <v>26.6</v>
      </c>
      <c r="D25">
        <v>50.1</v>
      </c>
      <c r="E25">
        <v>56</v>
      </c>
      <c r="F25">
        <v>1.1000000000000001</v>
      </c>
      <c r="G25">
        <v>1</v>
      </c>
      <c r="H25">
        <v>16.3</v>
      </c>
      <c r="I25">
        <v>45.8</v>
      </c>
      <c r="J25">
        <v>47.3</v>
      </c>
      <c r="K25">
        <v>37.9</v>
      </c>
    </row>
    <row r="26" spans="1:11" x14ac:dyDescent="0.25">
      <c r="A26" t="s">
        <v>304</v>
      </c>
      <c r="B26">
        <v>16.5</v>
      </c>
      <c r="C26">
        <v>14.8</v>
      </c>
      <c r="D26">
        <v>39.5</v>
      </c>
      <c r="E26">
        <v>40.6</v>
      </c>
      <c r="F26">
        <v>1</v>
      </c>
      <c r="G26">
        <v>1.4</v>
      </c>
      <c r="H26">
        <v>10.199999999999999</v>
      </c>
      <c r="I26">
        <v>40.4</v>
      </c>
      <c r="J26">
        <v>41.9</v>
      </c>
      <c r="K26">
        <v>26.9</v>
      </c>
    </row>
    <row r="27" spans="1:11" x14ac:dyDescent="0.25">
      <c r="A27" t="s">
        <v>305</v>
      </c>
      <c r="B27">
        <v>20.8</v>
      </c>
      <c r="C27">
        <v>17.3</v>
      </c>
      <c r="D27">
        <v>43.7</v>
      </c>
      <c r="E27">
        <v>46.2</v>
      </c>
      <c r="F27">
        <v>1.1000000000000001</v>
      </c>
      <c r="G27">
        <v>1.2</v>
      </c>
      <c r="H27">
        <v>16.8</v>
      </c>
      <c r="I27">
        <v>28.4</v>
      </c>
      <c r="J27">
        <v>29.5</v>
      </c>
      <c r="K27">
        <v>22.9</v>
      </c>
    </row>
    <row r="28" spans="1:11" x14ac:dyDescent="0.25">
      <c r="A28" t="s">
        <v>306</v>
      </c>
      <c r="B28">
        <v>23</v>
      </c>
      <c r="C28">
        <v>18.5</v>
      </c>
      <c r="D28">
        <v>41.6</v>
      </c>
      <c r="E28">
        <v>42.4</v>
      </c>
      <c r="F28">
        <v>1</v>
      </c>
      <c r="G28">
        <v>1.5</v>
      </c>
      <c r="H28">
        <v>19.2</v>
      </c>
      <c r="I28">
        <v>30</v>
      </c>
      <c r="J28">
        <v>31.3</v>
      </c>
      <c r="K28">
        <v>24.5</v>
      </c>
    </row>
    <row r="29" spans="1:11" x14ac:dyDescent="0.25">
      <c r="A29" t="s">
        <v>307</v>
      </c>
      <c r="B29">
        <v>30.8</v>
      </c>
      <c r="C29">
        <v>26.2</v>
      </c>
      <c r="D29">
        <v>46.8</v>
      </c>
      <c r="E29">
        <v>49.8</v>
      </c>
      <c r="F29">
        <v>1.1000000000000001</v>
      </c>
      <c r="G29">
        <v>1.2</v>
      </c>
      <c r="H29">
        <v>14.8</v>
      </c>
      <c r="I29">
        <v>39.4</v>
      </c>
      <c r="J29">
        <v>41.8</v>
      </c>
      <c r="K29">
        <v>25.6</v>
      </c>
    </row>
    <row r="30" spans="1:11" x14ac:dyDescent="0.25">
      <c r="A30" t="s">
        <v>266</v>
      </c>
      <c r="B30">
        <v>22.2</v>
      </c>
      <c r="C30">
        <v>19</v>
      </c>
      <c r="D30">
        <v>45.2</v>
      </c>
      <c r="E30">
        <v>49.9</v>
      </c>
      <c r="F30">
        <v>1.1000000000000001</v>
      </c>
      <c r="G30">
        <v>1.2</v>
      </c>
      <c r="H30">
        <v>14.3</v>
      </c>
      <c r="I30">
        <v>39.700000000000003</v>
      </c>
      <c r="J30">
        <v>41.9</v>
      </c>
      <c r="K30">
        <v>26.5</v>
      </c>
    </row>
    <row r="31" spans="1:11" x14ac:dyDescent="0.25">
      <c r="A31" t="s">
        <v>308</v>
      </c>
      <c r="B31">
        <v>17.899999999999999</v>
      </c>
      <c r="C31">
        <v>15.9</v>
      </c>
      <c r="D31">
        <v>45.5</v>
      </c>
      <c r="E31">
        <v>54.1</v>
      </c>
      <c r="F31">
        <v>1.2</v>
      </c>
      <c r="G31">
        <v>1.1000000000000001</v>
      </c>
      <c r="H31">
        <v>11.3</v>
      </c>
      <c r="I31">
        <v>44.6</v>
      </c>
      <c r="J31">
        <v>45.7</v>
      </c>
      <c r="K31">
        <v>35.9</v>
      </c>
    </row>
    <row r="32" spans="1:11" x14ac:dyDescent="0.25">
      <c r="A32" t="s">
        <v>309</v>
      </c>
      <c r="B32">
        <v>24</v>
      </c>
      <c r="C32">
        <v>20.3</v>
      </c>
      <c r="D32">
        <v>45.1</v>
      </c>
      <c r="E32">
        <v>48.7</v>
      </c>
      <c r="F32">
        <v>1.1000000000000001</v>
      </c>
      <c r="G32">
        <v>1.2</v>
      </c>
      <c r="H32">
        <v>15.5</v>
      </c>
      <c r="I32">
        <v>37.799999999999997</v>
      </c>
      <c r="J32">
        <v>40.4</v>
      </c>
      <c r="K32">
        <v>23.8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7030A0"/>
  </sheetPr>
  <dimension ref="A1:K18"/>
  <sheetViews>
    <sheetView workbookViewId="0"/>
  </sheetViews>
  <sheetFormatPr defaultRowHeight="15" x14ac:dyDescent="0.25"/>
  <cols>
    <col min="1" max="1" width="33.42578125" customWidth="1"/>
    <col min="2" max="2" width="14.85546875" customWidth="1"/>
    <col min="3" max="3" width="14.7109375" customWidth="1"/>
    <col min="6" max="6" width="14.85546875" customWidth="1"/>
    <col min="7" max="7" width="14.7109375" customWidth="1"/>
    <col min="10" max="10" width="14.85546875" customWidth="1"/>
    <col min="11" max="11" width="14.7109375" customWidth="1"/>
  </cols>
  <sheetData>
    <row r="1" spans="1:11" x14ac:dyDescent="0.25">
      <c r="A1" s="29" t="s">
        <v>608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253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34.4</v>
      </c>
      <c r="C5">
        <v>28.4</v>
      </c>
      <c r="D5">
        <v>35.200000000000003</v>
      </c>
      <c r="E5">
        <v>45.1</v>
      </c>
      <c r="F5">
        <v>1.3</v>
      </c>
      <c r="G5">
        <v>1.4</v>
      </c>
      <c r="H5">
        <v>17.600000000000001</v>
      </c>
      <c r="I5">
        <v>48.6</v>
      </c>
      <c r="J5">
        <v>52.6</v>
      </c>
      <c r="K5">
        <v>29.7</v>
      </c>
    </row>
    <row r="6" spans="1:11" x14ac:dyDescent="0.25">
      <c r="A6" t="s">
        <v>267</v>
      </c>
      <c r="B6">
        <v>26.7</v>
      </c>
      <c r="C6">
        <v>23.1</v>
      </c>
      <c r="D6">
        <v>39.700000000000003</v>
      </c>
      <c r="E6">
        <v>51.6</v>
      </c>
      <c r="F6">
        <v>1.3</v>
      </c>
      <c r="G6">
        <v>1.2</v>
      </c>
      <c r="H6">
        <v>13.5</v>
      </c>
      <c r="I6">
        <v>55.8</v>
      </c>
      <c r="J6">
        <v>58.1</v>
      </c>
      <c r="K6">
        <v>40.9</v>
      </c>
    </row>
    <row r="7" spans="1:11" x14ac:dyDescent="0.25">
      <c r="A7" t="s">
        <v>268</v>
      </c>
      <c r="B7">
        <v>36.9</v>
      </c>
      <c r="C7">
        <v>30</v>
      </c>
      <c r="D7">
        <v>34.299999999999997</v>
      </c>
      <c r="E7">
        <v>43.8</v>
      </c>
      <c r="F7">
        <v>1.3</v>
      </c>
      <c r="G7">
        <v>1.4</v>
      </c>
      <c r="H7">
        <v>18.8</v>
      </c>
      <c r="I7">
        <v>46.5</v>
      </c>
      <c r="J7">
        <v>50.9</v>
      </c>
      <c r="K7">
        <v>27.3</v>
      </c>
    </row>
    <row r="8" spans="1:11" x14ac:dyDescent="0.25">
      <c r="A8" t="s">
        <v>269</v>
      </c>
      <c r="B8">
        <v>43.1</v>
      </c>
      <c r="C8">
        <v>41.1</v>
      </c>
      <c r="D8">
        <v>30</v>
      </c>
      <c r="E8">
        <v>34.299999999999997</v>
      </c>
      <c r="F8">
        <v>1.1000000000000001</v>
      </c>
      <c r="G8">
        <v>2.8</v>
      </c>
      <c r="H8">
        <v>4.5999999999999996</v>
      </c>
      <c r="I8">
        <v>94.9</v>
      </c>
      <c r="J8">
        <v>95</v>
      </c>
      <c r="K8">
        <v>91.3</v>
      </c>
    </row>
    <row r="9" spans="1:11" x14ac:dyDescent="0.25">
      <c r="A9" t="s">
        <v>270</v>
      </c>
      <c r="B9">
        <v>45.1</v>
      </c>
      <c r="C9">
        <v>35.299999999999997</v>
      </c>
      <c r="D9">
        <v>32.4</v>
      </c>
      <c r="E9">
        <v>44.7</v>
      </c>
      <c r="F9">
        <v>1.4</v>
      </c>
      <c r="G9">
        <v>1.3</v>
      </c>
      <c r="H9">
        <v>21.7</v>
      </c>
      <c r="I9">
        <v>51.8</v>
      </c>
      <c r="J9">
        <v>57.7</v>
      </c>
      <c r="K9">
        <v>30.3</v>
      </c>
    </row>
    <row r="10" spans="1:11" x14ac:dyDescent="0.25">
      <c r="A10" t="s">
        <v>581</v>
      </c>
      <c r="B10">
        <v>22.6</v>
      </c>
      <c r="C10">
        <v>18.8</v>
      </c>
      <c r="D10">
        <v>43.6</v>
      </c>
      <c r="E10">
        <v>47.5</v>
      </c>
      <c r="F10">
        <v>1.1000000000000001</v>
      </c>
      <c r="G10">
        <v>1.2</v>
      </c>
      <c r="H10">
        <v>16.5</v>
      </c>
      <c r="I10">
        <v>41.4</v>
      </c>
      <c r="J10">
        <v>45.1</v>
      </c>
      <c r="K10">
        <v>23</v>
      </c>
    </row>
    <row r="11" spans="1:11" x14ac:dyDescent="0.25">
      <c r="A11" t="s">
        <v>582</v>
      </c>
      <c r="B11">
        <v>22.1</v>
      </c>
      <c r="C11">
        <v>19.2</v>
      </c>
      <c r="D11">
        <v>46.1</v>
      </c>
      <c r="E11">
        <v>51.2</v>
      </c>
      <c r="F11">
        <v>1.1000000000000001</v>
      </c>
      <c r="G11">
        <v>1.2</v>
      </c>
      <c r="H11">
        <v>13.1</v>
      </c>
      <c r="I11">
        <v>38.799999999999997</v>
      </c>
      <c r="J11">
        <v>40.299999999999997</v>
      </c>
      <c r="K11">
        <v>28.8</v>
      </c>
    </row>
    <row r="12" spans="1:11" x14ac:dyDescent="0.25">
      <c r="A12" t="s">
        <v>583</v>
      </c>
      <c r="B12">
        <v>22.3</v>
      </c>
      <c r="C12">
        <v>19</v>
      </c>
      <c r="D12">
        <v>45.2</v>
      </c>
      <c r="E12">
        <v>50</v>
      </c>
      <c r="F12">
        <v>1.1000000000000001</v>
      </c>
      <c r="G12">
        <v>1.2</v>
      </c>
      <c r="H12">
        <v>15</v>
      </c>
      <c r="I12">
        <v>42</v>
      </c>
      <c r="J12">
        <v>44.9</v>
      </c>
      <c r="K12">
        <v>25.5</v>
      </c>
    </row>
    <row r="13" spans="1:11" x14ac:dyDescent="0.25">
      <c r="A13" t="s">
        <v>584</v>
      </c>
      <c r="B13">
        <v>22.1</v>
      </c>
      <c r="C13">
        <v>19.2</v>
      </c>
      <c r="D13">
        <v>45.2</v>
      </c>
      <c r="E13">
        <v>49.6</v>
      </c>
      <c r="F13">
        <v>1.1000000000000001</v>
      </c>
      <c r="G13">
        <v>1.2</v>
      </c>
      <c r="H13">
        <v>13.1</v>
      </c>
      <c r="I13">
        <v>35.4</v>
      </c>
      <c r="J13">
        <v>36.4</v>
      </c>
      <c r="K13">
        <v>28.6</v>
      </c>
    </row>
    <row r="14" spans="1:11" x14ac:dyDescent="0.25">
      <c r="A14" t="s">
        <v>276</v>
      </c>
      <c r="B14">
        <v>45.6</v>
      </c>
      <c r="C14">
        <v>35.5</v>
      </c>
      <c r="D14">
        <v>38.299999999999997</v>
      </c>
      <c r="E14">
        <v>51.4</v>
      </c>
      <c r="F14">
        <v>1.3</v>
      </c>
      <c r="G14">
        <v>1.1000000000000001</v>
      </c>
      <c r="H14">
        <v>22.2</v>
      </c>
      <c r="I14">
        <v>57.5</v>
      </c>
      <c r="J14">
        <v>64.5</v>
      </c>
      <c r="K14">
        <v>32.700000000000003</v>
      </c>
    </row>
    <row r="15" spans="1:11" x14ac:dyDescent="0.25">
      <c r="A15" t="s">
        <v>277</v>
      </c>
      <c r="B15">
        <v>44.8</v>
      </c>
      <c r="C15">
        <v>35.200000000000003</v>
      </c>
      <c r="D15">
        <v>30.3</v>
      </c>
      <c r="E15">
        <v>42.2</v>
      </c>
      <c r="F15">
        <v>1.4</v>
      </c>
      <c r="G15">
        <v>1.4</v>
      </c>
      <c r="H15">
        <v>21.4</v>
      </c>
      <c r="I15">
        <v>49.2</v>
      </c>
      <c r="J15">
        <v>54.6</v>
      </c>
      <c r="K15">
        <v>29.1</v>
      </c>
    </row>
    <row r="16" spans="1:11" x14ac:dyDescent="0.25">
      <c r="A16" t="s">
        <v>279</v>
      </c>
      <c r="B16">
        <v>42.4</v>
      </c>
      <c r="C16">
        <v>34.4</v>
      </c>
      <c r="D16">
        <v>28.1</v>
      </c>
      <c r="E16">
        <v>39</v>
      </c>
      <c r="F16">
        <v>1.4</v>
      </c>
      <c r="G16">
        <v>2.2000000000000002</v>
      </c>
      <c r="H16">
        <v>18.899999999999999</v>
      </c>
      <c r="I16">
        <v>49.1</v>
      </c>
      <c r="J16">
        <v>52.7</v>
      </c>
      <c r="K16">
        <v>34</v>
      </c>
    </row>
    <row r="17" spans="1:11" x14ac:dyDescent="0.25">
      <c r="A17" t="s">
        <v>280</v>
      </c>
      <c r="B17">
        <v>44.5</v>
      </c>
      <c r="C17">
        <v>34</v>
      </c>
      <c r="D17">
        <v>33.6</v>
      </c>
      <c r="E17">
        <v>42.7</v>
      </c>
      <c r="F17">
        <v>1.3</v>
      </c>
      <c r="G17">
        <v>1.4</v>
      </c>
      <c r="H17">
        <v>23.6</v>
      </c>
      <c r="I17">
        <v>49.4</v>
      </c>
      <c r="J17">
        <v>55.6</v>
      </c>
      <c r="K17">
        <v>29.5</v>
      </c>
    </row>
    <row r="18" spans="1:11" x14ac:dyDescent="0.25">
      <c r="A18" t="s">
        <v>281</v>
      </c>
      <c r="B18">
        <v>45.3</v>
      </c>
      <c r="C18">
        <v>35.5</v>
      </c>
      <c r="D18">
        <v>32.6</v>
      </c>
      <c r="E18">
        <v>47.3</v>
      </c>
      <c r="F18">
        <v>1.4</v>
      </c>
      <c r="G18">
        <v>1.4</v>
      </c>
      <c r="H18">
        <v>21.6</v>
      </c>
      <c r="I18">
        <v>51.1</v>
      </c>
      <c r="J18">
        <v>56.3</v>
      </c>
      <c r="K18">
        <v>32.1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7030A0"/>
  </sheetPr>
  <dimension ref="A1:M32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29" t="s">
        <v>609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610</v>
      </c>
      <c r="I2" s="29"/>
      <c r="J2" s="29"/>
      <c r="K2" s="29"/>
      <c r="L2" s="29" t="s">
        <v>591</v>
      </c>
      <c r="M2" s="29"/>
    </row>
    <row r="3" spans="1:13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29" t="s">
        <v>326</v>
      </c>
      <c r="I3" s="29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29"/>
      <c r="I4" s="29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32.299999999999997</v>
      </c>
      <c r="C5">
        <v>27.3</v>
      </c>
      <c r="D5">
        <v>33.5</v>
      </c>
      <c r="E5">
        <v>41.5</v>
      </c>
      <c r="F5">
        <v>1.2</v>
      </c>
      <c r="G5">
        <v>1.4</v>
      </c>
      <c r="H5">
        <v>11.3</v>
      </c>
      <c r="I5">
        <v>62.2</v>
      </c>
      <c r="J5">
        <v>17.899999999999999</v>
      </c>
      <c r="K5">
        <v>8.6</v>
      </c>
      <c r="L5">
        <v>15.6</v>
      </c>
      <c r="M5">
        <v>47.7</v>
      </c>
    </row>
    <row r="6" spans="1:13" x14ac:dyDescent="0.25">
      <c r="A6" t="s">
        <v>284</v>
      </c>
      <c r="B6">
        <v>37.299999999999997</v>
      </c>
      <c r="C6">
        <v>29.9</v>
      </c>
      <c r="D6">
        <v>33.200000000000003</v>
      </c>
      <c r="E6">
        <v>46.9</v>
      </c>
      <c r="F6">
        <v>1.4</v>
      </c>
      <c r="G6">
        <v>1.2</v>
      </c>
      <c r="H6">
        <v>7.5</v>
      </c>
      <c r="I6">
        <v>66.3</v>
      </c>
      <c r="J6">
        <v>17.7</v>
      </c>
      <c r="K6">
        <v>8.4</v>
      </c>
      <c r="L6">
        <v>19.7</v>
      </c>
      <c r="M6">
        <v>55.8</v>
      </c>
    </row>
    <row r="7" spans="1:13" x14ac:dyDescent="0.25">
      <c r="A7" t="s">
        <v>285</v>
      </c>
      <c r="B7">
        <v>38.299999999999997</v>
      </c>
      <c r="C7">
        <v>29.4</v>
      </c>
      <c r="D7">
        <v>37.5</v>
      </c>
      <c r="E7">
        <v>47.1</v>
      </c>
      <c r="F7">
        <v>1.3</v>
      </c>
      <c r="G7">
        <v>1.3</v>
      </c>
      <c r="H7">
        <v>7.4</v>
      </c>
      <c r="I7">
        <v>62.9</v>
      </c>
      <c r="J7">
        <v>19.100000000000001</v>
      </c>
      <c r="K7">
        <v>10.6</v>
      </c>
      <c r="L7">
        <v>23.2</v>
      </c>
      <c r="M7">
        <v>53.7</v>
      </c>
    </row>
    <row r="8" spans="1:13" x14ac:dyDescent="0.25">
      <c r="A8" t="s">
        <v>286</v>
      </c>
      <c r="B8">
        <v>32.9</v>
      </c>
      <c r="C8">
        <v>27.7</v>
      </c>
      <c r="D8">
        <v>36.6</v>
      </c>
      <c r="E8">
        <v>47.7</v>
      </c>
      <c r="F8">
        <v>1.3</v>
      </c>
      <c r="G8">
        <v>1.2</v>
      </c>
      <c r="H8">
        <v>6.1</v>
      </c>
      <c r="I8">
        <v>62.4</v>
      </c>
      <c r="J8">
        <v>20.7</v>
      </c>
      <c r="K8">
        <v>10.9</v>
      </c>
      <c r="L8">
        <v>15.9</v>
      </c>
      <c r="M8">
        <v>44.8</v>
      </c>
    </row>
    <row r="9" spans="1:13" x14ac:dyDescent="0.25">
      <c r="A9" t="s">
        <v>287</v>
      </c>
      <c r="B9">
        <v>38.5</v>
      </c>
      <c r="C9">
        <v>32.6</v>
      </c>
      <c r="D9">
        <v>40.799999999999997</v>
      </c>
      <c r="E9">
        <v>51.3</v>
      </c>
      <c r="F9">
        <v>1.3</v>
      </c>
      <c r="G9">
        <v>1.3</v>
      </c>
      <c r="H9">
        <v>6.3</v>
      </c>
      <c r="I9">
        <v>64.2</v>
      </c>
      <c r="J9">
        <v>20.2</v>
      </c>
      <c r="K9">
        <v>9.3000000000000007</v>
      </c>
      <c r="L9">
        <v>15.3</v>
      </c>
      <c r="M9">
        <v>40.200000000000003</v>
      </c>
    </row>
    <row r="10" spans="1:13" x14ac:dyDescent="0.25">
      <c r="A10" t="s">
        <v>288</v>
      </c>
      <c r="B10">
        <v>35.5</v>
      </c>
      <c r="C10">
        <v>30.2</v>
      </c>
      <c r="D10">
        <v>34.200000000000003</v>
      </c>
      <c r="E10">
        <v>42.7</v>
      </c>
      <c r="F10">
        <v>1.3</v>
      </c>
      <c r="G10">
        <v>1.5</v>
      </c>
      <c r="H10">
        <v>6.8</v>
      </c>
      <c r="I10">
        <v>63.9</v>
      </c>
      <c r="J10">
        <v>19.5</v>
      </c>
      <c r="K10">
        <v>9.9</v>
      </c>
      <c r="L10">
        <v>15</v>
      </c>
      <c r="M10">
        <v>51</v>
      </c>
    </row>
    <row r="11" spans="1:13" x14ac:dyDescent="0.25">
      <c r="A11" t="s">
        <v>289</v>
      </c>
      <c r="B11">
        <v>26.5</v>
      </c>
      <c r="C11">
        <v>22.1</v>
      </c>
      <c r="D11">
        <v>32.9</v>
      </c>
      <c r="E11">
        <v>39.200000000000003</v>
      </c>
      <c r="F11">
        <v>1.2</v>
      </c>
      <c r="G11">
        <v>1.5</v>
      </c>
      <c r="H11">
        <v>6.1</v>
      </c>
      <c r="I11">
        <v>60.3</v>
      </c>
      <c r="J11">
        <v>21.3</v>
      </c>
      <c r="K11">
        <v>12.4</v>
      </c>
      <c r="L11">
        <v>16.399999999999999</v>
      </c>
      <c r="M11">
        <v>44.8</v>
      </c>
    </row>
    <row r="12" spans="1:13" x14ac:dyDescent="0.25">
      <c r="A12" t="s">
        <v>290</v>
      </c>
      <c r="B12">
        <v>34.9</v>
      </c>
      <c r="C12">
        <v>29.1</v>
      </c>
      <c r="D12">
        <v>38.6</v>
      </c>
      <c r="E12">
        <v>48.2</v>
      </c>
      <c r="F12">
        <v>1.2</v>
      </c>
      <c r="G12">
        <v>1.3</v>
      </c>
      <c r="H12">
        <v>6.6</v>
      </c>
      <c r="I12">
        <v>62.6</v>
      </c>
      <c r="J12">
        <v>19.600000000000001</v>
      </c>
      <c r="K12">
        <v>11.2</v>
      </c>
      <c r="L12">
        <v>16.7</v>
      </c>
      <c r="M12">
        <v>50.7</v>
      </c>
    </row>
    <row r="13" spans="1:13" x14ac:dyDescent="0.25">
      <c r="A13" t="s">
        <v>291</v>
      </c>
      <c r="B13">
        <v>18.8</v>
      </c>
      <c r="C13">
        <v>15.6</v>
      </c>
      <c r="D13">
        <v>31</v>
      </c>
      <c r="E13">
        <v>34</v>
      </c>
      <c r="F13">
        <v>1.1000000000000001</v>
      </c>
      <c r="G13">
        <v>2.5</v>
      </c>
      <c r="H13">
        <v>10.4</v>
      </c>
      <c r="I13">
        <v>60.3</v>
      </c>
      <c r="J13">
        <v>17.2</v>
      </c>
      <c r="K13">
        <v>12.2</v>
      </c>
      <c r="L13">
        <v>16.899999999999999</v>
      </c>
      <c r="M13">
        <v>47.2</v>
      </c>
    </row>
    <row r="14" spans="1:13" x14ac:dyDescent="0.25">
      <c r="A14" t="s">
        <v>292</v>
      </c>
      <c r="B14">
        <v>24.2</v>
      </c>
      <c r="C14">
        <v>21.1</v>
      </c>
      <c r="D14">
        <v>24.1</v>
      </c>
      <c r="E14">
        <v>32.9</v>
      </c>
      <c r="F14">
        <v>1.4</v>
      </c>
      <c r="G14">
        <v>1.7</v>
      </c>
      <c r="H14">
        <v>9</v>
      </c>
      <c r="I14">
        <v>61.7</v>
      </c>
      <c r="J14">
        <v>19.3</v>
      </c>
      <c r="K14">
        <v>10</v>
      </c>
      <c r="L14">
        <v>12.9</v>
      </c>
      <c r="M14">
        <v>43.2</v>
      </c>
    </row>
    <row r="15" spans="1:13" x14ac:dyDescent="0.25">
      <c r="A15" t="s">
        <v>293</v>
      </c>
      <c r="B15">
        <v>33.799999999999997</v>
      </c>
      <c r="C15">
        <v>29.6</v>
      </c>
      <c r="D15">
        <v>31.4</v>
      </c>
      <c r="E15">
        <v>44.9</v>
      </c>
      <c r="F15">
        <v>1.4</v>
      </c>
      <c r="G15">
        <v>1.3</v>
      </c>
      <c r="H15">
        <v>5.3</v>
      </c>
      <c r="I15">
        <v>72.5</v>
      </c>
      <c r="J15">
        <v>15</v>
      </c>
      <c r="K15">
        <v>7.1</v>
      </c>
      <c r="L15">
        <v>12.6</v>
      </c>
      <c r="M15">
        <v>59.5</v>
      </c>
    </row>
    <row r="16" spans="1:13" x14ac:dyDescent="0.25">
      <c r="A16" t="s">
        <v>294</v>
      </c>
      <c r="B16">
        <v>24.7</v>
      </c>
      <c r="C16">
        <v>23.2</v>
      </c>
      <c r="D16">
        <v>25.8</v>
      </c>
      <c r="E16">
        <v>36.200000000000003</v>
      </c>
      <c r="F16">
        <v>1.4</v>
      </c>
      <c r="G16">
        <v>1.5</v>
      </c>
      <c r="H16">
        <v>5.6</v>
      </c>
      <c r="I16">
        <v>70.7</v>
      </c>
      <c r="J16">
        <v>16.2</v>
      </c>
      <c r="K16">
        <v>7.5</v>
      </c>
      <c r="L16">
        <v>5.9</v>
      </c>
      <c r="M16">
        <v>47</v>
      </c>
    </row>
    <row r="17" spans="1:13" x14ac:dyDescent="0.25">
      <c r="A17" t="s">
        <v>295</v>
      </c>
      <c r="B17">
        <v>35.6</v>
      </c>
      <c r="C17">
        <v>29.6</v>
      </c>
      <c r="D17">
        <v>28.4</v>
      </c>
      <c r="E17">
        <v>37.799999999999997</v>
      </c>
      <c r="F17">
        <v>1.3</v>
      </c>
      <c r="G17">
        <v>1.5</v>
      </c>
      <c r="H17">
        <v>6.9</v>
      </c>
      <c r="I17">
        <v>66.900000000000006</v>
      </c>
      <c r="J17">
        <v>17.899999999999999</v>
      </c>
      <c r="K17">
        <v>8.3000000000000007</v>
      </c>
      <c r="L17">
        <v>16.899999999999999</v>
      </c>
      <c r="M17">
        <v>42.3</v>
      </c>
    </row>
    <row r="18" spans="1:13" x14ac:dyDescent="0.25">
      <c r="A18" t="s">
        <v>296</v>
      </c>
      <c r="B18">
        <v>26.1</v>
      </c>
      <c r="C18">
        <v>23.1</v>
      </c>
      <c r="D18">
        <v>32.4</v>
      </c>
      <c r="E18">
        <v>40</v>
      </c>
      <c r="F18">
        <v>1.2</v>
      </c>
      <c r="G18">
        <v>1.4</v>
      </c>
      <c r="H18">
        <v>7.1</v>
      </c>
      <c r="I18">
        <v>63.2</v>
      </c>
      <c r="J18">
        <v>20.7</v>
      </c>
      <c r="K18">
        <v>9.1</v>
      </c>
      <c r="L18">
        <v>11.3</v>
      </c>
      <c r="M18">
        <v>50.6</v>
      </c>
    </row>
    <row r="19" spans="1:13" x14ac:dyDescent="0.25">
      <c r="A19" t="s">
        <v>297</v>
      </c>
      <c r="B19">
        <v>25.4</v>
      </c>
      <c r="C19">
        <v>22.7</v>
      </c>
      <c r="D19">
        <v>43.6</v>
      </c>
      <c r="E19">
        <v>63.2</v>
      </c>
      <c r="F19">
        <v>1.5</v>
      </c>
      <c r="G19">
        <v>0.9</v>
      </c>
      <c r="H19">
        <v>4.5999999999999996</v>
      </c>
      <c r="I19">
        <v>57.6</v>
      </c>
      <c r="J19">
        <v>22</v>
      </c>
      <c r="K19">
        <v>15.9</v>
      </c>
      <c r="L19">
        <v>10.7</v>
      </c>
      <c r="M19">
        <v>56.2</v>
      </c>
    </row>
    <row r="20" spans="1:13" x14ac:dyDescent="0.25">
      <c r="A20" t="s">
        <v>298</v>
      </c>
      <c r="B20">
        <v>26.4</v>
      </c>
      <c r="C20">
        <v>23</v>
      </c>
      <c r="D20">
        <v>34.5</v>
      </c>
      <c r="E20">
        <v>36.1</v>
      </c>
      <c r="F20">
        <v>1</v>
      </c>
      <c r="G20">
        <v>1.7</v>
      </c>
      <c r="H20">
        <v>5.7</v>
      </c>
      <c r="I20">
        <v>64.5</v>
      </c>
      <c r="J20">
        <v>19.8</v>
      </c>
      <c r="K20">
        <v>10</v>
      </c>
      <c r="L20">
        <v>12.9</v>
      </c>
      <c r="M20">
        <v>47.5</v>
      </c>
    </row>
    <row r="21" spans="1:13" x14ac:dyDescent="0.25">
      <c r="A21" t="s">
        <v>299</v>
      </c>
      <c r="B21">
        <v>28.2</v>
      </c>
      <c r="C21">
        <v>24.3</v>
      </c>
      <c r="D21">
        <v>27</v>
      </c>
      <c r="E21">
        <v>35</v>
      </c>
      <c r="F21">
        <v>1.3</v>
      </c>
      <c r="G21">
        <v>3.3</v>
      </c>
      <c r="H21">
        <v>8</v>
      </c>
      <c r="I21">
        <v>65.3</v>
      </c>
      <c r="J21">
        <v>17.899999999999999</v>
      </c>
      <c r="K21">
        <v>8.6999999999999993</v>
      </c>
      <c r="L21">
        <v>13.6</v>
      </c>
      <c r="M21">
        <v>48.6</v>
      </c>
    </row>
    <row r="22" spans="1:13" x14ac:dyDescent="0.25">
      <c r="A22" t="s">
        <v>300</v>
      </c>
      <c r="B22">
        <v>41.9</v>
      </c>
      <c r="C22">
        <v>31.5</v>
      </c>
      <c r="D22">
        <v>35.5</v>
      </c>
      <c r="E22">
        <v>42.8</v>
      </c>
      <c r="F22">
        <v>1.2</v>
      </c>
      <c r="G22">
        <v>1.4</v>
      </c>
      <c r="H22">
        <v>7.3</v>
      </c>
      <c r="I22">
        <v>62.6</v>
      </c>
      <c r="J22">
        <v>20</v>
      </c>
      <c r="K22">
        <v>10.1</v>
      </c>
      <c r="L22">
        <v>24.8</v>
      </c>
      <c r="M22">
        <v>41.9</v>
      </c>
    </row>
    <row r="23" spans="1:13" x14ac:dyDescent="0.25">
      <c r="A23" t="s">
        <v>301</v>
      </c>
      <c r="B23">
        <v>34.1</v>
      </c>
      <c r="C23">
        <v>28</v>
      </c>
      <c r="D23">
        <v>32.6</v>
      </c>
      <c r="E23">
        <v>43.3</v>
      </c>
      <c r="F23">
        <v>1.3</v>
      </c>
      <c r="G23">
        <v>1.3</v>
      </c>
      <c r="H23">
        <v>8.6999999999999993</v>
      </c>
      <c r="I23">
        <v>64.3</v>
      </c>
      <c r="J23">
        <v>17.8</v>
      </c>
      <c r="K23">
        <v>9.1999999999999993</v>
      </c>
      <c r="L23">
        <v>17.8</v>
      </c>
      <c r="M23">
        <v>45.3</v>
      </c>
    </row>
    <row r="24" spans="1:13" x14ac:dyDescent="0.25">
      <c r="A24" t="s">
        <v>302</v>
      </c>
      <c r="B24">
        <v>42.3</v>
      </c>
      <c r="C24">
        <v>38.6</v>
      </c>
      <c r="D24">
        <v>30</v>
      </c>
      <c r="E24">
        <v>47.6</v>
      </c>
      <c r="F24">
        <v>1.6</v>
      </c>
      <c r="G24">
        <v>1.5</v>
      </c>
      <c r="H24">
        <v>5.2</v>
      </c>
      <c r="I24">
        <v>73</v>
      </c>
      <c r="J24">
        <v>14.9</v>
      </c>
      <c r="K24">
        <v>6.8</v>
      </c>
      <c r="L24">
        <v>8.6999999999999993</v>
      </c>
      <c r="M24">
        <v>45.6</v>
      </c>
    </row>
    <row r="25" spans="1:13" x14ac:dyDescent="0.25">
      <c r="A25" t="s">
        <v>303</v>
      </c>
      <c r="B25">
        <v>47.1</v>
      </c>
      <c r="C25">
        <v>35.799999999999997</v>
      </c>
      <c r="D25">
        <v>38.4</v>
      </c>
      <c r="E25">
        <v>49.9</v>
      </c>
      <c r="F25">
        <v>1.3</v>
      </c>
      <c r="G25">
        <v>1.1000000000000001</v>
      </c>
      <c r="H25">
        <v>10.4</v>
      </c>
      <c r="I25">
        <v>60.8</v>
      </c>
      <c r="J25">
        <v>18.600000000000001</v>
      </c>
      <c r="K25">
        <v>10.199999999999999</v>
      </c>
      <c r="L25">
        <v>23.9</v>
      </c>
      <c r="M25">
        <v>57.7</v>
      </c>
    </row>
    <row r="26" spans="1:13" x14ac:dyDescent="0.25">
      <c r="A26" t="s">
        <v>304</v>
      </c>
      <c r="B26">
        <v>26.9</v>
      </c>
      <c r="C26">
        <v>24.2</v>
      </c>
      <c r="D26">
        <v>24.4</v>
      </c>
      <c r="E26">
        <v>34.799999999999997</v>
      </c>
      <c r="F26">
        <v>1.4</v>
      </c>
      <c r="G26">
        <v>1.7</v>
      </c>
      <c r="H26">
        <v>3.8</v>
      </c>
      <c r="I26">
        <v>75</v>
      </c>
      <c r="J26">
        <v>14.5</v>
      </c>
      <c r="K26">
        <v>6.7</v>
      </c>
      <c r="L26">
        <v>10</v>
      </c>
      <c r="M26">
        <v>53.6</v>
      </c>
    </row>
    <row r="27" spans="1:13" x14ac:dyDescent="0.25">
      <c r="A27" t="s">
        <v>305</v>
      </c>
      <c r="B27">
        <v>32.299999999999997</v>
      </c>
      <c r="C27">
        <v>25.8</v>
      </c>
      <c r="D27">
        <v>33</v>
      </c>
      <c r="E27">
        <v>41.6</v>
      </c>
      <c r="F27">
        <v>1.3</v>
      </c>
      <c r="G27">
        <v>1.4</v>
      </c>
      <c r="H27">
        <v>7.1</v>
      </c>
      <c r="I27">
        <v>60.9</v>
      </c>
      <c r="J27">
        <v>21</v>
      </c>
      <c r="K27">
        <v>11.1</v>
      </c>
      <c r="L27">
        <v>20.2</v>
      </c>
      <c r="M27">
        <v>35.299999999999997</v>
      </c>
    </row>
    <row r="28" spans="1:13" x14ac:dyDescent="0.25">
      <c r="A28" t="s">
        <v>306</v>
      </c>
      <c r="B28">
        <v>31.1</v>
      </c>
      <c r="C28">
        <v>24.5</v>
      </c>
      <c r="D28">
        <v>35.299999999999997</v>
      </c>
      <c r="E28">
        <v>38.700000000000003</v>
      </c>
      <c r="F28">
        <v>1.1000000000000001</v>
      </c>
      <c r="G28">
        <v>1.7</v>
      </c>
      <c r="H28">
        <v>6.5</v>
      </c>
      <c r="I28">
        <v>57.1</v>
      </c>
      <c r="J28">
        <v>22.2</v>
      </c>
      <c r="K28">
        <v>14.3</v>
      </c>
      <c r="L28">
        <v>21</v>
      </c>
      <c r="M28">
        <v>37.299999999999997</v>
      </c>
    </row>
    <row r="29" spans="1:13" x14ac:dyDescent="0.25">
      <c r="A29" t="s">
        <v>307</v>
      </c>
      <c r="B29">
        <v>46.1</v>
      </c>
      <c r="C29">
        <v>37.5</v>
      </c>
      <c r="D29">
        <v>36.6</v>
      </c>
      <c r="E29">
        <v>47.9</v>
      </c>
      <c r="F29">
        <v>1.3</v>
      </c>
      <c r="G29">
        <v>1.7</v>
      </c>
      <c r="H29">
        <v>8.4</v>
      </c>
      <c r="I29">
        <v>66.2</v>
      </c>
      <c r="J29">
        <v>17.399999999999999</v>
      </c>
      <c r="K29">
        <v>8</v>
      </c>
      <c r="L29">
        <v>18.5</v>
      </c>
      <c r="M29">
        <v>50.6</v>
      </c>
    </row>
    <row r="30" spans="1:13" x14ac:dyDescent="0.25">
      <c r="A30" t="s">
        <v>266</v>
      </c>
      <c r="B30">
        <v>34.4</v>
      </c>
      <c r="C30">
        <v>28.4</v>
      </c>
      <c r="D30">
        <v>35.200000000000003</v>
      </c>
      <c r="E30">
        <v>45.1</v>
      </c>
      <c r="F30">
        <v>1.3</v>
      </c>
      <c r="G30">
        <v>1.4</v>
      </c>
      <c r="H30">
        <v>7.3</v>
      </c>
      <c r="I30">
        <v>63</v>
      </c>
      <c r="J30">
        <v>19.3</v>
      </c>
      <c r="K30">
        <v>10.4</v>
      </c>
      <c r="L30">
        <v>17.600000000000001</v>
      </c>
      <c r="M30">
        <v>48.6</v>
      </c>
    </row>
    <row r="31" spans="1:13" x14ac:dyDescent="0.25">
      <c r="A31" t="s">
        <v>308</v>
      </c>
      <c r="B31">
        <v>26.7</v>
      </c>
      <c r="C31">
        <v>23.1</v>
      </c>
      <c r="D31">
        <v>39.700000000000003</v>
      </c>
      <c r="E31">
        <v>51.6</v>
      </c>
      <c r="F31">
        <v>1.3</v>
      </c>
      <c r="G31">
        <v>1.2</v>
      </c>
      <c r="H31">
        <v>6.6</v>
      </c>
      <c r="I31">
        <v>56.2</v>
      </c>
      <c r="J31">
        <v>20.8</v>
      </c>
      <c r="K31">
        <v>16.399999999999999</v>
      </c>
      <c r="L31">
        <v>13.5</v>
      </c>
      <c r="M31">
        <v>55.8</v>
      </c>
    </row>
    <row r="32" spans="1:13" x14ac:dyDescent="0.25">
      <c r="A32" t="s">
        <v>309</v>
      </c>
      <c r="B32">
        <v>36.9</v>
      </c>
      <c r="C32">
        <v>30</v>
      </c>
      <c r="D32">
        <v>34.299999999999997</v>
      </c>
      <c r="E32">
        <v>43.8</v>
      </c>
      <c r="F32">
        <v>1.3</v>
      </c>
      <c r="G32">
        <v>1.4</v>
      </c>
      <c r="H32">
        <v>7.4</v>
      </c>
      <c r="I32">
        <v>64.599999999999994</v>
      </c>
      <c r="J32">
        <v>18.899999999999999</v>
      </c>
      <c r="K32">
        <v>9.1</v>
      </c>
      <c r="L32">
        <v>18.8</v>
      </c>
      <c r="M32">
        <v>46.5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00B0F0"/>
  </sheetPr>
  <dimension ref="A1:M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5" max="5" width="12.85546875" customWidth="1"/>
    <col min="6" max="6" width="12.7109375" customWidth="1"/>
    <col min="7" max="7" width="12.85546875" customWidth="1"/>
    <col min="8" max="8" width="12.7109375" customWidth="1"/>
    <col min="9" max="9" width="12.85546875" customWidth="1"/>
    <col min="11" max="11" width="12.7109375" customWidth="1"/>
    <col min="12" max="12" width="12.85546875" customWidth="1"/>
    <col min="13" max="13" width="12.7109375" customWidth="1"/>
  </cols>
  <sheetData>
    <row r="1" spans="1:13" x14ac:dyDescent="0.25">
      <c r="A1" s="29" t="s">
        <v>709</v>
      </c>
      <c r="B1" s="29" t="s">
        <v>620</v>
      </c>
      <c r="C1" s="29"/>
      <c r="D1" s="29"/>
      <c r="E1" s="29" t="s">
        <v>621</v>
      </c>
      <c r="F1" s="29"/>
      <c r="G1" s="29"/>
      <c r="H1" s="29" t="s">
        <v>622</v>
      </c>
      <c r="I1" s="29"/>
      <c r="J1" s="29"/>
      <c r="K1" s="29" t="s">
        <v>623</v>
      </c>
      <c r="L1" s="29"/>
      <c r="M1" s="29"/>
    </row>
    <row r="2" spans="1:13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94.2</v>
      </c>
      <c r="C3">
        <v>2.5</v>
      </c>
      <c r="D3">
        <v>3.4</v>
      </c>
      <c r="E3">
        <v>83.7</v>
      </c>
      <c r="F3">
        <v>1.4</v>
      </c>
      <c r="G3">
        <v>14.8</v>
      </c>
      <c r="H3">
        <v>79.900000000000006</v>
      </c>
      <c r="I3">
        <v>0.9</v>
      </c>
      <c r="J3">
        <v>19.2</v>
      </c>
      <c r="K3">
        <v>6339</v>
      </c>
      <c r="L3">
        <v>3198</v>
      </c>
      <c r="M3">
        <v>939</v>
      </c>
    </row>
    <row r="4" spans="1:13" x14ac:dyDescent="0.25">
      <c r="A4" t="s">
        <v>284</v>
      </c>
      <c r="B4">
        <v>87.9</v>
      </c>
      <c r="C4">
        <v>4.5</v>
      </c>
      <c r="D4">
        <v>7.7</v>
      </c>
      <c r="E4">
        <v>80.400000000000006</v>
      </c>
      <c r="F4">
        <v>1.6</v>
      </c>
      <c r="G4">
        <v>18</v>
      </c>
      <c r="H4">
        <v>80.599999999999994</v>
      </c>
      <c r="I4">
        <v>1.1000000000000001</v>
      </c>
      <c r="J4">
        <v>18.2</v>
      </c>
      <c r="K4">
        <v>8886</v>
      </c>
      <c r="L4">
        <v>4680</v>
      </c>
      <c r="M4">
        <v>1912</v>
      </c>
    </row>
    <row r="5" spans="1:13" x14ac:dyDescent="0.25">
      <c r="A5" t="s">
        <v>285</v>
      </c>
      <c r="B5">
        <v>86.5</v>
      </c>
      <c r="C5">
        <v>6</v>
      </c>
      <c r="D5">
        <v>7.5</v>
      </c>
      <c r="E5">
        <v>77.099999999999994</v>
      </c>
      <c r="F5">
        <v>2.2000000000000002</v>
      </c>
      <c r="G5">
        <v>20.7</v>
      </c>
      <c r="H5">
        <v>83.3</v>
      </c>
      <c r="I5">
        <v>1.2</v>
      </c>
      <c r="J5">
        <v>15.5</v>
      </c>
      <c r="K5">
        <v>6954</v>
      </c>
      <c r="L5">
        <v>3925</v>
      </c>
      <c r="M5">
        <v>2429</v>
      </c>
    </row>
    <row r="6" spans="1:13" x14ac:dyDescent="0.25">
      <c r="A6" t="s">
        <v>286</v>
      </c>
      <c r="B6">
        <v>92.3</v>
      </c>
      <c r="C6">
        <v>4.0999999999999996</v>
      </c>
      <c r="D6">
        <v>3.6</v>
      </c>
      <c r="E6">
        <v>84.9</v>
      </c>
      <c r="F6">
        <v>0.9</v>
      </c>
      <c r="G6">
        <v>14.2</v>
      </c>
      <c r="H6">
        <v>80.7</v>
      </c>
      <c r="I6">
        <v>0.8</v>
      </c>
      <c r="J6">
        <v>18.5</v>
      </c>
      <c r="K6">
        <v>4996</v>
      </c>
      <c r="L6">
        <v>3089</v>
      </c>
      <c r="M6">
        <v>1320</v>
      </c>
    </row>
    <row r="7" spans="1:13" x14ac:dyDescent="0.25">
      <c r="A7" t="s">
        <v>287</v>
      </c>
      <c r="B7">
        <v>90</v>
      </c>
      <c r="C7">
        <v>3.8</v>
      </c>
      <c r="D7">
        <v>6.3</v>
      </c>
      <c r="E7">
        <v>74.599999999999994</v>
      </c>
      <c r="F7">
        <v>1.1000000000000001</v>
      </c>
      <c r="G7">
        <v>24.2</v>
      </c>
      <c r="H7">
        <v>83.6</v>
      </c>
      <c r="I7">
        <v>0.4</v>
      </c>
      <c r="J7">
        <v>16</v>
      </c>
      <c r="K7">
        <v>6239</v>
      </c>
      <c r="L7">
        <v>2835</v>
      </c>
      <c r="M7">
        <v>1569</v>
      </c>
    </row>
    <row r="8" spans="1:13" x14ac:dyDescent="0.25">
      <c r="A8" t="s">
        <v>288</v>
      </c>
      <c r="B8">
        <v>87.8</v>
      </c>
      <c r="C8">
        <v>5.3</v>
      </c>
      <c r="D8">
        <v>6.9</v>
      </c>
      <c r="E8">
        <v>78.099999999999994</v>
      </c>
      <c r="F8">
        <v>2.2000000000000002</v>
      </c>
      <c r="G8">
        <v>19.7</v>
      </c>
      <c r="H8">
        <v>80.7</v>
      </c>
      <c r="I8">
        <v>0.6</v>
      </c>
      <c r="J8">
        <v>18.7</v>
      </c>
      <c r="K8">
        <v>4944</v>
      </c>
      <c r="L8">
        <v>3064</v>
      </c>
      <c r="M8">
        <v>1491</v>
      </c>
    </row>
    <row r="9" spans="1:13" x14ac:dyDescent="0.25">
      <c r="A9" t="s">
        <v>289</v>
      </c>
      <c r="B9">
        <v>90.7</v>
      </c>
      <c r="C9">
        <v>3.4</v>
      </c>
      <c r="D9">
        <v>5.8</v>
      </c>
      <c r="E9">
        <v>80.400000000000006</v>
      </c>
      <c r="F9">
        <v>1.4</v>
      </c>
      <c r="G9">
        <v>18.100000000000001</v>
      </c>
      <c r="H9">
        <v>85.6</v>
      </c>
      <c r="I9">
        <v>1.2</v>
      </c>
      <c r="J9">
        <v>13.2</v>
      </c>
      <c r="K9">
        <v>4691</v>
      </c>
      <c r="L9">
        <v>3211</v>
      </c>
      <c r="M9">
        <v>1901</v>
      </c>
    </row>
    <row r="10" spans="1:13" x14ac:dyDescent="0.25">
      <c r="A10" t="s">
        <v>290</v>
      </c>
      <c r="B10">
        <v>92.2</v>
      </c>
      <c r="C10">
        <v>5.8</v>
      </c>
      <c r="D10">
        <v>2</v>
      </c>
      <c r="E10">
        <v>86.6</v>
      </c>
      <c r="F10">
        <v>1.5</v>
      </c>
      <c r="G10">
        <v>11.9</v>
      </c>
      <c r="H10">
        <v>85.1</v>
      </c>
      <c r="I10">
        <v>1.2</v>
      </c>
      <c r="J10">
        <v>13.7</v>
      </c>
      <c r="K10">
        <v>10594</v>
      </c>
      <c r="L10">
        <v>6394</v>
      </c>
      <c r="M10">
        <v>3255</v>
      </c>
    </row>
    <row r="11" spans="1:13" x14ac:dyDescent="0.25">
      <c r="A11" t="s">
        <v>291</v>
      </c>
      <c r="B11">
        <v>93</v>
      </c>
      <c r="C11">
        <v>6.4</v>
      </c>
      <c r="D11">
        <v>0.6</v>
      </c>
      <c r="E11">
        <v>78.2</v>
      </c>
      <c r="F11">
        <v>2.4</v>
      </c>
      <c r="G11">
        <v>19.399999999999999</v>
      </c>
      <c r="H11">
        <v>91.3</v>
      </c>
      <c r="I11">
        <v>0.9</v>
      </c>
      <c r="J11">
        <v>7.9</v>
      </c>
      <c r="K11">
        <v>265</v>
      </c>
      <c r="L11">
        <v>174</v>
      </c>
      <c r="M11">
        <v>164</v>
      </c>
    </row>
    <row r="12" spans="1:13" x14ac:dyDescent="0.25">
      <c r="A12" t="s">
        <v>292</v>
      </c>
      <c r="B12">
        <v>89.7</v>
      </c>
      <c r="C12">
        <v>3.7</v>
      </c>
      <c r="D12">
        <v>6.7</v>
      </c>
      <c r="E12">
        <v>84</v>
      </c>
      <c r="F12">
        <v>0.7</v>
      </c>
      <c r="G12">
        <v>15.2</v>
      </c>
      <c r="H12">
        <v>77</v>
      </c>
      <c r="I12">
        <v>0.9</v>
      </c>
      <c r="J12">
        <v>22.1</v>
      </c>
      <c r="K12">
        <v>988</v>
      </c>
      <c r="L12">
        <v>529</v>
      </c>
      <c r="M12">
        <v>113</v>
      </c>
    </row>
    <row r="13" spans="1:13" x14ac:dyDescent="0.25">
      <c r="A13" t="s">
        <v>293</v>
      </c>
      <c r="B13">
        <v>84.3</v>
      </c>
      <c r="C13">
        <v>6</v>
      </c>
      <c r="D13">
        <v>9.6999999999999993</v>
      </c>
      <c r="E13">
        <v>77.900000000000006</v>
      </c>
      <c r="F13">
        <v>1.1000000000000001</v>
      </c>
      <c r="G13">
        <v>21</v>
      </c>
      <c r="H13">
        <v>86</v>
      </c>
      <c r="I13">
        <v>0.7</v>
      </c>
      <c r="J13">
        <v>13.3</v>
      </c>
      <c r="K13">
        <v>3151</v>
      </c>
      <c r="L13">
        <v>1344</v>
      </c>
      <c r="M13">
        <v>674</v>
      </c>
    </row>
    <row r="14" spans="1:13" x14ac:dyDescent="0.25">
      <c r="A14" t="s">
        <v>294</v>
      </c>
      <c r="B14">
        <v>89.3</v>
      </c>
      <c r="C14">
        <v>3.1</v>
      </c>
      <c r="D14">
        <v>7.6</v>
      </c>
      <c r="E14">
        <v>82.5</v>
      </c>
      <c r="F14">
        <v>3.1</v>
      </c>
      <c r="G14">
        <v>14.4</v>
      </c>
      <c r="H14">
        <v>92.4</v>
      </c>
      <c r="I14">
        <v>0</v>
      </c>
      <c r="J14">
        <v>7.6</v>
      </c>
      <c r="K14">
        <v>785</v>
      </c>
      <c r="L14">
        <v>367</v>
      </c>
      <c r="M14">
        <v>173</v>
      </c>
    </row>
    <row r="15" spans="1:13" x14ac:dyDescent="0.25">
      <c r="A15" t="s">
        <v>295</v>
      </c>
      <c r="B15">
        <v>84.1</v>
      </c>
      <c r="C15">
        <v>5.9</v>
      </c>
      <c r="D15">
        <v>9.9</v>
      </c>
      <c r="E15">
        <v>77.900000000000006</v>
      </c>
      <c r="F15">
        <v>2.9</v>
      </c>
      <c r="G15">
        <v>19.2</v>
      </c>
      <c r="H15">
        <v>86.7</v>
      </c>
      <c r="I15">
        <v>1.1000000000000001</v>
      </c>
      <c r="J15">
        <v>12.1</v>
      </c>
      <c r="K15">
        <v>1628</v>
      </c>
      <c r="L15">
        <v>872</v>
      </c>
      <c r="M15">
        <v>410</v>
      </c>
    </row>
    <row r="16" spans="1:13" x14ac:dyDescent="0.25">
      <c r="A16" t="s">
        <v>296</v>
      </c>
      <c r="B16">
        <v>92.3</v>
      </c>
      <c r="C16">
        <v>3.9</v>
      </c>
      <c r="D16">
        <v>3.9</v>
      </c>
      <c r="E16">
        <v>81.400000000000006</v>
      </c>
      <c r="F16">
        <v>3</v>
      </c>
      <c r="G16">
        <v>15.6</v>
      </c>
      <c r="H16">
        <v>77.099999999999994</v>
      </c>
      <c r="I16">
        <v>1.8</v>
      </c>
      <c r="J16">
        <v>21.2</v>
      </c>
      <c r="K16">
        <v>668</v>
      </c>
      <c r="L16">
        <v>326</v>
      </c>
      <c r="M16">
        <v>121</v>
      </c>
    </row>
    <row r="17" spans="1:13" x14ac:dyDescent="0.25">
      <c r="A17" t="s">
        <v>297</v>
      </c>
      <c r="B17">
        <v>94.9</v>
      </c>
      <c r="C17">
        <v>2.5</v>
      </c>
      <c r="D17">
        <v>2.6</v>
      </c>
      <c r="E17">
        <v>84.5</v>
      </c>
      <c r="F17">
        <v>2.2000000000000002</v>
      </c>
      <c r="G17">
        <v>13.3</v>
      </c>
      <c r="H17">
        <v>85.6</v>
      </c>
      <c r="I17">
        <v>1.6</v>
      </c>
      <c r="J17">
        <v>12.8</v>
      </c>
      <c r="K17">
        <v>8607</v>
      </c>
      <c r="L17">
        <v>4786</v>
      </c>
      <c r="M17">
        <v>3096</v>
      </c>
    </row>
    <row r="18" spans="1:13" x14ac:dyDescent="0.25">
      <c r="A18" t="s">
        <v>298</v>
      </c>
      <c r="B18">
        <v>82.7</v>
      </c>
      <c r="C18">
        <v>3</v>
      </c>
      <c r="D18">
        <v>14.3</v>
      </c>
      <c r="E18">
        <v>61.6</v>
      </c>
      <c r="F18">
        <v>2.6</v>
      </c>
      <c r="G18">
        <v>35.799999999999997</v>
      </c>
      <c r="H18">
        <v>79.8</v>
      </c>
      <c r="I18">
        <v>5.5</v>
      </c>
      <c r="J18">
        <v>14.7</v>
      </c>
      <c r="K18">
        <v>453</v>
      </c>
      <c r="L18">
        <v>143</v>
      </c>
      <c r="M18">
        <v>423</v>
      </c>
    </row>
    <row r="19" spans="1:13" x14ac:dyDescent="0.25">
      <c r="A19" t="s">
        <v>299</v>
      </c>
      <c r="B19">
        <v>87.7</v>
      </c>
      <c r="C19">
        <v>6.8</v>
      </c>
      <c r="D19">
        <v>5.5</v>
      </c>
      <c r="E19">
        <v>80.900000000000006</v>
      </c>
      <c r="F19">
        <v>1</v>
      </c>
      <c r="G19">
        <v>18.2</v>
      </c>
      <c r="H19">
        <v>89.8</v>
      </c>
      <c r="I19">
        <v>0.3</v>
      </c>
      <c r="J19">
        <v>9.9</v>
      </c>
      <c r="K19">
        <v>2125</v>
      </c>
      <c r="L19">
        <v>1023</v>
      </c>
      <c r="M19">
        <v>505</v>
      </c>
    </row>
    <row r="20" spans="1:13" x14ac:dyDescent="0.25">
      <c r="A20" t="s">
        <v>300</v>
      </c>
      <c r="B20">
        <v>90.1</v>
      </c>
      <c r="C20">
        <v>4.9000000000000004</v>
      </c>
      <c r="D20">
        <v>5</v>
      </c>
      <c r="E20">
        <v>77.599999999999994</v>
      </c>
      <c r="F20">
        <v>0.5</v>
      </c>
      <c r="G20">
        <v>21.8</v>
      </c>
      <c r="H20">
        <v>84.2</v>
      </c>
      <c r="I20">
        <v>0.9</v>
      </c>
      <c r="J20">
        <v>14.9</v>
      </c>
      <c r="K20">
        <v>7857</v>
      </c>
      <c r="L20">
        <v>4105</v>
      </c>
      <c r="M20">
        <v>2621</v>
      </c>
    </row>
    <row r="21" spans="1:13" x14ac:dyDescent="0.25">
      <c r="A21" t="s">
        <v>301</v>
      </c>
      <c r="B21">
        <v>88.8</v>
      </c>
      <c r="C21">
        <v>6.2</v>
      </c>
      <c r="D21">
        <v>5</v>
      </c>
      <c r="E21">
        <v>84.1</v>
      </c>
      <c r="F21">
        <v>0.7</v>
      </c>
      <c r="G21">
        <v>15.2</v>
      </c>
      <c r="H21">
        <v>89.6</v>
      </c>
      <c r="I21">
        <v>0.8</v>
      </c>
      <c r="J21">
        <v>9.6</v>
      </c>
      <c r="K21">
        <v>4068</v>
      </c>
      <c r="L21">
        <v>2242</v>
      </c>
      <c r="M21">
        <v>978</v>
      </c>
    </row>
    <row r="22" spans="1:13" x14ac:dyDescent="0.25">
      <c r="A22" t="s">
        <v>302</v>
      </c>
      <c r="B22">
        <v>82.7</v>
      </c>
      <c r="C22">
        <v>3.4</v>
      </c>
      <c r="D22">
        <v>13.8</v>
      </c>
      <c r="E22">
        <v>82.7</v>
      </c>
      <c r="F22">
        <v>0.7</v>
      </c>
      <c r="G22">
        <v>16.600000000000001</v>
      </c>
      <c r="H22">
        <v>89.9</v>
      </c>
      <c r="I22">
        <v>0.8</v>
      </c>
      <c r="J22">
        <v>9.3000000000000007</v>
      </c>
      <c r="K22">
        <v>1205</v>
      </c>
      <c r="L22">
        <v>683</v>
      </c>
      <c r="M22">
        <v>304</v>
      </c>
    </row>
    <row r="23" spans="1:13" x14ac:dyDescent="0.25">
      <c r="A23" t="s">
        <v>303</v>
      </c>
      <c r="B23">
        <v>90.7</v>
      </c>
      <c r="C23">
        <v>5.0999999999999996</v>
      </c>
      <c r="D23">
        <v>4.2</v>
      </c>
      <c r="E23">
        <v>84.4</v>
      </c>
      <c r="F23">
        <v>2.1</v>
      </c>
      <c r="G23">
        <v>13.5</v>
      </c>
      <c r="H23">
        <v>86.6</v>
      </c>
      <c r="I23">
        <v>1.2</v>
      </c>
      <c r="J23">
        <v>12.2</v>
      </c>
      <c r="K23">
        <v>9631</v>
      </c>
      <c r="L23">
        <v>6202</v>
      </c>
      <c r="M23">
        <v>3050</v>
      </c>
    </row>
    <row r="24" spans="1:13" x14ac:dyDescent="0.25">
      <c r="A24" t="s">
        <v>304</v>
      </c>
      <c r="B24">
        <v>79.7</v>
      </c>
      <c r="C24">
        <v>8.1</v>
      </c>
      <c r="D24">
        <v>12.2</v>
      </c>
      <c r="E24">
        <v>80.599999999999994</v>
      </c>
      <c r="F24">
        <v>2</v>
      </c>
      <c r="G24">
        <v>17.5</v>
      </c>
      <c r="H24">
        <v>88.7</v>
      </c>
      <c r="I24">
        <v>1.2</v>
      </c>
      <c r="J24">
        <v>10.199999999999999</v>
      </c>
      <c r="K24">
        <v>866</v>
      </c>
      <c r="L24">
        <v>511</v>
      </c>
      <c r="M24">
        <v>239</v>
      </c>
    </row>
    <row r="25" spans="1:13" x14ac:dyDescent="0.25">
      <c r="A25" t="s">
        <v>305</v>
      </c>
      <c r="B25">
        <v>95.5</v>
      </c>
      <c r="C25">
        <v>2.9</v>
      </c>
      <c r="D25">
        <v>1.6</v>
      </c>
      <c r="E25">
        <v>83.4</v>
      </c>
      <c r="F25">
        <v>0.9</v>
      </c>
      <c r="G25">
        <v>15.6</v>
      </c>
      <c r="H25">
        <v>82.7</v>
      </c>
      <c r="I25">
        <v>0.9</v>
      </c>
      <c r="J25">
        <v>16.5</v>
      </c>
      <c r="K25">
        <v>5088</v>
      </c>
      <c r="L25">
        <v>3049</v>
      </c>
      <c r="M25">
        <v>1304</v>
      </c>
    </row>
    <row r="26" spans="1:13" x14ac:dyDescent="0.25">
      <c r="A26" t="s">
        <v>306</v>
      </c>
      <c r="B26">
        <v>90.9</v>
      </c>
      <c r="C26">
        <v>5.8</v>
      </c>
      <c r="D26">
        <v>3.3</v>
      </c>
      <c r="E26">
        <v>84.5</v>
      </c>
      <c r="F26">
        <v>2.1</v>
      </c>
      <c r="G26">
        <v>13.4</v>
      </c>
      <c r="H26">
        <v>82.3</v>
      </c>
      <c r="I26">
        <v>1.2</v>
      </c>
      <c r="J26">
        <v>16.5</v>
      </c>
      <c r="K26">
        <v>7951</v>
      </c>
      <c r="L26">
        <v>5880</v>
      </c>
      <c r="M26">
        <v>2919</v>
      </c>
    </row>
    <row r="27" spans="1:13" x14ac:dyDescent="0.25">
      <c r="A27" t="s">
        <v>307</v>
      </c>
      <c r="B27">
        <v>83.4</v>
      </c>
      <c r="C27">
        <v>4.5999999999999996</v>
      </c>
      <c r="D27">
        <v>12</v>
      </c>
      <c r="E27">
        <v>74</v>
      </c>
      <c r="F27">
        <v>2</v>
      </c>
      <c r="G27">
        <v>23.9</v>
      </c>
      <c r="H27">
        <v>86.5</v>
      </c>
      <c r="I27">
        <v>1.2</v>
      </c>
      <c r="J27">
        <v>12.4</v>
      </c>
      <c r="K27">
        <v>3969</v>
      </c>
      <c r="L27">
        <v>2331</v>
      </c>
      <c r="M27">
        <v>1406</v>
      </c>
    </row>
    <row r="28" spans="1:13" x14ac:dyDescent="0.25">
      <c r="A28" t="s">
        <v>266</v>
      </c>
      <c r="B28">
        <v>89.5</v>
      </c>
      <c r="C28">
        <v>4.7</v>
      </c>
      <c r="D28">
        <v>5.9</v>
      </c>
      <c r="E28">
        <v>81</v>
      </c>
      <c r="F28">
        <v>1.6</v>
      </c>
      <c r="G28">
        <v>17.399999999999999</v>
      </c>
      <c r="H28">
        <v>84.1</v>
      </c>
      <c r="I28">
        <v>1.1000000000000001</v>
      </c>
      <c r="J28">
        <v>14.8</v>
      </c>
      <c r="K28">
        <v>112948</v>
      </c>
      <c r="L28">
        <v>64963</v>
      </c>
      <c r="M28">
        <v>33316</v>
      </c>
    </row>
    <row r="29" spans="1:13" x14ac:dyDescent="0.25">
      <c r="A29" t="s">
        <v>459</v>
      </c>
      <c r="B29">
        <v>91.9</v>
      </c>
      <c r="C29">
        <v>3.4</v>
      </c>
      <c r="D29">
        <v>4.7</v>
      </c>
      <c r="E29">
        <v>85.2</v>
      </c>
      <c r="F29">
        <v>2.2000000000000002</v>
      </c>
      <c r="G29">
        <v>12.6</v>
      </c>
      <c r="H29">
        <v>86</v>
      </c>
      <c r="I29">
        <v>1.2</v>
      </c>
      <c r="J29">
        <v>12.8</v>
      </c>
      <c r="K29">
        <v>19865</v>
      </c>
      <c r="L29">
        <v>13622</v>
      </c>
      <c r="M29">
        <v>9571</v>
      </c>
    </row>
    <row r="30" spans="1:13" x14ac:dyDescent="0.25">
      <c r="A30" t="s">
        <v>460</v>
      </c>
      <c r="B30">
        <v>89</v>
      </c>
      <c r="C30">
        <v>4.9000000000000004</v>
      </c>
      <c r="D30">
        <v>6.1</v>
      </c>
      <c r="E30">
        <v>80</v>
      </c>
      <c r="F30">
        <v>1.5</v>
      </c>
      <c r="G30">
        <v>18.5</v>
      </c>
      <c r="H30">
        <v>83.3</v>
      </c>
      <c r="I30">
        <v>1.1000000000000001</v>
      </c>
      <c r="J30">
        <v>15.7</v>
      </c>
      <c r="K30">
        <v>93083</v>
      </c>
      <c r="L30">
        <v>51341</v>
      </c>
      <c r="M30">
        <v>23745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00B0F0"/>
  </sheetPr>
  <dimension ref="A1:M30"/>
  <sheetViews>
    <sheetView workbookViewId="0"/>
  </sheetViews>
  <sheetFormatPr defaultRowHeight="15" x14ac:dyDescent="0.25"/>
  <cols>
    <col min="1" max="1" width="26.42578125" customWidth="1"/>
    <col min="2" max="2" width="12.85546875" customWidth="1"/>
    <col min="13" max="13" width="12.140625" customWidth="1"/>
  </cols>
  <sheetData>
    <row r="1" spans="1:13" x14ac:dyDescent="0.25">
      <c r="A1" s="29" t="s">
        <v>709</v>
      </c>
      <c r="B1" s="29" t="s">
        <v>620</v>
      </c>
      <c r="C1" s="29"/>
      <c r="D1" s="29"/>
      <c r="E1" s="29" t="s">
        <v>621</v>
      </c>
      <c r="F1" s="29"/>
      <c r="G1" s="29"/>
      <c r="H1" s="29" t="s">
        <v>622</v>
      </c>
      <c r="I1" s="29"/>
      <c r="J1" s="29"/>
      <c r="K1" s="29" t="s">
        <v>623</v>
      </c>
      <c r="L1" s="29"/>
      <c r="M1" s="29"/>
    </row>
    <row r="2" spans="1:13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92.1</v>
      </c>
      <c r="C3">
        <v>3.6</v>
      </c>
      <c r="D3">
        <v>4.4000000000000004</v>
      </c>
      <c r="E3">
        <v>80.099999999999994</v>
      </c>
      <c r="F3">
        <v>2.5</v>
      </c>
      <c r="G3">
        <v>17.399999999999999</v>
      </c>
      <c r="H3">
        <v>77.900000000000006</v>
      </c>
      <c r="I3">
        <v>1.3</v>
      </c>
      <c r="J3">
        <v>20.8</v>
      </c>
      <c r="K3">
        <v>12227</v>
      </c>
      <c r="L3">
        <v>5584</v>
      </c>
      <c r="M3">
        <v>1608</v>
      </c>
    </row>
    <row r="4" spans="1:13" x14ac:dyDescent="0.25">
      <c r="A4" t="s">
        <v>284</v>
      </c>
      <c r="B4">
        <v>85.5</v>
      </c>
      <c r="C4">
        <v>5.9</v>
      </c>
      <c r="D4">
        <v>8.6</v>
      </c>
      <c r="E4">
        <v>77.5</v>
      </c>
      <c r="F4">
        <v>2.8</v>
      </c>
      <c r="G4">
        <v>19.7</v>
      </c>
      <c r="H4">
        <v>79.900000000000006</v>
      </c>
      <c r="I4">
        <v>1.6</v>
      </c>
      <c r="J4">
        <v>18.5</v>
      </c>
      <c r="K4">
        <v>16856</v>
      </c>
      <c r="L4">
        <v>8389</v>
      </c>
      <c r="M4">
        <v>3219</v>
      </c>
    </row>
    <row r="5" spans="1:13" x14ac:dyDescent="0.25">
      <c r="A5" t="s">
        <v>285</v>
      </c>
      <c r="B5">
        <v>83.6</v>
      </c>
      <c r="C5">
        <v>8.1</v>
      </c>
      <c r="D5">
        <v>8.3000000000000007</v>
      </c>
      <c r="E5">
        <v>74.2</v>
      </c>
      <c r="F5">
        <v>3.4</v>
      </c>
      <c r="G5">
        <v>22.4</v>
      </c>
      <c r="H5">
        <v>81</v>
      </c>
      <c r="I5">
        <v>1.8</v>
      </c>
      <c r="J5">
        <v>17.2</v>
      </c>
      <c r="K5">
        <v>13226</v>
      </c>
      <c r="L5">
        <v>7000</v>
      </c>
      <c r="M5">
        <v>4204</v>
      </c>
    </row>
    <row r="6" spans="1:13" x14ac:dyDescent="0.25">
      <c r="A6" t="s">
        <v>286</v>
      </c>
      <c r="B6">
        <v>89.3</v>
      </c>
      <c r="C6">
        <v>5.8</v>
      </c>
      <c r="D6">
        <v>4.9000000000000004</v>
      </c>
      <c r="E6">
        <v>80.7</v>
      </c>
      <c r="F6">
        <v>2.1</v>
      </c>
      <c r="G6">
        <v>17.2</v>
      </c>
      <c r="H6">
        <v>79.3</v>
      </c>
      <c r="I6">
        <v>1.1000000000000001</v>
      </c>
      <c r="J6">
        <v>19.7</v>
      </c>
      <c r="K6">
        <v>9307</v>
      </c>
      <c r="L6">
        <v>5308</v>
      </c>
      <c r="M6">
        <v>2234</v>
      </c>
    </row>
    <row r="7" spans="1:13" x14ac:dyDescent="0.25">
      <c r="A7" t="s">
        <v>287</v>
      </c>
      <c r="B7">
        <v>88</v>
      </c>
      <c r="C7">
        <v>4.8</v>
      </c>
      <c r="D7">
        <v>7.2</v>
      </c>
      <c r="E7">
        <v>72</v>
      </c>
      <c r="F7">
        <v>2.1</v>
      </c>
      <c r="G7">
        <v>25.9</v>
      </c>
      <c r="H7">
        <v>79.8</v>
      </c>
      <c r="I7">
        <v>0.5</v>
      </c>
      <c r="J7">
        <v>19.600000000000001</v>
      </c>
      <c r="K7">
        <v>12059</v>
      </c>
      <c r="L7">
        <v>5267</v>
      </c>
      <c r="M7">
        <v>2853</v>
      </c>
    </row>
    <row r="8" spans="1:13" x14ac:dyDescent="0.25">
      <c r="A8" t="s">
        <v>288</v>
      </c>
      <c r="B8">
        <v>84.6</v>
      </c>
      <c r="C8">
        <v>7.1</v>
      </c>
      <c r="D8">
        <v>8.3000000000000007</v>
      </c>
      <c r="E8">
        <v>75.900000000000006</v>
      </c>
      <c r="F8">
        <v>3.4</v>
      </c>
      <c r="G8">
        <v>20.7</v>
      </c>
      <c r="H8">
        <v>79.400000000000006</v>
      </c>
      <c r="I8">
        <v>1</v>
      </c>
      <c r="J8">
        <v>19.600000000000001</v>
      </c>
      <c r="K8">
        <v>9325</v>
      </c>
      <c r="L8">
        <v>5367</v>
      </c>
      <c r="M8">
        <v>2630</v>
      </c>
    </row>
    <row r="9" spans="1:13" x14ac:dyDescent="0.25">
      <c r="A9" t="s">
        <v>289</v>
      </c>
      <c r="B9">
        <v>87.7</v>
      </c>
      <c r="C9">
        <v>4.9000000000000004</v>
      </c>
      <c r="D9">
        <v>7.4</v>
      </c>
      <c r="E9">
        <v>76.8</v>
      </c>
      <c r="F9">
        <v>2.8</v>
      </c>
      <c r="G9">
        <v>20.399999999999999</v>
      </c>
      <c r="H9">
        <v>83.3</v>
      </c>
      <c r="I9">
        <v>1.5</v>
      </c>
      <c r="J9">
        <v>15.1</v>
      </c>
      <c r="K9">
        <v>8870</v>
      </c>
      <c r="L9">
        <v>5868</v>
      </c>
      <c r="M9">
        <v>3523</v>
      </c>
    </row>
    <row r="10" spans="1:13" x14ac:dyDescent="0.25">
      <c r="A10" t="s">
        <v>290</v>
      </c>
      <c r="B10">
        <v>89.2</v>
      </c>
      <c r="C10">
        <v>7.8</v>
      </c>
      <c r="D10">
        <v>3</v>
      </c>
      <c r="E10">
        <v>83.3</v>
      </c>
      <c r="F10">
        <v>2.7</v>
      </c>
      <c r="G10">
        <v>14</v>
      </c>
      <c r="H10">
        <v>83</v>
      </c>
      <c r="I10">
        <v>1.7</v>
      </c>
      <c r="J10">
        <v>15.3</v>
      </c>
      <c r="K10">
        <v>20970</v>
      </c>
      <c r="L10">
        <v>11430</v>
      </c>
      <c r="M10">
        <v>5566</v>
      </c>
    </row>
    <row r="11" spans="1:13" x14ac:dyDescent="0.25">
      <c r="A11" t="s">
        <v>291</v>
      </c>
      <c r="B11">
        <v>88.8</v>
      </c>
      <c r="C11">
        <v>10.1</v>
      </c>
      <c r="D11">
        <v>1.1000000000000001</v>
      </c>
      <c r="E11">
        <v>74.599999999999994</v>
      </c>
      <c r="F11">
        <v>4.5999999999999996</v>
      </c>
      <c r="G11">
        <v>20.8</v>
      </c>
      <c r="H11">
        <v>88</v>
      </c>
      <c r="I11">
        <v>1.5</v>
      </c>
      <c r="J11">
        <v>10.5</v>
      </c>
      <c r="K11">
        <v>510</v>
      </c>
      <c r="L11">
        <v>369</v>
      </c>
      <c r="M11">
        <v>278</v>
      </c>
    </row>
    <row r="12" spans="1:13" x14ac:dyDescent="0.25">
      <c r="A12" t="s">
        <v>292</v>
      </c>
      <c r="B12">
        <v>87.2</v>
      </c>
      <c r="C12">
        <v>4.8</v>
      </c>
      <c r="D12">
        <v>7.9</v>
      </c>
      <c r="E12">
        <v>82.7</v>
      </c>
      <c r="F12">
        <v>1.3</v>
      </c>
      <c r="G12">
        <v>16</v>
      </c>
      <c r="H12">
        <v>73.7</v>
      </c>
      <c r="I12">
        <v>0.9</v>
      </c>
      <c r="J12">
        <v>25.3</v>
      </c>
      <c r="K12">
        <v>1933</v>
      </c>
      <c r="L12">
        <v>1019</v>
      </c>
      <c r="M12">
        <v>224</v>
      </c>
    </row>
    <row r="13" spans="1:13" x14ac:dyDescent="0.25">
      <c r="A13" t="s">
        <v>293</v>
      </c>
      <c r="B13">
        <v>81.599999999999994</v>
      </c>
      <c r="C13">
        <v>7.6</v>
      </c>
      <c r="D13">
        <v>10.7</v>
      </c>
      <c r="E13">
        <v>75.400000000000006</v>
      </c>
      <c r="F13">
        <v>2</v>
      </c>
      <c r="G13">
        <v>22.7</v>
      </c>
      <c r="H13">
        <v>83.9</v>
      </c>
      <c r="I13">
        <v>1.5</v>
      </c>
      <c r="J13">
        <v>14.6</v>
      </c>
      <c r="K13">
        <v>6019</v>
      </c>
      <c r="L13">
        <v>2401</v>
      </c>
      <c r="M13">
        <v>1266</v>
      </c>
    </row>
    <row r="14" spans="1:13" x14ac:dyDescent="0.25">
      <c r="A14" t="s">
        <v>294</v>
      </c>
      <c r="B14">
        <v>86.9</v>
      </c>
      <c r="C14">
        <v>3.7</v>
      </c>
      <c r="D14">
        <v>9.4</v>
      </c>
      <c r="E14">
        <v>79.099999999999994</v>
      </c>
      <c r="F14">
        <v>5.0999999999999996</v>
      </c>
      <c r="G14">
        <v>15.7</v>
      </c>
      <c r="H14">
        <v>90.6</v>
      </c>
      <c r="I14">
        <v>0.1</v>
      </c>
      <c r="J14">
        <v>9.3000000000000007</v>
      </c>
      <c r="K14">
        <v>1441</v>
      </c>
      <c r="L14">
        <v>642</v>
      </c>
      <c r="M14">
        <v>312</v>
      </c>
    </row>
    <row r="15" spans="1:13" x14ac:dyDescent="0.25">
      <c r="A15" t="s">
        <v>295</v>
      </c>
      <c r="B15">
        <v>81.7</v>
      </c>
      <c r="C15">
        <v>7.9</v>
      </c>
      <c r="D15">
        <v>10.4</v>
      </c>
      <c r="E15">
        <v>75.400000000000006</v>
      </c>
      <c r="F15">
        <v>4.7</v>
      </c>
      <c r="G15">
        <v>19.899999999999999</v>
      </c>
      <c r="H15">
        <v>84</v>
      </c>
      <c r="I15">
        <v>2.1</v>
      </c>
      <c r="J15">
        <v>13.8</v>
      </c>
      <c r="K15">
        <v>3077</v>
      </c>
      <c r="L15">
        <v>1667</v>
      </c>
      <c r="M15">
        <v>822</v>
      </c>
    </row>
    <row r="16" spans="1:13" x14ac:dyDescent="0.25">
      <c r="A16" t="s">
        <v>296</v>
      </c>
      <c r="B16">
        <v>90.2</v>
      </c>
      <c r="C16">
        <v>5.5</v>
      </c>
      <c r="D16">
        <v>4.3</v>
      </c>
      <c r="E16">
        <v>78.2</v>
      </c>
      <c r="F16">
        <v>4.5999999999999996</v>
      </c>
      <c r="G16">
        <v>17.2</v>
      </c>
      <c r="H16">
        <v>76.400000000000006</v>
      </c>
      <c r="I16">
        <v>1.9</v>
      </c>
      <c r="J16">
        <v>21.7</v>
      </c>
      <c r="K16">
        <v>1252</v>
      </c>
      <c r="L16">
        <v>586</v>
      </c>
      <c r="M16">
        <v>230</v>
      </c>
    </row>
    <row r="17" spans="1:13" x14ac:dyDescent="0.25">
      <c r="A17" t="s">
        <v>297</v>
      </c>
      <c r="B17">
        <v>92.6</v>
      </c>
      <c r="C17">
        <v>3.5</v>
      </c>
      <c r="D17">
        <v>3.9</v>
      </c>
      <c r="E17">
        <v>83.9</v>
      </c>
      <c r="F17">
        <v>3.1</v>
      </c>
      <c r="G17">
        <v>12.9</v>
      </c>
      <c r="H17">
        <v>83.5</v>
      </c>
      <c r="I17">
        <v>2.2000000000000002</v>
      </c>
      <c r="J17">
        <v>14.3</v>
      </c>
      <c r="K17">
        <v>16643</v>
      </c>
      <c r="L17">
        <v>9597</v>
      </c>
      <c r="M17">
        <v>5888</v>
      </c>
    </row>
    <row r="18" spans="1:13" x14ac:dyDescent="0.25">
      <c r="A18" t="s">
        <v>298</v>
      </c>
      <c r="B18">
        <v>81.400000000000006</v>
      </c>
      <c r="C18">
        <v>4.2</v>
      </c>
      <c r="D18">
        <v>14.4</v>
      </c>
      <c r="E18">
        <v>59</v>
      </c>
      <c r="F18">
        <v>4.8</v>
      </c>
      <c r="G18">
        <v>36.200000000000003</v>
      </c>
      <c r="H18">
        <v>79.2</v>
      </c>
      <c r="I18">
        <v>5.6</v>
      </c>
      <c r="J18">
        <v>15.2</v>
      </c>
      <c r="K18">
        <v>873</v>
      </c>
      <c r="L18">
        <v>285</v>
      </c>
      <c r="M18">
        <v>845</v>
      </c>
    </row>
    <row r="19" spans="1:13" x14ac:dyDescent="0.25">
      <c r="A19" t="s">
        <v>299</v>
      </c>
      <c r="B19">
        <v>84</v>
      </c>
      <c r="C19">
        <v>9</v>
      </c>
      <c r="D19">
        <v>7.1</v>
      </c>
      <c r="E19">
        <v>80</v>
      </c>
      <c r="F19">
        <v>1.4</v>
      </c>
      <c r="G19">
        <v>18.7</v>
      </c>
      <c r="H19">
        <v>87.7</v>
      </c>
      <c r="I19">
        <v>0.4</v>
      </c>
      <c r="J19">
        <v>11.9</v>
      </c>
      <c r="K19">
        <v>3926</v>
      </c>
      <c r="L19">
        <v>1837</v>
      </c>
      <c r="M19">
        <v>932</v>
      </c>
    </row>
    <row r="20" spans="1:13" x14ac:dyDescent="0.25">
      <c r="A20" t="s">
        <v>300</v>
      </c>
      <c r="B20">
        <v>88.1</v>
      </c>
      <c r="C20">
        <v>6.6</v>
      </c>
      <c r="D20">
        <v>5.3</v>
      </c>
      <c r="E20">
        <v>75.900000000000006</v>
      </c>
      <c r="F20">
        <v>1</v>
      </c>
      <c r="G20">
        <v>23.1</v>
      </c>
      <c r="H20">
        <v>81</v>
      </c>
      <c r="I20">
        <v>1.2</v>
      </c>
      <c r="J20">
        <v>17.7</v>
      </c>
      <c r="K20">
        <v>15683</v>
      </c>
      <c r="L20">
        <v>7429</v>
      </c>
      <c r="M20">
        <v>4407</v>
      </c>
    </row>
    <row r="21" spans="1:13" x14ac:dyDescent="0.25">
      <c r="A21" t="s">
        <v>301</v>
      </c>
      <c r="B21">
        <v>86</v>
      </c>
      <c r="C21">
        <v>7.7</v>
      </c>
      <c r="D21">
        <v>6.3</v>
      </c>
      <c r="E21">
        <v>82.2</v>
      </c>
      <c r="F21">
        <v>1.3</v>
      </c>
      <c r="G21">
        <v>16.5</v>
      </c>
      <c r="H21">
        <v>86</v>
      </c>
      <c r="I21">
        <v>1.3</v>
      </c>
      <c r="J21">
        <v>12.7</v>
      </c>
      <c r="K21">
        <v>7887</v>
      </c>
      <c r="L21">
        <v>4031</v>
      </c>
      <c r="M21">
        <v>1592</v>
      </c>
    </row>
    <row r="22" spans="1:13" x14ac:dyDescent="0.25">
      <c r="A22" t="s">
        <v>302</v>
      </c>
      <c r="B22">
        <v>81.400000000000006</v>
      </c>
      <c r="C22">
        <v>4.0999999999999996</v>
      </c>
      <c r="D22">
        <v>14.5</v>
      </c>
      <c r="E22">
        <v>80.900000000000006</v>
      </c>
      <c r="F22">
        <v>1.3</v>
      </c>
      <c r="G22">
        <v>17.899999999999999</v>
      </c>
      <c r="H22">
        <v>89.3</v>
      </c>
      <c r="I22">
        <v>0.9</v>
      </c>
      <c r="J22">
        <v>9.6999999999999993</v>
      </c>
      <c r="K22">
        <v>2356</v>
      </c>
      <c r="L22">
        <v>1378</v>
      </c>
      <c r="M22">
        <v>611</v>
      </c>
    </row>
    <row r="23" spans="1:13" x14ac:dyDescent="0.25">
      <c r="A23" t="s">
        <v>303</v>
      </c>
      <c r="B23">
        <v>87.3</v>
      </c>
      <c r="C23">
        <v>7.2</v>
      </c>
      <c r="D23">
        <v>5.5</v>
      </c>
      <c r="E23">
        <v>80.599999999999994</v>
      </c>
      <c r="F23">
        <v>3.9</v>
      </c>
      <c r="G23">
        <v>15.6</v>
      </c>
      <c r="H23">
        <v>82.7</v>
      </c>
      <c r="I23">
        <v>1.9</v>
      </c>
      <c r="J23">
        <v>15.4</v>
      </c>
      <c r="K23">
        <v>18318</v>
      </c>
      <c r="L23">
        <v>10470</v>
      </c>
      <c r="M23">
        <v>5268</v>
      </c>
    </row>
    <row r="24" spans="1:13" x14ac:dyDescent="0.25">
      <c r="A24" t="s">
        <v>304</v>
      </c>
      <c r="B24">
        <v>77.7</v>
      </c>
      <c r="C24">
        <v>9.4</v>
      </c>
      <c r="D24">
        <v>13</v>
      </c>
      <c r="E24">
        <v>78.3</v>
      </c>
      <c r="F24">
        <v>2.6</v>
      </c>
      <c r="G24">
        <v>19.100000000000001</v>
      </c>
      <c r="H24">
        <v>86.4</v>
      </c>
      <c r="I24">
        <v>2.4</v>
      </c>
      <c r="J24">
        <v>11.2</v>
      </c>
      <c r="K24">
        <v>1679</v>
      </c>
      <c r="L24">
        <v>969</v>
      </c>
      <c r="M24">
        <v>469</v>
      </c>
    </row>
    <row r="25" spans="1:13" x14ac:dyDescent="0.25">
      <c r="A25" t="s">
        <v>305</v>
      </c>
      <c r="B25">
        <v>93.6</v>
      </c>
      <c r="C25">
        <v>4.2</v>
      </c>
      <c r="D25">
        <v>2.2000000000000002</v>
      </c>
      <c r="E25">
        <v>80.8</v>
      </c>
      <c r="F25">
        <v>2.1</v>
      </c>
      <c r="G25">
        <v>17.100000000000001</v>
      </c>
      <c r="H25">
        <v>80.599999999999994</v>
      </c>
      <c r="I25">
        <v>1.2</v>
      </c>
      <c r="J25">
        <v>18.2</v>
      </c>
      <c r="K25">
        <v>10104</v>
      </c>
      <c r="L25">
        <v>5665</v>
      </c>
      <c r="M25">
        <v>2572</v>
      </c>
    </row>
    <row r="26" spans="1:13" x14ac:dyDescent="0.25">
      <c r="A26" t="s">
        <v>306</v>
      </c>
      <c r="B26">
        <v>87.2</v>
      </c>
      <c r="C26">
        <v>8.3000000000000007</v>
      </c>
      <c r="D26">
        <v>4.5</v>
      </c>
      <c r="E26">
        <v>86.4</v>
      </c>
      <c r="F26">
        <v>3.5</v>
      </c>
      <c r="G26">
        <v>10.1</v>
      </c>
      <c r="H26">
        <v>78.5</v>
      </c>
      <c r="I26">
        <v>1.9</v>
      </c>
      <c r="J26">
        <v>19.600000000000001</v>
      </c>
      <c r="K26">
        <v>15511</v>
      </c>
      <c r="L26">
        <v>13361</v>
      </c>
      <c r="M26">
        <v>5286</v>
      </c>
    </row>
    <row r="27" spans="1:13" x14ac:dyDescent="0.25">
      <c r="A27" t="s">
        <v>307</v>
      </c>
      <c r="B27">
        <v>81.599999999999994</v>
      </c>
      <c r="C27">
        <v>5.9</v>
      </c>
      <c r="D27">
        <v>12.5</v>
      </c>
      <c r="E27">
        <v>69.900000000000006</v>
      </c>
      <c r="F27">
        <v>3.4</v>
      </c>
      <c r="G27">
        <v>26.7</v>
      </c>
      <c r="H27">
        <v>81.5</v>
      </c>
      <c r="I27">
        <v>1.5</v>
      </c>
      <c r="J27">
        <v>17</v>
      </c>
      <c r="K27">
        <v>7595</v>
      </c>
      <c r="L27">
        <v>3996</v>
      </c>
      <c r="M27">
        <v>2451</v>
      </c>
    </row>
    <row r="28" spans="1:13" x14ac:dyDescent="0.25">
      <c r="A28" t="s">
        <v>266</v>
      </c>
      <c r="B28">
        <v>86.9</v>
      </c>
      <c r="C28">
        <v>6.3</v>
      </c>
      <c r="D28">
        <v>6.8</v>
      </c>
      <c r="E28">
        <v>78.599999999999994</v>
      </c>
      <c r="F28">
        <v>2.8</v>
      </c>
      <c r="G28">
        <v>18.600000000000001</v>
      </c>
      <c r="H28">
        <v>81.5</v>
      </c>
      <c r="I28">
        <v>1.6</v>
      </c>
      <c r="J28">
        <v>16.899999999999999</v>
      </c>
      <c r="K28">
        <v>217647</v>
      </c>
      <c r="L28">
        <v>119915</v>
      </c>
      <c r="M28">
        <v>59290</v>
      </c>
    </row>
    <row r="29" spans="1:13" x14ac:dyDescent="0.25">
      <c r="A29" t="s">
        <v>459</v>
      </c>
      <c r="B29">
        <v>89.5</v>
      </c>
      <c r="C29">
        <v>4.8</v>
      </c>
      <c r="D29">
        <v>5.7</v>
      </c>
      <c r="E29">
        <v>83.1</v>
      </c>
      <c r="F29">
        <v>3.4</v>
      </c>
      <c r="G29">
        <v>13.5</v>
      </c>
      <c r="H29">
        <v>83.4</v>
      </c>
      <c r="I29">
        <v>1.7</v>
      </c>
      <c r="J29">
        <v>14.8</v>
      </c>
      <c r="K29">
        <v>38374</v>
      </c>
      <c r="L29">
        <v>25844</v>
      </c>
      <c r="M29">
        <v>17560</v>
      </c>
    </row>
    <row r="30" spans="1:13" x14ac:dyDescent="0.25">
      <c r="A30" t="s">
        <v>460</v>
      </c>
      <c r="B30">
        <v>86.4</v>
      </c>
      <c r="C30">
        <v>6.6</v>
      </c>
      <c r="D30">
        <v>7</v>
      </c>
      <c r="E30">
        <v>77.5</v>
      </c>
      <c r="F30">
        <v>2.6</v>
      </c>
      <c r="G30">
        <v>19.899999999999999</v>
      </c>
      <c r="H30">
        <v>80.7</v>
      </c>
      <c r="I30">
        <v>1.5</v>
      </c>
      <c r="J30">
        <v>17.8</v>
      </c>
      <c r="K30">
        <v>179273</v>
      </c>
      <c r="L30">
        <v>94071</v>
      </c>
      <c r="M30">
        <v>41730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00B0F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3.140625" customWidth="1"/>
    <col min="3" max="3" width="12.85546875" customWidth="1"/>
    <col min="4" max="4" width="13.140625" customWidth="1"/>
    <col min="5" max="5" width="12.85546875" customWidth="1"/>
    <col min="6" max="6" width="13.140625" customWidth="1"/>
    <col min="8" max="8" width="12.85546875" customWidth="1"/>
    <col min="11" max="11" width="12.42578125" customWidth="1"/>
    <col min="12" max="12" width="12.7109375" customWidth="1"/>
    <col min="13" max="13" width="12.42578125" customWidth="1"/>
  </cols>
  <sheetData>
    <row r="1" spans="1:13" x14ac:dyDescent="0.25">
      <c r="A1" s="29" t="s">
        <v>709</v>
      </c>
      <c r="B1" s="29" t="s">
        <v>620</v>
      </c>
      <c r="C1" s="29"/>
      <c r="D1" s="29"/>
      <c r="E1" s="29" t="s">
        <v>621</v>
      </c>
      <c r="F1" s="29"/>
      <c r="G1" s="29"/>
      <c r="H1" s="29" t="s">
        <v>622</v>
      </c>
      <c r="I1" s="29"/>
      <c r="J1" s="29"/>
      <c r="K1" s="29" t="s">
        <v>623</v>
      </c>
      <c r="L1" s="29"/>
      <c r="M1" s="29"/>
    </row>
    <row r="2" spans="1:13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339</v>
      </c>
      <c r="L2" t="s">
        <v>342</v>
      </c>
      <c r="M2" t="s">
        <v>345</v>
      </c>
    </row>
    <row r="3" spans="1:13" x14ac:dyDescent="0.25">
      <c r="A3" t="s">
        <v>283</v>
      </c>
      <c r="B3">
        <v>90.1</v>
      </c>
      <c r="C3">
        <v>4.5999999999999996</v>
      </c>
      <c r="D3">
        <v>5.3</v>
      </c>
      <c r="E3">
        <v>76.099999999999994</v>
      </c>
      <c r="F3">
        <v>3.7</v>
      </c>
      <c r="G3">
        <v>20.3</v>
      </c>
      <c r="H3">
        <v>75.5</v>
      </c>
      <c r="I3">
        <v>1.7</v>
      </c>
      <c r="J3">
        <v>22.8</v>
      </c>
      <c r="K3">
        <v>5888</v>
      </c>
      <c r="L3">
        <v>2386</v>
      </c>
      <c r="M3">
        <v>669</v>
      </c>
    </row>
    <row r="4" spans="1:13" x14ac:dyDescent="0.25">
      <c r="A4" t="s">
        <v>284</v>
      </c>
      <c r="B4">
        <v>83.3</v>
      </c>
      <c r="C4">
        <v>7.2</v>
      </c>
      <c r="D4">
        <v>9.5</v>
      </c>
      <c r="E4">
        <v>74.2</v>
      </c>
      <c r="F4">
        <v>4.2</v>
      </c>
      <c r="G4">
        <v>21.6</v>
      </c>
      <c r="H4">
        <v>78.900000000000006</v>
      </c>
      <c r="I4">
        <v>2.2000000000000002</v>
      </c>
      <c r="J4">
        <v>18.899999999999999</v>
      </c>
      <c r="K4">
        <v>7970</v>
      </c>
      <c r="L4">
        <v>3709</v>
      </c>
      <c r="M4">
        <v>1307</v>
      </c>
    </row>
    <row r="5" spans="1:13" x14ac:dyDescent="0.25">
      <c r="A5" t="s">
        <v>285</v>
      </c>
      <c r="B5">
        <v>80.900000000000006</v>
      </c>
      <c r="C5">
        <v>10.1</v>
      </c>
      <c r="D5">
        <v>9</v>
      </c>
      <c r="E5">
        <v>71</v>
      </c>
      <c r="F5">
        <v>4.8</v>
      </c>
      <c r="G5">
        <v>24.2</v>
      </c>
      <c r="H5">
        <v>78.099999999999994</v>
      </c>
      <c r="I5">
        <v>2.4</v>
      </c>
      <c r="J5">
        <v>19.5</v>
      </c>
      <c r="K5">
        <v>6272</v>
      </c>
      <c r="L5">
        <v>3075</v>
      </c>
      <c r="M5">
        <v>1775</v>
      </c>
    </row>
    <row r="6" spans="1:13" x14ac:dyDescent="0.25">
      <c r="A6" t="s">
        <v>286</v>
      </c>
      <c r="B6">
        <v>86.5</v>
      </c>
      <c r="C6">
        <v>7.4</v>
      </c>
      <c r="D6">
        <v>6.1</v>
      </c>
      <c r="E6">
        <v>75.900000000000006</v>
      </c>
      <c r="F6">
        <v>3.4</v>
      </c>
      <c r="G6">
        <v>20.7</v>
      </c>
      <c r="H6">
        <v>77.400000000000006</v>
      </c>
      <c r="I6">
        <v>1.4</v>
      </c>
      <c r="J6">
        <v>21.2</v>
      </c>
      <c r="K6">
        <v>4311</v>
      </c>
      <c r="L6">
        <v>2219</v>
      </c>
      <c r="M6">
        <v>914</v>
      </c>
    </row>
    <row r="7" spans="1:13" x14ac:dyDescent="0.25">
      <c r="A7" t="s">
        <v>287</v>
      </c>
      <c r="B7">
        <v>86.2</v>
      </c>
      <c r="C7">
        <v>5.8</v>
      </c>
      <c r="D7">
        <v>8</v>
      </c>
      <c r="E7">
        <v>69.2</v>
      </c>
      <c r="F7">
        <v>3.1</v>
      </c>
      <c r="G7">
        <v>27.7</v>
      </c>
      <c r="H7">
        <v>75.900000000000006</v>
      </c>
      <c r="I7">
        <v>0.7</v>
      </c>
      <c r="J7">
        <v>23.4</v>
      </c>
      <c r="K7">
        <v>5820</v>
      </c>
      <c r="L7">
        <v>2432</v>
      </c>
      <c r="M7">
        <v>1284</v>
      </c>
    </row>
    <row r="8" spans="1:13" x14ac:dyDescent="0.25">
      <c r="A8" t="s">
        <v>288</v>
      </c>
      <c r="B8">
        <v>81.5</v>
      </c>
      <c r="C8">
        <v>8.8000000000000007</v>
      </c>
      <c r="D8">
        <v>9.6999999999999993</v>
      </c>
      <c r="E8">
        <v>73.2</v>
      </c>
      <c r="F8">
        <v>4.9000000000000004</v>
      </c>
      <c r="G8">
        <v>21.8</v>
      </c>
      <c r="H8">
        <v>77.7</v>
      </c>
      <c r="I8">
        <v>1.5</v>
      </c>
      <c r="J8">
        <v>20.8</v>
      </c>
      <c r="K8">
        <v>4381</v>
      </c>
      <c r="L8">
        <v>2303</v>
      </c>
      <c r="M8">
        <v>1139</v>
      </c>
    </row>
    <row r="9" spans="1:13" x14ac:dyDescent="0.25">
      <c r="A9" t="s">
        <v>289</v>
      </c>
      <c r="B9">
        <v>85</v>
      </c>
      <c r="C9">
        <v>6.2</v>
      </c>
      <c r="D9">
        <v>8.9</v>
      </c>
      <c r="E9">
        <v>72.900000000000006</v>
      </c>
      <c r="F9">
        <v>4.3</v>
      </c>
      <c r="G9">
        <v>22.8</v>
      </c>
      <c r="H9">
        <v>80.8</v>
      </c>
      <c r="I9">
        <v>1.9</v>
      </c>
      <c r="J9">
        <v>17.2</v>
      </c>
      <c r="K9">
        <v>4179</v>
      </c>
      <c r="L9">
        <v>2657</v>
      </c>
      <c r="M9">
        <v>1622</v>
      </c>
    </row>
    <row r="10" spans="1:13" x14ac:dyDescent="0.25">
      <c r="A10" t="s">
        <v>290</v>
      </c>
      <c r="B10">
        <v>86.4</v>
      </c>
      <c r="C10">
        <v>9.6</v>
      </c>
      <c r="D10">
        <v>3.9</v>
      </c>
      <c r="E10">
        <v>79.7</v>
      </c>
      <c r="F10">
        <v>4</v>
      </c>
      <c r="G10">
        <v>16.399999999999999</v>
      </c>
      <c r="H10">
        <v>80.400000000000006</v>
      </c>
      <c r="I10">
        <v>2.2000000000000002</v>
      </c>
      <c r="J10">
        <v>17.3</v>
      </c>
      <c r="K10">
        <v>10376</v>
      </c>
      <c r="L10">
        <v>5036</v>
      </c>
      <c r="M10">
        <v>2311</v>
      </c>
    </row>
    <row r="11" spans="1:13" x14ac:dyDescent="0.25">
      <c r="A11" t="s">
        <v>291</v>
      </c>
      <c r="B11">
        <v>84.7</v>
      </c>
      <c r="C11">
        <v>13.8</v>
      </c>
      <c r="D11">
        <v>1.5</v>
      </c>
      <c r="E11">
        <v>71.2</v>
      </c>
      <c r="F11">
        <v>6.7</v>
      </c>
      <c r="G11">
        <v>22.1</v>
      </c>
      <c r="H11">
        <v>84.3</v>
      </c>
      <c r="I11">
        <v>2.2000000000000002</v>
      </c>
      <c r="J11">
        <v>13.5</v>
      </c>
      <c r="K11">
        <v>245</v>
      </c>
      <c r="L11">
        <v>195</v>
      </c>
      <c r="M11">
        <v>114</v>
      </c>
    </row>
    <row r="12" spans="1:13" x14ac:dyDescent="0.25">
      <c r="A12" t="s">
        <v>292</v>
      </c>
      <c r="B12">
        <v>85</v>
      </c>
      <c r="C12">
        <v>5.9</v>
      </c>
      <c r="D12">
        <v>9.1</v>
      </c>
      <c r="E12">
        <v>81.400000000000006</v>
      </c>
      <c r="F12">
        <v>1.9</v>
      </c>
      <c r="G12">
        <v>16.7</v>
      </c>
      <c r="H12">
        <v>70.900000000000006</v>
      </c>
      <c r="I12">
        <v>0.9</v>
      </c>
      <c r="J12">
        <v>28.2</v>
      </c>
      <c r="K12">
        <v>945</v>
      </c>
      <c r="L12">
        <v>490</v>
      </c>
      <c r="M12">
        <v>111</v>
      </c>
    </row>
    <row r="13" spans="1:13" x14ac:dyDescent="0.25">
      <c r="A13" t="s">
        <v>293</v>
      </c>
      <c r="B13">
        <v>79.099999999999994</v>
      </c>
      <c r="C13">
        <v>9.1999999999999993</v>
      </c>
      <c r="D13">
        <v>11.7</v>
      </c>
      <c r="E13">
        <v>72.5</v>
      </c>
      <c r="F13">
        <v>2.9</v>
      </c>
      <c r="G13">
        <v>24.6</v>
      </c>
      <c r="H13">
        <v>81.400000000000006</v>
      </c>
      <c r="I13">
        <v>2.4</v>
      </c>
      <c r="J13">
        <v>16.2</v>
      </c>
      <c r="K13">
        <v>2868</v>
      </c>
      <c r="L13">
        <v>1057</v>
      </c>
      <c r="M13">
        <v>592</v>
      </c>
    </row>
    <row r="14" spans="1:13" x14ac:dyDescent="0.25">
      <c r="A14" t="s">
        <v>294</v>
      </c>
      <c r="B14">
        <v>84.5</v>
      </c>
      <c r="C14">
        <v>4.2</v>
      </c>
      <c r="D14">
        <v>11.3</v>
      </c>
      <c r="E14">
        <v>75.400000000000006</v>
      </c>
      <c r="F14">
        <v>7.4</v>
      </c>
      <c r="G14">
        <v>17.2</v>
      </c>
      <c r="H14">
        <v>88.6</v>
      </c>
      <c r="I14">
        <v>0.2</v>
      </c>
      <c r="J14">
        <v>11.3</v>
      </c>
      <c r="K14">
        <v>656</v>
      </c>
      <c r="L14">
        <v>275</v>
      </c>
      <c r="M14">
        <v>139</v>
      </c>
    </row>
    <row r="15" spans="1:13" x14ac:dyDescent="0.25">
      <c r="A15" t="s">
        <v>295</v>
      </c>
      <c r="B15">
        <v>79.400000000000006</v>
      </c>
      <c r="C15">
        <v>9.6999999999999993</v>
      </c>
      <c r="D15">
        <v>10.8</v>
      </c>
      <c r="E15">
        <v>72.900000000000006</v>
      </c>
      <c r="F15">
        <v>6.6</v>
      </c>
      <c r="G15">
        <v>20.5</v>
      </c>
      <c r="H15">
        <v>81.2</v>
      </c>
      <c r="I15">
        <v>3.2</v>
      </c>
      <c r="J15">
        <v>15.7</v>
      </c>
      <c r="K15">
        <v>1449</v>
      </c>
      <c r="L15">
        <v>795</v>
      </c>
      <c r="M15">
        <v>412</v>
      </c>
    </row>
    <row r="16" spans="1:13" x14ac:dyDescent="0.25">
      <c r="A16" t="s">
        <v>296</v>
      </c>
      <c r="B16">
        <v>88.3</v>
      </c>
      <c r="C16">
        <v>7.1</v>
      </c>
      <c r="D16">
        <v>4.5999999999999996</v>
      </c>
      <c r="E16">
        <v>74.7</v>
      </c>
      <c r="F16">
        <v>6.4</v>
      </c>
      <c r="G16">
        <v>18.899999999999999</v>
      </c>
      <c r="H16">
        <v>75.599999999999994</v>
      </c>
      <c r="I16">
        <v>2.1</v>
      </c>
      <c r="J16">
        <v>22.3</v>
      </c>
      <c r="K16">
        <v>584</v>
      </c>
      <c r="L16">
        <v>260</v>
      </c>
      <c r="M16">
        <v>109</v>
      </c>
    </row>
    <row r="17" spans="1:13" x14ac:dyDescent="0.25">
      <c r="A17" t="s">
        <v>297</v>
      </c>
      <c r="B17">
        <v>90.5</v>
      </c>
      <c r="C17">
        <v>4.4000000000000004</v>
      </c>
      <c r="D17">
        <v>5</v>
      </c>
      <c r="E17">
        <v>83.3</v>
      </c>
      <c r="F17">
        <v>4</v>
      </c>
      <c r="G17">
        <v>12.6</v>
      </c>
      <c r="H17">
        <v>81.3</v>
      </c>
      <c r="I17">
        <v>2.8</v>
      </c>
      <c r="J17">
        <v>16</v>
      </c>
      <c r="K17">
        <v>8036</v>
      </c>
      <c r="L17">
        <v>4811</v>
      </c>
      <c r="M17">
        <v>2792</v>
      </c>
    </row>
    <row r="18" spans="1:13" x14ac:dyDescent="0.25">
      <c r="A18" t="s">
        <v>298</v>
      </c>
      <c r="B18">
        <v>80.2</v>
      </c>
      <c r="C18">
        <v>5.3</v>
      </c>
      <c r="D18">
        <v>14.5</v>
      </c>
      <c r="E18">
        <v>56.5</v>
      </c>
      <c r="F18">
        <v>6.9</v>
      </c>
      <c r="G18">
        <v>36.6</v>
      </c>
      <c r="H18">
        <v>78.599999999999994</v>
      </c>
      <c r="I18">
        <v>5.7</v>
      </c>
      <c r="J18">
        <v>15.7</v>
      </c>
      <c r="K18">
        <v>420</v>
      </c>
      <c r="L18">
        <v>142</v>
      </c>
      <c r="M18">
        <v>422</v>
      </c>
    </row>
    <row r="19" spans="1:13" x14ac:dyDescent="0.25">
      <c r="A19" t="s">
        <v>299</v>
      </c>
      <c r="B19">
        <v>80.400000000000006</v>
      </c>
      <c r="C19">
        <v>11</v>
      </c>
      <c r="D19">
        <v>8.6</v>
      </c>
      <c r="E19">
        <v>78.8</v>
      </c>
      <c r="F19">
        <v>1.8</v>
      </c>
      <c r="G19">
        <v>19.3</v>
      </c>
      <c r="H19">
        <v>85.4</v>
      </c>
      <c r="I19">
        <v>0.4</v>
      </c>
      <c r="J19">
        <v>14.1</v>
      </c>
      <c r="K19">
        <v>1801</v>
      </c>
      <c r="L19">
        <v>814</v>
      </c>
      <c r="M19">
        <v>427</v>
      </c>
    </row>
    <row r="20" spans="1:13" x14ac:dyDescent="0.25">
      <c r="A20" t="s">
        <v>300</v>
      </c>
      <c r="B20">
        <v>86.3</v>
      </c>
      <c r="C20">
        <v>8.1999999999999993</v>
      </c>
      <c r="D20">
        <v>5.5</v>
      </c>
      <c r="E20">
        <v>74</v>
      </c>
      <c r="F20">
        <v>1.4</v>
      </c>
      <c r="G20">
        <v>24.6</v>
      </c>
      <c r="H20">
        <v>77.400000000000006</v>
      </c>
      <c r="I20">
        <v>1.7</v>
      </c>
      <c r="J20">
        <v>20.9</v>
      </c>
      <c r="K20">
        <v>7826</v>
      </c>
      <c r="L20">
        <v>3324</v>
      </c>
      <c r="M20">
        <v>1786</v>
      </c>
    </row>
    <row r="21" spans="1:13" x14ac:dyDescent="0.25">
      <c r="A21" t="s">
        <v>301</v>
      </c>
      <c r="B21">
        <v>83.3</v>
      </c>
      <c r="C21">
        <v>9.1999999999999993</v>
      </c>
      <c r="D21">
        <v>7.5</v>
      </c>
      <c r="E21">
        <v>80</v>
      </c>
      <c r="F21">
        <v>2</v>
      </c>
      <c r="G21">
        <v>18</v>
      </c>
      <c r="H21">
        <v>81.8</v>
      </c>
      <c r="I21">
        <v>1.8</v>
      </c>
      <c r="J21">
        <v>16.3</v>
      </c>
      <c r="K21">
        <v>3819</v>
      </c>
      <c r="L21">
        <v>1789</v>
      </c>
      <c r="M21">
        <v>614</v>
      </c>
    </row>
    <row r="22" spans="1:13" x14ac:dyDescent="0.25">
      <c r="A22" t="s">
        <v>302</v>
      </c>
      <c r="B22">
        <v>80.099999999999994</v>
      </c>
      <c r="C22">
        <v>4.7</v>
      </c>
      <c r="D22">
        <v>15.2</v>
      </c>
      <c r="E22">
        <v>79.099999999999994</v>
      </c>
      <c r="F22">
        <v>1.8</v>
      </c>
      <c r="G22">
        <v>19.100000000000001</v>
      </c>
      <c r="H22">
        <v>88.8</v>
      </c>
      <c r="I22">
        <v>1</v>
      </c>
      <c r="J22">
        <v>10.199999999999999</v>
      </c>
      <c r="K22">
        <v>1151</v>
      </c>
      <c r="L22">
        <v>695</v>
      </c>
      <c r="M22">
        <v>307</v>
      </c>
    </row>
    <row r="23" spans="1:13" x14ac:dyDescent="0.25">
      <c r="A23" t="s">
        <v>303</v>
      </c>
      <c r="B23">
        <v>84.1</v>
      </c>
      <c r="C23">
        <v>9.1999999999999993</v>
      </c>
      <c r="D23">
        <v>6.7</v>
      </c>
      <c r="E23">
        <v>76.099999999999994</v>
      </c>
      <c r="F23">
        <v>5.9</v>
      </c>
      <c r="G23">
        <v>18</v>
      </c>
      <c r="H23">
        <v>77.8</v>
      </c>
      <c r="I23">
        <v>2.8</v>
      </c>
      <c r="J23">
        <v>19.399999999999999</v>
      </c>
      <c r="K23">
        <v>8687</v>
      </c>
      <c r="L23">
        <v>4268</v>
      </c>
      <c r="M23">
        <v>2218</v>
      </c>
    </row>
    <row r="24" spans="1:13" x14ac:dyDescent="0.25">
      <c r="A24" t="s">
        <v>304</v>
      </c>
      <c r="B24">
        <v>75.7</v>
      </c>
      <c r="C24">
        <v>10.6</v>
      </c>
      <c r="D24">
        <v>13.7</v>
      </c>
      <c r="E24">
        <v>75.8</v>
      </c>
      <c r="F24">
        <v>3.2</v>
      </c>
      <c r="G24">
        <v>21</v>
      </c>
      <c r="H24">
        <v>84.1</v>
      </c>
      <c r="I24">
        <v>3.6</v>
      </c>
      <c r="J24">
        <v>12.3</v>
      </c>
      <c r="K24">
        <v>813</v>
      </c>
      <c r="L24">
        <v>458</v>
      </c>
      <c r="M24">
        <v>230</v>
      </c>
    </row>
    <row r="25" spans="1:13" x14ac:dyDescent="0.25">
      <c r="A25" t="s">
        <v>305</v>
      </c>
      <c r="B25">
        <v>91.9</v>
      </c>
      <c r="C25">
        <v>5.4</v>
      </c>
      <c r="D25">
        <v>2.7</v>
      </c>
      <c r="E25">
        <v>77.900000000000006</v>
      </c>
      <c r="F25">
        <v>3.3</v>
      </c>
      <c r="G25">
        <v>18.7</v>
      </c>
      <c r="H25">
        <v>78.5</v>
      </c>
      <c r="I25">
        <v>1.6</v>
      </c>
      <c r="J25">
        <v>19.899999999999999</v>
      </c>
      <c r="K25">
        <v>5016</v>
      </c>
      <c r="L25">
        <v>2616</v>
      </c>
      <c r="M25">
        <v>1268</v>
      </c>
    </row>
    <row r="26" spans="1:13" x14ac:dyDescent="0.25">
      <c r="A26" t="s">
        <v>306</v>
      </c>
      <c r="B26">
        <v>83.7</v>
      </c>
      <c r="C26">
        <v>10.6</v>
      </c>
      <c r="D26">
        <v>5.7</v>
      </c>
      <c r="E26">
        <v>88.3</v>
      </c>
      <c r="F26">
        <v>5</v>
      </c>
      <c r="G26">
        <v>6.7</v>
      </c>
      <c r="H26">
        <v>74.599999999999994</v>
      </c>
      <c r="I26">
        <v>2.6</v>
      </c>
      <c r="J26">
        <v>22.8</v>
      </c>
      <c r="K26">
        <v>7560</v>
      </c>
      <c r="L26">
        <v>7481</v>
      </c>
      <c r="M26">
        <v>2367</v>
      </c>
    </row>
    <row r="27" spans="1:13" x14ac:dyDescent="0.25">
      <c r="A27" t="s">
        <v>307</v>
      </c>
      <c r="B27">
        <v>79.8</v>
      </c>
      <c r="C27">
        <v>7.2</v>
      </c>
      <c r="D27">
        <v>13</v>
      </c>
      <c r="E27">
        <v>65.3</v>
      </c>
      <c r="F27">
        <v>4.9000000000000004</v>
      </c>
      <c r="G27">
        <v>29.8</v>
      </c>
      <c r="H27">
        <v>75.5</v>
      </c>
      <c r="I27">
        <v>1.9</v>
      </c>
      <c r="J27">
        <v>22.5</v>
      </c>
      <c r="K27">
        <v>3626</v>
      </c>
      <c r="L27">
        <v>1665</v>
      </c>
      <c r="M27">
        <v>1045</v>
      </c>
    </row>
    <row r="28" spans="1:13" x14ac:dyDescent="0.25">
      <c r="A28" t="s">
        <v>266</v>
      </c>
      <c r="B28">
        <v>84.5</v>
      </c>
      <c r="C28">
        <v>7.8</v>
      </c>
      <c r="D28">
        <v>7.7</v>
      </c>
      <c r="E28">
        <v>76</v>
      </c>
      <c r="F28">
        <v>4</v>
      </c>
      <c r="G28">
        <v>20</v>
      </c>
      <c r="H28">
        <v>78.599999999999994</v>
      </c>
      <c r="I28">
        <v>2.1</v>
      </c>
      <c r="J28">
        <v>19.3</v>
      </c>
      <c r="K28">
        <v>104699</v>
      </c>
      <c r="L28">
        <v>54952</v>
      </c>
      <c r="M28">
        <v>25974</v>
      </c>
    </row>
    <row r="29" spans="1:13" x14ac:dyDescent="0.25">
      <c r="A29" t="s">
        <v>459</v>
      </c>
      <c r="B29">
        <v>87.2</v>
      </c>
      <c r="C29">
        <v>6.1</v>
      </c>
      <c r="D29">
        <v>6.7</v>
      </c>
      <c r="E29">
        <v>81</v>
      </c>
      <c r="F29">
        <v>4.5999999999999996</v>
      </c>
      <c r="G29">
        <v>14.4</v>
      </c>
      <c r="H29">
        <v>80.599999999999994</v>
      </c>
      <c r="I29">
        <v>2.2999999999999998</v>
      </c>
      <c r="J29">
        <v>17.100000000000001</v>
      </c>
      <c r="K29">
        <v>18509</v>
      </c>
      <c r="L29">
        <v>12222</v>
      </c>
      <c r="M29">
        <v>7989</v>
      </c>
    </row>
    <row r="30" spans="1:13" x14ac:dyDescent="0.25">
      <c r="A30" t="s">
        <v>460</v>
      </c>
      <c r="B30">
        <v>83.9</v>
      </c>
      <c r="C30">
        <v>8.1999999999999993</v>
      </c>
      <c r="D30">
        <v>7.9</v>
      </c>
      <c r="E30">
        <v>74.8</v>
      </c>
      <c r="F30">
        <v>3.9</v>
      </c>
      <c r="G30">
        <v>21.4</v>
      </c>
      <c r="H30">
        <v>77.7</v>
      </c>
      <c r="I30">
        <v>2.1</v>
      </c>
      <c r="J30">
        <v>20.2</v>
      </c>
      <c r="K30">
        <v>86190</v>
      </c>
      <c r="L30">
        <v>42730</v>
      </c>
      <c r="M30">
        <v>17985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9" t="s">
        <v>709</v>
      </c>
      <c r="B1" s="29" t="s">
        <v>334</v>
      </c>
      <c r="C1" s="29"/>
      <c r="D1" s="29"/>
      <c r="E1" s="29" t="s">
        <v>335</v>
      </c>
      <c r="F1" s="29"/>
      <c r="G1" s="29"/>
      <c r="H1" s="29" t="s">
        <v>336</v>
      </c>
      <c r="I1" s="29"/>
      <c r="J1" s="29"/>
      <c r="K1" s="29" t="s">
        <v>337</v>
      </c>
      <c r="L1" s="29"/>
      <c r="M1" s="29"/>
      <c r="N1" s="29" t="s">
        <v>338</v>
      </c>
      <c r="O1" s="29"/>
      <c r="P1" s="29"/>
      <c r="Q1" s="29" t="s">
        <v>339</v>
      </c>
      <c r="R1" s="29"/>
      <c r="S1" s="29"/>
      <c r="T1" s="29" t="s">
        <v>340</v>
      </c>
      <c r="U1" s="29"/>
      <c r="V1" s="29"/>
      <c r="W1" s="29" t="s">
        <v>341</v>
      </c>
      <c r="X1" s="29"/>
      <c r="Y1" s="29"/>
      <c r="Z1" s="29" t="s">
        <v>342</v>
      </c>
      <c r="AA1" s="29"/>
      <c r="AB1" s="29"/>
      <c r="AC1" s="29" t="s">
        <v>343</v>
      </c>
      <c r="AD1" s="29"/>
      <c r="AE1" s="29"/>
      <c r="AF1" s="29" t="s">
        <v>344</v>
      </c>
      <c r="AG1" s="29"/>
      <c r="AH1" s="29"/>
      <c r="AI1" s="29" t="s">
        <v>345</v>
      </c>
      <c r="AJ1" s="29"/>
      <c r="AK1" s="29"/>
    </row>
    <row r="2" spans="1:37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92.3</v>
      </c>
      <c r="C3">
        <v>4.5999999999999996</v>
      </c>
      <c r="D3">
        <v>3.1</v>
      </c>
      <c r="E3">
        <v>94.3</v>
      </c>
      <c r="F3">
        <v>3.7</v>
      </c>
      <c r="G3">
        <v>2.1</v>
      </c>
      <c r="H3">
        <v>95.3</v>
      </c>
      <c r="I3">
        <v>2.4</v>
      </c>
      <c r="J3">
        <v>2.2999999999999998</v>
      </c>
      <c r="K3">
        <v>93.7</v>
      </c>
      <c r="L3">
        <v>1.5</v>
      </c>
      <c r="M3">
        <v>4.8</v>
      </c>
      <c r="N3">
        <v>97.7</v>
      </c>
      <c r="O3">
        <v>1</v>
      </c>
      <c r="P3">
        <v>1.2</v>
      </c>
      <c r="Q3">
        <v>92</v>
      </c>
      <c r="R3">
        <v>1</v>
      </c>
      <c r="S3">
        <v>7</v>
      </c>
      <c r="T3">
        <v>83.7</v>
      </c>
      <c r="U3">
        <v>1.3</v>
      </c>
      <c r="V3">
        <v>15.1</v>
      </c>
      <c r="W3">
        <v>86.6</v>
      </c>
      <c r="X3">
        <v>1</v>
      </c>
      <c r="Y3">
        <v>12.4</v>
      </c>
      <c r="Z3">
        <v>80.599999999999994</v>
      </c>
      <c r="AA3">
        <v>2.2000000000000002</v>
      </c>
      <c r="AB3">
        <v>17.2</v>
      </c>
      <c r="AC3">
        <v>87.4</v>
      </c>
      <c r="AD3">
        <v>0.4</v>
      </c>
      <c r="AE3">
        <v>12.2</v>
      </c>
      <c r="AF3">
        <v>92.3</v>
      </c>
      <c r="AG3">
        <v>0.2</v>
      </c>
      <c r="AH3">
        <v>7.4</v>
      </c>
      <c r="AI3">
        <v>52.7</v>
      </c>
      <c r="AJ3">
        <v>2.5</v>
      </c>
      <c r="AK3">
        <v>44.8</v>
      </c>
    </row>
    <row r="4" spans="1:37" x14ac:dyDescent="0.25">
      <c r="A4" t="s">
        <v>284</v>
      </c>
      <c r="B4">
        <v>84.9</v>
      </c>
      <c r="C4">
        <v>9</v>
      </c>
      <c r="D4">
        <v>6.1</v>
      </c>
      <c r="E4">
        <v>89</v>
      </c>
      <c r="F4">
        <v>5.8</v>
      </c>
      <c r="G4">
        <v>5.2</v>
      </c>
      <c r="H4">
        <v>90.7</v>
      </c>
      <c r="I4">
        <v>4.2</v>
      </c>
      <c r="J4">
        <v>5.0999999999999996</v>
      </c>
      <c r="K4">
        <v>93.2</v>
      </c>
      <c r="L4">
        <v>2.7</v>
      </c>
      <c r="M4">
        <v>4.0999999999999996</v>
      </c>
      <c r="N4">
        <v>92.2</v>
      </c>
      <c r="O4">
        <v>1.9</v>
      </c>
      <c r="P4">
        <v>5.9</v>
      </c>
      <c r="Q4">
        <v>76.5</v>
      </c>
      <c r="R4">
        <v>1.5</v>
      </c>
      <c r="S4">
        <v>22</v>
      </c>
      <c r="T4">
        <v>81.3</v>
      </c>
      <c r="U4">
        <v>1.7</v>
      </c>
      <c r="V4">
        <v>16.899999999999999</v>
      </c>
      <c r="W4">
        <v>83.5</v>
      </c>
      <c r="X4">
        <v>1.2</v>
      </c>
      <c r="Y4">
        <v>15.4</v>
      </c>
      <c r="Z4">
        <v>75.3</v>
      </c>
      <c r="AA4">
        <v>2</v>
      </c>
      <c r="AB4">
        <v>22.8</v>
      </c>
      <c r="AC4">
        <v>84.7</v>
      </c>
      <c r="AD4">
        <v>0.6</v>
      </c>
      <c r="AE4">
        <v>14.7</v>
      </c>
      <c r="AF4">
        <v>91.5</v>
      </c>
      <c r="AG4">
        <v>0.5</v>
      </c>
      <c r="AH4">
        <v>8.1</v>
      </c>
      <c r="AI4">
        <v>62.1</v>
      </c>
      <c r="AJ4">
        <v>2.8</v>
      </c>
      <c r="AK4">
        <v>35.1</v>
      </c>
    </row>
    <row r="5" spans="1:37" x14ac:dyDescent="0.25">
      <c r="A5" t="s">
        <v>285</v>
      </c>
      <c r="B5">
        <v>85.4</v>
      </c>
      <c r="C5">
        <v>10.7</v>
      </c>
      <c r="D5">
        <v>3.9</v>
      </c>
      <c r="E5">
        <v>88</v>
      </c>
      <c r="F5">
        <v>7.7</v>
      </c>
      <c r="G5">
        <v>4.3</v>
      </c>
      <c r="H5">
        <v>91.4</v>
      </c>
      <c r="I5">
        <v>6.1</v>
      </c>
      <c r="J5">
        <v>2.5</v>
      </c>
      <c r="K5">
        <v>91.7</v>
      </c>
      <c r="L5">
        <v>4.5</v>
      </c>
      <c r="M5">
        <v>3.8</v>
      </c>
      <c r="N5">
        <v>91.1</v>
      </c>
      <c r="O5">
        <v>3.5</v>
      </c>
      <c r="P5">
        <v>5.3</v>
      </c>
      <c r="Q5">
        <v>69.900000000000006</v>
      </c>
      <c r="R5">
        <v>2.2999999999999998</v>
      </c>
      <c r="S5">
        <v>27.8</v>
      </c>
      <c r="T5">
        <v>84.2</v>
      </c>
      <c r="U5">
        <v>2.7</v>
      </c>
      <c r="V5">
        <v>13.1</v>
      </c>
      <c r="W5">
        <v>83.3</v>
      </c>
      <c r="X5">
        <v>1.6</v>
      </c>
      <c r="Y5">
        <v>15.1</v>
      </c>
      <c r="Z5">
        <v>60.4</v>
      </c>
      <c r="AA5">
        <v>2.4</v>
      </c>
      <c r="AB5">
        <v>37.200000000000003</v>
      </c>
      <c r="AC5">
        <v>84.8</v>
      </c>
      <c r="AD5">
        <v>1.1000000000000001</v>
      </c>
      <c r="AE5">
        <v>14.2</v>
      </c>
      <c r="AF5">
        <v>92.5</v>
      </c>
      <c r="AG5">
        <v>0.5</v>
      </c>
      <c r="AH5">
        <v>7</v>
      </c>
      <c r="AI5">
        <v>70.2</v>
      </c>
      <c r="AJ5">
        <v>2.4</v>
      </c>
      <c r="AK5">
        <v>27.4</v>
      </c>
    </row>
    <row r="6" spans="1:37" x14ac:dyDescent="0.25">
      <c r="A6" t="s">
        <v>286</v>
      </c>
      <c r="B6">
        <v>90.3</v>
      </c>
      <c r="C6">
        <v>8.8000000000000007</v>
      </c>
      <c r="D6">
        <v>0.9</v>
      </c>
      <c r="E6">
        <v>93</v>
      </c>
      <c r="F6">
        <v>5.8</v>
      </c>
      <c r="G6">
        <v>1.2</v>
      </c>
      <c r="H6">
        <v>94.3</v>
      </c>
      <c r="I6">
        <v>3.8</v>
      </c>
      <c r="J6">
        <v>1.9</v>
      </c>
      <c r="K6">
        <v>92.9</v>
      </c>
      <c r="L6">
        <v>3</v>
      </c>
      <c r="M6">
        <v>4</v>
      </c>
      <c r="N6">
        <v>94.5</v>
      </c>
      <c r="O6">
        <v>2</v>
      </c>
      <c r="P6">
        <v>3.5</v>
      </c>
      <c r="Q6">
        <v>88.5</v>
      </c>
      <c r="R6">
        <v>1.1000000000000001</v>
      </c>
      <c r="S6">
        <v>10.4</v>
      </c>
      <c r="T6">
        <v>87.8</v>
      </c>
      <c r="U6">
        <v>1.3</v>
      </c>
      <c r="V6">
        <v>10.9</v>
      </c>
      <c r="W6">
        <v>85.7</v>
      </c>
      <c r="X6">
        <v>0.7</v>
      </c>
      <c r="Y6">
        <v>13.6</v>
      </c>
      <c r="Z6">
        <v>80.2</v>
      </c>
      <c r="AA6">
        <v>0.7</v>
      </c>
      <c r="AB6">
        <v>19.100000000000001</v>
      </c>
      <c r="AC6">
        <v>83.2</v>
      </c>
      <c r="AD6">
        <v>0.1</v>
      </c>
      <c r="AE6">
        <v>16.7</v>
      </c>
      <c r="AF6">
        <v>87.7</v>
      </c>
      <c r="AG6">
        <v>0.3</v>
      </c>
      <c r="AH6">
        <v>12</v>
      </c>
      <c r="AI6">
        <v>68.900000000000006</v>
      </c>
      <c r="AJ6">
        <v>2.2999999999999998</v>
      </c>
      <c r="AK6">
        <v>28.8</v>
      </c>
    </row>
    <row r="7" spans="1:37" x14ac:dyDescent="0.25">
      <c r="A7" t="s">
        <v>287</v>
      </c>
      <c r="B7">
        <v>90.1</v>
      </c>
      <c r="C7">
        <v>7.3</v>
      </c>
      <c r="D7">
        <v>2.6</v>
      </c>
      <c r="E7">
        <v>94</v>
      </c>
      <c r="F7">
        <v>5</v>
      </c>
      <c r="G7">
        <v>1</v>
      </c>
      <c r="H7">
        <v>93</v>
      </c>
      <c r="I7">
        <v>3.8</v>
      </c>
      <c r="J7">
        <v>3.2</v>
      </c>
      <c r="K7">
        <v>93.7</v>
      </c>
      <c r="L7">
        <v>2.7</v>
      </c>
      <c r="M7">
        <v>3.6</v>
      </c>
      <c r="N7">
        <v>95.9</v>
      </c>
      <c r="O7">
        <v>1.7</v>
      </c>
      <c r="P7">
        <v>2.4</v>
      </c>
      <c r="Q7">
        <v>72.400000000000006</v>
      </c>
      <c r="R7">
        <v>2</v>
      </c>
      <c r="S7">
        <v>25.6</v>
      </c>
      <c r="T7">
        <v>82.8</v>
      </c>
      <c r="U7">
        <v>1.1000000000000001</v>
      </c>
      <c r="V7">
        <v>16.100000000000001</v>
      </c>
      <c r="W7">
        <v>77.599999999999994</v>
      </c>
      <c r="X7">
        <v>0.8</v>
      </c>
      <c r="Y7">
        <v>21.6</v>
      </c>
      <c r="Z7">
        <v>59.4</v>
      </c>
      <c r="AA7">
        <v>1.6</v>
      </c>
      <c r="AB7">
        <v>39.1</v>
      </c>
      <c r="AC7">
        <v>84</v>
      </c>
      <c r="AD7">
        <v>0.1</v>
      </c>
      <c r="AE7">
        <v>16</v>
      </c>
      <c r="AF7">
        <v>90.1</v>
      </c>
      <c r="AG7">
        <v>0</v>
      </c>
      <c r="AH7">
        <v>9.8000000000000007</v>
      </c>
      <c r="AI7">
        <v>75</v>
      </c>
      <c r="AJ7">
        <v>1.3</v>
      </c>
      <c r="AK7">
        <v>23.7</v>
      </c>
    </row>
    <row r="8" spans="1:37" x14ac:dyDescent="0.25">
      <c r="A8" t="s">
        <v>288</v>
      </c>
      <c r="B8">
        <v>86.6</v>
      </c>
      <c r="C8">
        <v>10.7</v>
      </c>
      <c r="D8">
        <v>2.7</v>
      </c>
      <c r="E8">
        <v>91.1</v>
      </c>
      <c r="F8">
        <v>7.3</v>
      </c>
      <c r="G8">
        <v>1.6</v>
      </c>
      <c r="H8">
        <v>92.8</v>
      </c>
      <c r="I8">
        <v>5</v>
      </c>
      <c r="J8">
        <v>2.2000000000000002</v>
      </c>
      <c r="K8">
        <v>92.1</v>
      </c>
      <c r="L8">
        <v>3.4</v>
      </c>
      <c r="M8">
        <v>4.5999999999999996</v>
      </c>
      <c r="N8">
        <v>93.4</v>
      </c>
      <c r="O8">
        <v>1.9</v>
      </c>
      <c r="P8">
        <v>4.7</v>
      </c>
      <c r="Q8">
        <v>69.2</v>
      </c>
      <c r="R8">
        <v>1.7</v>
      </c>
      <c r="S8">
        <v>29.1</v>
      </c>
      <c r="T8">
        <v>81.2</v>
      </c>
      <c r="U8">
        <v>2.8</v>
      </c>
      <c r="V8">
        <v>16</v>
      </c>
      <c r="W8">
        <v>83.6</v>
      </c>
      <c r="X8">
        <v>1.3</v>
      </c>
      <c r="Y8">
        <v>15.1</v>
      </c>
      <c r="Z8">
        <v>67.3</v>
      </c>
      <c r="AA8">
        <v>2.2999999999999998</v>
      </c>
      <c r="AB8">
        <v>30.4</v>
      </c>
      <c r="AC8">
        <v>80.3</v>
      </c>
      <c r="AD8">
        <v>0.4</v>
      </c>
      <c r="AE8">
        <v>19.3</v>
      </c>
      <c r="AF8">
        <v>91</v>
      </c>
      <c r="AG8">
        <v>0.4</v>
      </c>
      <c r="AH8">
        <v>8.6</v>
      </c>
      <c r="AI8">
        <v>68.099999999999994</v>
      </c>
      <c r="AJ8">
        <v>1.1000000000000001</v>
      </c>
      <c r="AK8">
        <v>30.8</v>
      </c>
    </row>
    <row r="9" spans="1:37" x14ac:dyDescent="0.25">
      <c r="A9" t="s">
        <v>289</v>
      </c>
      <c r="B9">
        <v>91.5</v>
      </c>
      <c r="C9">
        <v>7.4</v>
      </c>
      <c r="D9">
        <v>1.1000000000000001</v>
      </c>
      <c r="E9">
        <v>93</v>
      </c>
      <c r="F9">
        <v>4.4000000000000004</v>
      </c>
      <c r="G9">
        <v>2.5</v>
      </c>
      <c r="H9">
        <v>93.5</v>
      </c>
      <c r="I9">
        <v>3.2</v>
      </c>
      <c r="J9">
        <v>3.3</v>
      </c>
      <c r="K9">
        <v>94.9</v>
      </c>
      <c r="L9">
        <v>2</v>
      </c>
      <c r="M9">
        <v>3.1</v>
      </c>
      <c r="N9">
        <v>94</v>
      </c>
      <c r="O9">
        <v>2.1</v>
      </c>
      <c r="P9">
        <v>3.9</v>
      </c>
      <c r="Q9">
        <v>77.2</v>
      </c>
      <c r="R9">
        <v>1.2</v>
      </c>
      <c r="S9">
        <v>21.6</v>
      </c>
      <c r="T9">
        <v>83.4</v>
      </c>
      <c r="U9">
        <v>1.7</v>
      </c>
      <c r="V9">
        <v>14.9</v>
      </c>
      <c r="W9">
        <v>82</v>
      </c>
      <c r="X9">
        <v>0.7</v>
      </c>
      <c r="Y9">
        <v>17.3</v>
      </c>
      <c r="Z9">
        <v>75</v>
      </c>
      <c r="AA9">
        <v>1.9</v>
      </c>
      <c r="AB9">
        <v>23.1</v>
      </c>
      <c r="AC9">
        <v>84.2</v>
      </c>
      <c r="AD9">
        <v>1.2</v>
      </c>
      <c r="AE9">
        <v>14.6</v>
      </c>
      <c r="AF9">
        <v>90.3</v>
      </c>
      <c r="AG9">
        <v>0.8</v>
      </c>
      <c r="AH9">
        <v>8.9</v>
      </c>
      <c r="AI9">
        <v>82.3</v>
      </c>
      <c r="AJ9">
        <v>1.6</v>
      </c>
      <c r="AK9">
        <v>16.100000000000001</v>
      </c>
    </row>
    <row r="10" spans="1:37" x14ac:dyDescent="0.25">
      <c r="A10" t="s">
        <v>290</v>
      </c>
      <c r="B10">
        <v>88.6</v>
      </c>
      <c r="C10">
        <v>10.4</v>
      </c>
      <c r="D10">
        <v>1</v>
      </c>
      <c r="E10">
        <v>90.7</v>
      </c>
      <c r="F10">
        <v>7.2</v>
      </c>
      <c r="G10">
        <v>2.1</v>
      </c>
      <c r="H10">
        <v>93</v>
      </c>
      <c r="I10">
        <v>5.9</v>
      </c>
      <c r="J10">
        <v>1.1000000000000001</v>
      </c>
      <c r="K10">
        <v>92.7</v>
      </c>
      <c r="L10">
        <v>4.3</v>
      </c>
      <c r="M10">
        <v>2.9</v>
      </c>
      <c r="N10">
        <v>93.9</v>
      </c>
      <c r="O10">
        <v>3.5</v>
      </c>
      <c r="P10">
        <v>2.5</v>
      </c>
      <c r="Q10">
        <v>95.2</v>
      </c>
      <c r="R10">
        <v>2.2000000000000002</v>
      </c>
      <c r="S10">
        <v>2.6</v>
      </c>
      <c r="T10">
        <v>85.9</v>
      </c>
      <c r="U10">
        <v>1.8</v>
      </c>
      <c r="V10">
        <v>12.3</v>
      </c>
      <c r="W10">
        <v>86.7</v>
      </c>
      <c r="X10">
        <v>1.1000000000000001</v>
      </c>
      <c r="Y10">
        <v>12.2</v>
      </c>
      <c r="Z10">
        <v>87.5</v>
      </c>
      <c r="AA10">
        <v>1.6</v>
      </c>
      <c r="AB10">
        <v>10.9</v>
      </c>
      <c r="AC10">
        <v>85.8</v>
      </c>
      <c r="AD10">
        <v>0.8</v>
      </c>
      <c r="AE10">
        <v>13.4</v>
      </c>
      <c r="AF10">
        <v>88.4</v>
      </c>
      <c r="AG10">
        <v>0.4</v>
      </c>
      <c r="AH10">
        <v>11.2</v>
      </c>
      <c r="AI10">
        <v>80.099999999999994</v>
      </c>
      <c r="AJ10">
        <v>2.9</v>
      </c>
      <c r="AK10">
        <v>17</v>
      </c>
    </row>
    <row r="11" spans="1:37" x14ac:dyDescent="0.25">
      <c r="A11" t="s">
        <v>291</v>
      </c>
      <c r="B11">
        <v>91.6</v>
      </c>
      <c r="C11">
        <v>12.1</v>
      </c>
      <c r="D11" t="s">
        <v>648</v>
      </c>
      <c r="E11">
        <v>98.8</v>
      </c>
      <c r="F11">
        <v>7.5</v>
      </c>
      <c r="G11" t="s">
        <v>648</v>
      </c>
      <c r="H11">
        <v>92.6</v>
      </c>
      <c r="I11">
        <v>7.6</v>
      </c>
      <c r="J11" t="s">
        <v>648</v>
      </c>
      <c r="K11">
        <v>94.4</v>
      </c>
      <c r="L11">
        <v>5.8</v>
      </c>
      <c r="M11" t="s">
        <v>648</v>
      </c>
      <c r="N11">
        <v>94.5</v>
      </c>
      <c r="O11">
        <v>1.4</v>
      </c>
      <c r="P11">
        <v>4.0999999999999996</v>
      </c>
      <c r="Q11">
        <v>84.7</v>
      </c>
      <c r="R11">
        <v>1.3</v>
      </c>
      <c r="S11">
        <v>14.1</v>
      </c>
      <c r="T11">
        <v>74.900000000000006</v>
      </c>
      <c r="U11">
        <v>1.9</v>
      </c>
      <c r="V11">
        <v>23.2</v>
      </c>
      <c r="W11">
        <v>84.5</v>
      </c>
      <c r="X11">
        <v>1.2</v>
      </c>
      <c r="Y11">
        <v>14.3</v>
      </c>
      <c r="Z11">
        <v>75.7</v>
      </c>
      <c r="AA11">
        <v>4.3</v>
      </c>
      <c r="AB11">
        <v>20</v>
      </c>
      <c r="AC11">
        <v>90.3</v>
      </c>
      <c r="AD11">
        <v>1.5</v>
      </c>
      <c r="AE11">
        <v>8.1999999999999993</v>
      </c>
      <c r="AF11">
        <v>92.4</v>
      </c>
      <c r="AG11">
        <v>0</v>
      </c>
      <c r="AH11">
        <v>7.6</v>
      </c>
      <c r="AI11">
        <v>91.1</v>
      </c>
      <c r="AJ11">
        <v>1.1000000000000001</v>
      </c>
      <c r="AK11">
        <v>7.8</v>
      </c>
    </row>
    <row r="12" spans="1:37" x14ac:dyDescent="0.25">
      <c r="A12" t="s">
        <v>292</v>
      </c>
      <c r="B12">
        <v>84.4</v>
      </c>
      <c r="C12">
        <v>8</v>
      </c>
      <c r="D12">
        <v>7.6</v>
      </c>
      <c r="E12">
        <v>87.6</v>
      </c>
      <c r="F12">
        <v>5.2</v>
      </c>
      <c r="G12">
        <v>7.2</v>
      </c>
      <c r="H12">
        <v>90.7</v>
      </c>
      <c r="I12">
        <v>3.6</v>
      </c>
      <c r="J12">
        <v>5.7</v>
      </c>
      <c r="K12">
        <v>92.5</v>
      </c>
      <c r="L12">
        <v>2.2000000000000002</v>
      </c>
      <c r="M12">
        <v>5.3</v>
      </c>
      <c r="N12" t="s">
        <v>648</v>
      </c>
      <c r="O12">
        <v>0.7</v>
      </c>
      <c r="P12" t="s">
        <v>648</v>
      </c>
      <c r="Q12">
        <v>82.4</v>
      </c>
      <c r="R12">
        <v>1</v>
      </c>
      <c r="S12">
        <v>16.600000000000001</v>
      </c>
      <c r="T12">
        <v>84.5</v>
      </c>
      <c r="U12">
        <v>0.5</v>
      </c>
      <c r="V12">
        <v>14.9</v>
      </c>
      <c r="W12">
        <v>90</v>
      </c>
      <c r="X12">
        <v>0.3</v>
      </c>
      <c r="Y12">
        <v>9.8000000000000007</v>
      </c>
      <c r="Z12">
        <v>76.400000000000006</v>
      </c>
      <c r="AA12">
        <v>1.6</v>
      </c>
      <c r="AB12">
        <v>22</v>
      </c>
      <c r="AC12">
        <v>97.9</v>
      </c>
      <c r="AD12">
        <v>0.2</v>
      </c>
      <c r="AE12">
        <v>1.9</v>
      </c>
      <c r="AF12">
        <v>91.5</v>
      </c>
      <c r="AG12">
        <v>0</v>
      </c>
      <c r="AH12">
        <v>8.5</v>
      </c>
      <c r="AI12">
        <v>32.9</v>
      </c>
      <c r="AJ12">
        <v>2.9</v>
      </c>
      <c r="AK12">
        <v>64.099999999999994</v>
      </c>
    </row>
    <row r="13" spans="1:37" x14ac:dyDescent="0.25">
      <c r="A13" t="s">
        <v>293</v>
      </c>
      <c r="B13">
        <v>79.099999999999994</v>
      </c>
      <c r="C13">
        <v>10.9</v>
      </c>
      <c r="D13">
        <v>10</v>
      </c>
      <c r="E13">
        <v>84.2</v>
      </c>
      <c r="F13">
        <v>7.6</v>
      </c>
      <c r="G13">
        <v>8.3000000000000007</v>
      </c>
      <c r="H13">
        <v>84.8</v>
      </c>
      <c r="I13">
        <v>5.9</v>
      </c>
      <c r="J13">
        <v>9.3000000000000007</v>
      </c>
      <c r="K13">
        <v>87.7</v>
      </c>
      <c r="L13">
        <v>3.7</v>
      </c>
      <c r="M13">
        <v>8.6</v>
      </c>
      <c r="N13">
        <v>88.6</v>
      </c>
      <c r="O13">
        <v>2.4</v>
      </c>
      <c r="P13">
        <v>9.1</v>
      </c>
      <c r="Q13">
        <v>83.4</v>
      </c>
      <c r="R13">
        <v>2.2000000000000002</v>
      </c>
      <c r="S13">
        <v>14.4</v>
      </c>
      <c r="T13">
        <v>79</v>
      </c>
      <c r="U13">
        <v>1.1000000000000001</v>
      </c>
      <c r="V13">
        <v>20</v>
      </c>
      <c r="W13">
        <v>78.400000000000006</v>
      </c>
      <c r="X13">
        <v>0.7</v>
      </c>
      <c r="Y13">
        <v>20.9</v>
      </c>
      <c r="Z13">
        <v>75.5</v>
      </c>
      <c r="AA13">
        <v>1.8</v>
      </c>
      <c r="AB13">
        <v>22.7</v>
      </c>
      <c r="AC13">
        <v>85.9</v>
      </c>
      <c r="AD13">
        <v>0.4</v>
      </c>
      <c r="AE13">
        <v>13.7</v>
      </c>
      <c r="AF13">
        <v>90.9</v>
      </c>
      <c r="AG13">
        <v>0.5</v>
      </c>
      <c r="AH13">
        <v>8.6</v>
      </c>
      <c r="AI13">
        <v>79.8</v>
      </c>
      <c r="AJ13">
        <v>1.4</v>
      </c>
      <c r="AK13">
        <v>18.8</v>
      </c>
    </row>
    <row r="14" spans="1:37" x14ac:dyDescent="0.25">
      <c r="A14" t="s">
        <v>294</v>
      </c>
      <c r="B14">
        <v>88.4</v>
      </c>
      <c r="C14">
        <v>5.7</v>
      </c>
      <c r="D14">
        <v>5.9</v>
      </c>
      <c r="E14">
        <v>90.4</v>
      </c>
      <c r="F14">
        <v>4</v>
      </c>
      <c r="G14">
        <v>5.5</v>
      </c>
      <c r="H14">
        <v>88.6</v>
      </c>
      <c r="I14">
        <v>2.7</v>
      </c>
      <c r="J14">
        <v>8.6999999999999993</v>
      </c>
      <c r="K14">
        <v>91.3</v>
      </c>
      <c r="L14">
        <v>2.5</v>
      </c>
      <c r="M14">
        <v>6.3</v>
      </c>
      <c r="N14">
        <v>87</v>
      </c>
      <c r="O14">
        <v>0.9</v>
      </c>
      <c r="P14">
        <v>12.1</v>
      </c>
      <c r="Q14">
        <v>90.3</v>
      </c>
      <c r="R14">
        <v>1.5</v>
      </c>
      <c r="S14">
        <v>8.1999999999999993</v>
      </c>
      <c r="T14">
        <v>82.4</v>
      </c>
      <c r="U14">
        <v>2</v>
      </c>
      <c r="V14">
        <v>15.5</v>
      </c>
      <c r="W14">
        <v>83</v>
      </c>
      <c r="X14">
        <v>2.2999999999999998</v>
      </c>
      <c r="Y14">
        <v>14.8</v>
      </c>
      <c r="Z14">
        <v>81.900000000000006</v>
      </c>
      <c r="AA14">
        <v>5.8</v>
      </c>
      <c r="AB14">
        <v>12.3</v>
      </c>
      <c r="AC14">
        <v>88.7</v>
      </c>
      <c r="AD14">
        <v>0</v>
      </c>
      <c r="AE14">
        <v>11.3</v>
      </c>
      <c r="AF14">
        <v>95.1</v>
      </c>
      <c r="AG14">
        <v>0</v>
      </c>
      <c r="AH14">
        <v>4.9000000000000004</v>
      </c>
      <c r="AI14">
        <v>94.5</v>
      </c>
      <c r="AJ14">
        <v>0</v>
      </c>
      <c r="AK14">
        <v>5.5</v>
      </c>
    </row>
    <row r="15" spans="1:37" x14ac:dyDescent="0.25">
      <c r="A15" t="s">
        <v>295</v>
      </c>
      <c r="B15">
        <v>80.2</v>
      </c>
      <c r="C15">
        <v>11.7</v>
      </c>
      <c r="D15">
        <v>8.1</v>
      </c>
      <c r="E15">
        <v>89.1</v>
      </c>
      <c r="F15">
        <v>7.1</v>
      </c>
      <c r="G15">
        <v>3.9</v>
      </c>
      <c r="H15">
        <v>87.8</v>
      </c>
      <c r="I15">
        <v>5.9</v>
      </c>
      <c r="J15">
        <v>6.3</v>
      </c>
      <c r="K15">
        <v>90.6</v>
      </c>
      <c r="L15">
        <v>3.6</v>
      </c>
      <c r="M15">
        <v>5.8</v>
      </c>
      <c r="N15">
        <v>90.3</v>
      </c>
      <c r="O15">
        <v>2.8</v>
      </c>
      <c r="P15">
        <v>6.9</v>
      </c>
      <c r="Q15">
        <v>64.7</v>
      </c>
      <c r="R15">
        <v>2.5</v>
      </c>
      <c r="S15">
        <v>32.799999999999997</v>
      </c>
      <c r="T15">
        <v>81.5</v>
      </c>
      <c r="U15">
        <v>2.8</v>
      </c>
      <c r="V15">
        <v>15.8</v>
      </c>
      <c r="W15">
        <v>82.4</v>
      </c>
      <c r="X15">
        <v>1.3</v>
      </c>
      <c r="Y15">
        <v>16.3</v>
      </c>
      <c r="Z15">
        <v>67.2</v>
      </c>
      <c r="AA15">
        <v>4.9000000000000004</v>
      </c>
      <c r="AB15">
        <v>27.9</v>
      </c>
      <c r="AC15">
        <v>85.4</v>
      </c>
      <c r="AD15">
        <v>1.3</v>
      </c>
      <c r="AE15">
        <v>13.3</v>
      </c>
      <c r="AF15">
        <v>89.8</v>
      </c>
      <c r="AG15">
        <v>0.4</v>
      </c>
      <c r="AH15">
        <v>9.8000000000000007</v>
      </c>
      <c r="AI15">
        <v>84.7</v>
      </c>
      <c r="AJ15">
        <v>1.9</v>
      </c>
      <c r="AK15">
        <v>13.4</v>
      </c>
    </row>
    <row r="16" spans="1:37" x14ac:dyDescent="0.25">
      <c r="A16" t="s">
        <v>296</v>
      </c>
      <c r="B16">
        <v>88.1</v>
      </c>
      <c r="C16">
        <v>7</v>
      </c>
      <c r="D16">
        <v>4.9000000000000004</v>
      </c>
      <c r="E16">
        <v>93.9</v>
      </c>
      <c r="F16">
        <v>5.8</v>
      </c>
      <c r="G16">
        <v>0.2</v>
      </c>
      <c r="H16">
        <v>90.7</v>
      </c>
      <c r="I16">
        <v>6</v>
      </c>
      <c r="J16">
        <v>3.3</v>
      </c>
      <c r="K16">
        <v>94.9</v>
      </c>
      <c r="L16">
        <v>1.5</v>
      </c>
      <c r="M16">
        <v>3.6</v>
      </c>
      <c r="N16">
        <v>93.6</v>
      </c>
      <c r="O16">
        <v>1.3</v>
      </c>
      <c r="P16">
        <v>5.0999999999999996</v>
      </c>
      <c r="Q16">
        <v>93.4</v>
      </c>
      <c r="R16">
        <v>0.1</v>
      </c>
      <c r="S16">
        <v>6.4</v>
      </c>
      <c r="T16">
        <v>80</v>
      </c>
      <c r="U16">
        <v>1.9</v>
      </c>
      <c r="V16">
        <v>18.100000000000001</v>
      </c>
      <c r="W16">
        <v>85.7</v>
      </c>
      <c r="X16">
        <v>0.8</v>
      </c>
      <c r="Y16">
        <v>13.5</v>
      </c>
      <c r="Z16">
        <v>78.599999999999994</v>
      </c>
      <c r="AA16">
        <v>7.5</v>
      </c>
      <c r="AB16">
        <v>14</v>
      </c>
      <c r="AC16">
        <v>80.900000000000006</v>
      </c>
      <c r="AD16">
        <v>0.9</v>
      </c>
      <c r="AE16">
        <v>18.2</v>
      </c>
      <c r="AF16">
        <v>89.5</v>
      </c>
      <c r="AG16">
        <v>0</v>
      </c>
      <c r="AH16">
        <v>10.5</v>
      </c>
      <c r="AI16">
        <v>56.8</v>
      </c>
      <c r="AJ16">
        <v>5.2</v>
      </c>
      <c r="AK16">
        <v>38</v>
      </c>
    </row>
    <row r="17" spans="1:37" x14ac:dyDescent="0.25">
      <c r="A17" t="s">
        <v>297</v>
      </c>
      <c r="B17">
        <v>94.9</v>
      </c>
      <c r="C17">
        <v>4.7</v>
      </c>
      <c r="D17">
        <v>0.3</v>
      </c>
      <c r="E17">
        <v>97.9</v>
      </c>
      <c r="F17">
        <v>3.2</v>
      </c>
      <c r="G17" t="s">
        <v>648</v>
      </c>
      <c r="H17">
        <v>98.1</v>
      </c>
      <c r="I17">
        <v>2.6</v>
      </c>
      <c r="J17" t="s">
        <v>648</v>
      </c>
      <c r="K17">
        <v>97.6</v>
      </c>
      <c r="L17">
        <v>1.9</v>
      </c>
      <c r="M17">
        <v>0.5</v>
      </c>
      <c r="N17">
        <v>97.8</v>
      </c>
      <c r="O17">
        <v>1.3</v>
      </c>
      <c r="P17">
        <v>1</v>
      </c>
      <c r="Q17">
        <v>82.8</v>
      </c>
      <c r="R17">
        <v>0.9</v>
      </c>
      <c r="S17">
        <v>16.3</v>
      </c>
      <c r="T17">
        <v>90.3</v>
      </c>
      <c r="U17">
        <v>2.6</v>
      </c>
      <c r="V17">
        <v>7.1</v>
      </c>
      <c r="W17">
        <v>96.9</v>
      </c>
      <c r="X17">
        <v>1.5</v>
      </c>
      <c r="Y17">
        <v>1.6</v>
      </c>
      <c r="Z17">
        <v>64.2</v>
      </c>
      <c r="AA17">
        <v>2.4</v>
      </c>
      <c r="AB17">
        <v>33.4</v>
      </c>
      <c r="AC17" t="s">
        <v>648</v>
      </c>
      <c r="AD17">
        <v>0.6</v>
      </c>
      <c r="AE17" t="s">
        <v>648</v>
      </c>
      <c r="AF17" t="s">
        <v>648</v>
      </c>
      <c r="AG17">
        <v>0.5</v>
      </c>
      <c r="AH17" t="s">
        <v>648</v>
      </c>
      <c r="AI17">
        <v>52.3</v>
      </c>
      <c r="AJ17">
        <v>3.7</v>
      </c>
      <c r="AK17">
        <v>44</v>
      </c>
    </row>
    <row r="18" spans="1:37" x14ac:dyDescent="0.25">
      <c r="A18" t="s">
        <v>298</v>
      </c>
      <c r="B18">
        <v>88.4</v>
      </c>
      <c r="C18">
        <v>5.6</v>
      </c>
      <c r="D18">
        <v>5.9</v>
      </c>
      <c r="E18">
        <v>94.4</v>
      </c>
      <c r="F18">
        <v>3.9</v>
      </c>
      <c r="G18">
        <v>1.7</v>
      </c>
      <c r="H18">
        <v>93.7</v>
      </c>
      <c r="I18">
        <v>3.4</v>
      </c>
      <c r="J18">
        <v>2.9</v>
      </c>
      <c r="K18">
        <v>92</v>
      </c>
      <c r="L18">
        <v>2</v>
      </c>
      <c r="M18">
        <v>6</v>
      </c>
      <c r="N18">
        <v>97.8</v>
      </c>
      <c r="O18">
        <v>1.3</v>
      </c>
      <c r="P18">
        <v>0.9</v>
      </c>
      <c r="Q18">
        <v>23.5</v>
      </c>
      <c r="R18">
        <v>1</v>
      </c>
      <c r="S18">
        <v>75.5</v>
      </c>
      <c r="T18">
        <v>76.5</v>
      </c>
      <c r="U18">
        <v>2.2999999999999998</v>
      </c>
      <c r="V18">
        <v>21.2</v>
      </c>
      <c r="W18">
        <v>83.6</v>
      </c>
      <c r="X18">
        <v>2.1</v>
      </c>
      <c r="Y18">
        <v>14.2</v>
      </c>
      <c r="Z18">
        <v>13</v>
      </c>
      <c r="AA18">
        <v>3.6</v>
      </c>
      <c r="AB18">
        <v>83.4</v>
      </c>
      <c r="AC18">
        <v>87.3</v>
      </c>
      <c r="AD18">
        <v>0.9</v>
      </c>
      <c r="AE18">
        <v>11.8</v>
      </c>
      <c r="AF18">
        <v>76.900000000000006</v>
      </c>
      <c r="AG18">
        <v>0.1</v>
      </c>
      <c r="AH18">
        <v>23</v>
      </c>
      <c r="AI18">
        <v>73.7</v>
      </c>
      <c r="AJ18">
        <v>18.5</v>
      </c>
      <c r="AK18">
        <v>7.8</v>
      </c>
    </row>
    <row r="19" spans="1:37" x14ac:dyDescent="0.25">
      <c r="A19" t="s">
        <v>299</v>
      </c>
      <c r="B19">
        <v>84.5</v>
      </c>
      <c r="C19">
        <v>14.1</v>
      </c>
      <c r="D19">
        <v>1.5</v>
      </c>
      <c r="E19">
        <v>87.4</v>
      </c>
      <c r="F19">
        <v>9.6</v>
      </c>
      <c r="G19">
        <v>3</v>
      </c>
      <c r="H19">
        <v>89</v>
      </c>
      <c r="I19">
        <v>5.5</v>
      </c>
      <c r="J19">
        <v>5.5</v>
      </c>
      <c r="K19">
        <v>89.8</v>
      </c>
      <c r="L19">
        <v>4.4000000000000004</v>
      </c>
      <c r="M19">
        <v>5.8</v>
      </c>
      <c r="N19">
        <v>91.6</v>
      </c>
      <c r="O19">
        <v>2.1</v>
      </c>
      <c r="P19">
        <v>6.3</v>
      </c>
      <c r="Q19">
        <v>84.6</v>
      </c>
      <c r="R19">
        <v>1.7</v>
      </c>
      <c r="S19">
        <v>13.7</v>
      </c>
      <c r="T19">
        <v>82.9</v>
      </c>
      <c r="U19">
        <v>1.2</v>
      </c>
      <c r="V19">
        <v>15.9</v>
      </c>
      <c r="W19">
        <v>88.8</v>
      </c>
      <c r="X19">
        <v>0.8</v>
      </c>
      <c r="Y19">
        <v>10.4</v>
      </c>
      <c r="Z19">
        <v>68.8</v>
      </c>
      <c r="AA19">
        <v>0.7</v>
      </c>
      <c r="AB19">
        <v>30.5</v>
      </c>
      <c r="AC19">
        <v>84.3</v>
      </c>
      <c r="AD19">
        <v>0.2</v>
      </c>
      <c r="AE19">
        <v>15.5</v>
      </c>
      <c r="AF19">
        <v>97.3</v>
      </c>
      <c r="AG19">
        <v>0</v>
      </c>
      <c r="AH19">
        <v>2.7</v>
      </c>
      <c r="AI19">
        <v>90.7</v>
      </c>
      <c r="AJ19">
        <v>0.9</v>
      </c>
      <c r="AK19">
        <v>8.4</v>
      </c>
    </row>
    <row r="20" spans="1:37" x14ac:dyDescent="0.25">
      <c r="A20" t="s">
        <v>300</v>
      </c>
      <c r="B20">
        <v>88.5</v>
      </c>
      <c r="C20">
        <v>9.4</v>
      </c>
      <c r="D20">
        <v>2.1</v>
      </c>
      <c r="E20">
        <v>92.3</v>
      </c>
      <c r="F20">
        <v>5.9</v>
      </c>
      <c r="G20">
        <v>1.7</v>
      </c>
      <c r="H20">
        <v>94.4</v>
      </c>
      <c r="I20">
        <v>4.5999999999999996</v>
      </c>
      <c r="J20">
        <v>1</v>
      </c>
      <c r="K20">
        <v>94.5</v>
      </c>
      <c r="L20">
        <v>3.8</v>
      </c>
      <c r="M20">
        <v>1.7</v>
      </c>
      <c r="N20">
        <v>95.3</v>
      </c>
      <c r="O20">
        <v>2.8</v>
      </c>
      <c r="P20">
        <v>1.9</v>
      </c>
      <c r="Q20">
        <v>73.8</v>
      </c>
      <c r="R20">
        <v>2.2999999999999998</v>
      </c>
      <c r="S20">
        <v>23.9</v>
      </c>
      <c r="T20">
        <v>87.9</v>
      </c>
      <c r="U20">
        <v>0.5</v>
      </c>
      <c r="V20">
        <v>11.6</v>
      </c>
      <c r="W20">
        <v>83.7</v>
      </c>
      <c r="X20">
        <v>0.3</v>
      </c>
      <c r="Y20">
        <v>16.100000000000001</v>
      </c>
      <c r="Z20">
        <v>57.3</v>
      </c>
      <c r="AA20">
        <v>1</v>
      </c>
      <c r="AB20">
        <v>41.7</v>
      </c>
      <c r="AC20">
        <v>80.599999999999994</v>
      </c>
      <c r="AD20">
        <v>0.7</v>
      </c>
      <c r="AE20">
        <v>18.7</v>
      </c>
      <c r="AF20">
        <v>91.2</v>
      </c>
      <c r="AG20">
        <v>0.3</v>
      </c>
      <c r="AH20">
        <v>8.5</v>
      </c>
      <c r="AI20">
        <v>82.1</v>
      </c>
      <c r="AJ20">
        <v>1.8</v>
      </c>
      <c r="AK20">
        <v>16.100000000000001</v>
      </c>
    </row>
    <row r="21" spans="1:37" x14ac:dyDescent="0.25">
      <c r="A21" t="s">
        <v>301</v>
      </c>
      <c r="B21">
        <v>85</v>
      </c>
      <c r="C21">
        <v>12.9</v>
      </c>
      <c r="D21">
        <v>2.2000000000000002</v>
      </c>
      <c r="E21">
        <v>90.4</v>
      </c>
      <c r="F21">
        <v>7.4</v>
      </c>
      <c r="G21">
        <v>2.2000000000000002</v>
      </c>
      <c r="H21">
        <v>89</v>
      </c>
      <c r="I21">
        <v>5.9</v>
      </c>
      <c r="J21">
        <v>5.0999999999999996</v>
      </c>
      <c r="K21">
        <v>90.3</v>
      </c>
      <c r="L21">
        <v>4.3</v>
      </c>
      <c r="M21">
        <v>5.4</v>
      </c>
      <c r="N21">
        <v>92.4</v>
      </c>
      <c r="O21">
        <v>2.4</v>
      </c>
      <c r="P21">
        <v>5.2</v>
      </c>
      <c r="Q21">
        <v>85.9</v>
      </c>
      <c r="R21">
        <v>2.1</v>
      </c>
      <c r="S21">
        <v>12</v>
      </c>
      <c r="T21">
        <v>82.8</v>
      </c>
      <c r="U21">
        <v>0.6</v>
      </c>
      <c r="V21">
        <v>16.600000000000001</v>
      </c>
      <c r="W21">
        <v>84.2</v>
      </c>
      <c r="X21">
        <v>0.3</v>
      </c>
      <c r="Y21">
        <v>15.5</v>
      </c>
      <c r="Z21">
        <v>85.9</v>
      </c>
      <c r="AA21">
        <v>1.3</v>
      </c>
      <c r="AB21">
        <v>12.7</v>
      </c>
      <c r="AC21">
        <v>88.4</v>
      </c>
      <c r="AD21">
        <v>0.1</v>
      </c>
      <c r="AE21">
        <v>11.5</v>
      </c>
      <c r="AF21">
        <v>99.1</v>
      </c>
      <c r="AG21">
        <v>0.2</v>
      </c>
      <c r="AH21">
        <v>0.7</v>
      </c>
      <c r="AI21">
        <v>80.2</v>
      </c>
      <c r="AJ21">
        <v>2.5</v>
      </c>
      <c r="AK21">
        <v>17.3</v>
      </c>
    </row>
    <row r="22" spans="1:37" x14ac:dyDescent="0.25">
      <c r="A22" t="s">
        <v>302</v>
      </c>
      <c r="B22">
        <v>81.2</v>
      </c>
      <c r="C22">
        <v>6.8</v>
      </c>
      <c r="D22">
        <v>12</v>
      </c>
      <c r="E22">
        <v>89.5</v>
      </c>
      <c r="F22">
        <v>4</v>
      </c>
      <c r="G22">
        <v>6.5</v>
      </c>
      <c r="H22">
        <v>89.3</v>
      </c>
      <c r="I22">
        <v>3.1</v>
      </c>
      <c r="J22">
        <v>7.6</v>
      </c>
      <c r="K22">
        <v>83.2</v>
      </c>
      <c r="L22">
        <v>1.8</v>
      </c>
      <c r="M22">
        <v>15</v>
      </c>
      <c r="N22">
        <v>86.2</v>
      </c>
      <c r="O22">
        <v>1.8</v>
      </c>
      <c r="P22">
        <v>12</v>
      </c>
      <c r="Q22">
        <v>57</v>
      </c>
      <c r="R22">
        <v>0.6</v>
      </c>
      <c r="S22">
        <v>42.4</v>
      </c>
      <c r="T22">
        <v>79.599999999999994</v>
      </c>
      <c r="U22">
        <v>0.3</v>
      </c>
      <c r="V22">
        <v>20.100000000000001</v>
      </c>
      <c r="W22">
        <v>97.7</v>
      </c>
      <c r="X22">
        <v>0</v>
      </c>
      <c r="Y22">
        <v>2.2999999999999998</v>
      </c>
      <c r="Z22">
        <v>69.599999999999994</v>
      </c>
      <c r="AA22">
        <v>2.1</v>
      </c>
      <c r="AB22">
        <v>28.2</v>
      </c>
      <c r="AC22">
        <v>88.1</v>
      </c>
      <c r="AD22">
        <v>0</v>
      </c>
      <c r="AE22">
        <v>11.9</v>
      </c>
      <c r="AF22">
        <v>92.8</v>
      </c>
      <c r="AG22">
        <v>0.4</v>
      </c>
      <c r="AH22">
        <v>6.8</v>
      </c>
      <c r="AI22">
        <v>89.4</v>
      </c>
      <c r="AJ22">
        <v>2.9</v>
      </c>
      <c r="AK22">
        <v>7.6</v>
      </c>
    </row>
    <row r="23" spans="1:37" x14ac:dyDescent="0.25">
      <c r="A23" t="s">
        <v>303</v>
      </c>
      <c r="B23">
        <v>86.5</v>
      </c>
      <c r="C23">
        <v>11.1</v>
      </c>
      <c r="D23">
        <v>2.4</v>
      </c>
      <c r="E23">
        <v>90.6</v>
      </c>
      <c r="F23">
        <v>7.1</v>
      </c>
      <c r="G23">
        <v>2.2000000000000002</v>
      </c>
      <c r="H23">
        <v>92.5</v>
      </c>
      <c r="I23">
        <v>4.8</v>
      </c>
      <c r="J23">
        <v>2.7</v>
      </c>
      <c r="K23">
        <v>94.1</v>
      </c>
      <c r="L23">
        <v>2.9</v>
      </c>
      <c r="M23">
        <v>3</v>
      </c>
      <c r="N23">
        <v>95.8</v>
      </c>
      <c r="O23">
        <v>2</v>
      </c>
      <c r="P23">
        <v>2.2000000000000002</v>
      </c>
      <c r="Q23">
        <v>84.5</v>
      </c>
      <c r="R23">
        <v>1.3</v>
      </c>
      <c r="S23">
        <v>14.2</v>
      </c>
      <c r="T23">
        <v>84.3</v>
      </c>
      <c r="U23">
        <v>2.6</v>
      </c>
      <c r="V23">
        <v>13.1</v>
      </c>
      <c r="W23">
        <v>86.2</v>
      </c>
      <c r="X23">
        <v>1.5</v>
      </c>
      <c r="Y23">
        <v>12.3</v>
      </c>
      <c r="Z23">
        <v>82.3</v>
      </c>
      <c r="AA23">
        <v>2.2000000000000002</v>
      </c>
      <c r="AB23">
        <v>15.5</v>
      </c>
      <c r="AC23">
        <v>85.6</v>
      </c>
      <c r="AD23">
        <v>1.4</v>
      </c>
      <c r="AE23">
        <v>13.1</v>
      </c>
      <c r="AF23">
        <v>94.1</v>
      </c>
      <c r="AG23">
        <v>0.7</v>
      </c>
      <c r="AH23">
        <v>5.2</v>
      </c>
      <c r="AI23">
        <v>78.900000000000006</v>
      </c>
      <c r="AJ23">
        <v>1.5</v>
      </c>
      <c r="AK23">
        <v>19.600000000000001</v>
      </c>
    </row>
    <row r="24" spans="1:37" x14ac:dyDescent="0.25">
      <c r="A24" t="s">
        <v>304</v>
      </c>
      <c r="B24">
        <v>76.900000000000006</v>
      </c>
      <c r="C24">
        <v>15.9</v>
      </c>
      <c r="D24">
        <v>7.2</v>
      </c>
      <c r="E24">
        <v>78.400000000000006</v>
      </c>
      <c r="F24">
        <v>10</v>
      </c>
      <c r="G24">
        <v>11.5</v>
      </c>
      <c r="H24">
        <v>81.099999999999994</v>
      </c>
      <c r="I24">
        <v>7.6</v>
      </c>
      <c r="J24">
        <v>11.3</v>
      </c>
      <c r="K24">
        <v>89.5</v>
      </c>
      <c r="L24">
        <v>4</v>
      </c>
      <c r="M24">
        <v>6.5</v>
      </c>
      <c r="N24">
        <v>86.5</v>
      </c>
      <c r="O24">
        <v>2.4</v>
      </c>
      <c r="P24">
        <v>11</v>
      </c>
      <c r="Q24">
        <v>62.1</v>
      </c>
      <c r="R24">
        <v>2.2999999999999998</v>
      </c>
      <c r="S24">
        <v>35.6</v>
      </c>
      <c r="T24">
        <v>79.8</v>
      </c>
      <c r="U24">
        <v>2.1</v>
      </c>
      <c r="V24">
        <v>18.100000000000001</v>
      </c>
      <c r="W24">
        <v>81.8</v>
      </c>
      <c r="X24">
        <v>2</v>
      </c>
      <c r="Y24">
        <v>16.2</v>
      </c>
      <c r="Z24">
        <v>80.2</v>
      </c>
      <c r="AA24">
        <v>1.7</v>
      </c>
      <c r="AB24">
        <v>18.100000000000001</v>
      </c>
      <c r="AC24">
        <v>84.5</v>
      </c>
      <c r="AD24">
        <v>0.6</v>
      </c>
      <c r="AE24">
        <v>14.9</v>
      </c>
      <c r="AF24">
        <v>99.7</v>
      </c>
      <c r="AG24">
        <v>0.3</v>
      </c>
      <c r="AH24" t="s">
        <v>648</v>
      </c>
      <c r="AI24">
        <v>82.7</v>
      </c>
      <c r="AJ24">
        <v>3.1</v>
      </c>
      <c r="AK24">
        <v>14.2</v>
      </c>
    </row>
    <row r="25" spans="1:37" x14ac:dyDescent="0.25">
      <c r="A25" t="s">
        <v>305</v>
      </c>
      <c r="B25">
        <v>91</v>
      </c>
      <c r="C25">
        <v>6.9</v>
      </c>
      <c r="D25">
        <v>2.1</v>
      </c>
      <c r="E25">
        <v>96.5</v>
      </c>
      <c r="F25">
        <v>3.7</v>
      </c>
      <c r="G25" t="s">
        <v>648</v>
      </c>
      <c r="H25">
        <v>96.2</v>
      </c>
      <c r="I25">
        <v>2.7</v>
      </c>
      <c r="J25">
        <v>1</v>
      </c>
      <c r="K25">
        <v>98</v>
      </c>
      <c r="L25">
        <v>1.8</v>
      </c>
      <c r="M25">
        <v>0.2</v>
      </c>
      <c r="N25">
        <v>97</v>
      </c>
      <c r="O25">
        <v>1.5</v>
      </c>
      <c r="P25">
        <v>1.6</v>
      </c>
      <c r="Q25">
        <v>94.1</v>
      </c>
      <c r="R25">
        <v>0.9</v>
      </c>
      <c r="S25">
        <v>5</v>
      </c>
      <c r="T25">
        <v>85.7</v>
      </c>
      <c r="U25">
        <v>1</v>
      </c>
      <c r="V25">
        <v>13.2</v>
      </c>
      <c r="W25">
        <v>82.4</v>
      </c>
      <c r="X25">
        <v>0.7</v>
      </c>
      <c r="Y25">
        <v>16.899999999999999</v>
      </c>
      <c r="Z25">
        <v>81.599999999999994</v>
      </c>
      <c r="AA25">
        <v>1</v>
      </c>
      <c r="AB25">
        <v>17.399999999999999</v>
      </c>
      <c r="AC25">
        <v>80.900000000000006</v>
      </c>
      <c r="AD25">
        <v>0.8</v>
      </c>
      <c r="AE25">
        <v>18.3</v>
      </c>
      <c r="AF25">
        <v>88</v>
      </c>
      <c r="AG25">
        <v>0.1</v>
      </c>
      <c r="AH25">
        <v>11.9</v>
      </c>
      <c r="AI25">
        <v>78.3</v>
      </c>
      <c r="AJ25">
        <v>1.9</v>
      </c>
      <c r="AK25">
        <v>19.8</v>
      </c>
    </row>
    <row r="26" spans="1:37" x14ac:dyDescent="0.25">
      <c r="A26" t="s">
        <v>306</v>
      </c>
      <c r="B26">
        <v>90</v>
      </c>
      <c r="C26">
        <v>9.3000000000000007</v>
      </c>
      <c r="D26">
        <v>0.7</v>
      </c>
      <c r="E26">
        <v>91.2</v>
      </c>
      <c r="F26">
        <v>7.3</v>
      </c>
      <c r="G26">
        <v>1.5</v>
      </c>
      <c r="H26">
        <v>91.8</v>
      </c>
      <c r="I26">
        <v>6.1</v>
      </c>
      <c r="J26">
        <v>2.1</v>
      </c>
      <c r="K26">
        <v>93.4</v>
      </c>
      <c r="L26">
        <v>4.0999999999999996</v>
      </c>
      <c r="M26">
        <v>2.5</v>
      </c>
      <c r="N26">
        <v>92.3</v>
      </c>
      <c r="O26">
        <v>4.0999999999999996</v>
      </c>
      <c r="P26">
        <v>3.6</v>
      </c>
      <c r="Q26">
        <v>86.6</v>
      </c>
      <c r="R26">
        <v>3.8</v>
      </c>
      <c r="S26">
        <v>9.6</v>
      </c>
      <c r="T26">
        <v>86.2</v>
      </c>
      <c r="U26">
        <v>2.2999999999999998</v>
      </c>
      <c r="V26">
        <v>11.6</v>
      </c>
      <c r="W26">
        <v>86.1</v>
      </c>
      <c r="X26">
        <v>1.9</v>
      </c>
      <c r="Y26">
        <v>11.9</v>
      </c>
      <c r="Z26">
        <v>80.900000000000006</v>
      </c>
      <c r="AA26">
        <v>2.1</v>
      </c>
      <c r="AB26">
        <v>17</v>
      </c>
      <c r="AC26">
        <v>86.2</v>
      </c>
      <c r="AD26">
        <v>0.6</v>
      </c>
      <c r="AE26">
        <v>13.2</v>
      </c>
      <c r="AF26">
        <v>90.5</v>
      </c>
      <c r="AG26">
        <v>0.5</v>
      </c>
      <c r="AH26">
        <v>9</v>
      </c>
      <c r="AI26">
        <v>67.900000000000006</v>
      </c>
      <c r="AJ26">
        <v>2.9</v>
      </c>
      <c r="AK26">
        <v>29.2</v>
      </c>
    </row>
    <row r="27" spans="1:37" x14ac:dyDescent="0.25">
      <c r="A27" t="s">
        <v>307</v>
      </c>
      <c r="B27">
        <v>86</v>
      </c>
      <c r="C27">
        <v>8.5</v>
      </c>
      <c r="D27">
        <v>5.5</v>
      </c>
      <c r="E27">
        <v>88.9</v>
      </c>
      <c r="F27">
        <v>5.9</v>
      </c>
      <c r="G27">
        <v>5.3</v>
      </c>
      <c r="H27">
        <v>89.5</v>
      </c>
      <c r="I27">
        <v>4.5</v>
      </c>
      <c r="J27">
        <v>6.1</v>
      </c>
      <c r="K27">
        <v>91.3</v>
      </c>
      <c r="L27">
        <v>3.2</v>
      </c>
      <c r="M27">
        <v>5.6</v>
      </c>
      <c r="N27">
        <v>90.1</v>
      </c>
      <c r="O27">
        <v>2.8</v>
      </c>
      <c r="P27">
        <v>7.1</v>
      </c>
      <c r="Q27">
        <v>49.8</v>
      </c>
      <c r="R27">
        <v>1.4</v>
      </c>
      <c r="S27">
        <v>48.8</v>
      </c>
      <c r="T27">
        <v>79.3</v>
      </c>
      <c r="U27">
        <v>2.2000000000000002</v>
      </c>
      <c r="V27">
        <v>18.5</v>
      </c>
      <c r="W27">
        <v>81.599999999999994</v>
      </c>
      <c r="X27">
        <v>1.4</v>
      </c>
      <c r="Y27">
        <v>16.899999999999999</v>
      </c>
      <c r="Z27">
        <v>56.4</v>
      </c>
      <c r="AA27">
        <v>2.6</v>
      </c>
      <c r="AB27">
        <v>41</v>
      </c>
      <c r="AC27">
        <v>90</v>
      </c>
      <c r="AD27">
        <v>1.2</v>
      </c>
      <c r="AE27">
        <v>8.9</v>
      </c>
      <c r="AF27">
        <v>91.2</v>
      </c>
      <c r="AG27">
        <v>0.3</v>
      </c>
      <c r="AH27">
        <v>8.5</v>
      </c>
      <c r="AI27">
        <v>75.099999999999994</v>
      </c>
      <c r="AJ27">
        <v>2.2000000000000002</v>
      </c>
      <c r="AK27">
        <v>22.6</v>
      </c>
    </row>
    <row r="28" spans="1:37" x14ac:dyDescent="0.25">
      <c r="A28" t="s">
        <v>266</v>
      </c>
      <c r="B28">
        <v>87.5</v>
      </c>
      <c r="C28">
        <v>9.1</v>
      </c>
      <c r="D28">
        <v>3.4</v>
      </c>
      <c r="E28">
        <v>91.1</v>
      </c>
      <c r="F28">
        <v>6.1</v>
      </c>
      <c r="G28">
        <v>2.8</v>
      </c>
      <c r="H28">
        <v>92.2</v>
      </c>
      <c r="I28">
        <v>4.5999999999999996</v>
      </c>
      <c r="J28">
        <v>3.2</v>
      </c>
      <c r="K28">
        <v>93</v>
      </c>
      <c r="L28">
        <v>3.2</v>
      </c>
      <c r="M28">
        <v>3.8</v>
      </c>
      <c r="N28">
        <v>93.8</v>
      </c>
      <c r="O28">
        <v>2.2999999999999998</v>
      </c>
      <c r="P28">
        <v>3.9</v>
      </c>
      <c r="Q28">
        <v>78.400000000000006</v>
      </c>
      <c r="R28">
        <v>1.8</v>
      </c>
      <c r="S28">
        <v>19.899999999999999</v>
      </c>
      <c r="T28">
        <v>84.1</v>
      </c>
      <c r="U28">
        <v>1.8</v>
      </c>
      <c r="V28">
        <v>14.1</v>
      </c>
      <c r="W28">
        <v>85.1</v>
      </c>
      <c r="X28">
        <v>1.1000000000000001</v>
      </c>
      <c r="Y28">
        <v>13.8</v>
      </c>
      <c r="Z28">
        <v>71.8</v>
      </c>
      <c r="AA28">
        <v>2</v>
      </c>
      <c r="AB28">
        <v>26.2</v>
      </c>
      <c r="AC28">
        <v>86.3</v>
      </c>
      <c r="AD28">
        <v>0.7</v>
      </c>
      <c r="AE28">
        <v>13</v>
      </c>
      <c r="AF28">
        <v>92.3</v>
      </c>
      <c r="AG28">
        <v>0.4</v>
      </c>
      <c r="AH28">
        <v>7.3</v>
      </c>
      <c r="AI28">
        <v>71</v>
      </c>
      <c r="AJ28">
        <v>2.6</v>
      </c>
      <c r="AK28">
        <v>26.4</v>
      </c>
    </row>
    <row r="29" spans="1:37" x14ac:dyDescent="0.25">
      <c r="A29" t="s">
        <v>459</v>
      </c>
      <c r="B29">
        <v>89.7</v>
      </c>
      <c r="C29">
        <v>7.4</v>
      </c>
      <c r="D29">
        <v>2.8</v>
      </c>
      <c r="E29">
        <v>93.9</v>
      </c>
      <c r="F29">
        <v>4.7</v>
      </c>
      <c r="G29">
        <v>1.4</v>
      </c>
      <c r="H29">
        <v>94.7</v>
      </c>
      <c r="I29">
        <v>3.4</v>
      </c>
      <c r="J29">
        <v>1.9</v>
      </c>
      <c r="K29">
        <v>95.1</v>
      </c>
      <c r="L29">
        <v>2.1</v>
      </c>
      <c r="M29">
        <v>2.8</v>
      </c>
      <c r="N29">
        <v>96</v>
      </c>
      <c r="O29">
        <v>1.3</v>
      </c>
      <c r="P29">
        <v>2.6</v>
      </c>
      <c r="Q29">
        <v>81.400000000000006</v>
      </c>
      <c r="R29">
        <v>0.9</v>
      </c>
      <c r="S29">
        <v>17.8</v>
      </c>
      <c r="T29">
        <v>86.4</v>
      </c>
      <c r="U29">
        <v>2.2999999999999998</v>
      </c>
      <c r="V29">
        <v>11.3</v>
      </c>
      <c r="W29">
        <v>93.2</v>
      </c>
      <c r="X29">
        <v>1.3</v>
      </c>
      <c r="Y29">
        <v>5.4</v>
      </c>
      <c r="Z29">
        <v>74.900000000000006</v>
      </c>
      <c r="AA29">
        <v>3.1</v>
      </c>
      <c r="AB29">
        <v>22</v>
      </c>
      <c r="AC29">
        <v>93.6</v>
      </c>
      <c r="AD29">
        <v>0.8</v>
      </c>
      <c r="AE29">
        <v>5.6</v>
      </c>
      <c r="AF29">
        <v>98.8</v>
      </c>
      <c r="AG29">
        <v>0.5</v>
      </c>
      <c r="AH29">
        <v>0.8</v>
      </c>
      <c r="AI29">
        <v>63.5</v>
      </c>
      <c r="AJ29">
        <v>2.5</v>
      </c>
      <c r="AK29">
        <v>34</v>
      </c>
    </row>
    <row r="30" spans="1:37" x14ac:dyDescent="0.25">
      <c r="A30" t="s">
        <v>460</v>
      </c>
      <c r="B30">
        <v>87</v>
      </c>
      <c r="C30">
        <v>9.5</v>
      </c>
      <c r="D30">
        <v>3.5</v>
      </c>
      <c r="E30">
        <v>90.5</v>
      </c>
      <c r="F30">
        <v>6.3</v>
      </c>
      <c r="G30">
        <v>3.1</v>
      </c>
      <c r="H30">
        <v>91.7</v>
      </c>
      <c r="I30">
        <v>4.8</v>
      </c>
      <c r="J30">
        <v>3.5</v>
      </c>
      <c r="K30">
        <v>92.6</v>
      </c>
      <c r="L30">
        <v>3.4</v>
      </c>
      <c r="M30">
        <v>4</v>
      </c>
      <c r="N30">
        <v>93.3</v>
      </c>
      <c r="O30">
        <v>2.5</v>
      </c>
      <c r="P30">
        <v>4.2</v>
      </c>
      <c r="Q30">
        <v>77.7</v>
      </c>
      <c r="R30">
        <v>1.9</v>
      </c>
      <c r="S30">
        <v>20.3</v>
      </c>
      <c r="T30">
        <v>83.6</v>
      </c>
      <c r="U30">
        <v>1.7</v>
      </c>
      <c r="V30">
        <v>14.7</v>
      </c>
      <c r="W30">
        <v>83.2</v>
      </c>
      <c r="X30">
        <v>1.1000000000000001</v>
      </c>
      <c r="Y30">
        <v>15.7</v>
      </c>
      <c r="Z30">
        <v>71.099999999999994</v>
      </c>
      <c r="AA30">
        <v>1.7</v>
      </c>
      <c r="AB30">
        <v>27.3</v>
      </c>
      <c r="AC30">
        <v>83.7</v>
      </c>
      <c r="AD30">
        <v>0.7</v>
      </c>
      <c r="AE30">
        <v>15.6</v>
      </c>
      <c r="AF30">
        <v>89.8</v>
      </c>
      <c r="AG30">
        <v>0.4</v>
      </c>
      <c r="AH30">
        <v>9.9</v>
      </c>
      <c r="AI30">
        <v>74.5</v>
      </c>
      <c r="AJ30">
        <v>2.6</v>
      </c>
      <c r="AK30">
        <v>22.9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9" t="s">
        <v>709</v>
      </c>
      <c r="B1" s="29" t="s">
        <v>334</v>
      </c>
      <c r="C1" s="29"/>
      <c r="D1" s="29"/>
      <c r="E1" s="29" t="s">
        <v>335</v>
      </c>
      <c r="F1" s="29"/>
      <c r="G1" s="29"/>
      <c r="H1" s="29" t="s">
        <v>336</v>
      </c>
      <c r="I1" s="29"/>
      <c r="J1" s="29"/>
      <c r="K1" s="29" t="s">
        <v>337</v>
      </c>
      <c r="L1" s="29"/>
      <c r="M1" s="29"/>
      <c r="N1" s="29" t="s">
        <v>338</v>
      </c>
      <c r="O1" s="29"/>
      <c r="P1" s="29"/>
      <c r="Q1" s="29" t="s">
        <v>339</v>
      </c>
      <c r="R1" s="29"/>
      <c r="S1" s="29"/>
      <c r="T1" s="29" t="s">
        <v>340</v>
      </c>
      <c r="U1" s="29"/>
      <c r="V1" s="29"/>
      <c r="W1" s="29" t="s">
        <v>341</v>
      </c>
      <c r="X1" s="29"/>
      <c r="Y1" s="29"/>
      <c r="Z1" s="29" t="s">
        <v>342</v>
      </c>
      <c r="AA1" s="29"/>
      <c r="AB1" s="29"/>
      <c r="AC1" s="29" t="s">
        <v>343</v>
      </c>
      <c r="AD1" s="29"/>
      <c r="AE1" s="29"/>
      <c r="AF1" s="29" t="s">
        <v>344</v>
      </c>
      <c r="AG1" s="29"/>
      <c r="AH1" s="29"/>
      <c r="AI1" s="29" t="s">
        <v>345</v>
      </c>
      <c r="AJ1" s="29"/>
      <c r="AK1" s="29"/>
    </row>
    <row r="2" spans="1:37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88.1</v>
      </c>
      <c r="C3">
        <v>7.7</v>
      </c>
      <c r="D3">
        <v>4.2</v>
      </c>
      <c r="E3">
        <v>89.6</v>
      </c>
      <c r="F3">
        <v>5.8</v>
      </c>
      <c r="G3">
        <v>4.5999999999999996</v>
      </c>
      <c r="H3">
        <v>91.2</v>
      </c>
      <c r="I3">
        <v>4.5</v>
      </c>
      <c r="J3">
        <v>4.3</v>
      </c>
      <c r="K3">
        <v>88.8</v>
      </c>
      <c r="L3">
        <v>4.0999999999999996</v>
      </c>
      <c r="M3">
        <v>7.1</v>
      </c>
      <c r="N3">
        <v>94.3</v>
      </c>
      <c r="O3">
        <v>2.6</v>
      </c>
      <c r="P3">
        <v>3.1</v>
      </c>
      <c r="Q3">
        <v>89.2</v>
      </c>
      <c r="R3">
        <v>1.6</v>
      </c>
      <c r="S3">
        <v>9.1999999999999993</v>
      </c>
      <c r="T3">
        <v>76.099999999999994</v>
      </c>
      <c r="U3">
        <v>3.3</v>
      </c>
      <c r="V3">
        <v>20.7</v>
      </c>
      <c r="W3">
        <v>80.599999999999994</v>
      </c>
      <c r="X3">
        <v>2.8</v>
      </c>
      <c r="Y3">
        <v>16.600000000000001</v>
      </c>
      <c r="Z3">
        <v>70.599999999999994</v>
      </c>
      <c r="AA3">
        <v>5.4</v>
      </c>
      <c r="AB3">
        <v>24</v>
      </c>
      <c r="AC3">
        <v>82.9</v>
      </c>
      <c r="AD3">
        <v>1.3</v>
      </c>
      <c r="AE3">
        <v>15.9</v>
      </c>
      <c r="AF3">
        <v>91.4</v>
      </c>
      <c r="AG3">
        <v>0.5</v>
      </c>
      <c r="AH3">
        <v>8.1</v>
      </c>
      <c r="AI3">
        <v>44.9</v>
      </c>
      <c r="AJ3">
        <v>4</v>
      </c>
      <c r="AK3">
        <v>51.2</v>
      </c>
    </row>
    <row r="4" spans="1:37" x14ac:dyDescent="0.25">
      <c r="A4" t="s">
        <v>284</v>
      </c>
      <c r="B4">
        <v>80.8</v>
      </c>
      <c r="C4">
        <v>12.6</v>
      </c>
      <c r="D4">
        <v>6.6</v>
      </c>
      <c r="E4">
        <v>84.2</v>
      </c>
      <c r="F4">
        <v>9.1999999999999993</v>
      </c>
      <c r="G4">
        <v>6.7</v>
      </c>
      <c r="H4">
        <v>87.2</v>
      </c>
      <c r="I4">
        <v>6.9</v>
      </c>
      <c r="J4">
        <v>5.9</v>
      </c>
      <c r="K4">
        <v>87.7</v>
      </c>
      <c r="L4">
        <v>5</v>
      </c>
      <c r="M4">
        <v>7.3</v>
      </c>
      <c r="N4">
        <v>88.4</v>
      </c>
      <c r="O4">
        <v>3.6</v>
      </c>
      <c r="P4">
        <v>8.1</v>
      </c>
      <c r="Q4">
        <v>69.7</v>
      </c>
      <c r="R4">
        <v>3.1</v>
      </c>
      <c r="S4">
        <v>27.2</v>
      </c>
      <c r="T4">
        <v>73.099999999999994</v>
      </c>
      <c r="U4">
        <v>4.7</v>
      </c>
      <c r="V4">
        <v>22.2</v>
      </c>
      <c r="W4">
        <v>80.7</v>
      </c>
      <c r="X4">
        <v>3</v>
      </c>
      <c r="Y4">
        <v>16.3</v>
      </c>
      <c r="Z4">
        <v>68.5</v>
      </c>
      <c r="AA4">
        <v>4.9000000000000004</v>
      </c>
      <c r="AB4">
        <v>26.6</v>
      </c>
      <c r="AC4">
        <v>82.7</v>
      </c>
      <c r="AD4">
        <v>2.2999999999999998</v>
      </c>
      <c r="AE4">
        <v>15</v>
      </c>
      <c r="AF4">
        <v>89.8</v>
      </c>
      <c r="AG4">
        <v>0.6</v>
      </c>
      <c r="AH4">
        <v>9.6</v>
      </c>
      <c r="AI4">
        <v>59.1</v>
      </c>
      <c r="AJ4">
        <v>4.0999999999999996</v>
      </c>
      <c r="AK4">
        <v>36.9</v>
      </c>
    </row>
    <row r="5" spans="1:37" x14ac:dyDescent="0.25">
      <c r="A5" t="s">
        <v>285</v>
      </c>
      <c r="B5">
        <v>81.3</v>
      </c>
      <c r="C5">
        <v>15</v>
      </c>
      <c r="D5">
        <v>3.8</v>
      </c>
      <c r="E5">
        <v>82.4</v>
      </c>
      <c r="F5">
        <v>11.5</v>
      </c>
      <c r="G5">
        <v>6</v>
      </c>
      <c r="H5">
        <v>83.8</v>
      </c>
      <c r="I5">
        <v>10.6</v>
      </c>
      <c r="J5">
        <v>5.7</v>
      </c>
      <c r="K5">
        <v>84.7</v>
      </c>
      <c r="L5">
        <v>8.1999999999999993</v>
      </c>
      <c r="M5">
        <v>7.1</v>
      </c>
      <c r="N5">
        <v>85.3</v>
      </c>
      <c r="O5">
        <v>7.6</v>
      </c>
      <c r="P5">
        <v>7.2</v>
      </c>
      <c r="Q5">
        <v>64.7</v>
      </c>
      <c r="R5">
        <v>5.0999999999999996</v>
      </c>
      <c r="S5">
        <v>30.1</v>
      </c>
      <c r="T5">
        <v>73.599999999999994</v>
      </c>
      <c r="U5">
        <v>5.4</v>
      </c>
      <c r="V5">
        <v>21</v>
      </c>
      <c r="W5">
        <v>79.5</v>
      </c>
      <c r="X5">
        <v>4.0999999999999996</v>
      </c>
      <c r="Y5">
        <v>16.399999999999999</v>
      </c>
      <c r="Z5">
        <v>57.3</v>
      </c>
      <c r="AA5">
        <v>4.5999999999999996</v>
      </c>
      <c r="AB5">
        <v>38.1</v>
      </c>
      <c r="AC5">
        <v>78</v>
      </c>
      <c r="AD5">
        <v>2.4</v>
      </c>
      <c r="AE5">
        <v>19.600000000000001</v>
      </c>
      <c r="AF5">
        <v>90.8</v>
      </c>
      <c r="AG5">
        <v>1</v>
      </c>
      <c r="AH5">
        <v>8.1</v>
      </c>
      <c r="AI5">
        <v>64.099999999999994</v>
      </c>
      <c r="AJ5">
        <v>4</v>
      </c>
      <c r="AK5">
        <v>31.9</v>
      </c>
    </row>
    <row r="6" spans="1:37" x14ac:dyDescent="0.25">
      <c r="A6" t="s">
        <v>286</v>
      </c>
      <c r="B6">
        <v>85.9</v>
      </c>
      <c r="C6">
        <v>12.1</v>
      </c>
      <c r="D6">
        <v>2</v>
      </c>
      <c r="E6">
        <v>87.6</v>
      </c>
      <c r="F6">
        <v>9.5</v>
      </c>
      <c r="G6">
        <v>2.9</v>
      </c>
      <c r="H6">
        <v>87.7</v>
      </c>
      <c r="I6">
        <v>8.5</v>
      </c>
      <c r="J6">
        <v>3.8</v>
      </c>
      <c r="K6">
        <v>87.4</v>
      </c>
      <c r="L6">
        <v>6.5</v>
      </c>
      <c r="M6">
        <v>6.1</v>
      </c>
      <c r="N6">
        <v>89.4</v>
      </c>
      <c r="O6">
        <v>3.9</v>
      </c>
      <c r="P6">
        <v>6.8</v>
      </c>
      <c r="Q6">
        <v>80.3</v>
      </c>
      <c r="R6">
        <v>2.2999999999999998</v>
      </c>
      <c r="S6">
        <v>17.399999999999999</v>
      </c>
      <c r="T6">
        <v>75.2</v>
      </c>
      <c r="U6">
        <v>4.2</v>
      </c>
      <c r="V6">
        <v>20.6</v>
      </c>
      <c r="W6">
        <v>79.8</v>
      </c>
      <c r="X6">
        <v>2.2999999999999998</v>
      </c>
      <c r="Y6">
        <v>17.8</v>
      </c>
      <c r="Z6">
        <v>72.3</v>
      </c>
      <c r="AA6">
        <v>3.4</v>
      </c>
      <c r="AB6">
        <v>24.3</v>
      </c>
      <c r="AC6">
        <v>81.8</v>
      </c>
      <c r="AD6">
        <v>0.9</v>
      </c>
      <c r="AE6">
        <v>17.3</v>
      </c>
      <c r="AF6">
        <v>87.6</v>
      </c>
      <c r="AG6">
        <v>0.4</v>
      </c>
      <c r="AH6">
        <v>12</v>
      </c>
      <c r="AI6">
        <v>59.2</v>
      </c>
      <c r="AJ6">
        <v>3.3</v>
      </c>
      <c r="AK6">
        <v>37.5</v>
      </c>
    </row>
    <row r="7" spans="1:37" x14ac:dyDescent="0.25">
      <c r="A7" t="s">
        <v>287</v>
      </c>
      <c r="B7">
        <v>84.8</v>
      </c>
      <c r="C7">
        <v>9.9</v>
      </c>
      <c r="D7">
        <v>5.2</v>
      </c>
      <c r="E7">
        <v>90.5</v>
      </c>
      <c r="F7">
        <v>6.9</v>
      </c>
      <c r="G7">
        <v>2.6</v>
      </c>
      <c r="H7">
        <v>90.1</v>
      </c>
      <c r="I7">
        <v>6.3</v>
      </c>
      <c r="J7">
        <v>3.6</v>
      </c>
      <c r="K7">
        <v>90.2</v>
      </c>
      <c r="L7">
        <v>4.5</v>
      </c>
      <c r="M7">
        <v>5.3</v>
      </c>
      <c r="N7">
        <v>90.7</v>
      </c>
      <c r="O7">
        <v>3.4</v>
      </c>
      <c r="P7">
        <v>5.9</v>
      </c>
      <c r="Q7">
        <v>68.900000000000006</v>
      </c>
      <c r="R7">
        <v>2.7</v>
      </c>
      <c r="S7">
        <v>28.4</v>
      </c>
      <c r="T7">
        <v>73.7</v>
      </c>
      <c r="U7">
        <v>2.8</v>
      </c>
      <c r="V7">
        <v>23.5</v>
      </c>
      <c r="W7">
        <v>76.900000000000006</v>
      </c>
      <c r="X7">
        <v>2.2000000000000002</v>
      </c>
      <c r="Y7">
        <v>20.9</v>
      </c>
      <c r="Z7">
        <v>53.7</v>
      </c>
      <c r="AA7">
        <v>4.5</v>
      </c>
      <c r="AB7">
        <v>41.8</v>
      </c>
      <c r="AC7">
        <v>76.3</v>
      </c>
      <c r="AD7">
        <v>0.4</v>
      </c>
      <c r="AE7">
        <v>23.3</v>
      </c>
      <c r="AF7">
        <v>86.1</v>
      </c>
      <c r="AG7">
        <v>0.5</v>
      </c>
      <c r="AH7">
        <v>13.4</v>
      </c>
      <c r="AI7">
        <v>63.2</v>
      </c>
      <c r="AJ7">
        <v>1.4</v>
      </c>
      <c r="AK7">
        <v>35.5</v>
      </c>
    </row>
    <row r="8" spans="1:37" x14ac:dyDescent="0.25">
      <c r="A8" t="s">
        <v>288</v>
      </c>
      <c r="B8">
        <v>79.2</v>
      </c>
      <c r="C8">
        <v>15</v>
      </c>
      <c r="D8">
        <v>5.8</v>
      </c>
      <c r="E8">
        <v>84.9</v>
      </c>
      <c r="F8">
        <v>10.8</v>
      </c>
      <c r="G8">
        <v>4.2</v>
      </c>
      <c r="H8">
        <v>86.1</v>
      </c>
      <c r="I8">
        <v>9</v>
      </c>
      <c r="J8">
        <v>4.8</v>
      </c>
      <c r="K8">
        <v>84.3</v>
      </c>
      <c r="L8">
        <v>6.1</v>
      </c>
      <c r="M8">
        <v>9.6</v>
      </c>
      <c r="N8">
        <v>87.3</v>
      </c>
      <c r="O8">
        <v>4.5999999999999996</v>
      </c>
      <c r="P8">
        <v>8.1999999999999993</v>
      </c>
      <c r="Q8">
        <v>64.5</v>
      </c>
      <c r="R8">
        <v>3.8</v>
      </c>
      <c r="S8">
        <v>31.7</v>
      </c>
      <c r="T8">
        <v>74.099999999999994</v>
      </c>
      <c r="U8">
        <v>5.7</v>
      </c>
      <c r="V8">
        <v>20.2</v>
      </c>
      <c r="W8">
        <v>81.8</v>
      </c>
      <c r="X8">
        <v>3.3</v>
      </c>
      <c r="Y8">
        <v>14.9</v>
      </c>
      <c r="Z8">
        <v>61.9</v>
      </c>
      <c r="AA8">
        <v>5.8</v>
      </c>
      <c r="AB8">
        <v>32.4</v>
      </c>
      <c r="AC8">
        <v>77.2</v>
      </c>
      <c r="AD8">
        <v>1.5</v>
      </c>
      <c r="AE8">
        <v>21.3</v>
      </c>
      <c r="AF8">
        <v>89.3</v>
      </c>
      <c r="AG8">
        <v>1.3</v>
      </c>
      <c r="AH8">
        <v>9.4</v>
      </c>
      <c r="AI8">
        <v>64.599999999999994</v>
      </c>
      <c r="AJ8">
        <v>1.8</v>
      </c>
      <c r="AK8">
        <v>33.6</v>
      </c>
    </row>
    <row r="9" spans="1:37" x14ac:dyDescent="0.25">
      <c r="A9" t="s">
        <v>289</v>
      </c>
      <c r="B9">
        <v>82.4</v>
      </c>
      <c r="C9">
        <v>11</v>
      </c>
      <c r="D9">
        <v>6.6</v>
      </c>
      <c r="E9">
        <v>89.2</v>
      </c>
      <c r="F9">
        <v>7.9</v>
      </c>
      <c r="G9">
        <v>2.9</v>
      </c>
      <c r="H9">
        <v>90.7</v>
      </c>
      <c r="I9">
        <v>5.8</v>
      </c>
      <c r="J9">
        <v>3.5</v>
      </c>
      <c r="K9">
        <v>91.1</v>
      </c>
      <c r="L9">
        <v>4.4000000000000004</v>
      </c>
      <c r="M9">
        <v>4.5</v>
      </c>
      <c r="N9">
        <v>85.9</v>
      </c>
      <c r="O9">
        <v>3.8</v>
      </c>
      <c r="P9">
        <v>10.4</v>
      </c>
      <c r="Q9">
        <v>68.900000000000006</v>
      </c>
      <c r="R9">
        <v>3.1</v>
      </c>
      <c r="S9">
        <v>28</v>
      </c>
      <c r="T9">
        <v>75.2</v>
      </c>
      <c r="U9">
        <v>4.5</v>
      </c>
      <c r="V9">
        <v>20.3</v>
      </c>
      <c r="W9">
        <v>76.400000000000006</v>
      </c>
      <c r="X9">
        <v>3</v>
      </c>
      <c r="Y9">
        <v>20.6</v>
      </c>
      <c r="Z9">
        <v>65.900000000000006</v>
      </c>
      <c r="AA9">
        <v>5.6</v>
      </c>
      <c r="AB9">
        <v>28.5</v>
      </c>
      <c r="AC9">
        <v>81.400000000000006</v>
      </c>
      <c r="AD9">
        <v>2.2999999999999998</v>
      </c>
      <c r="AE9">
        <v>16.3</v>
      </c>
      <c r="AF9">
        <v>87.6</v>
      </c>
      <c r="AG9">
        <v>1.1000000000000001</v>
      </c>
      <c r="AH9">
        <v>11.3</v>
      </c>
      <c r="AI9">
        <v>72.599999999999994</v>
      </c>
      <c r="AJ9">
        <v>2.2999999999999998</v>
      </c>
      <c r="AK9">
        <v>25.1</v>
      </c>
    </row>
    <row r="10" spans="1:37" x14ac:dyDescent="0.25">
      <c r="A10" t="s">
        <v>290</v>
      </c>
      <c r="B10">
        <v>82.3</v>
      </c>
      <c r="C10">
        <v>14.6</v>
      </c>
      <c r="D10">
        <v>3.2</v>
      </c>
      <c r="E10">
        <v>85.5</v>
      </c>
      <c r="F10">
        <v>11.6</v>
      </c>
      <c r="G10">
        <v>2.9</v>
      </c>
      <c r="H10">
        <v>86.3</v>
      </c>
      <c r="I10">
        <v>9.6999999999999993</v>
      </c>
      <c r="J10">
        <v>4</v>
      </c>
      <c r="K10">
        <v>87.4</v>
      </c>
      <c r="L10">
        <v>8.4</v>
      </c>
      <c r="M10">
        <v>4.2</v>
      </c>
      <c r="N10">
        <v>88.3</v>
      </c>
      <c r="O10">
        <v>6.7</v>
      </c>
      <c r="P10">
        <v>5</v>
      </c>
      <c r="Q10">
        <v>90.2</v>
      </c>
      <c r="R10">
        <v>5.0999999999999996</v>
      </c>
      <c r="S10">
        <v>4.5999999999999996</v>
      </c>
      <c r="T10">
        <v>76.8</v>
      </c>
      <c r="U10">
        <v>5.0999999999999996</v>
      </c>
      <c r="V10">
        <v>18</v>
      </c>
      <c r="W10">
        <v>82.7</v>
      </c>
      <c r="X10">
        <v>2.4</v>
      </c>
      <c r="Y10">
        <v>14.9</v>
      </c>
      <c r="Z10">
        <v>80.400000000000006</v>
      </c>
      <c r="AA10">
        <v>4.0999999999999996</v>
      </c>
      <c r="AB10">
        <v>15.5</v>
      </c>
      <c r="AC10">
        <v>81.099999999999994</v>
      </c>
      <c r="AD10">
        <v>1.5</v>
      </c>
      <c r="AE10">
        <v>17.3</v>
      </c>
      <c r="AF10">
        <v>90</v>
      </c>
      <c r="AG10">
        <v>1.3</v>
      </c>
      <c r="AH10">
        <v>8.6</v>
      </c>
      <c r="AI10">
        <v>68.2</v>
      </c>
      <c r="AJ10">
        <v>4.3</v>
      </c>
      <c r="AK10">
        <v>27.5</v>
      </c>
    </row>
    <row r="11" spans="1:37" x14ac:dyDescent="0.25">
      <c r="A11" t="s">
        <v>291</v>
      </c>
      <c r="B11">
        <v>86.3</v>
      </c>
      <c r="C11">
        <v>17</v>
      </c>
      <c r="D11" t="s">
        <v>648</v>
      </c>
      <c r="E11">
        <v>88.4</v>
      </c>
      <c r="F11">
        <v>14.1</v>
      </c>
      <c r="G11" t="s">
        <v>648</v>
      </c>
      <c r="H11">
        <v>89.4</v>
      </c>
      <c r="I11">
        <v>14.3</v>
      </c>
      <c r="J11" t="s">
        <v>648</v>
      </c>
      <c r="K11">
        <v>76.7</v>
      </c>
      <c r="L11">
        <v>18.3</v>
      </c>
      <c r="M11">
        <v>5</v>
      </c>
      <c r="N11">
        <v>89.2</v>
      </c>
      <c r="O11">
        <v>9.6</v>
      </c>
      <c r="P11">
        <v>1.2</v>
      </c>
      <c r="Q11">
        <v>75.599999999999994</v>
      </c>
      <c r="R11">
        <v>7.1</v>
      </c>
      <c r="S11">
        <v>17.3</v>
      </c>
      <c r="T11">
        <v>62.8</v>
      </c>
      <c r="U11">
        <v>10.6</v>
      </c>
      <c r="V11">
        <v>26.6</v>
      </c>
      <c r="W11">
        <v>75.099999999999994</v>
      </c>
      <c r="X11">
        <v>5.0999999999999996</v>
      </c>
      <c r="Y11">
        <v>19.8</v>
      </c>
      <c r="Z11">
        <v>77.7</v>
      </c>
      <c r="AA11">
        <v>3.6</v>
      </c>
      <c r="AB11">
        <v>18.7</v>
      </c>
      <c r="AC11">
        <v>86.7</v>
      </c>
      <c r="AD11">
        <v>2.2999999999999998</v>
      </c>
      <c r="AE11">
        <v>11</v>
      </c>
      <c r="AF11">
        <v>87.1</v>
      </c>
      <c r="AG11">
        <v>1.1000000000000001</v>
      </c>
      <c r="AH11">
        <v>11.8</v>
      </c>
      <c r="AI11">
        <v>78.099999999999994</v>
      </c>
      <c r="AJ11">
        <v>3.4</v>
      </c>
      <c r="AK11">
        <v>18.5</v>
      </c>
    </row>
    <row r="12" spans="1:37" x14ac:dyDescent="0.25">
      <c r="A12" t="s">
        <v>292</v>
      </c>
      <c r="B12">
        <v>84.8</v>
      </c>
      <c r="C12">
        <v>10.5</v>
      </c>
      <c r="D12">
        <v>4.5999999999999996</v>
      </c>
      <c r="E12">
        <v>83</v>
      </c>
      <c r="F12">
        <v>8.3000000000000007</v>
      </c>
      <c r="G12">
        <v>8.8000000000000007</v>
      </c>
      <c r="H12">
        <v>93.7</v>
      </c>
      <c r="I12">
        <v>5.5</v>
      </c>
      <c r="J12">
        <v>0.8</v>
      </c>
      <c r="K12">
        <v>85.7</v>
      </c>
      <c r="L12">
        <v>4.0999999999999996</v>
      </c>
      <c r="M12">
        <v>10.199999999999999</v>
      </c>
      <c r="N12">
        <v>83.7</v>
      </c>
      <c r="O12">
        <v>2.8</v>
      </c>
      <c r="P12">
        <v>13.5</v>
      </c>
      <c r="Q12">
        <v>78.400000000000006</v>
      </c>
      <c r="R12">
        <v>1.9</v>
      </c>
      <c r="S12">
        <v>19.7</v>
      </c>
      <c r="T12">
        <v>84.7</v>
      </c>
      <c r="U12">
        <v>0.9</v>
      </c>
      <c r="V12">
        <v>14.4</v>
      </c>
      <c r="W12">
        <v>87.1</v>
      </c>
      <c r="X12">
        <v>1.2</v>
      </c>
      <c r="Y12">
        <v>11.7</v>
      </c>
      <c r="Z12">
        <v>70.7</v>
      </c>
      <c r="AA12">
        <v>4</v>
      </c>
      <c r="AB12">
        <v>25.3</v>
      </c>
      <c r="AC12">
        <v>77.7</v>
      </c>
      <c r="AD12">
        <v>0.7</v>
      </c>
      <c r="AE12">
        <v>21.6</v>
      </c>
      <c r="AF12">
        <v>92.3</v>
      </c>
      <c r="AG12">
        <v>0.7</v>
      </c>
      <c r="AH12">
        <v>7.1</v>
      </c>
      <c r="AI12">
        <v>32.5</v>
      </c>
      <c r="AJ12">
        <v>1.5</v>
      </c>
      <c r="AK12">
        <v>66.099999999999994</v>
      </c>
    </row>
    <row r="13" spans="1:37" x14ac:dyDescent="0.25">
      <c r="A13" t="s">
        <v>293</v>
      </c>
      <c r="B13">
        <v>74.900000000000006</v>
      </c>
      <c r="C13">
        <v>14.9</v>
      </c>
      <c r="D13">
        <v>10.1</v>
      </c>
      <c r="E13">
        <v>79.5</v>
      </c>
      <c r="F13">
        <v>10.8</v>
      </c>
      <c r="G13">
        <v>9.8000000000000007</v>
      </c>
      <c r="H13">
        <v>79.099999999999994</v>
      </c>
      <c r="I13">
        <v>9</v>
      </c>
      <c r="J13">
        <v>11.9</v>
      </c>
      <c r="K13">
        <v>81.2</v>
      </c>
      <c r="L13">
        <v>6.2</v>
      </c>
      <c r="M13">
        <v>12.7</v>
      </c>
      <c r="N13">
        <v>83.1</v>
      </c>
      <c r="O13">
        <v>5.7</v>
      </c>
      <c r="P13">
        <v>11.2</v>
      </c>
      <c r="Q13">
        <v>79.2</v>
      </c>
      <c r="R13">
        <v>3.2</v>
      </c>
      <c r="S13">
        <v>17.5</v>
      </c>
      <c r="T13">
        <v>74</v>
      </c>
      <c r="U13">
        <v>3</v>
      </c>
      <c r="V13">
        <v>23</v>
      </c>
      <c r="W13">
        <v>76.2</v>
      </c>
      <c r="X13">
        <v>2</v>
      </c>
      <c r="Y13">
        <v>21.8</v>
      </c>
      <c r="Z13">
        <v>65.7</v>
      </c>
      <c r="AA13">
        <v>3.8</v>
      </c>
      <c r="AB13">
        <v>30.5</v>
      </c>
      <c r="AC13">
        <v>81.5</v>
      </c>
      <c r="AD13">
        <v>2.2000000000000002</v>
      </c>
      <c r="AE13">
        <v>16.2</v>
      </c>
      <c r="AF13">
        <v>89.7</v>
      </c>
      <c r="AG13">
        <v>1.3</v>
      </c>
      <c r="AH13">
        <v>9</v>
      </c>
      <c r="AI13">
        <v>71.900000000000006</v>
      </c>
      <c r="AJ13">
        <v>3.9</v>
      </c>
      <c r="AK13">
        <v>24.2</v>
      </c>
    </row>
    <row r="14" spans="1:37" x14ac:dyDescent="0.25">
      <c r="A14" t="s">
        <v>294</v>
      </c>
      <c r="B14">
        <v>85.5</v>
      </c>
      <c r="C14">
        <v>5.7</v>
      </c>
      <c r="D14">
        <v>8.9</v>
      </c>
      <c r="E14">
        <v>83.3</v>
      </c>
      <c r="F14">
        <v>4.7</v>
      </c>
      <c r="G14">
        <v>12</v>
      </c>
      <c r="H14">
        <v>86.1</v>
      </c>
      <c r="I14">
        <v>4.3</v>
      </c>
      <c r="J14">
        <v>9.6</v>
      </c>
      <c r="K14">
        <v>82.8</v>
      </c>
      <c r="L14">
        <v>4</v>
      </c>
      <c r="M14">
        <v>13.1</v>
      </c>
      <c r="N14">
        <v>84.3</v>
      </c>
      <c r="O14">
        <v>3.4</v>
      </c>
      <c r="P14">
        <v>12.3</v>
      </c>
      <c r="Q14">
        <v>85</v>
      </c>
      <c r="R14">
        <v>1.7</v>
      </c>
      <c r="S14">
        <v>13.3</v>
      </c>
      <c r="T14">
        <v>75</v>
      </c>
      <c r="U14">
        <v>5.4</v>
      </c>
      <c r="V14">
        <v>19.600000000000001</v>
      </c>
      <c r="W14">
        <v>79.900000000000006</v>
      </c>
      <c r="X14">
        <v>3.6</v>
      </c>
      <c r="Y14">
        <v>16.5</v>
      </c>
      <c r="Z14">
        <v>70.5</v>
      </c>
      <c r="AA14">
        <v>15.4</v>
      </c>
      <c r="AB14">
        <v>14.1</v>
      </c>
      <c r="AC14">
        <v>84.3</v>
      </c>
      <c r="AD14">
        <v>0.4</v>
      </c>
      <c r="AE14">
        <v>15.4</v>
      </c>
      <c r="AF14">
        <v>92.2</v>
      </c>
      <c r="AG14">
        <v>0</v>
      </c>
      <c r="AH14">
        <v>7.8</v>
      </c>
      <c r="AI14">
        <v>90.8</v>
      </c>
      <c r="AJ14">
        <v>0</v>
      </c>
      <c r="AK14">
        <v>9.1999999999999993</v>
      </c>
    </row>
    <row r="15" spans="1:37" x14ac:dyDescent="0.25">
      <c r="A15" t="s">
        <v>295</v>
      </c>
      <c r="B15">
        <v>77.099999999999994</v>
      </c>
      <c r="C15">
        <v>15.8</v>
      </c>
      <c r="D15">
        <v>7</v>
      </c>
      <c r="E15">
        <v>81</v>
      </c>
      <c r="F15">
        <v>10.9</v>
      </c>
      <c r="G15">
        <v>8.1</v>
      </c>
      <c r="H15">
        <v>82.9</v>
      </c>
      <c r="I15">
        <v>10.1</v>
      </c>
      <c r="J15">
        <v>7</v>
      </c>
      <c r="K15">
        <v>84.4</v>
      </c>
      <c r="L15">
        <v>7.1</v>
      </c>
      <c r="M15">
        <v>8.5</v>
      </c>
      <c r="N15">
        <v>85.8</v>
      </c>
      <c r="O15">
        <v>5.3</v>
      </c>
      <c r="P15">
        <v>8.8000000000000007</v>
      </c>
      <c r="Q15">
        <v>62</v>
      </c>
      <c r="R15">
        <v>5</v>
      </c>
      <c r="S15">
        <v>32.9</v>
      </c>
      <c r="T15">
        <v>75.599999999999994</v>
      </c>
      <c r="U15">
        <v>6.4</v>
      </c>
      <c r="V15">
        <v>18</v>
      </c>
      <c r="W15">
        <v>78.400000000000006</v>
      </c>
      <c r="X15">
        <v>3.7</v>
      </c>
      <c r="Y15">
        <v>18</v>
      </c>
      <c r="Z15">
        <v>62.3</v>
      </c>
      <c r="AA15">
        <v>10.199999999999999</v>
      </c>
      <c r="AB15">
        <v>27.5</v>
      </c>
      <c r="AC15">
        <v>76.099999999999994</v>
      </c>
      <c r="AD15">
        <v>3.7</v>
      </c>
      <c r="AE15">
        <v>20.2</v>
      </c>
      <c r="AF15">
        <v>90.3</v>
      </c>
      <c r="AG15">
        <v>2.8</v>
      </c>
      <c r="AH15">
        <v>6.9</v>
      </c>
      <c r="AI15">
        <v>78.3</v>
      </c>
      <c r="AJ15">
        <v>2.7</v>
      </c>
      <c r="AK15">
        <v>19</v>
      </c>
    </row>
    <row r="16" spans="1:37" x14ac:dyDescent="0.25">
      <c r="A16" t="s">
        <v>296</v>
      </c>
      <c r="B16">
        <v>89.3</v>
      </c>
      <c r="C16">
        <v>11.3</v>
      </c>
      <c r="D16" t="s">
        <v>648</v>
      </c>
      <c r="E16">
        <v>86.2</v>
      </c>
      <c r="F16">
        <v>9.1999999999999993</v>
      </c>
      <c r="G16">
        <v>4.5999999999999996</v>
      </c>
      <c r="H16">
        <v>86.9</v>
      </c>
      <c r="I16">
        <v>6.5</v>
      </c>
      <c r="J16">
        <v>6.5</v>
      </c>
      <c r="K16">
        <v>87.1</v>
      </c>
      <c r="L16">
        <v>4.5999999999999996</v>
      </c>
      <c r="M16">
        <v>8.4</v>
      </c>
      <c r="N16">
        <v>91.8</v>
      </c>
      <c r="O16">
        <v>6.2</v>
      </c>
      <c r="P16">
        <v>2</v>
      </c>
      <c r="Q16">
        <v>89.6</v>
      </c>
      <c r="R16">
        <v>1.7</v>
      </c>
      <c r="S16">
        <v>8.6999999999999993</v>
      </c>
      <c r="T16">
        <v>72.2</v>
      </c>
      <c r="U16">
        <v>6</v>
      </c>
      <c r="V16">
        <v>21.8</v>
      </c>
      <c r="W16">
        <v>83</v>
      </c>
      <c r="X16">
        <v>2.8</v>
      </c>
      <c r="Y16">
        <v>14.2</v>
      </c>
      <c r="Z16">
        <v>68.2</v>
      </c>
      <c r="AA16">
        <v>11.8</v>
      </c>
      <c r="AB16">
        <v>19.899999999999999</v>
      </c>
      <c r="AC16">
        <v>79</v>
      </c>
      <c r="AD16">
        <v>3.6</v>
      </c>
      <c r="AE16">
        <v>17.399999999999999</v>
      </c>
      <c r="AF16">
        <v>93.5</v>
      </c>
      <c r="AG16">
        <v>0.5</v>
      </c>
      <c r="AH16">
        <v>6</v>
      </c>
      <c r="AI16">
        <v>53.4</v>
      </c>
      <c r="AJ16">
        <v>1.5</v>
      </c>
      <c r="AK16">
        <v>45.1</v>
      </c>
    </row>
    <row r="17" spans="1:37" x14ac:dyDescent="0.25">
      <c r="A17" t="s">
        <v>297</v>
      </c>
      <c r="B17">
        <v>88.4</v>
      </c>
      <c r="C17">
        <v>7.2</v>
      </c>
      <c r="D17">
        <v>4.4000000000000004</v>
      </c>
      <c r="E17">
        <v>91.7</v>
      </c>
      <c r="F17">
        <v>5.8</v>
      </c>
      <c r="G17">
        <v>2.6</v>
      </c>
      <c r="H17">
        <v>94.9</v>
      </c>
      <c r="I17">
        <v>4.3</v>
      </c>
      <c r="J17">
        <v>0.8</v>
      </c>
      <c r="K17">
        <v>96.1</v>
      </c>
      <c r="L17">
        <v>3.8</v>
      </c>
      <c r="M17">
        <v>0.1</v>
      </c>
      <c r="N17">
        <v>93.7</v>
      </c>
      <c r="O17">
        <v>2.7</v>
      </c>
      <c r="P17">
        <v>3.6</v>
      </c>
      <c r="Q17">
        <v>77</v>
      </c>
      <c r="R17">
        <v>2</v>
      </c>
      <c r="S17">
        <v>21</v>
      </c>
      <c r="T17">
        <v>85.4</v>
      </c>
      <c r="U17">
        <v>4.4000000000000004</v>
      </c>
      <c r="V17">
        <v>10.199999999999999</v>
      </c>
      <c r="W17">
        <v>98.3</v>
      </c>
      <c r="X17">
        <v>2.8</v>
      </c>
      <c r="Y17" t="s">
        <v>648</v>
      </c>
      <c r="Z17">
        <v>65</v>
      </c>
      <c r="AA17">
        <v>5</v>
      </c>
      <c r="AB17">
        <v>30.1</v>
      </c>
      <c r="AC17">
        <v>96.2</v>
      </c>
      <c r="AD17">
        <v>1.2</v>
      </c>
      <c r="AE17">
        <v>2.6</v>
      </c>
      <c r="AF17" t="s">
        <v>648</v>
      </c>
      <c r="AG17">
        <v>1</v>
      </c>
      <c r="AH17" t="s">
        <v>648</v>
      </c>
      <c r="AI17">
        <v>45.8</v>
      </c>
      <c r="AJ17">
        <v>5.9</v>
      </c>
      <c r="AK17">
        <v>48.2</v>
      </c>
    </row>
    <row r="18" spans="1:37" x14ac:dyDescent="0.25">
      <c r="A18" t="s">
        <v>298</v>
      </c>
      <c r="B18">
        <v>88.4</v>
      </c>
      <c r="C18">
        <v>7.6</v>
      </c>
      <c r="D18">
        <v>4.0999999999999996</v>
      </c>
      <c r="E18">
        <v>93.8</v>
      </c>
      <c r="F18">
        <v>6.8</v>
      </c>
      <c r="G18" t="s">
        <v>648</v>
      </c>
      <c r="H18">
        <v>88.5</v>
      </c>
      <c r="I18">
        <v>6.3</v>
      </c>
      <c r="J18">
        <v>5.3</v>
      </c>
      <c r="K18">
        <v>89</v>
      </c>
      <c r="L18">
        <v>4</v>
      </c>
      <c r="M18">
        <v>7.1</v>
      </c>
      <c r="N18">
        <v>92.2</v>
      </c>
      <c r="O18">
        <v>2.7</v>
      </c>
      <c r="P18">
        <v>5.0999999999999996</v>
      </c>
      <c r="Q18">
        <v>21.2</v>
      </c>
      <c r="R18">
        <v>3.7</v>
      </c>
      <c r="S18">
        <v>75.099999999999994</v>
      </c>
      <c r="T18">
        <v>66</v>
      </c>
      <c r="U18">
        <v>9</v>
      </c>
      <c r="V18">
        <v>25</v>
      </c>
      <c r="W18">
        <v>84.2</v>
      </c>
      <c r="X18">
        <v>2.8</v>
      </c>
      <c r="Y18">
        <v>12.9</v>
      </c>
      <c r="Z18">
        <v>12.5</v>
      </c>
      <c r="AA18">
        <v>8</v>
      </c>
      <c r="AB18">
        <v>79.5</v>
      </c>
      <c r="AC18">
        <v>85.8</v>
      </c>
      <c r="AD18">
        <v>1.4</v>
      </c>
      <c r="AE18">
        <v>12.8</v>
      </c>
      <c r="AF18">
        <v>80.3</v>
      </c>
      <c r="AG18">
        <v>0.3</v>
      </c>
      <c r="AH18">
        <v>19.5</v>
      </c>
      <c r="AI18">
        <v>69.3</v>
      </c>
      <c r="AJ18">
        <v>16.3</v>
      </c>
      <c r="AK18">
        <v>14.4</v>
      </c>
    </row>
    <row r="19" spans="1:37" x14ac:dyDescent="0.25">
      <c r="A19" t="s">
        <v>299</v>
      </c>
      <c r="B19">
        <v>75.5</v>
      </c>
      <c r="C19">
        <v>19.5</v>
      </c>
      <c r="D19">
        <v>5</v>
      </c>
      <c r="E19">
        <v>82.1</v>
      </c>
      <c r="F19">
        <v>13.4</v>
      </c>
      <c r="G19">
        <v>4.5</v>
      </c>
      <c r="H19">
        <v>80.099999999999994</v>
      </c>
      <c r="I19">
        <v>10.3</v>
      </c>
      <c r="J19">
        <v>9.6</v>
      </c>
      <c r="K19">
        <v>82.9</v>
      </c>
      <c r="L19">
        <v>7.7</v>
      </c>
      <c r="M19">
        <v>9.4</v>
      </c>
      <c r="N19">
        <v>84.5</v>
      </c>
      <c r="O19">
        <v>4.7</v>
      </c>
      <c r="P19">
        <v>10.8</v>
      </c>
      <c r="Q19">
        <v>79.5</v>
      </c>
      <c r="R19">
        <v>3.5</v>
      </c>
      <c r="S19">
        <v>17</v>
      </c>
      <c r="T19">
        <v>80.7</v>
      </c>
      <c r="U19">
        <v>1.9</v>
      </c>
      <c r="V19">
        <v>17.399999999999999</v>
      </c>
      <c r="W19">
        <v>86.8</v>
      </c>
      <c r="X19">
        <v>1</v>
      </c>
      <c r="Y19">
        <v>12.2</v>
      </c>
      <c r="Z19">
        <v>66.8</v>
      </c>
      <c r="AA19">
        <v>2.7</v>
      </c>
      <c r="AB19">
        <v>30.5</v>
      </c>
      <c r="AC19">
        <v>83.4</v>
      </c>
      <c r="AD19">
        <v>0.8</v>
      </c>
      <c r="AE19">
        <v>15.8</v>
      </c>
      <c r="AF19">
        <v>94.8</v>
      </c>
      <c r="AG19">
        <v>0</v>
      </c>
      <c r="AH19">
        <v>5.2</v>
      </c>
      <c r="AI19">
        <v>76.900000000000006</v>
      </c>
      <c r="AJ19">
        <v>0.4</v>
      </c>
      <c r="AK19">
        <v>22.7</v>
      </c>
    </row>
    <row r="20" spans="1:37" x14ac:dyDescent="0.25">
      <c r="A20" t="s">
        <v>300</v>
      </c>
      <c r="B20">
        <v>85.1</v>
      </c>
      <c r="C20">
        <v>13</v>
      </c>
      <c r="D20">
        <v>1.9</v>
      </c>
      <c r="E20">
        <v>89.3</v>
      </c>
      <c r="F20">
        <v>9.6999999999999993</v>
      </c>
      <c r="G20">
        <v>1.1000000000000001</v>
      </c>
      <c r="H20">
        <v>89.6</v>
      </c>
      <c r="I20">
        <v>8.5</v>
      </c>
      <c r="J20">
        <v>1.9</v>
      </c>
      <c r="K20">
        <v>91.3</v>
      </c>
      <c r="L20">
        <v>6.3</v>
      </c>
      <c r="M20">
        <v>2.4</v>
      </c>
      <c r="N20">
        <v>90.1</v>
      </c>
      <c r="O20">
        <v>5.5</v>
      </c>
      <c r="P20">
        <v>4.4000000000000004</v>
      </c>
      <c r="Q20">
        <v>70.2</v>
      </c>
      <c r="R20">
        <v>4.9000000000000004</v>
      </c>
      <c r="S20">
        <v>24.9</v>
      </c>
      <c r="T20">
        <v>81.099999999999994</v>
      </c>
      <c r="U20">
        <v>1</v>
      </c>
      <c r="V20">
        <v>17.899999999999999</v>
      </c>
      <c r="W20">
        <v>84</v>
      </c>
      <c r="X20">
        <v>1.1000000000000001</v>
      </c>
      <c r="Y20">
        <v>15</v>
      </c>
      <c r="Z20">
        <v>52.4</v>
      </c>
      <c r="AA20">
        <v>2.5</v>
      </c>
      <c r="AB20">
        <v>45.1</v>
      </c>
      <c r="AC20">
        <v>78</v>
      </c>
      <c r="AD20">
        <v>0.8</v>
      </c>
      <c r="AE20">
        <v>21.2</v>
      </c>
      <c r="AF20">
        <v>88.5</v>
      </c>
      <c r="AG20">
        <v>0.9</v>
      </c>
      <c r="AH20">
        <v>10.6</v>
      </c>
      <c r="AI20">
        <v>62.9</v>
      </c>
      <c r="AJ20">
        <v>3.9</v>
      </c>
      <c r="AK20">
        <v>33.200000000000003</v>
      </c>
    </row>
    <row r="21" spans="1:37" x14ac:dyDescent="0.25">
      <c r="A21" t="s">
        <v>301</v>
      </c>
      <c r="B21">
        <v>80.400000000000006</v>
      </c>
      <c r="C21">
        <v>17.100000000000001</v>
      </c>
      <c r="D21">
        <v>2.5</v>
      </c>
      <c r="E21">
        <v>85</v>
      </c>
      <c r="F21">
        <v>10.6</v>
      </c>
      <c r="G21">
        <v>4.3</v>
      </c>
      <c r="H21">
        <v>84.8</v>
      </c>
      <c r="I21">
        <v>9.1999999999999993</v>
      </c>
      <c r="J21">
        <v>6</v>
      </c>
      <c r="K21">
        <v>84.4</v>
      </c>
      <c r="L21">
        <v>6.2</v>
      </c>
      <c r="M21">
        <v>9.5</v>
      </c>
      <c r="N21">
        <v>84.7</v>
      </c>
      <c r="O21">
        <v>4.9000000000000004</v>
      </c>
      <c r="P21">
        <v>10.4</v>
      </c>
      <c r="Q21">
        <v>80.7</v>
      </c>
      <c r="R21">
        <v>3.2</v>
      </c>
      <c r="S21">
        <v>16.100000000000001</v>
      </c>
      <c r="T21">
        <v>77.900000000000006</v>
      </c>
      <c r="U21">
        <v>1.3</v>
      </c>
      <c r="V21">
        <v>20.8</v>
      </c>
      <c r="W21">
        <v>84</v>
      </c>
      <c r="X21">
        <v>0.8</v>
      </c>
      <c r="Y21">
        <v>15.2</v>
      </c>
      <c r="Z21">
        <v>78.3</v>
      </c>
      <c r="AA21">
        <v>4.5</v>
      </c>
      <c r="AB21">
        <v>17.3</v>
      </c>
      <c r="AC21">
        <v>87.2</v>
      </c>
      <c r="AD21">
        <v>0.8</v>
      </c>
      <c r="AE21">
        <v>12</v>
      </c>
      <c r="AF21">
        <v>95</v>
      </c>
      <c r="AG21">
        <v>1</v>
      </c>
      <c r="AH21">
        <v>4</v>
      </c>
      <c r="AI21">
        <v>57.1</v>
      </c>
      <c r="AJ21">
        <v>4.5</v>
      </c>
      <c r="AK21">
        <v>38.4</v>
      </c>
    </row>
    <row r="22" spans="1:37" x14ac:dyDescent="0.25">
      <c r="A22" t="s">
        <v>302</v>
      </c>
      <c r="B22">
        <v>78.7</v>
      </c>
      <c r="C22">
        <v>8.6999999999999993</v>
      </c>
      <c r="D22">
        <v>12.6</v>
      </c>
      <c r="E22">
        <v>85.6</v>
      </c>
      <c r="F22">
        <v>5</v>
      </c>
      <c r="G22">
        <v>9.4</v>
      </c>
      <c r="H22">
        <v>86.9</v>
      </c>
      <c r="I22">
        <v>4</v>
      </c>
      <c r="J22">
        <v>9.1</v>
      </c>
      <c r="K22">
        <v>82.4</v>
      </c>
      <c r="L22">
        <v>3.2</v>
      </c>
      <c r="M22">
        <v>14.4</v>
      </c>
      <c r="N22">
        <v>80.8</v>
      </c>
      <c r="O22">
        <v>2.1</v>
      </c>
      <c r="P22">
        <v>17.100000000000001</v>
      </c>
      <c r="Q22">
        <v>55.6</v>
      </c>
      <c r="R22">
        <v>1.7</v>
      </c>
      <c r="S22">
        <v>42.7</v>
      </c>
      <c r="T22">
        <v>74</v>
      </c>
      <c r="U22">
        <v>1.9</v>
      </c>
      <c r="V22">
        <v>24.1</v>
      </c>
      <c r="W22">
        <v>98.1</v>
      </c>
      <c r="X22">
        <v>0.2</v>
      </c>
      <c r="Y22">
        <v>1.7</v>
      </c>
      <c r="Z22">
        <v>65.599999999999994</v>
      </c>
      <c r="AA22">
        <v>3.5</v>
      </c>
      <c r="AB22">
        <v>30.9</v>
      </c>
      <c r="AC22">
        <v>89.2</v>
      </c>
      <c r="AD22">
        <v>0.3</v>
      </c>
      <c r="AE22">
        <v>10.6</v>
      </c>
      <c r="AF22">
        <v>93.2</v>
      </c>
      <c r="AG22">
        <v>0.4</v>
      </c>
      <c r="AH22">
        <v>6.4</v>
      </c>
      <c r="AI22">
        <v>81.599999999999994</v>
      </c>
      <c r="AJ22">
        <v>3.5</v>
      </c>
      <c r="AK22">
        <v>14.9</v>
      </c>
    </row>
    <row r="23" spans="1:37" x14ac:dyDescent="0.25">
      <c r="A23" t="s">
        <v>303</v>
      </c>
      <c r="B23">
        <v>80.599999999999994</v>
      </c>
      <c r="C23">
        <v>15.6</v>
      </c>
      <c r="D23">
        <v>3.8</v>
      </c>
      <c r="E23">
        <v>83.4</v>
      </c>
      <c r="F23">
        <v>11.6</v>
      </c>
      <c r="G23">
        <v>5</v>
      </c>
      <c r="H23">
        <v>85.5</v>
      </c>
      <c r="I23">
        <v>9.5</v>
      </c>
      <c r="J23">
        <v>5</v>
      </c>
      <c r="K23">
        <v>87.2</v>
      </c>
      <c r="L23">
        <v>6.3</v>
      </c>
      <c r="M23">
        <v>6.5</v>
      </c>
      <c r="N23">
        <v>88.4</v>
      </c>
      <c r="O23">
        <v>5.0999999999999996</v>
      </c>
      <c r="P23">
        <v>6.6</v>
      </c>
      <c r="Q23">
        <v>79.900000000000006</v>
      </c>
      <c r="R23">
        <v>3.7</v>
      </c>
      <c r="S23">
        <v>16.399999999999999</v>
      </c>
      <c r="T23">
        <v>74.400000000000006</v>
      </c>
      <c r="U23">
        <v>7.4</v>
      </c>
      <c r="V23">
        <v>18.2</v>
      </c>
      <c r="W23">
        <v>82.2</v>
      </c>
      <c r="X23">
        <v>3.8</v>
      </c>
      <c r="Y23">
        <v>14</v>
      </c>
      <c r="Z23">
        <v>71.5</v>
      </c>
      <c r="AA23">
        <v>6</v>
      </c>
      <c r="AB23">
        <v>22.4</v>
      </c>
      <c r="AC23">
        <v>83.9</v>
      </c>
      <c r="AD23">
        <v>3.5</v>
      </c>
      <c r="AE23">
        <v>12.6</v>
      </c>
      <c r="AF23">
        <v>75.5</v>
      </c>
      <c r="AG23">
        <v>1.7</v>
      </c>
      <c r="AH23">
        <v>22.8</v>
      </c>
      <c r="AI23">
        <v>72.400000000000006</v>
      </c>
      <c r="AJ23">
        <v>3.4</v>
      </c>
      <c r="AK23">
        <v>24.2</v>
      </c>
    </row>
    <row r="24" spans="1:37" x14ac:dyDescent="0.25">
      <c r="A24" t="s">
        <v>304</v>
      </c>
      <c r="B24">
        <v>69.8</v>
      </c>
      <c r="C24">
        <v>18.899999999999999</v>
      </c>
      <c r="D24">
        <v>11.2</v>
      </c>
      <c r="E24">
        <v>79.8</v>
      </c>
      <c r="F24">
        <v>11.8</v>
      </c>
      <c r="G24">
        <v>8.3000000000000007</v>
      </c>
      <c r="H24">
        <v>74.7</v>
      </c>
      <c r="I24">
        <v>9.3000000000000007</v>
      </c>
      <c r="J24">
        <v>16</v>
      </c>
      <c r="K24">
        <v>82.1</v>
      </c>
      <c r="L24">
        <v>7.8</v>
      </c>
      <c r="M24">
        <v>10.199999999999999</v>
      </c>
      <c r="N24">
        <v>84.2</v>
      </c>
      <c r="O24">
        <v>3.7</v>
      </c>
      <c r="P24">
        <v>12.1</v>
      </c>
      <c r="Q24">
        <v>62.7</v>
      </c>
      <c r="R24">
        <v>2.6</v>
      </c>
      <c r="S24">
        <v>34.700000000000003</v>
      </c>
      <c r="T24">
        <v>71.2</v>
      </c>
      <c r="U24">
        <v>4.2</v>
      </c>
      <c r="V24">
        <v>24.7</v>
      </c>
      <c r="W24">
        <v>84.1</v>
      </c>
      <c r="X24">
        <v>1.8</v>
      </c>
      <c r="Y24">
        <v>14</v>
      </c>
      <c r="Z24">
        <v>72.599999999999994</v>
      </c>
      <c r="AA24">
        <v>3.5</v>
      </c>
      <c r="AB24">
        <v>23.9</v>
      </c>
      <c r="AC24">
        <v>83.6</v>
      </c>
      <c r="AD24">
        <v>4</v>
      </c>
      <c r="AE24">
        <v>12.4</v>
      </c>
      <c r="AF24">
        <v>91.4</v>
      </c>
      <c r="AG24">
        <v>0.3</v>
      </c>
      <c r="AH24">
        <v>8.3000000000000007</v>
      </c>
      <c r="AI24">
        <v>76.7</v>
      </c>
      <c r="AJ24">
        <v>6.7</v>
      </c>
      <c r="AK24">
        <v>16.7</v>
      </c>
    </row>
    <row r="25" spans="1:37" x14ac:dyDescent="0.25">
      <c r="A25" t="s">
        <v>305</v>
      </c>
      <c r="B25">
        <v>88.3</v>
      </c>
      <c r="C25">
        <v>9.8000000000000007</v>
      </c>
      <c r="D25">
        <v>2</v>
      </c>
      <c r="E25">
        <v>92.5</v>
      </c>
      <c r="F25">
        <v>6.3</v>
      </c>
      <c r="G25">
        <v>1.3</v>
      </c>
      <c r="H25">
        <v>93.4</v>
      </c>
      <c r="I25">
        <v>5.2</v>
      </c>
      <c r="J25">
        <v>1.4</v>
      </c>
      <c r="K25">
        <v>92.4</v>
      </c>
      <c r="L25">
        <v>3.9</v>
      </c>
      <c r="M25">
        <v>3.6</v>
      </c>
      <c r="N25">
        <v>93.7</v>
      </c>
      <c r="O25">
        <v>3.7</v>
      </c>
      <c r="P25">
        <v>2.6</v>
      </c>
      <c r="Q25">
        <v>91.3</v>
      </c>
      <c r="R25">
        <v>2.6</v>
      </c>
      <c r="S25">
        <v>6.1</v>
      </c>
      <c r="T25">
        <v>78.599999999999994</v>
      </c>
      <c r="U25">
        <v>4.5</v>
      </c>
      <c r="V25">
        <v>16.8</v>
      </c>
      <c r="W25">
        <v>79.3</v>
      </c>
      <c r="X25">
        <v>2.2000000000000002</v>
      </c>
      <c r="Y25">
        <v>18.5</v>
      </c>
      <c r="Z25">
        <v>75.400000000000006</v>
      </c>
      <c r="AA25">
        <v>3.1</v>
      </c>
      <c r="AB25">
        <v>21.5</v>
      </c>
      <c r="AC25">
        <v>79.099999999999994</v>
      </c>
      <c r="AD25">
        <v>1.7</v>
      </c>
      <c r="AE25">
        <v>19.2</v>
      </c>
      <c r="AF25">
        <v>85.4</v>
      </c>
      <c r="AG25">
        <v>0.8</v>
      </c>
      <c r="AH25">
        <v>13.9</v>
      </c>
      <c r="AI25">
        <v>69.8</v>
      </c>
      <c r="AJ25">
        <v>2.5</v>
      </c>
      <c r="AK25">
        <v>27.7</v>
      </c>
    </row>
    <row r="26" spans="1:37" x14ac:dyDescent="0.25">
      <c r="A26" t="s">
        <v>306</v>
      </c>
      <c r="B26">
        <v>83.7</v>
      </c>
      <c r="C26">
        <v>14.1</v>
      </c>
      <c r="D26">
        <v>2.2000000000000002</v>
      </c>
      <c r="E26">
        <v>83.1</v>
      </c>
      <c r="F26">
        <v>11.6</v>
      </c>
      <c r="G26">
        <v>5.3</v>
      </c>
      <c r="H26">
        <v>84.9</v>
      </c>
      <c r="I26">
        <v>11.3</v>
      </c>
      <c r="J26">
        <v>3.8</v>
      </c>
      <c r="K26">
        <v>85.5</v>
      </c>
      <c r="L26">
        <v>8.8000000000000007</v>
      </c>
      <c r="M26">
        <v>5.7</v>
      </c>
      <c r="N26">
        <v>85.7</v>
      </c>
      <c r="O26">
        <v>8.4</v>
      </c>
      <c r="P26">
        <v>6</v>
      </c>
      <c r="Q26">
        <v>79.3</v>
      </c>
      <c r="R26">
        <v>9</v>
      </c>
      <c r="S26">
        <v>11.7</v>
      </c>
      <c r="T26">
        <v>81.099999999999994</v>
      </c>
      <c r="U26">
        <v>4.5999999999999996</v>
      </c>
      <c r="V26">
        <v>14.3</v>
      </c>
      <c r="W26">
        <v>80.7</v>
      </c>
      <c r="X26">
        <v>3.6</v>
      </c>
      <c r="Y26">
        <v>15.7</v>
      </c>
      <c r="Z26" t="s">
        <v>648</v>
      </c>
      <c r="AA26">
        <v>6.9</v>
      </c>
      <c r="AB26" t="s">
        <v>648</v>
      </c>
      <c r="AC26">
        <v>80</v>
      </c>
      <c r="AD26">
        <v>2</v>
      </c>
      <c r="AE26">
        <v>18</v>
      </c>
      <c r="AF26">
        <v>84.1</v>
      </c>
      <c r="AG26">
        <v>1.2</v>
      </c>
      <c r="AH26">
        <v>14.7</v>
      </c>
      <c r="AI26">
        <v>57.1</v>
      </c>
      <c r="AJ26">
        <v>5</v>
      </c>
      <c r="AK26">
        <v>38</v>
      </c>
    </row>
    <row r="27" spans="1:37" x14ac:dyDescent="0.25">
      <c r="A27" t="s">
        <v>307</v>
      </c>
      <c r="B27">
        <v>82.3</v>
      </c>
      <c r="C27">
        <v>11.5</v>
      </c>
      <c r="D27">
        <v>6.2</v>
      </c>
      <c r="E27">
        <v>85.5</v>
      </c>
      <c r="F27">
        <v>8.8000000000000007</v>
      </c>
      <c r="G27">
        <v>5.7</v>
      </c>
      <c r="H27">
        <v>84.3</v>
      </c>
      <c r="I27">
        <v>7</v>
      </c>
      <c r="J27">
        <v>8.6999999999999993</v>
      </c>
      <c r="K27">
        <v>86.2</v>
      </c>
      <c r="L27">
        <v>5.5</v>
      </c>
      <c r="M27">
        <v>8.3000000000000007</v>
      </c>
      <c r="N27">
        <v>83.2</v>
      </c>
      <c r="O27">
        <v>4.4000000000000004</v>
      </c>
      <c r="P27">
        <v>12.4</v>
      </c>
      <c r="Q27">
        <v>48.7</v>
      </c>
      <c r="R27">
        <v>3.6</v>
      </c>
      <c r="S27">
        <v>47.7</v>
      </c>
      <c r="T27">
        <v>68.400000000000006</v>
      </c>
      <c r="U27">
        <v>5.7</v>
      </c>
      <c r="V27">
        <v>26</v>
      </c>
      <c r="W27">
        <v>76.7</v>
      </c>
      <c r="X27">
        <v>3.9</v>
      </c>
      <c r="Y27">
        <v>19.399999999999999</v>
      </c>
      <c r="Z27">
        <v>46.1</v>
      </c>
      <c r="AA27">
        <v>5</v>
      </c>
      <c r="AB27">
        <v>48.9</v>
      </c>
      <c r="AC27">
        <v>73.599999999999994</v>
      </c>
      <c r="AD27">
        <v>2</v>
      </c>
      <c r="AE27">
        <v>24.3</v>
      </c>
      <c r="AF27">
        <v>86.2</v>
      </c>
      <c r="AG27">
        <v>1.1000000000000001</v>
      </c>
      <c r="AH27">
        <v>12.7</v>
      </c>
      <c r="AI27">
        <v>66.3</v>
      </c>
      <c r="AJ27">
        <v>2.7</v>
      </c>
      <c r="AK27">
        <v>31</v>
      </c>
    </row>
    <row r="28" spans="1:37" x14ac:dyDescent="0.25">
      <c r="A28" t="s">
        <v>266</v>
      </c>
      <c r="B28">
        <v>82.5</v>
      </c>
      <c r="C28">
        <v>12.8</v>
      </c>
      <c r="D28">
        <v>4.8</v>
      </c>
      <c r="E28">
        <v>86</v>
      </c>
      <c r="F28">
        <v>9.4</v>
      </c>
      <c r="G28">
        <v>4.5999999999999996</v>
      </c>
      <c r="H28">
        <v>87.1</v>
      </c>
      <c r="I28">
        <v>7.9</v>
      </c>
      <c r="J28">
        <v>5</v>
      </c>
      <c r="K28">
        <v>87.7</v>
      </c>
      <c r="L28">
        <v>6</v>
      </c>
      <c r="M28">
        <v>6.3</v>
      </c>
      <c r="N28">
        <v>88.2</v>
      </c>
      <c r="O28">
        <v>4.8</v>
      </c>
      <c r="P28">
        <v>7</v>
      </c>
      <c r="Q28">
        <v>73.7</v>
      </c>
      <c r="R28">
        <v>3.8</v>
      </c>
      <c r="S28">
        <v>22.5</v>
      </c>
      <c r="T28">
        <v>76.400000000000006</v>
      </c>
      <c r="U28">
        <v>4.4000000000000004</v>
      </c>
      <c r="V28">
        <v>19.2</v>
      </c>
      <c r="W28">
        <v>82.4</v>
      </c>
      <c r="X28">
        <v>2.7</v>
      </c>
      <c r="Y28">
        <v>14.9</v>
      </c>
      <c r="Z28">
        <v>68.2</v>
      </c>
      <c r="AA28">
        <v>4.9000000000000004</v>
      </c>
      <c r="AB28">
        <v>26.9</v>
      </c>
      <c r="AC28">
        <v>82</v>
      </c>
      <c r="AD28">
        <v>1.7</v>
      </c>
      <c r="AE28">
        <v>16.3</v>
      </c>
      <c r="AF28">
        <v>89.1</v>
      </c>
      <c r="AG28">
        <v>1</v>
      </c>
      <c r="AH28">
        <v>9.9</v>
      </c>
      <c r="AI28">
        <v>61.7</v>
      </c>
      <c r="AJ28">
        <v>4</v>
      </c>
      <c r="AK28">
        <v>34.299999999999997</v>
      </c>
    </row>
    <row r="29" spans="1:37" x14ac:dyDescent="0.25">
      <c r="A29" t="s">
        <v>459</v>
      </c>
      <c r="B29">
        <v>83.9</v>
      </c>
      <c r="C29">
        <v>10.4</v>
      </c>
      <c r="D29">
        <v>5.7</v>
      </c>
      <c r="E29">
        <v>88.3</v>
      </c>
      <c r="F29">
        <v>8.1</v>
      </c>
      <c r="G29">
        <v>3.5</v>
      </c>
      <c r="H29">
        <v>90.6</v>
      </c>
      <c r="I29">
        <v>5.9</v>
      </c>
      <c r="J29">
        <v>3.5</v>
      </c>
      <c r="K29">
        <v>91.1</v>
      </c>
      <c r="L29">
        <v>4.4000000000000004</v>
      </c>
      <c r="M29">
        <v>4.4000000000000004</v>
      </c>
      <c r="N29">
        <v>91.5</v>
      </c>
      <c r="O29">
        <v>3.3</v>
      </c>
      <c r="P29">
        <v>5.2</v>
      </c>
      <c r="Q29">
        <v>77.099999999999994</v>
      </c>
      <c r="R29">
        <v>2.4</v>
      </c>
      <c r="S29">
        <v>20.5</v>
      </c>
      <c r="T29">
        <v>79.5</v>
      </c>
      <c r="U29">
        <v>5.0999999999999996</v>
      </c>
      <c r="V29">
        <v>15.4</v>
      </c>
      <c r="W29">
        <v>92</v>
      </c>
      <c r="X29">
        <v>3</v>
      </c>
      <c r="Y29">
        <v>5</v>
      </c>
      <c r="Z29">
        <v>70.900000000000006</v>
      </c>
      <c r="AA29">
        <v>5.7</v>
      </c>
      <c r="AB29">
        <v>23.3</v>
      </c>
      <c r="AC29">
        <v>88.5</v>
      </c>
      <c r="AD29">
        <v>1.9</v>
      </c>
      <c r="AE29">
        <v>9.6</v>
      </c>
      <c r="AF29">
        <v>96.3</v>
      </c>
      <c r="AG29">
        <v>1.1000000000000001</v>
      </c>
      <c r="AH29">
        <v>2.6</v>
      </c>
      <c r="AI29">
        <v>55.7</v>
      </c>
      <c r="AJ29">
        <v>4</v>
      </c>
      <c r="AK29">
        <v>40.299999999999997</v>
      </c>
    </row>
    <row r="30" spans="1:37" x14ac:dyDescent="0.25">
      <c r="A30" t="s">
        <v>460</v>
      </c>
      <c r="B30">
        <v>82.2</v>
      </c>
      <c r="C30">
        <v>13.2</v>
      </c>
      <c r="D30">
        <v>4.5999999999999996</v>
      </c>
      <c r="E30">
        <v>85.6</v>
      </c>
      <c r="F30">
        <v>9.6999999999999993</v>
      </c>
      <c r="G30">
        <v>4.8</v>
      </c>
      <c r="H30">
        <v>86.4</v>
      </c>
      <c r="I30">
        <v>8.3000000000000007</v>
      </c>
      <c r="J30">
        <v>5.2</v>
      </c>
      <c r="K30">
        <v>87.1</v>
      </c>
      <c r="L30">
        <v>6.3</v>
      </c>
      <c r="M30">
        <v>6.6</v>
      </c>
      <c r="N30">
        <v>87.5</v>
      </c>
      <c r="O30">
        <v>5.0999999999999996</v>
      </c>
      <c r="P30">
        <v>7.4</v>
      </c>
      <c r="Q30">
        <v>73</v>
      </c>
      <c r="R30">
        <v>4.0999999999999996</v>
      </c>
      <c r="S30">
        <v>22.9</v>
      </c>
      <c r="T30">
        <v>75.599999999999994</v>
      </c>
      <c r="U30">
        <v>4.3</v>
      </c>
      <c r="V30">
        <v>20.100000000000001</v>
      </c>
      <c r="W30">
        <v>80</v>
      </c>
      <c r="X30">
        <v>2.7</v>
      </c>
      <c r="Y30">
        <v>17.399999999999999</v>
      </c>
      <c r="Z30">
        <v>67.400000000000006</v>
      </c>
      <c r="AA30">
        <v>4.7</v>
      </c>
      <c r="AB30">
        <v>27.9</v>
      </c>
      <c r="AC30">
        <v>79.5</v>
      </c>
      <c r="AD30">
        <v>1.7</v>
      </c>
      <c r="AE30">
        <v>18.8</v>
      </c>
      <c r="AF30">
        <v>86</v>
      </c>
      <c r="AG30">
        <v>1</v>
      </c>
      <c r="AH30">
        <v>13</v>
      </c>
      <c r="AI30">
        <v>64.900000000000006</v>
      </c>
      <c r="AJ30">
        <v>4</v>
      </c>
      <c r="AK30">
        <v>31.2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9" t="s">
        <v>709</v>
      </c>
      <c r="B1" s="29" t="s">
        <v>334</v>
      </c>
      <c r="C1" s="29"/>
      <c r="D1" s="29"/>
      <c r="E1" s="29" t="s">
        <v>335</v>
      </c>
      <c r="F1" s="29"/>
      <c r="G1" s="29"/>
      <c r="H1" s="29" t="s">
        <v>336</v>
      </c>
      <c r="I1" s="29"/>
      <c r="J1" s="29"/>
      <c r="K1" s="29" t="s">
        <v>337</v>
      </c>
      <c r="L1" s="29"/>
      <c r="M1" s="29"/>
      <c r="N1" s="29" t="s">
        <v>338</v>
      </c>
      <c r="O1" s="29"/>
      <c r="P1" s="29"/>
      <c r="Q1" s="29" t="s">
        <v>339</v>
      </c>
      <c r="R1" s="29"/>
      <c r="S1" s="29"/>
      <c r="T1" s="29" t="s">
        <v>340</v>
      </c>
      <c r="U1" s="29"/>
      <c r="V1" s="29"/>
      <c r="W1" s="29" t="s">
        <v>341</v>
      </c>
      <c r="X1" s="29"/>
      <c r="Y1" s="29"/>
      <c r="Z1" s="29" t="s">
        <v>342</v>
      </c>
      <c r="AA1" s="29"/>
      <c r="AB1" s="29"/>
      <c r="AC1" s="29" t="s">
        <v>343</v>
      </c>
      <c r="AD1" s="29"/>
      <c r="AE1" s="29"/>
      <c r="AF1" s="29" t="s">
        <v>344</v>
      </c>
      <c r="AG1" s="29"/>
      <c r="AH1" s="29"/>
      <c r="AI1" s="29" t="s">
        <v>345</v>
      </c>
      <c r="AJ1" s="29"/>
      <c r="AK1" s="29"/>
    </row>
    <row r="2" spans="1:37" x14ac:dyDescent="0.25">
      <c r="A2" s="29"/>
      <c r="B2" t="s">
        <v>624</v>
      </c>
      <c r="C2" t="s">
        <v>625</v>
      </c>
      <c r="D2" t="s">
        <v>626</v>
      </c>
      <c r="E2" t="s">
        <v>624</v>
      </c>
      <c r="F2" t="s">
        <v>625</v>
      </c>
      <c r="G2" t="s">
        <v>626</v>
      </c>
      <c r="H2" t="s">
        <v>624</v>
      </c>
      <c r="I2" t="s">
        <v>625</v>
      </c>
      <c r="J2" t="s">
        <v>626</v>
      </c>
      <c r="K2" t="s">
        <v>624</v>
      </c>
      <c r="L2" t="s">
        <v>625</v>
      </c>
      <c r="M2" t="s">
        <v>626</v>
      </c>
      <c r="N2" t="s">
        <v>624</v>
      </c>
      <c r="O2" t="s">
        <v>625</v>
      </c>
      <c r="P2" t="s">
        <v>626</v>
      </c>
      <c r="Q2" t="s">
        <v>624</v>
      </c>
      <c r="R2" t="s">
        <v>625</v>
      </c>
      <c r="S2" t="s">
        <v>626</v>
      </c>
      <c r="T2" t="s">
        <v>624</v>
      </c>
      <c r="U2" t="s">
        <v>625</v>
      </c>
      <c r="V2" t="s">
        <v>626</v>
      </c>
      <c r="W2" t="s">
        <v>624</v>
      </c>
      <c r="X2" t="s">
        <v>625</v>
      </c>
      <c r="Y2" t="s">
        <v>626</v>
      </c>
      <c r="Z2" t="s">
        <v>624</v>
      </c>
      <c r="AA2" t="s">
        <v>625</v>
      </c>
      <c r="AB2" t="s">
        <v>626</v>
      </c>
      <c r="AC2" t="s">
        <v>624</v>
      </c>
      <c r="AD2" t="s">
        <v>625</v>
      </c>
      <c r="AE2" t="s">
        <v>626</v>
      </c>
      <c r="AF2" t="s">
        <v>624</v>
      </c>
      <c r="AG2" t="s">
        <v>625</v>
      </c>
      <c r="AH2" t="s">
        <v>626</v>
      </c>
      <c r="AI2" t="s">
        <v>624</v>
      </c>
      <c r="AJ2" t="s">
        <v>625</v>
      </c>
      <c r="AK2" t="s">
        <v>626</v>
      </c>
    </row>
    <row r="3" spans="1:37" x14ac:dyDescent="0.25">
      <c r="A3" t="s">
        <v>283</v>
      </c>
      <c r="B3">
        <v>90.1</v>
      </c>
      <c r="C3">
        <v>6.3</v>
      </c>
      <c r="D3">
        <v>3.7</v>
      </c>
      <c r="E3">
        <v>91.8</v>
      </c>
      <c r="F3">
        <v>4.8</v>
      </c>
      <c r="G3">
        <v>3.4</v>
      </c>
      <c r="H3">
        <v>93.2</v>
      </c>
      <c r="I3">
        <v>3.5</v>
      </c>
      <c r="J3">
        <v>3.3</v>
      </c>
      <c r="K3">
        <v>91.1</v>
      </c>
      <c r="L3">
        <v>2.9</v>
      </c>
      <c r="M3">
        <v>6</v>
      </c>
      <c r="N3">
        <v>96</v>
      </c>
      <c r="O3">
        <v>1.8</v>
      </c>
      <c r="P3">
        <v>2.2000000000000002</v>
      </c>
      <c r="Q3">
        <v>90.6</v>
      </c>
      <c r="R3">
        <v>1.3</v>
      </c>
      <c r="S3">
        <v>8.1</v>
      </c>
      <c r="T3">
        <v>80.099999999999994</v>
      </c>
      <c r="U3">
        <v>2.2000000000000002</v>
      </c>
      <c r="V3">
        <v>17.7</v>
      </c>
      <c r="W3">
        <v>83.8</v>
      </c>
      <c r="X3">
        <v>1.8</v>
      </c>
      <c r="Y3">
        <v>14.4</v>
      </c>
      <c r="Z3">
        <v>76</v>
      </c>
      <c r="AA3">
        <v>3.6</v>
      </c>
      <c r="AB3">
        <v>20.399999999999999</v>
      </c>
      <c r="AC3">
        <v>85.4</v>
      </c>
      <c r="AD3">
        <v>0.8</v>
      </c>
      <c r="AE3">
        <v>13.8</v>
      </c>
      <c r="AF3">
        <v>91.9</v>
      </c>
      <c r="AG3">
        <v>0.4</v>
      </c>
      <c r="AH3">
        <v>7.8</v>
      </c>
      <c r="AI3">
        <v>49.1</v>
      </c>
      <c r="AJ3">
        <v>3.2</v>
      </c>
      <c r="AK3">
        <v>47.7</v>
      </c>
    </row>
    <row r="4" spans="1:37" x14ac:dyDescent="0.25">
      <c r="A4" t="s">
        <v>284</v>
      </c>
      <c r="B4">
        <v>82.7</v>
      </c>
      <c r="C4">
        <v>10.9</v>
      </c>
      <c r="D4">
        <v>6.4</v>
      </c>
      <c r="E4">
        <v>86.4</v>
      </c>
      <c r="F4">
        <v>7.6</v>
      </c>
      <c r="G4">
        <v>6</v>
      </c>
      <c r="H4">
        <v>88.8</v>
      </c>
      <c r="I4">
        <v>5.6</v>
      </c>
      <c r="J4">
        <v>5.6</v>
      </c>
      <c r="K4">
        <v>90.3</v>
      </c>
      <c r="L4">
        <v>3.9</v>
      </c>
      <c r="M4">
        <v>5.8</v>
      </c>
      <c r="N4">
        <v>90.3</v>
      </c>
      <c r="O4">
        <v>2.7</v>
      </c>
      <c r="P4">
        <v>7</v>
      </c>
      <c r="Q4">
        <v>73.099999999999994</v>
      </c>
      <c r="R4">
        <v>2.2999999999999998</v>
      </c>
      <c r="S4">
        <v>24.6</v>
      </c>
      <c r="T4">
        <v>77.400000000000006</v>
      </c>
      <c r="U4">
        <v>3.2</v>
      </c>
      <c r="V4">
        <v>19.5</v>
      </c>
      <c r="W4">
        <v>82.2</v>
      </c>
      <c r="X4">
        <v>2</v>
      </c>
      <c r="Y4">
        <v>15.8</v>
      </c>
      <c r="Z4">
        <v>72.099999999999994</v>
      </c>
      <c r="AA4">
        <v>3.3</v>
      </c>
      <c r="AB4">
        <v>24.6</v>
      </c>
      <c r="AC4">
        <v>83.8</v>
      </c>
      <c r="AD4">
        <v>1.4</v>
      </c>
      <c r="AE4">
        <v>14.8</v>
      </c>
      <c r="AF4">
        <v>90.7</v>
      </c>
      <c r="AG4">
        <v>0.5</v>
      </c>
      <c r="AH4">
        <v>8.6999999999999993</v>
      </c>
      <c r="AI4">
        <v>60.9</v>
      </c>
      <c r="AJ4">
        <v>3.3</v>
      </c>
      <c r="AK4">
        <v>35.799999999999997</v>
      </c>
    </row>
    <row r="5" spans="1:37" x14ac:dyDescent="0.25">
      <c r="A5" t="s">
        <v>285</v>
      </c>
      <c r="B5">
        <v>83.2</v>
      </c>
      <c r="C5">
        <v>13</v>
      </c>
      <c r="D5">
        <v>3.8</v>
      </c>
      <c r="E5">
        <v>85</v>
      </c>
      <c r="F5">
        <v>9.6999999999999993</v>
      </c>
      <c r="G5">
        <v>5.2</v>
      </c>
      <c r="H5">
        <v>87.3</v>
      </c>
      <c r="I5">
        <v>8.5</v>
      </c>
      <c r="J5">
        <v>4.2</v>
      </c>
      <c r="K5">
        <v>88</v>
      </c>
      <c r="L5">
        <v>6.4</v>
      </c>
      <c r="M5">
        <v>5.5</v>
      </c>
      <c r="N5">
        <v>88.2</v>
      </c>
      <c r="O5">
        <v>5.5</v>
      </c>
      <c r="P5">
        <v>6.3</v>
      </c>
      <c r="Q5">
        <v>67.3</v>
      </c>
      <c r="R5">
        <v>3.7</v>
      </c>
      <c r="S5">
        <v>28.9</v>
      </c>
      <c r="T5">
        <v>79</v>
      </c>
      <c r="U5">
        <v>4</v>
      </c>
      <c r="V5">
        <v>16.899999999999999</v>
      </c>
      <c r="W5">
        <v>81.599999999999994</v>
      </c>
      <c r="X5">
        <v>2.7</v>
      </c>
      <c r="Y5">
        <v>15.7</v>
      </c>
      <c r="Z5">
        <v>59</v>
      </c>
      <c r="AA5">
        <v>3.4</v>
      </c>
      <c r="AB5">
        <v>37.6</v>
      </c>
      <c r="AC5">
        <v>81.8</v>
      </c>
      <c r="AD5">
        <v>1.6</v>
      </c>
      <c r="AE5">
        <v>16.5</v>
      </c>
      <c r="AF5">
        <v>91.8</v>
      </c>
      <c r="AG5">
        <v>0.7</v>
      </c>
      <c r="AH5">
        <v>7.5</v>
      </c>
      <c r="AI5">
        <v>67.5</v>
      </c>
      <c r="AJ5">
        <v>3.1</v>
      </c>
      <c r="AK5">
        <v>29.4</v>
      </c>
    </row>
    <row r="6" spans="1:37" x14ac:dyDescent="0.25">
      <c r="A6" t="s">
        <v>286</v>
      </c>
      <c r="B6">
        <v>88</v>
      </c>
      <c r="C6">
        <v>10.5</v>
      </c>
      <c r="D6">
        <v>1.5</v>
      </c>
      <c r="E6">
        <v>90.2</v>
      </c>
      <c r="F6">
        <v>7.7</v>
      </c>
      <c r="G6">
        <v>2.1</v>
      </c>
      <c r="H6">
        <v>90.8</v>
      </c>
      <c r="I6">
        <v>6.3</v>
      </c>
      <c r="J6">
        <v>2.9</v>
      </c>
      <c r="K6">
        <v>90.1</v>
      </c>
      <c r="L6">
        <v>4.8</v>
      </c>
      <c r="M6">
        <v>5.0999999999999996</v>
      </c>
      <c r="N6">
        <v>91.9</v>
      </c>
      <c r="O6">
        <v>3</v>
      </c>
      <c r="P6">
        <v>5.0999999999999996</v>
      </c>
      <c r="Q6">
        <v>84.5</v>
      </c>
      <c r="R6">
        <v>1.7</v>
      </c>
      <c r="S6">
        <v>13.8</v>
      </c>
      <c r="T6">
        <v>81.7</v>
      </c>
      <c r="U6">
        <v>2.7</v>
      </c>
      <c r="V6">
        <v>15.6</v>
      </c>
      <c r="W6">
        <v>83</v>
      </c>
      <c r="X6">
        <v>1.5</v>
      </c>
      <c r="Y6">
        <v>15.5</v>
      </c>
      <c r="Z6">
        <v>76.7</v>
      </c>
      <c r="AA6">
        <v>1.9</v>
      </c>
      <c r="AB6">
        <v>21.4</v>
      </c>
      <c r="AC6">
        <v>82.6</v>
      </c>
      <c r="AD6">
        <v>0.5</v>
      </c>
      <c r="AE6">
        <v>16.899999999999999</v>
      </c>
      <c r="AF6">
        <v>87.7</v>
      </c>
      <c r="AG6">
        <v>0.3</v>
      </c>
      <c r="AH6">
        <v>12</v>
      </c>
      <c r="AI6">
        <v>64.5</v>
      </c>
      <c r="AJ6">
        <v>2.8</v>
      </c>
      <c r="AK6">
        <v>32.700000000000003</v>
      </c>
    </row>
    <row r="7" spans="1:37" x14ac:dyDescent="0.25">
      <c r="A7" t="s">
        <v>287</v>
      </c>
      <c r="B7">
        <v>87.3</v>
      </c>
      <c r="C7">
        <v>8.6999999999999993</v>
      </c>
      <c r="D7">
        <v>4</v>
      </c>
      <c r="E7">
        <v>92.1</v>
      </c>
      <c r="F7">
        <v>6</v>
      </c>
      <c r="G7">
        <v>1.8</v>
      </c>
      <c r="H7">
        <v>91.5</v>
      </c>
      <c r="I7">
        <v>5.0999999999999996</v>
      </c>
      <c r="J7">
        <v>3.4</v>
      </c>
      <c r="K7">
        <v>92</v>
      </c>
      <c r="L7">
        <v>3.6</v>
      </c>
      <c r="M7">
        <v>4.4000000000000004</v>
      </c>
      <c r="N7">
        <v>93.3</v>
      </c>
      <c r="O7">
        <v>2.6</v>
      </c>
      <c r="P7">
        <v>4.0999999999999996</v>
      </c>
      <c r="Q7">
        <v>70.7</v>
      </c>
      <c r="R7">
        <v>2.2999999999999998</v>
      </c>
      <c r="S7">
        <v>27</v>
      </c>
      <c r="T7">
        <v>78.3</v>
      </c>
      <c r="U7">
        <v>1.9</v>
      </c>
      <c r="V7">
        <v>19.8</v>
      </c>
      <c r="W7">
        <v>77.3</v>
      </c>
      <c r="X7">
        <v>1.5</v>
      </c>
      <c r="Y7">
        <v>21.3</v>
      </c>
      <c r="Z7">
        <v>56.6</v>
      </c>
      <c r="AA7">
        <v>3</v>
      </c>
      <c r="AB7">
        <v>40.4</v>
      </c>
      <c r="AC7">
        <v>80.2</v>
      </c>
      <c r="AD7">
        <v>0.2</v>
      </c>
      <c r="AE7">
        <v>19.600000000000001</v>
      </c>
      <c r="AF7">
        <v>88.2</v>
      </c>
      <c r="AG7">
        <v>0.2</v>
      </c>
      <c r="AH7">
        <v>11.6</v>
      </c>
      <c r="AI7">
        <v>69.2</v>
      </c>
      <c r="AJ7">
        <v>1.4</v>
      </c>
      <c r="AK7">
        <v>29.5</v>
      </c>
    </row>
    <row r="8" spans="1:37" x14ac:dyDescent="0.25">
      <c r="A8" t="s">
        <v>288</v>
      </c>
      <c r="B8">
        <v>82.7</v>
      </c>
      <c r="C8">
        <v>13</v>
      </c>
      <c r="D8">
        <v>4.3</v>
      </c>
      <c r="E8">
        <v>87.8</v>
      </c>
      <c r="F8">
        <v>9.1999999999999993</v>
      </c>
      <c r="G8">
        <v>3</v>
      </c>
      <c r="H8">
        <v>89.4</v>
      </c>
      <c r="I8">
        <v>7.1</v>
      </c>
      <c r="J8">
        <v>3.6</v>
      </c>
      <c r="K8">
        <v>88.1</v>
      </c>
      <c r="L8">
        <v>4.7</v>
      </c>
      <c r="M8">
        <v>7.1</v>
      </c>
      <c r="N8">
        <v>90.4</v>
      </c>
      <c r="O8">
        <v>3.2</v>
      </c>
      <c r="P8">
        <v>6.4</v>
      </c>
      <c r="Q8">
        <v>66.900000000000006</v>
      </c>
      <c r="R8">
        <v>2.7</v>
      </c>
      <c r="S8">
        <v>30.4</v>
      </c>
      <c r="T8">
        <v>78</v>
      </c>
      <c r="U8">
        <v>4.0999999999999996</v>
      </c>
      <c r="V8">
        <v>17.899999999999999</v>
      </c>
      <c r="W8">
        <v>82.8</v>
      </c>
      <c r="X8">
        <v>2.2000000000000002</v>
      </c>
      <c r="Y8">
        <v>15</v>
      </c>
      <c r="Z8">
        <v>64.900000000000006</v>
      </c>
      <c r="AA8">
        <v>3.8</v>
      </c>
      <c r="AB8">
        <v>31.3</v>
      </c>
      <c r="AC8">
        <v>78.900000000000006</v>
      </c>
      <c r="AD8">
        <v>0.9</v>
      </c>
      <c r="AE8">
        <v>20.2</v>
      </c>
      <c r="AF8">
        <v>90.3</v>
      </c>
      <c r="AG8">
        <v>0.8</v>
      </c>
      <c r="AH8">
        <v>8.9</v>
      </c>
      <c r="AI8">
        <v>66.599999999999994</v>
      </c>
      <c r="AJ8">
        <v>1.4</v>
      </c>
      <c r="AK8">
        <v>32</v>
      </c>
    </row>
    <row r="9" spans="1:37" x14ac:dyDescent="0.25">
      <c r="A9" t="s">
        <v>289</v>
      </c>
      <c r="B9">
        <v>86.6</v>
      </c>
      <c r="C9">
        <v>9.4</v>
      </c>
      <c r="D9">
        <v>4.0999999999999996</v>
      </c>
      <c r="E9">
        <v>91</v>
      </c>
      <c r="F9">
        <v>6.3</v>
      </c>
      <c r="G9">
        <v>2.7</v>
      </c>
      <c r="H9">
        <v>92.1</v>
      </c>
      <c r="I9">
        <v>4.5999999999999996</v>
      </c>
      <c r="J9">
        <v>3.4</v>
      </c>
      <c r="K9">
        <v>92.9</v>
      </c>
      <c r="L9">
        <v>3.2</v>
      </c>
      <c r="M9">
        <v>3.9</v>
      </c>
      <c r="N9">
        <v>89.8</v>
      </c>
      <c r="O9">
        <v>3</v>
      </c>
      <c r="P9">
        <v>7.2</v>
      </c>
      <c r="Q9">
        <v>73</v>
      </c>
      <c r="R9">
        <v>2.2000000000000002</v>
      </c>
      <c r="S9">
        <v>24.8</v>
      </c>
      <c r="T9">
        <v>79.3</v>
      </c>
      <c r="U9">
        <v>3.1</v>
      </c>
      <c r="V9">
        <v>17.600000000000001</v>
      </c>
      <c r="W9">
        <v>79.3</v>
      </c>
      <c r="X9">
        <v>1.8</v>
      </c>
      <c r="Y9">
        <v>18.899999999999999</v>
      </c>
      <c r="Z9">
        <v>70.599999999999994</v>
      </c>
      <c r="AA9">
        <v>3.7</v>
      </c>
      <c r="AB9">
        <v>25.7</v>
      </c>
      <c r="AC9">
        <v>82.9</v>
      </c>
      <c r="AD9">
        <v>1.7</v>
      </c>
      <c r="AE9">
        <v>15.4</v>
      </c>
      <c r="AF9">
        <v>89</v>
      </c>
      <c r="AG9">
        <v>0.9</v>
      </c>
      <c r="AH9">
        <v>10.1</v>
      </c>
      <c r="AI9">
        <v>77.5</v>
      </c>
      <c r="AJ9">
        <v>2</v>
      </c>
      <c r="AK9">
        <v>20.5</v>
      </c>
    </row>
    <row r="10" spans="1:37" x14ac:dyDescent="0.25">
      <c r="A10" t="s">
        <v>290</v>
      </c>
      <c r="B10">
        <v>85.2</v>
      </c>
      <c r="C10">
        <v>12.6</v>
      </c>
      <c r="D10">
        <v>2.1</v>
      </c>
      <c r="E10">
        <v>87.9</v>
      </c>
      <c r="F10">
        <v>9.6</v>
      </c>
      <c r="G10">
        <v>2.6</v>
      </c>
      <c r="H10">
        <v>89.3</v>
      </c>
      <c r="I10">
        <v>8</v>
      </c>
      <c r="J10">
        <v>2.7</v>
      </c>
      <c r="K10">
        <v>89.9</v>
      </c>
      <c r="L10">
        <v>6.5</v>
      </c>
      <c r="M10">
        <v>3.6</v>
      </c>
      <c r="N10">
        <v>91</v>
      </c>
      <c r="O10">
        <v>5.2</v>
      </c>
      <c r="P10">
        <v>3.8</v>
      </c>
      <c r="Q10">
        <v>92.7</v>
      </c>
      <c r="R10">
        <v>3.7</v>
      </c>
      <c r="S10">
        <v>3.6</v>
      </c>
      <c r="T10">
        <v>81.400000000000006</v>
      </c>
      <c r="U10">
        <v>3.5</v>
      </c>
      <c r="V10">
        <v>15.2</v>
      </c>
      <c r="W10">
        <v>84.8</v>
      </c>
      <c r="X10">
        <v>1.7</v>
      </c>
      <c r="Y10">
        <v>13.5</v>
      </c>
      <c r="Z10">
        <v>84.2</v>
      </c>
      <c r="AA10">
        <v>2.7</v>
      </c>
      <c r="AB10">
        <v>13.1</v>
      </c>
      <c r="AC10">
        <v>83.7</v>
      </c>
      <c r="AD10">
        <v>1.1000000000000001</v>
      </c>
      <c r="AE10">
        <v>15.1</v>
      </c>
      <c r="AF10">
        <v>89.1</v>
      </c>
      <c r="AG10">
        <v>0.8</v>
      </c>
      <c r="AH10">
        <v>10.1</v>
      </c>
      <c r="AI10">
        <v>74.7</v>
      </c>
      <c r="AJ10">
        <v>3.6</v>
      </c>
      <c r="AK10">
        <v>21.8</v>
      </c>
    </row>
    <row r="11" spans="1:37" x14ac:dyDescent="0.25">
      <c r="A11" t="s">
        <v>291</v>
      </c>
      <c r="B11">
        <v>88.9</v>
      </c>
      <c r="C11">
        <v>14.6</v>
      </c>
      <c r="D11" t="s">
        <v>648</v>
      </c>
      <c r="E11">
        <v>93.2</v>
      </c>
      <c r="F11">
        <v>11</v>
      </c>
      <c r="G11" t="s">
        <v>648</v>
      </c>
      <c r="H11">
        <v>91</v>
      </c>
      <c r="I11">
        <v>11</v>
      </c>
      <c r="J11" t="s">
        <v>648</v>
      </c>
      <c r="K11">
        <v>85.9</v>
      </c>
      <c r="L11">
        <v>11.8</v>
      </c>
      <c r="M11">
        <v>2.2999999999999998</v>
      </c>
      <c r="N11">
        <v>91.8</v>
      </c>
      <c r="O11">
        <v>5.5</v>
      </c>
      <c r="P11">
        <v>2.6</v>
      </c>
      <c r="Q11">
        <v>80.099999999999994</v>
      </c>
      <c r="R11">
        <v>4.2</v>
      </c>
      <c r="S11">
        <v>15.7</v>
      </c>
      <c r="T11">
        <v>68.900000000000006</v>
      </c>
      <c r="U11">
        <v>6.3</v>
      </c>
      <c r="V11">
        <v>24.9</v>
      </c>
      <c r="W11">
        <v>79.8</v>
      </c>
      <c r="X11">
        <v>3.2</v>
      </c>
      <c r="Y11">
        <v>17</v>
      </c>
      <c r="Z11">
        <v>76.7</v>
      </c>
      <c r="AA11">
        <v>4</v>
      </c>
      <c r="AB11">
        <v>19.3</v>
      </c>
      <c r="AC11">
        <v>88.6</v>
      </c>
      <c r="AD11">
        <v>1.9</v>
      </c>
      <c r="AE11">
        <v>9.5</v>
      </c>
      <c r="AF11">
        <v>89.9</v>
      </c>
      <c r="AG11">
        <v>0.5</v>
      </c>
      <c r="AH11">
        <v>9.6</v>
      </c>
      <c r="AI11">
        <v>85.3</v>
      </c>
      <c r="AJ11">
        <v>2.1</v>
      </c>
      <c r="AK11">
        <v>12.6</v>
      </c>
    </row>
    <row r="12" spans="1:37" x14ac:dyDescent="0.25">
      <c r="A12" t="s">
        <v>292</v>
      </c>
      <c r="B12">
        <v>84.6</v>
      </c>
      <c r="C12">
        <v>9.3000000000000007</v>
      </c>
      <c r="D12">
        <v>6.1</v>
      </c>
      <c r="E12">
        <v>85.1</v>
      </c>
      <c r="F12">
        <v>6.9</v>
      </c>
      <c r="G12">
        <v>8.1</v>
      </c>
      <c r="H12">
        <v>92.3</v>
      </c>
      <c r="I12">
        <v>4.5999999999999996</v>
      </c>
      <c r="J12">
        <v>3.1</v>
      </c>
      <c r="K12">
        <v>89</v>
      </c>
      <c r="L12">
        <v>3.2</v>
      </c>
      <c r="M12">
        <v>7.8</v>
      </c>
      <c r="N12">
        <v>92.5</v>
      </c>
      <c r="O12">
        <v>1.8</v>
      </c>
      <c r="P12">
        <v>5.7</v>
      </c>
      <c r="Q12">
        <v>80.400000000000006</v>
      </c>
      <c r="R12">
        <v>1.5</v>
      </c>
      <c r="S12">
        <v>18.2</v>
      </c>
      <c r="T12">
        <v>84.6</v>
      </c>
      <c r="U12">
        <v>0.7</v>
      </c>
      <c r="V12">
        <v>14.7</v>
      </c>
      <c r="W12">
        <v>88.6</v>
      </c>
      <c r="X12">
        <v>0.7</v>
      </c>
      <c r="Y12">
        <v>10.7</v>
      </c>
      <c r="Z12">
        <v>73.599999999999994</v>
      </c>
      <c r="AA12">
        <v>2.8</v>
      </c>
      <c r="AB12">
        <v>23.6</v>
      </c>
      <c r="AC12">
        <v>87</v>
      </c>
      <c r="AD12">
        <v>0.5</v>
      </c>
      <c r="AE12">
        <v>12.5</v>
      </c>
      <c r="AF12">
        <v>91.9</v>
      </c>
      <c r="AG12">
        <v>0.4</v>
      </c>
      <c r="AH12">
        <v>7.7</v>
      </c>
      <c r="AI12">
        <v>32.700000000000003</v>
      </c>
      <c r="AJ12">
        <v>2.2000000000000002</v>
      </c>
      <c r="AK12">
        <v>65.099999999999994</v>
      </c>
    </row>
    <row r="13" spans="1:37" x14ac:dyDescent="0.25">
      <c r="A13" t="s">
        <v>293</v>
      </c>
      <c r="B13">
        <v>76.900000000000006</v>
      </c>
      <c r="C13">
        <v>13</v>
      </c>
      <c r="D13">
        <v>10.1</v>
      </c>
      <c r="E13">
        <v>81.599999999999994</v>
      </c>
      <c r="F13">
        <v>9.3000000000000007</v>
      </c>
      <c r="G13">
        <v>9.1</v>
      </c>
      <c r="H13">
        <v>81.8</v>
      </c>
      <c r="I13">
        <v>7.5</v>
      </c>
      <c r="J13">
        <v>10.7</v>
      </c>
      <c r="K13">
        <v>84.4</v>
      </c>
      <c r="L13">
        <v>5</v>
      </c>
      <c r="M13">
        <v>10.6</v>
      </c>
      <c r="N13">
        <v>85.9</v>
      </c>
      <c r="O13">
        <v>4</v>
      </c>
      <c r="P13">
        <v>10.1</v>
      </c>
      <c r="Q13">
        <v>81.400000000000006</v>
      </c>
      <c r="R13">
        <v>2.7</v>
      </c>
      <c r="S13">
        <v>15.9</v>
      </c>
      <c r="T13">
        <v>76.599999999999994</v>
      </c>
      <c r="U13">
        <v>2</v>
      </c>
      <c r="V13">
        <v>21.4</v>
      </c>
      <c r="W13">
        <v>77.400000000000006</v>
      </c>
      <c r="X13">
        <v>1.3</v>
      </c>
      <c r="Y13">
        <v>21.3</v>
      </c>
      <c r="Z13">
        <v>70.900000000000006</v>
      </c>
      <c r="AA13">
        <v>2.7</v>
      </c>
      <c r="AB13">
        <v>26.4</v>
      </c>
      <c r="AC13">
        <v>84</v>
      </c>
      <c r="AD13">
        <v>1.2</v>
      </c>
      <c r="AE13">
        <v>14.8</v>
      </c>
      <c r="AF13">
        <v>90.3</v>
      </c>
      <c r="AG13">
        <v>0.9</v>
      </c>
      <c r="AH13">
        <v>8.8000000000000007</v>
      </c>
      <c r="AI13">
        <v>75.900000000000006</v>
      </c>
      <c r="AJ13">
        <v>2.6</v>
      </c>
      <c r="AK13">
        <v>21.5</v>
      </c>
    </row>
    <row r="14" spans="1:37" x14ac:dyDescent="0.25">
      <c r="A14" t="s">
        <v>294</v>
      </c>
      <c r="B14">
        <v>86.9</v>
      </c>
      <c r="C14">
        <v>5.7</v>
      </c>
      <c r="D14">
        <v>7.4</v>
      </c>
      <c r="E14">
        <v>86.5</v>
      </c>
      <c r="F14">
        <v>4.4000000000000004</v>
      </c>
      <c r="G14">
        <v>9.1</v>
      </c>
      <c r="H14">
        <v>87.4</v>
      </c>
      <c r="I14">
        <v>3.5</v>
      </c>
      <c r="J14">
        <v>9.1</v>
      </c>
      <c r="K14">
        <v>86.8</v>
      </c>
      <c r="L14">
        <v>3.3</v>
      </c>
      <c r="M14">
        <v>9.9</v>
      </c>
      <c r="N14">
        <v>85.7</v>
      </c>
      <c r="O14">
        <v>2.1</v>
      </c>
      <c r="P14">
        <v>12.2</v>
      </c>
      <c r="Q14">
        <v>87.8</v>
      </c>
      <c r="R14">
        <v>1.6</v>
      </c>
      <c r="S14">
        <v>10.6</v>
      </c>
      <c r="T14">
        <v>78.8</v>
      </c>
      <c r="U14">
        <v>3.7</v>
      </c>
      <c r="V14">
        <v>17.5</v>
      </c>
      <c r="W14">
        <v>81.599999999999994</v>
      </c>
      <c r="X14">
        <v>2.9</v>
      </c>
      <c r="Y14">
        <v>15.5</v>
      </c>
      <c r="Z14">
        <v>76.599999999999994</v>
      </c>
      <c r="AA14">
        <v>10.3</v>
      </c>
      <c r="AB14">
        <v>13.1</v>
      </c>
      <c r="AC14">
        <v>86.6</v>
      </c>
      <c r="AD14">
        <v>0.2</v>
      </c>
      <c r="AE14">
        <v>13.2</v>
      </c>
      <c r="AF14">
        <v>93.8</v>
      </c>
      <c r="AG14">
        <v>0</v>
      </c>
      <c r="AH14">
        <v>6.2</v>
      </c>
      <c r="AI14">
        <v>92.9</v>
      </c>
      <c r="AJ14">
        <v>0</v>
      </c>
      <c r="AK14">
        <v>7.1</v>
      </c>
    </row>
    <row r="15" spans="1:37" x14ac:dyDescent="0.25">
      <c r="A15" t="s">
        <v>295</v>
      </c>
      <c r="B15">
        <v>78.5</v>
      </c>
      <c r="C15">
        <v>13.9</v>
      </c>
      <c r="D15">
        <v>7.5</v>
      </c>
      <c r="E15">
        <v>84.7</v>
      </c>
      <c r="F15">
        <v>9.1999999999999993</v>
      </c>
      <c r="G15">
        <v>6.1</v>
      </c>
      <c r="H15">
        <v>85.2</v>
      </c>
      <c r="I15">
        <v>8.1</v>
      </c>
      <c r="J15">
        <v>6.7</v>
      </c>
      <c r="K15">
        <v>87.4</v>
      </c>
      <c r="L15">
        <v>5.4</v>
      </c>
      <c r="M15">
        <v>7.2</v>
      </c>
      <c r="N15">
        <v>88.1</v>
      </c>
      <c r="O15">
        <v>4.0999999999999996</v>
      </c>
      <c r="P15">
        <v>7.9</v>
      </c>
      <c r="Q15">
        <v>63.4</v>
      </c>
      <c r="R15">
        <v>3.8</v>
      </c>
      <c r="S15">
        <v>32.799999999999997</v>
      </c>
      <c r="T15">
        <v>78.5</v>
      </c>
      <c r="U15">
        <v>4.5999999999999996</v>
      </c>
      <c r="V15">
        <v>16.899999999999999</v>
      </c>
      <c r="W15">
        <v>80.400000000000006</v>
      </c>
      <c r="X15">
        <v>2.5</v>
      </c>
      <c r="Y15">
        <v>17.100000000000001</v>
      </c>
      <c r="Z15">
        <v>64.8</v>
      </c>
      <c r="AA15">
        <v>7.5</v>
      </c>
      <c r="AB15">
        <v>27.7</v>
      </c>
      <c r="AC15">
        <v>81</v>
      </c>
      <c r="AD15">
        <v>2.4</v>
      </c>
      <c r="AE15">
        <v>16.600000000000001</v>
      </c>
      <c r="AF15">
        <v>90</v>
      </c>
      <c r="AG15">
        <v>1.5</v>
      </c>
      <c r="AH15">
        <v>8.4</v>
      </c>
      <c r="AI15">
        <v>81.400000000000006</v>
      </c>
      <c r="AJ15">
        <v>2.2999999999999998</v>
      </c>
      <c r="AK15">
        <v>16.3</v>
      </c>
    </row>
    <row r="16" spans="1:37" x14ac:dyDescent="0.25">
      <c r="A16" t="s">
        <v>296</v>
      </c>
      <c r="B16">
        <v>88.7</v>
      </c>
      <c r="C16">
        <v>9.1999999999999993</v>
      </c>
      <c r="D16">
        <v>2</v>
      </c>
      <c r="E16">
        <v>89.7</v>
      </c>
      <c r="F16">
        <v>7.7</v>
      </c>
      <c r="G16">
        <v>2.6</v>
      </c>
      <c r="H16">
        <v>88.7</v>
      </c>
      <c r="I16">
        <v>6.3</v>
      </c>
      <c r="J16">
        <v>5.0999999999999996</v>
      </c>
      <c r="K16">
        <v>90.9</v>
      </c>
      <c r="L16">
        <v>3</v>
      </c>
      <c r="M16">
        <v>6</v>
      </c>
      <c r="N16">
        <v>92.7</v>
      </c>
      <c r="O16">
        <v>3.8</v>
      </c>
      <c r="P16">
        <v>3.5</v>
      </c>
      <c r="Q16">
        <v>91.6</v>
      </c>
      <c r="R16">
        <v>0.9</v>
      </c>
      <c r="S16">
        <v>7.5</v>
      </c>
      <c r="T16">
        <v>76.3</v>
      </c>
      <c r="U16">
        <v>3.9</v>
      </c>
      <c r="V16">
        <v>19.899999999999999</v>
      </c>
      <c r="W16">
        <v>84.4</v>
      </c>
      <c r="X16">
        <v>1.8</v>
      </c>
      <c r="Y16">
        <v>13.8</v>
      </c>
      <c r="Z16">
        <v>73.599999999999994</v>
      </c>
      <c r="AA16">
        <v>9.5</v>
      </c>
      <c r="AB16">
        <v>16.8</v>
      </c>
      <c r="AC16">
        <v>80.099999999999994</v>
      </c>
      <c r="AD16">
        <v>2.1</v>
      </c>
      <c r="AE16">
        <v>17.8</v>
      </c>
      <c r="AF16">
        <v>91.4</v>
      </c>
      <c r="AG16">
        <v>0.2</v>
      </c>
      <c r="AH16">
        <v>8.4</v>
      </c>
      <c r="AI16">
        <v>55.2</v>
      </c>
      <c r="AJ16">
        <v>3.4</v>
      </c>
      <c r="AK16">
        <v>41.5</v>
      </c>
    </row>
    <row r="17" spans="1:37" x14ac:dyDescent="0.25">
      <c r="A17" t="s">
        <v>297</v>
      </c>
      <c r="B17">
        <v>91.4</v>
      </c>
      <c r="C17">
        <v>6.1</v>
      </c>
      <c r="D17">
        <v>2.5</v>
      </c>
      <c r="E17">
        <v>94.5</v>
      </c>
      <c r="F17">
        <v>4.5999999999999996</v>
      </c>
      <c r="G17">
        <v>0.9</v>
      </c>
      <c r="H17">
        <v>96.4</v>
      </c>
      <c r="I17">
        <v>3.5</v>
      </c>
      <c r="J17">
        <v>0.1</v>
      </c>
      <c r="K17">
        <v>96.8</v>
      </c>
      <c r="L17">
        <v>2.9</v>
      </c>
      <c r="M17">
        <v>0.3</v>
      </c>
      <c r="N17">
        <v>95.7</v>
      </c>
      <c r="O17">
        <v>2</v>
      </c>
      <c r="P17">
        <v>2.2999999999999998</v>
      </c>
      <c r="Q17">
        <v>79.900000000000006</v>
      </c>
      <c r="R17">
        <v>1.4</v>
      </c>
      <c r="S17">
        <v>18.600000000000001</v>
      </c>
      <c r="T17">
        <v>87.8</v>
      </c>
      <c r="U17">
        <v>3.5</v>
      </c>
      <c r="V17">
        <v>8.6999999999999993</v>
      </c>
      <c r="W17">
        <v>97.6</v>
      </c>
      <c r="X17">
        <v>2.1</v>
      </c>
      <c r="Y17">
        <v>0.3</v>
      </c>
      <c r="Z17">
        <v>64.599999999999994</v>
      </c>
      <c r="AA17">
        <v>3.7</v>
      </c>
      <c r="AB17">
        <v>31.7</v>
      </c>
      <c r="AC17">
        <v>98.4</v>
      </c>
      <c r="AD17">
        <v>0.9</v>
      </c>
      <c r="AE17">
        <v>0.7</v>
      </c>
      <c r="AF17" t="s">
        <v>648</v>
      </c>
      <c r="AG17">
        <v>0.8</v>
      </c>
      <c r="AH17" t="s">
        <v>648</v>
      </c>
      <c r="AI17">
        <v>49</v>
      </c>
      <c r="AJ17">
        <v>4.8</v>
      </c>
      <c r="AK17">
        <v>46.2</v>
      </c>
    </row>
    <row r="18" spans="1:37" x14ac:dyDescent="0.25">
      <c r="A18" t="s">
        <v>298</v>
      </c>
      <c r="B18">
        <v>88.4</v>
      </c>
      <c r="C18">
        <v>6.6</v>
      </c>
      <c r="D18">
        <v>5</v>
      </c>
      <c r="E18">
        <v>94.1</v>
      </c>
      <c r="F18">
        <v>5.4</v>
      </c>
      <c r="G18">
        <v>0.5</v>
      </c>
      <c r="H18">
        <v>90.9</v>
      </c>
      <c r="I18">
        <v>4.9000000000000004</v>
      </c>
      <c r="J18">
        <v>4.0999999999999996</v>
      </c>
      <c r="K18">
        <v>90.5</v>
      </c>
      <c r="L18">
        <v>3</v>
      </c>
      <c r="M18">
        <v>6.5</v>
      </c>
      <c r="N18">
        <v>95</v>
      </c>
      <c r="O18">
        <v>2</v>
      </c>
      <c r="P18">
        <v>3</v>
      </c>
      <c r="Q18">
        <v>22.3</v>
      </c>
      <c r="R18">
        <v>2.4</v>
      </c>
      <c r="S18">
        <v>75.3</v>
      </c>
      <c r="T18">
        <v>71.2</v>
      </c>
      <c r="U18">
        <v>5.7</v>
      </c>
      <c r="V18">
        <v>23.1</v>
      </c>
      <c r="W18">
        <v>83.9</v>
      </c>
      <c r="X18">
        <v>2.5</v>
      </c>
      <c r="Y18">
        <v>13.6</v>
      </c>
      <c r="Z18">
        <v>12.7</v>
      </c>
      <c r="AA18">
        <v>5.9</v>
      </c>
      <c r="AB18">
        <v>81.400000000000006</v>
      </c>
      <c r="AC18">
        <v>86.6</v>
      </c>
      <c r="AD18">
        <v>1.2</v>
      </c>
      <c r="AE18">
        <v>12.2</v>
      </c>
      <c r="AF18">
        <v>78.5</v>
      </c>
      <c r="AG18">
        <v>0.2</v>
      </c>
      <c r="AH18">
        <v>21.3</v>
      </c>
      <c r="AI18">
        <v>71.400000000000006</v>
      </c>
      <c r="AJ18">
        <v>17.3</v>
      </c>
      <c r="AK18">
        <v>11.2</v>
      </c>
    </row>
    <row r="19" spans="1:37" x14ac:dyDescent="0.25">
      <c r="A19" t="s">
        <v>299</v>
      </c>
      <c r="B19">
        <v>79.599999999999994</v>
      </c>
      <c r="C19">
        <v>17</v>
      </c>
      <c r="D19">
        <v>3.4</v>
      </c>
      <c r="E19">
        <v>84.6</v>
      </c>
      <c r="F19">
        <v>11.6</v>
      </c>
      <c r="G19">
        <v>3.8</v>
      </c>
      <c r="H19">
        <v>84.3</v>
      </c>
      <c r="I19">
        <v>8</v>
      </c>
      <c r="J19">
        <v>7.6</v>
      </c>
      <c r="K19">
        <v>86.3</v>
      </c>
      <c r="L19">
        <v>6.1</v>
      </c>
      <c r="M19">
        <v>7.6</v>
      </c>
      <c r="N19">
        <v>88.1</v>
      </c>
      <c r="O19">
        <v>3.4</v>
      </c>
      <c r="P19">
        <v>8.5</v>
      </c>
      <c r="Q19">
        <v>82.2</v>
      </c>
      <c r="R19">
        <v>2.6</v>
      </c>
      <c r="S19">
        <v>15.3</v>
      </c>
      <c r="T19">
        <v>81.900000000000006</v>
      </c>
      <c r="U19">
        <v>1.5</v>
      </c>
      <c r="V19">
        <v>16.5</v>
      </c>
      <c r="W19">
        <v>87.9</v>
      </c>
      <c r="X19">
        <v>0.9</v>
      </c>
      <c r="Y19">
        <v>11.2</v>
      </c>
      <c r="Z19">
        <v>67.900000000000006</v>
      </c>
      <c r="AA19">
        <v>1.6</v>
      </c>
      <c r="AB19">
        <v>30.5</v>
      </c>
      <c r="AC19">
        <v>83.9</v>
      </c>
      <c r="AD19">
        <v>0.5</v>
      </c>
      <c r="AE19">
        <v>15.6</v>
      </c>
      <c r="AF19">
        <v>96</v>
      </c>
      <c r="AG19">
        <v>0</v>
      </c>
      <c r="AH19">
        <v>4</v>
      </c>
      <c r="AI19">
        <v>83.8</v>
      </c>
      <c r="AJ19">
        <v>0.6</v>
      </c>
      <c r="AK19">
        <v>15.6</v>
      </c>
    </row>
    <row r="20" spans="1:37" x14ac:dyDescent="0.25">
      <c r="A20" t="s">
        <v>300</v>
      </c>
      <c r="B20">
        <v>86.7</v>
      </c>
      <c r="C20">
        <v>11.4</v>
      </c>
      <c r="D20">
        <v>2</v>
      </c>
      <c r="E20">
        <v>90.7</v>
      </c>
      <c r="F20">
        <v>8</v>
      </c>
      <c r="G20">
        <v>1.4</v>
      </c>
      <c r="H20">
        <v>91.8</v>
      </c>
      <c r="I20">
        <v>6.7</v>
      </c>
      <c r="J20">
        <v>1.5</v>
      </c>
      <c r="K20">
        <v>92.8</v>
      </c>
      <c r="L20">
        <v>5.0999999999999996</v>
      </c>
      <c r="M20">
        <v>2.1</v>
      </c>
      <c r="N20">
        <v>92.6</v>
      </c>
      <c r="O20">
        <v>4.2</v>
      </c>
      <c r="P20">
        <v>3.2</v>
      </c>
      <c r="Q20">
        <v>72</v>
      </c>
      <c r="R20">
        <v>3.6</v>
      </c>
      <c r="S20">
        <v>24.4</v>
      </c>
      <c r="T20">
        <v>84.6</v>
      </c>
      <c r="U20">
        <v>0.7</v>
      </c>
      <c r="V20">
        <v>14.7</v>
      </c>
      <c r="W20">
        <v>83.8</v>
      </c>
      <c r="X20">
        <v>0.6</v>
      </c>
      <c r="Y20">
        <v>15.5</v>
      </c>
      <c r="Z20">
        <v>55</v>
      </c>
      <c r="AA20">
        <v>1.7</v>
      </c>
      <c r="AB20">
        <v>43.3</v>
      </c>
      <c r="AC20">
        <v>79.400000000000006</v>
      </c>
      <c r="AD20">
        <v>0.8</v>
      </c>
      <c r="AE20">
        <v>19.8</v>
      </c>
      <c r="AF20">
        <v>89.9</v>
      </c>
      <c r="AG20">
        <v>0.6</v>
      </c>
      <c r="AH20">
        <v>9.5</v>
      </c>
      <c r="AI20">
        <v>73.099999999999994</v>
      </c>
      <c r="AJ20">
        <v>2.8</v>
      </c>
      <c r="AK20">
        <v>24.2</v>
      </c>
    </row>
    <row r="21" spans="1:37" x14ac:dyDescent="0.25">
      <c r="A21" t="s">
        <v>301</v>
      </c>
      <c r="B21">
        <v>82.6</v>
      </c>
      <c r="C21">
        <v>15.1</v>
      </c>
      <c r="D21">
        <v>2.2999999999999998</v>
      </c>
      <c r="E21">
        <v>87.6</v>
      </c>
      <c r="F21">
        <v>9.1</v>
      </c>
      <c r="G21">
        <v>3.3</v>
      </c>
      <c r="H21">
        <v>86.8</v>
      </c>
      <c r="I21">
        <v>7.7</v>
      </c>
      <c r="J21">
        <v>5.5</v>
      </c>
      <c r="K21">
        <v>87.3</v>
      </c>
      <c r="L21">
        <v>5.3</v>
      </c>
      <c r="M21">
        <v>7.4</v>
      </c>
      <c r="N21">
        <v>88.5</v>
      </c>
      <c r="O21">
        <v>3.6</v>
      </c>
      <c r="P21">
        <v>7.9</v>
      </c>
      <c r="Q21">
        <v>83.3</v>
      </c>
      <c r="R21">
        <v>2.6</v>
      </c>
      <c r="S21">
        <v>14.1</v>
      </c>
      <c r="T21">
        <v>80.5</v>
      </c>
      <c r="U21">
        <v>0.9</v>
      </c>
      <c r="V21">
        <v>18.600000000000001</v>
      </c>
      <c r="W21">
        <v>84.1</v>
      </c>
      <c r="X21">
        <v>0.6</v>
      </c>
      <c r="Y21">
        <v>15.3</v>
      </c>
      <c r="Z21">
        <v>82.3</v>
      </c>
      <c r="AA21">
        <v>2.8</v>
      </c>
      <c r="AB21">
        <v>14.9</v>
      </c>
      <c r="AC21">
        <v>87.8</v>
      </c>
      <c r="AD21">
        <v>0.4</v>
      </c>
      <c r="AE21">
        <v>11.7</v>
      </c>
      <c r="AF21">
        <v>97.2</v>
      </c>
      <c r="AG21">
        <v>0.6</v>
      </c>
      <c r="AH21">
        <v>2.2999999999999998</v>
      </c>
      <c r="AI21">
        <v>69.400000000000006</v>
      </c>
      <c r="AJ21">
        <v>3.4</v>
      </c>
      <c r="AK21">
        <v>27.2</v>
      </c>
    </row>
    <row r="22" spans="1:37" x14ac:dyDescent="0.25">
      <c r="A22" t="s">
        <v>302</v>
      </c>
      <c r="B22">
        <v>79.8</v>
      </c>
      <c r="C22">
        <v>7.8</v>
      </c>
      <c r="D22">
        <v>12.3</v>
      </c>
      <c r="E22">
        <v>87.5</v>
      </c>
      <c r="F22">
        <v>4.5</v>
      </c>
      <c r="G22">
        <v>8</v>
      </c>
      <c r="H22">
        <v>88.1</v>
      </c>
      <c r="I22">
        <v>3.5</v>
      </c>
      <c r="J22">
        <v>8.4</v>
      </c>
      <c r="K22">
        <v>82.7</v>
      </c>
      <c r="L22">
        <v>2.5</v>
      </c>
      <c r="M22">
        <v>14.7</v>
      </c>
      <c r="N22">
        <v>83.4</v>
      </c>
      <c r="O22">
        <v>1.9</v>
      </c>
      <c r="P22">
        <v>14.6</v>
      </c>
      <c r="Q22">
        <v>56.3</v>
      </c>
      <c r="R22">
        <v>1.1000000000000001</v>
      </c>
      <c r="S22">
        <v>42.5</v>
      </c>
      <c r="T22">
        <v>76.8</v>
      </c>
      <c r="U22">
        <v>1.1000000000000001</v>
      </c>
      <c r="V22">
        <v>22.1</v>
      </c>
      <c r="W22">
        <v>97.9</v>
      </c>
      <c r="X22">
        <v>0.1</v>
      </c>
      <c r="Y22">
        <v>2</v>
      </c>
      <c r="Z22">
        <v>67.5</v>
      </c>
      <c r="AA22">
        <v>2.8</v>
      </c>
      <c r="AB22">
        <v>29.6</v>
      </c>
      <c r="AC22">
        <v>88.7</v>
      </c>
      <c r="AD22">
        <v>0.1</v>
      </c>
      <c r="AE22">
        <v>11.2</v>
      </c>
      <c r="AF22">
        <v>93</v>
      </c>
      <c r="AG22">
        <v>0.4</v>
      </c>
      <c r="AH22">
        <v>6.6</v>
      </c>
      <c r="AI22">
        <v>85.3</v>
      </c>
      <c r="AJ22">
        <v>3.2</v>
      </c>
      <c r="AK22">
        <v>11.5</v>
      </c>
    </row>
    <row r="23" spans="1:37" x14ac:dyDescent="0.25">
      <c r="A23" t="s">
        <v>303</v>
      </c>
      <c r="B23">
        <v>83.3</v>
      </c>
      <c r="C23">
        <v>13.5</v>
      </c>
      <c r="D23">
        <v>3.1</v>
      </c>
      <c r="E23">
        <v>86.8</v>
      </c>
      <c r="F23">
        <v>9.5</v>
      </c>
      <c r="G23">
        <v>3.7</v>
      </c>
      <c r="H23">
        <v>88.8</v>
      </c>
      <c r="I23">
        <v>7.3</v>
      </c>
      <c r="J23">
        <v>3.9</v>
      </c>
      <c r="K23">
        <v>90.6</v>
      </c>
      <c r="L23">
        <v>4.5999999999999996</v>
      </c>
      <c r="M23">
        <v>4.8</v>
      </c>
      <c r="N23">
        <v>92.1</v>
      </c>
      <c r="O23">
        <v>3.5</v>
      </c>
      <c r="P23">
        <v>4.4000000000000004</v>
      </c>
      <c r="Q23">
        <v>82.2</v>
      </c>
      <c r="R23">
        <v>2.5</v>
      </c>
      <c r="S23">
        <v>15.3</v>
      </c>
      <c r="T23">
        <v>79.599999999999994</v>
      </c>
      <c r="U23">
        <v>4.9000000000000004</v>
      </c>
      <c r="V23">
        <v>15.5</v>
      </c>
      <c r="W23">
        <v>84.4</v>
      </c>
      <c r="X23">
        <v>2.5</v>
      </c>
      <c r="Y23">
        <v>13.1</v>
      </c>
      <c r="Z23">
        <v>77.5</v>
      </c>
      <c r="AA23">
        <v>3.9</v>
      </c>
      <c r="AB23">
        <v>18.600000000000001</v>
      </c>
      <c r="AC23">
        <v>84.8</v>
      </c>
      <c r="AD23">
        <v>2.2999999999999998</v>
      </c>
      <c r="AE23">
        <v>12.9</v>
      </c>
      <c r="AF23">
        <v>85.4</v>
      </c>
      <c r="AG23">
        <v>1.2</v>
      </c>
      <c r="AH23">
        <v>13.5</v>
      </c>
      <c r="AI23">
        <v>76</v>
      </c>
      <c r="AJ23">
        <v>2.2999999999999998</v>
      </c>
      <c r="AK23">
        <v>21.6</v>
      </c>
    </row>
    <row r="24" spans="1:37" x14ac:dyDescent="0.25">
      <c r="A24" t="s">
        <v>304</v>
      </c>
      <c r="B24">
        <v>73.099999999999994</v>
      </c>
      <c r="C24">
        <v>17.5</v>
      </c>
      <c r="D24">
        <v>9.4</v>
      </c>
      <c r="E24">
        <v>79.2</v>
      </c>
      <c r="F24">
        <v>11</v>
      </c>
      <c r="G24">
        <v>9.9</v>
      </c>
      <c r="H24">
        <v>77.8</v>
      </c>
      <c r="I24">
        <v>8.5</v>
      </c>
      <c r="J24">
        <v>13.7</v>
      </c>
      <c r="K24">
        <v>85.9</v>
      </c>
      <c r="L24">
        <v>5.8</v>
      </c>
      <c r="M24">
        <v>8.3000000000000007</v>
      </c>
      <c r="N24">
        <v>85.4</v>
      </c>
      <c r="O24">
        <v>3</v>
      </c>
      <c r="P24">
        <v>11.6</v>
      </c>
      <c r="Q24">
        <v>62.4</v>
      </c>
      <c r="R24">
        <v>2.5</v>
      </c>
      <c r="S24">
        <v>35.200000000000003</v>
      </c>
      <c r="T24">
        <v>75.8</v>
      </c>
      <c r="U24">
        <v>3</v>
      </c>
      <c r="V24">
        <v>21.1</v>
      </c>
      <c r="W24">
        <v>82.9</v>
      </c>
      <c r="X24">
        <v>1.9</v>
      </c>
      <c r="Y24">
        <v>15.2</v>
      </c>
      <c r="Z24">
        <v>76.400000000000006</v>
      </c>
      <c r="AA24">
        <v>2.6</v>
      </c>
      <c r="AB24">
        <v>21</v>
      </c>
      <c r="AC24">
        <v>84.1</v>
      </c>
      <c r="AD24">
        <v>2.2999999999999998</v>
      </c>
      <c r="AE24">
        <v>13.7</v>
      </c>
      <c r="AF24">
        <v>95.6</v>
      </c>
      <c r="AG24">
        <v>0.3</v>
      </c>
      <c r="AH24">
        <v>4.0999999999999996</v>
      </c>
      <c r="AI24">
        <v>79.599999999999994</v>
      </c>
      <c r="AJ24">
        <v>4.9000000000000004</v>
      </c>
      <c r="AK24">
        <v>15.4</v>
      </c>
    </row>
    <row r="25" spans="1:37" x14ac:dyDescent="0.25">
      <c r="A25" t="s">
        <v>305</v>
      </c>
      <c r="B25">
        <v>89.6</v>
      </c>
      <c r="C25">
        <v>8.4</v>
      </c>
      <c r="D25">
        <v>2</v>
      </c>
      <c r="E25">
        <v>94.4</v>
      </c>
      <c r="F25">
        <v>5</v>
      </c>
      <c r="G25">
        <v>0.6</v>
      </c>
      <c r="H25">
        <v>94.8</v>
      </c>
      <c r="I25">
        <v>4</v>
      </c>
      <c r="J25">
        <v>1.2</v>
      </c>
      <c r="K25">
        <v>95.2</v>
      </c>
      <c r="L25">
        <v>2.9</v>
      </c>
      <c r="M25">
        <v>2</v>
      </c>
      <c r="N25">
        <v>95.3</v>
      </c>
      <c r="O25">
        <v>2.6</v>
      </c>
      <c r="P25">
        <v>2.1</v>
      </c>
      <c r="Q25">
        <v>92.7</v>
      </c>
      <c r="R25">
        <v>1.8</v>
      </c>
      <c r="S25">
        <v>5.5</v>
      </c>
      <c r="T25">
        <v>82.3</v>
      </c>
      <c r="U25">
        <v>2.7</v>
      </c>
      <c r="V25">
        <v>15</v>
      </c>
      <c r="W25">
        <v>80.900000000000006</v>
      </c>
      <c r="X25">
        <v>1.5</v>
      </c>
      <c r="Y25">
        <v>17.7</v>
      </c>
      <c r="Z25">
        <v>78.599999999999994</v>
      </c>
      <c r="AA25">
        <v>2</v>
      </c>
      <c r="AB25">
        <v>19.399999999999999</v>
      </c>
      <c r="AC25">
        <v>80</v>
      </c>
      <c r="AD25">
        <v>1.3</v>
      </c>
      <c r="AE25">
        <v>18.7</v>
      </c>
      <c r="AF25">
        <v>86.8</v>
      </c>
      <c r="AG25">
        <v>0.4</v>
      </c>
      <c r="AH25">
        <v>12.8</v>
      </c>
      <c r="AI25">
        <v>73.900000000000006</v>
      </c>
      <c r="AJ25">
        <v>2.2000000000000002</v>
      </c>
      <c r="AK25">
        <v>23.9</v>
      </c>
    </row>
    <row r="26" spans="1:37" x14ac:dyDescent="0.25">
      <c r="A26" t="s">
        <v>306</v>
      </c>
      <c r="B26">
        <v>86.6</v>
      </c>
      <c r="C26">
        <v>11.9</v>
      </c>
      <c r="D26">
        <v>1.5</v>
      </c>
      <c r="E26">
        <v>86.9</v>
      </c>
      <c r="F26">
        <v>9.6</v>
      </c>
      <c r="G26">
        <v>3.5</v>
      </c>
      <c r="H26">
        <v>88.1</v>
      </c>
      <c r="I26">
        <v>8.9</v>
      </c>
      <c r="J26">
        <v>3</v>
      </c>
      <c r="K26">
        <v>89.3</v>
      </c>
      <c r="L26">
        <v>6.5</v>
      </c>
      <c r="M26">
        <v>4.2</v>
      </c>
      <c r="N26">
        <v>88.9</v>
      </c>
      <c r="O26">
        <v>6.3</v>
      </c>
      <c r="P26">
        <v>4.8</v>
      </c>
      <c r="Q26">
        <v>82.9</v>
      </c>
      <c r="R26">
        <v>6.5</v>
      </c>
      <c r="S26">
        <v>10.7</v>
      </c>
      <c r="T26">
        <v>83.6</v>
      </c>
      <c r="U26">
        <v>3.4</v>
      </c>
      <c r="V26">
        <v>12.9</v>
      </c>
      <c r="W26">
        <v>83.4</v>
      </c>
      <c r="X26">
        <v>2.8</v>
      </c>
      <c r="Y26">
        <v>13.8</v>
      </c>
      <c r="Z26">
        <v>92.9</v>
      </c>
      <c r="AA26">
        <v>4.5</v>
      </c>
      <c r="AB26">
        <v>2.7</v>
      </c>
      <c r="AC26">
        <v>83.2</v>
      </c>
      <c r="AD26">
        <v>1.3</v>
      </c>
      <c r="AE26">
        <v>15.5</v>
      </c>
      <c r="AF26">
        <v>87.4</v>
      </c>
      <c r="AG26">
        <v>0.8</v>
      </c>
      <c r="AH26">
        <v>11.8</v>
      </c>
      <c r="AI26">
        <v>62.6</v>
      </c>
      <c r="AJ26">
        <v>3.9</v>
      </c>
      <c r="AK26">
        <v>33.5</v>
      </c>
    </row>
    <row r="27" spans="1:37" x14ac:dyDescent="0.25">
      <c r="A27" t="s">
        <v>307</v>
      </c>
      <c r="B27">
        <v>84</v>
      </c>
      <c r="C27">
        <v>10.1</v>
      </c>
      <c r="D27">
        <v>5.9</v>
      </c>
      <c r="E27">
        <v>87.1</v>
      </c>
      <c r="F27">
        <v>7.4</v>
      </c>
      <c r="G27">
        <v>5.5</v>
      </c>
      <c r="H27">
        <v>86.7</v>
      </c>
      <c r="I27">
        <v>5.8</v>
      </c>
      <c r="J27">
        <v>7.5</v>
      </c>
      <c r="K27">
        <v>88.7</v>
      </c>
      <c r="L27">
        <v>4.4000000000000004</v>
      </c>
      <c r="M27">
        <v>7</v>
      </c>
      <c r="N27">
        <v>86.6</v>
      </c>
      <c r="O27">
        <v>3.6</v>
      </c>
      <c r="P27">
        <v>9.8000000000000007</v>
      </c>
      <c r="Q27">
        <v>49.3</v>
      </c>
      <c r="R27">
        <v>2.5</v>
      </c>
      <c r="S27">
        <v>48.2</v>
      </c>
      <c r="T27">
        <v>74</v>
      </c>
      <c r="U27">
        <v>3.9</v>
      </c>
      <c r="V27">
        <v>22.2</v>
      </c>
      <c r="W27">
        <v>79.400000000000006</v>
      </c>
      <c r="X27">
        <v>2.6</v>
      </c>
      <c r="Y27">
        <v>18</v>
      </c>
      <c r="Z27">
        <v>51.6</v>
      </c>
      <c r="AA27">
        <v>3.7</v>
      </c>
      <c r="AB27">
        <v>44.7</v>
      </c>
      <c r="AC27">
        <v>82.3</v>
      </c>
      <c r="AD27">
        <v>1.6</v>
      </c>
      <c r="AE27">
        <v>16.100000000000001</v>
      </c>
      <c r="AF27">
        <v>89</v>
      </c>
      <c r="AG27">
        <v>0.6</v>
      </c>
      <c r="AH27">
        <v>10.3</v>
      </c>
      <c r="AI27">
        <v>71.099999999999994</v>
      </c>
      <c r="AJ27">
        <v>2.4</v>
      </c>
      <c r="AK27">
        <v>26.5</v>
      </c>
    </row>
    <row r="28" spans="1:37" x14ac:dyDescent="0.25">
      <c r="A28" t="s">
        <v>266</v>
      </c>
      <c r="B28">
        <v>84.8</v>
      </c>
      <c r="C28">
        <v>11.1</v>
      </c>
      <c r="D28">
        <v>4.0999999999999996</v>
      </c>
      <c r="E28">
        <v>88.4</v>
      </c>
      <c r="F28">
        <v>7.9</v>
      </c>
      <c r="G28">
        <v>3.8</v>
      </c>
      <c r="H28">
        <v>89.5</v>
      </c>
      <c r="I28">
        <v>6.4</v>
      </c>
      <c r="J28">
        <v>4.0999999999999996</v>
      </c>
      <c r="K28">
        <v>90.3</v>
      </c>
      <c r="L28">
        <v>4.5999999999999996</v>
      </c>
      <c r="M28">
        <v>5.0999999999999996</v>
      </c>
      <c r="N28">
        <v>90.9</v>
      </c>
      <c r="O28">
        <v>3.6</v>
      </c>
      <c r="P28">
        <v>5.5</v>
      </c>
      <c r="Q28">
        <v>76</v>
      </c>
      <c r="R28">
        <v>2.8</v>
      </c>
      <c r="S28">
        <v>21.2</v>
      </c>
      <c r="T28">
        <v>80.3</v>
      </c>
      <c r="U28">
        <v>3.1</v>
      </c>
      <c r="V28">
        <v>16.600000000000001</v>
      </c>
      <c r="W28">
        <v>83.8</v>
      </c>
      <c r="X28">
        <v>1.9</v>
      </c>
      <c r="Y28">
        <v>14.3</v>
      </c>
      <c r="Z28">
        <v>70.099999999999994</v>
      </c>
      <c r="AA28">
        <v>3.4</v>
      </c>
      <c r="AB28">
        <v>26.5</v>
      </c>
      <c r="AC28">
        <v>84.3</v>
      </c>
      <c r="AD28">
        <v>1.2</v>
      </c>
      <c r="AE28">
        <v>14.5</v>
      </c>
      <c r="AF28">
        <v>90.8</v>
      </c>
      <c r="AG28">
        <v>0.7</v>
      </c>
      <c r="AH28">
        <v>8.5</v>
      </c>
      <c r="AI28">
        <v>66.599999999999994</v>
      </c>
      <c r="AJ28">
        <v>3.2</v>
      </c>
      <c r="AK28">
        <v>30.2</v>
      </c>
    </row>
    <row r="29" spans="1:37" x14ac:dyDescent="0.25">
      <c r="A29" t="s">
        <v>459</v>
      </c>
      <c r="B29">
        <v>86.6</v>
      </c>
      <c r="C29">
        <v>9</v>
      </c>
      <c r="D29">
        <v>4.4000000000000004</v>
      </c>
      <c r="E29">
        <v>90.9</v>
      </c>
      <c r="F29">
        <v>6.5</v>
      </c>
      <c r="G29">
        <v>2.5</v>
      </c>
      <c r="H29">
        <v>92.5</v>
      </c>
      <c r="I29">
        <v>4.7</v>
      </c>
      <c r="J29">
        <v>2.7</v>
      </c>
      <c r="K29">
        <v>93</v>
      </c>
      <c r="L29">
        <v>3.3</v>
      </c>
      <c r="M29">
        <v>3.6</v>
      </c>
      <c r="N29">
        <v>93.8</v>
      </c>
      <c r="O29">
        <v>2.2999999999999998</v>
      </c>
      <c r="P29">
        <v>3.9</v>
      </c>
      <c r="Q29">
        <v>79.3</v>
      </c>
      <c r="R29">
        <v>1.6</v>
      </c>
      <c r="S29">
        <v>19.100000000000001</v>
      </c>
      <c r="T29">
        <v>82.9</v>
      </c>
      <c r="U29">
        <v>3.7</v>
      </c>
      <c r="V29">
        <v>13.4</v>
      </c>
      <c r="W29">
        <v>92.7</v>
      </c>
      <c r="X29">
        <v>2.1</v>
      </c>
      <c r="Y29">
        <v>5.2</v>
      </c>
      <c r="Z29">
        <v>73</v>
      </c>
      <c r="AA29">
        <v>4.4000000000000004</v>
      </c>
      <c r="AB29">
        <v>22.7</v>
      </c>
      <c r="AC29">
        <v>91.2</v>
      </c>
      <c r="AD29">
        <v>1.3</v>
      </c>
      <c r="AE29">
        <v>7.5</v>
      </c>
      <c r="AF29">
        <v>97.6</v>
      </c>
      <c r="AG29">
        <v>0.8</v>
      </c>
      <c r="AH29">
        <v>1.6</v>
      </c>
      <c r="AI29">
        <v>59.7</v>
      </c>
      <c r="AJ29">
        <v>3.2</v>
      </c>
      <c r="AK29">
        <v>37.1</v>
      </c>
    </row>
    <row r="30" spans="1:37" x14ac:dyDescent="0.25">
      <c r="A30" t="s">
        <v>460</v>
      </c>
      <c r="B30">
        <v>84.4</v>
      </c>
      <c r="C30">
        <v>11.5</v>
      </c>
      <c r="D30">
        <v>4.0999999999999996</v>
      </c>
      <c r="E30">
        <v>87.9</v>
      </c>
      <c r="F30">
        <v>8.1</v>
      </c>
      <c r="G30">
        <v>4</v>
      </c>
      <c r="H30">
        <v>88.9</v>
      </c>
      <c r="I30">
        <v>6.7</v>
      </c>
      <c r="J30">
        <v>4.4000000000000004</v>
      </c>
      <c r="K30">
        <v>89.8</v>
      </c>
      <c r="L30">
        <v>4.9000000000000004</v>
      </c>
      <c r="M30">
        <v>5.4</v>
      </c>
      <c r="N30">
        <v>90.4</v>
      </c>
      <c r="O30">
        <v>3.8</v>
      </c>
      <c r="P30">
        <v>5.8</v>
      </c>
      <c r="Q30">
        <v>75.400000000000006</v>
      </c>
      <c r="R30">
        <v>3</v>
      </c>
      <c r="S30">
        <v>21.6</v>
      </c>
      <c r="T30">
        <v>79.7</v>
      </c>
      <c r="U30">
        <v>2.9</v>
      </c>
      <c r="V30">
        <v>17.3</v>
      </c>
      <c r="W30">
        <v>81.7</v>
      </c>
      <c r="X30">
        <v>1.8</v>
      </c>
      <c r="Y30">
        <v>16.5</v>
      </c>
      <c r="Z30">
        <v>69.400000000000006</v>
      </c>
      <c r="AA30">
        <v>3.1</v>
      </c>
      <c r="AB30">
        <v>27.5</v>
      </c>
      <c r="AC30">
        <v>81.8</v>
      </c>
      <c r="AD30">
        <v>1.1000000000000001</v>
      </c>
      <c r="AE30">
        <v>17.100000000000001</v>
      </c>
      <c r="AF30">
        <v>88</v>
      </c>
      <c r="AG30">
        <v>0.6</v>
      </c>
      <c r="AH30">
        <v>11.3</v>
      </c>
      <c r="AI30">
        <v>70</v>
      </c>
      <c r="AJ30">
        <v>3.2</v>
      </c>
      <c r="AK30">
        <v>26.7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00B0F0"/>
  </sheetPr>
  <dimension ref="A1:W32"/>
  <sheetViews>
    <sheetView workbookViewId="0"/>
  </sheetViews>
  <sheetFormatPr defaultRowHeight="15" x14ac:dyDescent="0.25"/>
  <cols>
    <col min="1" max="1" width="25.140625" customWidth="1"/>
    <col min="2" max="2" width="7.28515625" customWidth="1"/>
    <col min="7" max="7" width="7.42578125" customWidth="1"/>
    <col min="8" max="8" width="7.28515625" customWidth="1"/>
    <col min="14" max="14" width="7.42578125" customWidth="1"/>
    <col min="15" max="15" width="7.28515625" customWidth="1"/>
    <col min="20" max="20" width="7.42578125" customWidth="1"/>
    <col min="21" max="21" width="7.28515625" customWidth="1"/>
    <col min="23" max="23" width="7.140625" customWidth="1"/>
  </cols>
  <sheetData>
    <row r="1" spans="1:23" x14ac:dyDescent="0.25">
      <c r="A1" s="29" t="s">
        <v>791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25">
      <c r="A2" s="29" t="s">
        <v>709</v>
      </c>
      <c r="B2" s="29" t="s">
        <v>792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 t="s">
        <v>793</v>
      </c>
      <c r="O2" s="29"/>
      <c r="P2" s="29"/>
      <c r="Q2" s="29"/>
      <c r="R2" s="29"/>
      <c r="S2" s="29"/>
      <c r="T2" s="29"/>
      <c r="U2" s="29"/>
      <c r="V2" s="29"/>
    </row>
    <row r="3" spans="1:23" x14ac:dyDescent="0.25">
      <c r="A3" s="29"/>
      <c r="B3" s="29" t="s">
        <v>794</v>
      </c>
      <c r="C3" s="29"/>
      <c r="D3" s="29"/>
      <c r="E3" s="29" t="s">
        <v>346</v>
      </c>
      <c r="F3" s="29"/>
      <c r="G3" s="29"/>
      <c r="H3" s="29" t="s">
        <v>616</v>
      </c>
      <c r="I3" s="29"/>
      <c r="J3" s="29"/>
      <c r="K3" s="29" t="s">
        <v>617</v>
      </c>
      <c r="L3" s="29"/>
      <c r="M3" s="29"/>
      <c r="N3" s="29" t="s">
        <v>346</v>
      </c>
      <c r="O3" s="29"/>
      <c r="P3" s="29"/>
      <c r="Q3" s="29" t="s">
        <v>616</v>
      </c>
      <c r="R3" s="29"/>
      <c r="S3" s="29"/>
      <c r="T3" s="29" t="s">
        <v>617</v>
      </c>
      <c r="U3" s="29"/>
      <c r="V3" s="29"/>
    </row>
    <row r="4" spans="1:23" x14ac:dyDescent="0.25">
      <c r="A4" s="29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263</v>
      </c>
      <c r="I4" t="s">
        <v>264</v>
      </c>
      <c r="J4" t="s">
        <v>618</v>
      </c>
      <c r="K4" t="s">
        <v>263</v>
      </c>
      <c r="L4" t="s">
        <v>264</v>
      </c>
      <c r="M4" t="s">
        <v>618</v>
      </c>
      <c r="N4" t="s">
        <v>263</v>
      </c>
      <c r="O4" t="s">
        <v>264</v>
      </c>
      <c r="P4" t="s">
        <v>618</v>
      </c>
      <c r="Q4" t="s">
        <v>263</v>
      </c>
      <c r="R4" t="s">
        <v>264</v>
      </c>
      <c r="S4" t="s">
        <v>618</v>
      </c>
      <c r="T4" t="s">
        <v>263</v>
      </c>
      <c r="U4" t="s">
        <v>264</v>
      </c>
      <c r="V4" t="s">
        <v>618</v>
      </c>
    </row>
    <row r="5" spans="1:23" x14ac:dyDescent="0.25">
      <c r="A5" t="s">
        <v>283</v>
      </c>
      <c r="B5">
        <v>84</v>
      </c>
      <c r="C5">
        <v>88</v>
      </c>
      <c r="D5">
        <v>80.3</v>
      </c>
      <c r="E5">
        <v>82.1</v>
      </c>
      <c r="F5">
        <v>86.9</v>
      </c>
      <c r="G5">
        <v>77.7</v>
      </c>
      <c r="H5">
        <v>52.7</v>
      </c>
      <c r="I5">
        <v>59.8</v>
      </c>
      <c r="J5">
        <v>45.9</v>
      </c>
      <c r="K5">
        <v>33</v>
      </c>
      <c r="L5">
        <v>40</v>
      </c>
      <c r="M5">
        <v>26.4</v>
      </c>
      <c r="N5">
        <v>75.8</v>
      </c>
      <c r="O5">
        <v>78.8</v>
      </c>
      <c r="P5">
        <v>73.099999999999994</v>
      </c>
      <c r="Q5">
        <v>36.299999999999997</v>
      </c>
      <c r="R5">
        <v>41.4</v>
      </c>
      <c r="S5">
        <v>31.6</v>
      </c>
      <c r="T5">
        <v>17.7</v>
      </c>
      <c r="U5">
        <v>19.8</v>
      </c>
      <c r="V5">
        <v>15.8</v>
      </c>
    </row>
    <row r="6" spans="1:23" x14ac:dyDescent="0.25">
      <c r="A6" t="s">
        <v>284</v>
      </c>
      <c r="B6">
        <v>76.8</v>
      </c>
      <c r="C6">
        <v>80</v>
      </c>
      <c r="D6">
        <v>74</v>
      </c>
      <c r="E6">
        <v>71.3</v>
      </c>
      <c r="F6">
        <v>75.2</v>
      </c>
      <c r="G6">
        <v>67.8</v>
      </c>
      <c r="H6">
        <v>35.700000000000003</v>
      </c>
      <c r="I6">
        <v>40.799999999999997</v>
      </c>
      <c r="J6">
        <v>31.1</v>
      </c>
      <c r="K6">
        <v>20.7</v>
      </c>
      <c r="L6">
        <v>24.5</v>
      </c>
      <c r="M6">
        <v>17.100000000000001</v>
      </c>
      <c r="N6">
        <v>82.4</v>
      </c>
      <c r="O6">
        <v>85.9</v>
      </c>
      <c r="P6">
        <v>79.2</v>
      </c>
      <c r="Q6">
        <v>35.9</v>
      </c>
      <c r="R6">
        <v>41.4</v>
      </c>
      <c r="S6">
        <v>30.8</v>
      </c>
      <c r="T6">
        <v>17.2</v>
      </c>
      <c r="U6">
        <v>20.3</v>
      </c>
      <c r="V6">
        <v>14.4</v>
      </c>
    </row>
    <row r="7" spans="1:23" x14ac:dyDescent="0.25">
      <c r="A7" t="s">
        <v>285</v>
      </c>
      <c r="B7">
        <v>80.8</v>
      </c>
      <c r="C7">
        <v>85.2</v>
      </c>
      <c r="D7">
        <v>76.900000000000006</v>
      </c>
      <c r="E7">
        <v>75.5</v>
      </c>
      <c r="F7">
        <v>80.5</v>
      </c>
      <c r="G7">
        <v>71</v>
      </c>
      <c r="H7">
        <v>36.5</v>
      </c>
      <c r="I7">
        <v>42.2</v>
      </c>
      <c r="J7">
        <v>31.2</v>
      </c>
      <c r="K7">
        <v>17.100000000000001</v>
      </c>
      <c r="L7">
        <v>20.8</v>
      </c>
      <c r="M7">
        <v>13.8</v>
      </c>
      <c r="N7">
        <v>87.4</v>
      </c>
      <c r="O7">
        <v>91.9</v>
      </c>
      <c r="P7">
        <v>83.1</v>
      </c>
      <c r="Q7">
        <v>47.9</v>
      </c>
      <c r="R7">
        <v>56.1</v>
      </c>
      <c r="S7">
        <v>40.4</v>
      </c>
      <c r="T7">
        <v>28</v>
      </c>
      <c r="U7">
        <v>34</v>
      </c>
      <c r="V7">
        <v>22.6</v>
      </c>
    </row>
    <row r="8" spans="1:23" x14ac:dyDescent="0.25">
      <c r="A8" t="s">
        <v>286</v>
      </c>
      <c r="B8">
        <v>88.1</v>
      </c>
      <c r="C8">
        <v>91.8</v>
      </c>
      <c r="D8">
        <v>84.8</v>
      </c>
      <c r="E8">
        <v>83.5</v>
      </c>
      <c r="F8">
        <v>88.5</v>
      </c>
      <c r="G8">
        <v>78.8</v>
      </c>
      <c r="H8">
        <v>50.8</v>
      </c>
      <c r="I8">
        <v>60.8</v>
      </c>
      <c r="J8">
        <v>41.6</v>
      </c>
      <c r="K8">
        <v>29</v>
      </c>
      <c r="L8">
        <v>36</v>
      </c>
      <c r="M8">
        <v>22.6</v>
      </c>
      <c r="N8">
        <v>83.4</v>
      </c>
      <c r="O8">
        <v>87.8</v>
      </c>
      <c r="P8">
        <v>79.2</v>
      </c>
      <c r="Q8">
        <v>47.5</v>
      </c>
      <c r="R8">
        <v>54.5</v>
      </c>
      <c r="S8">
        <v>41</v>
      </c>
      <c r="T8">
        <v>25.2</v>
      </c>
      <c r="U8">
        <v>30</v>
      </c>
      <c r="V8">
        <v>21</v>
      </c>
    </row>
    <row r="9" spans="1:23" x14ac:dyDescent="0.25">
      <c r="A9" t="s">
        <v>287</v>
      </c>
      <c r="B9">
        <v>86.2</v>
      </c>
      <c r="C9">
        <v>89.5</v>
      </c>
      <c r="D9">
        <v>83.2</v>
      </c>
      <c r="E9">
        <v>82.5</v>
      </c>
      <c r="F9">
        <v>87.3</v>
      </c>
      <c r="G9">
        <v>78.2</v>
      </c>
      <c r="H9">
        <v>37.4</v>
      </c>
      <c r="I9">
        <v>42.2</v>
      </c>
      <c r="J9">
        <v>33</v>
      </c>
      <c r="K9">
        <v>15.5</v>
      </c>
      <c r="L9">
        <v>19.3</v>
      </c>
      <c r="M9">
        <v>12.3</v>
      </c>
      <c r="N9">
        <v>84</v>
      </c>
      <c r="O9">
        <v>87.3</v>
      </c>
      <c r="P9">
        <v>80.7</v>
      </c>
      <c r="Q9">
        <v>41.6</v>
      </c>
      <c r="R9">
        <v>46.1</v>
      </c>
      <c r="S9">
        <v>37.5</v>
      </c>
      <c r="T9">
        <v>21.1</v>
      </c>
      <c r="U9">
        <v>23.8</v>
      </c>
      <c r="V9">
        <v>18.7</v>
      </c>
    </row>
    <row r="10" spans="1:23" x14ac:dyDescent="0.25">
      <c r="A10" t="s">
        <v>288</v>
      </c>
      <c r="B10">
        <v>81.7</v>
      </c>
      <c r="C10">
        <v>88.7</v>
      </c>
      <c r="D10">
        <v>75.400000000000006</v>
      </c>
      <c r="E10">
        <v>76.3</v>
      </c>
      <c r="F10">
        <v>84.5</v>
      </c>
      <c r="G10">
        <v>69</v>
      </c>
      <c r="H10">
        <v>36.1</v>
      </c>
      <c r="I10">
        <v>42.1</v>
      </c>
      <c r="J10">
        <v>30.7</v>
      </c>
      <c r="K10">
        <v>17.7</v>
      </c>
      <c r="L10">
        <v>21.4</v>
      </c>
      <c r="M10">
        <v>14.3</v>
      </c>
      <c r="N10">
        <v>79.7</v>
      </c>
      <c r="O10">
        <v>85.8</v>
      </c>
      <c r="P10">
        <v>73.900000000000006</v>
      </c>
      <c r="Q10">
        <v>44.3</v>
      </c>
      <c r="R10">
        <v>50.7</v>
      </c>
      <c r="S10">
        <v>38.4</v>
      </c>
      <c r="T10">
        <v>24.9</v>
      </c>
      <c r="U10">
        <v>30.6</v>
      </c>
      <c r="V10">
        <v>19.8</v>
      </c>
    </row>
    <row r="11" spans="1:23" x14ac:dyDescent="0.25">
      <c r="A11" t="s">
        <v>289</v>
      </c>
      <c r="B11">
        <v>85.9</v>
      </c>
      <c r="C11">
        <v>90</v>
      </c>
      <c r="D11">
        <v>82.3</v>
      </c>
      <c r="E11">
        <v>79.5</v>
      </c>
      <c r="F11">
        <v>86.5</v>
      </c>
      <c r="G11">
        <v>73.400000000000006</v>
      </c>
      <c r="H11">
        <v>39.200000000000003</v>
      </c>
      <c r="I11">
        <v>47.4</v>
      </c>
      <c r="J11">
        <v>32.4</v>
      </c>
      <c r="K11">
        <v>21.8</v>
      </c>
      <c r="L11">
        <v>28.1</v>
      </c>
      <c r="M11">
        <v>16.7</v>
      </c>
      <c r="N11">
        <v>73.900000000000006</v>
      </c>
      <c r="O11">
        <v>77.3</v>
      </c>
      <c r="P11">
        <v>70.7</v>
      </c>
      <c r="Q11">
        <v>45.8</v>
      </c>
      <c r="R11">
        <v>51.2</v>
      </c>
      <c r="S11">
        <v>40.799999999999997</v>
      </c>
      <c r="T11">
        <v>28</v>
      </c>
      <c r="U11">
        <v>31.2</v>
      </c>
      <c r="V11">
        <v>25.1</v>
      </c>
    </row>
    <row r="12" spans="1:23" x14ac:dyDescent="0.25">
      <c r="A12" t="s">
        <v>290</v>
      </c>
      <c r="B12">
        <v>88.5</v>
      </c>
      <c r="C12">
        <v>92.6</v>
      </c>
      <c r="D12">
        <v>84.9</v>
      </c>
      <c r="E12">
        <v>84.9</v>
      </c>
      <c r="F12">
        <v>90.2</v>
      </c>
      <c r="G12">
        <v>80.3</v>
      </c>
      <c r="H12">
        <v>59.5</v>
      </c>
      <c r="I12">
        <v>67.3</v>
      </c>
      <c r="J12">
        <v>52.5</v>
      </c>
      <c r="K12">
        <v>39.200000000000003</v>
      </c>
      <c r="L12">
        <v>45.9</v>
      </c>
      <c r="M12">
        <v>33.1</v>
      </c>
      <c r="N12">
        <v>92.5</v>
      </c>
      <c r="O12">
        <v>95.8</v>
      </c>
      <c r="P12">
        <v>89.4</v>
      </c>
      <c r="Q12">
        <v>47</v>
      </c>
      <c r="R12">
        <v>52.8</v>
      </c>
      <c r="S12">
        <v>41.6</v>
      </c>
      <c r="T12">
        <v>25.7</v>
      </c>
      <c r="U12">
        <v>29.6</v>
      </c>
      <c r="V12">
        <v>22.1</v>
      </c>
    </row>
    <row r="13" spans="1:23" x14ac:dyDescent="0.25">
      <c r="A13" t="s">
        <v>291</v>
      </c>
      <c r="B13">
        <v>108.6</v>
      </c>
      <c r="C13">
        <v>111.8</v>
      </c>
      <c r="D13">
        <v>104.7</v>
      </c>
      <c r="E13">
        <v>105.6</v>
      </c>
      <c r="F13">
        <v>107.2</v>
      </c>
      <c r="G13">
        <v>103.4</v>
      </c>
      <c r="H13">
        <v>53.4</v>
      </c>
      <c r="I13">
        <v>60.1</v>
      </c>
      <c r="J13">
        <v>46.8</v>
      </c>
      <c r="K13">
        <v>34.799999999999997</v>
      </c>
      <c r="L13">
        <v>40.299999999999997</v>
      </c>
      <c r="M13">
        <v>29.5</v>
      </c>
      <c r="N13">
        <v>47.1</v>
      </c>
      <c r="O13">
        <v>51.1</v>
      </c>
      <c r="P13">
        <v>43.4</v>
      </c>
      <c r="Q13">
        <v>28</v>
      </c>
      <c r="R13">
        <v>31.2</v>
      </c>
      <c r="S13">
        <v>25.1</v>
      </c>
      <c r="T13">
        <v>23.1</v>
      </c>
      <c r="U13">
        <v>26.4</v>
      </c>
      <c r="V13">
        <v>20.100000000000001</v>
      </c>
    </row>
    <row r="14" spans="1:23" x14ac:dyDescent="0.25">
      <c r="A14" t="s">
        <v>292</v>
      </c>
      <c r="B14">
        <v>75.8</v>
      </c>
      <c r="C14">
        <v>75.400000000000006</v>
      </c>
      <c r="D14">
        <v>76</v>
      </c>
      <c r="E14">
        <v>71.400000000000006</v>
      </c>
      <c r="F14">
        <v>0</v>
      </c>
      <c r="G14">
        <v>65.400000000000006</v>
      </c>
      <c r="H14">
        <v>44.3</v>
      </c>
      <c r="I14">
        <v>0</v>
      </c>
      <c r="J14">
        <v>39.4</v>
      </c>
      <c r="K14">
        <v>27</v>
      </c>
      <c r="L14">
        <v>0</v>
      </c>
      <c r="M14">
        <v>21.1</v>
      </c>
      <c r="N14">
        <v>61.4</v>
      </c>
      <c r="O14">
        <v>68.599999999999994</v>
      </c>
      <c r="P14">
        <v>54.6</v>
      </c>
      <c r="Q14">
        <v>34.200000000000003</v>
      </c>
      <c r="R14">
        <v>36.5</v>
      </c>
      <c r="S14">
        <v>31.9</v>
      </c>
      <c r="T14">
        <v>17.5</v>
      </c>
      <c r="U14">
        <v>16</v>
      </c>
      <c r="V14">
        <v>18.899999999999999</v>
      </c>
    </row>
    <row r="15" spans="1:23" x14ac:dyDescent="0.25">
      <c r="A15" t="s">
        <v>293</v>
      </c>
      <c r="B15">
        <v>62.5</v>
      </c>
      <c r="C15">
        <v>66.400000000000006</v>
      </c>
      <c r="D15">
        <v>59</v>
      </c>
      <c r="E15">
        <v>56</v>
      </c>
      <c r="F15">
        <v>60.2</v>
      </c>
      <c r="G15">
        <v>52</v>
      </c>
      <c r="H15">
        <v>28.7</v>
      </c>
      <c r="I15">
        <v>32.4</v>
      </c>
      <c r="J15">
        <v>25.3</v>
      </c>
      <c r="K15">
        <v>16.2</v>
      </c>
      <c r="L15">
        <v>19.600000000000001</v>
      </c>
      <c r="M15">
        <v>13.1</v>
      </c>
      <c r="N15">
        <v>78</v>
      </c>
      <c r="O15">
        <v>82.2</v>
      </c>
      <c r="P15">
        <v>73.8</v>
      </c>
      <c r="Q15">
        <v>32.799999999999997</v>
      </c>
      <c r="R15">
        <v>37.4</v>
      </c>
      <c r="S15">
        <v>28.5</v>
      </c>
      <c r="T15">
        <v>19.600000000000001</v>
      </c>
      <c r="U15">
        <v>22.8</v>
      </c>
      <c r="V15">
        <v>16.7</v>
      </c>
    </row>
    <row r="16" spans="1:23" x14ac:dyDescent="0.25">
      <c r="A16" t="s">
        <v>294</v>
      </c>
      <c r="B16">
        <v>67.8</v>
      </c>
      <c r="C16">
        <v>75.2</v>
      </c>
      <c r="D16">
        <v>61.5</v>
      </c>
      <c r="E16">
        <v>59.4</v>
      </c>
      <c r="F16">
        <v>66.099999999999994</v>
      </c>
      <c r="G16">
        <v>53.7</v>
      </c>
      <c r="H16">
        <v>36.4</v>
      </c>
      <c r="I16">
        <v>43.3</v>
      </c>
      <c r="J16">
        <v>30.5</v>
      </c>
      <c r="K16">
        <v>25.3</v>
      </c>
      <c r="L16">
        <v>31.7</v>
      </c>
      <c r="M16">
        <v>19.8</v>
      </c>
      <c r="N16">
        <v>74.3</v>
      </c>
      <c r="O16">
        <v>79.5</v>
      </c>
      <c r="P16">
        <v>69.3</v>
      </c>
      <c r="Q16">
        <v>37.6</v>
      </c>
      <c r="R16">
        <v>42.7</v>
      </c>
      <c r="S16">
        <v>32.700000000000003</v>
      </c>
      <c r="T16">
        <v>21</v>
      </c>
      <c r="U16">
        <v>23.8</v>
      </c>
      <c r="V16">
        <v>18.3</v>
      </c>
    </row>
    <row r="17" spans="1:22" x14ac:dyDescent="0.25">
      <c r="A17" t="s">
        <v>295</v>
      </c>
      <c r="B17">
        <v>72.900000000000006</v>
      </c>
      <c r="C17">
        <v>76.3</v>
      </c>
      <c r="D17">
        <v>69.7</v>
      </c>
      <c r="E17">
        <v>66.900000000000006</v>
      </c>
      <c r="F17">
        <v>70.900000000000006</v>
      </c>
      <c r="G17">
        <v>63.2</v>
      </c>
      <c r="H17">
        <v>29.9</v>
      </c>
      <c r="I17">
        <v>32.9</v>
      </c>
      <c r="J17">
        <v>27.1</v>
      </c>
      <c r="K17">
        <v>15.9</v>
      </c>
      <c r="L17">
        <v>18.2</v>
      </c>
      <c r="M17">
        <v>13.8</v>
      </c>
      <c r="N17">
        <v>68.2</v>
      </c>
      <c r="O17">
        <v>72.900000000000006</v>
      </c>
      <c r="P17">
        <v>63.9</v>
      </c>
      <c r="Q17">
        <v>33.799999999999997</v>
      </c>
      <c r="R17">
        <v>37</v>
      </c>
      <c r="S17">
        <v>30.9</v>
      </c>
      <c r="T17">
        <v>17</v>
      </c>
      <c r="U17">
        <v>18.5</v>
      </c>
      <c r="V17">
        <v>15.5</v>
      </c>
    </row>
    <row r="18" spans="1:22" x14ac:dyDescent="0.25">
      <c r="A18" t="s">
        <v>296</v>
      </c>
      <c r="B18">
        <v>84.3</v>
      </c>
      <c r="C18">
        <v>87.8</v>
      </c>
      <c r="D18">
        <v>81.2</v>
      </c>
      <c r="E18">
        <v>81.2</v>
      </c>
      <c r="F18">
        <v>83.2</v>
      </c>
      <c r="G18">
        <v>79.400000000000006</v>
      </c>
      <c r="H18">
        <v>51.1</v>
      </c>
      <c r="I18">
        <v>54.9</v>
      </c>
      <c r="J18">
        <v>47.5</v>
      </c>
      <c r="K18">
        <v>31.2</v>
      </c>
      <c r="L18">
        <v>34</v>
      </c>
      <c r="M18">
        <v>28.3</v>
      </c>
      <c r="N18">
        <v>58.5</v>
      </c>
      <c r="O18">
        <v>60.2</v>
      </c>
      <c r="P18">
        <v>56.9</v>
      </c>
      <c r="Q18">
        <v>30.3</v>
      </c>
      <c r="R18">
        <v>32.1</v>
      </c>
      <c r="S18">
        <v>28.6</v>
      </c>
      <c r="T18">
        <v>12.5</v>
      </c>
      <c r="U18">
        <v>13.6</v>
      </c>
      <c r="V18">
        <v>11.4</v>
      </c>
    </row>
    <row r="19" spans="1:22" x14ac:dyDescent="0.25">
      <c r="A19" t="s">
        <v>297</v>
      </c>
      <c r="B19">
        <v>96</v>
      </c>
      <c r="C19">
        <v>100.9</v>
      </c>
      <c r="D19">
        <v>91.9</v>
      </c>
      <c r="E19">
        <v>93.8</v>
      </c>
      <c r="F19">
        <v>99.9</v>
      </c>
      <c r="G19">
        <v>88.5</v>
      </c>
      <c r="H19">
        <v>69</v>
      </c>
      <c r="I19">
        <v>76.2</v>
      </c>
      <c r="J19">
        <v>62.8</v>
      </c>
      <c r="K19">
        <v>0</v>
      </c>
      <c r="L19">
        <v>0</v>
      </c>
      <c r="M19">
        <v>0</v>
      </c>
      <c r="N19">
        <v>81.599999999999994</v>
      </c>
      <c r="O19">
        <v>86.1</v>
      </c>
      <c r="P19">
        <v>77.5</v>
      </c>
      <c r="Q19">
        <v>47.2</v>
      </c>
      <c r="R19">
        <v>47</v>
      </c>
      <c r="S19">
        <v>47.4</v>
      </c>
      <c r="T19">
        <v>27.6</v>
      </c>
      <c r="U19">
        <v>26</v>
      </c>
      <c r="V19">
        <v>29.6</v>
      </c>
    </row>
    <row r="20" spans="1:22" x14ac:dyDescent="0.25">
      <c r="A20" t="s">
        <v>298</v>
      </c>
      <c r="B20">
        <v>84</v>
      </c>
      <c r="C20">
        <v>83.8</v>
      </c>
      <c r="D20">
        <v>84.2</v>
      </c>
      <c r="E20">
        <v>81.5</v>
      </c>
      <c r="F20">
        <v>83.1</v>
      </c>
      <c r="G20">
        <v>79.7</v>
      </c>
      <c r="H20">
        <v>12.1</v>
      </c>
      <c r="I20">
        <v>13.2</v>
      </c>
      <c r="J20">
        <v>11</v>
      </c>
      <c r="K20">
        <v>1.1000000000000001</v>
      </c>
      <c r="L20">
        <v>1.2</v>
      </c>
      <c r="M20">
        <v>1.1000000000000001</v>
      </c>
      <c r="N20">
        <v>65.8</v>
      </c>
      <c r="O20">
        <v>68.8</v>
      </c>
      <c r="P20">
        <v>62.9</v>
      </c>
      <c r="Q20">
        <v>30.9</v>
      </c>
      <c r="R20">
        <v>32.700000000000003</v>
      </c>
      <c r="S20">
        <v>29.3</v>
      </c>
      <c r="T20">
        <v>15.2</v>
      </c>
      <c r="U20">
        <v>15.8</v>
      </c>
      <c r="V20">
        <v>14.6</v>
      </c>
    </row>
    <row r="21" spans="1:22" x14ac:dyDescent="0.25">
      <c r="A21" t="s">
        <v>299</v>
      </c>
      <c r="B21">
        <v>77.400000000000006</v>
      </c>
      <c r="C21">
        <v>84.1</v>
      </c>
      <c r="D21">
        <v>71.400000000000006</v>
      </c>
      <c r="E21">
        <v>70.599999999999994</v>
      </c>
      <c r="F21">
        <v>78.7</v>
      </c>
      <c r="G21">
        <v>63.3</v>
      </c>
      <c r="H21">
        <v>43.9</v>
      </c>
      <c r="I21">
        <v>50.9</v>
      </c>
      <c r="J21">
        <v>37.6</v>
      </c>
      <c r="K21">
        <v>24.5</v>
      </c>
      <c r="L21">
        <v>28.9</v>
      </c>
      <c r="M21">
        <v>20.6</v>
      </c>
      <c r="N21">
        <v>87.4</v>
      </c>
      <c r="O21">
        <v>94.8</v>
      </c>
      <c r="P21">
        <v>80.400000000000006</v>
      </c>
      <c r="Q21">
        <v>51.6</v>
      </c>
      <c r="R21">
        <v>58.3</v>
      </c>
      <c r="S21">
        <v>45.3</v>
      </c>
      <c r="T21">
        <v>25.5</v>
      </c>
      <c r="U21">
        <v>26.7</v>
      </c>
      <c r="V21">
        <v>24.4</v>
      </c>
    </row>
    <row r="22" spans="1:22" x14ac:dyDescent="0.25">
      <c r="A22" t="s">
        <v>300</v>
      </c>
      <c r="B22">
        <v>92.7</v>
      </c>
      <c r="C22">
        <v>93.2</v>
      </c>
      <c r="D22">
        <v>92.3</v>
      </c>
      <c r="E22">
        <v>89.7</v>
      </c>
      <c r="F22">
        <v>91.4</v>
      </c>
      <c r="G22">
        <v>88</v>
      </c>
      <c r="H22">
        <v>48.2</v>
      </c>
      <c r="I22">
        <v>51.2</v>
      </c>
      <c r="J22">
        <v>45.2</v>
      </c>
      <c r="K22">
        <v>19.5</v>
      </c>
      <c r="L22">
        <v>22</v>
      </c>
      <c r="M22">
        <v>17.100000000000001</v>
      </c>
      <c r="N22">
        <v>93</v>
      </c>
      <c r="O22">
        <v>94.8</v>
      </c>
      <c r="P22">
        <v>91.3</v>
      </c>
      <c r="Q22">
        <v>52.2</v>
      </c>
      <c r="R22">
        <v>57.9</v>
      </c>
      <c r="S22">
        <v>47</v>
      </c>
      <c r="T22">
        <v>26.5</v>
      </c>
      <c r="U22">
        <v>30.5</v>
      </c>
      <c r="V22">
        <v>23.1</v>
      </c>
    </row>
    <row r="23" spans="1:22" x14ac:dyDescent="0.25">
      <c r="A23" t="s">
        <v>301</v>
      </c>
      <c r="B23">
        <v>81.2</v>
      </c>
      <c r="C23">
        <v>85</v>
      </c>
      <c r="D23">
        <v>77.5</v>
      </c>
      <c r="E23">
        <v>74.5</v>
      </c>
      <c r="F23">
        <v>80.5</v>
      </c>
      <c r="G23">
        <v>69</v>
      </c>
      <c r="H23">
        <v>43.8</v>
      </c>
      <c r="I23">
        <v>49.7</v>
      </c>
      <c r="J23">
        <v>38.4</v>
      </c>
      <c r="K23">
        <v>32</v>
      </c>
      <c r="L23">
        <v>38</v>
      </c>
      <c r="M23">
        <v>26.6</v>
      </c>
      <c r="N23">
        <v>84.5</v>
      </c>
      <c r="O23">
        <v>91.1</v>
      </c>
      <c r="P23">
        <v>78.3</v>
      </c>
      <c r="Q23">
        <v>42.5</v>
      </c>
      <c r="R23">
        <v>47</v>
      </c>
      <c r="S23">
        <v>38.299999999999997</v>
      </c>
      <c r="T23">
        <v>22</v>
      </c>
      <c r="U23">
        <v>24.5</v>
      </c>
      <c r="V23">
        <v>19.600000000000001</v>
      </c>
    </row>
    <row r="24" spans="1:22" x14ac:dyDescent="0.25">
      <c r="A24" t="s">
        <v>302</v>
      </c>
      <c r="B24">
        <v>61.5</v>
      </c>
      <c r="C24">
        <v>63.4</v>
      </c>
      <c r="D24">
        <v>59.8</v>
      </c>
      <c r="E24">
        <v>52.4</v>
      </c>
      <c r="F24">
        <v>55.7</v>
      </c>
      <c r="G24">
        <v>49.3</v>
      </c>
      <c r="H24">
        <v>22.7</v>
      </c>
      <c r="I24">
        <v>24.9</v>
      </c>
      <c r="J24">
        <v>20.7</v>
      </c>
      <c r="K24">
        <v>13.1</v>
      </c>
      <c r="L24">
        <v>14.5</v>
      </c>
      <c r="M24">
        <v>11.8</v>
      </c>
      <c r="N24">
        <v>89.7</v>
      </c>
      <c r="O24">
        <v>94</v>
      </c>
      <c r="P24">
        <v>85.7</v>
      </c>
      <c r="Q24">
        <v>46.8</v>
      </c>
      <c r="R24">
        <v>48.2</v>
      </c>
      <c r="S24">
        <v>45.6</v>
      </c>
      <c r="T24">
        <v>20.6</v>
      </c>
      <c r="U24">
        <v>19.5</v>
      </c>
      <c r="V24">
        <v>21.7</v>
      </c>
    </row>
    <row r="25" spans="1:22" x14ac:dyDescent="0.25">
      <c r="A25" t="s">
        <v>303</v>
      </c>
      <c r="B25">
        <v>84.1</v>
      </c>
      <c r="C25">
        <v>89.4</v>
      </c>
      <c r="D25">
        <v>79.2</v>
      </c>
      <c r="E25">
        <v>80.3</v>
      </c>
      <c r="F25">
        <v>87.4</v>
      </c>
      <c r="G25">
        <v>73.8</v>
      </c>
      <c r="H25">
        <v>49</v>
      </c>
      <c r="I25">
        <v>56.7</v>
      </c>
      <c r="J25">
        <v>42</v>
      </c>
      <c r="K25">
        <v>29.7</v>
      </c>
      <c r="L25">
        <v>39.200000000000003</v>
      </c>
      <c r="M25">
        <v>21.3</v>
      </c>
      <c r="N25">
        <v>87.9</v>
      </c>
      <c r="O25">
        <v>95</v>
      </c>
      <c r="P25">
        <v>81.3</v>
      </c>
      <c r="Q25">
        <v>48.3</v>
      </c>
      <c r="R25">
        <v>55.8</v>
      </c>
      <c r="S25">
        <v>41.2</v>
      </c>
      <c r="T25">
        <v>27.5</v>
      </c>
      <c r="U25">
        <v>33.4</v>
      </c>
      <c r="V25">
        <v>22.1</v>
      </c>
    </row>
    <row r="26" spans="1:22" x14ac:dyDescent="0.25">
      <c r="A26" t="s">
        <v>304</v>
      </c>
      <c r="B26">
        <v>61.1</v>
      </c>
      <c r="C26">
        <v>65.2</v>
      </c>
      <c r="D26">
        <v>57.1</v>
      </c>
      <c r="E26">
        <v>53.8</v>
      </c>
      <c r="F26">
        <v>57.9</v>
      </c>
      <c r="G26">
        <v>49.9</v>
      </c>
      <c r="H26">
        <v>22.8</v>
      </c>
      <c r="I26">
        <v>25</v>
      </c>
      <c r="J26">
        <v>20.5</v>
      </c>
      <c r="K26">
        <v>14.7</v>
      </c>
      <c r="L26">
        <v>17.3</v>
      </c>
      <c r="M26">
        <v>12.3</v>
      </c>
      <c r="N26">
        <v>84.1</v>
      </c>
      <c r="O26">
        <v>88.3</v>
      </c>
      <c r="P26">
        <v>80.099999999999994</v>
      </c>
      <c r="Q26">
        <v>38</v>
      </c>
      <c r="R26">
        <v>40.4</v>
      </c>
      <c r="S26">
        <v>35.6</v>
      </c>
      <c r="T26">
        <v>18</v>
      </c>
      <c r="U26">
        <v>19.100000000000001</v>
      </c>
      <c r="V26">
        <v>16.8</v>
      </c>
    </row>
    <row r="27" spans="1:22" x14ac:dyDescent="0.25">
      <c r="A27" t="s">
        <v>305</v>
      </c>
      <c r="B27">
        <v>94</v>
      </c>
      <c r="C27">
        <v>96.7</v>
      </c>
      <c r="D27">
        <v>91.5</v>
      </c>
      <c r="E27">
        <v>92</v>
      </c>
      <c r="F27">
        <v>95.1</v>
      </c>
      <c r="G27">
        <v>89</v>
      </c>
      <c r="H27">
        <v>60.2</v>
      </c>
      <c r="I27">
        <v>64.900000000000006</v>
      </c>
      <c r="J27">
        <v>55.7</v>
      </c>
      <c r="K27">
        <v>34.1</v>
      </c>
      <c r="L27">
        <v>38.5</v>
      </c>
      <c r="M27">
        <v>30</v>
      </c>
      <c r="N27">
        <v>98</v>
      </c>
      <c r="O27">
        <v>100.8</v>
      </c>
      <c r="P27">
        <v>95.2</v>
      </c>
      <c r="Q27">
        <v>53.2</v>
      </c>
      <c r="R27">
        <v>58.6</v>
      </c>
      <c r="S27">
        <v>48.4</v>
      </c>
      <c r="T27">
        <v>28.9</v>
      </c>
      <c r="U27">
        <v>33.799999999999997</v>
      </c>
      <c r="V27">
        <v>24.7</v>
      </c>
    </row>
    <row r="28" spans="1:22" x14ac:dyDescent="0.25">
      <c r="A28" t="s">
        <v>306</v>
      </c>
      <c r="B28">
        <v>87.2</v>
      </c>
      <c r="C28">
        <v>93</v>
      </c>
      <c r="D28">
        <v>82.1</v>
      </c>
      <c r="E28">
        <v>82.8</v>
      </c>
      <c r="F28">
        <v>89.5</v>
      </c>
      <c r="G28">
        <v>76.8</v>
      </c>
      <c r="H28">
        <v>54.5</v>
      </c>
      <c r="I28">
        <v>62.4</v>
      </c>
      <c r="J28">
        <v>47.6</v>
      </c>
      <c r="K28">
        <v>39.299999999999997</v>
      </c>
      <c r="L28">
        <v>40.6</v>
      </c>
      <c r="M28">
        <v>0</v>
      </c>
      <c r="N28">
        <v>80.400000000000006</v>
      </c>
      <c r="O28">
        <v>84.1</v>
      </c>
      <c r="P28">
        <v>76.900000000000006</v>
      </c>
      <c r="Q28">
        <v>54.9</v>
      </c>
      <c r="R28">
        <v>60.3</v>
      </c>
      <c r="S28">
        <v>50</v>
      </c>
      <c r="T28">
        <v>34.200000000000003</v>
      </c>
      <c r="U28">
        <v>39.700000000000003</v>
      </c>
      <c r="V28">
        <v>29.5</v>
      </c>
    </row>
    <row r="29" spans="1:22" x14ac:dyDescent="0.25">
      <c r="A29" t="s">
        <v>307</v>
      </c>
      <c r="B29">
        <v>75.099999999999994</v>
      </c>
      <c r="C29">
        <v>78.3</v>
      </c>
      <c r="D29">
        <v>72.099999999999994</v>
      </c>
      <c r="E29">
        <v>67.400000000000006</v>
      </c>
      <c r="F29">
        <v>72.599999999999994</v>
      </c>
      <c r="G29">
        <v>62.8</v>
      </c>
      <c r="H29">
        <v>21.4</v>
      </c>
      <c r="I29">
        <v>24.6</v>
      </c>
      <c r="J29">
        <v>18.399999999999999</v>
      </c>
      <c r="K29">
        <v>8.6</v>
      </c>
      <c r="L29">
        <v>11.9</v>
      </c>
      <c r="M29">
        <v>5.8</v>
      </c>
      <c r="N29">
        <v>85.5</v>
      </c>
      <c r="O29">
        <v>90.2</v>
      </c>
      <c r="P29">
        <v>81.2</v>
      </c>
      <c r="Q29">
        <v>40.6</v>
      </c>
      <c r="R29">
        <v>47.2</v>
      </c>
      <c r="S29">
        <v>34.6</v>
      </c>
      <c r="T29">
        <v>19.5</v>
      </c>
      <c r="U29">
        <v>24.1</v>
      </c>
      <c r="V29">
        <v>15.4</v>
      </c>
    </row>
    <row r="30" spans="1:22" x14ac:dyDescent="0.25">
      <c r="A30" t="s">
        <v>266</v>
      </c>
      <c r="B30">
        <v>82.8</v>
      </c>
      <c r="C30">
        <v>86.6</v>
      </c>
      <c r="D30">
        <v>79.3</v>
      </c>
      <c r="E30">
        <v>78.099999999999994</v>
      </c>
      <c r="F30">
        <v>83.1</v>
      </c>
      <c r="G30">
        <v>73.400000000000006</v>
      </c>
      <c r="H30">
        <v>43.2</v>
      </c>
      <c r="I30">
        <v>48.9</v>
      </c>
      <c r="J30">
        <v>38.1</v>
      </c>
      <c r="K30">
        <v>24.5</v>
      </c>
      <c r="L30">
        <v>28.9</v>
      </c>
      <c r="M30">
        <v>20.5</v>
      </c>
      <c r="N30">
        <v>83.3</v>
      </c>
      <c r="O30">
        <v>87.6</v>
      </c>
      <c r="P30">
        <v>79.400000000000006</v>
      </c>
      <c r="Q30">
        <v>44.5</v>
      </c>
      <c r="R30">
        <v>49.5</v>
      </c>
      <c r="S30">
        <v>39.700000000000003</v>
      </c>
      <c r="T30">
        <v>24.2</v>
      </c>
      <c r="U30">
        <v>27.3</v>
      </c>
      <c r="V30">
        <v>21.3</v>
      </c>
    </row>
    <row r="31" spans="1:22" x14ac:dyDescent="0.25">
      <c r="A31" t="s">
        <v>459</v>
      </c>
      <c r="B31">
        <v>86.5</v>
      </c>
      <c r="C31">
        <v>91</v>
      </c>
      <c r="D31">
        <v>82.6</v>
      </c>
      <c r="E31">
        <v>83.1</v>
      </c>
      <c r="F31">
        <v>88.6</v>
      </c>
      <c r="G31">
        <v>78.2</v>
      </c>
      <c r="H31">
        <v>54.6</v>
      </c>
      <c r="I31">
        <v>60.8</v>
      </c>
      <c r="J31">
        <v>49.1</v>
      </c>
      <c r="K31">
        <v>37.9</v>
      </c>
      <c r="L31">
        <v>44</v>
      </c>
      <c r="M31">
        <v>32.5</v>
      </c>
      <c r="N31">
        <v>73.099999999999994</v>
      </c>
      <c r="O31">
        <v>77.2</v>
      </c>
      <c r="P31">
        <v>69.400000000000006</v>
      </c>
      <c r="Q31">
        <v>46</v>
      </c>
      <c r="R31">
        <v>48.2</v>
      </c>
      <c r="S31">
        <v>43.8</v>
      </c>
      <c r="T31">
        <v>33.700000000000003</v>
      </c>
      <c r="U31">
        <v>35.200000000000003</v>
      </c>
      <c r="V31">
        <v>32.299999999999997</v>
      </c>
    </row>
    <row r="32" spans="1:22" x14ac:dyDescent="0.25">
      <c r="A32" t="s">
        <v>460</v>
      </c>
      <c r="B32">
        <v>82</v>
      </c>
      <c r="C32">
        <v>85.8</v>
      </c>
      <c r="D32">
        <v>78.599999999999994</v>
      </c>
      <c r="E32">
        <v>77.099999999999994</v>
      </c>
      <c r="F32">
        <v>82.1</v>
      </c>
      <c r="G32">
        <v>72.5</v>
      </c>
      <c r="H32">
        <v>41</v>
      </c>
      <c r="I32">
        <v>46.6</v>
      </c>
      <c r="J32">
        <v>35.799999999999997</v>
      </c>
      <c r="K32">
        <v>21.5</v>
      </c>
      <c r="L32">
        <v>25.6</v>
      </c>
      <c r="M32">
        <v>17.8</v>
      </c>
      <c r="N32">
        <v>85.8</v>
      </c>
      <c r="O32">
        <v>90.1</v>
      </c>
      <c r="P32">
        <v>81.900000000000006</v>
      </c>
      <c r="Q32">
        <v>44.1</v>
      </c>
      <c r="R32">
        <v>49.9</v>
      </c>
      <c r="S32">
        <v>38.700000000000003</v>
      </c>
      <c r="T32">
        <v>21.4</v>
      </c>
      <c r="U32">
        <v>24.9</v>
      </c>
      <c r="V32">
        <v>18.3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FF66CC"/>
  </sheetPr>
  <dimension ref="A1:M31"/>
  <sheetViews>
    <sheetView workbookViewId="0"/>
  </sheetViews>
  <sheetFormatPr defaultRowHeight="15" x14ac:dyDescent="0.25"/>
  <cols>
    <col min="1" max="1" width="24.42578125" customWidth="1"/>
    <col min="2" max="2" width="13.42578125" customWidth="1"/>
    <col min="4" max="4" width="11.42578125" customWidth="1"/>
    <col min="5" max="5" width="12.42578125" customWidth="1"/>
    <col min="6" max="6" width="12.7109375" customWidth="1"/>
    <col min="7" max="7" width="28.42578125" customWidth="1"/>
    <col min="8" max="8" width="10.85546875" customWidth="1"/>
    <col min="9" max="9" width="13.42578125" customWidth="1"/>
    <col min="10" max="10" width="13.28515625" customWidth="1"/>
    <col min="12" max="12" width="13.42578125" customWidth="1"/>
    <col min="13" max="13" width="6.85546875" customWidth="1"/>
  </cols>
  <sheetData>
    <row r="1" spans="1:13" x14ac:dyDescent="0.25">
      <c r="A1" s="29" t="s">
        <v>795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634</v>
      </c>
      <c r="C2" s="29" t="s">
        <v>635</v>
      </c>
      <c r="D2" s="29" t="s">
        <v>636</v>
      </c>
      <c r="E2" s="29"/>
      <c r="F2" s="29"/>
      <c r="G2" t="s">
        <v>637</v>
      </c>
      <c r="H2" s="29" t="s">
        <v>638</v>
      </c>
      <c r="I2" s="29"/>
      <c r="J2" s="29"/>
      <c r="K2" s="29"/>
      <c r="L2" s="29"/>
    </row>
    <row r="3" spans="1:13" x14ac:dyDescent="0.25">
      <c r="A3" s="29"/>
      <c r="B3" s="29"/>
      <c r="C3" s="29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3" x14ac:dyDescent="0.25">
      <c r="A4" t="s">
        <v>283</v>
      </c>
      <c r="B4">
        <v>0.94</v>
      </c>
      <c r="C4">
        <v>0.97</v>
      </c>
      <c r="D4">
        <v>0.99</v>
      </c>
      <c r="E4">
        <v>1.22</v>
      </c>
      <c r="F4">
        <v>1.41</v>
      </c>
      <c r="G4">
        <v>1.01</v>
      </c>
      <c r="H4" t="s">
        <v>654</v>
      </c>
      <c r="I4">
        <v>1.35</v>
      </c>
      <c r="J4">
        <v>0.79</v>
      </c>
      <c r="K4">
        <v>0.66</v>
      </c>
      <c r="L4">
        <v>0.7</v>
      </c>
    </row>
    <row r="5" spans="1:13" x14ac:dyDescent="0.25">
      <c r="A5" t="s">
        <v>284</v>
      </c>
      <c r="B5">
        <v>0.97</v>
      </c>
      <c r="C5">
        <v>1.02</v>
      </c>
      <c r="D5">
        <v>0.98</v>
      </c>
      <c r="E5">
        <v>1.22</v>
      </c>
      <c r="F5">
        <v>1.38</v>
      </c>
      <c r="G5">
        <v>1.01</v>
      </c>
      <c r="H5">
        <v>13.18</v>
      </c>
      <c r="I5">
        <v>1.78</v>
      </c>
      <c r="J5">
        <v>0.98</v>
      </c>
      <c r="K5">
        <v>0.82</v>
      </c>
      <c r="L5">
        <v>0.89</v>
      </c>
    </row>
    <row r="6" spans="1:13" x14ac:dyDescent="0.25">
      <c r="A6" t="s">
        <v>285</v>
      </c>
      <c r="B6">
        <v>0.95</v>
      </c>
      <c r="C6">
        <v>0.97</v>
      </c>
      <c r="D6">
        <v>0.96</v>
      </c>
      <c r="E6">
        <v>1.25</v>
      </c>
      <c r="F6">
        <v>1.48</v>
      </c>
      <c r="G6">
        <v>0.97</v>
      </c>
      <c r="H6">
        <v>18.649999999999999</v>
      </c>
      <c r="I6">
        <v>1.82</v>
      </c>
      <c r="J6">
        <v>1.1399999999999999</v>
      </c>
      <c r="K6">
        <v>0.85</v>
      </c>
      <c r="L6">
        <v>0.93</v>
      </c>
    </row>
    <row r="7" spans="1:13" x14ac:dyDescent="0.25">
      <c r="A7" t="s">
        <v>286</v>
      </c>
      <c r="B7">
        <v>0.99</v>
      </c>
      <c r="C7">
        <v>1.02</v>
      </c>
      <c r="D7">
        <v>0.99</v>
      </c>
      <c r="E7">
        <v>1.26</v>
      </c>
      <c r="F7">
        <v>1.44</v>
      </c>
      <c r="G7">
        <v>1.02</v>
      </c>
      <c r="H7">
        <v>160</v>
      </c>
      <c r="I7">
        <v>1.02</v>
      </c>
      <c r="J7">
        <v>0.89</v>
      </c>
      <c r="K7">
        <v>0.61</v>
      </c>
      <c r="L7">
        <v>0.7</v>
      </c>
    </row>
    <row r="8" spans="1:13" x14ac:dyDescent="0.25">
      <c r="A8" t="s">
        <v>287</v>
      </c>
      <c r="B8">
        <v>0.94</v>
      </c>
      <c r="C8">
        <v>0.98</v>
      </c>
      <c r="D8">
        <v>0.97</v>
      </c>
      <c r="E8">
        <v>1.17</v>
      </c>
      <c r="F8">
        <v>1.29</v>
      </c>
      <c r="G8">
        <v>0.99</v>
      </c>
      <c r="H8">
        <v>9.6999999999999993</v>
      </c>
      <c r="I8">
        <v>0.89</v>
      </c>
      <c r="J8">
        <v>0.56999999999999995</v>
      </c>
      <c r="K8">
        <v>0.52</v>
      </c>
      <c r="L8">
        <v>0.54</v>
      </c>
    </row>
    <row r="9" spans="1:13" x14ac:dyDescent="0.25">
      <c r="A9" t="s">
        <v>288</v>
      </c>
      <c r="B9">
        <v>0.98</v>
      </c>
      <c r="C9">
        <v>1.02</v>
      </c>
      <c r="D9">
        <v>1.01</v>
      </c>
      <c r="E9">
        <v>1.27</v>
      </c>
      <c r="F9">
        <v>1.47</v>
      </c>
      <c r="G9">
        <v>1.04</v>
      </c>
      <c r="H9">
        <v>39.14</v>
      </c>
      <c r="I9">
        <v>1.36</v>
      </c>
      <c r="J9">
        <v>0.93</v>
      </c>
      <c r="K9">
        <v>0.81</v>
      </c>
      <c r="L9">
        <v>0.85</v>
      </c>
    </row>
    <row r="10" spans="1:13" x14ac:dyDescent="0.25">
      <c r="A10" t="s">
        <v>289</v>
      </c>
      <c r="B10">
        <v>0.91</v>
      </c>
      <c r="C10">
        <v>0.94</v>
      </c>
      <c r="D10">
        <v>0.97</v>
      </c>
      <c r="E10">
        <v>1.1599999999999999</v>
      </c>
      <c r="F10">
        <v>1.24</v>
      </c>
      <c r="G10">
        <v>0.99</v>
      </c>
      <c r="H10">
        <v>31</v>
      </c>
      <c r="I10">
        <v>1.0900000000000001</v>
      </c>
      <c r="J10">
        <v>0.79</v>
      </c>
      <c r="K10">
        <v>0.64</v>
      </c>
      <c r="L10">
        <v>0.71</v>
      </c>
    </row>
    <row r="11" spans="1:13" x14ac:dyDescent="0.25">
      <c r="A11" t="s">
        <v>290</v>
      </c>
      <c r="B11">
        <v>0.96</v>
      </c>
      <c r="C11">
        <v>1.01</v>
      </c>
      <c r="D11">
        <v>0.96</v>
      </c>
      <c r="E11">
        <v>1.18</v>
      </c>
      <c r="F11">
        <v>1.39</v>
      </c>
      <c r="G11">
        <v>1</v>
      </c>
      <c r="H11">
        <v>0</v>
      </c>
      <c r="I11">
        <v>1.78</v>
      </c>
      <c r="J11">
        <v>1.01</v>
      </c>
      <c r="K11">
        <v>0.79</v>
      </c>
      <c r="L11">
        <v>0.86</v>
      </c>
    </row>
    <row r="12" spans="1:13" x14ac:dyDescent="0.25">
      <c r="A12" t="s">
        <v>291</v>
      </c>
      <c r="B12">
        <v>0.98</v>
      </c>
      <c r="C12">
        <v>1.06</v>
      </c>
      <c r="D12">
        <v>1.05</v>
      </c>
      <c r="E12">
        <v>1.19</v>
      </c>
      <c r="F12">
        <v>1.21</v>
      </c>
      <c r="G12">
        <v>1.0900000000000001</v>
      </c>
      <c r="H12" t="s">
        <v>654</v>
      </c>
      <c r="I12">
        <v>1.25</v>
      </c>
      <c r="J12">
        <v>0.73</v>
      </c>
      <c r="K12">
        <v>0.78</v>
      </c>
      <c r="L12">
        <v>0.76</v>
      </c>
    </row>
    <row r="13" spans="1:13" x14ac:dyDescent="0.25">
      <c r="A13" t="s">
        <v>292</v>
      </c>
      <c r="B13">
        <v>0.97</v>
      </c>
      <c r="C13">
        <v>1.05</v>
      </c>
      <c r="D13">
        <v>0.99</v>
      </c>
      <c r="E13">
        <v>1.1100000000000001</v>
      </c>
      <c r="F13">
        <v>1.05</v>
      </c>
      <c r="G13">
        <v>1.02</v>
      </c>
      <c r="H13" t="s">
        <v>654</v>
      </c>
      <c r="I13">
        <v>1.03</v>
      </c>
      <c r="J13">
        <v>0.41</v>
      </c>
      <c r="K13">
        <v>0.59</v>
      </c>
      <c r="L13">
        <v>0.53</v>
      </c>
    </row>
    <row r="14" spans="1:13" x14ac:dyDescent="0.25">
      <c r="A14" t="s">
        <v>293</v>
      </c>
      <c r="B14">
        <v>0.9</v>
      </c>
      <c r="C14">
        <v>0.96</v>
      </c>
      <c r="D14">
        <v>0.96</v>
      </c>
      <c r="E14">
        <v>1.19</v>
      </c>
      <c r="F14">
        <v>1.34</v>
      </c>
      <c r="G14">
        <v>0.98</v>
      </c>
      <c r="H14">
        <v>69</v>
      </c>
      <c r="I14">
        <v>2.0699999999999998</v>
      </c>
      <c r="J14">
        <v>1.17</v>
      </c>
      <c r="K14">
        <v>0.91</v>
      </c>
      <c r="L14">
        <v>1.03</v>
      </c>
    </row>
    <row r="15" spans="1:13" x14ac:dyDescent="0.25">
      <c r="A15" t="s">
        <v>294</v>
      </c>
      <c r="B15">
        <v>1.01</v>
      </c>
      <c r="C15">
        <v>1.1000000000000001</v>
      </c>
      <c r="D15">
        <v>1.04</v>
      </c>
      <c r="E15">
        <v>1.1499999999999999</v>
      </c>
      <c r="F15">
        <v>1.27</v>
      </c>
      <c r="G15">
        <v>1.0900000000000001</v>
      </c>
      <c r="H15">
        <v>34</v>
      </c>
      <c r="I15">
        <v>1.01</v>
      </c>
      <c r="J15">
        <v>0.67</v>
      </c>
      <c r="K15">
        <v>0.56000000000000005</v>
      </c>
      <c r="L15">
        <v>0.59</v>
      </c>
    </row>
    <row r="16" spans="1:13" x14ac:dyDescent="0.25">
      <c r="A16" t="s">
        <v>295</v>
      </c>
      <c r="B16">
        <v>0.95</v>
      </c>
      <c r="C16">
        <v>0.99</v>
      </c>
      <c r="D16">
        <v>0.98</v>
      </c>
      <c r="E16">
        <v>1.1499999999999999</v>
      </c>
      <c r="F16">
        <v>1.21</v>
      </c>
      <c r="G16">
        <v>1.01</v>
      </c>
      <c r="H16">
        <v>22.5</v>
      </c>
      <c r="I16">
        <v>0.88</v>
      </c>
      <c r="J16">
        <v>0.55000000000000004</v>
      </c>
      <c r="K16">
        <v>0.55000000000000004</v>
      </c>
      <c r="L16">
        <v>0.55000000000000004</v>
      </c>
    </row>
    <row r="17" spans="1:12" x14ac:dyDescent="0.25">
      <c r="A17" t="s">
        <v>296</v>
      </c>
      <c r="B17">
        <v>0.98</v>
      </c>
      <c r="C17">
        <v>1.05</v>
      </c>
      <c r="D17">
        <v>0.98</v>
      </c>
      <c r="E17">
        <v>1.19</v>
      </c>
      <c r="F17">
        <v>1.29</v>
      </c>
      <c r="G17">
        <v>1.02</v>
      </c>
      <c r="H17" t="s">
        <v>654</v>
      </c>
      <c r="I17">
        <v>1.42</v>
      </c>
      <c r="J17">
        <v>0.79</v>
      </c>
      <c r="K17">
        <v>0.76</v>
      </c>
      <c r="L17">
        <v>0.78</v>
      </c>
    </row>
    <row r="18" spans="1:12" x14ac:dyDescent="0.25">
      <c r="A18" t="s">
        <v>297</v>
      </c>
      <c r="B18">
        <v>0.97</v>
      </c>
      <c r="C18">
        <v>0.99</v>
      </c>
      <c r="D18">
        <v>1</v>
      </c>
      <c r="E18">
        <v>1.03</v>
      </c>
      <c r="F18">
        <v>0.93</v>
      </c>
      <c r="G18">
        <v>1.03</v>
      </c>
      <c r="H18">
        <v>156.5</v>
      </c>
      <c r="I18">
        <v>3.16</v>
      </c>
      <c r="J18">
        <v>1.06</v>
      </c>
      <c r="K18">
        <v>0.81</v>
      </c>
      <c r="L18">
        <v>0.85</v>
      </c>
    </row>
    <row r="19" spans="1:12" x14ac:dyDescent="0.25">
      <c r="A19" t="s">
        <v>298</v>
      </c>
      <c r="B19">
        <v>1.07</v>
      </c>
      <c r="C19">
        <v>1.08</v>
      </c>
      <c r="D19">
        <v>1.03</v>
      </c>
      <c r="E19">
        <v>1.08</v>
      </c>
      <c r="F19">
        <v>1.21</v>
      </c>
      <c r="G19">
        <v>1.07</v>
      </c>
      <c r="H19">
        <v>22.75</v>
      </c>
      <c r="I19">
        <v>1.3</v>
      </c>
      <c r="J19">
        <v>0.74</v>
      </c>
      <c r="K19">
        <v>0.47</v>
      </c>
      <c r="L19">
        <v>0.56000000000000005</v>
      </c>
    </row>
    <row r="20" spans="1:12" x14ac:dyDescent="0.25">
      <c r="A20" t="s">
        <v>299</v>
      </c>
      <c r="B20">
        <v>0.93</v>
      </c>
      <c r="C20">
        <v>1.08</v>
      </c>
      <c r="D20">
        <v>0.98</v>
      </c>
      <c r="E20">
        <v>1.28</v>
      </c>
      <c r="F20">
        <v>1.25</v>
      </c>
      <c r="G20">
        <v>1</v>
      </c>
      <c r="H20">
        <v>41.5</v>
      </c>
      <c r="I20">
        <v>1.26</v>
      </c>
      <c r="J20">
        <v>0.65</v>
      </c>
      <c r="K20">
        <v>0.74</v>
      </c>
      <c r="L20">
        <v>0.69</v>
      </c>
    </row>
    <row r="21" spans="1:12" x14ac:dyDescent="0.25">
      <c r="A21" t="s">
        <v>300</v>
      </c>
      <c r="B21">
        <v>0.95</v>
      </c>
      <c r="C21">
        <v>0.97</v>
      </c>
      <c r="D21">
        <v>0.93</v>
      </c>
      <c r="E21">
        <v>1.2</v>
      </c>
      <c r="F21">
        <v>1.38</v>
      </c>
      <c r="G21">
        <v>0.98</v>
      </c>
      <c r="H21">
        <v>12.73</v>
      </c>
      <c r="I21">
        <v>0.99</v>
      </c>
      <c r="J21">
        <v>0.68</v>
      </c>
      <c r="K21">
        <v>0.56000000000000005</v>
      </c>
      <c r="L21">
        <v>0.6</v>
      </c>
    </row>
    <row r="22" spans="1:12" x14ac:dyDescent="0.25">
      <c r="A22" t="s">
        <v>301</v>
      </c>
      <c r="B22">
        <v>0.99</v>
      </c>
      <c r="C22">
        <v>1</v>
      </c>
      <c r="D22">
        <v>1.03</v>
      </c>
      <c r="E22">
        <v>1.2</v>
      </c>
      <c r="F22">
        <v>1.31</v>
      </c>
      <c r="G22">
        <v>1.03</v>
      </c>
      <c r="H22">
        <v>27.67</v>
      </c>
      <c r="I22">
        <v>1.18</v>
      </c>
      <c r="J22">
        <v>0.68</v>
      </c>
      <c r="K22">
        <v>0.55000000000000004</v>
      </c>
      <c r="L22">
        <v>0.61</v>
      </c>
    </row>
    <row r="23" spans="1:12" x14ac:dyDescent="0.25">
      <c r="A23" t="s">
        <v>302</v>
      </c>
      <c r="B23">
        <v>0.9</v>
      </c>
      <c r="C23">
        <v>0.93</v>
      </c>
      <c r="D23">
        <v>0.97</v>
      </c>
      <c r="E23">
        <v>1.0900000000000001</v>
      </c>
      <c r="F23">
        <v>0.97</v>
      </c>
      <c r="G23">
        <v>0.99</v>
      </c>
      <c r="H23">
        <v>9.67</v>
      </c>
      <c r="I23">
        <v>0.89</v>
      </c>
      <c r="J23">
        <v>0.83</v>
      </c>
      <c r="K23">
        <v>0.68</v>
      </c>
      <c r="L23">
        <v>0.73</v>
      </c>
    </row>
    <row r="24" spans="1:12" x14ac:dyDescent="0.25">
      <c r="A24" t="s">
        <v>303</v>
      </c>
      <c r="B24">
        <v>0.99</v>
      </c>
      <c r="C24">
        <v>1.03</v>
      </c>
      <c r="D24">
        <v>1.01</v>
      </c>
      <c r="E24">
        <v>1.25</v>
      </c>
      <c r="F24">
        <v>1.49</v>
      </c>
      <c r="G24">
        <v>1.05</v>
      </c>
      <c r="H24">
        <v>45.4</v>
      </c>
      <c r="I24">
        <v>2.2200000000000002</v>
      </c>
      <c r="J24">
        <v>1.28</v>
      </c>
      <c r="K24">
        <v>0.77</v>
      </c>
      <c r="L24">
        <v>0.9</v>
      </c>
    </row>
    <row r="25" spans="1:12" x14ac:dyDescent="0.25">
      <c r="A25" t="s">
        <v>304</v>
      </c>
      <c r="B25">
        <v>0.91</v>
      </c>
      <c r="C25">
        <v>0.94</v>
      </c>
      <c r="D25">
        <v>0.99</v>
      </c>
      <c r="E25">
        <v>1.1399999999999999</v>
      </c>
      <c r="F25">
        <v>1.1200000000000001</v>
      </c>
      <c r="G25">
        <v>1</v>
      </c>
      <c r="H25" t="s">
        <v>654</v>
      </c>
      <c r="I25">
        <v>1.59</v>
      </c>
      <c r="J25">
        <v>0.8</v>
      </c>
      <c r="K25">
        <v>0.65</v>
      </c>
      <c r="L25">
        <v>0.72</v>
      </c>
    </row>
    <row r="26" spans="1:12" x14ac:dyDescent="0.25">
      <c r="A26" t="s">
        <v>305</v>
      </c>
      <c r="B26">
        <v>0.98</v>
      </c>
      <c r="C26">
        <v>1</v>
      </c>
      <c r="D26">
        <v>0.97</v>
      </c>
      <c r="E26">
        <v>1.1499999999999999</v>
      </c>
      <c r="F26">
        <v>1.32</v>
      </c>
      <c r="G26">
        <v>1</v>
      </c>
      <c r="H26">
        <v>14.62</v>
      </c>
      <c r="I26">
        <v>0.72</v>
      </c>
      <c r="J26">
        <v>0.36</v>
      </c>
      <c r="K26">
        <v>0.45</v>
      </c>
      <c r="L26">
        <v>0.42</v>
      </c>
    </row>
    <row r="27" spans="1:12" x14ac:dyDescent="0.25">
      <c r="A27" t="s">
        <v>306</v>
      </c>
      <c r="B27">
        <v>0.97</v>
      </c>
      <c r="C27">
        <v>0.99</v>
      </c>
      <c r="D27">
        <v>0.97</v>
      </c>
      <c r="E27">
        <v>1.1299999999999999</v>
      </c>
      <c r="F27">
        <v>1.32</v>
      </c>
      <c r="G27">
        <v>1</v>
      </c>
      <c r="H27">
        <v>9.61</v>
      </c>
      <c r="I27">
        <v>0.79</v>
      </c>
      <c r="J27">
        <v>0.54</v>
      </c>
      <c r="K27">
        <v>0.43</v>
      </c>
      <c r="L27">
        <v>0.46</v>
      </c>
    </row>
    <row r="28" spans="1:12" x14ac:dyDescent="0.25">
      <c r="A28" t="s">
        <v>307</v>
      </c>
      <c r="B28">
        <v>0.94</v>
      </c>
      <c r="C28">
        <v>0.98</v>
      </c>
      <c r="D28">
        <v>0.98</v>
      </c>
      <c r="E28">
        <v>1.26</v>
      </c>
      <c r="F28">
        <v>1.51</v>
      </c>
      <c r="G28">
        <v>1.01</v>
      </c>
      <c r="H28">
        <v>12.5</v>
      </c>
      <c r="I28">
        <v>1.56</v>
      </c>
      <c r="J28">
        <v>0.92</v>
      </c>
      <c r="K28">
        <v>0.65</v>
      </c>
      <c r="L28">
        <v>0.72</v>
      </c>
    </row>
    <row r="29" spans="1:12" x14ac:dyDescent="0.25">
      <c r="A29" t="s">
        <v>266</v>
      </c>
      <c r="B29">
        <v>0.96</v>
      </c>
      <c r="C29">
        <v>1</v>
      </c>
      <c r="D29">
        <v>0.98</v>
      </c>
      <c r="E29">
        <v>1.19</v>
      </c>
      <c r="F29">
        <v>1.31</v>
      </c>
      <c r="G29">
        <v>1.01</v>
      </c>
      <c r="H29">
        <v>19.13</v>
      </c>
      <c r="I29">
        <v>1.36</v>
      </c>
      <c r="J29">
        <v>0.82</v>
      </c>
      <c r="K29">
        <v>0.67</v>
      </c>
      <c r="L29">
        <v>0.72</v>
      </c>
    </row>
    <row r="30" spans="1:12" x14ac:dyDescent="0.25">
      <c r="A30" t="s">
        <v>459</v>
      </c>
      <c r="B30">
        <v>0.96</v>
      </c>
      <c r="C30">
        <v>0.99</v>
      </c>
      <c r="D30">
        <v>1</v>
      </c>
      <c r="E30">
        <v>1.1000000000000001</v>
      </c>
      <c r="F30">
        <v>1.1299999999999999</v>
      </c>
      <c r="G30">
        <v>1.03</v>
      </c>
      <c r="H30">
        <v>88</v>
      </c>
      <c r="I30">
        <v>2.42</v>
      </c>
      <c r="J30">
        <v>1.1000000000000001</v>
      </c>
      <c r="K30">
        <v>0.78</v>
      </c>
      <c r="L30">
        <v>0.84</v>
      </c>
    </row>
    <row r="31" spans="1:12" x14ac:dyDescent="0.25">
      <c r="A31" t="s">
        <v>460</v>
      </c>
      <c r="B31">
        <v>0.96</v>
      </c>
      <c r="C31">
        <v>1</v>
      </c>
      <c r="D31">
        <v>0.98</v>
      </c>
      <c r="E31">
        <v>1.21</v>
      </c>
      <c r="F31">
        <v>1.37</v>
      </c>
      <c r="G31">
        <v>1</v>
      </c>
      <c r="H31">
        <v>16.190000000000001</v>
      </c>
      <c r="I31">
        <v>1.2</v>
      </c>
      <c r="J31">
        <v>0.77</v>
      </c>
      <c r="K31">
        <v>0.62</v>
      </c>
      <c r="L31">
        <v>0.68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808080"/>
  </sheetPr>
  <dimension ref="A1:Q44"/>
  <sheetViews>
    <sheetView workbookViewId="0"/>
  </sheetViews>
  <sheetFormatPr defaultRowHeight="15" x14ac:dyDescent="0.25"/>
  <cols>
    <col min="1" max="1" width="20.140625" customWidth="1"/>
    <col min="2" max="2" width="10" customWidth="1"/>
    <col min="3" max="3" width="10.140625" customWidth="1"/>
    <col min="6" max="6" width="10" customWidth="1"/>
    <col min="7" max="7" width="10.140625" customWidth="1"/>
    <col min="10" max="10" width="10" customWidth="1"/>
    <col min="12" max="12" width="10.140625" customWidth="1"/>
    <col min="13" max="13" width="10" customWidth="1"/>
    <col min="14" max="14" width="10.140625" customWidth="1"/>
  </cols>
  <sheetData>
    <row r="1" spans="1:17" x14ac:dyDescent="0.25">
      <c r="A1" s="29" t="s">
        <v>796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797</v>
      </c>
      <c r="B2" s="29" t="s">
        <v>261</v>
      </c>
      <c r="C2" s="29"/>
      <c r="D2" s="29"/>
      <c r="E2" s="29"/>
      <c r="F2" s="29" t="s">
        <v>256</v>
      </c>
      <c r="G2" s="29"/>
      <c r="H2" s="29"/>
      <c r="I2" s="29"/>
      <c r="J2" s="29" t="s">
        <v>650</v>
      </c>
      <c r="K2" s="29"/>
      <c r="L2" s="29"/>
      <c r="M2" s="29"/>
      <c r="N2" s="29" t="s">
        <v>115</v>
      </c>
      <c r="O2" s="29"/>
      <c r="P2" s="29"/>
      <c r="Q2" s="29"/>
    </row>
    <row r="3" spans="1:17" x14ac:dyDescent="0.25">
      <c r="A3" s="29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510</v>
      </c>
      <c r="F42">
        <v>6825</v>
      </c>
      <c r="G42">
        <v>61635</v>
      </c>
      <c r="H42">
        <v>13215</v>
      </c>
      <c r="I42">
        <v>6684</v>
      </c>
      <c r="J42">
        <v>205492</v>
      </c>
      <c r="K42">
        <v>2028694</v>
      </c>
      <c r="L42">
        <v>605067</v>
      </c>
      <c r="M42">
        <v>303871</v>
      </c>
      <c r="N42">
        <v>5398</v>
      </c>
      <c r="O42">
        <v>57915</v>
      </c>
      <c r="P42">
        <v>33171</v>
      </c>
      <c r="Q42">
        <v>15172</v>
      </c>
    </row>
    <row r="43" spans="1:17" x14ac:dyDescent="0.25">
      <c r="A43" t="s">
        <v>798</v>
      </c>
      <c r="B43">
        <v>4301</v>
      </c>
      <c r="C43">
        <v>7228</v>
      </c>
      <c r="D43">
        <v>1246</v>
      </c>
      <c r="E43">
        <v>525</v>
      </c>
      <c r="F43">
        <v>7122</v>
      </c>
      <c r="G43">
        <v>62208</v>
      </c>
      <c r="H43">
        <v>13388</v>
      </c>
      <c r="I43">
        <v>7179</v>
      </c>
      <c r="J43">
        <v>217509</v>
      </c>
      <c r="K43">
        <v>2040257</v>
      </c>
      <c r="L43">
        <v>610261</v>
      </c>
      <c r="M43">
        <v>321145</v>
      </c>
      <c r="N43">
        <v>5559</v>
      </c>
      <c r="O43">
        <v>57811</v>
      </c>
      <c r="P43">
        <v>33638</v>
      </c>
      <c r="Q43">
        <v>15761</v>
      </c>
    </row>
    <row r="44" spans="1:17" x14ac:dyDescent="0.25">
      <c r="A44" t="s">
        <v>799</v>
      </c>
      <c r="B44">
        <v>4409</v>
      </c>
      <c r="C44">
        <v>7282</v>
      </c>
      <c r="D44">
        <v>1247</v>
      </c>
      <c r="E44">
        <v>544</v>
      </c>
      <c r="F44">
        <v>7761</v>
      </c>
      <c r="G44">
        <v>62402</v>
      </c>
      <c r="H44">
        <v>13690</v>
      </c>
      <c r="I44">
        <v>7406</v>
      </c>
      <c r="J44">
        <v>233132</v>
      </c>
      <c r="K44">
        <v>2023473</v>
      </c>
      <c r="L44">
        <v>618968</v>
      </c>
      <c r="M44">
        <v>334712</v>
      </c>
      <c r="N44">
        <v>5678</v>
      </c>
      <c r="O44">
        <v>57347</v>
      </c>
      <c r="P44">
        <v>32620</v>
      </c>
      <c r="Q44">
        <v>17442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4472C4"/>
  </sheetPr>
  <dimension ref="A1:W15"/>
  <sheetViews>
    <sheetView workbookViewId="0"/>
  </sheetViews>
  <sheetFormatPr defaultRowHeight="15" x14ac:dyDescent="0.25"/>
  <cols>
    <col min="1" max="1" width="16.140625" customWidth="1"/>
    <col min="2" max="2" width="8.7109375" customWidth="1"/>
    <col min="4" max="4" width="7.28515625" customWidth="1"/>
    <col min="5" max="5" width="8.140625" customWidth="1"/>
    <col min="6" max="6" width="7.28515625" customWidth="1"/>
    <col min="7" max="7" width="7.42578125" customWidth="1"/>
    <col min="9" max="9" width="10.140625" customWidth="1"/>
    <col min="10" max="10" width="7.28515625" customWidth="1"/>
    <col min="11" max="11" width="7.42578125" customWidth="1"/>
    <col min="12" max="12" width="7.28515625" customWidth="1"/>
    <col min="13" max="13" width="8.140625" customWidth="1"/>
    <col min="15" max="15" width="7.28515625" customWidth="1"/>
    <col min="16" max="16" width="7.140625" customWidth="1"/>
    <col min="17" max="17" width="8.140625" customWidth="1"/>
    <col min="18" max="18" width="7.140625" customWidth="1"/>
    <col min="19" max="19" width="8.42578125" customWidth="1"/>
    <col min="20" max="20" width="9.28515625" customWidth="1"/>
    <col min="21" max="21" width="6.42578125" customWidth="1"/>
    <col min="22" max="22" width="6.7109375" customWidth="1"/>
    <col min="23" max="23" width="6.140625" customWidth="1"/>
  </cols>
  <sheetData>
    <row r="1" spans="1:23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x14ac:dyDescent="0.25">
      <c r="A2" s="29" t="s">
        <v>253</v>
      </c>
      <c r="B2" s="29" t="s">
        <v>358</v>
      </c>
      <c r="C2" s="29" t="s">
        <v>693</v>
      </c>
      <c r="D2" s="29" t="s">
        <v>261</v>
      </c>
      <c r="E2" s="29"/>
      <c r="F2" s="29"/>
      <c r="G2" s="29"/>
      <c r="H2" s="29"/>
      <c r="I2" s="29"/>
      <c r="J2" s="29"/>
      <c r="K2" s="29"/>
      <c r="L2" s="29"/>
      <c r="M2" s="29" t="s">
        <v>72</v>
      </c>
      <c r="N2" s="29"/>
      <c r="O2" s="29" t="s">
        <v>257</v>
      </c>
      <c r="P2" s="29"/>
      <c r="Q2" s="29" t="s">
        <v>258</v>
      </c>
      <c r="R2" s="29"/>
      <c r="S2" s="29" t="s">
        <v>259</v>
      </c>
      <c r="T2" s="29"/>
      <c r="U2" s="29" t="s">
        <v>800</v>
      </c>
      <c r="V2" s="29"/>
    </row>
    <row r="3" spans="1:23" x14ac:dyDescent="0.25">
      <c r="A3" s="29"/>
      <c r="B3" s="29"/>
      <c r="C3" s="29"/>
      <c r="D3" t="s">
        <v>770</v>
      </c>
      <c r="E3" t="s">
        <v>697</v>
      </c>
      <c r="F3" t="s">
        <v>698</v>
      </c>
      <c r="G3" t="s">
        <v>699</v>
      </c>
      <c r="H3" t="s">
        <v>700</v>
      </c>
      <c r="I3" t="s">
        <v>701</v>
      </c>
      <c r="J3" t="s">
        <v>801</v>
      </c>
      <c r="K3" t="s">
        <v>802</v>
      </c>
      <c r="L3" t="s">
        <v>702</v>
      </c>
      <c r="M3" t="s">
        <v>263</v>
      </c>
      <c r="N3" t="s">
        <v>264</v>
      </c>
      <c r="O3" t="s">
        <v>263</v>
      </c>
      <c r="P3" t="s">
        <v>264</v>
      </c>
      <c r="Q3" t="s">
        <v>263</v>
      </c>
      <c r="R3" t="s">
        <v>265</v>
      </c>
      <c r="S3" t="s">
        <v>263</v>
      </c>
      <c r="T3" t="s">
        <v>265</v>
      </c>
      <c r="U3" t="s">
        <v>263</v>
      </c>
      <c r="V3" t="s">
        <v>265</v>
      </c>
    </row>
    <row r="4" spans="1:23" x14ac:dyDescent="0.25">
      <c r="A4" t="s">
        <v>266</v>
      </c>
      <c r="B4">
        <v>1666</v>
      </c>
      <c r="C4">
        <v>11895</v>
      </c>
      <c r="D4">
        <v>1385</v>
      </c>
      <c r="E4">
        <v>31</v>
      </c>
      <c r="F4">
        <v>42</v>
      </c>
      <c r="G4">
        <v>3</v>
      </c>
      <c r="H4">
        <v>195</v>
      </c>
      <c r="I4">
        <v>0</v>
      </c>
      <c r="J4">
        <v>3</v>
      </c>
      <c r="K4">
        <v>2</v>
      </c>
      <c r="L4">
        <v>5</v>
      </c>
      <c r="M4">
        <v>240550</v>
      </c>
      <c r="N4">
        <v>118049</v>
      </c>
      <c r="O4">
        <v>2832</v>
      </c>
      <c r="P4">
        <v>1331</v>
      </c>
      <c r="Q4">
        <v>15302</v>
      </c>
      <c r="R4">
        <v>9179</v>
      </c>
      <c r="S4">
        <v>6880</v>
      </c>
      <c r="T4">
        <v>4167</v>
      </c>
      <c r="U4">
        <v>1917</v>
      </c>
      <c r="V4">
        <v>1917</v>
      </c>
    </row>
    <row r="5" spans="1:23" x14ac:dyDescent="0.25">
      <c r="A5" t="s">
        <v>803</v>
      </c>
      <c r="B5">
        <v>688</v>
      </c>
      <c r="C5">
        <v>2358</v>
      </c>
      <c r="D5">
        <v>528</v>
      </c>
      <c r="E5">
        <v>4</v>
      </c>
      <c r="F5">
        <v>21</v>
      </c>
      <c r="G5">
        <v>2</v>
      </c>
      <c r="H5">
        <v>128</v>
      </c>
      <c r="I5">
        <v>0</v>
      </c>
      <c r="J5">
        <v>1</v>
      </c>
      <c r="K5">
        <v>1</v>
      </c>
      <c r="L5">
        <v>3</v>
      </c>
      <c r="M5">
        <v>41570</v>
      </c>
      <c r="N5">
        <v>18570</v>
      </c>
      <c r="O5">
        <v>0</v>
      </c>
      <c r="P5">
        <v>0</v>
      </c>
      <c r="Q5">
        <v>2631</v>
      </c>
      <c r="R5">
        <v>2283</v>
      </c>
      <c r="S5">
        <v>1790</v>
      </c>
      <c r="T5">
        <v>1292</v>
      </c>
      <c r="U5">
        <v>677</v>
      </c>
      <c r="V5">
        <v>677</v>
      </c>
    </row>
    <row r="6" spans="1:23" x14ac:dyDescent="0.25">
      <c r="A6" t="s">
        <v>804</v>
      </c>
      <c r="B6">
        <v>655</v>
      </c>
      <c r="C6">
        <v>6654</v>
      </c>
      <c r="D6">
        <v>534</v>
      </c>
      <c r="E6">
        <v>27</v>
      </c>
      <c r="F6">
        <v>21</v>
      </c>
      <c r="G6">
        <v>1</v>
      </c>
      <c r="H6">
        <v>67</v>
      </c>
      <c r="I6">
        <v>0</v>
      </c>
      <c r="J6">
        <v>2</v>
      </c>
      <c r="K6">
        <v>1</v>
      </c>
      <c r="L6">
        <v>2</v>
      </c>
      <c r="M6">
        <v>130586</v>
      </c>
      <c r="N6">
        <v>64643</v>
      </c>
      <c r="O6">
        <v>2414</v>
      </c>
      <c r="P6">
        <v>1134</v>
      </c>
      <c r="Q6">
        <v>6063</v>
      </c>
      <c r="R6">
        <v>4261</v>
      </c>
      <c r="S6">
        <v>2977</v>
      </c>
      <c r="T6">
        <v>1788</v>
      </c>
      <c r="U6">
        <v>803</v>
      </c>
      <c r="V6">
        <v>803</v>
      </c>
    </row>
    <row r="7" spans="1:23" x14ac:dyDescent="0.25">
      <c r="A7" t="s">
        <v>805</v>
      </c>
      <c r="B7">
        <v>112</v>
      </c>
      <c r="C7">
        <v>496</v>
      </c>
      <c r="D7">
        <v>112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9298</v>
      </c>
      <c r="N7">
        <v>4503</v>
      </c>
      <c r="O7">
        <v>43</v>
      </c>
      <c r="P7">
        <v>9</v>
      </c>
      <c r="Q7">
        <v>1246</v>
      </c>
      <c r="R7">
        <v>548</v>
      </c>
      <c r="S7">
        <v>331</v>
      </c>
      <c r="T7">
        <v>171</v>
      </c>
      <c r="U7">
        <v>128</v>
      </c>
      <c r="V7">
        <v>128</v>
      </c>
    </row>
    <row r="8" spans="1:23" x14ac:dyDescent="0.25">
      <c r="A8" t="s">
        <v>806</v>
      </c>
      <c r="B8">
        <v>5</v>
      </c>
      <c r="C8">
        <v>30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812</v>
      </c>
      <c r="N8">
        <v>464</v>
      </c>
      <c r="O8">
        <v>4</v>
      </c>
      <c r="P8">
        <v>1</v>
      </c>
      <c r="Q8">
        <v>108</v>
      </c>
      <c r="R8">
        <v>33</v>
      </c>
      <c r="S8">
        <v>23</v>
      </c>
      <c r="T8">
        <v>12</v>
      </c>
      <c r="U8">
        <v>3</v>
      </c>
      <c r="V8">
        <v>3</v>
      </c>
    </row>
    <row r="9" spans="1:23" x14ac:dyDescent="0.25">
      <c r="A9" t="s">
        <v>807</v>
      </c>
      <c r="B9">
        <v>206</v>
      </c>
      <c r="C9">
        <v>2357</v>
      </c>
      <c r="D9">
        <v>206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58284</v>
      </c>
      <c r="N9">
        <v>29869</v>
      </c>
      <c r="O9">
        <v>371</v>
      </c>
      <c r="P9">
        <v>187</v>
      </c>
      <c r="Q9">
        <v>5254</v>
      </c>
      <c r="R9">
        <v>2054</v>
      </c>
      <c r="S9">
        <v>1759</v>
      </c>
      <c r="T9">
        <v>904</v>
      </c>
      <c r="U9">
        <v>306</v>
      </c>
      <c r="V9">
        <v>306</v>
      </c>
    </row>
    <row r="10" spans="1:23" x14ac:dyDescent="0.25">
      <c r="A10" t="s">
        <v>808</v>
      </c>
      <c r="B10">
        <v>323</v>
      </c>
      <c r="C10">
        <v>1695</v>
      </c>
      <c r="D10">
        <v>323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40899</v>
      </c>
      <c r="N10">
        <v>20714</v>
      </c>
      <c r="O10">
        <v>295</v>
      </c>
      <c r="P10">
        <v>139</v>
      </c>
    </row>
    <row r="11" spans="1:23" x14ac:dyDescent="0.25">
      <c r="A11" t="s">
        <v>809</v>
      </c>
      <c r="B11">
        <v>211</v>
      </c>
      <c r="C11">
        <v>1076</v>
      </c>
      <c r="D11">
        <v>211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25171</v>
      </c>
      <c r="N11">
        <v>13034</v>
      </c>
      <c r="O11">
        <v>120</v>
      </c>
      <c r="P11">
        <v>56</v>
      </c>
    </row>
    <row r="12" spans="1:23" x14ac:dyDescent="0.25">
      <c r="A12" t="s">
        <v>459</v>
      </c>
      <c r="B12">
        <v>1320</v>
      </c>
      <c r="C12">
        <v>9799</v>
      </c>
      <c r="D12">
        <v>1125</v>
      </c>
      <c r="E12">
        <v>4</v>
      </c>
      <c r="F12">
        <v>26</v>
      </c>
      <c r="G12">
        <v>3</v>
      </c>
      <c r="H12">
        <v>157</v>
      </c>
      <c r="I12">
        <v>0</v>
      </c>
      <c r="J12">
        <v>1</v>
      </c>
      <c r="K12">
        <v>2</v>
      </c>
      <c r="L12">
        <v>2</v>
      </c>
      <c r="M12">
        <v>196707</v>
      </c>
      <c r="N12">
        <v>96293</v>
      </c>
      <c r="O12">
        <v>2079</v>
      </c>
      <c r="P12">
        <v>995</v>
      </c>
      <c r="Q12">
        <v>12631</v>
      </c>
      <c r="R12">
        <v>7655</v>
      </c>
      <c r="S12">
        <v>6196</v>
      </c>
      <c r="T12">
        <v>3844</v>
      </c>
      <c r="U12">
        <v>1801</v>
      </c>
      <c r="V12">
        <v>1801</v>
      </c>
    </row>
    <row r="13" spans="1:23" x14ac:dyDescent="0.25">
      <c r="A13" t="s">
        <v>460</v>
      </c>
      <c r="B13">
        <v>346</v>
      </c>
      <c r="C13">
        <v>2096</v>
      </c>
      <c r="D13">
        <v>260</v>
      </c>
      <c r="E13">
        <v>27</v>
      </c>
      <c r="F13">
        <v>16</v>
      </c>
      <c r="G13">
        <v>0</v>
      </c>
      <c r="H13">
        <v>38</v>
      </c>
      <c r="I13">
        <v>0</v>
      </c>
      <c r="J13">
        <v>2</v>
      </c>
      <c r="K13">
        <v>0</v>
      </c>
      <c r="L13">
        <v>3</v>
      </c>
      <c r="M13">
        <v>43843</v>
      </c>
      <c r="N13">
        <v>21756</v>
      </c>
      <c r="O13">
        <v>753</v>
      </c>
      <c r="P13">
        <v>336</v>
      </c>
      <c r="Q13">
        <v>2671</v>
      </c>
      <c r="R13">
        <v>1524</v>
      </c>
      <c r="S13">
        <v>684</v>
      </c>
      <c r="T13">
        <v>323</v>
      </c>
      <c r="U13">
        <v>116</v>
      </c>
      <c r="V13">
        <v>116</v>
      </c>
    </row>
    <row r="14" spans="1:23" x14ac:dyDescent="0.25">
      <c r="A14" s="29" t="s">
        <v>810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x14ac:dyDescent="0.25">
      <c r="A15" s="29" t="s">
        <v>811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</sheetData>
  <mergeCells count="12">
    <mergeCell ref="A1:V1"/>
    <mergeCell ref="A15:W15"/>
    <mergeCell ref="B2:B3"/>
    <mergeCell ref="A2:A3"/>
    <mergeCell ref="C2:C3"/>
    <mergeCell ref="A14:W14"/>
    <mergeCell ref="D2:L2"/>
    <mergeCell ref="M2:N2"/>
    <mergeCell ref="O2:P2"/>
    <mergeCell ref="Q2:R2"/>
    <mergeCell ref="S2:T2"/>
    <mergeCell ref="U2:V2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4472C4"/>
  </sheetPr>
  <dimension ref="A1:O31"/>
  <sheetViews>
    <sheetView workbookViewId="0"/>
  </sheetViews>
  <sheetFormatPr defaultRowHeight="15" x14ac:dyDescent="0.25"/>
  <cols>
    <col min="1" max="1" width="19.28515625" customWidth="1"/>
    <col min="2" max="2" width="12" customWidth="1"/>
    <col min="4" max="4" width="12.140625" customWidth="1"/>
    <col min="5" max="5" width="12" customWidth="1"/>
    <col min="9" max="9" width="12.140625" customWidth="1"/>
    <col min="10" max="10" width="12" customWidth="1"/>
    <col min="14" max="14" width="12.140625" customWidth="1"/>
    <col min="15" max="15" width="12.42578125" customWidth="1"/>
  </cols>
  <sheetData>
    <row r="1" spans="1:15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709</v>
      </c>
      <c r="B2" s="29" t="s">
        <v>710</v>
      </c>
      <c r="C2" s="29" t="s">
        <v>711</v>
      </c>
      <c r="D2" s="29" t="s">
        <v>72</v>
      </c>
      <c r="E2" s="29"/>
      <c r="F2" s="29" t="s">
        <v>258</v>
      </c>
      <c r="G2" s="29"/>
      <c r="H2" s="29" t="s">
        <v>259</v>
      </c>
      <c r="I2" s="29"/>
      <c r="J2" s="29" t="s">
        <v>695</v>
      </c>
      <c r="K2" s="29"/>
      <c r="L2" s="29" t="s">
        <v>526</v>
      </c>
      <c r="M2" s="29" t="s">
        <v>527</v>
      </c>
      <c r="N2" s="29" t="s">
        <v>313</v>
      </c>
    </row>
    <row r="3" spans="1:15" x14ac:dyDescent="0.25">
      <c r="A3" s="29"/>
      <c r="B3" s="29"/>
      <c r="C3" s="29"/>
      <c r="D3" t="s">
        <v>263</v>
      </c>
      <c r="E3" t="s">
        <v>264</v>
      </c>
      <c r="F3" t="s">
        <v>263</v>
      </c>
      <c r="G3" t="s">
        <v>265</v>
      </c>
      <c r="H3" t="s">
        <v>263</v>
      </c>
      <c r="I3" t="s">
        <v>265</v>
      </c>
      <c r="J3" t="s">
        <v>263</v>
      </c>
      <c r="K3" t="s">
        <v>265</v>
      </c>
      <c r="L3" s="29"/>
      <c r="M3" s="29"/>
      <c r="N3" s="29"/>
    </row>
    <row r="4" spans="1:15" x14ac:dyDescent="0.25">
      <c r="A4" t="s">
        <v>283</v>
      </c>
      <c r="B4">
        <v>140</v>
      </c>
      <c r="C4">
        <v>908</v>
      </c>
      <c r="D4">
        <v>20437</v>
      </c>
      <c r="E4">
        <v>10067</v>
      </c>
      <c r="F4">
        <v>1261</v>
      </c>
      <c r="G4">
        <v>714</v>
      </c>
      <c r="H4">
        <v>246</v>
      </c>
      <c r="I4">
        <v>131</v>
      </c>
      <c r="J4">
        <v>89</v>
      </c>
      <c r="K4">
        <v>48</v>
      </c>
      <c r="L4">
        <v>248</v>
      </c>
      <c r="M4">
        <v>2220</v>
      </c>
      <c r="N4">
        <v>768</v>
      </c>
    </row>
    <row r="5" spans="1:15" x14ac:dyDescent="0.25">
      <c r="A5" t="s">
        <v>284</v>
      </c>
      <c r="B5">
        <v>61</v>
      </c>
      <c r="C5">
        <v>484</v>
      </c>
      <c r="D5">
        <v>9270</v>
      </c>
      <c r="E5">
        <v>4563</v>
      </c>
      <c r="F5">
        <v>939</v>
      </c>
      <c r="G5">
        <v>569</v>
      </c>
      <c r="H5">
        <v>351</v>
      </c>
      <c r="I5">
        <v>216</v>
      </c>
      <c r="J5">
        <v>63</v>
      </c>
      <c r="K5">
        <v>37</v>
      </c>
      <c r="L5">
        <v>90</v>
      </c>
      <c r="M5">
        <v>1182</v>
      </c>
      <c r="N5">
        <v>456</v>
      </c>
    </row>
    <row r="6" spans="1:15" x14ac:dyDescent="0.25">
      <c r="A6" t="s">
        <v>285</v>
      </c>
      <c r="B6">
        <v>36</v>
      </c>
      <c r="C6">
        <v>246</v>
      </c>
      <c r="D6">
        <v>4195</v>
      </c>
      <c r="E6">
        <v>2144</v>
      </c>
      <c r="F6">
        <v>284</v>
      </c>
      <c r="G6">
        <v>176</v>
      </c>
      <c r="H6">
        <v>71</v>
      </c>
      <c r="I6">
        <v>33</v>
      </c>
      <c r="J6">
        <v>8</v>
      </c>
      <c r="K6">
        <v>2</v>
      </c>
      <c r="L6">
        <v>62</v>
      </c>
      <c r="M6">
        <v>291</v>
      </c>
      <c r="N6">
        <v>190</v>
      </c>
    </row>
    <row r="7" spans="1:15" x14ac:dyDescent="0.25">
      <c r="A7" t="s">
        <v>286</v>
      </c>
      <c r="B7">
        <v>28</v>
      </c>
      <c r="C7">
        <v>175</v>
      </c>
      <c r="D7">
        <v>3706</v>
      </c>
      <c r="E7">
        <v>1640</v>
      </c>
      <c r="F7">
        <v>328</v>
      </c>
      <c r="G7">
        <v>205</v>
      </c>
      <c r="H7">
        <v>87</v>
      </c>
      <c r="I7">
        <v>60</v>
      </c>
      <c r="J7">
        <v>26</v>
      </c>
      <c r="K7">
        <v>19</v>
      </c>
      <c r="L7">
        <v>67</v>
      </c>
      <c r="M7">
        <v>443</v>
      </c>
      <c r="N7">
        <v>172</v>
      </c>
    </row>
    <row r="8" spans="1:15" x14ac:dyDescent="0.25">
      <c r="A8" t="s">
        <v>287</v>
      </c>
      <c r="B8">
        <v>64</v>
      </c>
      <c r="C8">
        <v>460</v>
      </c>
      <c r="D8">
        <v>7781</v>
      </c>
      <c r="E8">
        <v>3746</v>
      </c>
      <c r="F8">
        <v>591</v>
      </c>
      <c r="G8">
        <v>378</v>
      </c>
      <c r="H8">
        <v>133</v>
      </c>
      <c r="I8">
        <v>59</v>
      </c>
      <c r="J8">
        <v>48</v>
      </c>
      <c r="K8">
        <v>32</v>
      </c>
      <c r="L8">
        <v>129</v>
      </c>
      <c r="M8">
        <v>862</v>
      </c>
      <c r="N8">
        <v>381</v>
      </c>
    </row>
    <row r="9" spans="1:15" x14ac:dyDescent="0.25">
      <c r="A9" t="s">
        <v>288</v>
      </c>
      <c r="B9">
        <v>55</v>
      </c>
      <c r="C9">
        <v>204</v>
      </c>
      <c r="D9">
        <v>4551</v>
      </c>
      <c r="E9">
        <v>2205</v>
      </c>
      <c r="F9">
        <v>309</v>
      </c>
      <c r="G9">
        <v>174</v>
      </c>
      <c r="H9">
        <v>74</v>
      </c>
      <c r="I9">
        <v>39</v>
      </c>
      <c r="J9">
        <v>31</v>
      </c>
      <c r="K9">
        <v>22</v>
      </c>
      <c r="L9">
        <v>82</v>
      </c>
      <c r="M9">
        <v>502</v>
      </c>
      <c r="N9">
        <v>187</v>
      </c>
    </row>
    <row r="10" spans="1:15" x14ac:dyDescent="0.25">
      <c r="A10" t="s">
        <v>289</v>
      </c>
      <c r="B10">
        <v>42</v>
      </c>
      <c r="C10">
        <v>327</v>
      </c>
      <c r="D10">
        <v>8698</v>
      </c>
      <c r="E10">
        <v>4592</v>
      </c>
      <c r="F10">
        <v>568</v>
      </c>
      <c r="G10">
        <v>292</v>
      </c>
      <c r="H10">
        <v>94</v>
      </c>
      <c r="I10">
        <v>59</v>
      </c>
      <c r="J10">
        <v>14</v>
      </c>
      <c r="K10">
        <v>12</v>
      </c>
      <c r="L10">
        <v>97</v>
      </c>
      <c r="M10">
        <v>688</v>
      </c>
      <c r="N10">
        <v>301</v>
      </c>
    </row>
    <row r="11" spans="1:15" x14ac:dyDescent="0.25">
      <c r="A11" t="s">
        <v>290</v>
      </c>
      <c r="B11">
        <v>88</v>
      </c>
      <c r="C11">
        <v>620</v>
      </c>
      <c r="D11">
        <v>14542</v>
      </c>
      <c r="E11">
        <v>7164</v>
      </c>
      <c r="F11">
        <v>753</v>
      </c>
      <c r="G11">
        <v>455</v>
      </c>
      <c r="H11">
        <v>326</v>
      </c>
      <c r="I11">
        <v>168</v>
      </c>
      <c r="J11">
        <v>86</v>
      </c>
      <c r="K11">
        <v>31</v>
      </c>
      <c r="L11">
        <v>176</v>
      </c>
      <c r="M11">
        <v>1578</v>
      </c>
      <c r="N11">
        <v>571</v>
      </c>
    </row>
    <row r="12" spans="1:15" x14ac:dyDescent="0.25">
      <c r="A12" t="s">
        <v>291</v>
      </c>
      <c r="B12">
        <v>3</v>
      </c>
      <c r="C12">
        <v>18</v>
      </c>
      <c r="D12">
        <v>536</v>
      </c>
      <c r="E12">
        <v>300</v>
      </c>
      <c r="F12">
        <v>25</v>
      </c>
      <c r="G12">
        <v>19</v>
      </c>
      <c r="H12">
        <v>4</v>
      </c>
      <c r="I12">
        <v>3</v>
      </c>
      <c r="J12">
        <v>18</v>
      </c>
      <c r="K12">
        <v>13</v>
      </c>
      <c r="L12">
        <v>4</v>
      </c>
      <c r="M12">
        <v>21</v>
      </c>
      <c r="N12">
        <v>18</v>
      </c>
    </row>
    <row r="13" spans="1:15" x14ac:dyDescent="0.25">
      <c r="A13" t="s">
        <v>292</v>
      </c>
      <c r="B13">
        <v>18</v>
      </c>
      <c r="C13">
        <v>91</v>
      </c>
      <c r="D13">
        <v>2307</v>
      </c>
      <c r="E13">
        <v>1189</v>
      </c>
      <c r="F13">
        <v>119</v>
      </c>
      <c r="G13">
        <v>78</v>
      </c>
      <c r="H13">
        <v>25</v>
      </c>
      <c r="I13">
        <v>7</v>
      </c>
      <c r="J13">
        <v>3</v>
      </c>
      <c r="K13">
        <v>2</v>
      </c>
      <c r="L13">
        <v>42</v>
      </c>
      <c r="M13">
        <v>188</v>
      </c>
      <c r="N13">
        <v>86</v>
      </c>
    </row>
    <row r="14" spans="1:15" x14ac:dyDescent="0.25">
      <c r="A14" t="s">
        <v>293</v>
      </c>
      <c r="B14">
        <v>9</v>
      </c>
      <c r="C14">
        <v>61</v>
      </c>
      <c r="D14">
        <v>1192</v>
      </c>
      <c r="E14">
        <v>662</v>
      </c>
      <c r="F14">
        <v>87</v>
      </c>
      <c r="G14">
        <v>68</v>
      </c>
      <c r="H14">
        <v>74</v>
      </c>
      <c r="I14">
        <v>47</v>
      </c>
      <c r="J14">
        <v>0</v>
      </c>
      <c r="K14">
        <v>4</v>
      </c>
      <c r="L14">
        <v>16</v>
      </c>
      <c r="M14">
        <v>113</v>
      </c>
      <c r="N14">
        <v>53</v>
      </c>
    </row>
    <row r="15" spans="1:15" x14ac:dyDescent="0.25">
      <c r="A15" t="s">
        <v>294</v>
      </c>
      <c r="B15">
        <v>9</v>
      </c>
      <c r="C15">
        <v>34</v>
      </c>
      <c r="D15">
        <v>550</v>
      </c>
      <c r="E15">
        <v>251</v>
      </c>
      <c r="F15">
        <v>60</v>
      </c>
      <c r="G15">
        <v>34</v>
      </c>
      <c r="H15">
        <v>30</v>
      </c>
      <c r="I15">
        <v>12</v>
      </c>
      <c r="J15">
        <v>7</v>
      </c>
      <c r="K15">
        <v>5</v>
      </c>
      <c r="L15">
        <v>12</v>
      </c>
      <c r="M15">
        <v>46</v>
      </c>
      <c r="N15">
        <v>34</v>
      </c>
    </row>
    <row r="16" spans="1:15" x14ac:dyDescent="0.25">
      <c r="A16" t="s">
        <v>295</v>
      </c>
      <c r="B16">
        <v>12</v>
      </c>
      <c r="C16">
        <v>75</v>
      </c>
      <c r="D16">
        <v>2008</v>
      </c>
      <c r="E16">
        <v>930</v>
      </c>
      <c r="F16">
        <v>81</v>
      </c>
      <c r="G16">
        <v>55</v>
      </c>
      <c r="H16">
        <v>10</v>
      </c>
      <c r="I16">
        <v>4</v>
      </c>
      <c r="J16">
        <v>0</v>
      </c>
      <c r="K16">
        <v>0</v>
      </c>
      <c r="L16">
        <v>26</v>
      </c>
      <c r="M16">
        <v>106</v>
      </c>
      <c r="N16">
        <v>56</v>
      </c>
    </row>
    <row r="17" spans="1:14" x14ac:dyDescent="0.25">
      <c r="A17" t="s">
        <v>296</v>
      </c>
      <c r="B17">
        <v>17</v>
      </c>
      <c r="C17">
        <v>96</v>
      </c>
      <c r="D17">
        <v>1721</v>
      </c>
      <c r="E17">
        <v>835</v>
      </c>
      <c r="F17">
        <v>79</v>
      </c>
      <c r="G17">
        <v>66</v>
      </c>
      <c r="H17">
        <v>24</v>
      </c>
      <c r="I17">
        <v>12</v>
      </c>
      <c r="J17">
        <v>0</v>
      </c>
      <c r="K17">
        <v>0</v>
      </c>
      <c r="L17">
        <v>31</v>
      </c>
      <c r="M17">
        <v>207</v>
      </c>
      <c r="N17">
        <v>83</v>
      </c>
    </row>
    <row r="18" spans="1:14" x14ac:dyDescent="0.25">
      <c r="A18" t="s">
        <v>297</v>
      </c>
      <c r="B18">
        <v>776</v>
      </c>
      <c r="C18">
        <v>6072</v>
      </c>
      <c r="D18">
        <v>117304</v>
      </c>
      <c r="E18">
        <v>59085</v>
      </c>
      <c r="F18">
        <v>6847</v>
      </c>
      <c r="G18">
        <v>4067</v>
      </c>
      <c r="H18">
        <v>4358</v>
      </c>
      <c r="I18">
        <v>2731</v>
      </c>
      <c r="J18">
        <v>2550</v>
      </c>
      <c r="K18">
        <v>1454</v>
      </c>
      <c r="L18">
        <v>981</v>
      </c>
      <c r="M18">
        <v>17049</v>
      </c>
      <c r="N18">
        <v>5551</v>
      </c>
    </row>
    <row r="19" spans="1:14" x14ac:dyDescent="0.25">
      <c r="A19" t="s">
        <v>298</v>
      </c>
      <c r="B19">
        <v>61</v>
      </c>
      <c r="C19">
        <v>506</v>
      </c>
      <c r="D19">
        <v>8573</v>
      </c>
      <c r="E19">
        <v>4126</v>
      </c>
      <c r="F19">
        <v>533</v>
      </c>
      <c r="G19">
        <v>294</v>
      </c>
      <c r="H19">
        <v>109</v>
      </c>
      <c r="I19">
        <v>59</v>
      </c>
      <c r="J19">
        <v>86</v>
      </c>
      <c r="K19">
        <v>63</v>
      </c>
      <c r="L19">
        <v>103</v>
      </c>
      <c r="M19">
        <v>1012</v>
      </c>
      <c r="N19">
        <v>325</v>
      </c>
    </row>
    <row r="20" spans="1:14" x14ac:dyDescent="0.25">
      <c r="A20" t="s">
        <v>299</v>
      </c>
      <c r="B20">
        <v>4</v>
      </c>
      <c r="C20">
        <v>13</v>
      </c>
      <c r="D20">
        <v>180</v>
      </c>
      <c r="E20">
        <v>83</v>
      </c>
      <c r="F20">
        <v>14</v>
      </c>
      <c r="G20">
        <v>11</v>
      </c>
      <c r="H20">
        <v>10</v>
      </c>
      <c r="I20">
        <v>8</v>
      </c>
      <c r="J20">
        <v>0</v>
      </c>
      <c r="K20">
        <v>0</v>
      </c>
      <c r="L20">
        <v>5</v>
      </c>
      <c r="M20">
        <v>43</v>
      </c>
      <c r="N20">
        <v>13</v>
      </c>
    </row>
    <row r="21" spans="1:14" x14ac:dyDescent="0.25">
      <c r="A21" t="s">
        <v>300</v>
      </c>
      <c r="B21">
        <v>5</v>
      </c>
      <c r="C21">
        <v>14</v>
      </c>
      <c r="D21">
        <v>247</v>
      </c>
      <c r="E21">
        <v>145</v>
      </c>
      <c r="F21">
        <v>33</v>
      </c>
      <c r="G21">
        <v>19</v>
      </c>
      <c r="H21">
        <v>5</v>
      </c>
      <c r="I21">
        <v>3</v>
      </c>
      <c r="J21">
        <v>0</v>
      </c>
      <c r="K21">
        <v>0</v>
      </c>
      <c r="L21">
        <v>8</v>
      </c>
      <c r="M21">
        <v>54</v>
      </c>
      <c r="N21">
        <v>14</v>
      </c>
    </row>
    <row r="22" spans="1:14" x14ac:dyDescent="0.25">
      <c r="A22" t="s">
        <v>301</v>
      </c>
      <c r="B22">
        <v>6</v>
      </c>
      <c r="C22">
        <v>33</v>
      </c>
      <c r="D22">
        <v>710</v>
      </c>
      <c r="E22">
        <v>366</v>
      </c>
      <c r="F22">
        <v>45</v>
      </c>
      <c r="G22">
        <v>39</v>
      </c>
      <c r="H22">
        <v>22</v>
      </c>
      <c r="I22">
        <v>14</v>
      </c>
      <c r="J22">
        <v>2</v>
      </c>
      <c r="K22">
        <v>0</v>
      </c>
      <c r="L22">
        <v>12</v>
      </c>
      <c r="M22">
        <v>59</v>
      </c>
      <c r="N22">
        <v>33</v>
      </c>
    </row>
    <row r="23" spans="1:14" x14ac:dyDescent="0.25">
      <c r="A23" t="s">
        <v>302</v>
      </c>
      <c r="B23">
        <v>12</v>
      </c>
      <c r="C23">
        <v>122</v>
      </c>
      <c r="D23">
        <v>2197</v>
      </c>
      <c r="E23">
        <v>1041</v>
      </c>
      <c r="F23">
        <v>151</v>
      </c>
      <c r="G23">
        <v>85</v>
      </c>
      <c r="H23">
        <v>33</v>
      </c>
      <c r="I23">
        <v>21</v>
      </c>
      <c r="J23">
        <v>0</v>
      </c>
      <c r="K23">
        <v>0</v>
      </c>
      <c r="L23">
        <v>14</v>
      </c>
      <c r="M23">
        <v>97</v>
      </c>
      <c r="N23">
        <v>86</v>
      </c>
    </row>
    <row r="24" spans="1:14" x14ac:dyDescent="0.25">
      <c r="A24" t="s">
        <v>303</v>
      </c>
      <c r="B24">
        <v>123</v>
      </c>
      <c r="C24">
        <v>823</v>
      </c>
      <c r="D24">
        <v>18412</v>
      </c>
      <c r="E24">
        <v>6934</v>
      </c>
      <c r="F24">
        <v>1397</v>
      </c>
      <c r="G24">
        <v>915</v>
      </c>
      <c r="H24">
        <v>546</v>
      </c>
      <c r="I24">
        <v>347</v>
      </c>
      <c r="J24">
        <v>203</v>
      </c>
      <c r="K24">
        <v>131</v>
      </c>
      <c r="L24">
        <v>223</v>
      </c>
      <c r="M24">
        <v>1687</v>
      </c>
      <c r="N24">
        <v>700</v>
      </c>
    </row>
    <row r="25" spans="1:14" x14ac:dyDescent="0.25">
      <c r="A25" t="s">
        <v>304</v>
      </c>
      <c r="B25">
        <v>10</v>
      </c>
      <c r="C25">
        <v>49</v>
      </c>
      <c r="D25">
        <v>671</v>
      </c>
      <c r="E25">
        <v>347</v>
      </c>
      <c r="F25">
        <v>43</v>
      </c>
      <c r="G25">
        <v>32</v>
      </c>
      <c r="H25">
        <v>14</v>
      </c>
      <c r="I25">
        <v>10</v>
      </c>
      <c r="J25">
        <v>0</v>
      </c>
      <c r="K25">
        <v>0</v>
      </c>
      <c r="L25">
        <v>14</v>
      </c>
      <c r="M25">
        <v>70</v>
      </c>
      <c r="N25">
        <v>38</v>
      </c>
    </row>
    <row r="26" spans="1:14" x14ac:dyDescent="0.25">
      <c r="A26" t="s">
        <v>305</v>
      </c>
      <c r="B26">
        <v>8</v>
      </c>
      <c r="C26">
        <v>26</v>
      </c>
      <c r="D26">
        <v>373</v>
      </c>
      <c r="E26">
        <v>166</v>
      </c>
      <c r="F26">
        <v>44</v>
      </c>
      <c r="G26">
        <v>38</v>
      </c>
      <c r="H26">
        <v>19</v>
      </c>
      <c r="I26">
        <v>14</v>
      </c>
      <c r="J26">
        <v>14</v>
      </c>
      <c r="K26">
        <v>12</v>
      </c>
      <c r="L26">
        <v>8</v>
      </c>
      <c r="M26">
        <v>59</v>
      </c>
      <c r="N26">
        <v>25</v>
      </c>
    </row>
    <row r="27" spans="1:14" x14ac:dyDescent="0.25">
      <c r="A27" t="s">
        <v>306</v>
      </c>
      <c r="B27">
        <v>52</v>
      </c>
      <c r="C27">
        <v>274</v>
      </c>
      <c r="D27">
        <v>5697</v>
      </c>
      <c r="E27">
        <v>2797</v>
      </c>
      <c r="F27">
        <v>468</v>
      </c>
      <c r="G27">
        <v>241</v>
      </c>
      <c r="H27">
        <v>181</v>
      </c>
      <c r="I27">
        <v>91</v>
      </c>
      <c r="J27">
        <v>22</v>
      </c>
      <c r="K27">
        <v>12</v>
      </c>
      <c r="L27">
        <v>170</v>
      </c>
      <c r="M27">
        <v>593</v>
      </c>
      <c r="N27">
        <v>268</v>
      </c>
    </row>
    <row r="28" spans="1:14" x14ac:dyDescent="0.25">
      <c r="A28" t="s">
        <v>307</v>
      </c>
      <c r="B28">
        <v>27</v>
      </c>
      <c r="C28">
        <v>164</v>
      </c>
      <c r="D28">
        <v>4692</v>
      </c>
      <c r="E28">
        <v>2671</v>
      </c>
      <c r="F28">
        <v>243</v>
      </c>
      <c r="G28">
        <v>155</v>
      </c>
      <c r="H28">
        <v>34</v>
      </c>
      <c r="I28">
        <v>19</v>
      </c>
      <c r="J28">
        <v>28</v>
      </c>
      <c r="K28">
        <v>18</v>
      </c>
      <c r="L28">
        <v>43</v>
      </c>
      <c r="M28">
        <v>401</v>
      </c>
      <c r="N28">
        <v>164</v>
      </c>
    </row>
    <row r="29" spans="1:14" x14ac:dyDescent="0.25">
      <c r="A29" t="s">
        <v>266</v>
      </c>
      <c r="B29">
        <v>1666</v>
      </c>
      <c r="C29">
        <v>11895</v>
      </c>
      <c r="D29">
        <v>240550</v>
      </c>
      <c r="E29">
        <v>118049</v>
      </c>
      <c r="F29">
        <v>15302</v>
      </c>
      <c r="G29">
        <v>9179</v>
      </c>
      <c r="H29">
        <v>6880</v>
      </c>
      <c r="I29">
        <v>4167</v>
      </c>
      <c r="J29">
        <v>3298</v>
      </c>
      <c r="K29">
        <v>1917</v>
      </c>
      <c r="L29">
        <v>2663</v>
      </c>
      <c r="M29">
        <v>29571</v>
      </c>
      <c r="N29">
        <v>10573</v>
      </c>
    </row>
    <row r="30" spans="1:14" x14ac:dyDescent="0.25">
      <c r="A30" t="s">
        <v>459</v>
      </c>
      <c r="B30">
        <v>346</v>
      </c>
      <c r="C30">
        <v>2096</v>
      </c>
      <c r="D30">
        <v>43843</v>
      </c>
      <c r="E30">
        <v>21756</v>
      </c>
      <c r="F30">
        <v>2671</v>
      </c>
      <c r="G30">
        <v>1524</v>
      </c>
      <c r="H30">
        <v>684</v>
      </c>
      <c r="I30">
        <v>323</v>
      </c>
      <c r="J30">
        <v>191</v>
      </c>
      <c r="K30">
        <v>116</v>
      </c>
      <c r="L30">
        <v>730</v>
      </c>
      <c r="M30">
        <v>3902</v>
      </c>
      <c r="N30">
        <v>1774</v>
      </c>
    </row>
    <row r="31" spans="1:14" x14ac:dyDescent="0.25">
      <c r="A31" t="s">
        <v>460</v>
      </c>
      <c r="B31">
        <v>1320</v>
      </c>
      <c r="C31">
        <v>9799</v>
      </c>
      <c r="D31">
        <v>196707</v>
      </c>
      <c r="E31">
        <v>96293</v>
      </c>
      <c r="F31">
        <v>12631</v>
      </c>
      <c r="G31">
        <v>7655</v>
      </c>
      <c r="H31">
        <v>6196</v>
      </c>
      <c r="I31">
        <v>3844</v>
      </c>
      <c r="J31">
        <v>3107</v>
      </c>
      <c r="K31">
        <v>1801</v>
      </c>
      <c r="L31">
        <v>1933</v>
      </c>
      <c r="M31">
        <v>25669</v>
      </c>
      <c r="N31">
        <v>8799</v>
      </c>
    </row>
  </sheetData>
  <mergeCells count="11">
    <mergeCell ref="F2:G2"/>
    <mergeCell ref="H2:I2"/>
    <mergeCell ref="D2:E2"/>
    <mergeCell ref="J2:K2"/>
    <mergeCell ref="A1:O1"/>
    <mergeCell ref="M2:M3"/>
    <mergeCell ref="B2:B3"/>
    <mergeCell ref="A2:A3"/>
    <mergeCell ref="N2:N3"/>
    <mergeCell ref="C2:C3"/>
    <mergeCell ref="L2:L3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ED7D31"/>
  </sheetPr>
  <dimension ref="A1:N21"/>
  <sheetViews>
    <sheetView workbookViewId="0"/>
  </sheetViews>
  <sheetFormatPr defaultRowHeight="15" x14ac:dyDescent="0.25"/>
  <cols>
    <col min="1" max="1" width="19.85546875" customWidth="1"/>
    <col min="2" max="2" width="12" customWidth="1"/>
    <col min="5" max="5" width="12.140625" customWidth="1"/>
    <col min="6" max="6" width="12" customWidth="1"/>
    <col min="10" max="10" width="12.140625" customWidth="1"/>
    <col min="11" max="11" width="12" customWidth="1"/>
  </cols>
  <sheetData>
    <row r="1" spans="1:14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695</v>
      </c>
      <c r="K1" s="29"/>
      <c r="L1" s="29" t="s">
        <v>526</v>
      </c>
      <c r="M1" s="29" t="s">
        <v>527</v>
      </c>
      <c r="N1" s="29" t="s">
        <v>313</v>
      </c>
    </row>
    <row r="2" spans="1:14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29"/>
      <c r="M2" s="29"/>
      <c r="N2" s="29"/>
    </row>
    <row r="3" spans="1:14" x14ac:dyDescent="0.25">
      <c r="A3" t="s">
        <v>283</v>
      </c>
      <c r="B3">
        <v>14</v>
      </c>
      <c r="C3">
        <v>49</v>
      </c>
      <c r="D3">
        <v>1060</v>
      </c>
      <c r="E3">
        <v>522</v>
      </c>
      <c r="F3">
        <v>160</v>
      </c>
      <c r="G3">
        <v>73</v>
      </c>
      <c r="H3">
        <v>21</v>
      </c>
      <c r="I3">
        <v>8</v>
      </c>
      <c r="J3">
        <v>5</v>
      </c>
      <c r="K3">
        <v>5</v>
      </c>
      <c r="L3">
        <v>26</v>
      </c>
      <c r="M3">
        <v>199</v>
      </c>
      <c r="N3">
        <v>49</v>
      </c>
    </row>
    <row r="4" spans="1:14" x14ac:dyDescent="0.25">
      <c r="A4" t="s">
        <v>284</v>
      </c>
      <c r="B4">
        <v>1</v>
      </c>
      <c r="C4">
        <v>3</v>
      </c>
      <c r="D4">
        <v>24</v>
      </c>
      <c r="E4">
        <v>13</v>
      </c>
      <c r="F4">
        <v>12</v>
      </c>
      <c r="G4">
        <v>7</v>
      </c>
      <c r="H4">
        <v>14</v>
      </c>
      <c r="I4">
        <v>7</v>
      </c>
      <c r="J4">
        <v>2</v>
      </c>
      <c r="K4">
        <v>1</v>
      </c>
      <c r="L4">
        <v>4</v>
      </c>
      <c r="M4">
        <v>7</v>
      </c>
      <c r="N4">
        <v>3</v>
      </c>
    </row>
    <row r="5" spans="1:14" x14ac:dyDescent="0.25">
      <c r="A5" t="s">
        <v>285</v>
      </c>
      <c r="B5">
        <v>3</v>
      </c>
      <c r="C5">
        <v>14</v>
      </c>
      <c r="D5">
        <v>328</v>
      </c>
      <c r="E5">
        <v>156</v>
      </c>
      <c r="F5">
        <v>18</v>
      </c>
      <c r="G5">
        <v>6</v>
      </c>
      <c r="H5">
        <v>5</v>
      </c>
      <c r="I5">
        <v>2</v>
      </c>
      <c r="J5">
        <v>1</v>
      </c>
      <c r="K5">
        <v>0</v>
      </c>
      <c r="L5">
        <v>3</v>
      </c>
      <c r="M5">
        <v>14</v>
      </c>
      <c r="N5">
        <v>14</v>
      </c>
    </row>
    <row r="6" spans="1:14" x14ac:dyDescent="0.25">
      <c r="A6" t="s">
        <v>286</v>
      </c>
      <c r="B6">
        <v>3</v>
      </c>
      <c r="C6">
        <v>12</v>
      </c>
      <c r="D6">
        <v>343</v>
      </c>
      <c r="E6">
        <v>152</v>
      </c>
      <c r="F6">
        <v>45</v>
      </c>
      <c r="G6">
        <v>16</v>
      </c>
      <c r="H6">
        <v>5</v>
      </c>
      <c r="I6">
        <v>3</v>
      </c>
      <c r="J6">
        <v>1</v>
      </c>
      <c r="K6">
        <v>0</v>
      </c>
      <c r="L6">
        <v>1</v>
      </c>
      <c r="M6">
        <v>23</v>
      </c>
      <c r="N6">
        <v>12</v>
      </c>
    </row>
    <row r="7" spans="1:14" x14ac:dyDescent="0.25">
      <c r="A7" t="s">
        <v>287</v>
      </c>
      <c r="B7">
        <v>7</v>
      </c>
      <c r="C7">
        <v>18</v>
      </c>
      <c r="D7">
        <v>302</v>
      </c>
      <c r="E7">
        <v>155</v>
      </c>
      <c r="F7">
        <v>84</v>
      </c>
      <c r="G7">
        <v>37</v>
      </c>
      <c r="H7">
        <v>2</v>
      </c>
      <c r="I7">
        <v>1</v>
      </c>
      <c r="J7">
        <v>8</v>
      </c>
      <c r="K7">
        <v>5</v>
      </c>
      <c r="L7">
        <v>13</v>
      </c>
      <c r="M7">
        <v>73</v>
      </c>
      <c r="N7">
        <v>17</v>
      </c>
    </row>
    <row r="8" spans="1:14" x14ac:dyDescent="0.25">
      <c r="A8" t="s">
        <v>288</v>
      </c>
      <c r="B8">
        <v>6</v>
      </c>
      <c r="C8">
        <v>20</v>
      </c>
      <c r="D8">
        <v>311</v>
      </c>
      <c r="E8">
        <v>165</v>
      </c>
      <c r="F8">
        <v>69</v>
      </c>
      <c r="G8">
        <v>35</v>
      </c>
      <c r="H8">
        <v>13</v>
      </c>
      <c r="I8">
        <v>7</v>
      </c>
      <c r="J8">
        <v>6</v>
      </c>
      <c r="K8">
        <v>4</v>
      </c>
      <c r="L8">
        <v>9</v>
      </c>
      <c r="M8">
        <v>111</v>
      </c>
      <c r="N8">
        <v>20</v>
      </c>
    </row>
    <row r="9" spans="1:14" x14ac:dyDescent="0.25">
      <c r="A9" t="s">
        <v>289</v>
      </c>
      <c r="B9">
        <v>6</v>
      </c>
      <c r="C9">
        <v>36</v>
      </c>
      <c r="D9">
        <v>741</v>
      </c>
      <c r="E9">
        <v>215</v>
      </c>
      <c r="F9">
        <v>95</v>
      </c>
      <c r="G9">
        <v>24</v>
      </c>
      <c r="H9">
        <v>16</v>
      </c>
      <c r="I9">
        <v>6</v>
      </c>
      <c r="J9">
        <v>3</v>
      </c>
      <c r="K9">
        <v>2</v>
      </c>
      <c r="L9">
        <v>18</v>
      </c>
      <c r="M9">
        <v>112</v>
      </c>
      <c r="N9">
        <v>26</v>
      </c>
    </row>
    <row r="10" spans="1:14" x14ac:dyDescent="0.25">
      <c r="A10" t="s">
        <v>290</v>
      </c>
      <c r="B10">
        <v>4</v>
      </c>
      <c r="C10">
        <v>11</v>
      </c>
      <c r="D10">
        <v>173</v>
      </c>
      <c r="E10">
        <v>88</v>
      </c>
      <c r="F10">
        <v>34</v>
      </c>
      <c r="G10">
        <v>21</v>
      </c>
      <c r="H10">
        <v>9</v>
      </c>
      <c r="I10">
        <v>5</v>
      </c>
      <c r="J10">
        <v>3</v>
      </c>
      <c r="K10">
        <v>3</v>
      </c>
      <c r="L10">
        <v>5</v>
      </c>
      <c r="M10">
        <v>44</v>
      </c>
      <c r="N10">
        <v>11</v>
      </c>
    </row>
    <row r="11" spans="1:14" x14ac:dyDescent="0.25">
      <c r="A11" t="s">
        <v>292</v>
      </c>
      <c r="B11">
        <v>1</v>
      </c>
      <c r="C11">
        <v>1</v>
      </c>
      <c r="D11">
        <v>9</v>
      </c>
      <c r="E11">
        <v>6</v>
      </c>
      <c r="F11">
        <v>6</v>
      </c>
      <c r="G11">
        <v>4</v>
      </c>
      <c r="H11">
        <v>0</v>
      </c>
      <c r="I11">
        <v>0</v>
      </c>
      <c r="J11">
        <v>0</v>
      </c>
      <c r="K11">
        <v>0</v>
      </c>
      <c r="L11">
        <v>3</v>
      </c>
      <c r="M11">
        <v>20</v>
      </c>
      <c r="N11">
        <v>1</v>
      </c>
    </row>
    <row r="12" spans="1:14" x14ac:dyDescent="0.25">
      <c r="A12" t="s">
        <v>294</v>
      </c>
      <c r="B12">
        <v>1</v>
      </c>
      <c r="C12">
        <v>3</v>
      </c>
      <c r="D12">
        <v>39</v>
      </c>
      <c r="E12">
        <v>15</v>
      </c>
      <c r="F12">
        <v>6</v>
      </c>
      <c r="G12">
        <v>4</v>
      </c>
      <c r="H12">
        <v>0</v>
      </c>
      <c r="I12">
        <v>0</v>
      </c>
      <c r="J12">
        <v>1</v>
      </c>
      <c r="K12">
        <v>1</v>
      </c>
      <c r="L12">
        <v>1</v>
      </c>
      <c r="M12">
        <v>3</v>
      </c>
      <c r="N12">
        <v>3</v>
      </c>
    </row>
    <row r="13" spans="1:14" x14ac:dyDescent="0.25">
      <c r="A13" t="s">
        <v>297</v>
      </c>
      <c r="B13">
        <v>49</v>
      </c>
      <c r="C13">
        <v>269</v>
      </c>
      <c r="D13">
        <v>5040</v>
      </c>
      <c r="E13">
        <v>2583</v>
      </c>
      <c r="F13">
        <v>527</v>
      </c>
      <c r="G13">
        <v>235</v>
      </c>
      <c r="H13">
        <v>210</v>
      </c>
      <c r="I13">
        <v>110</v>
      </c>
      <c r="J13">
        <v>198</v>
      </c>
      <c r="K13">
        <v>88</v>
      </c>
      <c r="L13">
        <v>80</v>
      </c>
      <c r="M13">
        <v>1212</v>
      </c>
      <c r="N13">
        <v>249</v>
      </c>
    </row>
    <row r="14" spans="1:14" x14ac:dyDescent="0.25">
      <c r="A14" t="s">
        <v>298</v>
      </c>
      <c r="B14">
        <v>6</v>
      </c>
      <c r="C14">
        <v>18</v>
      </c>
      <c r="D14">
        <v>223</v>
      </c>
      <c r="E14">
        <v>114</v>
      </c>
      <c r="F14">
        <v>55</v>
      </c>
      <c r="G14">
        <v>14</v>
      </c>
      <c r="H14">
        <v>6</v>
      </c>
      <c r="I14">
        <v>4</v>
      </c>
      <c r="J14">
        <v>11</v>
      </c>
      <c r="K14">
        <v>9</v>
      </c>
      <c r="L14">
        <v>12</v>
      </c>
      <c r="M14">
        <v>132</v>
      </c>
      <c r="N14">
        <v>17</v>
      </c>
    </row>
    <row r="15" spans="1:14" x14ac:dyDescent="0.25">
      <c r="A15" t="s">
        <v>302</v>
      </c>
      <c r="B15">
        <v>1</v>
      </c>
      <c r="C15">
        <v>7</v>
      </c>
      <c r="D15">
        <v>63</v>
      </c>
      <c r="E15">
        <v>20</v>
      </c>
      <c r="F15">
        <v>20</v>
      </c>
      <c r="G15">
        <v>11</v>
      </c>
      <c r="H15">
        <v>2</v>
      </c>
      <c r="I15">
        <v>0</v>
      </c>
      <c r="J15">
        <v>0</v>
      </c>
      <c r="K15">
        <v>0</v>
      </c>
      <c r="L15">
        <v>1</v>
      </c>
      <c r="M15">
        <v>6</v>
      </c>
      <c r="N15">
        <v>6</v>
      </c>
    </row>
    <row r="16" spans="1:14" x14ac:dyDescent="0.25">
      <c r="A16" t="s">
        <v>303</v>
      </c>
      <c r="B16">
        <v>6</v>
      </c>
      <c r="C16">
        <v>16</v>
      </c>
      <c r="D16">
        <v>190</v>
      </c>
      <c r="E16">
        <v>92</v>
      </c>
      <c r="F16">
        <v>58</v>
      </c>
      <c r="G16">
        <v>32</v>
      </c>
      <c r="H16">
        <v>21</v>
      </c>
      <c r="I16">
        <v>15</v>
      </c>
      <c r="J16">
        <v>18</v>
      </c>
      <c r="K16">
        <v>10</v>
      </c>
      <c r="L16">
        <v>18</v>
      </c>
      <c r="M16">
        <v>79</v>
      </c>
      <c r="N16">
        <v>16</v>
      </c>
    </row>
    <row r="17" spans="1:14" x14ac:dyDescent="0.25">
      <c r="A17" t="s">
        <v>304</v>
      </c>
      <c r="B17">
        <v>1</v>
      </c>
      <c r="C17">
        <v>5</v>
      </c>
      <c r="D17">
        <v>95</v>
      </c>
      <c r="E17">
        <v>52</v>
      </c>
      <c r="F17">
        <v>10</v>
      </c>
      <c r="G17">
        <v>5</v>
      </c>
      <c r="H17">
        <v>0</v>
      </c>
      <c r="I17">
        <v>0</v>
      </c>
      <c r="J17">
        <v>0</v>
      </c>
      <c r="K17">
        <v>0</v>
      </c>
      <c r="L17">
        <v>1</v>
      </c>
      <c r="M17">
        <v>6</v>
      </c>
      <c r="N17">
        <v>5</v>
      </c>
    </row>
    <row r="18" spans="1:14" x14ac:dyDescent="0.25">
      <c r="A18" t="s">
        <v>307</v>
      </c>
      <c r="B18">
        <v>3</v>
      </c>
      <c r="C18">
        <v>14</v>
      </c>
      <c r="D18">
        <v>357</v>
      </c>
      <c r="E18">
        <v>155</v>
      </c>
      <c r="F18">
        <v>47</v>
      </c>
      <c r="G18">
        <v>24</v>
      </c>
      <c r="H18">
        <v>7</v>
      </c>
      <c r="I18">
        <v>3</v>
      </c>
      <c r="J18">
        <v>1</v>
      </c>
      <c r="K18">
        <v>0</v>
      </c>
      <c r="L18">
        <v>4</v>
      </c>
      <c r="M18">
        <v>49</v>
      </c>
      <c r="N18">
        <v>14</v>
      </c>
    </row>
    <row r="19" spans="1:14" x14ac:dyDescent="0.25">
      <c r="A19" t="s">
        <v>266</v>
      </c>
      <c r="B19">
        <v>112</v>
      </c>
      <c r="C19">
        <v>496</v>
      </c>
      <c r="D19">
        <v>9298</v>
      </c>
      <c r="E19">
        <v>4503</v>
      </c>
      <c r="F19">
        <v>1246</v>
      </c>
      <c r="G19">
        <v>548</v>
      </c>
      <c r="H19">
        <v>331</v>
      </c>
      <c r="I19">
        <v>171</v>
      </c>
      <c r="J19">
        <v>258</v>
      </c>
      <c r="K19">
        <v>128</v>
      </c>
      <c r="L19">
        <v>199</v>
      </c>
      <c r="M19">
        <v>2090</v>
      </c>
      <c r="N19">
        <v>463</v>
      </c>
    </row>
    <row r="20" spans="1:14" x14ac:dyDescent="0.25">
      <c r="A20" t="s">
        <v>459</v>
      </c>
      <c r="B20">
        <v>83</v>
      </c>
      <c r="C20">
        <v>386</v>
      </c>
      <c r="D20">
        <v>6866</v>
      </c>
      <c r="E20">
        <v>3451</v>
      </c>
      <c r="F20">
        <v>904</v>
      </c>
      <c r="G20">
        <v>405</v>
      </c>
      <c r="H20">
        <v>273</v>
      </c>
      <c r="I20">
        <v>143</v>
      </c>
      <c r="J20">
        <v>242</v>
      </c>
      <c r="K20">
        <v>115</v>
      </c>
      <c r="L20">
        <v>135</v>
      </c>
      <c r="M20">
        <v>1650</v>
      </c>
      <c r="N20">
        <v>365</v>
      </c>
    </row>
    <row r="21" spans="1:14" x14ac:dyDescent="0.25">
      <c r="A21" t="s">
        <v>460</v>
      </c>
      <c r="B21">
        <v>29</v>
      </c>
      <c r="C21">
        <v>110</v>
      </c>
      <c r="D21">
        <v>2432</v>
      </c>
      <c r="E21">
        <v>1052</v>
      </c>
      <c r="F21">
        <v>342</v>
      </c>
      <c r="G21">
        <v>143</v>
      </c>
      <c r="H21">
        <v>58</v>
      </c>
      <c r="I21">
        <v>28</v>
      </c>
      <c r="J21">
        <v>16</v>
      </c>
      <c r="K21">
        <v>13</v>
      </c>
      <c r="L21">
        <v>64</v>
      </c>
      <c r="M21">
        <v>440</v>
      </c>
      <c r="N21">
        <v>98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ED7D31"/>
  </sheetPr>
  <dimension ref="A1:N23"/>
  <sheetViews>
    <sheetView workbookViewId="0"/>
  </sheetViews>
  <sheetFormatPr defaultRowHeight="15" x14ac:dyDescent="0.25"/>
  <cols>
    <col min="1" max="1" width="20.140625" customWidth="1"/>
    <col min="2" max="2" width="12" customWidth="1"/>
    <col min="6" max="6" width="12.140625" customWidth="1"/>
    <col min="7" max="7" width="12" customWidth="1"/>
    <col min="11" max="11" width="12.140625" customWidth="1"/>
    <col min="12" max="12" width="12" customWidth="1"/>
  </cols>
  <sheetData>
    <row r="1" spans="1:14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695</v>
      </c>
      <c r="K1" s="29"/>
      <c r="L1" s="29" t="s">
        <v>526</v>
      </c>
      <c r="M1" s="29" t="s">
        <v>527</v>
      </c>
      <c r="N1" s="29" t="s">
        <v>313</v>
      </c>
    </row>
    <row r="2" spans="1:14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29"/>
      <c r="M2" s="29"/>
      <c r="N2" s="29"/>
    </row>
    <row r="3" spans="1:14" x14ac:dyDescent="0.25">
      <c r="A3" t="s">
        <v>283</v>
      </c>
      <c r="B3">
        <v>14</v>
      </c>
      <c r="C3">
        <v>167</v>
      </c>
      <c r="D3">
        <v>5001</v>
      </c>
      <c r="E3">
        <v>2561</v>
      </c>
      <c r="F3">
        <v>422</v>
      </c>
      <c r="G3">
        <v>146</v>
      </c>
      <c r="H3">
        <v>53</v>
      </c>
      <c r="I3">
        <v>22</v>
      </c>
      <c r="J3">
        <v>34</v>
      </c>
      <c r="K3">
        <v>11</v>
      </c>
      <c r="L3">
        <v>57</v>
      </c>
      <c r="M3">
        <v>412</v>
      </c>
      <c r="N3">
        <v>147</v>
      </c>
    </row>
    <row r="4" spans="1:14" x14ac:dyDescent="0.25">
      <c r="A4" t="s">
        <v>284</v>
      </c>
      <c r="B4">
        <v>13</v>
      </c>
      <c r="C4">
        <v>146</v>
      </c>
      <c r="D4">
        <v>3655</v>
      </c>
      <c r="E4">
        <v>1928</v>
      </c>
      <c r="F4">
        <v>541</v>
      </c>
      <c r="G4">
        <v>234</v>
      </c>
      <c r="H4">
        <v>160</v>
      </c>
      <c r="I4">
        <v>95</v>
      </c>
      <c r="J4">
        <v>9</v>
      </c>
      <c r="K4">
        <v>4</v>
      </c>
      <c r="L4">
        <v>17</v>
      </c>
      <c r="M4">
        <v>430</v>
      </c>
      <c r="N4">
        <v>142</v>
      </c>
    </row>
    <row r="5" spans="1:14" x14ac:dyDescent="0.25">
      <c r="A5" t="s">
        <v>285</v>
      </c>
      <c r="B5">
        <v>5</v>
      </c>
      <c r="C5">
        <v>44</v>
      </c>
      <c r="D5">
        <v>787</v>
      </c>
      <c r="E5">
        <v>399</v>
      </c>
      <c r="F5">
        <v>91</v>
      </c>
      <c r="G5">
        <v>47</v>
      </c>
      <c r="H5">
        <v>12</v>
      </c>
      <c r="I5">
        <v>7</v>
      </c>
      <c r="J5">
        <v>1</v>
      </c>
      <c r="K5">
        <v>0</v>
      </c>
      <c r="L5">
        <v>5</v>
      </c>
      <c r="M5">
        <v>49</v>
      </c>
      <c r="N5">
        <v>36</v>
      </c>
    </row>
    <row r="6" spans="1:14" x14ac:dyDescent="0.25">
      <c r="A6" t="s">
        <v>286</v>
      </c>
      <c r="B6">
        <v>4</v>
      </c>
      <c r="C6">
        <v>29</v>
      </c>
      <c r="D6">
        <v>670</v>
      </c>
      <c r="E6">
        <v>219</v>
      </c>
      <c r="F6">
        <v>101</v>
      </c>
      <c r="G6">
        <v>43</v>
      </c>
      <c r="H6">
        <v>11</v>
      </c>
      <c r="I6">
        <v>7</v>
      </c>
      <c r="J6">
        <v>1</v>
      </c>
      <c r="K6">
        <v>0</v>
      </c>
      <c r="L6">
        <v>7</v>
      </c>
      <c r="M6">
        <v>88</v>
      </c>
      <c r="N6">
        <v>28</v>
      </c>
    </row>
    <row r="7" spans="1:14" x14ac:dyDescent="0.25">
      <c r="A7" t="s">
        <v>287</v>
      </c>
      <c r="B7">
        <v>5</v>
      </c>
      <c r="C7">
        <v>29</v>
      </c>
      <c r="D7">
        <v>652</v>
      </c>
      <c r="E7">
        <v>315</v>
      </c>
      <c r="F7">
        <v>86</v>
      </c>
      <c r="G7">
        <v>36</v>
      </c>
      <c r="H7">
        <v>18</v>
      </c>
      <c r="I7">
        <v>7</v>
      </c>
      <c r="J7">
        <v>9</v>
      </c>
      <c r="K7">
        <v>4</v>
      </c>
      <c r="L7">
        <v>8</v>
      </c>
      <c r="M7">
        <v>91</v>
      </c>
      <c r="N7">
        <v>29</v>
      </c>
    </row>
    <row r="8" spans="1:14" x14ac:dyDescent="0.25">
      <c r="A8" t="s">
        <v>288</v>
      </c>
      <c r="B8">
        <v>3</v>
      </c>
      <c r="C8">
        <v>19</v>
      </c>
      <c r="D8">
        <v>478</v>
      </c>
      <c r="E8">
        <v>231</v>
      </c>
      <c r="F8">
        <v>58</v>
      </c>
      <c r="G8">
        <v>15</v>
      </c>
      <c r="H8">
        <v>12</v>
      </c>
      <c r="I8">
        <v>8</v>
      </c>
      <c r="J8">
        <v>2</v>
      </c>
      <c r="K8">
        <v>1</v>
      </c>
      <c r="L8">
        <v>14</v>
      </c>
      <c r="M8">
        <v>44</v>
      </c>
      <c r="N8">
        <v>19</v>
      </c>
    </row>
    <row r="9" spans="1:14" x14ac:dyDescent="0.25">
      <c r="A9" t="s">
        <v>289</v>
      </c>
      <c r="B9">
        <v>7</v>
      </c>
      <c r="C9">
        <v>72</v>
      </c>
      <c r="D9">
        <v>1972</v>
      </c>
      <c r="E9">
        <v>1182</v>
      </c>
      <c r="F9">
        <v>190</v>
      </c>
      <c r="G9">
        <v>83</v>
      </c>
      <c r="H9">
        <v>33</v>
      </c>
      <c r="I9">
        <v>20</v>
      </c>
      <c r="J9">
        <v>1</v>
      </c>
      <c r="K9">
        <v>1</v>
      </c>
      <c r="L9">
        <v>19</v>
      </c>
      <c r="M9">
        <v>212</v>
      </c>
      <c r="N9">
        <v>64</v>
      </c>
    </row>
    <row r="10" spans="1:14" x14ac:dyDescent="0.25">
      <c r="A10" t="s">
        <v>290</v>
      </c>
      <c r="B10">
        <v>6</v>
      </c>
      <c r="C10">
        <v>139</v>
      </c>
      <c r="D10">
        <v>3953</v>
      </c>
      <c r="E10">
        <v>1829</v>
      </c>
      <c r="F10">
        <v>241</v>
      </c>
      <c r="G10">
        <v>60</v>
      </c>
      <c r="H10">
        <v>37</v>
      </c>
      <c r="I10">
        <v>7</v>
      </c>
      <c r="J10">
        <v>2</v>
      </c>
      <c r="K10">
        <v>1</v>
      </c>
      <c r="L10">
        <v>23</v>
      </c>
      <c r="M10">
        <v>316</v>
      </c>
      <c r="N10">
        <v>120</v>
      </c>
    </row>
    <row r="11" spans="1:14" x14ac:dyDescent="0.25">
      <c r="A11" t="s">
        <v>292</v>
      </c>
      <c r="B11">
        <v>1</v>
      </c>
      <c r="C11">
        <v>7</v>
      </c>
      <c r="D11">
        <v>150</v>
      </c>
      <c r="E11">
        <v>75</v>
      </c>
      <c r="F11">
        <v>25</v>
      </c>
      <c r="G11">
        <v>11</v>
      </c>
      <c r="H11">
        <v>5</v>
      </c>
      <c r="I11">
        <v>1</v>
      </c>
      <c r="J11">
        <v>0</v>
      </c>
      <c r="K11">
        <v>0</v>
      </c>
      <c r="L11">
        <v>2</v>
      </c>
      <c r="M11">
        <v>11</v>
      </c>
      <c r="N11">
        <v>7</v>
      </c>
    </row>
    <row r="12" spans="1:14" x14ac:dyDescent="0.25">
      <c r="A12" t="s">
        <v>293</v>
      </c>
      <c r="B12">
        <v>1</v>
      </c>
      <c r="C12">
        <v>7</v>
      </c>
      <c r="D12">
        <v>118</v>
      </c>
      <c r="E12">
        <v>61</v>
      </c>
      <c r="F12">
        <v>29</v>
      </c>
      <c r="G12">
        <v>15</v>
      </c>
      <c r="H12">
        <v>22</v>
      </c>
      <c r="I12">
        <v>14</v>
      </c>
      <c r="J12">
        <v>0</v>
      </c>
      <c r="K12">
        <v>0</v>
      </c>
      <c r="L12">
        <v>1</v>
      </c>
      <c r="M12">
        <v>21</v>
      </c>
      <c r="N12">
        <v>7</v>
      </c>
    </row>
    <row r="13" spans="1:14" x14ac:dyDescent="0.25">
      <c r="A13" t="s">
        <v>294</v>
      </c>
      <c r="B13">
        <v>1</v>
      </c>
      <c r="C13">
        <v>6</v>
      </c>
      <c r="D13">
        <v>110</v>
      </c>
      <c r="E13">
        <v>46</v>
      </c>
      <c r="F13">
        <v>14</v>
      </c>
      <c r="G13">
        <v>2</v>
      </c>
      <c r="H13">
        <v>9</v>
      </c>
      <c r="I13">
        <v>0</v>
      </c>
      <c r="J13">
        <v>0</v>
      </c>
      <c r="K13">
        <v>0</v>
      </c>
      <c r="L13">
        <v>1</v>
      </c>
      <c r="M13">
        <v>6</v>
      </c>
      <c r="N13">
        <v>6</v>
      </c>
    </row>
    <row r="14" spans="1:14" x14ac:dyDescent="0.25">
      <c r="A14" t="s">
        <v>297</v>
      </c>
      <c r="B14">
        <v>114</v>
      </c>
      <c r="C14">
        <v>1328</v>
      </c>
      <c r="D14">
        <v>31735</v>
      </c>
      <c r="E14">
        <v>16386</v>
      </c>
      <c r="F14">
        <v>2510</v>
      </c>
      <c r="G14">
        <v>977</v>
      </c>
      <c r="H14">
        <v>1207</v>
      </c>
      <c r="I14">
        <v>619</v>
      </c>
      <c r="J14">
        <v>603</v>
      </c>
      <c r="K14">
        <v>255</v>
      </c>
      <c r="L14">
        <v>176</v>
      </c>
      <c r="M14">
        <v>4332</v>
      </c>
      <c r="N14">
        <v>1167</v>
      </c>
    </row>
    <row r="15" spans="1:14" x14ac:dyDescent="0.25">
      <c r="A15" t="s">
        <v>298</v>
      </c>
      <c r="B15">
        <v>5</v>
      </c>
      <c r="C15">
        <v>67</v>
      </c>
      <c r="D15">
        <v>1788</v>
      </c>
      <c r="E15">
        <v>825</v>
      </c>
      <c r="F15">
        <v>167</v>
      </c>
      <c r="G15">
        <v>43</v>
      </c>
      <c r="H15">
        <v>18</v>
      </c>
      <c r="I15">
        <v>7</v>
      </c>
      <c r="J15">
        <v>9</v>
      </c>
      <c r="K15">
        <v>2</v>
      </c>
      <c r="L15">
        <v>20</v>
      </c>
      <c r="M15">
        <v>241</v>
      </c>
      <c r="N15">
        <v>60</v>
      </c>
    </row>
    <row r="16" spans="1:14" x14ac:dyDescent="0.25">
      <c r="A16" t="s">
        <v>300</v>
      </c>
      <c r="B16">
        <v>1</v>
      </c>
      <c r="C16">
        <v>3</v>
      </c>
      <c r="D16">
        <v>135</v>
      </c>
      <c r="E16">
        <v>86</v>
      </c>
      <c r="F16">
        <v>20</v>
      </c>
      <c r="G16">
        <v>6</v>
      </c>
      <c r="H16">
        <v>3</v>
      </c>
      <c r="I16">
        <v>2</v>
      </c>
      <c r="J16">
        <v>0</v>
      </c>
      <c r="K16">
        <v>0</v>
      </c>
      <c r="L16">
        <v>4</v>
      </c>
      <c r="M16">
        <v>9</v>
      </c>
      <c r="N16">
        <v>3</v>
      </c>
    </row>
    <row r="17" spans="1:14" x14ac:dyDescent="0.25">
      <c r="A17" t="s">
        <v>302</v>
      </c>
      <c r="B17">
        <v>3</v>
      </c>
      <c r="C17">
        <v>26</v>
      </c>
      <c r="D17">
        <v>475</v>
      </c>
      <c r="E17">
        <v>215</v>
      </c>
      <c r="F17">
        <v>59</v>
      </c>
      <c r="G17">
        <v>17</v>
      </c>
      <c r="H17">
        <v>12</v>
      </c>
      <c r="I17">
        <v>6</v>
      </c>
      <c r="J17">
        <v>0</v>
      </c>
      <c r="K17">
        <v>0</v>
      </c>
      <c r="L17">
        <v>4</v>
      </c>
      <c r="M17">
        <v>32</v>
      </c>
      <c r="N17">
        <v>26</v>
      </c>
    </row>
    <row r="18" spans="1:14" x14ac:dyDescent="0.25">
      <c r="A18" t="s">
        <v>303</v>
      </c>
      <c r="B18">
        <v>17</v>
      </c>
      <c r="C18">
        <v>192</v>
      </c>
      <c r="D18">
        <v>4110</v>
      </c>
      <c r="E18">
        <v>2046</v>
      </c>
      <c r="F18">
        <v>565</v>
      </c>
      <c r="G18">
        <v>271</v>
      </c>
      <c r="H18">
        <v>122</v>
      </c>
      <c r="I18">
        <v>66</v>
      </c>
      <c r="J18">
        <v>39</v>
      </c>
      <c r="K18">
        <v>24</v>
      </c>
      <c r="L18">
        <v>28</v>
      </c>
      <c r="M18">
        <v>314</v>
      </c>
      <c r="N18">
        <v>172</v>
      </c>
    </row>
    <row r="19" spans="1:14" x14ac:dyDescent="0.25">
      <c r="A19" t="s">
        <v>306</v>
      </c>
      <c r="B19">
        <v>8</v>
      </c>
      <c r="C19">
        <v>59</v>
      </c>
      <c r="D19">
        <v>1240</v>
      </c>
      <c r="E19">
        <v>616</v>
      </c>
      <c r="F19">
        <v>189</v>
      </c>
      <c r="G19">
        <v>54</v>
      </c>
      <c r="H19">
        <v>46</v>
      </c>
      <c r="I19">
        <v>26</v>
      </c>
      <c r="J19">
        <v>4</v>
      </c>
      <c r="K19">
        <v>3</v>
      </c>
      <c r="L19">
        <v>54</v>
      </c>
      <c r="M19">
        <v>133</v>
      </c>
      <c r="N19">
        <v>59</v>
      </c>
    </row>
    <row r="20" spans="1:14" x14ac:dyDescent="0.25">
      <c r="A20" t="s">
        <v>307</v>
      </c>
      <c r="B20">
        <v>3</v>
      </c>
      <c r="C20">
        <v>47</v>
      </c>
      <c r="D20">
        <v>2067</v>
      </c>
      <c r="E20">
        <v>1313</v>
      </c>
      <c r="F20">
        <v>54</v>
      </c>
      <c r="G20">
        <v>27</v>
      </c>
      <c r="H20">
        <v>2</v>
      </c>
      <c r="I20">
        <v>2</v>
      </c>
      <c r="J20">
        <v>10</v>
      </c>
      <c r="K20">
        <v>3</v>
      </c>
      <c r="L20">
        <v>7</v>
      </c>
      <c r="M20">
        <v>57</v>
      </c>
      <c r="N20">
        <v>47</v>
      </c>
    </row>
    <row r="21" spans="1:14" x14ac:dyDescent="0.25">
      <c r="A21" t="s">
        <v>266</v>
      </c>
      <c r="B21">
        <v>211</v>
      </c>
      <c r="C21">
        <v>2387</v>
      </c>
      <c r="D21">
        <v>59096</v>
      </c>
      <c r="E21">
        <v>30333</v>
      </c>
      <c r="F21">
        <v>5362</v>
      </c>
      <c r="G21">
        <v>2087</v>
      </c>
      <c r="H21">
        <v>1782</v>
      </c>
      <c r="I21">
        <v>916</v>
      </c>
      <c r="J21">
        <v>724</v>
      </c>
      <c r="K21">
        <v>309</v>
      </c>
      <c r="L21">
        <v>447</v>
      </c>
      <c r="M21">
        <v>6798</v>
      </c>
      <c r="N21">
        <v>2139</v>
      </c>
    </row>
    <row r="22" spans="1:14" x14ac:dyDescent="0.25">
      <c r="A22" t="s">
        <v>459</v>
      </c>
      <c r="B22">
        <v>184</v>
      </c>
      <c r="C22">
        <v>2134</v>
      </c>
      <c r="D22">
        <v>52175</v>
      </c>
      <c r="E22">
        <v>26876</v>
      </c>
      <c r="F22">
        <v>4810</v>
      </c>
      <c r="G22">
        <v>1913</v>
      </c>
      <c r="H22">
        <v>1672</v>
      </c>
      <c r="I22">
        <v>871</v>
      </c>
      <c r="J22">
        <v>697</v>
      </c>
      <c r="K22">
        <v>297</v>
      </c>
      <c r="L22">
        <v>363</v>
      </c>
      <c r="M22">
        <v>6233</v>
      </c>
      <c r="N22">
        <v>1894</v>
      </c>
    </row>
    <row r="23" spans="1:14" x14ac:dyDescent="0.25">
      <c r="A23" t="s">
        <v>460</v>
      </c>
      <c r="B23">
        <v>27</v>
      </c>
      <c r="C23">
        <v>253</v>
      </c>
      <c r="D23">
        <v>6921</v>
      </c>
      <c r="E23">
        <v>3457</v>
      </c>
      <c r="F23">
        <v>552</v>
      </c>
      <c r="G23">
        <v>174</v>
      </c>
      <c r="H23">
        <v>110</v>
      </c>
      <c r="I23">
        <v>45</v>
      </c>
      <c r="J23">
        <v>27</v>
      </c>
      <c r="K23">
        <v>12</v>
      </c>
      <c r="L23">
        <v>84</v>
      </c>
      <c r="M23">
        <v>565</v>
      </c>
      <c r="N23">
        <v>245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rgb="FFED7D31"/>
  </sheetPr>
  <dimension ref="A1:N30"/>
  <sheetViews>
    <sheetView workbookViewId="0"/>
  </sheetViews>
  <sheetFormatPr defaultRowHeight="15" x14ac:dyDescent="0.25"/>
  <cols>
    <col min="1" max="1" width="20.42578125" customWidth="1"/>
    <col min="2" max="2" width="11.85546875" customWidth="1"/>
    <col min="3" max="3" width="11.42578125" customWidth="1"/>
    <col min="4" max="4" width="11.85546875" customWidth="1"/>
    <col min="5" max="5" width="11.42578125" customWidth="1"/>
    <col min="7" max="7" width="11.85546875" customWidth="1"/>
    <col min="8" max="8" width="12" customWidth="1"/>
    <col min="10" max="10" width="13.140625" customWidth="1"/>
    <col min="12" max="12" width="12" customWidth="1"/>
    <col min="13" max="13" width="12.140625" customWidth="1"/>
    <col min="14" max="14" width="12" customWidth="1"/>
  </cols>
  <sheetData>
    <row r="1" spans="1:14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695</v>
      </c>
      <c r="K1" s="29"/>
      <c r="L1" s="29" t="s">
        <v>526</v>
      </c>
      <c r="M1" s="29" t="s">
        <v>527</v>
      </c>
      <c r="N1" s="29" t="s">
        <v>313</v>
      </c>
    </row>
    <row r="2" spans="1:14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29"/>
      <c r="M2" s="29"/>
      <c r="N2" s="29"/>
    </row>
    <row r="3" spans="1:14" x14ac:dyDescent="0.25">
      <c r="A3" t="s">
        <v>283</v>
      </c>
      <c r="B3">
        <v>56</v>
      </c>
      <c r="C3">
        <v>139</v>
      </c>
      <c r="D3">
        <v>2503</v>
      </c>
      <c r="E3">
        <v>1236</v>
      </c>
      <c r="F3">
        <v>157</v>
      </c>
      <c r="G3">
        <v>147</v>
      </c>
      <c r="H3">
        <v>49</v>
      </c>
      <c r="I3">
        <v>40</v>
      </c>
      <c r="J3">
        <v>20</v>
      </c>
      <c r="K3">
        <v>15</v>
      </c>
      <c r="L3">
        <v>74</v>
      </c>
      <c r="M3">
        <v>690</v>
      </c>
      <c r="N3">
        <v>124</v>
      </c>
    </row>
    <row r="4" spans="1:14" x14ac:dyDescent="0.25">
      <c r="A4" t="s">
        <v>284</v>
      </c>
      <c r="B4">
        <v>26</v>
      </c>
      <c r="C4">
        <v>103</v>
      </c>
      <c r="D4">
        <v>1489</v>
      </c>
      <c r="E4">
        <v>717</v>
      </c>
      <c r="F4">
        <v>118</v>
      </c>
      <c r="G4">
        <v>102</v>
      </c>
      <c r="H4">
        <v>79</v>
      </c>
      <c r="I4">
        <v>57</v>
      </c>
      <c r="J4">
        <v>26</v>
      </c>
      <c r="K4">
        <v>19</v>
      </c>
      <c r="L4">
        <v>29</v>
      </c>
      <c r="M4">
        <v>306</v>
      </c>
      <c r="N4">
        <v>97</v>
      </c>
    </row>
    <row r="5" spans="1:14" x14ac:dyDescent="0.25">
      <c r="A5" t="s">
        <v>285</v>
      </c>
      <c r="B5">
        <v>11</v>
      </c>
      <c r="C5">
        <v>64</v>
      </c>
      <c r="D5">
        <v>769</v>
      </c>
      <c r="E5">
        <v>399</v>
      </c>
      <c r="F5">
        <v>48</v>
      </c>
      <c r="G5">
        <v>38</v>
      </c>
      <c r="H5">
        <v>33</v>
      </c>
      <c r="I5">
        <v>12</v>
      </c>
      <c r="J5">
        <v>1</v>
      </c>
      <c r="K5">
        <v>0</v>
      </c>
      <c r="L5">
        <v>29</v>
      </c>
      <c r="M5">
        <v>80</v>
      </c>
      <c r="N5">
        <v>50</v>
      </c>
    </row>
    <row r="6" spans="1:14" x14ac:dyDescent="0.25">
      <c r="A6" t="s">
        <v>286</v>
      </c>
      <c r="B6">
        <v>10</v>
      </c>
      <c r="C6">
        <v>37</v>
      </c>
      <c r="D6">
        <v>765</v>
      </c>
      <c r="E6">
        <v>390</v>
      </c>
      <c r="F6">
        <v>49</v>
      </c>
      <c r="G6">
        <v>48</v>
      </c>
      <c r="H6">
        <v>17</v>
      </c>
      <c r="I6">
        <v>16</v>
      </c>
      <c r="J6">
        <v>14</v>
      </c>
      <c r="K6">
        <v>14</v>
      </c>
      <c r="L6">
        <v>23</v>
      </c>
      <c r="M6">
        <v>99</v>
      </c>
      <c r="N6">
        <v>37</v>
      </c>
    </row>
    <row r="7" spans="1:14" x14ac:dyDescent="0.25">
      <c r="A7" t="s">
        <v>287</v>
      </c>
      <c r="B7">
        <v>28</v>
      </c>
      <c r="C7">
        <v>164</v>
      </c>
      <c r="D7">
        <v>2152</v>
      </c>
      <c r="E7">
        <v>1043</v>
      </c>
      <c r="F7">
        <v>162</v>
      </c>
      <c r="G7">
        <v>130</v>
      </c>
      <c r="H7">
        <v>36</v>
      </c>
      <c r="I7">
        <v>16</v>
      </c>
      <c r="J7">
        <v>18</v>
      </c>
      <c r="K7">
        <v>12</v>
      </c>
      <c r="L7">
        <v>48</v>
      </c>
      <c r="M7">
        <v>342</v>
      </c>
      <c r="N7">
        <v>143</v>
      </c>
    </row>
    <row r="8" spans="1:14" x14ac:dyDescent="0.25">
      <c r="A8" t="s">
        <v>288</v>
      </c>
      <c r="B8">
        <v>21</v>
      </c>
      <c r="C8">
        <v>41</v>
      </c>
      <c r="D8">
        <v>668</v>
      </c>
      <c r="E8">
        <v>322</v>
      </c>
      <c r="F8">
        <v>42</v>
      </c>
      <c r="G8">
        <v>42</v>
      </c>
      <c r="H8">
        <v>9</v>
      </c>
      <c r="I8">
        <v>5</v>
      </c>
      <c r="J8">
        <v>1</v>
      </c>
      <c r="K8">
        <v>0</v>
      </c>
      <c r="L8">
        <v>20</v>
      </c>
      <c r="M8">
        <v>124</v>
      </c>
      <c r="N8">
        <v>31</v>
      </c>
    </row>
    <row r="9" spans="1:14" x14ac:dyDescent="0.25">
      <c r="A9" t="s">
        <v>289</v>
      </c>
      <c r="B9">
        <v>12</v>
      </c>
      <c r="C9">
        <v>40</v>
      </c>
      <c r="D9">
        <v>809</v>
      </c>
      <c r="E9">
        <v>426</v>
      </c>
      <c r="F9">
        <v>51</v>
      </c>
      <c r="G9">
        <v>50</v>
      </c>
      <c r="H9">
        <v>17</v>
      </c>
      <c r="I9">
        <v>14</v>
      </c>
      <c r="J9">
        <v>2</v>
      </c>
      <c r="K9">
        <v>2</v>
      </c>
      <c r="L9">
        <v>13</v>
      </c>
      <c r="M9">
        <v>116</v>
      </c>
      <c r="N9">
        <v>38</v>
      </c>
    </row>
    <row r="10" spans="1:14" x14ac:dyDescent="0.25">
      <c r="A10" t="s">
        <v>290</v>
      </c>
      <c r="B10">
        <v>44</v>
      </c>
      <c r="C10">
        <v>149</v>
      </c>
      <c r="D10">
        <v>2748</v>
      </c>
      <c r="E10">
        <v>1349</v>
      </c>
      <c r="F10">
        <v>172</v>
      </c>
      <c r="G10">
        <v>148</v>
      </c>
      <c r="H10">
        <v>102</v>
      </c>
      <c r="I10">
        <v>61</v>
      </c>
      <c r="J10">
        <v>34</v>
      </c>
      <c r="K10">
        <v>14</v>
      </c>
      <c r="L10">
        <v>63</v>
      </c>
      <c r="M10">
        <v>561</v>
      </c>
      <c r="N10">
        <v>142</v>
      </c>
    </row>
    <row r="11" spans="1:14" x14ac:dyDescent="0.25">
      <c r="A11" t="s">
        <v>291</v>
      </c>
      <c r="B11">
        <v>2</v>
      </c>
      <c r="C11">
        <v>6</v>
      </c>
      <c r="D11">
        <v>37</v>
      </c>
      <c r="E11">
        <v>18</v>
      </c>
      <c r="F11">
        <v>9</v>
      </c>
      <c r="G11">
        <v>8</v>
      </c>
      <c r="H11">
        <v>3</v>
      </c>
      <c r="I11">
        <v>3</v>
      </c>
      <c r="J11">
        <v>2</v>
      </c>
      <c r="K11">
        <v>2</v>
      </c>
      <c r="L11">
        <v>2</v>
      </c>
      <c r="M11">
        <v>7</v>
      </c>
      <c r="N11">
        <v>6</v>
      </c>
    </row>
    <row r="12" spans="1:14" x14ac:dyDescent="0.25">
      <c r="A12" t="s">
        <v>292</v>
      </c>
      <c r="B12">
        <v>8</v>
      </c>
      <c r="C12">
        <v>18</v>
      </c>
      <c r="D12">
        <v>527</v>
      </c>
      <c r="E12">
        <v>270</v>
      </c>
      <c r="F12">
        <v>21</v>
      </c>
      <c r="G12">
        <v>18</v>
      </c>
      <c r="H12">
        <v>6</v>
      </c>
      <c r="I12">
        <v>1</v>
      </c>
      <c r="J12">
        <v>3</v>
      </c>
      <c r="K12">
        <v>2</v>
      </c>
      <c r="L12">
        <v>13</v>
      </c>
      <c r="M12">
        <v>58</v>
      </c>
      <c r="N12">
        <v>18</v>
      </c>
    </row>
    <row r="13" spans="1:14" x14ac:dyDescent="0.25">
      <c r="A13" t="s">
        <v>293</v>
      </c>
      <c r="B13">
        <v>4</v>
      </c>
      <c r="C13">
        <v>9</v>
      </c>
      <c r="D13">
        <v>179</v>
      </c>
      <c r="E13">
        <v>83</v>
      </c>
      <c r="F13">
        <v>15</v>
      </c>
      <c r="G13">
        <v>14</v>
      </c>
      <c r="H13">
        <v>23</v>
      </c>
      <c r="I13">
        <v>14</v>
      </c>
      <c r="J13">
        <v>0</v>
      </c>
      <c r="K13">
        <v>0</v>
      </c>
      <c r="L13">
        <v>4</v>
      </c>
      <c r="M13">
        <v>17</v>
      </c>
      <c r="N13">
        <v>9</v>
      </c>
    </row>
    <row r="14" spans="1:14" x14ac:dyDescent="0.25">
      <c r="A14" t="s">
        <v>294</v>
      </c>
      <c r="B14">
        <v>3</v>
      </c>
      <c r="C14">
        <v>4</v>
      </c>
      <c r="D14">
        <v>92</v>
      </c>
      <c r="E14">
        <v>51</v>
      </c>
      <c r="F14">
        <v>11</v>
      </c>
      <c r="G14">
        <v>6</v>
      </c>
      <c r="H14">
        <v>2</v>
      </c>
      <c r="I14">
        <v>2</v>
      </c>
      <c r="J14">
        <v>0</v>
      </c>
      <c r="K14">
        <v>0</v>
      </c>
      <c r="L14">
        <v>3</v>
      </c>
      <c r="M14">
        <v>5</v>
      </c>
      <c r="N14">
        <v>4</v>
      </c>
    </row>
    <row r="15" spans="1:14" x14ac:dyDescent="0.25">
      <c r="A15" t="s">
        <v>295</v>
      </c>
      <c r="B15">
        <v>6</v>
      </c>
      <c r="C15">
        <v>11</v>
      </c>
      <c r="D15">
        <v>276</v>
      </c>
      <c r="E15">
        <v>143</v>
      </c>
      <c r="F15">
        <v>21</v>
      </c>
      <c r="G15">
        <v>16</v>
      </c>
      <c r="H15">
        <v>1</v>
      </c>
      <c r="I15">
        <v>1</v>
      </c>
      <c r="J15">
        <v>0</v>
      </c>
      <c r="K15">
        <v>0</v>
      </c>
      <c r="L15">
        <v>11</v>
      </c>
      <c r="M15">
        <v>45</v>
      </c>
      <c r="N15">
        <v>9</v>
      </c>
    </row>
    <row r="16" spans="1:14" x14ac:dyDescent="0.25">
      <c r="A16" t="s">
        <v>296</v>
      </c>
      <c r="B16">
        <v>9</v>
      </c>
      <c r="C16">
        <v>25</v>
      </c>
      <c r="D16">
        <v>465</v>
      </c>
      <c r="E16">
        <v>220</v>
      </c>
      <c r="F16">
        <v>26</v>
      </c>
      <c r="G16">
        <v>26</v>
      </c>
      <c r="H16">
        <v>8</v>
      </c>
      <c r="I16">
        <v>5</v>
      </c>
      <c r="J16">
        <v>0</v>
      </c>
      <c r="K16">
        <v>0</v>
      </c>
      <c r="L16">
        <v>13</v>
      </c>
      <c r="M16">
        <v>83</v>
      </c>
      <c r="N16">
        <v>24</v>
      </c>
    </row>
    <row r="17" spans="1:14" x14ac:dyDescent="0.25">
      <c r="A17" t="s">
        <v>297</v>
      </c>
      <c r="B17">
        <v>312</v>
      </c>
      <c r="C17">
        <v>1041</v>
      </c>
      <c r="D17">
        <v>15570</v>
      </c>
      <c r="E17">
        <v>7844</v>
      </c>
      <c r="F17">
        <v>1079</v>
      </c>
      <c r="G17">
        <v>937</v>
      </c>
      <c r="H17">
        <v>1077</v>
      </c>
      <c r="I17">
        <v>831</v>
      </c>
      <c r="J17">
        <v>648</v>
      </c>
      <c r="K17">
        <v>491</v>
      </c>
      <c r="L17">
        <v>339</v>
      </c>
      <c r="M17">
        <v>4384</v>
      </c>
      <c r="N17">
        <v>1113</v>
      </c>
    </row>
    <row r="18" spans="1:14" x14ac:dyDescent="0.25">
      <c r="A18" t="s">
        <v>298</v>
      </c>
      <c r="B18">
        <v>26</v>
      </c>
      <c r="C18">
        <v>77</v>
      </c>
      <c r="D18">
        <v>1521</v>
      </c>
      <c r="E18">
        <v>731</v>
      </c>
      <c r="F18">
        <v>79</v>
      </c>
      <c r="G18">
        <v>73</v>
      </c>
      <c r="H18">
        <v>28</v>
      </c>
      <c r="I18">
        <v>15</v>
      </c>
      <c r="J18">
        <v>30</v>
      </c>
      <c r="K18">
        <v>26</v>
      </c>
      <c r="L18">
        <v>23</v>
      </c>
      <c r="M18">
        <v>179</v>
      </c>
      <c r="N18">
        <v>63</v>
      </c>
    </row>
    <row r="19" spans="1:14" x14ac:dyDescent="0.25">
      <c r="A19" t="s">
        <v>299</v>
      </c>
      <c r="B19">
        <v>2</v>
      </c>
      <c r="C19">
        <v>3</v>
      </c>
      <c r="D19">
        <v>50</v>
      </c>
      <c r="E19">
        <v>23</v>
      </c>
      <c r="F19">
        <v>3</v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2</v>
      </c>
      <c r="N19">
        <v>3</v>
      </c>
    </row>
    <row r="20" spans="1:14" x14ac:dyDescent="0.25">
      <c r="A20" t="s">
        <v>300</v>
      </c>
      <c r="B20">
        <v>3</v>
      </c>
      <c r="C20">
        <v>6</v>
      </c>
      <c r="D20">
        <v>75</v>
      </c>
      <c r="E20">
        <v>40</v>
      </c>
      <c r="F20">
        <v>8</v>
      </c>
      <c r="G20">
        <v>8</v>
      </c>
      <c r="H20">
        <v>0</v>
      </c>
      <c r="I20">
        <v>0</v>
      </c>
      <c r="J20">
        <v>0</v>
      </c>
      <c r="K20">
        <v>0</v>
      </c>
      <c r="L20">
        <v>3</v>
      </c>
      <c r="M20">
        <v>29</v>
      </c>
      <c r="N20">
        <v>6</v>
      </c>
    </row>
    <row r="21" spans="1:14" x14ac:dyDescent="0.25">
      <c r="A21" t="s">
        <v>301</v>
      </c>
      <c r="B21">
        <v>5</v>
      </c>
      <c r="C21">
        <v>24</v>
      </c>
      <c r="D21">
        <v>580</v>
      </c>
      <c r="E21">
        <v>297</v>
      </c>
      <c r="F21">
        <v>36</v>
      </c>
      <c r="G21">
        <v>31</v>
      </c>
      <c r="H21">
        <v>14</v>
      </c>
      <c r="I21">
        <v>9</v>
      </c>
      <c r="J21">
        <v>1</v>
      </c>
      <c r="K21">
        <v>0</v>
      </c>
      <c r="L21">
        <v>9</v>
      </c>
      <c r="M21">
        <v>45</v>
      </c>
      <c r="N21">
        <v>24</v>
      </c>
    </row>
    <row r="22" spans="1:14" x14ac:dyDescent="0.25">
      <c r="A22" t="s">
        <v>302</v>
      </c>
      <c r="B22">
        <v>4</v>
      </c>
      <c r="C22">
        <v>30</v>
      </c>
      <c r="D22">
        <v>524</v>
      </c>
      <c r="E22">
        <v>268</v>
      </c>
      <c r="F22">
        <v>21</v>
      </c>
      <c r="G22">
        <v>21</v>
      </c>
      <c r="H22">
        <v>11</v>
      </c>
      <c r="I22">
        <v>11</v>
      </c>
      <c r="J22">
        <v>0</v>
      </c>
      <c r="K22">
        <v>0</v>
      </c>
      <c r="L22">
        <v>4</v>
      </c>
      <c r="M22">
        <v>17</v>
      </c>
      <c r="N22">
        <v>17</v>
      </c>
    </row>
    <row r="23" spans="1:14" x14ac:dyDescent="0.25">
      <c r="A23" t="s">
        <v>303</v>
      </c>
      <c r="B23">
        <v>54</v>
      </c>
      <c r="C23">
        <v>246</v>
      </c>
      <c r="D23">
        <v>7732</v>
      </c>
      <c r="E23">
        <v>1684</v>
      </c>
      <c r="F23">
        <v>343</v>
      </c>
      <c r="G23">
        <v>277</v>
      </c>
      <c r="H23">
        <v>215</v>
      </c>
      <c r="I23">
        <v>144</v>
      </c>
      <c r="J23">
        <v>87</v>
      </c>
      <c r="K23">
        <v>65</v>
      </c>
      <c r="L23">
        <v>92</v>
      </c>
      <c r="M23">
        <v>672</v>
      </c>
      <c r="N23">
        <v>208</v>
      </c>
    </row>
    <row r="24" spans="1:14" x14ac:dyDescent="0.25">
      <c r="A24" t="s">
        <v>304</v>
      </c>
      <c r="B24">
        <v>5</v>
      </c>
      <c r="C24">
        <v>17</v>
      </c>
      <c r="D24">
        <v>232</v>
      </c>
      <c r="E24">
        <v>120</v>
      </c>
      <c r="F24">
        <v>15</v>
      </c>
      <c r="G24">
        <v>15</v>
      </c>
      <c r="H24">
        <v>3</v>
      </c>
      <c r="I24">
        <v>3</v>
      </c>
      <c r="J24">
        <v>0</v>
      </c>
      <c r="K24">
        <v>0</v>
      </c>
      <c r="L24">
        <v>7</v>
      </c>
      <c r="M24">
        <v>24</v>
      </c>
      <c r="N24">
        <v>13</v>
      </c>
    </row>
    <row r="25" spans="1:14" x14ac:dyDescent="0.25">
      <c r="A25" t="s">
        <v>305</v>
      </c>
      <c r="B25">
        <v>4</v>
      </c>
      <c r="C25">
        <v>10</v>
      </c>
      <c r="D25">
        <v>157</v>
      </c>
      <c r="E25">
        <v>77</v>
      </c>
      <c r="F25">
        <v>20</v>
      </c>
      <c r="G25">
        <v>17</v>
      </c>
      <c r="H25">
        <v>4</v>
      </c>
      <c r="I25">
        <v>3</v>
      </c>
      <c r="J25">
        <v>8</v>
      </c>
      <c r="K25">
        <v>6</v>
      </c>
      <c r="L25">
        <v>5</v>
      </c>
      <c r="M25">
        <v>24</v>
      </c>
      <c r="N25">
        <v>10</v>
      </c>
    </row>
    <row r="26" spans="1:14" x14ac:dyDescent="0.25">
      <c r="A26" t="s">
        <v>306</v>
      </c>
      <c r="B26">
        <v>23</v>
      </c>
      <c r="C26">
        <v>66</v>
      </c>
      <c r="D26">
        <v>1240</v>
      </c>
      <c r="E26">
        <v>589</v>
      </c>
      <c r="F26">
        <v>94</v>
      </c>
      <c r="G26">
        <v>81</v>
      </c>
      <c r="H26">
        <v>46</v>
      </c>
      <c r="I26">
        <v>25</v>
      </c>
      <c r="J26">
        <v>8</v>
      </c>
      <c r="K26">
        <v>5</v>
      </c>
      <c r="L26">
        <v>64</v>
      </c>
      <c r="M26">
        <v>174</v>
      </c>
      <c r="N26">
        <v>60</v>
      </c>
    </row>
    <row r="27" spans="1:14" x14ac:dyDescent="0.25">
      <c r="A27" t="s">
        <v>307</v>
      </c>
      <c r="B27">
        <v>10</v>
      </c>
      <c r="C27">
        <v>28</v>
      </c>
      <c r="D27">
        <v>410</v>
      </c>
      <c r="E27">
        <v>230</v>
      </c>
      <c r="F27">
        <v>31</v>
      </c>
      <c r="G27">
        <v>27</v>
      </c>
      <c r="H27">
        <v>7</v>
      </c>
      <c r="I27">
        <v>4</v>
      </c>
      <c r="J27">
        <v>5</v>
      </c>
      <c r="K27">
        <v>4</v>
      </c>
      <c r="L27">
        <v>11</v>
      </c>
      <c r="M27">
        <v>107</v>
      </c>
      <c r="N27">
        <v>28</v>
      </c>
    </row>
    <row r="28" spans="1:14" x14ac:dyDescent="0.25">
      <c r="A28" t="s">
        <v>266</v>
      </c>
      <c r="B28">
        <v>688</v>
      </c>
      <c r="C28">
        <v>2358</v>
      </c>
      <c r="D28">
        <v>41570</v>
      </c>
      <c r="E28">
        <v>18570</v>
      </c>
      <c r="F28">
        <v>2631</v>
      </c>
      <c r="G28">
        <v>2283</v>
      </c>
      <c r="H28">
        <v>1790</v>
      </c>
      <c r="I28">
        <v>1292</v>
      </c>
      <c r="J28">
        <v>908</v>
      </c>
      <c r="K28">
        <v>677</v>
      </c>
      <c r="L28">
        <v>902</v>
      </c>
      <c r="M28">
        <v>8190</v>
      </c>
      <c r="N28">
        <v>2277</v>
      </c>
    </row>
    <row r="29" spans="1:14" x14ac:dyDescent="0.25">
      <c r="A29" t="s">
        <v>459</v>
      </c>
      <c r="B29">
        <v>542</v>
      </c>
      <c r="C29">
        <v>1874</v>
      </c>
      <c r="D29">
        <v>33344</v>
      </c>
      <c r="E29">
        <v>14398</v>
      </c>
      <c r="F29">
        <v>2093</v>
      </c>
      <c r="G29">
        <v>1845</v>
      </c>
      <c r="H29">
        <v>1592</v>
      </c>
      <c r="I29">
        <v>1195</v>
      </c>
      <c r="J29">
        <v>852</v>
      </c>
      <c r="K29">
        <v>638</v>
      </c>
      <c r="L29">
        <v>664</v>
      </c>
      <c r="M29">
        <v>7095</v>
      </c>
      <c r="N29">
        <v>1849</v>
      </c>
    </row>
    <row r="30" spans="1:14" x14ac:dyDescent="0.25">
      <c r="A30" t="s">
        <v>460</v>
      </c>
      <c r="B30">
        <v>146</v>
      </c>
      <c r="C30">
        <v>484</v>
      </c>
      <c r="D30">
        <v>8226</v>
      </c>
      <c r="E30">
        <v>4172</v>
      </c>
      <c r="F30">
        <v>538</v>
      </c>
      <c r="G30">
        <v>438</v>
      </c>
      <c r="H30">
        <v>198</v>
      </c>
      <c r="I30">
        <v>97</v>
      </c>
      <c r="J30">
        <v>56</v>
      </c>
      <c r="K30">
        <v>39</v>
      </c>
      <c r="L30">
        <v>238</v>
      </c>
      <c r="M30">
        <v>1095</v>
      </c>
      <c r="N30">
        <v>428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ED7D31"/>
  </sheetPr>
  <dimension ref="A1:AA30"/>
  <sheetViews>
    <sheetView workbookViewId="0"/>
  </sheetViews>
  <sheetFormatPr defaultRowHeight="15" x14ac:dyDescent="0.25"/>
  <cols>
    <col min="1" max="1" width="20.42578125" customWidth="1"/>
    <col min="2" max="2" width="1.85546875" customWidth="1"/>
    <col min="3" max="3" width="10.140625" customWidth="1"/>
    <col min="4" max="4" width="4.140625" customWidth="1"/>
    <col min="5" max="5" width="7.42578125" customWidth="1"/>
    <col min="6" max="6" width="5.140625" customWidth="1"/>
    <col min="7" max="7" width="6.85546875" customWidth="1"/>
    <col min="8" max="8" width="4.85546875" customWidth="1"/>
    <col min="9" max="9" width="7.28515625" customWidth="1"/>
    <col min="10" max="10" width="4.7109375" customWidth="1"/>
    <col min="11" max="11" width="7.28515625" customWidth="1"/>
    <col min="12" max="12" width="4.140625" customWidth="1"/>
    <col min="13" max="13" width="7.42578125" customWidth="1"/>
    <col min="14" max="14" width="4" customWidth="1"/>
    <col min="15" max="15" width="7.85546875" customWidth="1"/>
    <col min="16" max="16" width="3.85546875" customWidth="1"/>
    <col min="17" max="17" width="8" customWidth="1"/>
    <col min="18" max="18" width="3.85546875" customWidth="1"/>
    <col min="19" max="19" width="8.140625" customWidth="1"/>
    <col min="20" max="20" width="3.28515625" customWidth="1"/>
    <col min="21" max="21" width="8.42578125" customWidth="1"/>
    <col min="22" max="22" width="3.140625" customWidth="1"/>
    <col min="23" max="23" width="8.7109375" customWidth="1"/>
    <col min="24" max="24" width="2.85546875" customWidth="1"/>
    <col min="25" max="25" width="8.85546875" customWidth="1"/>
    <col min="26" max="26" width="2.85546875" customWidth="1"/>
    <col min="27" max="27" width="8.85546875" customWidth="1"/>
    <col min="28" max="28" width="2" customWidth="1"/>
  </cols>
  <sheetData>
    <row r="1" spans="1:27" x14ac:dyDescent="0.25">
      <c r="A1" s="29" t="s">
        <v>252</v>
      </c>
      <c r="B1" s="29" t="s">
        <v>710</v>
      </c>
      <c r="C1" s="29"/>
      <c r="D1" s="29" t="s">
        <v>711</v>
      </c>
      <c r="E1" s="29"/>
      <c r="F1" s="29" t="s">
        <v>72</v>
      </c>
      <c r="G1" s="29"/>
      <c r="H1" s="29"/>
      <c r="I1" s="29"/>
      <c r="J1" s="29" t="s">
        <v>258</v>
      </c>
      <c r="K1" s="29"/>
      <c r="L1" s="29"/>
      <c r="M1" s="29"/>
      <c r="N1" s="29" t="s">
        <v>259</v>
      </c>
      <c r="O1" s="29"/>
      <c r="P1" s="29"/>
      <c r="Q1" s="29"/>
      <c r="R1" s="29" t="s">
        <v>695</v>
      </c>
      <c r="S1" s="29"/>
      <c r="T1" s="29"/>
      <c r="U1" s="29"/>
      <c r="V1" s="29" t="s">
        <v>526</v>
      </c>
      <c r="W1" s="29"/>
      <c r="X1" s="29" t="s">
        <v>527</v>
      </c>
      <c r="Y1" s="29"/>
      <c r="Z1" s="29" t="s">
        <v>313</v>
      </c>
      <c r="AA1" s="29"/>
    </row>
    <row r="2" spans="1:27" x14ac:dyDescent="0.25">
      <c r="A2" s="29"/>
      <c r="B2" s="29"/>
      <c r="C2" s="29"/>
      <c r="D2" s="29"/>
      <c r="E2" s="29"/>
      <c r="F2" s="29" t="s">
        <v>263</v>
      </c>
      <c r="G2" s="29"/>
      <c r="H2" s="29" t="s">
        <v>264</v>
      </c>
      <c r="I2" s="29"/>
      <c r="J2" s="29" t="s">
        <v>263</v>
      </c>
      <c r="K2" s="29"/>
      <c r="L2" s="29" t="s">
        <v>265</v>
      </c>
      <c r="M2" s="29"/>
      <c r="N2" s="29" t="s">
        <v>263</v>
      </c>
      <c r="O2" s="29"/>
      <c r="P2" s="29" t="s">
        <v>265</v>
      </c>
      <c r="Q2" s="29"/>
      <c r="R2" s="29" t="s">
        <v>263</v>
      </c>
      <c r="S2" s="29"/>
      <c r="T2" s="29" t="s">
        <v>265</v>
      </c>
      <c r="U2" s="29"/>
      <c r="V2" s="29"/>
      <c r="W2" s="29"/>
      <c r="X2" s="29"/>
      <c r="Y2" s="29"/>
      <c r="Z2" s="29"/>
      <c r="AA2" s="29"/>
    </row>
    <row r="3" spans="1:27" x14ac:dyDescent="0.25">
      <c r="A3" t="s">
        <v>283</v>
      </c>
      <c r="B3" s="29">
        <v>56</v>
      </c>
      <c r="C3" s="29"/>
      <c r="D3" s="29">
        <v>553</v>
      </c>
      <c r="E3" s="29"/>
      <c r="F3" s="29">
        <v>11873</v>
      </c>
      <c r="G3" s="29"/>
      <c r="H3" s="29">
        <v>5748</v>
      </c>
      <c r="I3" s="29"/>
      <c r="J3" s="29">
        <v>522</v>
      </c>
      <c r="K3" s="29"/>
      <c r="L3" s="29">
        <v>348</v>
      </c>
      <c r="M3" s="29"/>
      <c r="N3" s="29">
        <v>123</v>
      </c>
      <c r="O3" s="29"/>
      <c r="P3" s="29">
        <v>61</v>
      </c>
      <c r="Q3" s="29"/>
      <c r="R3" s="29">
        <v>30</v>
      </c>
      <c r="S3" s="29"/>
      <c r="T3" s="29">
        <v>17</v>
      </c>
      <c r="U3" s="29"/>
      <c r="V3" s="29">
        <v>91</v>
      </c>
      <c r="W3" s="29"/>
      <c r="X3" s="29">
        <v>919</v>
      </c>
      <c r="Y3" s="29"/>
      <c r="Z3" s="29">
        <v>448</v>
      </c>
      <c r="AA3" s="29"/>
    </row>
    <row r="4" spans="1:27" x14ac:dyDescent="0.25">
      <c r="A4" t="s">
        <v>284</v>
      </c>
      <c r="B4" s="29">
        <v>21</v>
      </c>
      <c r="C4" s="29"/>
      <c r="D4" s="29">
        <v>232</v>
      </c>
      <c r="E4" s="29"/>
      <c r="F4" s="29">
        <v>4102</v>
      </c>
      <c r="G4" s="29"/>
      <c r="H4" s="29">
        <v>1905</v>
      </c>
      <c r="I4" s="29"/>
      <c r="J4" s="29">
        <v>268</v>
      </c>
      <c r="K4" s="29"/>
      <c r="L4" s="29">
        <v>226</v>
      </c>
      <c r="M4" s="29"/>
      <c r="N4" s="29">
        <v>98</v>
      </c>
      <c r="O4" s="29"/>
      <c r="P4" s="29">
        <v>57</v>
      </c>
      <c r="Q4" s="29"/>
      <c r="R4" s="29">
        <v>26</v>
      </c>
      <c r="S4" s="29"/>
      <c r="T4" s="29">
        <v>13</v>
      </c>
      <c r="U4" s="29"/>
      <c r="V4" s="29">
        <v>40</v>
      </c>
      <c r="W4" s="29"/>
      <c r="X4" s="29">
        <v>439</v>
      </c>
      <c r="Y4" s="29"/>
      <c r="Z4" s="29">
        <v>214</v>
      </c>
      <c r="AA4" s="29"/>
    </row>
    <row r="5" spans="1:27" x14ac:dyDescent="0.25">
      <c r="A5" t="s">
        <v>285</v>
      </c>
      <c r="B5" s="29">
        <v>17</v>
      </c>
      <c r="C5" s="29"/>
      <c r="D5" s="29">
        <v>124</v>
      </c>
      <c r="E5" s="29"/>
      <c r="F5" s="29">
        <v>2311</v>
      </c>
      <c r="G5" s="29"/>
      <c r="H5" s="29">
        <v>1190</v>
      </c>
      <c r="I5" s="29"/>
      <c r="J5" s="29">
        <v>127</v>
      </c>
      <c r="K5" s="29"/>
      <c r="L5" s="29">
        <v>85</v>
      </c>
      <c r="M5" s="29"/>
      <c r="N5" s="29">
        <v>21</v>
      </c>
      <c r="O5" s="29"/>
      <c r="P5" s="29">
        <v>12</v>
      </c>
      <c r="Q5" s="29"/>
      <c r="R5" s="29">
        <v>5</v>
      </c>
      <c r="S5" s="29"/>
      <c r="T5" s="29">
        <v>2</v>
      </c>
      <c r="U5" s="29"/>
      <c r="V5" s="29">
        <v>25</v>
      </c>
      <c r="W5" s="29"/>
      <c r="X5" s="29">
        <v>148</v>
      </c>
      <c r="Y5" s="29"/>
      <c r="Z5" s="29">
        <v>90</v>
      </c>
      <c r="AA5" s="29"/>
    </row>
    <row r="6" spans="1:27" x14ac:dyDescent="0.25">
      <c r="A6" t="s">
        <v>286</v>
      </c>
      <c r="B6" s="29">
        <v>11</v>
      </c>
      <c r="C6" s="29"/>
      <c r="D6" s="29">
        <v>97</v>
      </c>
      <c r="E6" s="29"/>
      <c r="F6" s="29">
        <v>1928</v>
      </c>
      <c r="G6" s="29"/>
      <c r="H6" s="29">
        <v>879</v>
      </c>
      <c r="I6" s="29"/>
      <c r="J6" s="29">
        <v>133</v>
      </c>
      <c r="K6" s="29"/>
      <c r="L6" s="29">
        <v>98</v>
      </c>
      <c r="M6" s="29"/>
      <c r="N6" s="29">
        <v>54</v>
      </c>
      <c r="O6" s="29"/>
      <c r="P6" s="29">
        <v>34</v>
      </c>
      <c r="Q6" s="29"/>
      <c r="R6" s="29">
        <v>10</v>
      </c>
      <c r="S6" s="29"/>
      <c r="T6" s="29">
        <v>5</v>
      </c>
      <c r="U6" s="29"/>
      <c r="V6" s="29">
        <v>36</v>
      </c>
      <c r="W6" s="29"/>
      <c r="X6" s="29">
        <v>233</v>
      </c>
      <c r="Y6" s="29"/>
      <c r="Z6" s="29">
        <v>95</v>
      </c>
      <c r="AA6" s="29"/>
    </row>
    <row r="7" spans="1:27" x14ac:dyDescent="0.25">
      <c r="A7" t="s">
        <v>287</v>
      </c>
      <c r="B7" s="29">
        <v>24</v>
      </c>
      <c r="C7" s="29"/>
      <c r="D7" s="29">
        <v>249</v>
      </c>
      <c r="E7" s="29"/>
      <c r="F7" s="29">
        <v>4675</v>
      </c>
      <c r="G7" s="29"/>
      <c r="H7" s="29">
        <v>2233</v>
      </c>
      <c r="I7" s="29"/>
      <c r="J7" s="29">
        <v>259</v>
      </c>
      <c r="K7" s="29"/>
      <c r="L7" s="29">
        <v>175</v>
      </c>
      <c r="M7" s="29"/>
      <c r="N7" s="29">
        <v>77</v>
      </c>
      <c r="O7" s="29"/>
      <c r="P7" s="29">
        <v>35</v>
      </c>
      <c r="Q7" s="29"/>
      <c r="R7" s="29">
        <v>13</v>
      </c>
      <c r="S7" s="29"/>
      <c r="T7" s="29">
        <v>11</v>
      </c>
      <c r="U7" s="29"/>
      <c r="V7" s="29">
        <v>60</v>
      </c>
      <c r="W7" s="29"/>
      <c r="X7" s="29">
        <v>356</v>
      </c>
      <c r="Y7" s="29"/>
      <c r="Z7" s="29">
        <v>192</v>
      </c>
      <c r="AA7" s="29"/>
    </row>
    <row r="8" spans="1:27" x14ac:dyDescent="0.25">
      <c r="A8" t="s">
        <v>288</v>
      </c>
      <c r="B8" s="29">
        <v>25</v>
      </c>
      <c r="C8" s="29"/>
      <c r="D8" s="29">
        <v>124</v>
      </c>
      <c r="E8" s="29"/>
      <c r="F8" s="29">
        <v>3094</v>
      </c>
      <c r="G8" s="29"/>
      <c r="H8" s="29">
        <v>1487</v>
      </c>
      <c r="I8" s="29"/>
      <c r="J8" s="29">
        <v>140</v>
      </c>
      <c r="K8" s="29"/>
      <c r="L8" s="29">
        <v>82</v>
      </c>
      <c r="M8" s="29"/>
      <c r="N8" s="29">
        <v>40</v>
      </c>
      <c r="O8" s="29"/>
      <c r="P8" s="29">
        <v>19</v>
      </c>
      <c r="Q8" s="29"/>
      <c r="R8" s="29">
        <v>22</v>
      </c>
      <c r="S8" s="29"/>
      <c r="T8" s="29">
        <v>17</v>
      </c>
      <c r="U8" s="29"/>
      <c r="V8" s="29">
        <v>39</v>
      </c>
      <c r="W8" s="29"/>
      <c r="X8" s="29">
        <v>223</v>
      </c>
      <c r="Y8" s="29"/>
      <c r="Z8" s="29">
        <v>117</v>
      </c>
      <c r="AA8" s="29"/>
    </row>
    <row r="9" spans="1:27" x14ac:dyDescent="0.25">
      <c r="A9" t="s">
        <v>289</v>
      </c>
      <c r="B9" s="29">
        <v>17</v>
      </c>
      <c r="C9" s="29"/>
      <c r="D9" s="29">
        <v>179</v>
      </c>
      <c r="E9" s="29"/>
      <c r="F9" s="29">
        <v>5176</v>
      </c>
      <c r="G9" s="29"/>
      <c r="H9" s="29">
        <v>2769</v>
      </c>
      <c r="I9" s="29"/>
      <c r="J9" s="29">
        <v>232</v>
      </c>
      <c r="K9" s="29"/>
      <c r="L9" s="29">
        <v>135</v>
      </c>
      <c r="M9" s="29"/>
      <c r="N9" s="29">
        <v>28</v>
      </c>
      <c r="O9" s="29"/>
      <c r="P9" s="29">
        <v>19</v>
      </c>
      <c r="Q9" s="29"/>
      <c r="R9" s="29">
        <v>8</v>
      </c>
      <c r="S9" s="29"/>
      <c r="T9" s="29">
        <v>7</v>
      </c>
      <c r="U9" s="29"/>
      <c r="V9" s="29">
        <v>47</v>
      </c>
      <c r="W9" s="29"/>
      <c r="X9" s="29">
        <v>248</v>
      </c>
      <c r="Y9" s="29"/>
      <c r="Z9" s="29">
        <v>173</v>
      </c>
      <c r="AA9" s="29"/>
    </row>
    <row r="10" spans="1:27" x14ac:dyDescent="0.25">
      <c r="A10" t="s">
        <v>290</v>
      </c>
      <c r="B10" s="29">
        <v>34</v>
      </c>
      <c r="C10" s="29"/>
      <c r="D10" s="29">
        <v>321</v>
      </c>
      <c r="E10" s="29"/>
      <c r="F10" s="29">
        <v>7668</v>
      </c>
      <c r="G10" s="29"/>
      <c r="H10" s="29">
        <v>3898</v>
      </c>
      <c r="I10" s="29"/>
      <c r="J10" s="29">
        <v>306</v>
      </c>
      <c r="K10" s="29"/>
      <c r="L10" s="29">
        <v>226</v>
      </c>
      <c r="M10" s="29"/>
      <c r="N10" s="29">
        <v>178</v>
      </c>
      <c r="O10" s="29"/>
      <c r="P10" s="29">
        <v>95</v>
      </c>
      <c r="Q10" s="29"/>
      <c r="R10" s="29">
        <v>47</v>
      </c>
      <c r="S10" s="29"/>
      <c r="T10" s="29">
        <v>13</v>
      </c>
      <c r="U10" s="29"/>
      <c r="V10" s="29">
        <v>85</v>
      </c>
      <c r="W10" s="29"/>
      <c r="X10" s="29">
        <v>657</v>
      </c>
      <c r="Y10" s="29"/>
      <c r="Z10" s="29">
        <v>298</v>
      </c>
      <c r="AA10" s="29"/>
    </row>
    <row r="11" spans="1:27" x14ac:dyDescent="0.25">
      <c r="A11" t="s">
        <v>291</v>
      </c>
      <c r="B11" s="29">
        <v>1</v>
      </c>
      <c r="C11" s="29"/>
      <c r="D11" s="29">
        <v>12</v>
      </c>
      <c r="E11" s="29"/>
      <c r="F11" s="29">
        <v>499</v>
      </c>
      <c r="G11" s="29"/>
      <c r="H11" s="29">
        <v>282</v>
      </c>
      <c r="I11" s="29"/>
      <c r="J11" s="29">
        <v>16</v>
      </c>
      <c r="K11" s="29"/>
      <c r="L11" s="29">
        <v>11</v>
      </c>
      <c r="M11" s="29"/>
      <c r="N11" s="29">
        <v>1</v>
      </c>
      <c r="O11" s="29"/>
      <c r="P11" s="29">
        <v>0</v>
      </c>
      <c r="Q11" s="29"/>
      <c r="R11" s="29">
        <v>16</v>
      </c>
      <c r="S11" s="29"/>
      <c r="T11" s="29">
        <v>11</v>
      </c>
      <c r="U11" s="29"/>
      <c r="V11" s="29">
        <v>2</v>
      </c>
      <c r="W11" s="29"/>
      <c r="X11" s="29">
        <v>14</v>
      </c>
      <c r="Y11" s="29"/>
      <c r="Z11" s="29">
        <v>12</v>
      </c>
      <c r="AA11" s="29"/>
    </row>
    <row r="12" spans="1:27" x14ac:dyDescent="0.25">
      <c r="A12" t="s">
        <v>292</v>
      </c>
      <c r="B12" s="29">
        <v>8</v>
      </c>
      <c r="C12" s="29"/>
      <c r="D12" s="29">
        <v>65</v>
      </c>
      <c r="E12" s="29"/>
      <c r="F12" s="29">
        <v>1621</v>
      </c>
      <c r="G12" s="29"/>
      <c r="H12" s="29">
        <v>838</v>
      </c>
      <c r="I12" s="29"/>
      <c r="J12" s="29">
        <v>67</v>
      </c>
      <c r="K12" s="29"/>
      <c r="L12" s="29">
        <v>45</v>
      </c>
      <c r="M12" s="29"/>
      <c r="N12" s="29">
        <v>14</v>
      </c>
      <c r="O12" s="29"/>
      <c r="P12" s="29">
        <v>5</v>
      </c>
      <c r="Q12" s="29"/>
      <c r="R12" s="29">
        <v>0</v>
      </c>
      <c r="S12" s="29"/>
      <c r="T12" s="29">
        <v>0</v>
      </c>
      <c r="U12" s="29"/>
      <c r="V12" s="29">
        <v>24</v>
      </c>
      <c r="W12" s="29"/>
      <c r="X12" s="29">
        <v>99</v>
      </c>
      <c r="Y12" s="29"/>
      <c r="Z12" s="29">
        <v>60</v>
      </c>
      <c r="AA12" s="29"/>
    </row>
    <row r="13" spans="1:27" x14ac:dyDescent="0.25">
      <c r="A13" t="s">
        <v>293</v>
      </c>
      <c r="B13" s="29">
        <v>4</v>
      </c>
      <c r="C13" s="29"/>
      <c r="D13" s="29">
        <v>45</v>
      </c>
      <c r="E13" s="29"/>
      <c r="F13" s="29">
        <v>895</v>
      </c>
      <c r="G13" s="29"/>
      <c r="H13" s="29">
        <v>518</v>
      </c>
      <c r="I13" s="29"/>
      <c r="J13" s="29">
        <v>43</v>
      </c>
      <c r="K13" s="29"/>
      <c r="L13" s="29">
        <v>39</v>
      </c>
      <c r="M13" s="29"/>
      <c r="N13" s="29">
        <v>29</v>
      </c>
      <c r="O13" s="29"/>
      <c r="P13" s="29">
        <v>19</v>
      </c>
      <c r="Q13" s="29"/>
      <c r="R13" s="29">
        <v>0</v>
      </c>
      <c r="S13" s="29"/>
      <c r="T13" s="29">
        <v>4</v>
      </c>
      <c r="U13" s="29"/>
      <c r="V13" s="29">
        <v>11</v>
      </c>
      <c r="W13" s="29"/>
      <c r="X13" s="29">
        <v>75</v>
      </c>
      <c r="Y13" s="29"/>
      <c r="Z13" s="29">
        <v>37</v>
      </c>
      <c r="AA13" s="29"/>
    </row>
    <row r="14" spans="1:27" x14ac:dyDescent="0.25">
      <c r="A14" t="s">
        <v>294</v>
      </c>
      <c r="B14" s="29">
        <v>4</v>
      </c>
      <c r="C14" s="29"/>
      <c r="D14" s="29">
        <v>21</v>
      </c>
      <c r="E14" s="29"/>
      <c r="F14" s="29">
        <v>309</v>
      </c>
      <c r="G14" s="29"/>
      <c r="H14" s="29">
        <v>139</v>
      </c>
      <c r="I14" s="29"/>
      <c r="J14" s="29">
        <v>29</v>
      </c>
      <c r="K14" s="29"/>
      <c r="L14" s="29">
        <v>22</v>
      </c>
      <c r="M14" s="29"/>
      <c r="N14" s="29">
        <v>19</v>
      </c>
      <c r="O14" s="29"/>
      <c r="P14" s="29">
        <v>10</v>
      </c>
      <c r="Q14" s="29"/>
      <c r="R14" s="29">
        <v>6</v>
      </c>
      <c r="S14" s="29"/>
      <c r="T14" s="29">
        <v>4</v>
      </c>
      <c r="U14" s="29"/>
      <c r="V14" s="29">
        <v>7</v>
      </c>
      <c r="W14" s="29"/>
      <c r="X14" s="29">
        <v>32</v>
      </c>
      <c r="Y14" s="29"/>
      <c r="Z14" s="29">
        <v>21</v>
      </c>
      <c r="AA14" s="29"/>
    </row>
    <row r="15" spans="1:27" x14ac:dyDescent="0.25">
      <c r="A15" t="s">
        <v>295</v>
      </c>
      <c r="B15" s="29">
        <v>6</v>
      </c>
      <c r="C15" s="29"/>
      <c r="D15" s="29">
        <v>64</v>
      </c>
      <c r="E15" s="29"/>
      <c r="F15" s="29">
        <v>1732</v>
      </c>
      <c r="G15" s="29"/>
      <c r="H15" s="29">
        <v>787</v>
      </c>
      <c r="I15" s="29"/>
      <c r="J15" s="29">
        <v>60</v>
      </c>
      <c r="K15" s="29"/>
      <c r="L15" s="29">
        <v>39</v>
      </c>
      <c r="M15" s="29"/>
      <c r="N15" s="29">
        <v>9</v>
      </c>
      <c r="O15" s="29"/>
      <c r="P15" s="29">
        <v>3</v>
      </c>
      <c r="Q15" s="29"/>
      <c r="R15" s="29">
        <v>0</v>
      </c>
      <c r="S15" s="29"/>
      <c r="T15" s="29">
        <v>0</v>
      </c>
      <c r="U15" s="29"/>
      <c r="V15" s="29">
        <v>15</v>
      </c>
      <c r="W15" s="29"/>
      <c r="X15" s="29">
        <v>61</v>
      </c>
      <c r="Y15" s="29"/>
      <c r="Z15" s="29">
        <v>47</v>
      </c>
      <c r="AA15" s="29"/>
    </row>
    <row r="16" spans="1:27" x14ac:dyDescent="0.25">
      <c r="A16" t="s">
        <v>296</v>
      </c>
      <c r="B16" s="29">
        <v>8</v>
      </c>
      <c r="C16" s="29"/>
      <c r="D16" s="29">
        <v>71</v>
      </c>
      <c r="E16" s="29"/>
      <c r="F16" s="29">
        <v>1256</v>
      </c>
      <c r="G16" s="29"/>
      <c r="H16" s="29">
        <v>615</v>
      </c>
      <c r="I16" s="29"/>
      <c r="J16" s="29">
        <v>53</v>
      </c>
      <c r="K16" s="29"/>
      <c r="L16" s="29">
        <v>40</v>
      </c>
      <c r="M16" s="29"/>
      <c r="N16" s="29">
        <v>16</v>
      </c>
      <c r="O16" s="29"/>
      <c r="P16" s="29">
        <v>7</v>
      </c>
      <c r="Q16" s="29"/>
      <c r="R16" s="29">
        <v>0</v>
      </c>
      <c r="S16" s="29"/>
      <c r="T16" s="29">
        <v>0</v>
      </c>
      <c r="U16" s="29"/>
      <c r="V16" s="29">
        <v>18</v>
      </c>
      <c r="W16" s="29"/>
      <c r="X16" s="29">
        <v>124</v>
      </c>
      <c r="Y16" s="29"/>
      <c r="Z16" s="29">
        <v>59</v>
      </c>
      <c r="AA16" s="29"/>
    </row>
    <row r="17" spans="1:27" x14ac:dyDescent="0.25">
      <c r="A17" t="s">
        <v>297</v>
      </c>
      <c r="B17" s="29">
        <v>301</v>
      </c>
      <c r="C17" s="29"/>
      <c r="D17" s="29">
        <v>3434</v>
      </c>
      <c r="E17" s="29"/>
      <c r="F17" s="29">
        <v>64959</v>
      </c>
      <c r="G17" s="29"/>
      <c r="H17" s="29">
        <v>32272</v>
      </c>
      <c r="I17" s="29"/>
      <c r="J17" s="29">
        <v>2731</v>
      </c>
      <c r="K17" s="29"/>
      <c r="L17" s="29">
        <v>1918</v>
      </c>
      <c r="M17" s="29"/>
      <c r="N17" s="29">
        <v>1864</v>
      </c>
      <c r="O17" s="29"/>
      <c r="P17" s="29">
        <v>1171</v>
      </c>
      <c r="Q17" s="29"/>
      <c r="R17" s="29">
        <v>1101</v>
      </c>
      <c r="S17" s="29"/>
      <c r="T17" s="29">
        <v>620</v>
      </c>
      <c r="U17" s="29"/>
      <c r="V17" s="29">
        <v>386</v>
      </c>
      <c r="W17" s="29"/>
      <c r="X17" s="29">
        <v>7121</v>
      </c>
      <c r="Y17" s="29"/>
      <c r="Z17" s="29">
        <v>3022</v>
      </c>
      <c r="AA17" s="29"/>
    </row>
    <row r="18" spans="1:27" x14ac:dyDescent="0.25">
      <c r="A18" t="s">
        <v>298</v>
      </c>
      <c r="B18" s="29">
        <v>24</v>
      </c>
      <c r="C18" s="29"/>
      <c r="D18" s="29">
        <v>344</v>
      </c>
      <c r="E18" s="29"/>
      <c r="F18" s="29">
        <v>5041</v>
      </c>
      <c r="G18" s="29"/>
      <c r="H18" s="29">
        <v>2456</v>
      </c>
      <c r="I18" s="29"/>
      <c r="J18" s="29">
        <v>232</v>
      </c>
      <c r="K18" s="29"/>
      <c r="L18" s="29">
        <v>164</v>
      </c>
      <c r="M18" s="29"/>
      <c r="N18" s="29">
        <v>57</v>
      </c>
      <c r="O18" s="29"/>
      <c r="P18" s="29">
        <v>33</v>
      </c>
      <c r="Q18" s="29"/>
      <c r="R18" s="29">
        <v>36</v>
      </c>
      <c r="S18" s="29"/>
      <c r="T18" s="29">
        <v>26</v>
      </c>
      <c r="U18" s="29"/>
      <c r="V18" s="29">
        <v>48</v>
      </c>
      <c r="W18" s="29"/>
      <c r="X18" s="29">
        <v>460</v>
      </c>
      <c r="Y18" s="29"/>
      <c r="Z18" s="29">
        <v>185</v>
      </c>
      <c r="AA18" s="29"/>
    </row>
    <row r="19" spans="1:27" x14ac:dyDescent="0.25">
      <c r="A19" t="s">
        <v>299</v>
      </c>
      <c r="B19" s="29">
        <v>2</v>
      </c>
      <c r="C19" s="29"/>
      <c r="D19" s="29">
        <v>10</v>
      </c>
      <c r="E19" s="29"/>
      <c r="F19" s="29">
        <v>130</v>
      </c>
      <c r="G19" s="29"/>
      <c r="H19" s="29">
        <v>60</v>
      </c>
      <c r="I19" s="29"/>
      <c r="J19" s="29">
        <v>11</v>
      </c>
      <c r="K19" s="29"/>
      <c r="L19" s="29">
        <v>8</v>
      </c>
      <c r="M19" s="29"/>
      <c r="N19" s="29">
        <v>10</v>
      </c>
      <c r="O19" s="29"/>
      <c r="P19" s="29">
        <v>8</v>
      </c>
      <c r="Q19" s="29"/>
      <c r="R19" s="29">
        <v>0</v>
      </c>
      <c r="S19" s="29"/>
      <c r="T19" s="29">
        <v>0</v>
      </c>
      <c r="U19" s="29"/>
      <c r="V19" s="29">
        <v>5</v>
      </c>
      <c r="W19" s="29"/>
      <c r="X19" s="29">
        <v>41</v>
      </c>
      <c r="Y19" s="29"/>
      <c r="Z19" s="29">
        <v>10</v>
      </c>
      <c r="AA19" s="29"/>
    </row>
    <row r="20" spans="1:27" x14ac:dyDescent="0.25">
      <c r="A20" t="s">
        <v>300</v>
      </c>
      <c r="B20" s="29">
        <v>1</v>
      </c>
      <c r="C20" s="29"/>
      <c r="D20" s="29">
        <v>5</v>
      </c>
      <c r="E20" s="29"/>
      <c r="F20" s="29">
        <v>37</v>
      </c>
      <c r="G20" s="29"/>
      <c r="H20" s="29">
        <v>19</v>
      </c>
      <c r="I20" s="29"/>
      <c r="J20" s="29">
        <v>5</v>
      </c>
      <c r="K20" s="29"/>
      <c r="L20" s="29">
        <v>5</v>
      </c>
      <c r="M20" s="29"/>
      <c r="N20" s="29">
        <v>2</v>
      </c>
      <c r="O20" s="29"/>
      <c r="P20" s="29">
        <v>1</v>
      </c>
      <c r="Q20" s="29"/>
      <c r="R20" s="29">
        <v>0</v>
      </c>
      <c r="S20" s="29"/>
      <c r="T20" s="29">
        <v>0</v>
      </c>
      <c r="U20" s="29"/>
      <c r="V20" s="29">
        <v>1</v>
      </c>
      <c r="W20" s="29"/>
      <c r="X20" s="29">
        <v>16</v>
      </c>
      <c r="Y20" s="29"/>
      <c r="Z20" s="29">
        <v>5</v>
      </c>
      <c r="AA20" s="29"/>
    </row>
    <row r="21" spans="1:27" x14ac:dyDescent="0.25">
      <c r="A21" t="s">
        <v>301</v>
      </c>
      <c r="B21" s="29">
        <v>1</v>
      </c>
      <c r="C21" s="29"/>
      <c r="D21" s="29">
        <v>9</v>
      </c>
      <c r="E21" s="29"/>
      <c r="F21" s="29">
        <v>130</v>
      </c>
      <c r="G21" s="29"/>
      <c r="H21" s="29">
        <v>69</v>
      </c>
      <c r="I21" s="29"/>
      <c r="J21" s="29">
        <v>9</v>
      </c>
      <c r="K21" s="29"/>
      <c r="L21" s="29">
        <v>8</v>
      </c>
      <c r="M21" s="29"/>
      <c r="N21" s="29">
        <v>8</v>
      </c>
      <c r="O21" s="29"/>
      <c r="P21" s="29">
        <v>5</v>
      </c>
      <c r="Q21" s="29"/>
      <c r="R21" s="29">
        <v>1</v>
      </c>
      <c r="S21" s="29"/>
      <c r="T21" s="29">
        <v>0</v>
      </c>
      <c r="U21" s="29"/>
      <c r="V21" s="29">
        <v>3</v>
      </c>
      <c r="W21" s="29"/>
      <c r="X21" s="29">
        <v>14</v>
      </c>
      <c r="Y21" s="29"/>
      <c r="Z21" s="29">
        <v>9</v>
      </c>
      <c r="AA21" s="29"/>
    </row>
    <row r="22" spans="1:27" x14ac:dyDescent="0.25">
      <c r="A22" t="s">
        <v>302</v>
      </c>
      <c r="B22" s="29">
        <v>4</v>
      </c>
      <c r="C22" s="29"/>
      <c r="D22" s="29">
        <v>59</v>
      </c>
      <c r="E22" s="29"/>
      <c r="F22" s="29">
        <v>1135</v>
      </c>
      <c r="G22" s="29"/>
      <c r="H22" s="29">
        <v>538</v>
      </c>
      <c r="I22" s="29"/>
      <c r="J22" s="29">
        <v>51</v>
      </c>
      <c r="K22" s="29"/>
      <c r="L22" s="29">
        <v>36</v>
      </c>
      <c r="M22" s="29"/>
      <c r="N22" s="29">
        <v>8</v>
      </c>
      <c r="O22" s="29"/>
      <c r="P22" s="29">
        <v>4</v>
      </c>
      <c r="Q22" s="29"/>
      <c r="R22" s="29">
        <v>0</v>
      </c>
      <c r="S22" s="29"/>
      <c r="T22" s="29">
        <v>0</v>
      </c>
      <c r="U22" s="29"/>
      <c r="V22" s="29">
        <v>5</v>
      </c>
      <c r="W22" s="29"/>
      <c r="X22" s="29">
        <v>42</v>
      </c>
      <c r="Y22" s="29"/>
      <c r="Z22" s="29">
        <v>37</v>
      </c>
      <c r="AA22" s="29"/>
    </row>
    <row r="23" spans="1:27" x14ac:dyDescent="0.25">
      <c r="A23" t="s">
        <v>303</v>
      </c>
      <c r="B23" s="29">
        <v>46</v>
      </c>
      <c r="C23" s="29"/>
      <c r="D23" s="29">
        <v>369</v>
      </c>
      <c r="E23" s="29"/>
      <c r="F23" s="29">
        <v>6380</v>
      </c>
      <c r="G23" s="29"/>
      <c r="H23" s="29">
        <v>3112</v>
      </c>
      <c r="I23" s="29"/>
      <c r="J23" s="29">
        <v>431</v>
      </c>
      <c r="K23" s="29"/>
      <c r="L23" s="29">
        <v>335</v>
      </c>
      <c r="M23" s="29"/>
      <c r="N23" s="29">
        <v>188</v>
      </c>
      <c r="O23" s="29"/>
      <c r="P23" s="29">
        <v>122</v>
      </c>
      <c r="Q23" s="29"/>
      <c r="R23" s="29">
        <v>59</v>
      </c>
      <c r="S23" s="29"/>
      <c r="T23" s="29">
        <v>32</v>
      </c>
      <c r="U23" s="29"/>
      <c r="V23" s="29">
        <v>85</v>
      </c>
      <c r="W23" s="29"/>
      <c r="X23" s="29">
        <v>622</v>
      </c>
      <c r="Y23" s="29"/>
      <c r="Z23" s="29">
        <v>304</v>
      </c>
      <c r="AA23" s="29"/>
    </row>
    <row r="24" spans="1:27" x14ac:dyDescent="0.25">
      <c r="A24" t="s">
        <v>304</v>
      </c>
      <c r="B24" s="29">
        <v>4</v>
      </c>
      <c r="C24" s="29"/>
      <c r="D24" s="29">
        <v>27</v>
      </c>
      <c r="E24" s="29"/>
      <c r="F24" s="29">
        <v>344</v>
      </c>
      <c r="G24" s="29"/>
      <c r="H24" s="29">
        <v>175</v>
      </c>
      <c r="I24" s="29"/>
      <c r="J24" s="29">
        <v>18</v>
      </c>
      <c r="K24" s="29"/>
      <c r="L24" s="29">
        <v>12</v>
      </c>
      <c r="M24" s="29"/>
      <c r="N24" s="29">
        <v>11</v>
      </c>
      <c r="O24" s="29"/>
      <c r="P24" s="29">
        <v>7</v>
      </c>
      <c r="Q24" s="29"/>
      <c r="R24" s="29">
        <v>0</v>
      </c>
      <c r="S24" s="29"/>
      <c r="T24" s="29">
        <v>0</v>
      </c>
      <c r="U24" s="29"/>
      <c r="V24" s="29">
        <v>6</v>
      </c>
      <c r="W24" s="29"/>
      <c r="X24" s="29">
        <v>40</v>
      </c>
      <c r="Y24" s="29"/>
      <c r="Z24" s="29">
        <v>20</v>
      </c>
      <c r="AA24" s="29"/>
    </row>
    <row r="25" spans="1:27" x14ac:dyDescent="0.25">
      <c r="A25" t="s">
        <v>305</v>
      </c>
      <c r="B25" s="29">
        <v>4</v>
      </c>
      <c r="C25" s="29"/>
      <c r="D25" s="29">
        <v>16</v>
      </c>
      <c r="E25" s="29"/>
      <c r="F25" s="29">
        <v>216</v>
      </c>
      <c r="G25" s="29"/>
      <c r="H25" s="29">
        <v>89</v>
      </c>
      <c r="I25" s="29"/>
      <c r="J25" s="29">
        <v>24</v>
      </c>
      <c r="K25" s="29"/>
      <c r="L25" s="29">
        <v>21</v>
      </c>
      <c r="M25" s="29"/>
      <c r="N25" s="29">
        <v>15</v>
      </c>
      <c r="O25" s="29"/>
      <c r="P25" s="29">
        <v>11</v>
      </c>
      <c r="Q25" s="29"/>
      <c r="R25" s="29">
        <v>6</v>
      </c>
      <c r="S25" s="29"/>
      <c r="T25" s="29">
        <v>6</v>
      </c>
      <c r="U25" s="29"/>
      <c r="V25" s="29">
        <v>3</v>
      </c>
      <c r="W25" s="29"/>
      <c r="X25" s="29">
        <v>35</v>
      </c>
      <c r="Y25" s="29"/>
      <c r="Z25" s="29">
        <v>15</v>
      </c>
      <c r="AA25" s="29"/>
    </row>
    <row r="26" spans="1:27" x14ac:dyDescent="0.25">
      <c r="A26" t="s">
        <v>306</v>
      </c>
      <c r="B26" s="29">
        <v>21</v>
      </c>
      <c r="C26" s="29"/>
      <c r="D26" s="29">
        <v>149</v>
      </c>
      <c r="E26" s="29"/>
      <c r="F26" s="29">
        <v>3217</v>
      </c>
      <c r="G26" s="29"/>
      <c r="H26" s="29">
        <v>1592</v>
      </c>
      <c r="I26" s="29"/>
      <c r="J26" s="29">
        <v>185</v>
      </c>
      <c r="K26" s="29"/>
      <c r="L26" s="29">
        <v>106</v>
      </c>
      <c r="M26" s="29"/>
      <c r="N26" s="29">
        <v>89</v>
      </c>
      <c r="O26" s="29"/>
      <c r="P26" s="29">
        <v>40</v>
      </c>
      <c r="Q26" s="29"/>
      <c r="R26" s="29">
        <v>10</v>
      </c>
      <c r="S26" s="29"/>
      <c r="T26" s="29">
        <v>4</v>
      </c>
      <c r="U26" s="29"/>
      <c r="V26" s="29">
        <v>52</v>
      </c>
      <c r="W26" s="29"/>
      <c r="X26" s="29">
        <v>286</v>
      </c>
      <c r="Y26" s="29"/>
      <c r="Z26" s="29">
        <v>149</v>
      </c>
      <c r="AA26" s="29"/>
    </row>
    <row r="27" spans="1:27" x14ac:dyDescent="0.25">
      <c r="A27" t="s">
        <v>307</v>
      </c>
      <c r="B27" s="29">
        <v>11</v>
      </c>
      <c r="C27" s="29"/>
      <c r="D27" s="29">
        <v>75</v>
      </c>
      <c r="E27" s="29"/>
      <c r="F27" s="29">
        <v>1858</v>
      </c>
      <c r="G27" s="29"/>
      <c r="H27" s="29">
        <v>973</v>
      </c>
      <c r="I27" s="29"/>
      <c r="J27" s="29">
        <v>111</v>
      </c>
      <c r="K27" s="29"/>
      <c r="L27" s="29">
        <v>77</v>
      </c>
      <c r="M27" s="29"/>
      <c r="N27" s="29">
        <v>18</v>
      </c>
      <c r="O27" s="29"/>
      <c r="P27" s="29">
        <v>10</v>
      </c>
      <c r="Q27" s="29"/>
      <c r="R27" s="29">
        <v>12</v>
      </c>
      <c r="S27" s="29"/>
      <c r="T27" s="29">
        <v>11</v>
      </c>
      <c r="U27" s="29"/>
      <c r="V27" s="29">
        <v>21</v>
      </c>
      <c r="W27" s="29"/>
      <c r="X27" s="29">
        <v>188</v>
      </c>
      <c r="Y27" s="29"/>
      <c r="Z27" s="29">
        <v>75</v>
      </c>
      <c r="AA27" s="29"/>
    </row>
    <row r="28" spans="1:27" x14ac:dyDescent="0.25">
      <c r="A28" t="s">
        <v>266</v>
      </c>
      <c r="B28" s="29">
        <v>655</v>
      </c>
      <c r="C28" s="29"/>
      <c r="D28" s="29">
        <v>6654</v>
      </c>
      <c r="E28" s="29"/>
      <c r="F28" s="29">
        <v>130586</v>
      </c>
      <c r="G28" s="29"/>
      <c r="H28" s="29">
        <v>64643</v>
      </c>
      <c r="I28" s="29"/>
      <c r="J28" s="29">
        <v>6063</v>
      </c>
      <c r="K28" s="29"/>
      <c r="L28" s="29">
        <v>4261</v>
      </c>
      <c r="M28" s="29"/>
      <c r="N28" s="29">
        <v>2977</v>
      </c>
      <c r="O28" s="29"/>
      <c r="P28" s="29">
        <v>1788</v>
      </c>
      <c r="Q28" s="29"/>
      <c r="R28" s="29">
        <v>1408</v>
      </c>
      <c r="S28" s="29"/>
      <c r="T28" s="29">
        <v>803</v>
      </c>
      <c r="U28" s="29"/>
      <c r="V28" s="29">
        <v>1115</v>
      </c>
      <c r="W28" s="29"/>
      <c r="X28" s="29">
        <v>12493</v>
      </c>
      <c r="Y28" s="29"/>
      <c r="Z28" s="29">
        <v>5694</v>
      </c>
      <c r="AA28" s="29"/>
    </row>
    <row r="29" spans="1:27" x14ac:dyDescent="0.25">
      <c r="A29" t="s">
        <v>459</v>
      </c>
      <c r="B29" s="29">
        <v>511</v>
      </c>
      <c r="C29" s="29"/>
      <c r="D29" s="29">
        <v>5405</v>
      </c>
      <c r="E29" s="29"/>
      <c r="F29" s="29">
        <v>104322</v>
      </c>
      <c r="G29" s="29"/>
      <c r="H29" s="29">
        <v>51568</v>
      </c>
      <c r="I29" s="29"/>
      <c r="J29" s="29">
        <v>4824</v>
      </c>
      <c r="K29" s="29"/>
      <c r="L29" s="29">
        <v>3492</v>
      </c>
      <c r="M29" s="29"/>
      <c r="N29" s="29">
        <v>2659</v>
      </c>
      <c r="O29" s="29"/>
      <c r="P29" s="29">
        <v>1635</v>
      </c>
      <c r="Q29" s="29"/>
      <c r="R29" s="29">
        <v>1316</v>
      </c>
      <c r="S29" s="29"/>
      <c r="T29" s="29">
        <v>751</v>
      </c>
      <c r="U29" s="29"/>
      <c r="V29" s="29">
        <v>771</v>
      </c>
      <c r="W29" s="29"/>
      <c r="X29" s="29">
        <v>10691</v>
      </c>
      <c r="Y29" s="29"/>
      <c r="Z29" s="29">
        <v>4691</v>
      </c>
      <c r="AA29" s="29"/>
    </row>
    <row r="30" spans="1:27" x14ac:dyDescent="0.25">
      <c r="A30" t="s">
        <v>460</v>
      </c>
      <c r="B30" s="29">
        <v>144</v>
      </c>
      <c r="C30" s="29"/>
      <c r="D30" s="29">
        <v>1249</v>
      </c>
      <c r="E30" s="29"/>
      <c r="F30" s="29">
        <v>26264</v>
      </c>
      <c r="G30" s="29"/>
      <c r="H30" s="29">
        <v>13075</v>
      </c>
      <c r="I30" s="29"/>
      <c r="J30" s="29">
        <v>1239</v>
      </c>
      <c r="K30" s="29"/>
      <c r="L30" s="29">
        <v>769</v>
      </c>
      <c r="M30" s="29"/>
      <c r="N30" s="29">
        <v>318</v>
      </c>
      <c r="O30" s="29"/>
      <c r="P30" s="29">
        <v>153</v>
      </c>
      <c r="Q30" s="29"/>
      <c r="R30" s="29">
        <v>92</v>
      </c>
      <c r="S30" s="29"/>
      <c r="T30" s="29">
        <v>52</v>
      </c>
      <c r="U30" s="29"/>
      <c r="V30" s="29">
        <v>344</v>
      </c>
      <c r="W30" s="29"/>
      <c r="X30" s="29">
        <v>1802</v>
      </c>
      <c r="Y30" s="29"/>
      <c r="Z30" s="29">
        <v>1003</v>
      </c>
      <c r="AA30" s="29"/>
    </row>
  </sheetData>
  <mergeCells count="382">
    <mergeCell ref="J30:K30"/>
    <mergeCell ref="F24:G24"/>
    <mergeCell ref="N21:O21"/>
    <mergeCell ref="P21:Q21"/>
    <mergeCell ref="P8:Q8"/>
    <mergeCell ref="Z1:AA2"/>
    <mergeCell ref="L23:M23"/>
    <mergeCell ref="F26:G26"/>
    <mergeCell ref="N23:O23"/>
    <mergeCell ref="P23:Q23"/>
    <mergeCell ref="P16:Q16"/>
    <mergeCell ref="R3:S3"/>
    <mergeCell ref="F27:G27"/>
    <mergeCell ref="T13:U13"/>
    <mergeCell ref="H27:I27"/>
    <mergeCell ref="P18:Q18"/>
    <mergeCell ref="V7:W7"/>
    <mergeCell ref="V25:W25"/>
    <mergeCell ref="X25:Y25"/>
    <mergeCell ref="Z4:AA4"/>
    <mergeCell ref="D29:E29"/>
    <mergeCell ref="D23:E23"/>
    <mergeCell ref="Z26:AA26"/>
    <mergeCell ref="F7:G7"/>
    <mergeCell ref="L8:M8"/>
    <mergeCell ref="N8:O8"/>
    <mergeCell ref="F8:G8"/>
    <mergeCell ref="F2:G2"/>
    <mergeCell ref="H2:I2"/>
    <mergeCell ref="L10:M10"/>
    <mergeCell ref="N10:O10"/>
    <mergeCell ref="R17:S17"/>
    <mergeCell ref="T17:U17"/>
    <mergeCell ref="D25:E25"/>
    <mergeCell ref="P3:Q3"/>
    <mergeCell ref="T19:U19"/>
    <mergeCell ref="P5:Q5"/>
    <mergeCell ref="R5:S5"/>
    <mergeCell ref="V12:W12"/>
    <mergeCell ref="X12:Y12"/>
    <mergeCell ref="T20:U20"/>
    <mergeCell ref="T14:U14"/>
    <mergeCell ref="V14:W14"/>
    <mergeCell ref="V28:W28"/>
    <mergeCell ref="D13:E13"/>
    <mergeCell ref="X28:Y28"/>
    <mergeCell ref="L14:M14"/>
    <mergeCell ref="N14:O14"/>
    <mergeCell ref="V30:W30"/>
    <mergeCell ref="Z21:AA21"/>
    <mergeCell ref="X30:Y30"/>
    <mergeCell ref="X29:Y29"/>
    <mergeCell ref="Z29:AA29"/>
    <mergeCell ref="Z23:AA23"/>
    <mergeCell ref="Z24:AA24"/>
    <mergeCell ref="T27:U27"/>
    <mergeCell ref="N25:O25"/>
    <mergeCell ref="P25:Q25"/>
    <mergeCell ref="R16:S16"/>
    <mergeCell ref="F30:G30"/>
    <mergeCell ref="J27:K27"/>
    <mergeCell ref="J20:K20"/>
    <mergeCell ref="L20:M20"/>
    <mergeCell ref="J22:K22"/>
    <mergeCell ref="T22:U22"/>
    <mergeCell ref="N13:O13"/>
    <mergeCell ref="L22:M22"/>
    <mergeCell ref="T26:U26"/>
    <mergeCell ref="D8:E8"/>
    <mergeCell ref="X10:Y10"/>
    <mergeCell ref="H24:I24"/>
    <mergeCell ref="Z10:AA10"/>
    <mergeCell ref="H18:I18"/>
    <mergeCell ref="J18:K18"/>
    <mergeCell ref="J17:K17"/>
    <mergeCell ref="H26:I26"/>
    <mergeCell ref="D20:E20"/>
    <mergeCell ref="L17:M17"/>
    <mergeCell ref="N11:O11"/>
    <mergeCell ref="J19:K19"/>
    <mergeCell ref="D22:E22"/>
    <mergeCell ref="L19:M19"/>
    <mergeCell ref="L12:M12"/>
    <mergeCell ref="F15:G15"/>
    <mergeCell ref="N12:O12"/>
    <mergeCell ref="D10:E10"/>
    <mergeCell ref="F10:G10"/>
    <mergeCell ref="T9:U9"/>
    <mergeCell ref="V9:W9"/>
    <mergeCell ref="T11:U11"/>
    <mergeCell ref="V11:W11"/>
    <mergeCell ref="N30:O30"/>
    <mergeCell ref="P30:Q30"/>
    <mergeCell ref="H5:I5"/>
    <mergeCell ref="R23:S23"/>
    <mergeCell ref="V13:W13"/>
    <mergeCell ref="X13:Y13"/>
    <mergeCell ref="F21:G21"/>
    <mergeCell ref="X7:Y7"/>
    <mergeCell ref="H21:I21"/>
    <mergeCell ref="R7:S7"/>
    <mergeCell ref="H16:I16"/>
    <mergeCell ref="J16:K16"/>
    <mergeCell ref="V27:W27"/>
    <mergeCell ref="L9:M9"/>
    <mergeCell ref="N9:O9"/>
    <mergeCell ref="T6:U6"/>
    <mergeCell ref="L11:M11"/>
    <mergeCell ref="V22:W22"/>
    <mergeCell ref="F14:G14"/>
    <mergeCell ref="X22:Y22"/>
    <mergeCell ref="H30:I30"/>
    <mergeCell ref="P29:Q29"/>
    <mergeCell ref="J5:K5"/>
    <mergeCell ref="H29:I29"/>
    <mergeCell ref="B29:C29"/>
    <mergeCell ref="N28:O28"/>
    <mergeCell ref="F28:G28"/>
    <mergeCell ref="P28:Q28"/>
    <mergeCell ref="X14:Y14"/>
    <mergeCell ref="H28:I28"/>
    <mergeCell ref="Z14:AA14"/>
    <mergeCell ref="H3:I3"/>
    <mergeCell ref="B6:C6"/>
    <mergeCell ref="J3:K3"/>
    <mergeCell ref="Z7:AA7"/>
    <mergeCell ref="B17:C17"/>
    <mergeCell ref="D17:E17"/>
    <mergeCell ref="Z8:AA8"/>
    <mergeCell ref="B19:C19"/>
    <mergeCell ref="D12:E12"/>
    <mergeCell ref="Z20:AA20"/>
    <mergeCell ref="B20:C20"/>
    <mergeCell ref="D14:E14"/>
    <mergeCell ref="R29:S29"/>
    <mergeCell ref="H6:I6"/>
    <mergeCell ref="J6:K6"/>
    <mergeCell ref="R24:S24"/>
    <mergeCell ref="R26:S26"/>
    <mergeCell ref="X1:Y2"/>
    <mergeCell ref="B18:C18"/>
    <mergeCell ref="X17:Y17"/>
    <mergeCell ref="H25:I25"/>
    <mergeCell ref="B11:C11"/>
    <mergeCell ref="D11:E11"/>
    <mergeCell ref="V19:W19"/>
    <mergeCell ref="X19:Y19"/>
    <mergeCell ref="J1:M1"/>
    <mergeCell ref="R1:U1"/>
    <mergeCell ref="B22:C22"/>
    <mergeCell ref="D4:E4"/>
    <mergeCell ref="L7:M7"/>
    <mergeCell ref="N7:O7"/>
    <mergeCell ref="F5:G5"/>
    <mergeCell ref="N2:O2"/>
    <mergeCell ref="P2:Q2"/>
    <mergeCell ref="X4:Y4"/>
    <mergeCell ref="B9:C9"/>
    <mergeCell ref="B4:C4"/>
    <mergeCell ref="F3:G3"/>
    <mergeCell ref="R2:S2"/>
    <mergeCell ref="L27:M27"/>
    <mergeCell ref="T18:U18"/>
    <mergeCell ref="N27:O27"/>
    <mergeCell ref="X9:Y9"/>
    <mergeCell ref="V18:W18"/>
    <mergeCell ref="Z9:AA9"/>
    <mergeCell ref="A1:A2"/>
    <mergeCell ref="N20:O20"/>
    <mergeCell ref="V17:W17"/>
    <mergeCell ref="P20:Q20"/>
    <mergeCell ref="F25:G25"/>
    <mergeCell ref="X11:Y11"/>
    <mergeCell ref="Z11:AA11"/>
    <mergeCell ref="N22:O22"/>
    <mergeCell ref="P22:Q22"/>
    <mergeCell ref="B21:C21"/>
    <mergeCell ref="V6:W6"/>
    <mergeCell ref="X6:Y6"/>
    <mergeCell ref="F13:G13"/>
    <mergeCell ref="P13:Q13"/>
    <mergeCell ref="H13:I13"/>
    <mergeCell ref="N15:O15"/>
    <mergeCell ref="P15:Q15"/>
    <mergeCell ref="Z30:AA30"/>
    <mergeCell ref="F11:G11"/>
    <mergeCell ref="T30:U30"/>
    <mergeCell ref="T5:U5"/>
    <mergeCell ref="V5:W5"/>
    <mergeCell ref="H4:I4"/>
    <mergeCell ref="F12:G12"/>
    <mergeCell ref="B8:C8"/>
    <mergeCell ref="R21:S21"/>
    <mergeCell ref="T21:U21"/>
    <mergeCell ref="P7:Q7"/>
    <mergeCell ref="H7:I7"/>
    <mergeCell ref="B10:C10"/>
    <mergeCell ref="J7:K7"/>
    <mergeCell ref="T23:U23"/>
    <mergeCell ref="T16:U16"/>
    <mergeCell ref="V16:W16"/>
    <mergeCell ref="H15:I15"/>
    <mergeCell ref="R8:S8"/>
    <mergeCell ref="B16:C16"/>
    <mergeCell ref="T24:U24"/>
    <mergeCell ref="P10:Q10"/>
    <mergeCell ref="R10:S10"/>
    <mergeCell ref="Z12:AA12"/>
    <mergeCell ref="B1:C2"/>
    <mergeCell ref="J24:K24"/>
    <mergeCell ref="D27:E27"/>
    <mergeCell ref="L24:M24"/>
    <mergeCell ref="L18:M18"/>
    <mergeCell ref="N18:O18"/>
    <mergeCell ref="J26:K26"/>
    <mergeCell ref="N17:O17"/>
    <mergeCell ref="L26:M26"/>
    <mergeCell ref="F22:G22"/>
    <mergeCell ref="N19:O19"/>
    <mergeCell ref="H22:I22"/>
    <mergeCell ref="B3:C3"/>
    <mergeCell ref="N1:Q1"/>
    <mergeCell ref="V1:W2"/>
    <mergeCell ref="Z15:AA15"/>
    <mergeCell ref="H23:I23"/>
    <mergeCell ref="B26:C26"/>
    <mergeCell ref="J23:K23"/>
    <mergeCell ref="D26:E26"/>
    <mergeCell ref="D19:E19"/>
    <mergeCell ref="L16:M16"/>
    <mergeCell ref="F19:G19"/>
    <mergeCell ref="N16:O16"/>
    <mergeCell ref="F6:G6"/>
    <mergeCell ref="P9:Q9"/>
    <mergeCell ref="Z25:AA25"/>
    <mergeCell ref="R25:S25"/>
    <mergeCell ref="T25:U25"/>
    <mergeCell ref="F20:G20"/>
    <mergeCell ref="P11:Q11"/>
    <mergeCell ref="Z22:AA22"/>
    <mergeCell ref="T2:U2"/>
    <mergeCell ref="D9:E9"/>
    <mergeCell ref="F9:G9"/>
    <mergeCell ref="L6:M6"/>
    <mergeCell ref="N6:O6"/>
    <mergeCell ref="R30:S30"/>
    <mergeCell ref="L5:M5"/>
    <mergeCell ref="N5:O5"/>
    <mergeCell ref="R12:S12"/>
    <mergeCell ref="T12:U12"/>
    <mergeCell ref="X20:Y20"/>
    <mergeCell ref="Z13:AA13"/>
    <mergeCell ref="B24:C24"/>
    <mergeCell ref="J21:K21"/>
    <mergeCell ref="D24:E24"/>
    <mergeCell ref="L21:M21"/>
    <mergeCell ref="T7:U7"/>
    <mergeCell ref="Z27:AA27"/>
    <mergeCell ref="B27:C27"/>
    <mergeCell ref="L30:M30"/>
    <mergeCell ref="J29:K29"/>
    <mergeCell ref="B7:C7"/>
    <mergeCell ref="T15:U15"/>
    <mergeCell ref="P17:Q17"/>
    <mergeCell ref="T8:U8"/>
    <mergeCell ref="P19:Q19"/>
    <mergeCell ref="P12:Q12"/>
    <mergeCell ref="Z28:AA28"/>
    <mergeCell ref="T28:U28"/>
    <mergeCell ref="F29:G29"/>
    <mergeCell ref="H10:I10"/>
    <mergeCell ref="J10:K10"/>
    <mergeCell ref="R28:S28"/>
    <mergeCell ref="J28:K28"/>
    <mergeCell ref="L28:M28"/>
    <mergeCell ref="D6:E6"/>
    <mergeCell ref="L3:M3"/>
    <mergeCell ref="N3:O3"/>
    <mergeCell ref="N4:O4"/>
    <mergeCell ref="F4:G4"/>
    <mergeCell ref="P4:Q4"/>
    <mergeCell ref="B28:C28"/>
    <mergeCell ref="J25:K25"/>
    <mergeCell ref="D28:E28"/>
    <mergeCell ref="L25:M25"/>
    <mergeCell ref="D3:E3"/>
    <mergeCell ref="R22:S22"/>
    <mergeCell ref="B30:C30"/>
    <mergeCell ref="D30:E30"/>
    <mergeCell ref="B5:C5"/>
    <mergeCell ref="D5:E5"/>
    <mergeCell ref="R9:S9"/>
    <mergeCell ref="H20:I20"/>
    <mergeCell ref="J14:K14"/>
    <mergeCell ref="R11:S11"/>
    <mergeCell ref="R13:S13"/>
    <mergeCell ref="J13:K13"/>
    <mergeCell ref="L13:M13"/>
    <mergeCell ref="R4:S4"/>
    <mergeCell ref="D21:E21"/>
    <mergeCell ref="R15:S15"/>
    <mergeCell ref="J15:K15"/>
    <mergeCell ref="B23:C23"/>
    <mergeCell ref="L15:M15"/>
    <mergeCell ref="D16:E16"/>
    <mergeCell ref="Z3:AA3"/>
    <mergeCell ref="H11:I11"/>
    <mergeCell ref="J11:K11"/>
    <mergeCell ref="X5:Y5"/>
    <mergeCell ref="H19:I19"/>
    <mergeCell ref="Z5:AA5"/>
    <mergeCell ref="H12:I12"/>
    <mergeCell ref="B15:C15"/>
    <mergeCell ref="J12:K12"/>
    <mergeCell ref="D15:E15"/>
    <mergeCell ref="P14:Q14"/>
    <mergeCell ref="H14:I14"/>
    <mergeCell ref="R14:S14"/>
    <mergeCell ref="X16:Y16"/>
    <mergeCell ref="Z16:AA16"/>
    <mergeCell ref="X18:Y18"/>
    <mergeCell ref="Z18:AA18"/>
    <mergeCell ref="Z17:AA17"/>
    <mergeCell ref="Z6:AA6"/>
    <mergeCell ref="T4:U4"/>
    <mergeCell ref="V4:W4"/>
    <mergeCell ref="D18:E18"/>
    <mergeCell ref="Z19:AA19"/>
    <mergeCell ref="H8:I8"/>
    <mergeCell ref="B25:C25"/>
    <mergeCell ref="V8:W8"/>
    <mergeCell ref="R19:S19"/>
    <mergeCell ref="X8:Y8"/>
    <mergeCell ref="T10:U10"/>
    <mergeCell ref="V10:W10"/>
    <mergeCell ref="F18:G18"/>
    <mergeCell ref="F17:G17"/>
    <mergeCell ref="X3:Y3"/>
    <mergeCell ref="H17:I17"/>
    <mergeCell ref="V21:W21"/>
    <mergeCell ref="X21:Y21"/>
    <mergeCell ref="V23:W23"/>
    <mergeCell ref="X23:Y23"/>
    <mergeCell ref="V24:W24"/>
    <mergeCell ref="R20:S20"/>
    <mergeCell ref="X24:Y24"/>
    <mergeCell ref="J8:K8"/>
    <mergeCell ref="T3:U3"/>
    <mergeCell ref="V3:W3"/>
    <mergeCell ref="J4:K4"/>
    <mergeCell ref="L29:M29"/>
    <mergeCell ref="D7:E7"/>
    <mergeCell ref="L4:M4"/>
    <mergeCell ref="N29:O29"/>
    <mergeCell ref="V15:W15"/>
    <mergeCell ref="X15:Y15"/>
    <mergeCell ref="D1:E2"/>
    <mergeCell ref="F23:G23"/>
    <mergeCell ref="N24:O24"/>
    <mergeCell ref="P24:Q24"/>
    <mergeCell ref="R18:S18"/>
    <mergeCell ref="N26:O26"/>
    <mergeCell ref="P26:Q26"/>
    <mergeCell ref="T29:U29"/>
    <mergeCell ref="P27:Q27"/>
    <mergeCell ref="R27:S27"/>
    <mergeCell ref="J2:K2"/>
    <mergeCell ref="V29:W29"/>
    <mergeCell ref="F1:I1"/>
    <mergeCell ref="V26:W26"/>
    <mergeCell ref="X26:Y26"/>
    <mergeCell ref="X27:Y27"/>
    <mergeCell ref="L2:M2"/>
    <mergeCell ref="F16:G16"/>
    <mergeCell ref="H9:I9"/>
    <mergeCell ref="B12:C12"/>
    <mergeCell ref="J9:K9"/>
    <mergeCell ref="V20:W20"/>
    <mergeCell ref="P6:Q6"/>
    <mergeCell ref="R6:S6"/>
    <mergeCell ref="B14:C14"/>
    <mergeCell ref="B13:C13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ED7D31"/>
  </sheetPr>
  <dimension ref="A1:N24"/>
  <sheetViews>
    <sheetView workbookViewId="0"/>
  </sheetViews>
  <sheetFormatPr defaultRowHeight="15" x14ac:dyDescent="0.25"/>
  <cols>
    <col min="1" max="1" width="22.85546875" customWidth="1"/>
    <col min="2" max="2" width="11.85546875" customWidth="1"/>
    <col min="11" max="11" width="13.140625" customWidth="1"/>
    <col min="12" max="12" width="11.85546875" customWidth="1"/>
  </cols>
  <sheetData>
    <row r="1" spans="1:14" x14ac:dyDescent="0.25">
      <c r="A1" s="29" t="s">
        <v>252</v>
      </c>
      <c r="B1" s="29" t="s">
        <v>710</v>
      </c>
      <c r="C1" s="29" t="s">
        <v>711</v>
      </c>
      <c r="D1" s="29" t="s">
        <v>72</v>
      </c>
      <c r="E1" s="29"/>
      <c r="F1" s="29" t="s">
        <v>258</v>
      </c>
      <c r="G1" s="29"/>
      <c r="H1" s="29" t="s">
        <v>259</v>
      </c>
      <c r="I1" s="29"/>
      <c r="J1" s="29" t="s">
        <v>695</v>
      </c>
      <c r="K1" s="29"/>
      <c r="L1" s="29" t="s">
        <v>526</v>
      </c>
      <c r="M1" s="29" t="s">
        <v>527</v>
      </c>
      <c r="N1" s="29" t="s">
        <v>313</v>
      </c>
    </row>
    <row r="2" spans="1:14" x14ac:dyDescent="0.25">
      <c r="A2" s="29"/>
      <c r="B2" s="29"/>
      <c r="C2" s="29"/>
      <c r="D2" t="s">
        <v>263</v>
      </c>
      <c r="E2" t="s">
        <v>264</v>
      </c>
      <c r="F2" t="s">
        <v>263</v>
      </c>
      <c r="G2" t="s">
        <v>265</v>
      </c>
      <c r="H2" t="s">
        <v>263</v>
      </c>
      <c r="I2" t="s">
        <v>265</v>
      </c>
      <c r="J2" t="s">
        <v>263</v>
      </c>
      <c r="K2" t="s">
        <v>265</v>
      </c>
      <c r="L2" s="29"/>
      <c r="M2" s="29"/>
      <c r="N2" s="29"/>
    </row>
    <row r="3" spans="1:14" x14ac:dyDescent="0.25">
      <c r="A3" t="s">
        <v>283</v>
      </c>
      <c r="B3">
        <v>28</v>
      </c>
      <c r="C3">
        <v>216</v>
      </c>
      <c r="D3">
        <v>6061</v>
      </c>
      <c r="E3">
        <v>3083</v>
      </c>
      <c r="F3">
        <v>582</v>
      </c>
      <c r="G3">
        <v>219</v>
      </c>
      <c r="H3">
        <v>74</v>
      </c>
      <c r="I3">
        <v>30</v>
      </c>
      <c r="J3">
        <v>39</v>
      </c>
      <c r="K3">
        <v>16</v>
      </c>
      <c r="L3">
        <v>83</v>
      </c>
      <c r="M3">
        <v>611</v>
      </c>
      <c r="N3">
        <v>196</v>
      </c>
    </row>
    <row r="4" spans="1:14" x14ac:dyDescent="0.25">
      <c r="A4" t="s">
        <v>284</v>
      </c>
      <c r="B4">
        <v>14</v>
      </c>
      <c r="C4">
        <v>149</v>
      </c>
      <c r="D4">
        <v>3679</v>
      </c>
      <c r="E4">
        <v>1941</v>
      </c>
      <c r="F4">
        <v>553</v>
      </c>
      <c r="G4">
        <v>241</v>
      </c>
      <c r="H4">
        <v>174</v>
      </c>
      <c r="I4">
        <v>102</v>
      </c>
      <c r="J4">
        <v>11</v>
      </c>
      <c r="K4">
        <v>5</v>
      </c>
      <c r="L4">
        <v>21</v>
      </c>
      <c r="M4">
        <v>437</v>
      </c>
      <c r="N4">
        <v>145</v>
      </c>
    </row>
    <row r="5" spans="1:14" x14ac:dyDescent="0.25">
      <c r="A5" t="s">
        <v>285</v>
      </c>
      <c r="B5">
        <v>8</v>
      </c>
      <c r="C5">
        <v>58</v>
      </c>
      <c r="D5">
        <v>1115</v>
      </c>
      <c r="E5">
        <v>555</v>
      </c>
      <c r="F5">
        <v>109</v>
      </c>
      <c r="G5">
        <v>53</v>
      </c>
      <c r="H5">
        <v>17</v>
      </c>
      <c r="I5">
        <v>9</v>
      </c>
      <c r="J5">
        <v>2</v>
      </c>
      <c r="K5">
        <v>0</v>
      </c>
      <c r="L5">
        <v>8</v>
      </c>
      <c r="M5">
        <v>63</v>
      </c>
      <c r="N5">
        <v>50</v>
      </c>
    </row>
    <row r="6" spans="1:14" x14ac:dyDescent="0.25">
      <c r="A6" t="s">
        <v>286</v>
      </c>
      <c r="B6">
        <v>7</v>
      </c>
      <c r="C6">
        <v>41</v>
      </c>
      <c r="D6">
        <v>1013</v>
      </c>
      <c r="E6">
        <v>371</v>
      </c>
      <c r="F6">
        <v>146</v>
      </c>
      <c r="G6">
        <v>59</v>
      </c>
      <c r="H6">
        <v>16</v>
      </c>
      <c r="I6">
        <v>10</v>
      </c>
      <c r="J6">
        <v>2</v>
      </c>
      <c r="K6">
        <v>0</v>
      </c>
      <c r="L6">
        <v>8</v>
      </c>
      <c r="M6">
        <v>111</v>
      </c>
      <c r="N6">
        <v>40</v>
      </c>
    </row>
    <row r="7" spans="1:14" x14ac:dyDescent="0.25">
      <c r="A7" t="s">
        <v>287</v>
      </c>
      <c r="B7">
        <v>12</v>
      </c>
      <c r="C7">
        <v>47</v>
      </c>
      <c r="D7">
        <v>954</v>
      </c>
      <c r="E7">
        <v>470</v>
      </c>
      <c r="F7">
        <v>170</v>
      </c>
      <c r="G7">
        <v>73</v>
      </c>
      <c r="H7">
        <v>20</v>
      </c>
      <c r="I7">
        <v>8</v>
      </c>
      <c r="J7">
        <v>17</v>
      </c>
      <c r="K7">
        <v>9</v>
      </c>
      <c r="L7">
        <v>21</v>
      </c>
      <c r="M7">
        <v>164</v>
      </c>
      <c r="N7">
        <v>46</v>
      </c>
    </row>
    <row r="8" spans="1:14" x14ac:dyDescent="0.25">
      <c r="A8" t="s">
        <v>288</v>
      </c>
      <c r="B8">
        <v>9</v>
      </c>
      <c r="C8">
        <v>39</v>
      </c>
      <c r="D8">
        <v>789</v>
      </c>
      <c r="E8">
        <v>396</v>
      </c>
      <c r="F8">
        <v>127</v>
      </c>
      <c r="G8">
        <v>50</v>
      </c>
      <c r="H8">
        <v>25</v>
      </c>
      <c r="I8">
        <v>15</v>
      </c>
      <c r="J8">
        <v>8</v>
      </c>
      <c r="K8">
        <v>5</v>
      </c>
      <c r="L8">
        <v>23</v>
      </c>
      <c r="M8">
        <v>155</v>
      </c>
      <c r="N8">
        <v>39</v>
      </c>
    </row>
    <row r="9" spans="1:14" x14ac:dyDescent="0.25">
      <c r="A9" t="s">
        <v>289</v>
      </c>
      <c r="B9">
        <v>13</v>
      </c>
      <c r="C9">
        <v>108</v>
      </c>
      <c r="D9">
        <v>2713</v>
      </c>
      <c r="E9">
        <v>1397</v>
      </c>
      <c r="F9">
        <v>285</v>
      </c>
      <c r="G9">
        <v>107</v>
      </c>
      <c r="H9">
        <v>49</v>
      </c>
      <c r="I9">
        <v>26</v>
      </c>
      <c r="J9">
        <v>4</v>
      </c>
      <c r="K9">
        <v>3</v>
      </c>
      <c r="L9">
        <v>37</v>
      </c>
      <c r="M9">
        <v>324</v>
      </c>
      <c r="N9">
        <v>90</v>
      </c>
    </row>
    <row r="10" spans="1:14" x14ac:dyDescent="0.25">
      <c r="A10" t="s">
        <v>290</v>
      </c>
      <c r="B10">
        <v>10</v>
      </c>
      <c r="C10">
        <v>150</v>
      </c>
      <c r="D10">
        <v>4126</v>
      </c>
      <c r="E10">
        <v>1917</v>
      </c>
      <c r="F10">
        <v>275</v>
      </c>
      <c r="G10">
        <v>81</v>
      </c>
      <c r="H10">
        <v>46</v>
      </c>
      <c r="I10">
        <v>12</v>
      </c>
      <c r="J10">
        <v>5</v>
      </c>
      <c r="K10">
        <v>4</v>
      </c>
      <c r="L10">
        <v>28</v>
      </c>
      <c r="M10">
        <v>360</v>
      </c>
      <c r="N10">
        <v>131</v>
      </c>
    </row>
    <row r="11" spans="1:14" x14ac:dyDescent="0.25">
      <c r="A11" t="s">
        <v>292</v>
      </c>
      <c r="B11">
        <v>2</v>
      </c>
      <c r="C11">
        <v>8</v>
      </c>
      <c r="D11">
        <v>159</v>
      </c>
      <c r="E11">
        <v>81</v>
      </c>
      <c r="F11">
        <v>31</v>
      </c>
      <c r="G11">
        <v>15</v>
      </c>
      <c r="H11">
        <v>5</v>
      </c>
      <c r="I11">
        <v>1</v>
      </c>
      <c r="J11">
        <v>0</v>
      </c>
      <c r="K11">
        <v>0</v>
      </c>
      <c r="L11">
        <v>5</v>
      </c>
      <c r="M11">
        <v>31</v>
      </c>
      <c r="N11">
        <v>8</v>
      </c>
    </row>
    <row r="12" spans="1:14" x14ac:dyDescent="0.25">
      <c r="A12" t="s">
        <v>293</v>
      </c>
      <c r="B12">
        <v>1</v>
      </c>
      <c r="C12">
        <v>7</v>
      </c>
      <c r="D12">
        <v>118</v>
      </c>
      <c r="E12">
        <v>61</v>
      </c>
      <c r="F12">
        <v>29</v>
      </c>
      <c r="G12">
        <v>15</v>
      </c>
      <c r="H12">
        <v>22</v>
      </c>
      <c r="I12">
        <v>14</v>
      </c>
      <c r="J12">
        <v>0</v>
      </c>
      <c r="K12">
        <v>0</v>
      </c>
      <c r="L12">
        <v>1</v>
      </c>
      <c r="M12">
        <v>21</v>
      </c>
      <c r="N12">
        <v>7</v>
      </c>
    </row>
    <row r="13" spans="1:14" x14ac:dyDescent="0.25">
      <c r="A13" t="s">
        <v>294</v>
      </c>
      <c r="B13">
        <v>2</v>
      </c>
      <c r="C13">
        <v>9</v>
      </c>
      <c r="D13">
        <v>149</v>
      </c>
      <c r="E13">
        <v>61</v>
      </c>
      <c r="F13">
        <v>20</v>
      </c>
      <c r="G13">
        <v>6</v>
      </c>
      <c r="H13">
        <v>9</v>
      </c>
      <c r="I13">
        <v>0</v>
      </c>
      <c r="J13">
        <v>1</v>
      </c>
      <c r="K13">
        <v>1</v>
      </c>
      <c r="L13">
        <v>2</v>
      </c>
      <c r="M13">
        <v>9</v>
      </c>
      <c r="N13">
        <v>9</v>
      </c>
    </row>
    <row r="14" spans="1:14" x14ac:dyDescent="0.25">
      <c r="A14" t="s">
        <v>297</v>
      </c>
      <c r="B14">
        <v>163</v>
      </c>
      <c r="C14">
        <v>1597</v>
      </c>
      <c r="D14">
        <v>36775</v>
      </c>
      <c r="E14">
        <v>18969</v>
      </c>
      <c r="F14">
        <v>3037</v>
      </c>
      <c r="G14">
        <v>1212</v>
      </c>
      <c r="H14">
        <v>1417</v>
      </c>
      <c r="I14">
        <v>729</v>
      </c>
      <c r="J14">
        <v>801</v>
      </c>
      <c r="K14">
        <v>343</v>
      </c>
      <c r="L14">
        <v>256</v>
      </c>
      <c r="M14">
        <v>5544</v>
      </c>
      <c r="N14">
        <v>1416</v>
      </c>
    </row>
    <row r="15" spans="1:14" x14ac:dyDescent="0.25">
      <c r="A15" t="s">
        <v>298</v>
      </c>
      <c r="B15">
        <v>11</v>
      </c>
      <c r="C15">
        <v>85</v>
      </c>
      <c r="D15">
        <v>2011</v>
      </c>
      <c r="E15">
        <v>939</v>
      </c>
      <c r="F15">
        <v>222</v>
      </c>
      <c r="G15">
        <v>57</v>
      </c>
      <c r="H15">
        <v>24</v>
      </c>
      <c r="I15">
        <v>11</v>
      </c>
      <c r="J15">
        <v>20</v>
      </c>
      <c r="K15">
        <v>11</v>
      </c>
      <c r="L15">
        <v>32</v>
      </c>
      <c r="M15">
        <v>373</v>
      </c>
      <c r="N15">
        <v>77</v>
      </c>
    </row>
    <row r="16" spans="1:14" x14ac:dyDescent="0.25">
      <c r="A16" t="s">
        <v>300</v>
      </c>
      <c r="B16">
        <v>1</v>
      </c>
      <c r="C16">
        <v>3</v>
      </c>
      <c r="D16">
        <v>135</v>
      </c>
      <c r="E16">
        <v>86</v>
      </c>
      <c r="F16">
        <v>20</v>
      </c>
      <c r="G16">
        <v>6</v>
      </c>
      <c r="H16">
        <v>3</v>
      </c>
      <c r="I16">
        <v>2</v>
      </c>
      <c r="J16">
        <v>0</v>
      </c>
      <c r="K16">
        <v>0</v>
      </c>
      <c r="L16">
        <v>4</v>
      </c>
      <c r="M16">
        <v>9</v>
      </c>
      <c r="N16">
        <v>3</v>
      </c>
    </row>
    <row r="17" spans="1:14" x14ac:dyDescent="0.25">
      <c r="A17" t="s">
        <v>302</v>
      </c>
      <c r="B17">
        <v>4</v>
      </c>
      <c r="C17">
        <v>33</v>
      </c>
      <c r="D17">
        <v>538</v>
      </c>
      <c r="E17">
        <v>235</v>
      </c>
      <c r="F17">
        <v>79</v>
      </c>
      <c r="G17">
        <v>28</v>
      </c>
      <c r="H17">
        <v>14</v>
      </c>
      <c r="I17">
        <v>6</v>
      </c>
      <c r="J17">
        <v>0</v>
      </c>
      <c r="K17">
        <v>0</v>
      </c>
      <c r="L17">
        <v>5</v>
      </c>
      <c r="M17">
        <v>38</v>
      </c>
      <c r="N17">
        <v>32</v>
      </c>
    </row>
    <row r="18" spans="1:14" x14ac:dyDescent="0.25">
      <c r="A18" t="s">
        <v>303</v>
      </c>
      <c r="B18">
        <v>23</v>
      </c>
      <c r="C18">
        <v>208</v>
      </c>
      <c r="D18">
        <v>4300</v>
      </c>
      <c r="E18">
        <v>2138</v>
      </c>
      <c r="F18">
        <v>623</v>
      </c>
      <c r="G18">
        <v>303</v>
      </c>
      <c r="H18">
        <v>143</v>
      </c>
      <c r="I18">
        <v>81</v>
      </c>
      <c r="J18">
        <v>57</v>
      </c>
      <c r="K18">
        <v>34</v>
      </c>
      <c r="L18">
        <v>46</v>
      </c>
      <c r="M18">
        <v>393</v>
      </c>
      <c r="N18">
        <v>188</v>
      </c>
    </row>
    <row r="19" spans="1:14" x14ac:dyDescent="0.25">
      <c r="A19" t="s">
        <v>304</v>
      </c>
      <c r="B19">
        <v>1</v>
      </c>
      <c r="C19">
        <v>5</v>
      </c>
      <c r="D19">
        <v>95</v>
      </c>
      <c r="E19">
        <v>52</v>
      </c>
      <c r="F19">
        <v>10</v>
      </c>
      <c r="G19">
        <v>5</v>
      </c>
      <c r="H19">
        <v>0</v>
      </c>
      <c r="I19">
        <v>0</v>
      </c>
      <c r="J19">
        <v>0</v>
      </c>
      <c r="K19">
        <v>0</v>
      </c>
      <c r="L19">
        <v>1</v>
      </c>
      <c r="M19">
        <v>6</v>
      </c>
      <c r="N19">
        <v>5</v>
      </c>
    </row>
    <row r="20" spans="1:14" x14ac:dyDescent="0.25">
      <c r="A20" t="s">
        <v>306</v>
      </c>
      <c r="B20">
        <v>8</v>
      </c>
      <c r="C20">
        <v>59</v>
      </c>
      <c r="D20">
        <v>1240</v>
      </c>
      <c r="E20">
        <v>616</v>
      </c>
      <c r="F20">
        <v>189</v>
      </c>
      <c r="G20">
        <v>54</v>
      </c>
      <c r="H20">
        <v>46</v>
      </c>
      <c r="I20">
        <v>26</v>
      </c>
      <c r="J20">
        <v>4</v>
      </c>
      <c r="K20">
        <v>3</v>
      </c>
      <c r="L20">
        <v>54</v>
      </c>
      <c r="M20">
        <v>133</v>
      </c>
      <c r="N20">
        <v>59</v>
      </c>
    </row>
    <row r="21" spans="1:14" x14ac:dyDescent="0.25">
      <c r="A21" t="s">
        <v>307</v>
      </c>
      <c r="B21">
        <v>6</v>
      </c>
      <c r="C21">
        <v>61</v>
      </c>
      <c r="D21">
        <v>2424</v>
      </c>
      <c r="E21">
        <v>1468</v>
      </c>
      <c r="F21">
        <v>101</v>
      </c>
      <c r="G21">
        <v>51</v>
      </c>
      <c r="H21">
        <v>9</v>
      </c>
      <c r="I21">
        <v>5</v>
      </c>
      <c r="J21">
        <v>11</v>
      </c>
      <c r="K21">
        <v>3</v>
      </c>
      <c r="L21">
        <v>11</v>
      </c>
      <c r="M21">
        <v>106</v>
      </c>
      <c r="N21">
        <v>61</v>
      </c>
    </row>
    <row r="22" spans="1:14" x14ac:dyDescent="0.25">
      <c r="A22" t="s">
        <v>266</v>
      </c>
      <c r="B22">
        <v>323</v>
      </c>
      <c r="C22">
        <v>2883</v>
      </c>
      <c r="D22">
        <v>68394</v>
      </c>
      <c r="E22">
        <v>34836</v>
      </c>
      <c r="F22">
        <v>6608</v>
      </c>
      <c r="G22">
        <v>2635</v>
      </c>
      <c r="H22">
        <v>2113</v>
      </c>
      <c r="I22">
        <v>1087</v>
      </c>
      <c r="J22">
        <v>982</v>
      </c>
      <c r="K22">
        <v>437</v>
      </c>
      <c r="L22">
        <v>646</v>
      </c>
      <c r="M22">
        <v>8888</v>
      </c>
      <c r="N22">
        <v>2602</v>
      </c>
    </row>
    <row r="23" spans="1:14" x14ac:dyDescent="0.25">
      <c r="A23" t="s">
        <v>459</v>
      </c>
      <c r="B23">
        <v>267</v>
      </c>
      <c r="C23">
        <v>2520</v>
      </c>
      <c r="D23">
        <v>59041</v>
      </c>
      <c r="E23">
        <v>30327</v>
      </c>
      <c r="F23">
        <v>5714</v>
      </c>
      <c r="G23">
        <v>2318</v>
      </c>
      <c r="H23">
        <v>1945</v>
      </c>
      <c r="I23">
        <v>1014</v>
      </c>
      <c r="J23">
        <v>939</v>
      </c>
      <c r="K23">
        <v>412</v>
      </c>
      <c r="L23">
        <v>498</v>
      </c>
      <c r="M23">
        <v>7883</v>
      </c>
      <c r="N23">
        <v>2259</v>
      </c>
    </row>
    <row r="24" spans="1:14" x14ac:dyDescent="0.25">
      <c r="A24" t="s">
        <v>460</v>
      </c>
      <c r="B24">
        <v>56</v>
      </c>
      <c r="C24">
        <v>363</v>
      </c>
      <c r="D24">
        <v>9353</v>
      </c>
      <c r="E24">
        <v>4509</v>
      </c>
      <c r="F24">
        <v>894</v>
      </c>
      <c r="G24">
        <v>317</v>
      </c>
      <c r="H24">
        <v>168</v>
      </c>
      <c r="I24">
        <v>73</v>
      </c>
      <c r="J24">
        <v>43</v>
      </c>
      <c r="K24">
        <v>25</v>
      </c>
      <c r="L24">
        <v>148</v>
      </c>
      <c r="M24">
        <v>1005</v>
      </c>
      <c r="N24">
        <v>343</v>
      </c>
    </row>
  </sheetData>
  <mergeCells count="10">
    <mergeCell ref="M1:M2"/>
    <mergeCell ref="L1:L2"/>
    <mergeCell ref="F1:G1"/>
    <mergeCell ref="N1:N2"/>
    <mergeCell ref="A1:A2"/>
    <mergeCell ref="D1:E1"/>
    <mergeCell ref="H1:I1"/>
    <mergeCell ref="J1:K1"/>
    <mergeCell ref="C1:C2"/>
    <mergeCell ref="B1:B2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70AD47"/>
  </sheetPr>
  <dimension ref="A1:O30"/>
  <sheetViews>
    <sheetView workbookViewId="0"/>
  </sheetViews>
  <sheetFormatPr defaultRowHeight="15" x14ac:dyDescent="0.25"/>
  <cols>
    <col min="1" max="1" width="19.42578125" customWidth="1"/>
    <col min="2" max="2" width="11.28515625" customWidth="1"/>
    <col min="3" max="3" width="11.140625" customWidth="1"/>
    <col min="4" max="4" width="11.28515625" customWidth="1"/>
    <col min="6" max="6" width="11.140625" customWidth="1"/>
    <col min="7" max="7" width="11.28515625" customWidth="1"/>
    <col min="8" max="8" width="11.140625" customWidth="1"/>
    <col min="9" max="9" width="11.28515625" customWidth="1"/>
    <col min="11" max="11" width="11.140625" customWidth="1"/>
    <col min="12" max="12" width="11.28515625" customWidth="1"/>
    <col min="13" max="13" width="11.140625" customWidth="1"/>
    <col min="14" max="14" width="11.28515625" customWidth="1"/>
  </cols>
  <sheetData>
    <row r="1" spans="1:15" x14ac:dyDescent="0.25">
      <c r="A1" s="29" t="s">
        <v>252</v>
      </c>
      <c r="B1" s="29" t="s">
        <v>715</v>
      </c>
      <c r="C1" s="29"/>
      <c r="D1" s="29" t="s">
        <v>718</v>
      </c>
      <c r="E1" s="29"/>
      <c r="F1" s="29"/>
      <c r="G1" s="29"/>
      <c r="H1" s="29"/>
      <c r="I1" s="29"/>
      <c r="J1" s="29" t="s">
        <v>719</v>
      </c>
      <c r="K1" s="29"/>
      <c r="L1" s="29"/>
      <c r="M1" s="29"/>
      <c r="N1" s="29"/>
      <c r="O1" s="29"/>
    </row>
    <row r="2" spans="1:15" x14ac:dyDescent="0.25">
      <c r="A2" s="29"/>
      <c r="B2" t="s">
        <v>263</v>
      </c>
      <c r="C2" t="s">
        <v>373</v>
      </c>
      <c r="D2" t="s">
        <v>334</v>
      </c>
      <c r="E2" t="s">
        <v>335</v>
      </c>
      <c r="F2" t="s">
        <v>336</v>
      </c>
      <c r="G2" t="s">
        <v>337</v>
      </c>
      <c r="H2" t="s">
        <v>338</v>
      </c>
      <c r="I2" t="s">
        <v>339</v>
      </c>
      <c r="J2" t="s">
        <v>340</v>
      </c>
      <c r="K2" t="s">
        <v>341</v>
      </c>
      <c r="L2" t="s">
        <v>342</v>
      </c>
      <c r="M2" t="s">
        <v>343</v>
      </c>
      <c r="N2" t="s">
        <v>344</v>
      </c>
      <c r="O2" t="s">
        <v>345</v>
      </c>
    </row>
    <row r="3" spans="1:15" x14ac:dyDescent="0.25">
      <c r="A3" t="s">
        <v>283</v>
      </c>
      <c r="B3">
        <v>56</v>
      </c>
      <c r="C3">
        <v>33</v>
      </c>
      <c r="D3">
        <v>2</v>
      </c>
      <c r="E3">
        <v>1</v>
      </c>
      <c r="F3">
        <v>1</v>
      </c>
      <c r="G3">
        <v>4</v>
      </c>
      <c r="H3">
        <v>2</v>
      </c>
      <c r="I3">
        <v>46</v>
      </c>
      <c r="J3">
        <v>1</v>
      </c>
      <c r="K3">
        <v>3</v>
      </c>
      <c r="L3">
        <v>10</v>
      </c>
      <c r="M3">
        <v>1</v>
      </c>
      <c r="N3">
        <v>2</v>
      </c>
      <c r="O3">
        <v>10</v>
      </c>
    </row>
    <row r="4" spans="1:15" x14ac:dyDescent="0.25">
      <c r="A4" t="s">
        <v>284</v>
      </c>
      <c r="B4">
        <v>26</v>
      </c>
      <c r="C4">
        <v>6</v>
      </c>
      <c r="D4">
        <v>0</v>
      </c>
      <c r="E4">
        <v>0</v>
      </c>
      <c r="F4">
        <v>1</v>
      </c>
      <c r="G4">
        <v>0</v>
      </c>
      <c r="H4">
        <v>0</v>
      </c>
      <c r="I4">
        <v>20</v>
      </c>
      <c r="J4">
        <v>0</v>
      </c>
      <c r="K4">
        <v>0</v>
      </c>
      <c r="L4">
        <v>1</v>
      </c>
      <c r="M4">
        <v>0</v>
      </c>
      <c r="N4">
        <v>1</v>
      </c>
      <c r="O4">
        <v>12</v>
      </c>
    </row>
    <row r="5" spans="1:15" x14ac:dyDescent="0.25">
      <c r="A5" t="s">
        <v>285</v>
      </c>
      <c r="B5">
        <v>11</v>
      </c>
      <c r="C5">
        <v>1</v>
      </c>
      <c r="D5">
        <v>0</v>
      </c>
      <c r="E5">
        <v>0</v>
      </c>
      <c r="F5">
        <v>0</v>
      </c>
      <c r="G5">
        <v>2</v>
      </c>
      <c r="H5">
        <v>2</v>
      </c>
      <c r="I5">
        <v>13</v>
      </c>
      <c r="J5">
        <v>0</v>
      </c>
      <c r="K5">
        <v>0</v>
      </c>
      <c r="L5">
        <v>3</v>
      </c>
      <c r="M5">
        <v>1</v>
      </c>
      <c r="N5">
        <v>1</v>
      </c>
      <c r="O5">
        <v>3</v>
      </c>
    </row>
    <row r="6" spans="1:15" x14ac:dyDescent="0.25">
      <c r="A6" t="s">
        <v>286</v>
      </c>
      <c r="B6">
        <v>10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9</v>
      </c>
      <c r="J6">
        <v>0</v>
      </c>
      <c r="K6">
        <v>0</v>
      </c>
      <c r="L6">
        <v>3</v>
      </c>
      <c r="M6">
        <v>1</v>
      </c>
      <c r="N6">
        <v>0</v>
      </c>
      <c r="O6">
        <v>3</v>
      </c>
    </row>
    <row r="7" spans="1:15" x14ac:dyDescent="0.25">
      <c r="A7" t="s">
        <v>287</v>
      </c>
      <c r="B7">
        <v>28</v>
      </c>
      <c r="C7">
        <v>6</v>
      </c>
      <c r="D7">
        <v>1</v>
      </c>
      <c r="E7">
        <v>0</v>
      </c>
      <c r="F7">
        <v>1</v>
      </c>
      <c r="G7">
        <v>4</v>
      </c>
      <c r="H7">
        <v>3</v>
      </c>
      <c r="I7">
        <v>15</v>
      </c>
      <c r="J7">
        <v>2</v>
      </c>
      <c r="K7">
        <v>1</v>
      </c>
      <c r="L7">
        <v>4</v>
      </c>
      <c r="M7">
        <v>0</v>
      </c>
      <c r="N7">
        <v>0</v>
      </c>
      <c r="O7">
        <v>4</v>
      </c>
    </row>
    <row r="8" spans="1:15" x14ac:dyDescent="0.25">
      <c r="A8" t="s">
        <v>288</v>
      </c>
      <c r="B8">
        <v>21</v>
      </c>
      <c r="C8">
        <v>13</v>
      </c>
      <c r="D8">
        <v>4</v>
      </c>
      <c r="E8">
        <v>5</v>
      </c>
      <c r="F8">
        <v>1</v>
      </c>
      <c r="G8">
        <v>3</v>
      </c>
      <c r="H8">
        <v>2</v>
      </c>
      <c r="I8">
        <v>10</v>
      </c>
      <c r="J8">
        <v>0</v>
      </c>
      <c r="K8">
        <v>4</v>
      </c>
      <c r="L8">
        <v>2</v>
      </c>
      <c r="M8">
        <v>0</v>
      </c>
      <c r="N8">
        <v>0</v>
      </c>
      <c r="O8">
        <v>3</v>
      </c>
    </row>
    <row r="9" spans="1:15" x14ac:dyDescent="0.25">
      <c r="A9" t="s">
        <v>289</v>
      </c>
      <c r="B9">
        <v>12</v>
      </c>
      <c r="C9">
        <v>1</v>
      </c>
      <c r="D9">
        <v>1</v>
      </c>
      <c r="E9">
        <v>0</v>
      </c>
      <c r="F9">
        <v>0</v>
      </c>
      <c r="G9">
        <v>2</v>
      </c>
      <c r="H9">
        <v>1</v>
      </c>
      <c r="I9">
        <v>13</v>
      </c>
      <c r="J9">
        <v>1</v>
      </c>
      <c r="K9">
        <v>0</v>
      </c>
      <c r="L9">
        <v>5</v>
      </c>
      <c r="M9">
        <v>0</v>
      </c>
      <c r="N9">
        <v>0</v>
      </c>
      <c r="O9">
        <v>7</v>
      </c>
    </row>
    <row r="10" spans="1:15" x14ac:dyDescent="0.25">
      <c r="A10" t="s">
        <v>290</v>
      </c>
      <c r="B10">
        <v>44</v>
      </c>
      <c r="C10">
        <v>19</v>
      </c>
      <c r="D10">
        <v>1</v>
      </c>
      <c r="E10">
        <v>0</v>
      </c>
      <c r="F10">
        <v>0</v>
      </c>
      <c r="G10">
        <v>6</v>
      </c>
      <c r="H10">
        <v>2</v>
      </c>
      <c r="I10">
        <v>25</v>
      </c>
      <c r="J10">
        <v>0</v>
      </c>
      <c r="K10">
        <v>1</v>
      </c>
      <c r="L10">
        <v>3</v>
      </c>
      <c r="M10">
        <v>0</v>
      </c>
      <c r="N10">
        <v>0</v>
      </c>
      <c r="O10">
        <v>6</v>
      </c>
    </row>
    <row r="11" spans="1:15" x14ac:dyDescent="0.25">
      <c r="A11" t="s">
        <v>291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292</v>
      </c>
      <c r="B12">
        <v>8</v>
      </c>
      <c r="C12">
        <v>3</v>
      </c>
      <c r="D12">
        <v>0</v>
      </c>
      <c r="E12">
        <v>0</v>
      </c>
      <c r="F12">
        <v>2</v>
      </c>
      <c r="G12">
        <v>0</v>
      </c>
      <c r="H12">
        <v>0</v>
      </c>
      <c r="I12">
        <v>6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293</v>
      </c>
      <c r="B13">
        <v>4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25">
      <c r="A14" t="s">
        <v>294</v>
      </c>
      <c r="B14">
        <v>3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3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</row>
    <row r="15" spans="1:15" x14ac:dyDescent="0.25">
      <c r="A15" t="s">
        <v>295</v>
      </c>
      <c r="B15">
        <v>6</v>
      </c>
      <c r="C15">
        <v>2</v>
      </c>
      <c r="D15">
        <v>0</v>
      </c>
      <c r="E15">
        <v>0</v>
      </c>
      <c r="F15">
        <v>0</v>
      </c>
      <c r="G15">
        <v>0</v>
      </c>
      <c r="H15">
        <v>1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296</v>
      </c>
      <c r="B16">
        <v>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297</v>
      </c>
      <c r="B17">
        <v>303</v>
      </c>
      <c r="C17">
        <v>82</v>
      </c>
      <c r="D17">
        <v>5</v>
      </c>
      <c r="E17">
        <v>3</v>
      </c>
      <c r="F17">
        <v>17</v>
      </c>
      <c r="G17">
        <v>18</v>
      </c>
      <c r="H17">
        <v>28</v>
      </c>
      <c r="I17">
        <v>230</v>
      </c>
      <c r="J17">
        <v>6</v>
      </c>
      <c r="K17">
        <v>6</v>
      </c>
      <c r="L17">
        <v>36</v>
      </c>
      <c r="M17">
        <v>8</v>
      </c>
      <c r="N17">
        <v>8</v>
      </c>
      <c r="O17">
        <v>79</v>
      </c>
    </row>
    <row r="18" spans="1:15" x14ac:dyDescent="0.25">
      <c r="A18" t="s">
        <v>298</v>
      </c>
      <c r="B18">
        <v>26</v>
      </c>
      <c r="C18">
        <v>12</v>
      </c>
      <c r="D18">
        <v>2</v>
      </c>
      <c r="E18">
        <v>0</v>
      </c>
      <c r="F18">
        <v>1</v>
      </c>
      <c r="G18">
        <v>1</v>
      </c>
      <c r="H18">
        <v>2</v>
      </c>
      <c r="I18">
        <v>18</v>
      </c>
      <c r="J18">
        <v>1</v>
      </c>
      <c r="K18">
        <v>0</v>
      </c>
      <c r="L18">
        <v>5</v>
      </c>
      <c r="M18">
        <v>0</v>
      </c>
      <c r="N18">
        <v>2</v>
      </c>
      <c r="O18">
        <v>3</v>
      </c>
    </row>
    <row r="19" spans="1:15" x14ac:dyDescent="0.25">
      <c r="A19" t="s">
        <v>299</v>
      </c>
      <c r="B19">
        <v>2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300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</row>
    <row r="21" spans="1:15" x14ac:dyDescent="0.25">
      <c r="A21" t="s">
        <v>301</v>
      </c>
      <c r="B21">
        <v>4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302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  <c r="J22">
        <v>0</v>
      </c>
      <c r="K22">
        <v>0</v>
      </c>
      <c r="L22">
        <v>1</v>
      </c>
      <c r="M22">
        <v>0</v>
      </c>
      <c r="N22">
        <v>0</v>
      </c>
      <c r="O22">
        <v>3</v>
      </c>
    </row>
    <row r="23" spans="1:15" x14ac:dyDescent="0.25">
      <c r="A23" t="s">
        <v>303</v>
      </c>
      <c r="B23">
        <v>54</v>
      </c>
      <c r="C23">
        <v>14</v>
      </c>
      <c r="D23">
        <v>2</v>
      </c>
      <c r="E23">
        <v>2</v>
      </c>
      <c r="F23">
        <v>2</v>
      </c>
      <c r="G23">
        <v>5</v>
      </c>
      <c r="H23">
        <v>4</v>
      </c>
      <c r="I23">
        <v>31</v>
      </c>
      <c r="J23">
        <v>1</v>
      </c>
      <c r="K23">
        <v>2</v>
      </c>
      <c r="L23">
        <v>3</v>
      </c>
      <c r="M23">
        <v>3</v>
      </c>
      <c r="N23">
        <v>3</v>
      </c>
      <c r="O23">
        <v>11</v>
      </c>
    </row>
    <row r="24" spans="1:15" x14ac:dyDescent="0.25">
      <c r="A24" t="s">
        <v>304</v>
      </c>
      <c r="B24">
        <v>5</v>
      </c>
      <c r="C24">
        <v>2</v>
      </c>
      <c r="D24">
        <v>0</v>
      </c>
      <c r="E24">
        <v>1</v>
      </c>
      <c r="F24">
        <v>0</v>
      </c>
      <c r="G24">
        <v>0</v>
      </c>
      <c r="H24">
        <v>0</v>
      </c>
      <c r="I24">
        <v>3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</row>
    <row r="25" spans="1:15" x14ac:dyDescent="0.25">
      <c r="A25" t="s">
        <v>305</v>
      </c>
      <c r="B25">
        <v>4</v>
      </c>
      <c r="C25">
        <v>2</v>
      </c>
      <c r="D25">
        <v>1</v>
      </c>
      <c r="E25">
        <v>1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306</v>
      </c>
      <c r="B26">
        <v>23</v>
      </c>
      <c r="C26">
        <v>9</v>
      </c>
      <c r="D26">
        <v>0</v>
      </c>
      <c r="E26">
        <v>3</v>
      </c>
      <c r="F26">
        <v>1</v>
      </c>
      <c r="G26">
        <v>2</v>
      </c>
      <c r="H26">
        <v>2</v>
      </c>
      <c r="I26">
        <v>13</v>
      </c>
      <c r="J26">
        <v>0</v>
      </c>
      <c r="K26">
        <v>0</v>
      </c>
      <c r="L26">
        <v>0</v>
      </c>
      <c r="M26">
        <v>0</v>
      </c>
      <c r="N26">
        <v>0</v>
      </c>
      <c r="O26">
        <v>8</v>
      </c>
    </row>
    <row r="27" spans="1:15" x14ac:dyDescent="0.25">
      <c r="A27" t="s">
        <v>307</v>
      </c>
      <c r="B27">
        <v>10</v>
      </c>
      <c r="C27">
        <v>6</v>
      </c>
      <c r="D27">
        <v>0</v>
      </c>
      <c r="E27">
        <v>2</v>
      </c>
      <c r="F27">
        <v>2</v>
      </c>
      <c r="G27">
        <v>0</v>
      </c>
      <c r="H27">
        <v>1</v>
      </c>
      <c r="I27">
        <v>6</v>
      </c>
      <c r="J27">
        <v>0</v>
      </c>
      <c r="K27">
        <v>0</v>
      </c>
      <c r="L27">
        <v>3</v>
      </c>
      <c r="M27">
        <v>0</v>
      </c>
      <c r="N27">
        <v>0</v>
      </c>
      <c r="O27">
        <v>3</v>
      </c>
    </row>
    <row r="28" spans="1:15" x14ac:dyDescent="0.25">
      <c r="A28" t="s">
        <v>266</v>
      </c>
      <c r="B28">
        <v>678</v>
      </c>
      <c r="C28">
        <v>219</v>
      </c>
      <c r="D28">
        <v>19</v>
      </c>
      <c r="E28">
        <v>18</v>
      </c>
      <c r="F28">
        <v>31</v>
      </c>
      <c r="G28">
        <v>49</v>
      </c>
      <c r="H28">
        <v>53</v>
      </c>
      <c r="I28">
        <v>485</v>
      </c>
      <c r="J28">
        <v>13</v>
      </c>
      <c r="K28">
        <v>17</v>
      </c>
      <c r="L28">
        <v>81</v>
      </c>
      <c r="M28">
        <v>14</v>
      </c>
      <c r="N28">
        <v>17</v>
      </c>
      <c r="O28">
        <v>158</v>
      </c>
    </row>
    <row r="29" spans="1:15" x14ac:dyDescent="0.25">
      <c r="A29" t="s">
        <v>459</v>
      </c>
      <c r="B29">
        <v>532</v>
      </c>
      <c r="C29">
        <v>153</v>
      </c>
      <c r="D29">
        <v>11</v>
      </c>
      <c r="E29">
        <v>9</v>
      </c>
      <c r="F29">
        <v>23</v>
      </c>
      <c r="G29">
        <v>30</v>
      </c>
      <c r="H29">
        <v>42</v>
      </c>
      <c r="I29">
        <v>396</v>
      </c>
      <c r="J29">
        <v>7</v>
      </c>
      <c r="K29">
        <v>13</v>
      </c>
      <c r="L29">
        <v>62</v>
      </c>
      <c r="M29">
        <v>13</v>
      </c>
      <c r="N29">
        <v>16</v>
      </c>
      <c r="O29">
        <v>133</v>
      </c>
    </row>
    <row r="30" spans="1:15" x14ac:dyDescent="0.25">
      <c r="A30" t="s">
        <v>460</v>
      </c>
      <c r="B30">
        <v>146</v>
      </c>
      <c r="C30">
        <v>66</v>
      </c>
      <c r="D30">
        <v>8</v>
      </c>
      <c r="E30">
        <v>9</v>
      </c>
      <c r="F30">
        <v>8</v>
      </c>
      <c r="G30">
        <v>19</v>
      </c>
      <c r="H30">
        <v>11</v>
      </c>
      <c r="I30">
        <v>89</v>
      </c>
      <c r="J30">
        <v>6</v>
      </c>
      <c r="K30">
        <v>4</v>
      </c>
      <c r="L30">
        <v>19</v>
      </c>
      <c r="M30">
        <v>1</v>
      </c>
      <c r="N30">
        <v>1</v>
      </c>
      <c r="O30">
        <v>25</v>
      </c>
    </row>
  </sheetData>
  <mergeCells count="4">
    <mergeCell ref="B1:C1"/>
    <mergeCell ref="J1:O1"/>
    <mergeCell ref="D1:I1"/>
    <mergeCell ref="A1:A2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5B9BD5"/>
  </sheetPr>
  <dimension ref="A1:BA31"/>
  <sheetViews>
    <sheetView workbookViewId="0"/>
  </sheetViews>
  <sheetFormatPr defaultRowHeight="15" x14ac:dyDescent="0.25"/>
  <cols>
    <col min="1" max="1" width="24.85546875" customWidth="1"/>
    <col min="2" max="2" width="12.7109375" customWidth="1"/>
    <col min="4" max="4" width="12.85546875" customWidth="1"/>
    <col min="5" max="5" width="12.7109375" customWidth="1"/>
    <col min="9" max="9" width="12.85546875" customWidth="1"/>
    <col min="10" max="10" width="12.7109375" customWidth="1"/>
  </cols>
  <sheetData>
    <row r="1" spans="1:53" x14ac:dyDescent="0.25">
      <c r="A1" s="29" t="s">
        <v>252</v>
      </c>
      <c r="B1" s="29" t="s">
        <v>334</v>
      </c>
      <c r="C1" s="29"/>
      <c r="D1" s="29"/>
      <c r="E1" s="29"/>
      <c r="F1" s="29" t="s">
        <v>335</v>
      </c>
      <c r="G1" s="29"/>
      <c r="H1" s="29"/>
      <c r="I1" s="29"/>
      <c r="J1" s="29" t="s">
        <v>336</v>
      </c>
      <c r="K1" s="29"/>
      <c r="L1" s="29"/>
      <c r="M1" s="29"/>
      <c r="N1" s="29" t="s">
        <v>337</v>
      </c>
      <c r="O1" s="29"/>
      <c r="P1" s="29"/>
      <c r="Q1" s="29"/>
      <c r="R1" s="29" t="s">
        <v>338</v>
      </c>
      <c r="S1" s="29"/>
      <c r="T1" s="29"/>
      <c r="U1" s="29"/>
      <c r="V1" s="29" t="s">
        <v>339</v>
      </c>
      <c r="W1" s="29"/>
      <c r="X1" s="29"/>
      <c r="Y1" s="29"/>
      <c r="Z1" s="29" t="s">
        <v>340</v>
      </c>
      <c r="AA1" s="29"/>
      <c r="AB1" s="29"/>
      <c r="AC1" s="29"/>
      <c r="AD1" s="29" t="s">
        <v>341</v>
      </c>
      <c r="AE1" s="29"/>
      <c r="AF1" s="29"/>
      <c r="AG1" s="29"/>
      <c r="AH1" s="29" t="s">
        <v>342</v>
      </c>
      <c r="AI1" s="29"/>
      <c r="AJ1" s="29"/>
      <c r="AK1" s="29"/>
      <c r="AL1" s="29" t="s">
        <v>343</v>
      </c>
      <c r="AM1" s="29"/>
      <c r="AN1" s="29"/>
      <c r="AO1" s="29"/>
      <c r="AP1" s="29" t="s">
        <v>344</v>
      </c>
      <c r="AQ1" s="29"/>
      <c r="AR1" s="29"/>
      <c r="AS1" s="29"/>
      <c r="AT1" s="29" t="s">
        <v>345</v>
      </c>
      <c r="AU1" s="29"/>
      <c r="AV1" s="29"/>
      <c r="AW1" s="29"/>
      <c r="AX1" s="29" t="s">
        <v>263</v>
      </c>
      <c r="AY1" s="29"/>
      <c r="AZ1" s="29"/>
      <c r="BA1" s="29"/>
    </row>
    <row r="2" spans="1:53" x14ac:dyDescent="0.25">
      <c r="A2" s="29"/>
      <c r="B2" s="29" t="s">
        <v>72</v>
      </c>
      <c r="C2" s="29"/>
      <c r="D2" s="29" t="s">
        <v>257</v>
      </c>
      <c r="E2" s="29"/>
      <c r="F2" s="29" t="s">
        <v>72</v>
      </c>
      <c r="G2" s="29"/>
      <c r="H2" s="29" t="s">
        <v>257</v>
      </c>
      <c r="I2" s="29"/>
      <c r="J2" s="29" t="s">
        <v>72</v>
      </c>
      <c r="K2" s="29"/>
      <c r="L2" s="29" t="s">
        <v>257</v>
      </c>
      <c r="M2" s="29"/>
      <c r="N2" s="29" t="s">
        <v>72</v>
      </c>
      <c r="O2" s="29"/>
      <c r="P2" s="29" t="s">
        <v>257</v>
      </c>
      <c r="Q2" s="29"/>
      <c r="R2" s="29" t="s">
        <v>72</v>
      </c>
      <c r="S2" s="29"/>
      <c r="T2" s="29" t="s">
        <v>257</v>
      </c>
      <c r="U2" s="29"/>
      <c r="V2" s="29" t="s">
        <v>72</v>
      </c>
      <c r="W2" s="29"/>
      <c r="X2" s="29" t="s">
        <v>257</v>
      </c>
      <c r="Y2" s="29"/>
      <c r="Z2" s="29" t="s">
        <v>72</v>
      </c>
      <c r="AA2" s="29"/>
      <c r="AB2" s="29" t="s">
        <v>257</v>
      </c>
      <c r="AC2" s="29"/>
      <c r="AD2" s="29" t="s">
        <v>72</v>
      </c>
      <c r="AE2" s="29"/>
      <c r="AF2" s="29" t="s">
        <v>257</v>
      </c>
      <c r="AG2" s="29"/>
      <c r="AH2" s="29" t="s">
        <v>72</v>
      </c>
      <c r="AI2" s="29"/>
      <c r="AJ2" s="29" t="s">
        <v>257</v>
      </c>
      <c r="AK2" s="29"/>
      <c r="AL2" s="29" t="s">
        <v>72</v>
      </c>
      <c r="AM2" s="29"/>
      <c r="AN2" s="29" t="s">
        <v>257</v>
      </c>
      <c r="AO2" s="29"/>
      <c r="AP2" s="29" t="s">
        <v>72</v>
      </c>
      <c r="AQ2" s="29"/>
      <c r="AR2" s="29" t="s">
        <v>257</v>
      </c>
      <c r="AS2" s="29"/>
      <c r="AT2" s="29" t="s">
        <v>72</v>
      </c>
      <c r="AU2" s="29"/>
      <c r="AV2" s="29" t="s">
        <v>257</v>
      </c>
      <c r="AW2" s="29"/>
      <c r="AX2" s="29" t="s">
        <v>72</v>
      </c>
      <c r="AY2" s="29"/>
      <c r="AZ2" s="29" t="s">
        <v>257</v>
      </c>
      <c r="BA2" s="29"/>
    </row>
    <row r="3" spans="1:53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  <c r="AX3" t="s">
        <v>263</v>
      </c>
      <c r="AY3" t="s">
        <v>264</v>
      </c>
      <c r="AZ3" t="s">
        <v>263</v>
      </c>
      <c r="BA3" t="s">
        <v>264</v>
      </c>
    </row>
    <row r="4" spans="1:53" x14ac:dyDescent="0.25">
      <c r="A4" t="s">
        <v>283</v>
      </c>
      <c r="B4">
        <v>2797</v>
      </c>
      <c r="C4">
        <v>1306</v>
      </c>
      <c r="D4">
        <v>113</v>
      </c>
      <c r="E4">
        <v>41</v>
      </c>
      <c r="F4">
        <v>2067</v>
      </c>
      <c r="G4">
        <v>1003</v>
      </c>
      <c r="H4">
        <v>44</v>
      </c>
      <c r="I4">
        <v>18</v>
      </c>
      <c r="J4">
        <v>1808</v>
      </c>
      <c r="K4">
        <v>850</v>
      </c>
      <c r="L4">
        <v>19</v>
      </c>
      <c r="M4">
        <v>8</v>
      </c>
      <c r="N4">
        <v>1834</v>
      </c>
      <c r="O4">
        <v>897</v>
      </c>
      <c r="P4">
        <v>15</v>
      </c>
      <c r="Q4">
        <v>6</v>
      </c>
      <c r="R4">
        <v>1644</v>
      </c>
      <c r="S4">
        <v>855</v>
      </c>
      <c r="T4">
        <v>10</v>
      </c>
      <c r="U4">
        <v>2</v>
      </c>
      <c r="V4">
        <v>1519</v>
      </c>
      <c r="W4">
        <v>762</v>
      </c>
      <c r="X4">
        <v>3</v>
      </c>
      <c r="Y4">
        <v>0</v>
      </c>
      <c r="Z4">
        <v>1397</v>
      </c>
      <c r="AA4">
        <v>707</v>
      </c>
      <c r="AB4">
        <v>15</v>
      </c>
      <c r="AC4">
        <v>6</v>
      </c>
      <c r="AD4">
        <v>1297</v>
      </c>
      <c r="AE4">
        <v>651</v>
      </c>
      <c r="AF4">
        <v>9</v>
      </c>
      <c r="AG4">
        <v>3</v>
      </c>
      <c r="AH4">
        <v>1216</v>
      </c>
      <c r="AI4">
        <v>644</v>
      </c>
      <c r="AJ4">
        <v>7</v>
      </c>
      <c r="AK4">
        <v>2</v>
      </c>
      <c r="AL4">
        <v>835</v>
      </c>
      <c r="AM4">
        <v>450</v>
      </c>
      <c r="AN4">
        <v>3</v>
      </c>
      <c r="AO4">
        <v>3</v>
      </c>
      <c r="AP4">
        <v>678</v>
      </c>
      <c r="AQ4">
        <v>327</v>
      </c>
      <c r="AR4">
        <v>4</v>
      </c>
      <c r="AS4">
        <v>3</v>
      </c>
      <c r="AT4">
        <v>566</v>
      </c>
      <c r="AU4">
        <v>272</v>
      </c>
      <c r="AV4">
        <v>34</v>
      </c>
      <c r="AW4">
        <v>15</v>
      </c>
      <c r="AX4">
        <v>20437</v>
      </c>
      <c r="AY4">
        <v>10067</v>
      </c>
      <c r="AZ4">
        <v>276</v>
      </c>
      <c r="BA4">
        <v>107</v>
      </c>
    </row>
    <row r="5" spans="1:53" x14ac:dyDescent="0.25">
      <c r="A5" t="s">
        <v>284</v>
      </c>
      <c r="B5">
        <v>960</v>
      </c>
      <c r="C5">
        <v>442</v>
      </c>
      <c r="D5">
        <v>48</v>
      </c>
      <c r="E5">
        <v>27</v>
      </c>
      <c r="F5">
        <v>756</v>
      </c>
      <c r="G5">
        <v>328</v>
      </c>
      <c r="H5">
        <v>10</v>
      </c>
      <c r="I5">
        <v>4</v>
      </c>
      <c r="J5">
        <v>655</v>
      </c>
      <c r="K5">
        <v>313</v>
      </c>
      <c r="L5">
        <v>3</v>
      </c>
      <c r="M5">
        <v>2</v>
      </c>
      <c r="N5">
        <v>648</v>
      </c>
      <c r="O5">
        <v>301</v>
      </c>
      <c r="P5">
        <v>6</v>
      </c>
      <c r="Q5">
        <v>3</v>
      </c>
      <c r="R5">
        <v>532</v>
      </c>
      <c r="S5">
        <v>243</v>
      </c>
      <c r="T5">
        <v>4</v>
      </c>
      <c r="U5">
        <v>0</v>
      </c>
      <c r="V5">
        <v>479</v>
      </c>
      <c r="W5">
        <v>242</v>
      </c>
      <c r="X5">
        <v>1</v>
      </c>
      <c r="Y5">
        <v>0</v>
      </c>
      <c r="Z5">
        <v>627</v>
      </c>
      <c r="AA5">
        <v>310</v>
      </c>
      <c r="AB5">
        <v>5</v>
      </c>
      <c r="AC5">
        <v>2</v>
      </c>
      <c r="AD5">
        <v>612</v>
      </c>
      <c r="AE5">
        <v>321</v>
      </c>
      <c r="AF5">
        <v>7</v>
      </c>
      <c r="AG5">
        <v>2</v>
      </c>
      <c r="AH5">
        <v>636</v>
      </c>
      <c r="AI5">
        <v>331</v>
      </c>
      <c r="AJ5">
        <v>12</v>
      </c>
      <c r="AK5">
        <v>5</v>
      </c>
      <c r="AL5">
        <v>601</v>
      </c>
      <c r="AM5">
        <v>333</v>
      </c>
      <c r="AN5">
        <v>2</v>
      </c>
      <c r="AO5">
        <v>1</v>
      </c>
      <c r="AP5">
        <v>585</v>
      </c>
      <c r="AQ5">
        <v>308</v>
      </c>
      <c r="AR5">
        <v>0</v>
      </c>
      <c r="AS5">
        <v>0</v>
      </c>
      <c r="AT5">
        <v>577</v>
      </c>
      <c r="AU5">
        <v>318</v>
      </c>
      <c r="AV5">
        <v>15</v>
      </c>
      <c r="AW5">
        <v>10</v>
      </c>
      <c r="AX5">
        <v>9270</v>
      </c>
      <c r="AY5">
        <v>4563</v>
      </c>
      <c r="AZ5">
        <v>113</v>
      </c>
      <c r="BA5">
        <v>56</v>
      </c>
    </row>
    <row r="6" spans="1:53" x14ac:dyDescent="0.25">
      <c r="A6" t="s">
        <v>285</v>
      </c>
      <c r="B6">
        <v>493</v>
      </c>
      <c r="C6">
        <v>248</v>
      </c>
      <c r="D6">
        <v>11</v>
      </c>
      <c r="E6">
        <v>6</v>
      </c>
      <c r="F6">
        <v>363</v>
      </c>
      <c r="G6">
        <v>181</v>
      </c>
      <c r="H6">
        <v>11</v>
      </c>
      <c r="I6">
        <v>1</v>
      </c>
      <c r="J6">
        <v>382</v>
      </c>
      <c r="K6">
        <v>192</v>
      </c>
      <c r="L6">
        <v>15</v>
      </c>
      <c r="M6">
        <v>3</v>
      </c>
      <c r="N6">
        <v>405</v>
      </c>
      <c r="O6">
        <v>213</v>
      </c>
      <c r="P6">
        <v>0</v>
      </c>
      <c r="Q6">
        <v>0</v>
      </c>
      <c r="R6">
        <v>330</v>
      </c>
      <c r="S6">
        <v>173</v>
      </c>
      <c r="T6">
        <v>10</v>
      </c>
      <c r="U6">
        <v>5</v>
      </c>
      <c r="V6">
        <v>291</v>
      </c>
      <c r="W6">
        <v>168</v>
      </c>
      <c r="X6">
        <v>0</v>
      </c>
      <c r="Y6">
        <v>0</v>
      </c>
      <c r="Z6">
        <v>232</v>
      </c>
      <c r="AA6">
        <v>128</v>
      </c>
      <c r="AB6">
        <v>2</v>
      </c>
      <c r="AC6">
        <v>0</v>
      </c>
      <c r="AD6">
        <v>244</v>
      </c>
      <c r="AE6">
        <v>120</v>
      </c>
      <c r="AF6">
        <v>0</v>
      </c>
      <c r="AG6">
        <v>0</v>
      </c>
      <c r="AH6">
        <v>266</v>
      </c>
      <c r="AI6">
        <v>138</v>
      </c>
      <c r="AJ6">
        <v>0</v>
      </c>
      <c r="AK6">
        <v>0</v>
      </c>
      <c r="AL6">
        <v>163</v>
      </c>
      <c r="AM6">
        <v>77</v>
      </c>
      <c r="AN6">
        <v>0</v>
      </c>
      <c r="AO6">
        <v>0</v>
      </c>
      <c r="AP6">
        <v>104</v>
      </c>
      <c r="AQ6">
        <v>42</v>
      </c>
      <c r="AR6">
        <v>0</v>
      </c>
      <c r="AS6">
        <v>0</v>
      </c>
      <c r="AT6">
        <v>104</v>
      </c>
      <c r="AU6">
        <v>50</v>
      </c>
      <c r="AV6">
        <v>0</v>
      </c>
      <c r="AW6">
        <v>0</v>
      </c>
      <c r="AX6">
        <v>4195</v>
      </c>
      <c r="AY6">
        <v>2144</v>
      </c>
      <c r="AZ6">
        <v>49</v>
      </c>
      <c r="BA6">
        <v>15</v>
      </c>
    </row>
    <row r="7" spans="1:53" x14ac:dyDescent="0.25">
      <c r="A7" t="s">
        <v>286</v>
      </c>
      <c r="B7">
        <v>441</v>
      </c>
      <c r="C7">
        <v>192</v>
      </c>
      <c r="D7">
        <v>4</v>
      </c>
      <c r="E7">
        <v>3</v>
      </c>
      <c r="F7">
        <v>349</v>
      </c>
      <c r="G7">
        <v>151</v>
      </c>
      <c r="H7">
        <v>3</v>
      </c>
      <c r="I7">
        <v>1</v>
      </c>
      <c r="J7">
        <v>331</v>
      </c>
      <c r="K7">
        <v>158</v>
      </c>
      <c r="L7">
        <v>1</v>
      </c>
      <c r="M7">
        <v>0</v>
      </c>
      <c r="N7">
        <v>299</v>
      </c>
      <c r="O7">
        <v>135</v>
      </c>
      <c r="P7">
        <v>0</v>
      </c>
      <c r="Q7">
        <v>0</v>
      </c>
      <c r="R7">
        <v>305</v>
      </c>
      <c r="S7">
        <v>151</v>
      </c>
      <c r="T7">
        <v>0</v>
      </c>
      <c r="U7">
        <v>0</v>
      </c>
      <c r="V7">
        <v>195</v>
      </c>
      <c r="W7">
        <v>88</v>
      </c>
      <c r="X7">
        <v>0</v>
      </c>
      <c r="Y7">
        <v>0</v>
      </c>
      <c r="Z7">
        <v>241</v>
      </c>
      <c r="AA7">
        <v>88</v>
      </c>
      <c r="AB7">
        <v>1</v>
      </c>
      <c r="AC7">
        <v>0</v>
      </c>
      <c r="AD7">
        <v>208</v>
      </c>
      <c r="AE7">
        <v>77</v>
      </c>
      <c r="AF7">
        <v>0</v>
      </c>
      <c r="AG7">
        <v>0</v>
      </c>
      <c r="AH7">
        <v>207</v>
      </c>
      <c r="AI7">
        <v>87</v>
      </c>
      <c r="AJ7">
        <v>0</v>
      </c>
      <c r="AK7">
        <v>0</v>
      </c>
      <c r="AL7">
        <v>137</v>
      </c>
      <c r="AM7">
        <v>46</v>
      </c>
      <c r="AN7">
        <v>0</v>
      </c>
      <c r="AO7">
        <v>0</v>
      </c>
      <c r="AP7">
        <v>127</v>
      </c>
      <c r="AQ7">
        <v>42</v>
      </c>
      <c r="AR7">
        <v>0</v>
      </c>
      <c r="AS7">
        <v>0</v>
      </c>
      <c r="AT7">
        <v>92</v>
      </c>
      <c r="AU7">
        <v>31</v>
      </c>
      <c r="AV7">
        <v>0</v>
      </c>
      <c r="AW7">
        <v>0</v>
      </c>
      <c r="AX7">
        <v>3706</v>
      </c>
      <c r="AY7">
        <v>1640</v>
      </c>
      <c r="AZ7">
        <v>9</v>
      </c>
      <c r="BA7">
        <v>4</v>
      </c>
    </row>
    <row r="8" spans="1:53" x14ac:dyDescent="0.25">
      <c r="A8" t="s">
        <v>287</v>
      </c>
      <c r="B8">
        <v>1287</v>
      </c>
      <c r="C8">
        <v>614</v>
      </c>
      <c r="D8">
        <v>52</v>
      </c>
      <c r="E8">
        <v>18</v>
      </c>
      <c r="F8">
        <v>1033</v>
      </c>
      <c r="G8">
        <v>512</v>
      </c>
      <c r="H8">
        <v>38</v>
      </c>
      <c r="I8">
        <v>10</v>
      </c>
      <c r="J8">
        <v>801</v>
      </c>
      <c r="K8">
        <v>376</v>
      </c>
      <c r="L8">
        <v>18</v>
      </c>
      <c r="M8">
        <v>4</v>
      </c>
      <c r="N8">
        <v>620</v>
      </c>
      <c r="O8">
        <v>303</v>
      </c>
      <c r="P8">
        <v>9</v>
      </c>
      <c r="Q8">
        <v>3</v>
      </c>
      <c r="R8">
        <v>466</v>
      </c>
      <c r="S8">
        <v>217</v>
      </c>
      <c r="T8">
        <v>13</v>
      </c>
      <c r="U8">
        <v>3</v>
      </c>
      <c r="V8">
        <v>338</v>
      </c>
      <c r="W8">
        <v>173</v>
      </c>
      <c r="X8">
        <v>0</v>
      </c>
      <c r="Y8">
        <v>0</v>
      </c>
      <c r="Z8">
        <v>329</v>
      </c>
      <c r="AA8">
        <v>146</v>
      </c>
      <c r="AB8">
        <v>0</v>
      </c>
      <c r="AC8">
        <v>0</v>
      </c>
      <c r="AD8">
        <v>198</v>
      </c>
      <c r="AE8">
        <v>97</v>
      </c>
      <c r="AF8">
        <v>0</v>
      </c>
      <c r="AG8">
        <v>0</v>
      </c>
      <c r="AH8">
        <v>182</v>
      </c>
      <c r="AI8">
        <v>104</v>
      </c>
      <c r="AJ8">
        <v>0</v>
      </c>
      <c r="AK8">
        <v>0</v>
      </c>
      <c r="AL8">
        <v>91</v>
      </c>
      <c r="AM8">
        <v>44</v>
      </c>
      <c r="AN8">
        <v>0</v>
      </c>
      <c r="AO8">
        <v>0</v>
      </c>
      <c r="AP8">
        <v>74</v>
      </c>
      <c r="AQ8">
        <v>33</v>
      </c>
      <c r="AR8">
        <v>0</v>
      </c>
      <c r="AS8">
        <v>0</v>
      </c>
      <c r="AT8">
        <v>74</v>
      </c>
      <c r="AU8">
        <v>43</v>
      </c>
      <c r="AV8">
        <v>6</v>
      </c>
      <c r="AW8">
        <v>3</v>
      </c>
      <c r="AX8">
        <v>7781</v>
      </c>
      <c r="AY8">
        <v>3746</v>
      </c>
      <c r="AZ8">
        <v>136</v>
      </c>
      <c r="BA8">
        <v>41</v>
      </c>
    </row>
    <row r="9" spans="1:53" x14ac:dyDescent="0.25">
      <c r="A9" t="s">
        <v>288</v>
      </c>
      <c r="B9">
        <v>899</v>
      </c>
      <c r="C9">
        <v>431</v>
      </c>
      <c r="D9">
        <v>35</v>
      </c>
      <c r="E9">
        <v>13</v>
      </c>
      <c r="F9">
        <v>647</v>
      </c>
      <c r="G9">
        <v>308</v>
      </c>
      <c r="H9">
        <v>41</v>
      </c>
      <c r="I9">
        <v>20</v>
      </c>
      <c r="J9">
        <v>425</v>
      </c>
      <c r="K9">
        <v>204</v>
      </c>
      <c r="L9">
        <v>30</v>
      </c>
      <c r="M9">
        <v>16</v>
      </c>
      <c r="N9">
        <v>385</v>
      </c>
      <c r="O9">
        <v>167</v>
      </c>
      <c r="P9">
        <v>15</v>
      </c>
      <c r="Q9">
        <v>7</v>
      </c>
      <c r="R9">
        <v>283</v>
      </c>
      <c r="S9">
        <v>144</v>
      </c>
      <c r="T9">
        <v>17</v>
      </c>
      <c r="U9">
        <v>11</v>
      </c>
      <c r="V9">
        <v>299</v>
      </c>
      <c r="W9">
        <v>156</v>
      </c>
      <c r="X9">
        <v>18</v>
      </c>
      <c r="Y9">
        <v>10</v>
      </c>
      <c r="Z9">
        <v>219</v>
      </c>
      <c r="AA9">
        <v>115</v>
      </c>
      <c r="AB9">
        <v>0</v>
      </c>
      <c r="AC9">
        <v>0</v>
      </c>
      <c r="AD9">
        <v>203</v>
      </c>
      <c r="AE9">
        <v>111</v>
      </c>
      <c r="AF9">
        <v>0</v>
      </c>
      <c r="AG9">
        <v>0</v>
      </c>
      <c r="AH9">
        <v>135</v>
      </c>
      <c r="AI9">
        <v>63</v>
      </c>
      <c r="AJ9">
        <v>3</v>
      </c>
      <c r="AK9">
        <v>0</v>
      </c>
      <c r="AL9">
        <v>91</v>
      </c>
      <c r="AM9">
        <v>43</v>
      </c>
      <c r="AN9">
        <v>0</v>
      </c>
      <c r="AO9">
        <v>0</v>
      </c>
      <c r="AP9">
        <v>88</v>
      </c>
      <c r="AQ9">
        <v>38</v>
      </c>
      <c r="AR9">
        <v>0</v>
      </c>
      <c r="AS9">
        <v>0</v>
      </c>
      <c r="AT9">
        <v>49</v>
      </c>
      <c r="AU9">
        <v>25</v>
      </c>
      <c r="AV9">
        <v>1</v>
      </c>
      <c r="AW9">
        <v>1</v>
      </c>
      <c r="AX9">
        <v>4551</v>
      </c>
      <c r="AY9">
        <v>2205</v>
      </c>
      <c r="AZ9">
        <v>160</v>
      </c>
      <c r="BA9">
        <v>78</v>
      </c>
    </row>
    <row r="10" spans="1:53" x14ac:dyDescent="0.25">
      <c r="A10" t="s">
        <v>289</v>
      </c>
      <c r="B10">
        <v>1365</v>
      </c>
      <c r="C10">
        <v>723</v>
      </c>
      <c r="D10">
        <v>21</v>
      </c>
      <c r="E10">
        <v>10</v>
      </c>
      <c r="F10">
        <v>1077</v>
      </c>
      <c r="G10">
        <v>580</v>
      </c>
      <c r="H10">
        <v>18</v>
      </c>
      <c r="I10">
        <v>7</v>
      </c>
      <c r="J10">
        <v>1025</v>
      </c>
      <c r="K10">
        <v>549</v>
      </c>
      <c r="L10">
        <v>8</v>
      </c>
      <c r="M10">
        <v>7</v>
      </c>
      <c r="N10">
        <v>719</v>
      </c>
      <c r="O10">
        <v>382</v>
      </c>
      <c r="P10">
        <v>3</v>
      </c>
      <c r="Q10">
        <v>2</v>
      </c>
      <c r="R10">
        <v>492</v>
      </c>
      <c r="S10">
        <v>274</v>
      </c>
      <c r="T10">
        <v>1</v>
      </c>
      <c r="U10">
        <v>1</v>
      </c>
      <c r="V10">
        <v>442</v>
      </c>
      <c r="W10">
        <v>229</v>
      </c>
      <c r="X10">
        <v>5</v>
      </c>
      <c r="Y10">
        <v>5</v>
      </c>
      <c r="Z10">
        <v>597</v>
      </c>
      <c r="AA10">
        <v>300</v>
      </c>
      <c r="AB10">
        <v>12</v>
      </c>
      <c r="AC10">
        <v>11</v>
      </c>
      <c r="AD10">
        <v>449</v>
      </c>
      <c r="AE10">
        <v>221</v>
      </c>
      <c r="AF10">
        <v>3</v>
      </c>
      <c r="AG10">
        <v>1</v>
      </c>
      <c r="AH10">
        <v>502</v>
      </c>
      <c r="AI10">
        <v>250</v>
      </c>
      <c r="AJ10">
        <v>3</v>
      </c>
      <c r="AK10">
        <v>2</v>
      </c>
      <c r="AL10">
        <v>392</v>
      </c>
      <c r="AM10">
        <v>201</v>
      </c>
      <c r="AN10">
        <v>1</v>
      </c>
      <c r="AO10">
        <v>1</v>
      </c>
      <c r="AP10">
        <v>375</v>
      </c>
      <c r="AQ10">
        <v>215</v>
      </c>
      <c r="AR10">
        <v>0</v>
      </c>
      <c r="AS10">
        <v>0</v>
      </c>
      <c r="AT10">
        <v>379</v>
      </c>
      <c r="AU10">
        <v>195</v>
      </c>
      <c r="AV10">
        <v>0</v>
      </c>
      <c r="AW10">
        <v>0</v>
      </c>
      <c r="AX10">
        <v>8698</v>
      </c>
      <c r="AY10">
        <v>4592</v>
      </c>
      <c r="AZ10">
        <v>75</v>
      </c>
      <c r="BA10">
        <v>47</v>
      </c>
    </row>
    <row r="11" spans="1:53" x14ac:dyDescent="0.25">
      <c r="A11" t="s">
        <v>290</v>
      </c>
      <c r="B11">
        <v>1844</v>
      </c>
      <c r="C11">
        <v>929</v>
      </c>
      <c r="D11">
        <v>73</v>
      </c>
      <c r="E11">
        <v>32</v>
      </c>
      <c r="F11">
        <v>1462</v>
      </c>
      <c r="G11">
        <v>735</v>
      </c>
      <c r="H11">
        <v>26</v>
      </c>
      <c r="I11">
        <v>12</v>
      </c>
      <c r="J11">
        <v>1338</v>
      </c>
      <c r="K11">
        <v>676</v>
      </c>
      <c r="L11">
        <v>37</v>
      </c>
      <c r="M11">
        <v>14</v>
      </c>
      <c r="N11">
        <v>1149</v>
      </c>
      <c r="O11">
        <v>601</v>
      </c>
      <c r="P11">
        <v>20</v>
      </c>
      <c r="Q11">
        <v>8</v>
      </c>
      <c r="R11">
        <v>906</v>
      </c>
      <c r="S11">
        <v>446</v>
      </c>
      <c r="T11">
        <v>28</v>
      </c>
      <c r="U11">
        <v>12</v>
      </c>
      <c r="V11">
        <v>763</v>
      </c>
      <c r="W11">
        <v>426</v>
      </c>
      <c r="X11">
        <v>22</v>
      </c>
      <c r="Y11">
        <v>7</v>
      </c>
      <c r="Z11">
        <v>879</v>
      </c>
      <c r="AA11">
        <v>367</v>
      </c>
      <c r="AB11">
        <v>4</v>
      </c>
      <c r="AC11">
        <v>2</v>
      </c>
      <c r="AD11">
        <v>805</v>
      </c>
      <c r="AE11">
        <v>388</v>
      </c>
      <c r="AF11">
        <v>2</v>
      </c>
      <c r="AG11">
        <v>1</v>
      </c>
      <c r="AH11">
        <v>772</v>
      </c>
      <c r="AI11">
        <v>379</v>
      </c>
      <c r="AJ11">
        <v>2</v>
      </c>
      <c r="AK11">
        <v>0</v>
      </c>
      <c r="AL11">
        <v>648</v>
      </c>
      <c r="AM11">
        <v>316</v>
      </c>
      <c r="AN11">
        <v>1</v>
      </c>
      <c r="AO11">
        <v>1</v>
      </c>
      <c r="AP11">
        <v>512</v>
      </c>
      <c r="AQ11">
        <v>221</v>
      </c>
      <c r="AR11">
        <v>2</v>
      </c>
      <c r="AS11">
        <v>0</v>
      </c>
      <c r="AT11">
        <v>494</v>
      </c>
      <c r="AU11">
        <v>241</v>
      </c>
      <c r="AV11">
        <v>5</v>
      </c>
      <c r="AW11">
        <v>1</v>
      </c>
      <c r="AX11">
        <v>14542</v>
      </c>
      <c r="AY11">
        <v>7164</v>
      </c>
      <c r="AZ11">
        <v>222</v>
      </c>
      <c r="BA11">
        <v>90</v>
      </c>
    </row>
    <row r="12" spans="1:53" x14ac:dyDescent="0.25">
      <c r="A12" t="s">
        <v>291</v>
      </c>
      <c r="B12">
        <v>214</v>
      </c>
      <c r="C12">
        <v>116</v>
      </c>
      <c r="D12">
        <v>0</v>
      </c>
      <c r="E12">
        <v>0</v>
      </c>
      <c r="F12">
        <v>135</v>
      </c>
      <c r="G12">
        <v>82</v>
      </c>
      <c r="H12">
        <v>0</v>
      </c>
      <c r="I12">
        <v>0</v>
      </c>
      <c r="J12">
        <v>83</v>
      </c>
      <c r="K12">
        <v>49</v>
      </c>
      <c r="L12">
        <v>0</v>
      </c>
      <c r="M12">
        <v>0</v>
      </c>
      <c r="N12">
        <v>32</v>
      </c>
      <c r="O12">
        <v>17</v>
      </c>
      <c r="P12">
        <v>0</v>
      </c>
      <c r="Q12">
        <v>0</v>
      </c>
      <c r="R12">
        <v>19</v>
      </c>
      <c r="S12">
        <v>12</v>
      </c>
      <c r="T12">
        <v>0</v>
      </c>
      <c r="U12">
        <v>0</v>
      </c>
      <c r="V12">
        <v>16</v>
      </c>
      <c r="W12">
        <v>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536</v>
      </c>
      <c r="AY12">
        <v>300</v>
      </c>
      <c r="AZ12">
        <v>0</v>
      </c>
      <c r="BA12">
        <v>0</v>
      </c>
    </row>
    <row r="13" spans="1:53" x14ac:dyDescent="0.25">
      <c r="A13" t="s">
        <v>292</v>
      </c>
      <c r="B13">
        <v>430</v>
      </c>
      <c r="C13">
        <v>218</v>
      </c>
      <c r="D13">
        <v>2</v>
      </c>
      <c r="E13">
        <v>1</v>
      </c>
      <c r="F13">
        <v>283</v>
      </c>
      <c r="G13">
        <v>157</v>
      </c>
      <c r="H13">
        <v>3</v>
      </c>
      <c r="I13">
        <v>1</v>
      </c>
      <c r="J13">
        <v>305</v>
      </c>
      <c r="K13">
        <v>145</v>
      </c>
      <c r="L13">
        <v>2</v>
      </c>
      <c r="M13">
        <v>1</v>
      </c>
      <c r="N13">
        <v>234</v>
      </c>
      <c r="O13">
        <v>121</v>
      </c>
      <c r="P13">
        <v>2</v>
      </c>
      <c r="Q13">
        <v>1</v>
      </c>
      <c r="R13">
        <v>193</v>
      </c>
      <c r="S13">
        <v>106</v>
      </c>
      <c r="T13">
        <v>1</v>
      </c>
      <c r="U13">
        <v>0</v>
      </c>
      <c r="V13">
        <v>166</v>
      </c>
      <c r="W13">
        <v>87</v>
      </c>
      <c r="X13">
        <v>0</v>
      </c>
      <c r="Y13">
        <v>0</v>
      </c>
      <c r="Z13">
        <v>46</v>
      </c>
      <c r="AA13">
        <v>28</v>
      </c>
      <c r="AB13">
        <v>0</v>
      </c>
      <c r="AC13">
        <v>0</v>
      </c>
      <c r="AD13">
        <v>52</v>
      </c>
      <c r="AE13">
        <v>18</v>
      </c>
      <c r="AF13">
        <v>0</v>
      </c>
      <c r="AG13">
        <v>0</v>
      </c>
      <c r="AH13">
        <v>61</v>
      </c>
      <c r="AI13">
        <v>35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2307</v>
      </c>
      <c r="AY13">
        <v>1189</v>
      </c>
      <c r="AZ13">
        <v>10</v>
      </c>
      <c r="BA13">
        <v>4</v>
      </c>
    </row>
    <row r="14" spans="1:53" x14ac:dyDescent="0.25">
      <c r="A14" t="s">
        <v>293</v>
      </c>
      <c r="B14">
        <v>523</v>
      </c>
      <c r="C14">
        <v>319</v>
      </c>
      <c r="D14">
        <v>0</v>
      </c>
      <c r="E14">
        <v>0</v>
      </c>
      <c r="F14">
        <v>168</v>
      </c>
      <c r="G14">
        <v>97</v>
      </c>
      <c r="H14">
        <v>2</v>
      </c>
      <c r="I14">
        <v>0</v>
      </c>
      <c r="J14">
        <v>104</v>
      </c>
      <c r="K14">
        <v>63</v>
      </c>
      <c r="L14">
        <v>0</v>
      </c>
      <c r="M14">
        <v>0</v>
      </c>
      <c r="N14">
        <v>43</v>
      </c>
      <c r="O14">
        <v>16</v>
      </c>
      <c r="P14">
        <v>0</v>
      </c>
      <c r="Q14">
        <v>0</v>
      </c>
      <c r="R14">
        <v>39</v>
      </c>
      <c r="S14">
        <v>18</v>
      </c>
      <c r="T14">
        <v>1</v>
      </c>
      <c r="U14">
        <v>0</v>
      </c>
      <c r="V14">
        <v>15</v>
      </c>
      <c r="W14">
        <v>5</v>
      </c>
      <c r="X14">
        <v>0</v>
      </c>
      <c r="Y14">
        <v>0</v>
      </c>
      <c r="Z14">
        <v>21</v>
      </c>
      <c r="AA14">
        <v>12</v>
      </c>
      <c r="AB14">
        <v>0</v>
      </c>
      <c r="AC14">
        <v>0</v>
      </c>
      <c r="AD14">
        <v>13</v>
      </c>
      <c r="AE14">
        <v>6</v>
      </c>
      <c r="AF14">
        <v>0</v>
      </c>
      <c r="AG14">
        <v>0</v>
      </c>
      <c r="AH14">
        <v>24</v>
      </c>
      <c r="AI14">
        <v>11</v>
      </c>
      <c r="AJ14">
        <v>0</v>
      </c>
      <c r="AK14">
        <v>0</v>
      </c>
      <c r="AL14">
        <v>14</v>
      </c>
      <c r="AM14">
        <v>4</v>
      </c>
      <c r="AN14">
        <v>0</v>
      </c>
      <c r="AO14">
        <v>0</v>
      </c>
      <c r="AP14">
        <v>20</v>
      </c>
      <c r="AQ14">
        <v>13</v>
      </c>
      <c r="AR14">
        <v>0</v>
      </c>
      <c r="AS14">
        <v>0</v>
      </c>
      <c r="AT14">
        <v>25</v>
      </c>
      <c r="AU14">
        <v>14</v>
      </c>
      <c r="AV14">
        <v>1</v>
      </c>
      <c r="AW14">
        <v>1</v>
      </c>
      <c r="AX14">
        <v>1192</v>
      </c>
      <c r="AY14">
        <v>662</v>
      </c>
      <c r="AZ14">
        <v>4</v>
      </c>
      <c r="BA14">
        <v>1</v>
      </c>
    </row>
    <row r="15" spans="1:53" x14ac:dyDescent="0.25">
      <c r="A15" t="s">
        <v>294</v>
      </c>
      <c r="B15">
        <v>94</v>
      </c>
      <c r="C15">
        <v>44</v>
      </c>
      <c r="D15">
        <v>3</v>
      </c>
      <c r="E15">
        <v>2</v>
      </c>
      <c r="F15">
        <v>59</v>
      </c>
      <c r="G15">
        <v>27</v>
      </c>
      <c r="H15">
        <v>1</v>
      </c>
      <c r="I15">
        <v>1</v>
      </c>
      <c r="J15">
        <v>56</v>
      </c>
      <c r="K15">
        <v>20</v>
      </c>
      <c r="L15">
        <v>1</v>
      </c>
      <c r="M15">
        <v>0</v>
      </c>
      <c r="N15">
        <v>39</v>
      </c>
      <c r="O15">
        <v>20</v>
      </c>
      <c r="P15">
        <v>0</v>
      </c>
      <c r="Q15">
        <v>0</v>
      </c>
      <c r="R15">
        <v>32</v>
      </c>
      <c r="S15">
        <v>14</v>
      </c>
      <c r="T15">
        <v>1</v>
      </c>
      <c r="U15">
        <v>0</v>
      </c>
      <c r="V15">
        <v>23</v>
      </c>
      <c r="W15">
        <v>11</v>
      </c>
      <c r="X15">
        <v>0</v>
      </c>
      <c r="Y15">
        <v>0</v>
      </c>
      <c r="Z15">
        <v>35</v>
      </c>
      <c r="AA15">
        <v>12</v>
      </c>
      <c r="AB15">
        <v>2</v>
      </c>
      <c r="AC15">
        <v>1</v>
      </c>
      <c r="AD15">
        <v>37</v>
      </c>
      <c r="AE15">
        <v>14</v>
      </c>
      <c r="AF15">
        <v>0</v>
      </c>
      <c r="AG15">
        <v>0</v>
      </c>
      <c r="AH15">
        <v>29</v>
      </c>
      <c r="AI15">
        <v>12</v>
      </c>
      <c r="AJ15">
        <v>0</v>
      </c>
      <c r="AK15">
        <v>0</v>
      </c>
      <c r="AL15">
        <v>18</v>
      </c>
      <c r="AM15">
        <v>10</v>
      </c>
      <c r="AN15">
        <v>0</v>
      </c>
      <c r="AO15">
        <v>0</v>
      </c>
      <c r="AP15">
        <v>15</v>
      </c>
      <c r="AQ15">
        <v>5</v>
      </c>
      <c r="AR15">
        <v>0</v>
      </c>
      <c r="AS15">
        <v>0</v>
      </c>
      <c r="AT15">
        <v>13</v>
      </c>
      <c r="AU15">
        <v>7</v>
      </c>
      <c r="AV15">
        <v>0</v>
      </c>
      <c r="AW15">
        <v>0</v>
      </c>
      <c r="AX15">
        <v>550</v>
      </c>
      <c r="AY15">
        <v>251</v>
      </c>
      <c r="AZ15">
        <v>8</v>
      </c>
      <c r="BA15">
        <v>4</v>
      </c>
    </row>
    <row r="16" spans="1:53" x14ac:dyDescent="0.25">
      <c r="A16" t="s">
        <v>295</v>
      </c>
      <c r="B16">
        <v>445</v>
      </c>
      <c r="C16">
        <v>211</v>
      </c>
      <c r="D16">
        <v>16</v>
      </c>
      <c r="E16">
        <v>7</v>
      </c>
      <c r="F16">
        <v>334</v>
      </c>
      <c r="G16">
        <v>156</v>
      </c>
      <c r="H16">
        <v>14</v>
      </c>
      <c r="I16">
        <v>3</v>
      </c>
      <c r="J16">
        <v>262</v>
      </c>
      <c r="K16">
        <v>111</v>
      </c>
      <c r="L16">
        <v>4</v>
      </c>
      <c r="M16">
        <v>2</v>
      </c>
      <c r="N16">
        <v>298</v>
      </c>
      <c r="O16">
        <v>125</v>
      </c>
      <c r="P16">
        <v>0</v>
      </c>
      <c r="Q16">
        <v>0</v>
      </c>
      <c r="R16">
        <v>202</v>
      </c>
      <c r="S16">
        <v>102</v>
      </c>
      <c r="T16">
        <v>0</v>
      </c>
      <c r="U16">
        <v>0</v>
      </c>
      <c r="V16">
        <v>157</v>
      </c>
      <c r="W16">
        <v>70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2008</v>
      </c>
      <c r="AY16">
        <v>930</v>
      </c>
      <c r="AZ16">
        <v>34</v>
      </c>
      <c r="BA16">
        <v>12</v>
      </c>
    </row>
    <row r="17" spans="1:53" x14ac:dyDescent="0.25">
      <c r="A17" t="s">
        <v>296</v>
      </c>
      <c r="B17">
        <v>340</v>
      </c>
      <c r="C17">
        <v>167</v>
      </c>
      <c r="D17">
        <v>10</v>
      </c>
      <c r="E17">
        <v>4</v>
      </c>
      <c r="F17">
        <v>264</v>
      </c>
      <c r="G17">
        <v>127</v>
      </c>
      <c r="H17">
        <v>3</v>
      </c>
      <c r="I17">
        <v>1</v>
      </c>
      <c r="J17">
        <v>229</v>
      </c>
      <c r="K17">
        <v>105</v>
      </c>
      <c r="L17">
        <v>2</v>
      </c>
      <c r="M17">
        <v>1</v>
      </c>
      <c r="N17">
        <v>148</v>
      </c>
      <c r="O17">
        <v>69</v>
      </c>
      <c r="P17">
        <v>0</v>
      </c>
      <c r="Q17">
        <v>0</v>
      </c>
      <c r="R17">
        <v>134</v>
      </c>
      <c r="S17">
        <v>67</v>
      </c>
      <c r="T17">
        <v>2</v>
      </c>
      <c r="U17">
        <v>1</v>
      </c>
      <c r="V17">
        <v>124</v>
      </c>
      <c r="W17">
        <v>73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1721</v>
      </c>
      <c r="AY17">
        <v>835</v>
      </c>
      <c r="AZ17">
        <v>17</v>
      </c>
      <c r="BA17">
        <v>7</v>
      </c>
    </row>
    <row r="18" spans="1:53" x14ac:dyDescent="0.25">
      <c r="A18" t="s">
        <v>297</v>
      </c>
      <c r="B18">
        <v>14064</v>
      </c>
      <c r="C18">
        <v>6772</v>
      </c>
      <c r="D18">
        <v>303</v>
      </c>
      <c r="E18">
        <v>152</v>
      </c>
      <c r="F18">
        <v>11589</v>
      </c>
      <c r="G18">
        <v>5851</v>
      </c>
      <c r="H18">
        <v>181</v>
      </c>
      <c r="I18">
        <v>101</v>
      </c>
      <c r="J18">
        <v>10893</v>
      </c>
      <c r="K18">
        <v>5401</v>
      </c>
      <c r="L18">
        <v>236</v>
      </c>
      <c r="M18">
        <v>114</v>
      </c>
      <c r="N18">
        <v>10790</v>
      </c>
      <c r="O18">
        <v>5318</v>
      </c>
      <c r="P18">
        <v>127</v>
      </c>
      <c r="Q18">
        <v>64</v>
      </c>
      <c r="R18">
        <v>9139</v>
      </c>
      <c r="S18">
        <v>4563</v>
      </c>
      <c r="T18">
        <v>110</v>
      </c>
      <c r="U18">
        <v>53</v>
      </c>
      <c r="V18">
        <v>7473</v>
      </c>
      <c r="W18">
        <v>3832</v>
      </c>
      <c r="X18">
        <v>54</v>
      </c>
      <c r="Y18">
        <v>51</v>
      </c>
      <c r="Z18">
        <v>7696</v>
      </c>
      <c r="AA18">
        <v>3857</v>
      </c>
      <c r="AB18">
        <v>53</v>
      </c>
      <c r="AC18">
        <v>32</v>
      </c>
      <c r="AD18">
        <v>7213</v>
      </c>
      <c r="AE18">
        <v>3686</v>
      </c>
      <c r="AF18">
        <v>43</v>
      </c>
      <c r="AG18">
        <v>15</v>
      </c>
      <c r="AH18">
        <v>6721</v>
      </c>
      <c r="AI18">
        <v>3614</v>
      </c>
      <c r="AJ18">
        <v>48</v>
      </c>
      <c r="AK18">
        <v>17</v>
      </c>
      <c r="AL18">
        <v>5461</v>
      </c>
      <c r="AM18">
        <v>2750</v>
      </c>
      <c r="AN18">
        <v>14</v>
      </c>
      <c r="AO18">
        <v>5</v>
      </c>
      <c r="AP18">
        <v>5026</v>
      </c>
      <c r="AQ18">
        <v>2623</v>
      </c>
      <c r="AR18">
        <v>11</v>
      </c>
      <c r="AS18">
        <v>4</v>
      </c>
      <c r="AT18">
        <v>4482</v>
      </c>
      <c r="AU18">
        <v>2366</v>
      </c>
      <c r="AV18">
        <v>7</v>
      </c>
      <c r="AW18">
        <v>0</v>
      </c>
      <c r="AX18">
        <v>117304</v>
      </c>
      <c r="AY18">
        <v>59085</v>
      </c>
      <c r="AZ18">
        <v>1187</v>
      </c>
      <c r="BA18">
        <v>608</v>
      </c>
    </row>
    <row r="19" spans="1:53" x14ac:dyDescent="0.25">
      <c r="A19" t="s">
        <v>298</v>
      </c>
      <c r="B19">
        <v>1346</v>
      </c>
      <c r="C19">
        <v>654</v>
      </c>
      <c r="D19">
        <v>112</v>
      </c>
      <c r="E19">
        <v>53</v>
      </c>
      <c r="F19">
        <v>1034</v>
      </c>
      <c r="G19">
        <v>507</v>
      </c>
      <c r="H19">
        <v>36</v>
      </c>
      <c r="I19">
        <v>14</v>
      </c>
      <c r="J19">
        <v>795</v>
      </c>
      <c r="K19">
        <v>373</v>
      </c>
      <c r="L19">
        <v>13</v>
      </c>
      <c r="M19">
        <v>2</v>
      </c>
      <c r="N19">
        <v>644</v>
      </c>
      <c r="O19">
        <v>345</v>
      </c>
      <c r="P19">
        <v>11</v>
      </c>
      <c r="Q19">
        <v>4</v>
      </c>
      <c r="R19">
        <v>590</v>
      </c>
      <c r="S19">
        <v>276</v>
      </c>
      <c r="T19">
        <v>2</v>
      </c>
      <c r="U19">
        <v>0</v>
      </c>
      <c r="V19">
        <v>453</v>
      </c>
      <c r="W19">
        <v>226</v>
      </c>
      <c r="X19">
        <v>5</v>
      </c>
      <c r="Y19">
        <v>2</v>
      </c>
      <c r="Z19">
        <v>418</v>
      </c>
      <c r="AA19">
        <v>189</v>
      </c>
      <c r="AB19">
        <v>0</v>
      </c>
      <c r="AC19">
        <v>0</v>
      </c>
      <c r="AD19">
        <v>383</v>
      </c>
      <c r="AE19">
        <v>187</v>
      </c>
      <c r="AF19">
        <v>0</v>
      </c>
      <c r="AG19">
        <v>0</v>
      </c>
      <c r="AH19">
        <v>372</v>
      </c>
      <c r="AI19">
        <v>174</v>
      </c>
      <c r="AJ19">
        <v>4</v>
      </c>
      <c r="AK19">
        <v>1</v>
      </c>
      <c r="AL19">
        <v>311</v>
      </c>
      <c r="AM19">
        <v>145</v>
      </c>
      <c r="AN19">
        <v>0</v>
      </c>
      <c r="AO19">
        <v>0</v>
      </c>
      <c r="AP19">
        <v>256</v>
      </c>
      <c r="AQ19">
        <v>115</v>
      </c>
      <c r="AR19">
        <v>0</v>
      </c>
      <c r="AS19">
        <v>0</v>
      </c>
      <c r="AT19">
        <v>266</v>
      </c>
      <c r="AU19">
        <v>128</v>
      </c>
      <c r="AV19">
        <v>1</v>
      </c>
      <c r="AW19">
        <v>0</v>
      </c>
      <c r="AX19">
        <v>8573</v>
      </c>
      <c r="AY19">
        <v>4126</v>
      </c>
      <c r="AZ19">
        <v>184</v>
      </c>
      <c r="BA19">
        <v>76</v>
      </c>
    </row>
    <row r="20" spans="1:53" x14ac:dyDescent="0.25">
      <c r="A20" t="s">
        <v>299</v>
      </c>
      <c r="B20">
        <v>63</v>
      </c>
      <c r="C20">
        <v>26</v>
      </c>
      <c r="D20">
        <v>3</v>
      </c>
      <c r="E20">
        <v>1</v>
      </c>
      <c r="F20">
        <v>18</v>
      </c>
      <c r="G20">
        <v>14</v>
      </c>
      <c r="H20">
        <v>0</v>
      </c>
      <c r="I20">
        <v>0</v>
      </c>
      <c r="J20">
        <v>11</v>
      </c>
      <c r="K20">
        <v>5</v>
      </c>
      <c r="L20">
        <v>1</v>
      </c>
      <c r="M20">
        <v>0</v>
      </c>
      <c r="N20">
        <v>14</v>
      </c>
      <c r="O20">
        <v>8</v>
      </c>
      <c r="P20">
        <v>0</v>
      </c>
      <c r="Q20">
        <v>0</v>
      </c>
      <c r="R20">
        <v>13</v>
      </c>
      <c r="S20">
        <v>5</v>
      </c>
      <c r="T20">
        <v>0</v>
      </c>
      <c r="U20">
        <v>0</v>
      </c>
      <c r="V20">
        <v>7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180</v>
      </c>
      <c r="AY20">
        <v>83</v>
      </c>
      <c r="AZ20">
        <v>4</v>
      </c>
      <c r="BA20">
        <v>1</v>
      </c>
    </row>
    <row r="21" spans="1:53" x14ac:dyDescent="0.25">
      <c r="A21" t="s">
        <v>300</v>
      </c>
      <c r="B21">
        <v>14</v>
      </c>
      <c r="C2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12</v>
      </c>
      <c r="K21">
        <v>4</v>
      </c>
      <c r="L21">
        <v>0</v>
      </c>
      <c r="M21">
        <v>0</v>
      </c>
      <c r="N21">
        <v>7</v>
      </c>
      <c r="O21">
        <v>5</v>
      </c>
      <c r="P21">
        <v>0</v>
      </c>
      <c r="Q21">
        <v>0</v>
      </c>
      <c r="R21">
        <v>2</v>
      </c>
      <c r="S21">
        <v>1</v>
      </c>
      <c r="T21">
        <v>0</v>
      </c>
      <c r="U21">
        <v>0</v>
      </c>
      <c r="V21">
        <v>2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45</v>
      </c>
      <c r="AM21">
        <v>29</v>
      </c>
      <c r="AN21">
        <v>0</v>
      </c>
      <c r="AO21">
        <v>0</v>
      </c>
      <c r="AP21">
        <v>45</v>
      </c>
      <c r="AQ21">
        <v>26</v>
      </c>
      <c r="AR21">
        <v>0</v>
      </c>
      <c r="AS21">
        <v>0</v>
      </c>
      <c r="AT21">
        <v>45</v>
      </c>
      <c r="AU21">
        <v>31</v>
      </c>
      <c r="AV21">
        <v>0</v>
      </c>
      <c r="AW21">
        <v>0</v>
      </c>
      <c r="AX21">
        <v>247</v>
      </c>
      <c r="AY21">
        <v>145</v>
      </c>
      <c r="AZ21">
        <v>0</v>
      </c>
      <c r="BA21">
        <v>0</v>
      </c>
    </row>
    <row r="22" spans="1:53" x14ac:dyDescent="0.25">
      <c r="A22" t="s">
        <v>301</v>
      </c>
      <c r="B22">
        <v>61</v>
      </c>
      <c r="C22">
        <v>35</v>
      </c>
      <c r="D22">
        <v>0</v>
      </c>
      <c r="E22">
        <v>0</v>
      </c>
      <c r="F22">
        <v>34</v>
      </c>
      <c r="G22">
        <v>19</v>
      </c>
      <c r="H22">
        <v>0</v>
      </c>
      <c r="I22">
        <v>0</v>
      </c>
      <c r="J22">
        <v>16</v>
      </c>
      <c r="K22">
        <v>8</v>
      </c>
      <c r="L22">
        <v>0</v>
      </c>
      <c r="M22">
        <v>0</v>
      </c>
      <c r="N22">
        <v>8</v>
      </c>
      <c r="O22">
        <v>4</v>
      </c>
      <c r="P22">
        <v>0</v>
      </c>
      <c r="Q22">
        <v>0</v>
      </c>
      <c r="R22">
        <v>3</v>
      </c>
      <c r="S22">
        <v>1</v>
      </c>
      <c r="T22">
        <v>0</v>
      </c>
      <c r="U22">
        <v>0</v>
      </c>
      <c r="V22">
        <v>8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710</v>
      </c>
      <c r="AY22">
        <v>366</v>
      </c>
      <c r="AZ22">
        <v>0</v>
      </c>
      <c r="BA22">
        <v>0</v>
      </c>
    </row>
    <row r="23" spans="1:53" x14ac:dyDescent="0.25">
      <c r="A23" t="s">
        <v>302</v>
      </c>
      <c r="B23">
        <v>343</v>
      </c>
      <c r="C23">
        <v>140</v>
      </c>
      <c r="D23">
        <v>0</v>
      </c>
      <c r="E23">
        <v>0</v>
      </c>
      <c r="F23">
        <v>212</v>
      </c>
      <c r="G23">
        <v>88</v>
      </c>
      <c r="H23">
        <v>0</v>
      </c>
      <c r="I23">
        <v>0</v>
      </c>
      <c r="J23">
        <v>135</v>
      </c>
      <c r="K23">
        <v>77</v>
      </c>
      <c r="L23">
        <v>0</v>
      </c>
      <c r="M23">
        <v>0</v>
      </c>
      <c r="N23">
        <v>168</v>
      </c>
      <c r="O23">
        <v>83</v>
      </c>
      <c r="P23">
        <v>0</v>
      </c>
      <c r="Q23">
        <v>0</v>
      </c>
      <c r="R23">
        <v>160</v>
      </c>
      <c r="S23">
        <v>89</v>
      </c>
      <c r="T23">
        <v>0</v>
      </c>
      <c r="U23">
        <v>0</v>
      </c>
      <c r="V23">
        <v>117</v>
      </c>
      <c r="W23">
        <v>61</v>
      </c>
      <c r="X23">
        <v>0</v>
      </c>
      <c r="Y23">
        <v>0</v>
      </c>
      <c r="Z23">
        <v>125</v>
      </c>
      <c r="AA23">
        <v>51</v>
      </c>
      <c r="AB23">
        <v>0</v>
      </c>
      <c r="AC23">
        <v>0</v>
      </c>
      <c r="AD23">
        <v>102</v>
      </c>
      <c r="AE23">
        <v>48</v>
      </c>
      <c r="AF23">
        <v>1</v>
      </c>
      <c r="AG23">
        <v>0</v>
      </c>
      <c r="AH23">
        <v>86</v>
      </c>
      <c r="AI23">
        <v>40</v>
      </c>
      <c r="AJ23">
        <v>0</v>
      </c>
      <c r="AK23">
        <v>0</v>
      </c>
      <c r="AL23">
        <v>76</v>
      </c>
      <c r="AM23">
        <v>29</v>
      </c>
      <c r="AN23">
        <v>0</v>
      </c>
      <c r="AO23">
        <v>0</v>
      </c>
      <c r="AP23">
        <v>75</v>
      </c>
      <c r="AQ23">
        <v>31</v>
      </c>
      <c r="AR23">
        <v>0</v>
      </c>
      <c r="AS23">
        <v>0</v>
      </c>
      <c r="AT23">
        <v>73</v>
      </c>
      <c r="AU23">
        <v>36</v>
      </c>
      <c r="AV23">
        <v>0</v>
      </c>
      <c r="AW23">
        <v>0</v>
      </c>
      <c r="AX23">
        <v>2197</v>
      </c>
      <c r="AY23">
        <v>1041</v>
      </c>
      <c r="AZ23">
        <v>1</v>
      </c>
      <c r="BA23">
        <v>0</v>
      </c>
    </row>
    <row r="24" spans="1:53" x14ac:dyDescent="0.25">
      <c r="A24" t="s">
        <v>303</v>
      </c>
      <c r="B24">
        <v>1499</v>
      </c>
      <c r="C24">
        <v>772</v>
      </c>
      <c r="D24">
        <v>72</v>
      </c>
      <c r="E24">
        <v>37</v>
      </c>
      <c r="F24">
        <v>1060</v>
      </c>
      <c r="G24">
        <v>519</v>
      </c>
      <c r="H24">
        <v>24</v>
      </c>
      <c r="I24">
        <v>8</v>
      </c>
      <c r="J24">
        <v>1033</v>
      </c>
      <c r="K24">
        <v>467</v>
      </c>
      <c r="L24">
        <v>20</v>
      </c>
      <c r="M24">
        <v>7</v>
      </c>
      <c r="N24">
        <v>1085</v>
      </c>
      <c r="O24">
        <v>516</v>
      </c>
      <c r="P24">
        <v>4</v>
      </c>
      <c r="Q24">
        <v>1</v>
      </c>
      <c r="R24">
        <v>851</v>
      </c>
      <c r="S24">
        <v>425</v>
      </c>
      <c r="T24">
        <v>19</v>
      </c>
      <c r="U24">
        <v>12</v>
      </c>
      <c r="V24">
        <v>706</v>
      </c>
      <c r="W24">
        <v>346</v>
      </c>
      <c r="X24">
        <v>7</v>
      </c>
      <c r="Y24">
        <v>2</v>
      </c>
      <c r="Z24">
        <v>827</v>
      </c>
      <c r="AA24">
        <v>416</v>
      </c>
      <c r="AB24">
        <v>6</v>
      </c>
      <c r="AC24">
        <v>0</v>
      </c>
      <c r="AD24">
        <v>843</v>
      </c>
      <c r="AE24">
        <v>417</v>
      </c>
      <c r="AF24">
        <v>3</v>
      </c>
      <c r="AG24">
        <v>2</v>
      </c>
      <c r="AH24">
        <v>833</v>
      </c>
      <c r="AI24">
        <v>407</v>
      </c>
      <c r="AJ24">
        <v>3</v>
      </c>
      <c r="AK24">
        <v>3</v>
      </c>
      <c r="AL24">
        <v>666</v>
      </c>
      <c r="AM24">
        <v>326</v>
      </c>
      <c r="AN24">
        <v>2</v>
      </c>
      <c r="AO24">
        <v>1</v>
      </c>
      <c r="AP24">
        <v>593</v>
      </c>
      <c r="AQ24">
        <v>307</v>
      </c>
      <c r="AR24">
        <v>1</v>
      </c>
      <c r="AS24">
        <v>0</v>
      </c>
      <c r="AT24">
        <v>518</v>
      </c>
      <c r="AU24">
        <v>255</v>
      </c>
      <c r="AV24">
        <v>5</v>
      </c>
      <c r="AW24">
        <v>4</v>
      </c>
      <c r="AX24">
        <v>18412</v>
      </c>
      <c r="AY24">
        <v>6934</v>
      </c>
      <c r="AZ24">
        <v>166</v>
      </c>
      <c r="BA24">
        <v>77</v>
      </c>
    </row>
    <row r="25" spans="1:53" x14ac:dyDescent="0.25">
      <c r="A25" t="s">
        <v>304</v>
      </c>
      <c r="B25">
        <v>122</v>
      </c>
      <c r="C25">
        <v>64</v>
      </c>
      <c r="D25">
        <v>0</v>
      </c>
      <c r="E25">
        <v>0</v>
      </c>
      <c r="F25">
        <v>68</v>
      </c>
      <c r="G25">
        <v>30</v>
      </c>
      <c r="H25">
        <v>0</v>
      </c>
      <c r="I25">
        <v>0</v>
      </c>
      <c r="J25">
        <v>48</v>
      </c>
      <c r="K25">
        <v>25</v>
      </c>
      <c r="L25">
        <v>0</v>
      </c>
      <c r="M25">
        <v>0</v>
      </c>
      <c r="N25">
        <v>35</v>
      </c>
      <c r="O25">
        <v>21</v>
      </c>
      <c r="P25">
        <v>0</v>
      </c>
      <c r="Q25">
        <v>0</v>
      </c>
      <c r="R25">
        <v>36</v>
      </c>
      <c r="S25">
        <v>22</v>
      </c>
      <c r="T25">
        <v>0</v>
      </c>
      <c r="U25">
        <v>0</v>
      </c>
      <c r="V25">
        <v>35</v>
      </c>
      <c r="W25">
        <v>13</v>
      </c>
      <c r="X25">
        <v>0</v>
      </c>
      <c r="Y25">
        <v>0</v>
      </c>
      <c r="Z25">
        <v>37</v>
      </c>
      <c r="AA25">
        <v>19</v>
      </c>
      <c r="AB25">
        <v>0</v>
      </c>
      <c r="AC25">
        <v>0</v>
      </c>
      <c r="AD25">
        <v>18</v>
      </c>
      <c r="AE25">
        <v>6</v>
      </c>
      <c r="AF25">
        <v>0</v>
      </c>
      <c r="AG25">
        <v>0</v>
      </c>
      <c r="AH25">
        <v>18</v>
      </c>
      <c r="AI25">
        <v>11</v>
      </c>
      <c r="AJ25">
        <v>0</v>
      </c>
      <c r="AK25">
        <v>0</v>
      </c>
      <c r="AL25">
        <v>15</v>
      </c>
      <c r="AM25">
        <v>10</v>
      </c>
      <c r="AN25">
        <v>0</v>
      </c>
      <c r="AO25">
        <v>0</v>
      </c>
      <c r="AP25">
        <v>7</v>
      </c>
      <c r="AQ25">
        <v>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671</v>
      </c>
      <c r="AY25">
        <v>347</v>
      </c>
      <c r="AZ25">
        <v>0</v>
      </c>
      <c r="BA25">
        <v>0</v>
      </c>
    </row>
    <row r="26" spans="1:53" x14ac:dyDescent="0.25">
      <c r="A26" t="s">
        <v>305</v>
      </c>
      <c r="B26">
        <v>71</v>
      </c>
      <c r="C26">
        <v>27</v>
      </c>
      <c r="D26">
        <v>0</v>
      </c>
      <c r="E26">
        <v>0</v>
      </c>
      <c r="F26">
        <v>43</v>
      </c>
      <c r="G26">
        <v>24</v>
      </c>
      <c r="H26">
        <v>2</v>
      </c>
      <c r="I26">
        <v>1</v>
      </c>
      <c r="J26">
        <v>36</v>
      </c>
      <c r="K26">
        <v>15</v>
      </c>
      <c r="L26">
        <v>0</v>
      </c>
      <c r="M26">
        <v>0</v>
      </c>
      <c r="N26">
        <v>21</v>
      </c>
      <c r="O26">
        <v>8</v>
      </c>
      <c r="P26">
        <v>0</v>
      </c>
      <c r="Q26">
        <v>0</v>
      </c>
      <c r="R26">
        <v>20</v>
      </c>
      <c r="S26">
        <v>4</v>
      </c>
      <c r="T26">
        <v>0</v>
      </c>
      <c r="U26">
        <v>0</v>
      </c>
      <c r="V26">
        <v>23</v>
      </c>
      <c r="W26">
        <v>10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373</v>
      </c>
      <c r="AY26">
        <v>166</v>
      </c>
      <c r="AZ26">
        <v>2</v>
      </c>
      <c r="BA26">
        <v>1</v>
      </c>
    </row>
    <row r="27" spans="1:53" x14ac:dyDescent="0.25">
      <c r="A27" t="s">
        <v>306</v>
      </c>
      <c r="B27">
        <v>826</v>
      </c>
      <c r="C27">
        <v>384</v>
      </c>
      <c r="D27">
        <v>3</v>
      </c>
      <c r="E27">
        <v>1</v>
      </c>
      <c r="F27">
        <v>658</v>
      </c>
      <c r="G27">
        <v>328</v>
      </c>
      <c r="H27">
        <v>12</v>
      </c>
      <c r="I27">
        <v>6</v>
      </c>
      <c r="J27">
        <v>427</v>
      </c>
      <c r="K27">
        <v>199</v>
      </c>
      <c r="L27">
        <v>3</v>
      </c>
      <c r="M27">
        <v>3</v>
      </c>
      <c r="N27">
        <v>483</v>
      </c>
      <c r="O27">
        <v>242</v>
      </c>
      <c r="P27">
        <v>4</v>
      </c>
      <c r="Q27">
        <v>2</v>
      </c>
      <c r="R27">
        <v>425</v>
      </c>
      <c r="S27">
        <v>233</v>
      </c>
      <c r="T27">
        <v>4</v>
      </c>
      <c r="U27">
        <v>2</v>
      </c>
      <c r="V27">
        <v>368</v>
      </c>
      <c r="W27">
        <v>192</v>
      </c>
      <c r="X27">
        <v>4</v>
      </c>
      <c r="Y27">
        <v>0</v>
      </c>
      <c r="Z27">
        <v>224</v>
      </c>
      <c r="AA27">
        <v>118</v>
      </c>
      <c r="AB27">
        <v>4</v>
      </c>
      <c r="AC27">
        <v>0</v>
      </c>
      <c r="AD27">
        <v>224</v>
      </c>
      <c r="AE27">
        <v>119</v>
      </c>
      <c r="AF27">
        <v>0</v>
      </c>
      <c r="AG27">
        <v>0</v>
      </c>
      <c r="AH27">
        <v>210</v>
      </c>
      <c r="AI27">
        <v>103</v>
      </c>
      <c r="AJ27">
        <v>2</v>
      </c>
      <c r="AK27">
        <v>0</v>
      </c>
      <c r="AL27">
        <v>218</v>
      </c>
      <c r="AM27">
        <v>99</v>
      </c>
      <c r="AN27">
        <v>0</v>
      </c>
      <c r="AO27">
        <v>0</v>
      </c>
      <c r="AP27">
        <v>185</v>
      </c>
      <c r="AQ27">
        <v>86</v>
      </c>
      <c r="AR27">
        <v>2</v>
      </c>
      <c r="AS27">
        <v>1</v>
      </c>
      <c r="AT27">
        <v>167</v>
      </c>
      <c r="AU27">
        <v>88</v>
      </c>
      <c r="AV27">
        <v>4</v>
      </c>
      <c r="AW27">
        <v>2</v>
      </c>
      <c r="AX27">
        <v>5697</v>
      </c>
      <c r="AY27">
        <v>2797</v>
      </c>
      <c r="AZ27">
        <v>42</v>
      </c>
      <c r="BA27">
        <v>17</v>
      </c>
    </row>
    <row r="28" spans="1:53" x14ac:dyDescent="0.25">
      <c r="A28" t="s">
        <v>307</v>
      </c>
      <c r="B28">
        <v>400</v>
      </c>
      <c r="C28">
        <v>208</v>
      </c>
      <c r="D28">
        <v>14</v>
      </c>
      <c r="E28">
        <v>5</v>
      </c>
      <c r="F28">
        <v>349</v>
      </c>
      <c r="G28">
        <v>180</v>
      </c>
      <c r="H28">
        <v>17</v>
      </c>
      <c r="I28">
        <v>10</v>
      </c>
      <c r="J28">
        <v>324</v>
      </c>
      <c r="K28">
        <v>153</v>
      </c>
      <c r="L28">
        <v>23</v>
      </c>
      <c r="M28">
        <v>8</v>
      </c>
      <c r="N28">
        <v>263</v>
      </c>
      <c r="O28">
        <v>140</v>
      </c>
      <c r="P28">
        <v>19</v>
      </c>
      <c r="Q28">
        <v>13</v>
      </c>
      <c r="R28">
        <v>226</v>
      </c>
      <c r="S28">
        <v>119</v>
      </c>
      <c r="T28">
        <v>10</v>
      </c>
      <c r="U28">
        <v>8</v>
      </c>
      <c r="V28">
        <v>203</v>
      </c>
      <c r="W28">
        <v>120</v>
      </c>
      <c r="X28">
        <v>10</v>
      </c>
      <c r="Y28">
        <v>9</v>
      </c>
      <c r="Z28">
        <v>729</v>
      </c>
      <c r="AA28">
        <v>399</v>
      </c>
      <c r="AB28">
        <v>23</v>
      </c>
      <c r="AC28">
        <v>17</v>
      </c>
      <c r="AD28">
        <v>574</v>
      </c>
      <c r="AE28">
        <v>330</v>
      </c>
      <c r="AF28">
        <v>13</v>
      </c>
      <c r="AG28">
        <v>11</v>
      </c>
      <c r="AH28">
        <v>475</v>
      </c>
      <c r="AI28">
        <v>232</v>
      </c>
      <c r="AJ28">
        <v>3</v>
      </c>
      <c r="AK28">
        <v>3</v>
      </c>
      <c r="AL28">
        <v>293</v>
      </c>
      <c r="AM28">
        <v>234</v>
      </c>
      <c r="AN28">
        <v>1</v>
      </c>
      <c r="AO28">
        <v>1</v>
      </c>
      <c r="AP28">
        <v>179</v>
      </c>
      <c r="AQ28">
        <v>147</v>
      </c>
      <c r="AR28">
        <v>0</v>
      </c>
      <c r="AS28">
        <v>0</v>
      </c>
      <c r="AT28">
        <v>134</v>
      </c>
      <c r="AU28">
        <v>94</v>
      </c>
      <c r="AV28">
        <v>0</v>
      </c>
      <c r="AW28">
        <v>0</v>
      </c>
      <c r="AX28">
        <v>4692</v>
      </c>
      <c r="AY28">
        <v>2671</v>
      </c>
      <c r="AZ28">
        <v>133</v>
      </c>
      <c r="BA28">
        <v>85</v>
      </c>
    </row>
    <row r="29" spans="1:53" x14ac:dyDescent="0.25">
      <c r="A29" t="s">
        <v>266</v>
      </c>
      <c r="B29">
        <v>30941</v>
      </c>
      <c r="C29">
        <v>15049</v>
      </c>
      <c r="D29">
        <v>895</v>
      </c>
      <c r="E29">
        <v>413</v>
      </c>
      <c r="F29">
        <v>24062</v>
      </c>
      <c r="G29">
        <v>12004</v>
      </c>
      <c r="H29">
        <v>486</v>
      </c>
      <c r="I29">
        <v>219</v>
      </c>
      <c r="J29">
        <v>21534</v>
      </c>
      <c r="K29">
        <v>10538</v>
      </c>
      <c r="L29">
        <v>436</v>
      </c>
      <c r="M29">
        <v>192</v>
      </c>
      <c r="N29">
        <v>20371</v>
      </c>
      <c r="O29">
        <v>10057</v>
      </c>
      <c r="P29">
        <v>235</v>
      </c>
      <c r="Q29">
        <v>114</v>
      </c>
      <c r="R29">
        <v>17042</v>
      </c>
      <c r="S29">
        <v>8560</v>
      </c>
      <c r="T29">
        <v>233</v>
      </c>
      <c r="U29">
        <v>110</v>
      </c>
      <c r="V29">
        <v>14222</v>
      </c>
      <c r="W29">
        <v>7301</v>
      </c>
      <c r="X29">
        <v>129</v>
      </c>
      <c r="Y29">
        <v>86</v>
      </c>
      <c r="Z29">
        <v>14679</v>
      </c>
      <c r="AA29">
        <v>7262</v>
      </c>
      <c r="AB29">
        <v>127</v>
      </c>
      <c r="AC29">
        <v>71</v>
      </c>
      <c r="AD29">
        <v>13475</v>
      </c>
      <c r="AE29">
        <v>6817</v>
      </c>
      <c r="AF29">
        <v>81</v>
      </c>
      <c r="AG29">
        <v>35</v>
      </c>
      <c r="AH29">
        <v>12745</v>
      </c>
      <c r="AI29">
        <v>6635</v>
      </c>
      <c r="AJ29">
        <v>87</v>
      </c>
      <c r="AK29">
        <v>33</v>
      </c>
      <c r="AL29">
        <v>10075</v>
      </c>
      <c r="AM29">
        <v>5146</v>
      </c>
      <c r="AN29">
        <v>24</v>
      </c>
      <c r="AO29">
        <v>13</v>
      </c>
      <c r="AP29">
        <v>8944</v>
      </c>
      <c r="AQ29">
        <v>4585</v>
      </c>
      <c r="AR29">
        <v>20</v>
      </c>
      <c r="AS29">
        <v>8</v>
      </c>
      <c r="AT29">
        <v>8058</v>
      </c>
      <c r="AU29">
        <v>4194</v>
      </c>
      <c r="AV29">
        <v>79</v>
      </c>
      <c r="AW29">
        <v>37</v>
      </c>
      <c r="AX29">
        <v>240550</v>
      </c>
      <c r="AY29">
        <v>118049</v>
      </c>
      <c r="AZ29">
        <v>2832</v>
      </c>
      <c r="BA29">
        <v>1331</v>
      </c>
    </row>
    <row r="30" spans="1:53" x14ac:dyDescent="0.25">
      <c r="A30" t="s">
        <v>459</v>
      </c>
      <c r="B30">
        <v>23677</v>
      </c>
      <c r="C30">
        <v>11316</v>
      </c>
      <c r="D30">
        <v>647</v>
      </c>
      <c r="E30">
        <v>302</v>
      </c>
      <c r="F30">
        <v>18743</v>
      </c>
      <c r="G30">
        <v>9380</v>
      </c>
      <c r="H30">
        <v>328</v>
      </c>
      <c r="I30">
        <v>159</v>
      </c>
      <c r="J30">
        <v>17245</v>
      </c>
      <c r="K30">
        <v>8479</v>
      </c>
      <c r="L30">
        <v>324</v>
      </c>
      <c r="M30">
        <v>151</v>
      </c>
      <c r="N30">
        <v>16786</v>
      </c>
      <c r="O30">
        <v>8258</v>
      </c>
      <c r="P30">
        <v>181</v>
      </c>
      <c r="Q30">
        <v>87</v>
      </c>
      <c r="R30">
        <v>14216</v>
      </c>
      <c r="S30">
        <v>7147</v>
      </c>
      <c r="T30">
        <v>159</v>
      </c>
      <c r="U30">
        <v>76</v>
      </c>
      <c r="V30">
        <v>11923</v>
      </c>
      <c r="W30">
        <v>6149</v>
      </c>
      <c r="X30">
        <v>93</v>
      </c>
      <c r="Y30">
        <v>64</v>
      </c>
      <c r="Z30">
        <v>12250</v>
      </c>
      <c r="AA30">
        <v>6136</v>
      </c>
      <c r="AB30">
        <v>100</v>
      </c>
      <c r="AC30">
        <v>54</v>
      </c>
      <c r="AD30">
        <v>11438</v>
      </c>
      <c r="AE30">
        <v>5822</v>
      </c>
      <c r="AF30">
        <v>66</v>
      </c>
      <c r="AG30">
        <v>24</v>
      </c>
      <c r="AH30">
        <v>10867</v>
      </c>
      <c r="AI30">
        <v>5757</v>
      </c>
      <c r="AJ30">
        <v>72</v>
      </c>
      <c r="AK30">
        <v>28</v>
      </c>
      <c r="AL30">
        <v>8832</v>
      </c>
      <c r="AM30">
        <v>4501</v>
      </c>
      <c r="AN30">
        <v>23</v>
      </c>
      <c r="AO30">
        <v>12</v>
      </c>
      <c r="AP30">
        <v>7998</v>
      </c>
      <c r="AQ30">
        <v>4134</v>
      </c>
      <c r="AR30">
        <v>18</v>
      </c>
      <c r="AS30">
        <v>7</v>
      </c>
      <c r="AT30">
        <v>7309</v>
      </c>
      <c r="AU30">
        <v>3821</v>
      </c>
      <c r="AV30">
        <v>68</v>
      </c>
      <c r="AW30">
        <v>31</v>
      </c>
      <c r="AX30">
        <v>196707</v>
      </c>
      <c r="AY30">
        <v>96293</v>
      </c>
      <c r="AZ30">
        <v>2079</v>
      </c>
      <c r="BA30">
        <v>995</v>
      </c>
    </row>
    <row r="31" spans="1:53" x14ac:dyDescent="0.25">
      <c r="A31" t="s">
        <v>460</v>
      </c>
      <c r="B31">
        <v>7264</v>
      </c>
      <c r="C31">
        <v>3733</v>
      </c>
      <c r="D31">
        <v>248</v>
      </c>
      <c r="E31">
        <v>111</v>
      </c>
      <c r="F31">
        <v>5319</v>
      </c>
      <c r="G31">
        <v>2624</v>
      </c>
      <c r="H31">
        <v>158</v>
      </c>
      <c r="I31">
        <v>60</v>
      </c>
      <c r="J31">
        <v>4289</v>
      </c>
      <c r="K31">
        <v>2059</v>
      </c>
      <c r="L31">
        <v>112</v>
      </c>
      <c r="M31">
        <v>41</v>
      </c>
      <c r="N31">
        <v>3585</v>
      </c>
      <c r="O31">
        <v>1799</v>
      </c>
      <c r="P31">
        <v>54</v>
      </c>
      <c r="Q31">
        <v>27</v>
      </c>
      <c r="R31">
        <v>2826</v>
      </c>
      <c r="S31">
        <v>1413</v>
      </c>
      <c r="T31">
        <v>74</v>
      </c>
      <c r="U31">
        <v>34</v>
      </c>
      <c r="V31">
        <v>2299</v>
      </c>
      <c r="W31">
        <v>1152</v>
      </c>
      <c r="X31">
        <v>36</v>
      </c>
      <c r="Y31">
        <v>22</v>
      </c>
      <c r="Z31">
        <v>2429</v>
      </c>
      <c r="AA31">
        <v>1126</v>
      </c>
      <c r="AB31">
        <v>27</v>
      </c>
      <c r="AC31">
        <v>17</v>
      </c>
      <c r="AD31">
        <v>2037</v>
      </c>
      <c r="AE31">
        <v>995</v>
      </c>
      <c r="AF31">
        <v>15</v>
      </c>
      <c r="AG31">
        <v>11</v>
      </c>
      <c r="AH31">
        <v>1878</v>
      </c>
      <c r="AI31">
        <v>878</v>
      </c>
      <c r="AJ31">
        <v>15</v>
      </c>
      <c r="AK31">
        <v>5</v>
      </c>
      <c r="AL31">
        <v>1243</v>
      </c>
      <c r="AM31">
        <v>645</v>
      </c>
      <c r="AN31">
        <v>1</v>
      </c>
      <c r="AO31">
        <v>1</v>
      </c>
      <c r="AP31">
        <v>946</v>
      </c>
      <c r="AQ31">
        <v>451</v>
      </c>
      <c r="AR31">
        <v>2</v>
      </c>
      <c r="AS31">
        <v>1</v>
      </c>
      <c r="AT31">
        <v>749</v>
      </c>
      <c r="AU31">
        <v>373</v>
      </c>
      <c r="AV31">
        <v>11</v>
      </c>
      <c r="AW31">
        <v>6</v>
      </c>
      <c r="AX31">
        <v>43843</v>
      </c>
      <c r="AY31">
        <v>21756</v>
      </c>
      <c r="AZ31">
        <v>753</v>
      </c>
      <c r="BA31">
        <v>336</v>
      </c>
    </row>
  </sheetData>
  <mergeCells count="40">
    <mergeCell ref="AT2:AU2"/>
    <mergeCell ref="AZ2:BA2"/>
    <mergeCell ref="R2:S2"/>
    <mergeCell ref="AX2:AY2"/>
    <mergeCell ref="P2:Q2"/>
    <mergeCell ref="AX1:BA1"/>
    <mergeCell ref="J1:M1"/>
    <mergeCell ref="A1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V1:Y1"/>
    <mergeCell ref="AD1:AG1"/>
    <mergeCell ref="Z1:AC1"/>
    <mergeCell ref="AL1:AO1"/>
    <mergeCell ref="AT1:AW1"/>
    <mergeCell ref="B2:C2"/>
    <mergeCell ref="F1:I1"/>
    <mergeCell ref="D2:E2"/>
    <mergeCell ref="R1:U1"/>
    <mergeCell ref="AV2:AW2"/>
    <mergeCell ref="N2:O2"/>
    <mergeCell ref="AP1:AS1"/>
    <mergeCell ref="AH1:AK1"/>
    <mergeCell ref="B1:E1"/>
    <mergeCell ref="AH2:AI2"/>
    <mergeCell ref="AR2:AS2"/>
    <mergeCell ref="J2:K2"/>
    <mergeCell ref="N1:Q1"/>
    <mergeCell ref="L2:M2"/>
    <mergeCell ref="V2:W2"/>
    <mergeCell ref="X2:Y2"/>
    <mergeCell ref="AJ2:AK2"/>
    <mergeCell ref="AL2:AM2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5B9BD5"/>
  </sheetPr>
  <dimension ref="A1:N30"/>
  <sheetViews>
    <sheetView workbookViewId="0"/>
  </sheetViews>
  <sheetFormatPr defaultRowHeight="15" x14ac:dyDescent="0.25"/>
  <cols>
    <col min="1" max="1" width="20.85546875" customWidth="1"/>
    <col min="2" max="2" width="12" customWidth="1"/>
    <col min="6" max="6" width="12.140625" customWidth="1"/>
    <col min="7" max="7" width="12" customWidth="1"/>
    <col min="11" max="11" width="12.140625" customWidth="1"/>
    <col min="12" max="12" width="12" customWidth="1"/>
  </cols>
  <sheetData>
    <row r="1" spans="1:14" x14ac:dyDescent="0.25">
      <c r="A1" s="29" t="s">
        <v>252</v>
      </c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140</v>
      </c>
      <c r="C3">
        <v>2503</v>
      </c>
      <c r="D3">
        <v>1236</v>
      </c>
      <c r="E3">
        <v>11669</v>
      </c>
      <c r="F3">
        <v>5673</v>
      </c>
      <c r="G3">
        <v>3910</v>
      </c>
      <c r="H3">
        <v>2002</v>
      </c>
      <c r="I3">
        <v>2079</v>
      </c>
      <c r="J3">
        <v>1049</v>
      </c>
      <c r="K3">
        <v>20437</v>
      </c>
      <c r="L3">
        <v>10067</v>
      </c>
      <c r="M3">
        <v>48.6</v>
      </c>
      <c r="N3">
        <v>49.3</v>
      </c>
    </row>
    <row r="4" spans="1:14" x14ac:dyDescent="0.25">
      <c r="A4" t="s">
        <v>284</v>
      </c>
      <c r="B4">
        <v>61</v>
      </c>
      <c r="C4">
        <v>1489</v>
      </c>
      <c r="D4">
        <v>717</v>
      </c>
      <c r="E4">
        <v>4030</v>
      </c>
      <c r="F4">
        <v>1869</v>
      </c>
      <c r="G4">
        <v>1875</v>
      </c>
      <c r="H4">
        <v>962</v>
      </c>
      <c r="I4">
        <v>1763</v>
      </c>
      <c r="J4">
        <v>959</v>
      </c>
      <c r="K4">
        <v>9270</v>
      </c>
      <c r="L4">
        <v>4563</v>
      </c>
      <c r="M4">
        <v>46.4</v>
      </c>
      <c r="N4">
        <v>49.2</v>
      </c>
    </row>
    <row r="5" spans="1:14" x14ac:dyDescent="0.25">
      <c r="A5" t="s">
        <v>285</v>
      </c>
      <c r="B5">
        <v>36</v>
      </c>
      <c r="C5">
        <v>769</v>
      </c>
      <c r="D5">
        <v>399</v>
      </c>
      <c r="E5">
        <v>2264</v>
      </c>
      <c r="F5">
        <v>1175</v>
      </c>
      <c r="G5">
        <v>742</v>
      </c>
      <c r="H5">
        <v>386</v>
      </c>
      <c r="I5">
        <v>371</v>
      </c>
      <c r="J5">
        <v>169</v>
      </c>
      <c r="K5">
        <v>4195</v>
      </c>
      <c r="L5">
        <v>2144</v>
      </c>
      <c r="M5">
        <v>51.9</v>
      </c>
      <c r="N5">
        <v>51.1</v>
      </c>
    </row>
    <row r="6" spans="1:14" x14ac:dyDescent="0.25">
      <c r="A6" t="s">
        <v>286</v>
      </c>
      <c r="B6">
        <v>28</v>
      </c>
      <c r="C6">
        <v>765</v>
      </c>
      <c r="D6">
        <v>390</v>
      </c>
      <c r="E6">
        <v>1920</v>
      </c>
      <c r="F6">
        <v>875</v>
      </c>
      <c r="G6">
        <v>656</v>
      </c>
      <c r="H6">
        <v>252</v>
      </c>
      <c r="I6">
        <v>356</v>
      </c>
      <c r="J6">
        <v>119</v>
      </c>
      <c r="K6">
        <v>3706</v>
      </c>
      <c r="L6">
        <v>1640</v>
      </c>
      <c r="M6">
        <v>45.6</v>
      </c>
      <c r="N6">
        <v>44.3</v>
      </c>
    </row>
    <row r="7" spans="1:14" x14ac:dyDescent="0.25">
      <c r="A7" t="s">
        <v>287</v>
      </c>
      <c r="B7">
        <v>64</v>
      </c>
      <c r="C7">
        <v>2152</v>
      </c>
      <c r="D7">
        <v>1043</v>
      </c>
      <c r="E7">
        <v>4545</v>
      </c>
      <c r="F7">
        <v>2195</v>
      </c>
      <c r="G7">
        <v>709</v>
      </c>
      <c r="H7">
        <v>347</v>
      </c>
      <c r="I7">
        <v>239</v>
      </c>
      <c r="J7">
        <v>120</v>
      </c>
      <c r="K7">
        <v>7781</v>
      </c>
      <c r="L7">
        <v>3746</v>
      </c>
      <c r="M7">
        <v>48.3</v>
      </c>
      <c r="N7">
        <v>48.1</v>
      </c>
    </row>
    <row r="8" spans="1:14" x14ac:dyDescent="0.25">
      <c r="A8" t="s">
        <v>288</v>
      </c>
      <c r="B8">
        <v>55</v>
      </c>
      <c r="C8">
        <v>668</v>
      </c>
      <c r="D8">
        <v>322</v>
      </c>
      <c r="E8">
        <v>2938</v>
      </c>
      <c r="F8">
        <v>1410</v>
      </c>
      <c r="G8">
        <v>557</v>
      </c>
      <c r="H8">
        <v>289</v>
      </c>
      <c r="I8">
        <v>228</v>
      </c>
      <c r="J8">
        <v>106</v>
      </c>
      <c r="K8">
        <v>4551</v>
      </c>
      <c r="L8">
        <v>2205</v>
      </c>
      <c r="M8">
        <v>48</v>
      </c>
      <c r="N8">
        <v>48.5</v>
      </c>
    </row>
    <row r="9" spans="1:14" x14ac:dyDescent="0.25">
      <c r="A9" t="s">
        <v>289</v>
      </c>
      <c r="B9">
        <v>42</v>
      </c>
      <c r="C9">
        <v>809</v>
      </c>
      <c r="D9">
        <v>426</v>
      </c>
      <c r="E9">
        <v>5120</v>
      </c>
      <c r="F9">
        <v>2737</v>
      </c>
      <c r="G9">
        <v>1548</v>
      </c>
      <c r="H9">
        <v>771</v>
      </c>
      <c r="I9">
        <v>1146</v>
      </c>
      <c r="J9">
        <v>611</v>
      </c>
      <c r="K9">
        <v>8698</v>
      </c>
      <c r="L9">
        <v>4592</v>
      </c>
      <c r="M9">
        <v>53.5</v>
      </c>
      <c r="N9">
        <v>52.8</v>
      </c>
    </row>
    <row r="10" spans="1:14" x14ac:dyDescent="0.25">
      <c r="A10" t="s">
        <v>290</v>
      </c>
      <c r="B10">
        <v>88</v>
      </c>
      <c r="C10">
        <v>2748</v>
      </c>
      <c r="D10">
        <v>1349</v>
      </c>
      <c r="E10">
        <v>7462</v>
      </c>
      <c r="F10">
        <v>3813</v>
      </c>
      <c r="G10">
        <v>2456</v>
      </c>
      <c r="H10">
        <v>1134</v>
      </c>
      <c r="I10">
        <v>1654</v>
      </c>
      <c r="J10">
        <v>778</v>
      </c>
      <c r="K10">
        <v>14542</v>
      </c>
      <c r="L10">
        <v>7164</v>
      </c>
      <c r="M10">
        <v>51.1</v>
      </c>
      <c r="N10">
        <v>49.3</v>
      </c>
    </row>
    <row r="11" spans="1:14" x14ac:dyDescent="0.25">
      <c r="A11" t="s">
        <v>291</v>
      </c>
      <c r="B11">
        <v>3</v>
      </c>
      <c r="C11">
        <v>37</v>
      </c>
      <c r="D11">
        <v>18</v>
      </c>
      <c r="E11">
        <v>499</v>
      </c>
      <c r="F11">
        <v>282</v>
      </c>
      <c r="G11">
        <v>0</v>
      </c>
      <c r="H11">
        <v>0</v>
      </c>
      <c r="I11">
        <v>0</v>
      </c>
      <c r="J11">
        <v>0</v>
      </c>
      <c r="K11">
        <v>536</v>
      </c>
      <c r="L11">
        <v>300</v>
      </c>
      <c r="M11">
        <v>56.5</v>
      </c>
      <c r="N11">
        <v>56</v>
      </c>
    </row>
    <row r="12" spans="1:14" x14ac:dyDescent="0.25">
      <c r="A12" t="s">
        <v>292</v>
      </c>
      <c r="B12">
        <v>18</v>
      </c>
      <c r="C12">
        <v>527</v>
      </c>
      <c r="D12">
        <v>270</v>
      </c>
      <c r="E12">
        <v>1611</v>
      </c>
      <c r="F12">
        <v>834</v>
      </c>
      <c r="G12">
        <v>159</v>
      </c>
      <c r="H12">
        <v>81</v>
      </c>
      <c r="I12">
        <v>0</v>
      </c>
      <c r="J12">
        <v>0</v>
      </c>
      <c r="K12">
        <v>2307</v>
      </c>
      <c r="L12">
        <v>1189</v>
      </c>
      <c r="M12">
        <v>51.8</v>
      </c>
      <c r="N12">
        <v>51.5</v>
      </c>
    </row>
    <row r="13" spans="1:14" x14ac:dyDescent="0.25">
      <c r="A13" t="s">
        <v>293</v>
      </c>
      <c r="B13">
        <v>9</v>
      </c>
      <c r="C13">
        <v>179</v>
      </c>
      <c r="D13">
        <v>83</v>
      </c>
      <c r="E13">
        <v>892</v>
      </c>
      <c r="F13">
        <v>518</v>
      </c>
      <c r="G13">
        <v>58</v>
      </c>
      <c r="H13">
        <v>29</v>
      </c>
      <c r="I13">
        <v>59</v>
      </c>
      <c r="J13">
        <v>31</v>
      </c>
      <c r="K13">
        <v>1192</v>
      </c>
      <c r="L13">
        <v>662</v>
      </c>
      <c r="M13">
        <v>58.1</v>
      </c>
      <c r="N13">
        <v>55.5</v>
      </c>
    </row>
    <row r="14" spans="1:14" x14ac:dyDescent="0.25">
      <c r="A14" t="s">
        <v>294</v>
      </c>
      <c r="B14">
        <v>9</v>
      </c>
      <c r="C14">
        <v>92</v>
      </c>
      <c r="D14">
        <v>51</v>
      </c>
      <c r="E14">
        <v>303</v>
      </c>
      <c r="F14">
        <v>136</v>
      </c>
      <c r="G14">
        <v>101</v>
      </c>
      <c r="H14">
        <v>38</v>
      </c>
      <c r="I14">
        <v>46</v>
      </c>
      <c r="J14">
        <v>22</v>
      </c>
      <c r="K14">
        <v>550</v>
      </c>
      <c r="L14">
        <v>251</v>
      </c>
      <c r="M14">
        <v>44.9</v>
      </c>
      <c r="N14">
        <v>45.6</v>
      </c>
    </row>
    <row r="15" spans="1:14" x14ac:dyDescent="0.25">
      <c r="A15" t="s">
        <v>295</v>
      </c>
      <c r="B15">
        <v>12</v>
      </c>
      <c r="C15">
        <v>276</v>
      </c>
      <c r="D15">
        <v>143</v>
      </c>
      <c r="E15">
        <v>1698</v>
      </c>
      <c r="F15">
        <v>775</v>
      </c>
      <c r="G15">
        <v>0</v>
      </c>
      <c r="H15">
        <v>0</v>
      </c>
      <c r="I15">
        <v>0</v>
      </c>
      <c r="J15">
        <v>0</v>
      </c>
      <c r="K15">
        <v>2008</v>
      </c>
      <c r="L15">
        <v>930</v>
      </c>
      <c r="M15">
        <v>45.6</v>
      </c>
      <c r="N15">
        <v>46.3</v>
      </c>
    </row>
    <row r="16" spans="1:14" x14ac:dyDescent="0.25">
      <c r="A16" t="s">
        <v>296</v>
      </c>
      <c r="B16">
        <v>17</v>
      </c>
      <c r="C16">
        <v>465</v>
      </c>
      <c r="D16">
        <v>220</v>
      </c>
      <c r="E16">
        <v>1239</v>
      </c>
      <c r="F16">
        <v>608</v>
      </c>
      <c r="G16">
        <v>0</v>
      </c>
      <c r="H16">
        <v>0</v>
      </c>
      <c r="I16">
        <v>0</v>
      </c>
      <c r="J16">
        <v>0</v>
      </c>
      <c r="K16">
        <v>1721</v>
      </c>
      <c r="L16">
        <v>835</v>
      </c>
      <c r="M16">
        <v>49.1</v>
      </c>
      <c r="N16">
        <v>48.5</v>
      </c>
    </row>
    <row r="17" spans="1:14" x14ac:dyDescent="0.25">
      <c r="A17" t="s">
        <v>297</v>
      </c>
      <c r="B17">
        <v>776</v>
      </c>
      <c r="C17">
        <v>15615</v>
      </c>
      <c r="D17">
        <v>7862</v>
      </c>
      <c r="E17">
        <v>63948</v>
      </c>
      <c r="F17">
        <v>31737</v>
      </c>
      <c r="G17">
        <v>21630</v>
      </c>
      <c r="H17">
        <v>11157</v>
      </c>
      <c r="I17">
        <v>14969</v>
      </c>
      <c r="J17">
        <v>7739</v>
      </c>
      <c r="K17">
        <v>117304</v>
      </c>
      <c r="L17">
        <v>59085</v>
      </c>
      <c r="M17">
        <v>49.6</v>
      </c>
      <c r="N17">
        <v>50.4</v>
      </c>
    </row>
    <row r="18" spans="1:14" x14ac:dyDescent="0.25">
      <c r="A18" t="s">
        <v>298</v>
      </c>
      <c r="B18">
        <v>61</v>
      </c>
      <c r="C18">
        <v>1521</v>
      </c>
      <c r="D18">
        <v>731</v>
      </c>
      <c r="E18">
        <v>4862</v>
      </c>
      <c r="F18">
        <v>2381</v>
      </c>
      <c r="G18">
        <v>1173</v>
      </c>
      <c r="H18">
        <v>550</v>
      </c>
      <c r="I18">
        <v>833</v>
      </c>
      <c r="J18">
        <v>388</v>
      </c>
      <c r="K18">
        <v>8573</v>
      </c>
      <c r="L18">
        <v>4126</v>
      </c>
      <c r="M18">
        <v>49</v>
      </c>
      <c r="N18">
        <v>48.1</v>
      </c>
    </row>
    <row r="19" spans="1:14" x14ac:dyDescent="0.25">
      <c r="A19" t="s">
        <v>299</v>
      </c>
      <c r="B19">
        <v>4</v>
      </c>
      <c r="C19">
        <v>50</v>
      </c>
      <c r="D19">
        <v>23</v>
      </c>
      <c r="E19">
        <v>126</v>
      </c>
      <c r="F19">
        <v>59</v>
      </c>
      <c r="G19">
        <v>0</v>
      </c>
      <c r="H19">
        <v>0</v>
      </c>
      <c r="I19">
        <v>0</v>
      </c>
      <c r="J19">
        <v>0</v>
      </c>
      <c r="K19">
        <v>180</v>
      </c>
      <c r="L19">
        <v>83</v>
      </c>
      <c r="M19">
        <v>46.8</v>
      </c>
      <c r="N19">
        <v>46.1</v>
      </c>
    </row>
    <row r="20" spans="1:14" x14ac:dyDescent="0.25">
      <c r="A20" t="s">
        <v>300</v>
      </c>
      <c r="B20">
        <v>5</v>
      </c>
      <c r="C20">
        <v>75</v>
      </c>
      <c r="D20">
        <v>40</v>
      </c>
      <c r="E20">
        <v>37</v>
      </c>
      <c r="F20">
        <v>19</v>
      </c>
      <c r="G20">
        <v>0</v>
      </c>
      <c r="H20">
        <v>0</v>
      </c>
      <c r="I20">
        <v>135</v>
      </c>
      <c r="J20">
        <v>86</v>
      </c>
      <c r="K20">
        <v>247</v>
      </c>
      <c r="L20">
        <v>145</v>
      </c>
      <c r="M20">
        <v>51.4</v>
      </c>
      <c r="N20">
        <v>58.7</v>
      </c>
    </row>
    <row r="21" spans="1:14" x14ac:dyDescent="0.25">
      <c r="A21" t="s">
        <v>301</v>
      </c>
      <c r="B21">
        <v>6</v>
      </c>
      <c r="C21">
        <v>580</v>
      </c>
      <c r="D21">
        <v>297</v>
      </c>
      <c r="E21">
        <v>130</v>
      </c>
      <c r="F21">
        <v>69</v>
      </c>
      <c r="G21">
        <v>0</v>
      </c>
      <c r="H21">
        <v>0</v>
      </c>
      <c r="I21">
        <v>0</v>
      </c>
      <c r="J21">
        <v>0</v>
      </c>
      <c r="K21">
        <v>710</v>
      </c>
      <c r="L21">
        <v>366</v>
      </c>
      <c r="M21">
        <v>53.1</v>
      </c>
      <c r="N21">
        <v>51.5</v>
      </c>
    </row>
    <row r="22" spans="1:14" x14ac:dyDescent="0.25">
      <c r="A22" t="s">
        <v>302</v>
      </c>
      <c r="B22">
        <v>12</v>
      </c>
      <c r="C22">
        <v>524</v>
      </c>
      <c r="D22">
        <v>268</v>
      </c>
      <c r="E22">
        <v>1135</v>
      </c>
      <c r="F22">
        <v>538</v>
      </c>
      <c r="G22">
        <v>313</v>
      </c>
      <c r="H22">
        <v>139</v>
      </c>
      <c r="I22">
        <v>224</v>
      </c>
      <c r="J22">
        <v>96</v>
      </c>
      <c r="K22">
        <v>2197</v>
      </c>
      <c r="L22">
        <v>1041</v>
      </c>
      <c r="M22">
        <v>47.4</v>
      </c>
      <c r="N22">
        <v>47.4</v>
      </c>
    </row>
    <row r="23" spans="1:14" x14ac:dyDescent="0.25">
      <c r="A23" t="s">
        <v>303</v>
      </c>
      <c r="B23">
        <v>123</v>
      </c>
      <c r="C23">
        <v>7732</v>
      </c>
      <c r="D23">
        <v>1684</v>
      </c>
      <c r="E23">
        <v>6234</v>
      </c>
      <c r="F23">
        <v>3045</v>
      </c>
      <c r="G23">
        <v>2503</v>
      </c>
      <c r="H23">
        <v>1240</v>
      </c>
      <c r="I23">
        <v>1777</v>
      </c>
      <c r="J23">
        <v>888</v>
      </c>
      <c r="K23">
        <v>18412</v>
      </c>
      <c r="L23">
        <v>6934</v>
      </c>
      <c r="M23">
        <v>48.8</v>
      </c>
      <c r="N23">
        <v>37.700000000000003</v>
      </c>
    </row>
    <row r="24" spans="1:14" x14ac:dyDescent="0.25">
      <c r="A24" t="s">
        <v>304</v>
      </c>
      <c r="B24">
        <v>10</v>
      </c>
      <c r="C24">
        <v>232</v>
      </c>
      <c r="D24">
        <v>120</v>
      </c>
      <c r="E24">
        <v>344</v>
      </c>
      <c r="F24">
        <v>175</v>
      </c>
      <c r="G24">
        <v>73</v>
      </c>
      <c r="H24">
        <v>36</v>
      </c>
      <c r="I24">
        <v>22</v>
      </c>
      <c r="J24">
        <v>16</v>
      </c>
      <c r="K24">
        <v>671</v>
      </c>
      <c r="L24">
        <v>347</v>
      </c>
      <c r="M24">
        <v>50.9</v>
      </c>
      <c r="N24">
        <v>51.7</v>
      </c>
    </row>
    <row r="25" spans="1:14" x14ac:dyDescent="0.25">
      <c r="A25" t="s">
        <v>305</v>
      </c>
      <c r="B25">
        <v>8</v>
      </c>
      <c r="C25">
        <v>157</v>
      </c>
      <c r="D25">
        <v>77</v>
      </c>
      <c r="E25">
        <v>214</v>
      </c>
      <c r="F25">
        <v>88</v>
      </c>
      <c r="G25">
        <v>0</v>
      </c>
      <c r="H25">
        <v>0</v>
      </c>
      <c r="I25">
        <v>0</v>
      </c>
      <c r="J25">
        <v>0</v>
      </c>
      <c r="K25">
        <v>373</v>
      </c>
      <c r="L25">
        <v>166</v>
      </c>
      <c r="M25">
        <v>41.1</v>
      </c>
      <c r="N25">
        <v>44.5</v>
      </c>
    </row>
    <row r="26" spans="1:14" x14ac:dyDescent="0.25">
      <c r="A26" t="s">
        <v>306</v>
      </c>
      <c r="B26">
        <v>52</v>
      </c>
      <c r="C26">
        <v>1240</v>
      </c>
      <c r="D26">
        <v>589</v>
      </c>
      <c r="E26">
        <v>3187</v>
      </c>
      <c r="F26">
        <v>1578</v>
      </c>
      <c r="G26">
        <v>658</v>
      </c>
      <c r="H26">
        <v>340</v>
      </c>
      <c r="I26">
        <v>570</v>
      </c>
      <c r="J26">
        <v>273</v>
      </c>
      <c r="K26">
        <v>5697</v>
      </c>
      <c r="L26">
        <v>2797</v>
      </c>
      <c r="M26">
        <v>49.5</v>
      </c>
      <c r="N26">
        <v>49.1</v>
      </c>
    </row>
    <row r="27" spans="1:14" x14ac:dyDescent="0.25">
      <c r="A27" t="s">
        <v>307</v>
      </c>
      <c r="B27">
        <v>27</v>
      </c>
      <c r="C27">
        <v>410</v>
      </c>
      <c r="D27">
        <v>230</v>
      </c>
      <c r="E27">
        <v>1765</v>
      </c>
      <c r="F27">
        <v>920</v>
      </c>
      <c r="G27">
        <v>1778</v>
      </c>
      <c r="H27">
        <v>961</v>
      </c>
      <c r="I27">
        <v>606</v>
      </c>
      <c r="J27">
        <v>475</v>
      </c>
      <c r="K27">
        <v>4692</v>
      </c>
      <c r="L27">
        <v>2671</v>
      </c>
      <c r="M27">
        <v>52.1</v>
      </c>
      <c r="N27">
        <v>56.9</v>
      </c>
    </row>
    <row r="28" spans="1:14" x14ac:dyDescent="0.25">
      <c r="A28" t="s">
        <v>266</v>
      </c>
      <c r="B28">
        <v>1666</v>
      </c>
      <c r="C28">
        <v>41615</v>
      </c>
      <c r="D28">
        <v>18588</v>
      </c>
      <c r="E28">
        <v>128172</v>
      </c>
      <c r="F28">
        <v>63509</v>
      </c>
      <c r="G28">
        <v>40899</v>
      </c>
      <c r="H28">
        <v>20714</v>
      </c>
      <c r="I28">
        <v>27077</v>
      </c>
      <c r="J28">
        <v>13925</v>
      </c>
      <c r="K28">
        <v>240550</v>
      </c>
      <c r="L28">
        <v>118049</v>
      </c>
      <c r="M28">
        <v>49.5</v>
      </c>
      <c r="N28">
        <v>49.1</v>
      </c>
    </row>
    <row r="29" spans="1:14" x14ac:dyDescent="0.25">
      <c r="A29" t="s">
        <v>459</v>
      </c>
      <c r="B29">
        <v>1320</v>
      </c>
      <c r="C29">
        <v>33389</v>
      </c>
      <c r="D29">
        <v>14416</v>
      </c>
      <c r="E29">
        <v>102590</v>
      </c>
      <c r="F29">
        <v>50729</v>
      </c>
      <c r="G29">
        <v>34555</v>
      </c>
      <c r="H29">
        <v>17715</v>
      </c>
      <c r="I29">
        <v>24139</v>
      </c>
      <c r="J29">
        <v>12456</v>
      </c>
      <c r="K29">
        <v>196707</v>
      </c>
      <c r="L29">
        <v>96293</v>
      </c>
      <c r="M29">
        <v>49.4</v>
      </c>
      <c r="N29">
        <v>49</v>
      </c>
    </row>
    <row r="30" spans="1:14" x14ac:dyDescent="0.25">
      <c r="A30" t="s">
        <v>460</v>
      </c>
      <c r="B30">
        <v>346</v>
      </c>
      <c r="C30">
        <v>8226</v>
      </c>
      <c r="D30">
        <v>4172</v>
      </c>
      <c r="E30">
        <v>25582</v>
      </c>
      <c r="F30">
        <v>12780</v>
      </c>
      <c r="G30">
        <v>6344</v>
      </c>
      <c r="H30">
        <v>2999</v>
      </c>
      <c r="I30">
        <v>2938</v>
      </c>
      <c r="J30">
        <v>1469</v>
      </c>
      <c r="K30">
        <v>43843</v>
      </c>
      <c r="L30">
        <v>21756</v>
      </c>
      <c r="M30">
        <v>50</v>
      </c>
      <c r="N30">
        <v>49.6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5B9BD5"/>
  </sheetPr>
  <dimension ref="A1:N30"/>
  <sheetViews>
    <sheetView workbookViewId="0"/>
  </sheetViews>
  <sheetFormatPr defaultRowHeight="15" x14ac:dyDescent="0.25"/>
  <cols>
    <col min="1" max="1" width="19.140625" customWidth="1"/>
    <col min="2" max="2" width="12.42578125" customWidth="1"/>
  </cols>
  <sheetData>
    <row r="1" spans="1:14" x14ac:dyDescent="0.25">
      <c r="A1" s="29" t="s">
        <v>252</v>
      </c>
      <c r="B1" s="29" t="s">
        <v>710</v>
      </c>
      <c r="C1" s="29" t="s">
        <v>426</v>
      </c>
      <c r="D1" s="29"/>
      <c r="E1" s="29" t="s">
        <v>346</v>
      </c>
      <c r="F1" s="29"/>
      <c r="G1" s="29" t="s">
        <v>400</v>
      </c>
      <c r="H1" s="29"/>
      <c r="I1" s="29" t="s">
        <v>401</v>
      </c>
      <c r="J1" s="29"/>
      <c r="K1" s="29" t="s">
        <v>263</v>
      </c>
      <c r="L1" s="29"/>
      <c r="M1" s="29" t="s">
        <v>720</v>
      </c>
      <c r="N1" s="29"/>
    </row>
    <row r="2" spans="1:14" x14ac:dyDescent="0.25">
      <c r="A2" s="29"/>
      <c r="B2" s="29"/>
      <c r="C2" t="s">
        <v>263</v>
      </c>
      <c r="D2" t="s">
        <v>264</v>
      </c>
      <c r="E2" t="s">
        <v>263</v>
      </c>
      <c r="F2" t="s">
        <v>264</v>
      </c>
      <c r="G2" t="s">
        <v>263</v>
      </c>
      <c r="H2" t="s">
        <v>264</v>
      </c>
      <c r="I2" t="s">
        <v>263</v>
      </c>
      <c r="J2" t="s">
        <v>264</v>
      </c>
      <c r="K2" t="s">
        <v>263</v>
      </c>
      <c r="L2" t="s">
        <v>264</v>
      </c>
      <c r="M2" t="s">
        <v>346</v>
      </c>
      <c r="N2" t="s">
        <v>403</v>
      </c>
    </row>
    <row r="3" spans="1:14" x14ac:dyDescent="0.25">
      <c r="A3" t="s">
        <v>283</v>
      </c>
      <c r="B3">
        <v>132</v>
      </c>
      <c r="C3">
        <v>2427</v>
      </c>
      <c r="D3">
        <v>1143</v>
      </c>
      <c r="E3">
        <v>11652</v>
      </c>
      <c r="F3">
        <v>5631</v>
      </c>
      <c r="G3">
        <v>3679</v>
      </c>
      <c r="H3">
        <v>1893</v>
      </c>
      <c r="I3">
        <v>1943</v>
      </c>
      <c r="J3">
        <v>981</v>
      </c>
      <c r="K3">
        <v>19701</v>
      </c>
      <c r="L3">
        <v>9648</v>
      </c>
      <c r="M3">
        <v>48.3</v>
      </c>
      <c r="N3">
        <v>49</v>
      </c>
    </row>
    <row r="4" spans="1:14" x14ac:dyDescent="0.25">
      <c r="A4" t="s">
        <v>284</v>
      </c>
      <c r="B4">
        <v>58</v>
      </c>
      <c r="C4">
        <v>1622</v>
      </c>
      <c r="D4">
        <v>805</v>
      </c>
      <c r="E4">
        <v>3816</v>
      </c>
      <c r="F4">
        <v>1774</v>
      </c>
      <c r="G4">
        <v>1748</v>
      </c>
      <c r="H4">
        <v>898</v>
      </c>
      <c r="I4">
        <v>1664</v>
      </c>
      <c r="J4">
        <v>890</v>
      </c>
      <c r="K4">
        <v>8850</v>
      </c>
      <c r="L4">
        <v>4367</v>
      </c>
      <c r="M4">
        <v>46.5</v>
      </c>
      <c r="N4">
        <v>49.3</v>
      </c>
    </row>
    <row r="5" spans="1:14" x14ac:dyDescent="0.25">
      <c r="A5" t="s">
        <v>285</v>
      </c>
      <c r="B5">
        <v>23</v>
      </c>
      <c r="C5">
        <v>722</v>
      </c>
      <c r="D5">
        <v>425</v>
      </c>
      <c r="E5">
        <v>1894</v>
      </c>
      <c r="F5">
        <v>940</v>
      </c>
      <c r="G5">
        <v>386</v>
      </c>
      <c r="H5">
        <v>185</v>
      </c>
      <c r="I5">
        <v>241</v>
      </c>
      <c r="J5">
        <v>128</v>
      </c>
      <c r="K5">
        <v>3243</v>
      </c>
      <c r="L5">
        <v>1678</v>
      </c>
      <c r="M5">
        <v>49.6</v>
      </c>
      <c r="N5">
        <v>51.7</v>
      </c>
    </row>
    <row r="6" spans="1:14" x14ac:dyDescent="0.25">
      <c r="A6" t="s">
        <v>286</v>
      </c>
      <c r="B6">
        <v>27</v>
      </c>
      <c r="C6">
        <v>1180</v>
      </c>
      <c r="D6">
        <v>609</v>
      </c>
      <c r="E6">
        <v>1965</v>
      </c>
      <c r="F6">
        <v>948</v>
      </c>
      <c r="G6">
        <v>608</v>
      </c>
      <c r="H6">
        <v>222</v>
      </c>
      <c r="I6">
        <v>318</v>
      </c>
      <c r="J6">
        <v>118</v>
      </c>
      <c r="K6">
        <v>4071</v>
      </c>
      <c r="L6">
        <v>1897</v>
      </c>
      <c r="M6">
        <v>48.2</v>
      </c>
      <c r="N6">
        <v>46.6</v>
      </c>
    </row>
    <row r="7" spans="1:14" x14ac:dyDescent="0.25">
      <c r="A7" t="s">
        <v>287</v>
      </c>
      <c r="B7">
        <v>53</v>
      </c>
      <c r="C7">
        <v>2001</v>
      </c>
      <c r="D7">
        <v>1036</v>
      </c>
      <c r="E7">
        <v>3916</v>
      </c>
      <c r="F7">
        <v>1856</v>
      </c>
      <c r="G7">
        <v>718</v>
      </c>
      <c r="H7">
        <v>373</v>
      </c>
      <c r="I7">
        <v>229</v>
      </c>
      <c r="J7">
        <v>112</v>
      </c>
      <c r="K7">
        <v>6864</v>
      </c>
      <c r="L7">
        <v>3377</v>
      </c>
      <c r="M7">
        <v>47.4</v>
      </c>
      <c r="N7">
        <v>49.2</v>
      </c>
    </row>
    <row r="8" spans="1:14" x14ac:dyDescent="0.25">
      <c r="A8" t="s">
        <v>288</v>
      </c>
      <c r="B8">
        <v>46</v>
      </c>
      <c r="C8">
        <v>560</v>
      </c>
      <c r="D8">
        <v>263</v>
      </c>
      <c r="E8">
        <v>3320</v>
      </c>
      <c r="F8">
        <v>1423</v>
      </c>
      <c r="G8">
        <v>376</v>
      </c>
      <c r="H8">
        <v>181</v>
      </c>
      <c r="I8">
        <v>148</v>
      </c>
      <c r="J8">
        <v>66</v>
      </c>
      <c r="K8">
        <v>4404</v>
      </c>
      <c r="L8">
        <v>1933</v>
      </c>
      <c r="M8">
        <v>42.9</v>
      </c>
      <c r="N8">
        <v>43.9</v>
      </c>
    </row>
    <row r="9" spans="1:14" x14ac:dyDescent="0.25">
      <c r="A9" t="s">
        <v>289</v>
      </c>
      <c r="B9">
        <v>47</v>
      </c>
      <c r="C9">
        <v>1033</v>
      </c>
      <c r="D9">
        <v>492</v>
      </c>
      <c r="E9">
        <v>4908</v>
      </c>
      <c r="F9">
        <v>2556</v>
      </c>
      <c r="G9">
        <v>1648</v>
      </c>
      <c r="H9">
        <v>863</v>
      </c>
      <c r="I9">
        <v>1242</v>
      </c>
      <c r="J9">
        <v>652</v>
      </c>
      <c r="K9">
        <v>8831</v>
      </c>
      <c r="L9">
        <v>4563</v>
      </c>
      <c r="M9">
        <v>52.1</v>
      </c>
      <c r="N9">
        <v>51.7</v>
      </c>
    </row>
    <row r="10" spans="1:14" x14ac:dyDescent="0.25">
      <c r="A10" t="s">
        <v>290</v>
      </c>
      <c r="B10">
        <v>68</v>
      </c>
      <c r="C10">
        <v>2414</v>
      </c>
      <c r="D10">
        <v>1317</v>
      </c>
      <c r="E10">
        <v>5576</v>
      </c>
      <c r="F10">
        <v>2786</v>
      </c>
      <c r="G10">
        <v>2339</v>
      </c>
      <c r="H10">
        <v>1109</v>
      </c>
      <c r="I10">
        <v>1435</v>
      </c>
      <c r="J10">
        <v>646</v>
      </c>
      <c r="K10">
        <v>11764</v>
      </c>
      <c r="L10">
        <v>5858</v>
      </c>
      <c r="M10">
        <v>50</v>
      </c>
      <c r="N10">
        <v>49.8</v>
      </c>
    </row>
    <row r="11" spans="1:14" x14ac:dyDescent="0.25">
      <c r="A11" t="s">
        <v>291</v>
      </c>
      <c r="B11">
        <v>1</v>
      </c>
      <c r="C11">
        <v>0</v>
      </c>
      <c r="D11">
        <v>0</v>
      </c>
      <c r="E11">
        <v>781</v>
      </c>
      <c r="F11">
        <v>438</v>
      </c>
      <c r="G11">
        <v>0</v>
      </c>
      <c r="H11">
        <v>0</v>
      </c>
      <c r="I11">
        <v>0</v>
      </c>
      <c r="J11">
        <v>0</v>
      </c>
      <c r="K11">
        <v>781</v>
      </c>
      <c r="L11">
        <v>438</v>
      </c>
      <c r="M11">
        <v>56.1</v>
      </c>
      <c r="N11">
        <v>56.1</v>
      </c>
    </row>
    <row r="12" spans="1:14" x14ac:dyDescent="0.25">
      <c r="A12" t="s">
        <v>292</v>
      </c>
      <c r="B12">
        <v>17</v>
      </c>
      <c r="C12">
        <v>440</v>
      </c>
      <c r="D12">
        <v>238</v>
      </c>
      <c r="E12">
        <v>1491</v>
      </c>
      <c r="F12">
        <v>784</v>
      </c>
      <c r="G12">
        <v>195</v>
      </c>
      <c r="H12">
        <v>97</v>
      </c>
      <c r="I12">
        <v>19</v>
      </c>
      <c r="J12">
        <v>3</v>
      </c>
      <c r="K12">
        <v>2145</v>
      </c>
      <c r="L12">
        <v>1122</v>
      </c>
      <c r="M12">
        <v>52.6</v>
      </c>
      <c r="N12">
        <v>52.3</v>
      </c>
    </row>
    <row r="13" spans="1:14" x14ac:dyDescent="0.25">
      <c r="A13" t="s">
        <v>293</v>
      </c>
      <c r="B13">
        <v>9</v>
      </c>
      <c r="C13">
        <v>178</v>
      </c>
      <c r="D13">
        <v>96</v>
      </c>
      <c r="E13">
        <v>600</v>
      </c>
      <c r="F13">
        <v>315</v>
      </c>
      <c r="G13">
        <v>41</v>
      </c>
      <c r="H13">
        <v>20</v>
      </c>
      <c r="I13">
        <v>59</v>
      </c>
      <c r="J13">
        <v>35</v>
      </c>
      <c r="K13">
        <v>878</v>
      </c>
      <c r="L13">
        <v>466</v>
      </c>
      <c r="M13">
        <v>52.5</v>
      </c>
      <c r="N13">
        <v>53.1</v>
      </c>
    </row>
    <row r="14" spans="1:14" x14ac:dyDescent="0.25">
      <c r="A14" t="s">
        <v>294</v>
      </c>
      <c r="B14">
        <v>9</v>
      </c>
      <c r="C14">
        <v>131</v>
      </c>
      <c r="D14">
        <v>67</v>
      </c>
      <c r="E14">
        <v>267</v>
      </c>
      <c r="F14">
        <v>119</v>
      </c>
      <c r="G14">
        <v>89</v>
      </c>
      <c r="H14">
        <v>40</v>
      </c>
      <c r="I14">
        <v>39</v>
      </c>
      <c r="J14">
        <v>15</v>
      </c>
      <c r="K14">
        <v>526</v>
      </c>
      <c r="L14">
        <v>241</v>
      </c>
      <c r="M14">
        <v>44.6</v>
      </c>
      <c r="N14">
        <v>45.8</v>
      </c>
    </row>
    <row r="15" spans="1:14" x14ac:dyDescent="0.25">
      <c r="A15" t="s">
        <v>295</v>
      </c>
      <c r="B15">
        <v>12</v>
      </c>
      <c r="C15">
        <v>295</v>
      </c>
      <c r="D15">
        <v>147</v>
      </c>
      <c r="E15">
        <v>1439</v>
      </c>
      <c r="F15">
        <v>651</v>
      </c>
      <c r="G15">
        <v>0</v>
      </c>
      <c r="H15">
        <v>0</v>
      </c>
      <c r="I15">
        <v>0</v>
      </c>
      <c r="J15">
        <v>0</v>
      </c>
      <c r="K15">
        <v>1734</v>
      </c>
      <c r="L15">
        <v>798</v>
      </c>
      <c r="M15">
        <v>45.2</v>
      </c>
      <c r="N15">
        <v>46</v>
      </c>
    </row>
    <row r="16" spans="1:14" x14ac:dyDescent="0.25">
      <c r="A16" t="s">
        <v>296</v>
      </c>
      <c r="B16">
        <v>17</v>
      </c>
      <c r="C16">
        <v>522</v>
      </c>
      <c r="D16">
        <v>275</v>
      </c>
      <c r="E16">
        <v>1090</v>
      </c>
      <c r="F16">
        <v>541</v>
      </c>
      <c r="G16">
        <v>0</v>
      </c>
      <c r="H16">
        <v>0</v>
      </c>
      <c r="I16">
        <v>0</v>
      </c>
      <c r="J16">
        <v>0</v>
      </c>
      <c r="K16">
        <v>1612</v>
      </c>
      <c r="L16">
        <v>816</v>
      </c>
      <c r="M16">
        <v>49.6</v>
      </c>
      <c r="N16">
        <v>50.6</v>
      </c>
    </row>
    <row r="17" spans="1:14" x14ac:dyDescent="0.25">
      <c r="A17" t="s">
        <v>297</v>
      </c>
      <c r="B17">
        <v>529</v>
      </c>
      <c r="C17">
        <v>16742</v>
      </c>
      <c r="D17">
        <v>8241</v>
      </c>
      <c r="E17">
        <v>61219</v>
      </c>
      <c r="F17">
        <v>30557</v>
      </c>
      <c r="G17">
        <v>21024</v>
      </c>
      <c r="H17">
        <v>10567</v>
      </c>
      <c r="I17">
        <v>15781</v>
      </c>
      <c r="J17">
        <v>7903</v>
      </c>
      <c r="K17">
        <v>114766</v>
      </c>
      <c r="L17">
        <v>57268</v>
      </c>
      <c r="M17">
        <v>49.9</v>
      </c>
      <c r="N17">
        <v>49.9</v>
      </c>
    </row>
    <row r="18" spans="1:14" x14ac:dyDescent="0.25">
      <c r="A18" t="s">
        <v>298</v>
      </c>
      <c r="B18">
        <v>58</v>
      </c>
      <c r="C18">
        <v>1951</v>
      </c>
      <c r="D18">
        <v>922</v>
      </c>
      <c r="E18">
        <v>4387</v>
      </c>
      <c r="F18">
        <v>2097</v>
      </c>
      <c r="G18">
        <v>1086</v>
      </c>
      <c r="H18">
        <v>544</v>
      </c>
      <c r="I18">
        <v>735</v>
      </c>
      <c r="J18">
        <v>349</v>
      </c>
      <c r="K18">
        <v>8159</v>
      </c>
      <c r="L18">
        <v>3912</v>
      </c>
      <c r="M18">
        <v>47.8</v>
      </c>
      <c r="N18">
        <v>47.9</v>
      </c>
    </row>
    <row r="19" spans="1:14" x14ac:dyDescent="0.25">
      <c r="A19" t="s">
        <v>299</v>
      </c>
      <c r="B19">
        <v>5</v>
      </c>
      <c r="C19">
        <v>81</v>
      </c>
      <c r="D19">
        <v>27</v>
      </c>
      <c r="E19">
        <v>110</v>
      </c>
      <c r="F19">
        <v>50</v>
      </c>
      <c r="G19">
        <v>0</v>
      </c>
      <c r="H19">
        <v>0</v>
      </c>
      <c r="I19">
        <v>0</v>
      </c>
      <c r="J19">
        <v>0</v>
      </c>
      <c r="K19">
        <v>191</v>
      </c>
      <c r="L19">
        <v>77</v>
      </c>
      <c r="M19">
        <v>45.5</v>
      </c>
      <c r="N19">
        <v>40.299999999999997</v>
      </c>
    </row>
    <row r="20" spans="1:14" x14ac:dyDescent="0.25">
      <c r="A20" t="s">
        <v>300</v>
      </c>
      <c r="B20">
        <v>5</v>
      </c>
      <c r="C20">
        <v>106</v>
      </c>
      <c r="D20">
        <v>59</v>
      </c>
      <c r="E20">
        <v>46</v>
      </c>
      <c r="F20">
        <v>16</v>
      </c>
      <c r="G20">
        <v>0</v>
      </c>
      <c r="H20">
        <v>0</v>
      </c>
      <c r="I20">
        <v>135</v>
      </c>
      <c r="J20">
        <v>86</v>
      </c>
      <c r="K20">
        <v>287</v>
      </c>
      <c r="L20">
        <v>161</v>
      </c>
      <c r="M20">
        <v>34.799999999999997</v>
      </c>
      <c r="N20">
        <v>56.1</v>
      </c>
    </row>
    <row r="21" spans="1:14" x14ac:dyDescent="0.25">
      <c r="A21" t="s">
        <v>301</v>
      </c>
      <c r="B21">
        <v>10</v>
      </c>
      <c r="C21">
        <v>577</v>
      </c>
      <c r="D21">
        <v>294</v>
      </c>
      <c r="E21">
        <v>317</v>
      </c>
      <c r="F21">
        <v>156</v>
      </c>
      <c r="G21">
        <v>0</v>
      </c>
      <c r="H21">
        <v>0</v>
      </c>
      <c r="I21">
        <v>0</v>
      </c>
      <c r="J21">
        <v>0</v>
      </c>
      <c r="K21">
        <v>894</v>
      </c>
      <c r="L21">
        <v>450</v>
      </c>
      <c r="M21">
        <v>49.2</v>
      </c>
      <c r="N21">
        <v>50.3</v>
      </c>
    </row>
    <row r="22" spans="1:14" x14ac:dyDescent="0.25">
      <c r="A22" t="s">
        <v>302</v>
      </c>
      <c r="B22">
        <v>12</v>
      </c>
      <c r="C22">
        <v>649</v>
      </c>
      <c r="D22">
        <v>302</v>
      </c>
      <c r="E22">
        <v>1224</v>
      </c>
      <c r="F22">
        <v>602</v>
      </c>
      <c r="G22">
        <v>349</v>
      </c>
      <c r="H22">
        <v>162</v>
      </c>
      <c r="I22">
        <v>177</v>
      </c>
      <c r="J22">
        <v>78</v>
      </c>
      <c r="K22">
        <v>2399</v>
      </c>
      <c r="L22">
        <v>1144</v>
      </c>
      <c r="M22">
        <v>49.2</v>
      </c>
      <c r="N22">
        <v>47.7</v>
      </c>
    </row>
    <row r="23" spans="1:14" x14ac:dyDescent="0.25">
      <c r="A23" t="s">
        <v>303</v>
      </c>
      <c r="B23">
        <v>71</v>
      </c>
      <c r="C23">
        <v>1727</v>
      </c>
      <c r="D23">
        <v>925</v>
      </c>
      <c r="E23">
        <v>3170</v>
      </c>
      <c r="F23">
        <v>1581</v>
      </c>
      <c r="G23">
        <v>764</v>
      </c>
      <c r="H23">
        <v>385</v>
      </c>
      <c r="I23">
        <v>543</v>
      </c>
      <c r="J23">
        <v>280</v>
      </c>
      <c r="K23">
        <v>6204</v>
      </c>
      <c r="L23">
        <v>3171</v>
      </c>
      <c r="M23">
        <v>49.9</v>
      </c>
      <c r="N23">
        <v>51.1</v>
      </c>
    </row>
    <row r="24" spans="1:14" x14ac:dyDescent="0.25">
      <c r="A24" t="s">
        <v>304</v>
      </c>
      <c r="B24">
        <v>11</v>
      </c>
      <c r="C24">
        <v>402</v>
      </c>
      <c r="D24">
        <v>200</v>
      </c>
      <c r="E24">
        <v>292</v>
      </c>
      <c r="F24">
        <v>143</v>
      </c>
      <c r="G24">
        <v>64</v>
      </c>
      <c r="H24">
        <v>35</v>
      </c>
      <c r="I24">
        <v>11</v>
      </c>
      <c r="J24">
        <v>9</v>
      </c>
      <c r="K24">
        <v>769</v>
      </c>
      <c r="L24">
        <v>387</v>
      </c>
      <c r="M24">
        <v>49</v>
      </c>
      <c r="N24">
        <v>50.3</v>
      </c>
    </row>
    <row r="25" spans="1:14" x14ac:dyDescent="0.25">
      <c r="A25" t="s">
        <v>305</v>
      </c>
      <c r="B25">
        <v>10</v>
      </c>
      <c r="C25">
        <v>227</v>
      </c>
      <c r="D25">
        <v>121</v>
      </c>
      <c r="E25">
        <v>236</v>
      </c>
      <c r="F25">
        <v>100</v>
      </c>
      <c r="G25">
        <v>0</v>
      </c>
      <c r="H25">
        <v>0</v>
      </c>
      <c r="I25">
        <v>0</v>
      </c>
      <c r="J25">
        <v>0</v>
      </c>
      <c r="K25">
        <v>463</v>
      </c>
      <c r="L25">
        <v>221</v>
      </c>
      <c r="M25">
        <v>42.4</v>
      </c>
      <c r="N25">
        <v>47.7</v>
      </c>
    </row>
    <row r="26" spans="1:14" x14ac:dyDescent="0.25">
      <c r="A26" t="s">
        <v>306</v>
      </c>
      <c r="B26">
        <v>51</v>
      </c>
      <c r="C26">
        <v>1240</v>
      </c>
      <c r="D26">
        <v>589</v>
      </c>
      <c r="E26">
        <v>2854</v>
      </c>
      <c r="F26">
        <v>1401</v>
      </c>
      <c r="G26">
        <v>748</v>
      </c>
      <c r="H26">
        <v>365</v>
      </c>
      <c r="I26">
        <v>568</v>
      </c>
      <c r="J26">
        <v>265</v>
      </c>
      <c r="K26">
        <v>5410</v>
      </c>
      <c r="L26">
        <v>2620</v>
      </c>
      <c r="M26">
        <v>49.1</v>
      </c>
      <c r="N26">
        <v>48.4</v>
      </c>
    </row>
    <row r="27" spans="1:14" x14ac:dyDescent="0.25">
      <c r="A27" t="s">
        <v>307</v>
      </c>
      <c r="B27">
        <v>26</v>
      </c>
      <c r="C27">
        <v>474</v>
      </c>
      <c r="D27">
        <v>231</v>
      </c>
      <c r="E27">
        <v>1866</v>
      </c>
      <c r="F27">
        <v>1013</v>
      </c>
      <c r="G27">
        <v>1857</v>
      </c>
      <c r="H27">
        <v>1072</v>
      </c>
      <c r="I27">
        <v>675</v>
      </c>
      <c r="J27">
        <v>496</v>
      </c>
      <c r="K27">
        <v>4872</v>
      </c>
      <c r="L27">
        <v>2812</v>
      </c>
      <c r="M27">
        <v>54.3</v>
      </c>
      <c r="N27">
        <v>57.7</v>
      </c>
    </row>
    <row r="28" spans="1:14" x14ac:dyDescent="0.25">
      <c r="A28" t="s">
        <v>266</v>
      </c>
      <c r="B28">
        <v>1307</v>
      </c>
      <c r="C28">
        <v>37701</v>
      </c>
      <c r="D28">
        <v>18824</v>
      </c>
      <c r="E28">
        <v>118436</v>
      </c>
      <c r="F28">
        <v>58478</v>
      </c>
      <c r="G28">
        <v>37719</v>
      </c>
      <c r="H28">
        <v>19011</v>
      </c>
      <c r="I28">
        <v>25962</v>
      </c>
      <c r="J28">
        <v>13112</v>
      </c>
      <c r="K28">
        <v>219818</v>
      </c>
      <c r="L28">
        <v>109425</v>
      </c>
      <c r="M28">
        <v>49.4</v>
      </c>
      <c r="N28">
        <v>49.8</v>
      </c>
    </row>
    <row r="29" spans="1:14" x14ac:dyDescent="0.25">
      <c r="A29" t="s">
        <v>459</v>
      </c>
      <c r="B29">
        <v>1007</v>
      </c>
      <c r="C29">
        <v>30568</v>
      </c>
      <c r="D29">
        <v>15168</v>
      </c>
      <c r="E29">
        <v>96297</v>
      </c>
      <c r="F29">
        <v>47753</v>
      </c>
      <c r="G29">
        <v>31644</v>
      </c>
      <c r="H29">
        <v>16022</v>
      </c>
      <c r="I29">
        <v>23314</v>
      </c>
      <c r="J29">
        <v>11763</v>
      </c>
      <c r="K29">
        <v>181823</v>
      </c>
      <c r="L29">
        <v>90706</v>
      </c>
      <c r="M29">
        <v>49.6</v>
      </c>
      <c r="N29">
        <v>49.9</v>
      </c>
    </row>
    <row r="30" spans="1:14" x14ac:dyDescent="0.25">
      <c r="A30" t="s">
        <v>460</v>
      </c>
      <c r="B30">
        <v>300</v>
      </c>
      <c r="C30">
        <v>7133</v>
      </c>
      <c r="D30">
        <v>3656</v>
      </c>
      <c r="E30">
        <v>22139</v>
      </c>
      <c r="F30">
        <v>10725</v>
      </c>
      <c r="G30">
        <v>6075</v>
      </c>
      <c r="H30">
        <v>2989</v>
      </c>
      <c r="I30">
        <v>2648</v>
      </c>
      <c r="J30">
        <v>1349</v>
      </c>
      <c r="K30">
        <v>37995</v>
      </c>
      <c r="L30">
        <v>18719</v>
      </c>
      <c r="M30">
        <v>48.4</v>
      </c>
      <c r="N30">
        <v>49.3</v>
      </c>
    </row>
  </sheetData>
  <mergeCells count="8">
    <mergeCell ref="M1:N1"/>
    <mergeCell ref="I1:J1"/>
    <mergeCell ref="A1:A2"/>
    <mergeCell ref="C1:D1"/>
    <mergeCell ref="G1:H1"/>
    <mergeCell ref="E1:F1"/>
    <mergeCell ref="K1:L1"/>
    <mergeCell ref="B1:B2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5B9BD5"/>
  </sheetPr>
  <dimension ref="A1:P30"/>
  <sheetViews>
    <sheetView workbookViewId="0"/>
  </sheetViews>
  <sheetFormatPr defaultRowHeight="15" x14ac:dyDescent="0.25"/>
  <cols>
    <col min="1" max="1" width="19.140625" customWidth="1"/>
    <col min="2" max="2" width="10.140625" customWidth="1"/>
    <col min="3" max="3" width="10" customWidth="1"/>
    <col min="4" max="4" width="10.140625" customWidth="1"/>
    <col min="5" max="5" width="11.140625" customWidth="1"/>
    <col min="6" max="6" width="10.42578125" customWidth="1"/>
    <col min="9" max="9" width="10.85546875" customWidth="1"/>
    <col min="10" max="10" width="10.7109375" customWidth="1"/>
    <col min="11" max="11" width="10.42578125" customWidth="1"/>
    <col min="12" max="12" width="10.7109375" customWidth="1"/>
    <col min="13" max="13" width="10.85546875" customWidth="1"/>
    <col min="14" max="14" width="11.140625" customWidth="1"/>
    <col min="15" max="15" width="10.85546875" customWidth="1"/>
  </cols>
  <sheetData>
    <row r="1" spans="1:16" x14ac:dyDescent="0.25">
      <c r="A1" s="29" t="s">
        <v>252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2684</v>
      </c>
      <c r="C3">
        <v>1298</v>
      </c>
      <c r="D3">
        <v>11669</v>
      </c>
      <c r="E3">
        <v>1682</v>
      </c>
      <c r="F3">
        <v>1382</v>
      </c>
      <c r="G3">
        <v>538</v>
      </c>
      <c r="H3">
        <v>3910</v>
      </c>
      <c r="I3">
        <v>1164</v>
      </c>
      <c r="J3">
        <v>832</v>
      </c>
      <c r="K3">
        <v>441</v>
      </c>
      <c r="L3">
        <v>2079</v>
      </c>
      <c r="M3">
        <v>419</v>
      </c>
      <c r="N3">
        <v>14.4</v>
      </c>
      <c r="O3">
        <v>29.8</v>
      </c>
      <c r="P3">
        <v>21.2</v>
      </c>
    </row>
    <row r="4" spans="1:16" x14ac:dyDescent="0.25">
      <c r="A4" t="s">
        <v>284</v>
      </c>
      <c r="B4">
        <v>912</v>
      </c>
      <c r="C4">
        <v>630</v>
      </c>
      <c r="D4">
        <v>4030</v>
      </c>
      <c r="E4">
        <v>390</v>
      </c>
      <c r="F4">
        <v>622</v>
      </c>
      <c r="G4">
        <v>329</v>
      </c>
      <c r="H4">
        <v>1875</v>
      </c>
      <c r="I4">
        <v>432</v>
      </c>
      <c r="J4">
        <v>599</v>
      </c>
      <c r="K4">
        <v>441</v>
      </c>
      <c r="L4">
        <v>1763</v>
      </c>
      <c r="M4">
        <v>306</v>
      </c>
      <c r="N4">
        <v>9.6999999999999993</v>
      </c>
      <c r="O4">
        <v>23</v>
      </c>
      <c r="P4">
        <v>25</v>
      </c>
    </row>
    <row r="5" spans="1:16" x14ac:dyDescent="0.25">
      <c r="A5" t="s">
        <v>285</v>
      </c>
      <c r="B5">
        <v>482</v>
      </c>
      <c r="C5">
        <v>192</v>
      </c>
      <c r="D5">
        <v>2264</v>
      </c>
      <c r="E5">
        <v>545</v>
      </c>
      <c r="F5">
        <v>230</v>
      </c>
      <c r="G5">
        <v>136</v>
      </c>
      <c r="H5">
        <v>742</v>
      </c>
      <c r="I5">
        <v>87</v>
      </c>
      <c r="J5">
        <v>163</v>
      </c>
      <c r="K5">
        <v>39</v>
      </c>
      <c r="L5">
        <v>371</v>
      </c>
      <c r="M5">
        <v>116</v>
      </c>
      <c r="N5">
        <v>24.1</v>
      </c>
      <c r="O5">
        <v>11.7</v>
      </c>
      <c r="P5">
        <v>10.5</v>
      </c>
    </row>
    <row r="6" spans="1:16" x14ac:dyDescent="0.25">
      <c r="A6" t="s">
        <v>286</v>
      </c>
      <c r="B6">
        <v>437</v>
      </c>
      <c r="C6">
        <v>337</v>
      </c>
      <c r="D6">
        <v>1920</v>
      </c>
      <c r="E6">
        <v>94</v>
      </c>
      <c r="F6">
        <v>240</v>
      </c>
      <c r="G6">
        <v>141</v>
      </c>
      <c r="H6">
        <v>656</v>
      </c>
      <c r="I6">
        <v>120</v>
      </c>
      <c r="J6">
        <v>137</v>
      </c>
      <c r="K6">
        <v>64</v>
      </c>
      <c r="L6">
        <v>356</v>
      </c>
      <c r="M6">
        <v>69</v>
      </c>
      <c r="N6">
        <v>4.9000000000000004</v>
      </c>
      <c r="O6">
        <v>18.3</v>
      </c>
      <c r="P6">
        <v>18</v>
      </c>
    </row>
    <row r="7" spans="1:16" x14ac:dyDescent="0.25">
      <c r="A7" t="s">
        <v>287</v>
      </c>
      <c r="B7">
        <v>1235</v>
      </c>
      <c r="C7">
        <v>903</v>
      </c>
      <c r="D7">
        <v>4545</v>
      </c>
      <c r="E7">
        <v>531</v>
      </c>
      <c r="F7">
        <v>329</v>
      </c>
      <c r="G7">
        <v>129</v>
      </c>
      <c r="H7">
        <v>709</v>
      </c>
      <c r="I7">
        <v>185</v>
      </c>
      <c r="J7">
        <v>91</v>
      </c>
      <c r="K7">
        <v>64</v>
      </c>
      <c r="L7">
        <v>239</v>
      </c>
      <c r="M7">
        <v>53</v>
      </c>
      <c r="N7">
        <v>11.7</v>
      </c>
      <c r="O7">
        <v>26.1</v>
      </c>
      <c r="P7">
        <v>26.8</v>
      </c>
    </row>
    <row r="8" spans="1:16" x14ac:dyDescent="0.25">
      <c r="A8" t="s">
        <v>288</v>
      </c>
      <c r="B8">
        <v>864</v>
      </c>
      <c r="C8">
        <v>769</v>
      </c>
      <c r="D8">
        <v>2938</v>
      </c>
      <c r="E8">
        <v>167</v>
      </c>
      <c r="F8">
        <v>219</v>
      </c>
      <c r="G8">
        <v>104</v>
      </c>
      <c r="H8">
        <v>557</v>
      </c>
      <c r="I8">
        <v>126</v>
      </c>
      <c r="J8">
        <v>91</v>
      </c>
      <c r="K8">
        <v>76</v>
      </c>
      <c r="L8">
        <v>228</v>
      </c>
      <c r="M8">
        <v>31</v>
      </c>
      <c r="N8">
        <v>5.7</v>
      </c>
      <c r="O8">
        <v>22.6</v>
      </c>
      <c r="P8">
        <v>33.299999999999997</v>
      </c>
    </row>
    <row r="9" spans="1:16" x14ac:dyDescent="0.25">
      <c r="A9" t="s">
        <v>289</v>
      </c>
      <c r="B9">
        <v>1344</v>
      </c>
      <c r="C9">
        <v>505</v>
      </c>
      <c r="D9">
        <v>5120</v>
      </c>
      <c r="E9">
        <v>2268</v>
      </c>
      <c r="F9">
        <v>585</v>
      </c>
      <c r="G9">
        <v>177</v>
      </c>
      <c r="H9">
        <v>1548</v>
      </c>
      <c r="I9">
        <v>596</v>
      </c>
      <c r="J9">
        <v>391</v>
      </c>
      <c r="K9">
        <v>349</v>
      </c>
      <c r="L9">
        <v>1146</v>
      </c>
      <c r="M9">
        <v>139</v>
      </c>
      <c r="N9">
        <v>44.3</v>
      </c>
      <c r="O9">
        <v>38.5</v>
      </c>
      <c r="P9">
        <v>30.5</v>
      </c>
    </row>
    <row r="10" spans="1:16" x14ac:dyDescent="0.25">
      <c r="A10" t="s">
        <v>290</v>
      </c>
      <c r="B10">
        <v>1771</v>
      </c>
      <c r="C10">
        <v>1087</v>
      </c>
      <c r="D10">
        <v>7462</v>
      </c>
      <c r="E10">
        <v>1426</v>
      </c>
      <c r="F10">
        <v>875</v>
      </c>
      <c r="G10">
        <v>490</v>
      </c>
      <c r="H10">
        <v>2456</v>
      </c>
      <c r="I10">
        <v>484</v>
      </c>
      <c r="J10">
        <v>647</v>
      </c>
      <c r="K10">
        <v>275</v>
      </c>
      <c r="L10">
        <v>1654</v>
      </c>
      <c r="M10">
        <v>379</v>
      </c>
      <c r="N10">
        <v>19.100000000000001</v>
      </c>
      <c r="O10">
        <v>19.7</v>
      </c>
      <c r="P10">
        <v>16.600000000000001</v>
      </c>
    </row>
    <row r="11" spans="1:16" x14ac:dyDescent="0.25">
      <c r="A11" t="s">
        <v>291</v>
      </c>
      <c r="B11">
        <v>214</v>
      </c>
      <c r="C11">
        <v>0</v>
      </c>
      <c r="D11">
        <v>499</v>
      </c>
      <c r="E11">
        <v>491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98.4</v>
      </c>
      <c r="O11">
        <v>0</v>
      </c>
      <c r="P11">
        <v>0</v>
      </c>
    </row>
    <row r="12" spans="1:16" x14ac:dyDescent="0.25">
      <c r="A12" t="s">
        <v>292</v>
      </c>
      <c r="B12">
        <v>428</v>
      </c>
      <c r="C12">
        <v>175</v>
      </c>
      <c r="D12">
        <v>1611</v>
      </c>
      <c r="E12">
        <v>271</v>
      </c>
      <c r="F12">
        <v>46</v>
      </c>
      <c r="G12">
        <v>29</v>
      </c>
      <c r="H12">
        <v>159</v>
      </c>
      <c r="I12">
        <v>54</v>
      </c>
      <c r="J12">
        <v>0</v>
      </c>
      <c r="K12">
        <v>0</v>
      </c>
      <c r="L12">
        <v>0</v>
      </c>
      <c r="M12">
        <v>0</v>
      </c>
      <c r="N12">
        <v>16.8</v>
      </c>
      <c r="O12">
        <v>34</v>
      </c>
      <c r="P12">
        <v>0</v>
      </c>
    </row>
    <row r="13" spans="1:16" x14ac:dyDescent="0.25">
      <c r="A13" t="s">
        <v>293</v>
      </c>
      <c r="B13">
        <v>523</v>
      </c>
      <c r="C13">
        <v>52</v>
      </c>
      <c r="D13">
        <v>892</v>
      </c>
      <c r="E13">
        <v>640</v>
      </c>
      <c r="F13">
        <v>21</v>
      </c>
      <c r="G13">
        <v>6</v>
      </c>
      <c r="H13">
        <v>58</v>
      </c>
      <c r="I13">
        <v>21</v>
      </c>
      <c r="J13">
        <v>14</v>
      </c>
      <c r="K13">
        <v>22</v>
      </c>
      <c r="L13">
        <v>59</v>
      </c>
      <c r="M13">
        <v>9</v>
      </c>
      <c r="N13">
        <v>71.7</v>
      </c>
      <c r="O13">
        <v>36.200000000000003</v>
      </c>
      <c r="P13">
        <v>37.299999999999997</v>
      </c>
    </row>
    <row r="14" spans="1:16" x14ac:dyDescent="0.25">
      <c r="A14" t="s">
        <v>294</v>
      </c>
      <c r="B14">
        <v>91</v>
      </c>
      <c r="C14">
        <v>55</v>
      </c>
      <c r="D14">
        <v>303</v>
      </c>
      <c r="E14">
        <v>11</v>
      </c>
      <c r="F14">
        <v>33</v>
      </c>
      <c r="G14">
        <v>13</v>
      </c>
      <c r="H14">
        <v>101</v>
      </c>
      <c r="I14">
        <v>25</v>
      </c>
      <c r="J14">
        <v>18</v>
      </c>
      <c r="K14">
        <v>10</v>
      </c>
      <c r="L14">
        <v>46</v>
      </c>
      <c r="M14">
        <v>7</v>
      </c>
      <c r="N14">
        <v>3.6</v>
      </c>
      <c r="O14">
        <v>24.8</v>
      </c>
      <c r="P14">
        <v>21.7</v>
      </c>
    </row>
    <row r="15" spans="1:16" x14ac:dyDescent="0.25">
      <c r="A15" t="s">
        <v>295</v>
      </c>
      <c r="B15">
        <v>429</v>
      </c>
      <c r="C15">
        <v>375</v>
      </c>
      <c r="D15">
        <v>1698</v>
      </c>
      <c r="E15">
        <v>132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7.8</v>
      </c>
      <c r="O15">
        <v>0</v>
      </c>
      <c r="P15">
        <v>0</v>
      </c>
    </row>
    <row r="16" spans="1:16" x14ac:dyDescent="0.25">
      <c r="A16" t="s">
        <v>296</v>
      </c>
      <c r="B16">
        <v>330</v>
      </c>
      <c r="C16">
        <v>211</v>
      </c>
      <c r="D16">
        <v>1239</v>
      </c>
      <c r="E16">
        <v>119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9.6</v>
      </c>
      <c r="O16">
        <v>0</v>
      </c>
      <c r="P16">
        <v>0</v>
      </c>
    </row>
    <row r="17" spans="1:16" x14ac:dyDescent="0.25">
      <c r="A17" t="s">
        <v>297</v>
      </c>
      <c r="B17">
        <v>13761</v>
      </c>
      <c r="C17">
        <v>10339</v>
      </c>
      <c r="D17">
        <v>63948</v>
      </c>
      <c r="E17">
        <v>4312</v>
      </c>
      <c r="F17">
        <v>7643</v>
      </c>
      <c r="G17">
        <v>4199</v>
      </c>
      <c r="H17">
        <v>21630</v>
      </c>
      <c r="I17">
        <v>3675</v>
      </c>
      <c r="J17">
        <v>5447</v>
      </c>
      <c r="K17">
        <v>2059</v>
      </c>
      <c r="L17">
        <v>14969</v>
      </c>
      <c r="M17">
        <v>3518</v>
      </c>
      <c r="N17">
        <v>6.7</v>
      </c>
      <c r="O17">
        <v>17</v>
      </c>
      <c r="P17">
        <v>13.8</v>
      </c>
    </row>
    <row r="18" spans="1:16" x14ac:dyDescent="0.25">
      <c r="A18" t="s">
        <v>298</v>
      </c>
      <c r="B18">
        <v>1234</v>
      </c>
      <c r="C18">
        <v>430</v>
      </c>
      <c r="D18">
        <v>4862</v>
      </c>
      <c r="E18">
        <v>905</v>
      </c>
      <c r="F18">
        <v>418</v>
      </c>
      <c r="G18">
        <v>187</v>
      </c>
      <c r="H18">
        <v>1173</v>
      </c>
      <c r="I18">
        <v>252</v>
      </c>
      <c r="J18">
        <v>311</v>
      </c>
      <c r="K18">
        <v>221</v>
      </c>
      <c r="L18">
        <v>833</v>
      </c>
      <c r="M18">
        <v>167</v>
      </c>
      <c r="N18">
        <v>18.600000000000001</v>
      </c>
      <c r="O18">
        <v>21.5</v>
      </c>
      <c r="P18">
        <v>26.5</v>
      </c>
    </row>
    <row r="19" spans="1:16" x14ac:dyDescent="0.25">
      <c r="A19" t="s">
        <v>299</v>
      </c>
      <c r="B19">
        <v>60</v>
      </c>
      <c r="C19">
        <v>56</v>
      </c>
      <c r="D19">
        <v>126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0.8</v>
      </c>
      <c r="O19">
        <v>0</v>
      </c>
      <c r="P19">
        <v>0</v>
      </c>
    </row>
    <row r="20" spans="1:16" x14ac:dyDescent="0.25">
      <c r="A20" t="s">
        <v>300</v>
      </c>
      <c r="B20">
        <v>14</v>
      </c>
      <c r="C20">
        <v>14</v>
      </c>
      <c r="D20">
        <v>37</v>
      </c>
      <c r="E20">
        <v>0</v>
      </c>
      <c r="F20">
        <v>0</v>
      </c>
      <c r="G20">
        <v>0</v>
      </c>
      <c r="H20">
        <v>0</v>
      </c>
      <c r="I20">
        <v>0</v>
      </c>
      <c r="J20">
        <v>45</v>
      </c>
      <c r="K20">
        <v>22</v>
      </c>
      <c r="L20">
        <v>135</v>
      </c>
      <c r="M20">
        <v>37</v>
      </c>
      <c r="N20">
        <v>0</v>
      </c>
      <c r="O20">
        <v>0</v>
      </c>
      <c r="P20">
        <v>16.3</v>
      </c>
    </row>
    <row r="21" spans="1:16" x14ac:dyDescent="0.25">
      <c r="A21" t="s">
        <v>301</v>
      </c>
      <c r="B21">
        <v>61</v>
      </c>
      <c r="C21">
        <v>59</v>
      </c>
      <c r="D21">
        <v>130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 t="s">
        <v>302</v>
      </c>
      <c r="B22">
        <v>343</v>
      </c>
      <c r="C22">
        <v>263</v>
      </c>
      <c r="D22">
        <v>1135</v>
      </c>
      <c r="E22">
        <v>36</v>
      </c>
      <c r="F22">
        <v>125</v>
      </c>
      <c r="G22">
        <v>90</v>
      </c>
      <c r="H22">
        <v>313</v>
      </c>
      <c r="I22">
        <v>29</v>
      </c>
      <c r="J22">
        <v>76</v>
      </c>
      <c r="K22">
        <v>43</v>
      </c>
      <c r="L22">
        <v>224</v>
      </c>
      <c r="M22">
        <v>50</v>
      </c>
      <c r="N22">
        <v>3.2</v>
      </c>
      <c r="O22">
        <v>9.3000000000000007</v>
      </c>
      <c r="P22">
        <v>19.2</v>
      </c>
    </row>
    <row r="23" spans="1:16" x14ac:dyDescent="0.25">
      <c r="A23" t="s">
        <v>303</v>
      </c>
      <c r="B23">
        <v>1427</v>
      </c>
      <c r="C23">
        <v>963</v>
      </c>
      <c r="D23">
        <v>6234</v>
      </c>
      <c r="E23">
        <v>505</v>
      </c>
      <c r="F23">
        <v>821</v>
      </c>
      <c r="G23">
        <v>498</v>
      </c>
      <c r="H23">
        <v>2503</v>
      </c>
      <c r="I23">
        <v>465</v>
      </c>
      <c r="J23">
        <v>664</v>
      </c>
      <c r="K23">
        <v>316</v>
      </c>
      <c r="L23">
        <v>1777</v>
      </c>
      <c r="M23">
        <v>356</v>
      </c>
      <c r="N23">
        <v>8.1</v>
      </c>
      <c r="O23">
        <v>18.600000000000001</v>
      </c>
      <c r="P23">
        <v>17.8</v>
      </c>
    </row>
    <row r="24" spans="1:16" x14ac:dyDescent="0.25">
      <c r="A24" t="s">
        <v>304</v>
      </c>
      <c r="B24">
        <v>122</v>
      </c>
      <c r="C24">
        <v>106</v>
      </c>
      <c r="D24">
        <v>344</v>
      </c>
      <c r="E24">
        <v>0</v>
      </c>
      <c r="F24">
        <v>37</v>
      </c>
      <c r="G24">
        <v>37</v>
      </c>
      <c r="H24">
        <v>73</v>
      </c>
      <c r="I24">
        <v>0</v>
      </c>
      <c r="J24">
        <v>15</v>
      </c>
      <c r="K24">
        <v>0</v>
      </c>
      <c r="L24">
        <v>22</v>
      </c>
      <c r="M24">
        <v>15</v>
      </c>
      <c r="N24">
        <v>0</v>
      </c>
      <c r="O24">
        <v>0</v>
      </c>
      <c r="P24">
        <v>0</v>
      </c>
    </row>
    <row r="25" spans="1:16" x14ac:dyDescent="0.25">
      <c r="A25" t="s">
        <v>305</v>
      </c>
      <c r="B25">
        <v>71</v>
      </c>
      <c r="C25">
        <v>65</v>
      </c>
      <c r="D25">
        <v>214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3.3</v>
      </c>
      <c r="O25">
        <v>0</v>
      </c>
      <c r="P25">
        <v>0</v>
      </c>
    </row>
    <row r="26" spans="1:16" x14ac:dyDescent="0.25">
      <c r="A26" t="s">
        <v>306</v>
      </c>
      <c r="B26">
        <v>823</v>
      </c>
      <c r="C26">
        <v>518</v>
      </c>
      <c r="D26">
        <v>3187</v>
      </c>
      <c r="E26">
        <v>310</v>
      </c>
      <c r="F26">
        <v>220</v>
      </c>
      <c r="G26">
        <v>91</v>
      </c>
      <c r="H26">
        <v>658</v>
      </c>
      <c r="I26">
        <v>149</v>
      </c>
      <c r="J26">
        <v>218</v>
      </c>
      <c r="K26">
        <v>131</v>
      </c>
      <c r="L26">
        <v>570</v>
      </c>
      <c r="M26">
        <v>90</v>
      </c>
      <c r="N26">
        <v>9.6999999999999993</v>
      </c>
      <c r="O26">
        <v>22.6</v>
      </c>
      <c r="P26">
        <v>23</v>
      </c>
    </row>
    <row r="27" spans="1:16" x14ac:dyDescent="0.25">
      <c r="A27" t="s">
        <v>307</v>
      </c>
      <c r="B27">
        <v>386</v>
      </c>
      <c r="C27">
        <v>211</v>
      </c>
      <c r="D27">
        <v>1765</v>
      </c>
      <c r="E27">
        <v>287</v>
      </c>
      <c r="F27">
        <v>706</v>
      </c>
      <c r="G27">
        <v>123</v>
      </c>
      <c r="H27">
        <v>1778</v>
      </c>
      <c r="I27">
        <v>837</v>
      </c>
      <c r="J27">
        <v>292</v>
      </c>
      <c r="K27">
        <v>232</v>
      </c>
      <c r="L27">
        <v>606</v>
      </c>
      <c r="M27">
        <v>81</v>
      </c>
      <c r="N27">
        <v>16.3</v>
      </c>
      <c r="O27">
        <v>47.1</v>
      </c>
      <c r="P27">
        <v>38.299999999999997</v>
      </c>
    </row>
    <row r="28" spans="1:16" x14ac:dyDescent="0.25">
      <c r="A28" t="s">
        <v>266</v>
      </c>
      <c r="B28">
        <v>30046</v>
      </c>
      <c r="C28">
        <v>19613</v>
      </c>
      <c r="D28">
        <v>128172</v>
      </c>
      <c r="E28">
        <v>15130</v>
      </c>
      <c r="F28">
        <v>14552</v>
      </c>
      <c r="G28">
        <v>7317</v>
      </c>
      <c r="H28">
        <v>40899</v>
      </c>
      <c r="I28">
        <v>8701</v>
      </c>
      <c r="J28">
        <v>10051</v>
      </c>
      <c r="K28">
        <v>4805</v>
      </c>
      <c r="L28">
        <v>27077</v>
      </c>
      <c r="M28">
        <v>5842</v>
      </c>
      <c r="N28">
        <v>11.8</v>
      </c>
      <c r="O28">
        <v>21.3</v>
      </c>
      <c r="P28">
        <v>17.7</v>
      </c>
    </row>
    <row r="29" spans="1:16" x14ac:dyDescent="0.25">
      <c r="A29" t="s">
        <v>459</v>
      </c>
      <c r="B29">
        <v>7016</v>
      </c>
      <c r="C29">
        <v>3742</v>
      </c>
      <c r="D29">
        <v>25582</v>
      </c>
      <c r="E29">
        <v>5974</v>
      </c>
      <c r="F29">
        <v>2402</v>
      </c>
      <c r="G29">
        <v>851</v>
      </c>
      <c r="H29">
        <v>6344</v>
      </c>
      <c r="I29">
        <v>2070</v>
      </c>
      <c r="J29">
        <v>1242</v>
      </c>
      <c r="K29">
        <v>856</v>
      </c>
      <c r="L29">
        <v>2938</v>
      </c>
      <c r="M29">
        <v>518</v>
      </c>
      <c r="N29">
        <v>23.4</v>
      </c>
      <c r="O29">
        <v>32.6</v>
      </c>
      <c r="P29">
        <v>29.1</v>
      </c>
    </row>
    <row r="30" spans="1:16" x14ac:dyDescent="0.25">
      <c r="A30" t="s">
        <v>460</v>
      </c>
      <c r="B30">
        <v>23030</v>
      </c>
      <c r="C30">
        <v>15871</v>
      </c>
      <c r="D30">
        <v>102590</v>
      </c>
      <c r="E30">
        <v>9156</v>
      </c>
      <c r="F30">
        <v>12150</v>
      </c>
      <c r="G30">
        <v>6466</v>
      </c>
      <c r="H30">
        <v>34555</v>
      </c>
      <c r="I30">
        <v>6631</v>
      </c>
      <c r="J30">
        <v>8809</v>
      </c>
      <c r="K30">
        <v>3949</v>
      </c>
      <c r="L30">
        <v>24139</v>
      </c>
      <c r="M30">
        <v>5324</v>
      </c>
      <c r="N30">
        <v>8.9</v>
      </c>
      <c r="O30">
        <v>19.2</v>
      </c>
      <c r="P30">
        <v>16.399999999999999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5B9BD5"/>
  </sheetPr>
  <dimension ref="A1:P30"/>
  <sheetViews>
    <sheetView workbookViewId="0"/>
  </sheetViews>
  <sheetFormatPr defaultRowHeight="15" x14ac:dyDescent="0.25"/>
  <cols>
    <col min="1" max="1" width="19.140625" customWidth="1"/>
    <col min="2" max="2" width="10.42578125" customWidth="1"/>
    <col min="3" max="3" width="10.7109375" customWidth="1"/>
    <col min="5" max="5" width="10.42578125" customWidth="1"/>
    <col min="6" max="6" width="10.7109375" customWidth="1"/>
    <col min="7" max="7" width="10.42578125" customWidth="1"/>
    <col min="8" max="8" width="10.7109375" customWidth="1"/>
    <col min="10" max="10" width="10.42578125" customWidth="1"/>
    <col min="11" max="11" width="10.7109375" customWidth="1"/>
    <col min="12" max="12" width="10.42578125" customWidth="1"/>
    <col min="13" max="13" width="10.7109375" customWidth="1"/>
    <col min="15" max="15" width="10.42578125" customWidth="1"/>
    <col min="16" max="16" width="10.7109375" customWidth="1"/>
  </cols>
  <sheetData>
    <row r="1" spans="1:16" x14ac:dyDescent="0.25">
      <c r="A1" s="29" t="s">
        <v>252</v>
      </c>
      <c r="B1" s="29" t="s">
        <v>334</v>
      </c>
      <c r="C1" s="29"/>
      <c r="D1" s="29" t="s">
        <v>407</v>
      </c>
      <c r="E1" s="29"/>
      <c r="F1" s="29" t="s">
        <v>721</v>
      </c>
      <c r="G1" s="29"/>
      <c r="H1" s="29" t="s">
        <v>722</v>
      </c>
      <c r="I1" s="29"/>
      <c r="J1" s="29" t="s">
        <v>723</v>
      </c>
      <c r="K1" s="29"/>
      <c r="L1" s="29" t="s">
        <v>411</v>
      </c>
      <c r="M1" s="29"/>
      <c r="N1" s="29" t="s">
        <v>724</v>
      </c>
      <c r="O1" s="29"/>
      <c r="P1" s="29"/>
    </row>
    <row r="2" spans="1:16" x14ac:dyDescent="0.25">
      <c r="A2" s="29"/>
      <c r="B2" t="s">
        <v>263</v>
      </c>
      <c r="C2" t="s">
        <v>413</v>
      </c>
      <c r="D2" t="s">
        <v>263</v>
      </c>
      <c r="E2" t="s">
        <v>414</v>
      </c>
      <c r="F2" t="s">
        <v>263</v>
      </c>
      <c r="G2" t="s">
        <v>415</v>
      </c>
      <c r="H2" t="s">
        <v>263</v>
      </c>
      <c r="I2" t="s">
        <v>416</v>
      </c>
      <c r="J2" t="s">
        <v>263</v>
      </c>
      <c r="K2" t="s">
        <v>417</v>
      </c>
      <c r="L2" t="s">
        <v>263</v>
      </c>
      <c r="M2" t="s">
        <v>725</v>
      </c>
      <c r="N2" t="s">
        <v>346</v>
      </c>
      <c r="O2" t="s">
        <v>480</v>
      </c>
      <c r="P2" t="s">
        <v>726</v>
      </c>
    </row>
    <row r="3" spans="1:16" x14ac:dyDescent="0.25">
      <c r="A3" t="s">
        <v>283</v>
      </c>
      <c r="B3">
        <v>1265</v>
      </c>
      <c r="C3">
        <v>637</v>
      </c>
      <c r="D3">
        <v>5673</v>
      </c>
      <c r="E3">
        <v>727</v>
      </c>
      <c r="F3">
        <v>701</v>
      </c>
      <c r="G3">
        <v>294</v>
      </c>
      <c r="H3">
        <v>2002</v>
      </c>
      <c r="I3">
        <v>535</v>
      </c>
      <c r="J3">
        <v>447</v>
      </c>
      <c r="K3">
        <v>188</v>
      </c>
      <c r="L3">
        <v>1049</v>
      </c>
      <c r="M3">
        <v>251</v>
      </c>
      <c r="N3">
        <v>12.8</v>
      </c>
      <c r="O3">
        <v>26.7</v>
      </c>
      <c r="P3">
        <v>17.899999999999999</v>
      </c>
    </row>
    <row r="4" spans="1:16" x14ac:dyDescent="0.25">
      <c r="A4" t="s">
        <v>284</v>
      </c>
      <c r="B4">
        <v>415</v>
      </c>
      <c r="C4">
        <v>299</v>
      </c>
      <c r="D4">
        <v>1869</v>
      </c>
      <c r="E4">
        <v>147</v>
      </c>
      <c r="F4">
        <v>308</v>
      </c>
      <c r="G4">
        <v>164</v>
      </c>
      <c r="H4">
        <v>962</v>
      </c>
      <c r="I4">
        <v>214</v>
      </c>
      <c r="J4">
        <v>332</v>
      </c>
      <c r="K4">
        <v>237</v>
      </c>
      <c r="L4">
        <v>959</v>
      </c>
      <c r="M4">
        <v>179</v>
      </c>
      <c r="N4">
        <v>7.9</v>
      </c>
      <c r="O4">
        <v>22.2</v>
      </c>
      <c r="P4">
        <v>24.7</v>
      </c>
    </row>
    <row r="5" spans="1:16" x14ac:dyDescent="0.25">
      <c r="A5" t="s">
        <v>285</v>
      </c>
      <c r="B5">
        <v>242</v>
      </c>
      <c r="C5">
        <v>103</v>
      </c>
      <c r="D5">
        <v>1175</v>
      </c>
      <c r="E5">
        <v>296</v>
      </c>
      <c r="F5">
        <v>128</v>
      </c>
      <c r="G5">
        <v>70</v>
      </c>
      <c r="H5">
        <v>386</v>
      </c>
      <c r="I5">
        <v>47</v>
      </c>
      <c r="J5">
        <v>77</v>
      </c>
      <c r="K5">
        <v>13</v>
      </c>
      <c r="L5">
        <v>169</v>
      </c>
      <c r="M5">
        <v>54</v>
      </c>
      <c r="N5">
        <v>25.2</v>
      </c>
      <c r="O5">
        <v>12.2</v>
      </c>
      <c r="P5">
        <v>7.7</v>
      </c>
    </row>
    <row r="6" spans="1:16" x14ac:dyDescent="0.25">
      <c r="A6" t="s">
        <v>286</v>
      </c>
      <c r="B6">
        <v>189</v>
      </c>
      <c r="C6">
        <v>154</v>
      </c>
      <c r="D6">
        <v>875</v>
      </c>
      <c r="E6">
        <v>36</v>
      </c>
      <c r="F6">
        <v>88</v>
      </c>
      <c r="G6">
        <v>59</v>
      </c>
      <c r="H6">
        <v>252</v>
      </c>
      <c r="I6">
        <v>42</v>
      </c>
      <c r="J6">
        <v>46</v>
      </c>
      <c r="K6">
        <v>16</v>
      </c>
      <c r="L6">
        <v>119</v>
      </c>
      <c r="M6">
        <v>24</v>
      </c>
      <c r="N6">
        <v>4.0999999999999996</v>
      </c>
      <c r="O6">
        <v>16.7</v>
      </c>
      <c r="P6">
        <v>13.4</v>
      </c>
    </row>
    <row r="7" spans="1:16" x14ac:dyDescent="0.25">
      <c r="A7" t="s">
        <v>287</v>
      </c>
      <c r="B7">
        <v>596</v>
      </c>
      <c r="C7">
        <v>421</v>
      </c>
      <c r="D7">
        <v>2195</v>
      </c>
      <c r="E7">
        <v>249</v>
      </c>
      <c r="F7">
        <v>146</v>
      </c>
      <c r="G7">
        <v>57</v>
      </c>
      <c r="H7">
        <v>347</v>
      </c>
      <c r="I7">
        <v>94</v>
      </c>
      <c r="J7">
        <v>44</v>
      </c>
      <c r="K7">
        <v>39</v>
      </c>
      <c r="L7">
        <v>120</v>
      </c>
      <c r="M7">
        <v>28</v>
      </c>
      <c r="N7">
        <v>11.3</v>
      </c>
      <c r="O7">
        <v>27.1</v>
      </c>
      <c r="P7">
        <v>32.5</v>
      </c>
    </row>
    <row r="8" spans="1:16" x14ac:dyDescent="0.25">
      <c r="A8" t="s">
        <v>288</v>
      </c>
      <c r="B8">
        <v>418</v>
      </c>
      <c r="C8">
        <v>382</v>
      </c>
      <c r="D8">
        <v>1410</v>
      </c>
      <c r="E8">
        <v>76</v>
      </c>
      <c r="F8">
        <v>115</v>
      </c>
      <c r="G8">
        <v>61</v>
      </c>
      <c r="H8">
        <v>289</v>
      </c>
      <c r="I8">
        <v>53</v>
      </c>
      <c r="J8">
        <v>43</v>
      </c>
      <c r="K8">
        <v>32</v>
      </c>
      <c r="L8">
        <v>106</v>
      </c>
      <c r="M8">
        <v>20</v>
      </c>
      <c r="N8">
        <v>5.4</v>
      </c>
      <c r="O8">
        <v>18.3</v>
      </c>
      <c r="P8">
        <v>30.2</v>
      </c>
    </row>
    <row r="9" spans="1:16" x14ac:dyDescent="0.25">
      <c r="A9" t="s">
        <v>289</v>
      </c>
      <c r="B9">
        <v>713</v>
      </c>
      <c r="C9">
        <v>262</v>
      </c>
      <c r="D9">
        <v>2737</v>
      </c>
      <c r="E9">
        <v>1158</v>
      </c>
      <c r="F9">
        <v>289</v>
      </c>
      <c r="G9">
        <v>94</v>
      </c>
      <c r="H9">
        <v>771</v>
      </c>
      <c r="I9">
        <v>266</v>
      </c>
      <c r="J9">
        <v>200</v>
      </c>
      <c r="K9">
        <v>169</v>
      </c>
      <c r="L9">
        <v>611</v>
      </c>
      <c r="M9">
        <v>79</v>
      </c>
      <c r="N9">
        <v>42.3</v>
      </c>
      <c r="O9">
        <v>34.5</v>
      </c>
      <c r="P9">
        <v>27.7</v>
      </c>
    </row>
    <row r="10" spans="1:16" x14ac:dyDescent="0.25">
      <c r="A10" t="s">
        <v>290</v>
      </c>
      <c r="B10">
        <v>897</v>
      </c>
      <c r="C10">
        <v>544</v>
      </c>
      <c r="D10">
        <v>3813</v>
      </c>
      <c r="E10">
        <v>751</v>
      </c>
      <c r="F10">
        <v>365</v>
      </c>
      <c r="G10">
        <v>233</v>
      </c>
      <c r="H10">
        <v>1134</v>
      </c>
      <c r="I10">
        <v>226</v>
      </c>
      <c r="J10">
        <v>315</v>
      </c>
      <c r="K10">
        <v>114</v>
      </c>
      <c r="L10">
        <v>778</v>
      </c>
      <c r="M10">
        <v>202</v>
      </c>
      <c r="N10">
        <v>19.7</v>
      </c>
      <c r="O10">
        <v>19.899999999999999</v>
      </c>
      <c r="P10">
        <v>14.7</v>
      </c>
    </row>
    <row r="11" spans="1:16" x14ac:dyDescent="0.25">
      <c r="A11" t="s">
        <v>291</v>
      </c>
      <c r="B11">
        <v>116</v>
      </c>
      <c r="C11">
        <v>0</v>
      </c>
      <c r="D11">
        <v>282</v>
      </c>
      <c r="E11">
        <v>257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91.1</v>
      </c>
      <c r="O11" t="e">
        <v>#NULL!</v>
      </c>
      <c r="P11" t="e">
        <v>#NULL!</v>
      </c>
    </row>
    <row r="12" spans="1:16" x14ac:dyDescent="0.25">
      <c r="A12" t="s">
        <v>292</v>
      </c>
      <c r="B12">
        <v>217</v>
      </c>
      <c r="C12">
        <v>94</v>
      </c>
      <c r="D12">
        <v>834</v>
      </c>
      <c r="E12">
        <v>123</v>
      </c>
      <c r="F12">
        <v>28</v>
      </c>
      <c r="G12">
        <v>17</v>
      </c>
      <c r="H12">
        <v>81</v>
      </c>
      <c r="I12">
        <v>20</v>
      </c>
      <c r="J12">
        <v>0</v>
      </c>
      <c r="K12">
        <v>0</v>
      </c>
      <c r="L12">
        <v>0</v>
      </c>
      <c r="M12">
        <v>0</v>
      </c>
      <c r="N12">
        <v>14.7</v>
      </c>
      <c r="O12">
        <v>24.7</v>
      </c>
      <c r="P12" t="e">
        <v>#NULL!</v>
      </c>
    </row>
    <row r="13" spans="1:16" x14ac:dyDescent="0.25">
      <c r="A13" t="s">
        <v>293</v>
      </c>
      <c r="B13">
        <v>319</v>
      </c>
      <c r="C13">
        <v>22</v>
      </c>
      <c r="D13">
        <v>518</v>
      </c>
      <c r="E13">
        <v>378</v>
      </c>
      <c r="F13">
        <v>12</v>
      </c>
      <c r="G13">
        <v>3</v>
      </c>
      <c r="H13">
        <v>29</v>
      </c>
      <c r="I13">
        <v>9</v>
      </c>
      <c r="J13">
        <v>4</v>
      </c>
      <c r="K13">
        <v>13</v>
      </c>
      <c r="L13">
        <v>31</v>
      </c>
      <c r="M13">
        <v>2</v>
      </c>
      <c r="N13">
        <v>73</v>
      </c>
      <c r="O13">
        <v>31</v>
      </c>
      <c r="P13">
        <v>41.9</v>
      </c>
    </row>
    <row r="14" spans="1:16" x14ac:dyDescent="0.25">
      <c r="A14" t="s">
        <v>294</v>
      </c>
      <c r="B14">
        <v>42</v>
      </c>
      <c r="C14">
        <v>26</v>
      </c>
      <c r="D14">
        <v>136</v>
      </c>
      <c r="E14">
        <v>3</v>
      </c>
      <c r="F14">
        <v>11</v>
      </c>
      <c r="G14">
        <v>3</v>
      </c>
      <c r="H14">
        <v>38</v>
      </c>
      <c r="I14">
        <v>10</v>
      </c>
      <c r="J14">
        <v>10</v>
      </c>
      <c r="K14">
        <v>2</v>
      </c>
      <c r="L14">
        <v>22</v>
      </c>
      <c r="M14">
        <v>3</v>
      </c>
      <c r="N14">
        <v>2.2000000000000002</v>
      </c>
      <c r="O14">
        <v>26.3</v>
      </c>
      <c r="P14">
        <v>9.1</v>
      </c>
    </row>
    <row r="15" spans="1:16" x14ac:dyDescent="0.25">
      <c r="A15" t="s">
        <v>295</v>
      </c>
      <c r="B15">
        <v>204</v>
      </c>
      <c r="C15">
        <v>179</v>
      </c>
      <c r="D15">
        <v>775</v>
      </c>
      <c r="E15">
        <v>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6.5</v>
      </c>
      <c r="O15" t="e">
        <v>#NULL!</v>
      </c>
      <c r="P15" t="e">
        <v>#NULL!</v>
      </c>
    </row>
    <row r="16" spans="1:16" x14ac:dyDescent="0.25">
      <c r="A16" t="s">
        <v>296</v>
      </c>
      <c r="B16">
        <v>163</v>
      </c>
      <c r="C16">
        <v>109</v>
      </c>
      <c r="D16">
        <v>608</v>
      </c>
      <c r="E16">
        <v>59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9.6999999999999993</v>
      </c>
      <c r="O16" t="e">
        <v>#NULL!</v>
      </c>
      <c r="P16" t="e">
        <v>#NULL!</v>
      </c>
    </row>
    <row r="17" spans="1:16" x14ac:dyDescent="0.25">
      <c r="A17" t="s">
        <v>297</v>
      </c>
      <c r="B17">
        <v>6620</v>
      </c>
      <c r="C17">
        <v>4967</v>
      </c>
      <c r="D17">
        <v>31737</v>
      </c>
      <c r="E17">
        <v>1888</v>
      </c>
      <c r="F17">
        <v>3825</v>
      </c>
      <c r="G17">
        <v>2172</v>
      </c>
      <c r="H17">
        <v>11157</v>
      </c>
      <c r="I17">
        <v>1848</v>
      </c>
      <c r="J17">
        <v>2745</v>
      </c>
      <c r="K17">
        <v>999</v>
      </c>
      <c r="L17">
        <v>7739</v>
      </c>
      <c r="M17">
        <v>1804</v>
      </c>
      <c r="N17">
        <v>5.9</v>
      </c>
      <c r="O17">
        <v>16.600000000000001</v>
      </c>
      <c r="P17">
        <v>12.9</v>
      </c>
    </row>
    <row r="18" spans="1:16" x14ac:dyDescent="0.25">
      <c r="A18" t="s">
        <v>298</v>
      </c>
      <c r="B18">
        <v>601</v>
      </c>
      <c r="C18">
        <v>226</v>
      </c>
      <c r="D18">
        <v>2381</v>
      </c>
      <c r="E18">
        <v>404</v>
      </c>
      <c r="F18">
        <v>189</v>
      </c>
      <c r="G18">
        <v>86</v>
      </c>
      <c r="H18">
        <v>550</v>
      </c>
      <c r="I18">
        <v>123</v>
      </c>
      <c r="J18">
        <v>145</v>
      </c>
      <c r="K18">
        <v>83</v>
      </c>
      <c r="L18">
        <v>388</v>
      </c>
      <c r="M18">
        <v>90</v>
      </c>
      <c r="N18">
        <v>17</v>
      </c>
      <c r="O18">
        <v>22.4</v>
      </c>
      <c r="P18">
        <v>21.4</v>
      </c>
    </row>
    <row r="19" spans="1:16" x14ac:dyDescent="0.25">
      <c r="A19" t="s">
        <v>299</v>
      </c>
      <c r="B19">
        <v>25</v>
      </c>
      <c r="C19">
        <v>22</v>
      </c>
      <c r="D19">
        <v>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e">
        <v>#NULL!</v>
      </c>
      <c r="P19" t="e">
        <v>#NULL!</v>
      </c>
    </row>
    <row r="20" spans="1:16" x14ac:dyDescent="0.25">
      <c r="A20" t="s">
        <v>300</v>
      </c>
      <c r="B20">
        <v>7</v>
      </c>
      <c r="C20">
        <v>7</v>
      </c>
      <c r="D20">
        <v>19</v>
      </c>
      <c r="E20">
        <v>0</v>
      </c>
      <c r="F20">
        <v>0</v>
      </c>
      <c r="G20">
        <v>0</v>
      </c>
      <c r="H20">
        <v>0</v>
      </c>
      <c r="I20">
        <v>0</v>
      </c>
      <c r="J20">
        <v>29</v>
      </c>
      <c r="K20">
        <v>15</v>
      </c>
      <c r="L20">
        <v>86</v>
      </c>
      <c r="M20">
        <v>25</v>
      </c>
      <c r="N20">
        <v>0</v>
      </c>
      <c r="O20" t="e">
        <v>#NULL!</v>
      </c>
      <c r="P20">
        <v>17.399999999999999</v>
      </c>
    </row>
    <row r="21" spans="1:16" x14ac:dyDescent="0.25">
      <c r="A21" t="s">
        <v>301</v>
      </c>
      <c r="B21">
        <v>35</v>
      </c>
      <c r="C21">
        <v>35</v>
      </c>
      <c r="D21">
        <v>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e">
        <v>#NULL!</v>
      </c>
      <c r="P21" t="e">
        <v>#NULL!</v>
      </c>
    </row>
    <row r="22" spans="1:16" x14ac:dyDescent="0.25">
      <c r="A22" t="s">
        <v>302</v>
      </c>
      <c r="B22">
        <v>140</v>
      </c>
      <c r="C22">
        <v>113</v>
      </c>
      <c r="D22">
        <v>538</v>
      </c>
      <c r="E22">
        <v>17</v>
      </c>
      <c r="F22">
        <v>51</v>
      </c>
      <c r="G22">
        <v>40</v>
      </c>
      <c r="H22">
        <v>139</v>
      </c>
      <c r="I22">
        <v>9</v>
      </c>
      <c r="J22">
        <v>29</v>
      </c>
      <c r="K22">
        <v>15</v>
      </c>
      <c r="L22">
        <v>96</v>
      </c>
      <c r="M22">
        <v>23</v>
      </c>
      <c r="N22">
        <v>3.2</v>
      </c>
      <c r="O22">
        <v>6.5</v>
      </c>
      <c r="P22">
        <v>15.6</v>
      </c>
    </row>
    <row r="23" spans="1:16" x14ac:dyDescent="0.25">
      <c r="A23" t="s">
        <v>303</v>
      </c>
      <c r="B23">
        <v>735</v>
      </c>
      <c r="C23">
        <v>514</v>
      </c>
      <c r="D23">
        <v>3045</v>
      </c>
      <c r="E23">
        <v>224</v>
      </c>
      <c r="F23">
        <v>416</v>
      </c>
      <c r="G23">
        <v>268</v>
      </c>
      <c r="H23">
        <v>1240</v>
      </c>
      <c r="I23">
        <v>225</v>
      </c>
      <c r="J23">
        <v>325</v>
      </c>
      <c r="K23">
        <v>146</v>
      </c>
      <c r="L23">
        <v>888</v>
      </c>
      <c r="M23">
        <v>186</v>
      </c>
      <c r="N23">
        <v>7.4</v>
      </c>
      <c r="O23">
        <v>18.100000000000001</v>
      </c>
      <c r="P23">
        <v>16.399999999999999</v>
      </c>
    </row>
    <row r="24" spans="1:16" x14ac:dyDescent="0.25">
      <c r="A24" t="s">
        <v>304</v>
      </c>
      <c r="B24">
        <v>64</v>
      </c>
      <c r="C24">
        <v>55</v>
      </c>
      <c r="D24">
        <v>175</v>
      </c>
      <c r="E24">
        <v>0</v>
      </c>
      <c r="F24">
        <v>19</v>
      </c>
      <c r="G24">
        <v>19</v>
      </c>
      <c r="H24">
        <v>36</v>
      </c>
      <c r="I24">
        <v>0</v>
      </c>
      <c r="J24">
        <v>10</v>
      </c>
      <c r="K24">
        <v>0</v>
      </c>
      <c r="L24">
        <v>16</v>
      </c>
      <c r="M24">
        <v>10</v>
      </c>
      <c r="N24">
        <v>0</v>
      </c>
      <c r="O24">
        <v>0</v>
      </c>
      <c r="P24">
        <v>0</v>
      </c>
    </row>
    <row r="25" spans="1:16" x14ac:dyDescent="0.25">
      <c r="A25" t="s">
        <v>305</v>
      </c>
      <c r="B25">
        <v>27</v>
      </c>
      <c r="C25">
        <v>23</v>
      </c>
      <c r="D25">
        <v>88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3.4</v>
      </c>
      <c r="O25" t="e">
        <v>#NULL!</v>
      </c>
      <c r="P25" t="e">
        <v>#NULL!</v>
      </c>
    </row>
    <row r="26" spans="1:16" x14ac:dyDescent="0.25">
      <c r="A26" t="s">
        <v>306</v>
      </c>
      <c r="B26">
        <v>383</v>
      </c>
      <c r="C26">
        <v>247</v>
      </c>
      <c r="D26">
        <v>1578</v>
      </c>
      <c r="E26">
        <v>151</v>
      </c>
      <c r="F26">
        <v>118</v>
      </c>
      <c r="G26">
        <v>48</v>
      </c>
      <c r="H26">
        <v>340</v>
      </c>
      <c r="I26">
        <v>67</v>
      </c>
      <c r="J26">
        <v>99</v>
      </c>
      <c r="K26">
        <v>63</v>
      </c>
      <c r="L26">
        <v>273</v>
      </c>
      <c r="M26">
        <v>43</v>
      </c>
      <c r="N26">
        <v>9.6</v>
      </c>
      <c r="O26">
        <v>19.7</v>
      </c>
      <c r="P26">
        <v>23.1</v>
      </c>
    </row>
    <row r="27" spans="1:16" x14ac:dyDescent="0.25">
      <c r="A27" t="s">
        <v>307</v>
      </c>
      <c r="B27">
        <v>203</v>
      </c>
      <c r="C27">
        <v>110</v>
      </c>
      <c r="D27">
        <v>920</v>
      </c>
      <c r="E27">
        <v>156</v>
      </c>
      <c r="F27">
        <v>382</v>
      </c>
      <c r="G27">
        <v>71</v>
      </c>
      <c r="H27">
        <v>961</v>
      </c>
      <c r="I27">
        <v>392</v>
      </c>
      <c r="J27">
        <v>233</v>
      </c>
      <c r="K27">
        <v>165</v>
      </c>
      <c r="L27">
        <v>475</v>
      </c>
      <c r="M27">
        <v>69</v>
      </c>
      <c r="N27">
        <v>17</v>
      </c>
      <c r="O27">
        <v>40.799999999999997</v>
      </c>
      <c r="P27">
        <v>34.700000000000003</v>
      </c>
    </row>
    <row r="28" spans="1:16" x14ac:dyDescent="0.25">
      <c r="A28" t="s">
        <v>266</v>
      </c>
      <c r="B28">
        <v>14636</v>
      </c>
      <c r="C28">
        <v>9551</v>
      </c>
      <c r="D28">
        <v>63509</v>
      </c>
      <c r="E28">
        <v>7153</v>
      </c>
      <c r="F28">
        <v>7191</v>
      </c>
      <c r="G28">
        <v>3759</v>
      </c>
      <c r="H28">
        <v>20714</v>
      </c>
      <c r="I28">
        <v>4180</v>
      </c>
      <c r="J28">
        <v>5133</v>
      </c>
      <c r="K28">
        <v>2309</v>
      </c>
      <c r="L28">
        <v>13925</v>
      </c>
      <c r="M28">
        <v>3092</v>
      </c>
      <c r="N28">
        <v>11.3</v>
      </c>
      <c r="O28">
        <v>20.2</v>
      </c>
      <c r="P28">
        <v>16.600000000000001</v>
      </c>
    </row>
    <row r="29" spans="1:16" x14ac:dyDescent="0.25">
      <c r="A29" t="s">
        <v>459</v>
      </c>
      <c r="B29">
        <v>3622</v>
      </c>
      <c r="C29">
        <v>1901</v>
      </c>
      <c r="D29">
        <v>12780</v>
      </c>
      <c r="E29">
        <v>3007</v>
      </c>
      <c r="F29">
        <v>1109</v>
      </c>
      <c r="G29">
        <v>403</v>
      </c>
      <c r="H29">
        <v>2999</v>
      </c>
      <c r="I29">
        <v>913</v>
      </c>
      <c r="J29">
        <v>644</v>
      </c>
      <c r="K29">
        <v>410</v>
      </c>
      <c r="L29">
        <v>1469</v>
      </c>
      <c r="M29">
        <v>274</v>
      </c>
      <c r="N29">
        <v>23.5</v>
      </c>
      <c r="O29">
        <v>30.4</v>
      </c>
      <c r="P29">
        <v>27.9</v>
      </c>
    </row>
    <row r="30" spans="1:16" x14ac:dyDescent="0.25">
      <c r="A30" t="s">
        <v>460</v>
      </c>
      <c r="B30">
        <v>11014</v>
      </c>
      <c r="C30">
        <v>7650</v>
      </c>
      <c r="D30">
        <v>50729</v>
      </c>
      <c r="E30">
        <v>4146</v>
      </c>
      <c r="F30">
        <v>6082</v>
      </c>
      <c r="G30">
        <v>3356</v>
      </c>
      <c r="H30">
        <v>17715</v>
      </c>
      <c r="I30">
        <v>3267</v>
      </c>
      <c r="J30">
        <v>4489</v>
      </c>
      <c r="K30">
        <v>1899</v>
      </c>
      <c r="L30">
        <v>12456</v>
      </c>
      <c r="M30">
        <v>2818</v>
      </c>
      <c r="N30">
        <v>8.1999999999999993</v>
      </c>
      <c r="O30">
        <v>18.399999999999999</v>
      </c>
      <c r="P30">
        <v>15.2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rgb="FF5B9BD5"/>
  </sheetPr>
  <dimension ref="A1:G30"/>
  <sheetViews>
    <sheetView workbookViewId="0"/>
  </sheetViews>
  <sheetFormatPr defaultRowHeight="15" x14ac:dyDescent="0.25"/>
  <cols>
    <col min="1" max="1" width="27.28515625" customWidth="1"/>
    <col min="2" max="2" width="23.85546875" customWidth="1"/>
  </cols>
  <sheetData>
    <row r="1" spans="1:7" x14ac:dyDescent="0.25">
      <c r="A1" s="29" t="s">
        <v>252</v>
      </c>
      <c r="B1" s="29" t="s">
        <v>732</v>
      </c>
      <c r="C1" s="29"/>
      <c r="D1" s="29" t="s">
        <v>733</v>
      </c>
      <c r="E1" s="29"/>
      <c r="F1" s="29" t="s">
        <v>734</v>
      </c>
      <c r="G1" s="29"/>
    </row>
    <row r="2" spans="1:7" x14ac:dyDescent="0.25">
      <c r="A2" s="29"/>
      <c r="B2" t="s">
        <v>263</v>
      </c>
      <c r="C2" t="s">
        <v>264</v>
      </c>
      <c r="D2" t="s">
        <v>263</v>
      </c>
      <c r="E2" t="s">
        <v>264</v>
      </c>
      <c r="F2" t="s">
        <v>263</v>
      </c>
      <c r="G2" t="s">
        <v>264</v>
      </c>
    </row>
    <row r="3" spans="1:7" x14ac:dyDescent="0.25">
      <c r="A3" t="s">
        <v>283</v>
      </c>
      <c r="B3">
        <v>383</v>
      </c>
      <c r="C3">
        <v>186</v>
      </c>
      <c r="D3">
        <v>660</v>
      </c>
      <c r="E3">
        <v>341</v>
      </c>
      <c r="F3">
        <v>1460</v>
      </c>
      <c r="G3">
        <v>709</v>
      </c>
    </row>
    <row r="4" spans="1:7" x14ac:dyDescent="0.25">
      <c r="A4" t="s">
        <v>284</v>
      </c>
      <c r="B4">
        <v>284</v>
      </c>
      <c r="C4">
        <v>137</v>
      </c>
      <c r="D4">
        <v>431</v>
      </c>
      <c r="E4">
        <v>202</v>
      </c>
      <c r="F4">
        <v>774</v>
      </c>
      <c r="G4">
        <v>378</v>
      </c>
    </row>
    <row r="5" spans="1:7" x14ac:dyDescent="0.25">
      <c r="A5" t="s">
        <v>285</v>
      </c>
      <c r="B5">
        <v>457</v>
      </c>
      <c r="C5">
        <v>247</v>
      </c>
      <c r="D5">
        <v>69</v>
      </c>
      <c r="E5">
        <v>30</v>
      </c>
      <c r="F5">
        <v>243</v>
      </c>
      <c r="G5">
        <v>122</v>
      </c>
    </row>
    <row r="6" spans="1:7" x14ac:dyDescent="0.25">
      <c r="A6" t="s">
        <v>286</v>
      </c>
      <c r="B6">
        <v>162</v>
      </c>
      <c r="C6">
        <v>91</v>
      </c>
      <c r="D6">
        <v>266</v>
      </c>
      <c r="E6">
        <v>138</v>
      </c>
      <c r="F6">
        <v>337</v>
      </c>
      <c r="G6">
        <v>161</v>
      </c>
    </row>
    <row r="7" spans="1:7" x14ac:dyDescent="0.25">
      <c r="A7" t="s">
        <v>287</v>
      </c>
      <c r="B7">
        <v>480</v>
      </c>
      <c r="C7">
        <v>216</v>
      </c>
      <c r="D7">
        <v>649</v>
      </c>
      <c r="E7">
        <v>327</v>
      </c>
      <c r="F7">
        <v>1023</v>
      </c>
      <c r="G7">
        <v>500</v>
      </c>
    </row>
    <row r="8" spans="1:7" x14ac:dyDescent="0.25">
      <c r="A8" t="s">
        <v>288</v>
      </c>
      <c r="B8">
        <v>159</v>
      </c>
      <c r="C8">
        <v>73</v>
      </c>
      <c r="D8">
        <v>172</v>
      </c>
      <c r="E8">
        <v>96</v>
      </c>
      <c r="F8">
        <v>337</v>
      </c>
      <c r="G8">
        <v>153</v>
      </c>
    </row>
    <row r="9" spans="1:7" x14ac:dyDescent="0.25">
      <c r="A9" t="s">
        <v>289</v>
      </c>
      <c r="B9">
        <v>177</v>
      </c>
      <c r="C9">
        <v>88</v>
      </c>
      <c r="D9">
        <v>217</v>
      </c>
      <c r="E9">
        <v>117</v>
      </c>
      <c r="F9">
        <v>415</v>
      </c>
      <c r="G9">
        <v>221</v>
      </c>
    </row>
    <row r="10" spans="1:7" x14ac:dyDescent="0.25">
      <c r="A10" t="s">
        <v>290</v>
      </c>
      <c r="B10">
        <v>273</v>
      </c>
      <c r="C10">
        <v>128</v>
      </c>
      <c r="D10">
        <v>608</v>
      </c>
      <c r="E10">
        <v>290</v>
      </c>
      <c r="F10">
        <v>1867</v>
      </c>
      <c r="G10">
        <v>931</v>
      </c>
    </row>
    <row r="11" spans="1:7" x14ac:dyDescent="0.25">
      <c r="A11" t="s">
        <v>291</v>
      </c>
      <c r="B11">
        <v>18</v>
      </c>
      <c r="C11">
        <v>12</v>
      </c>
      <c r="D11">
        <v>14</v>
      </c>
      <c r="E11">
        <v>4</v>
      </c>
      <c r="F11">
        <v>5</v>
      </c>
      <c r="G11">
        <v>2</v>
      </c>
    </row>
    <row r="12" spans="1:7" x14ac:dyDescent="0.25">
      <c r="A12" t="s">
        <v>292</v>
      </c>
      <c r="B12">
        <v>106</v>
      </c>
      <c r="C12">
        <v>52</v>
      </c>
      <c r="D12">
        <v>186</v>
      </c>
      <c r="E12">
        <v>106</v>
      </c>
      <c r="F12">
        <v>235</v>
      </c>
      <c r="G12">
        <v>112</v>
      </c>
    </row>
    <row r="13" spans="1:7" x14ac:dyDescent="0.25">
      <c r="A13" t="s">
        <v>293</v>
      </c>
      <c r="B13">
        <v>34</v>
      </c>
      <c r="C13">
        <v>13</v>
      </c>
      <c r="D13">
        <v>73</v>
      </c>
      <c r="E13">
        <v>40</v>
      </c>
      <c r="F13">
        <v>72</v>
      </c>
      <c r="G13">
        <v>30</v>
      </c>
    </row>
    <row r="14" spans="1:7" x14ac:dyDescent="0.25">
      <c r="A14" t="s">
        <v>294</v>
      </c>
      <c r="B14">
        <v>0</v>
      </c>
      <c r="C14">
        <v>0</v>
      </c>
      <c r="D14">
        <v>34</v>
      </c>
      <c r="E14">
        <v>17</v>
      </c>
      <c r="F14">
        <v>58</v>
      </c>
      <c r="G14">
        <v>34</v>
      </c>
    </row>
    <row r="15" spans="1:7" x14ac:dyDescent="0.25">
      <c r="A15" t="s">
        <v>295</v>
      </c>
      <c r="B15">
        <v>28</v>
      </c>
      <c r="C15">
        <v>14</v>
      </c>
      <c r="D15">
        <v>96</v>
      </c>
      <c r="E15">
        <v>58</v>
      </c>
      <c r="F15">
        <v>152</v>
      </c>
      <c r="G15">
        <v>71</v>
      </c>
    </row>
    <row r="16" spans="1:7" x14ac:dyDescent="0.25">
      <c r="A16" t="s">
        <v>296</v>
      </c>
      <c r="B16">
        <v>17</v>
      </c>
      <c r="C16">
        <v>5</v>
      </c>
      <c r="D16">
        <v>162</v>
      </c>
      <c r="E16">
        <v>74</v>
      </c>
      <c r="F16">
        <v>286</v>
      </c>
      <c r="G16">
        <v>141</v>
      </c>
    </row>
    <row r="17" spans="1:7" x14ac:dyDescent="0.25">
      <c r="A17" t="s">
        <v>297</v>
      </c>
      <c r="B17">
        <v>2623</v>
      </c>
      <c r="C17">
        <v>1315</v>
      </c>
      <c r="D17">
        <v>4372</v>
      </c>
      <c r="E17">
        <v>2167</v>
      </c>
      <c r="F17">
        <v>8620</v>
      </c>
      <c r="G17">
        <v>4380</v>
      </c>
    </row>
    <row r="18" spans="1:7" x14ac:dyDescent="0.25">
      <c r="A18" t="s">
        <v>298</v>
      </c>
      <c r="B18">
        <v>147</v>
      </c>
      <c r="C18">
        <v>52</v>
      </c>
      <c r="D18">
        <v>424</v>
      </c>
      <c r="E18">
        <v>204</v>
      </c>
      <c r="F18">
        <v>950</v>
      </c>
      <c r="G18">
        <v>475</v>
      </c>
    </row>
    <row r="19" spans="1:7" x14ac:dyDescent="0.25">
      <c r="A19" t="s">
        <v>299</v>
      </c>
      <c r="B19">
        <v>25</v>
      </c>
      <c r="C19">
        <v>15</v>
      </c>
      <c r="D19">
        <v>3</v>
      </c>
      <c r="E19">
        <v>1</v>
      </c>
      <c r="F19">
        <v>22</v>
      </c>
      <c r="G19">
        <v>7</v>
      </c>
    </row>
    <row r="20" spans="1:7" x14ac:dyDescent="0.25">
      <c r="A20" t="s">
        <v>300</v>
      </c>
      <c r="B20">
        <v>41</v>
      </c>
      <c r="C20">
        <v>17</v>
      </c>
      <c r="D20">
        <v>20</v>
      </c>
      <c r="E20">
        <v>15</v>
      </c>
      <c r="F20">
        <v>14</v>
      </c>
      <c r="G20">
        <v>8</v>
      </c>
    </row>
    <row r="21" spans="1:7" x14ac:dyDescent="0.25">
      <c r="A21" t="s">
        <v>301</v>
      </c>
      <c r="B21">
        <v>5</v>
      </c>
      <c r="C21">
        <v>5</v>
      </c>
      <c r="D21">
        <v>10</v>
      </c>
      <c r="E21">
        <v>4</v>
      </c>
      <c r="F21">
        <v>565</v>
      </c>
      <c r="G21">
        <v>288</v>
      </c>
    </row>
    <row r="22" spans="1:7" x14ac:dyDescent="0.25">
      <c r="A22" t="s">
        <v>302</v>
      </c>
      <c r="B22">
        <v>164</v>
      </c>
      <c r="C22">
        <v>84</v>
      </c>
      <c r="D22">
        <v>96</v>
      </c>
      <c r="E22">
        <v>49</v>
      </c>
      <c r="F22">
        <v>264</v>
      </c>
      <c r="G22">
        <v>135</v>
      </c>
    </row>
    <row r="23" spans="1:7" x14ac:dyDescent="0.25">
      <c r="A23" t="s">
        <v>303</v>
      </c>
      <c r="B23">
        <v>415</v>
      </c>
      <c r="C23">
        <v>205</v>
      </c>
      <c r="D23">
        <v>586</v>
      </c>
      <c r="E23">
        <v>308</v>
      </c>
      <c r="F23">
        <v>6731</v>
      </c>
      <c r="G23">
        <v>1171</v>
      </c>
    </row>
    <row r="24" spans="1:7" x14ac:dyDescent="0.25">
      <c r="A24" t="s">
        <v>304</v>
      </c>
      <c r="B24">
        <v>33</v>
      </c>
      <c r="C24">
        <v>22</v>
      </c>
      <c r="D24">
        <v>76</v>
      </c>
      <c r="E24">
        <v>43</v>
      </c>
      <c r="F24">
        <v>123</v>
      </c>
      <c r="G24">
        <v>55</v>
      </c>
    </row>
    <row r="25" spans="1:7" x14ac:dyDescent="0.25">
      <c r="A25" t="s">
        <v>305</v>
      </c>
      <c r="B25">
        <v>24</v>
      </c>
      <c r="C25">
        <v>8</v>
      </c>
      <c r="D25">
        <v>65</v>
      </c>
      <c r="E25">
        <v>32</v>
      </c>
      <c r="F25">
        <v>68</v>
      </c>
      <c r="G25">
        <v>37</v>
      </c>
    </row>
    <row r="26" spans="1:7" x14ac:dyDescent="0.25">
      <c r="A26" t="s">
        <v>306</v>
      </c>
      <c r="B26">
        <v>168</v>
      </c>
      <c r="C26">
        <v>78</v>
      </c>
      <c r="D26">
        <v>319</v>
      </c>
      <c r="E26">
        <v>164</v>
      </c>
      <c r="F26">
        <v>753</v>
      </c>
      <c r="G26">
        <v>347</v>
      </c>
    </row>
    <row r="27" spans="1:7" x14ac:dyDescent="0.25">
      <c r="A27" t="s">
        <v>307</v>
      </c>
      <c r="B27">
        <v>65</v>
      </c>
      <c r="C27">
        <v>38</v>
      </c>
      <c r="D27">
        <v>120</v>
      </c>
      <c r="E27">
        <v>71</v>
      </c>
      <c r="F27">
        <v>225</v>
      </c>
      <c r="G27">
        <v>121</v>
      </c>
    </row>
    <row r="28" spans="1:7" x14ac:dyDescent="0.25">
      <c r="A28" t="s">
        <v>266</v>
      </c>
      <c r="B28">
        <v>6288</v>
      </c>
      <c r="C28">
        <v>3101</v>
      </c>
      <c r="D28">
        <v>9728</v>
      </c>
      <c r="E28">
        <v>4898</v>
      </c>
      <c r="F28">
        <v>25599</v>
      </c>
      <c r="G28">
        <v>10589</v>
      </c>
    </row>
    <row r="29" spans="1:7" x14ac:dyDescent="0.25">
      <c r="A29" t="s">
        <v>459</v>
      </c>
      <c r="B29">
        <v>4671</v>
      </c>
      <c r="C29">
        <v>2287</v>
      </c>
      <c r="D29">
        <v>7514</v>
      </c>
      <c r="E29">
        <v>3751</v>
      </c>
      <c r="F29">
        <v>21204</v>
      </c>
      <c r="G29">
        <v>8378</v>
      </c>
    </row>
    <row r="30" spans="1:7" x14ac:dyDescent="0.25">
      <c r="A30" t="s">
        <v>460</v>
      </c>
      <c r="B30">
        <v>1617</v>
      </c>
      <c r="C30">
        <v>814</v>
      </c>
      <c r="D30">
        <v>2214</v>
      </c>
      <c r="E30">
        <v>1147</v>
      </c>
      <c r="F30">
        <v>4395</v>
      </c>
      <c r="G30">
        <v>2211</v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5B9BD5"/>
  </sheetPr>
  <dimension ref="A1:Q30"/>
  <sheetViews>
    <sheetView workbookViewId="0"/>
  </sheetViews>
  <sheetFormatPr defaultRowHeight="15" x14ac:dyDescent="0.25"/>
  <cols>
    <col min="1" max="1" width="23.42578125" customWidth="1"/>
    <col min="2" max="2" width="2.42578125" customWidth="1"/>
    <col min="3" max="3" width="12.85546875" customWidth="1"/>
    <col min="4" max="4" width="2" customWidth="1"/>
    <col min="5" max="5" width="13.28515625" customWidth="1"/>
    <col min="6" max="6" width="1.85546875" customWidth="1"/>
    <col min="7" max="7" width="13.42578125" customWidth="1"/>
    <col min="8" max="8" width="1.28515625" customWidth="1"/>
    <col min="9" max="9" width="14.42578125" customWidth="1"/>
    <col min="10" max="10" width="0.7109375" customWidth="1"/>
    <col min="11" max="11" width="15.140625" customWidth="1"/>
    <col min="12" max="12" width="15.28515625" customWidth="1"/>
    <col min="15" max="15" width="14.85546875" customWidth="1"/>
    <col min="16" max="16" width="1.140625" customWidth="1"/>
    <col min="17" max="17" width="14.140625" customWidth="1"/>
    <col min="18" max="18" width="1.28515625" customWidth="1"/>
  </cols>
  <sheetData>
    <row r="1" spans="1:17" x14ac:dyDescent="0.25">
      <c r="A1" s="29" t="s">
        <v>252</v>
      </c>
      <c r="B1" s="29"/>
      <c r="C1" s="29" t="s">
        <v>423</v>
      </c>
      <c r="D1" s="29"/>
      <c r="E1" s="29"/>
      <c r="F1" s="29"/>
      <c r="G1" s="29" t="s">
        <v>424</v>
      </c>
      <c r="H1" s="29"/>
      <c r="I1" s="29"/>
      <c r="J1" s="29"/>
      <c r="K1" s="29" t="s">
        <v>425</v>
      </c>
      <c r="L1" s="29"/>
      <c r="M1" s="29" t="s">
        <v>373</v>
      </c>
      <c r="N1" s="29"/>
      <c r="O1" s="29" t="s">
        <v>263</v>
      </c>
      <c r="P1" s="29"/>
      <c r="Q1" s="29"/>
    </row>
    <row r="2" spans="1:17" x14ac:dyDescent="0.25">
      <c r="A2" s="29"/>
      <c r="B2" s="29"/>
      <c r="C2" s="29" t="s">
        <v>263</v>
      </c>
      <c r="D2" s="29"/>
      <c r="E2" s="29" t="s">
        <v>264</v>
      </c>
      <c r="F2" s="29"/>
      <c r="G2" s="29" t="s">
        <v>263</v>
      </c>
      <c r="H2" s="29"/>
      <c r="I2" s="29" t="s">
        <v>264</v>
      </c>
      <c r="J2" s="29"/>
      <c r="K2" t="s">
        <v>263</v>
      </c>
      <c r="L2" t="s">
        <v>264</v>
      </c>
      <c r="M2" t="s">
        <v>263</v>
      </c>
      <c r="N2" t="s">
        <v>264</v>
      </c>
      <c r="O2" t="s">
        <v>263</v>
      </c>
      <c r="P2" s="29" t="s">
        <v>264</v>
      </c>
      <c r="Q2" s="29"/>
    </row>
    <row r="3" spans="1:17" x14ac:dyDescent="0.25">
      <c r="A3" s="29" t="s">
        <v>283</v>
      </c>
      <c r="B3" s="29"/>
      <c r="C3" s="29">
        <v>209</v>
      </c>
      <c r="D3" s="29"/>
      <c r="E3" s="29">
        <v>112</v>
      </c>
      <c r="F3" s="29"/>
      <c r="G3" s="29">
        <v>309</v>
      </c>
      <c r="H3" s="29"/>
      <c r="I3" s="29">
        <v>165</v>
      </c>
      <c r="J3" s="29"/>
      <c r="K3">
        <v>471</v>
      </c>
      <c r="L3">
        <v>233</v>
      </c>
      <c r="M3">
        <v>1514</v>
      </c>
      <c r="N3">
        <v>726</v>
      </c>
      <c r="O3">
        <v>2503</v>
      </c>
      <c r="P3" s="29">
        <v>1236</v>
      </c>
      <c r="Q3" s="29"/>
    </row>
    <row r="4" spans="1:17" x14ac:dyDescent="0.25">
      <c r="A4" s="29" t="s">
        <v>284</v>
      </c>
      <c r="B4" s="29"/>
      <c r="C4" s="29">
        <v>266</v>
      </c>
      <c r="D4" s="29"/>
      <c r="E4" s="29">
        <v>129</v>
      </c>
      <c r="F4" s="29"/>
      <c r="G4" s="29">
        <v>384</v>
      </c>
      <c r="H4" s="29"/>
      <c r="I4" s="29">
        <v>186</v>
      </c>
      <c r="J4" s="29"/>
      <c r="K4">
        <v>533</v>
      </c>
      <c r="L4">
        <v>262</v>
      </c>
      <c r="M4">
        <v>306</v>
      </c>
      <c r="N4">
        <v>140</v>
      </c>
      <c r="O4">
        <v>1489</v>
      </c>
      <c r="P4" s="29">
        <v>717</v>
      </c>
      <c r="Q4" s="29"/>
    </row>
    <row r="5" spans="1:17" x14ac:dyDescent="0.25">
      <c r="A5" s="29" t="s">
        <v>285</v>
      </c>
      <c r="B5" s="29"/>
      <c r="C5" s="29">
        <v>87</v>
      </c>
      <c r="D5" s="29"/>
      <c r="E5" s="29">
        <v>50</v>
      </c>
      <c r="F5" s="29"/>
      <c r="G5" s="29">
        <v>49</v>
      </c>
      <c r="H5" s="29"/>
      <c r="I5" s="29">
        <v>21</v>
      </c>
      <c r="J5" s="29"/>
      <c r="K5">
        <v>82</v>
      </c>
      <c r="L5">
        <v>40</v>
      </c>
      <c r="M5">
        <v>551</v>
      </c>
      <c r="N5">
        <v>288</v>
      </c>
      <c r="O5">
        <v>769</v>
      </c>
      <c r="P5" s="29">
        <v>399</v>
      </c>
      <c r="Q5" s="29"/>
    </row>
    <row r="6" spans="1:17" x14ac:dyDescent="0.25">
      <c r="A6" s="29" t="s">
        <v>286</v>
      </c>
      <c r="B6" s="29"/>
      <c r="C6" s="29">
        <v>138</v>
      </c>
      <c r="D6" s="29"/>
      <c r="E6" s="29">
        <v>73</v>
      </c>
      <c r="F6" s="29"/>
      <c r="G6" s="29">
        <v>245</v>
      </c>
      <c r="H6" s="29"/>
      <c r="I6" s="29">
        <v>127</v>
      </c>
      <c r="J6" s="29"/>
      <c r="K6">
        <v>314</v>
      </c>
      <c r="L6">
        <v>148</v>
      </c>
      <c r="M6">
        <v>68</v>
      </c>
      <c r="N6">
        <v>42</v>
      </c>
      <c r="O6">
        <v>765</v>
      </c>
      <c r="P6" s="29">
        <v>390</v>
      </c>
      <c r="Q6" s="29"/>
    </row>
    <row r="7" spans="1:17" x14ac:dyDescent="0.25">
      <c r="A7" s="29" t="s">
        <v>287</v>
      </c>
      <c r="B7" s="29"/>
      <c r="C7" s="29">
        <v>455</v>
      </c>
      <c r="D7" s="29"/>
      <c r="E7" s="29">
        <v>203</v>
      </c>
      <c r="F7" s="29"/>
      <c r="G7" s="29">
        <v>530</v>
      </c>
      <c r="H7" s="29"/>
      <c r="I7" s="29">
        <v>261</v>
      </c>
      <c r="J7" s="29"/>
      <c r="K7">
        <v>750</v>
      </c>
      <c r="L7">
        <v>364</v>
      </c>
      <c r="M7">
        <v>417</v>
      </c>
      <c r="N7">
        <v>215</v>
      </c>
      <c r="O7">
        <v>2152</v>
      </c>
      <c r="P7" s="29">
        <v>1043</v>
      </c>
      <c r="Q7" s="29"/>
    </row>
    <row r="8" spans="1:17" x14ac:dyDescent="0.25">
      <c r="A8" s="29" t="s">
        <v>288</v>
      </c>
      <c r="B8" s="29"/>
      <c r="C8" s="29">
        <v>104</v>
      </c>
      <c r="D8" s="29"/>
      <c r="E8" s="29">
        <v>44</v>
      </c>
      <c r="F8" s="29"/>
      <c r="G8" s="29">
        <v>69</v>
      </c>
      <c r="H8" s="29"/>
      <c r="I8" s="29">
        <v>34</v>
      </c>
      <c r="J8" s="29"/>
      <c r="K8">
        <v>162</v>
      </c>
      <c r="L8">
        <v>80</v>
      </c>
      <c r="M8">
        <v>333</v>
      </c>
      <c r="N8">
        <v>164</v>
      </c>
      <c r="O8">
        <v>668</v>
      </c>
      <c r="P8" s="29">
        <v>322</v>
      </c>
      <c r="Q8" s="29"/>
    </row>
    <row r="9" spans="1:17" x14ac:dyDescent="0.25">
      <c r="A9" s="29" t="s">
        <v>289</v>
      </c>
      <c r="B9" s="29"/>
      <c r="C9" s="29">
        <v>177</v>
      </c>
      <c r="D9" s="29"/>
      <c r="E9" s="29">
        <v>88</v>
      </c>
      <c r="F9" s="29"/>
      <c r="G9" s="29">
        <v>214</v>
      </c>
      <c r="H9" s="29"/>
      <c r="I9" s="29">
        <v>115</v>
      </c>
      <c r="J9" s="29"/>
      <c r="K9">
        <v>401</v>
      </c>
      <c r="L9">
        <v>216</v>
      </c>
      <c r="M9">
        <v>17</v>
      </c>
      <c r="N9">
        <v>7</v>
      </c>
      <c r="O9">
        <v>809</v>
      </c>
      <c r="P9" s="29">
        <v>426</v>
      </c>
      <c r="Q9" s="29"/>
    </row>
    <row r="10" spans="1:17" x14ac:dyDescent="0.25">
      <c r="A10" s="29" t="s">
        <v>290</v>
      </c>
      <c r="B10" s="29"/>
      <c r="C10" s="29">
        <v>192</v>
      </c>
      <c r="D10" s="29"/>
      <c r="E10" s="29">
        <v>82</v>
      </c>
      <c r="F10" s="29"/>
      <c r="G10" s="29">
        <v>364</v>
      </c>
      <c r="H10" s="29"/>
      <c r="I10" s="29">
        <v>173</v>
      </c>
      <c r="J10" s="29"/>
      <c r="K10">
        <v>676</v>
      </c>
      <c r="L10">
        <v>313</v>
      </c>
      <c r="M10">
        <v>1516</v>
      </c>
      <c r="N10">
        <v>781</v>
      </c>
      <c r="O10">
        <v>2748</v>
      </c>
      <c r="P10" s="29">
        <v>1349</v>
      </c>
      <c r="Q10" s="29"/>
    </row>
    <row r="11" spans="1:17" x14ac:dyDescent="0.25">
      <c r="A11" s="29" t="s">
        <v>291</v>
      </c>
      <c r="B11" s="29"/>
      <c r="C11" s="29">
        <v>4</v>
      </c>
      <c r="D11" s="29"/>
      <c r="E11" s="29">
        <v>3</v>
      </c>
      <c r="F11" s="29"/>
      <c r="G11" s="29">
        <v>5</v>
      </c>
      <c r="H11" s="29"/>
      <c r="I11" s="29">
        <v>3</v>
      </c>
      <c r="J11" s="29"/>
      <c r="K11">
        <v>5</v>
      </c>
      <c r="L11">
        <v>2</v>
      </c>
      <c r="M11">
        <v>23</v>
      </c>
      <c r="N11">
        <v>10</v>
      </c>
      <c r="O11">
        <v>37</v>
      </c>
      <c r="P11" s="29">
        <v>18</v>
      </c>
      <c r="Q11" s="29"/>
    </row>
    <row r="12" spans="1:17" x14ac:dyDescent="0.25">
      <c r="A12" s="29" t="s">
        <v>292</v>
      </c>
      <c r="B12" s="29"/>
      <c r="C12" s="29">
        <v>104</v>
      </c>
      <c r="D12" s="29"/>
      <c r="E12" s="29">
        <v>52</v>
      </c>
      <c r="F12" s="29"/>
      <c r="G12" s="29">
        <v>130</v>
      </c>
      <c r="H12" s="29"/>
      <c r="I12" s="29">
        <v>73</v>
      </c>
      <c r="J12" s="29"/>
      <c r="K12">
        <v>124</v>
      </c>
      <c r="L12">
        <v>57</v>
      </c>
      <c r="M12">
        <v>169</v>
      </c>
      <c r="N12">
        <v>88</v>
      </c>
      <c r="O12">
        <v>527</v>
      </c>
      <c r="P12" s="29">
        <v>270</v>
      </c>
      <c r="Q12" s="29"/>
    </row>
    <row r="13" spans="1:17" x14ac:dyDescent="0.25">
      <c r="A13" s="29" t="s">
        <v>293</v>
      </c>
      <c r="B13" s="29"/>
      <c r="C13" s="29">
        <v>24</v>
      </c>
      <c r="D13" s="29"/>
      <c r="E13" s="29">
        <v>8</v>
      </c>
      <c r="F13" s="29"/>
      <c r="G13" s="29">
        <v>49</v>
      </c>
      <c r="H13" s="29"/>
      <c r="I13" s="29">
        <v>26</v>
      </c>
      <c r="J13" s="29"/>
      <c r="K13">
        <v>59</v>
      </c>
      <c r="L13">
        <v>24</v>
      </c>
      <c r="M13">
        <v>47</v>
      </c>
      <c r="N13">
        <v>25</v>
      </c>
      <c r="O13">
        <v>179</v>
      </c>
      <c r="P13" s="29">
        <v>83</v>
      </c>
      <c r="Q13" s="29"/>
    </row>
    <row r="14" spans="1:17" x14ac:dyDescent="0.25">
      <c r="A14" s="29" t="s">
        <v>294</v>
      </c>
      <c r="B14" s="29"/>
      <c r="C14" s="29">
        <v>0</v>
      </c>
      <c r="D14" s="29"/>
      <c r="E14" s="29">
        <v>0</v>
      </c>
      <c r="F14" s="29"/>
      <c r="G14" s="29">
        <v>30</v>
      </c>
      <c r="H14" s="29"/>
      <c r="I14" s="29">
        <v>14</v>
      </c>
      <c r="J14" s="29"/>
      <c r="K14">
        <v>51</v>
      </c>
      <c r="L14">
        <v>31</v>
      </c>
      <c r="M14">
        <v>11</v>
      </c>
      <c r="N14">
        <v>6</v>
      </c>
      <c r="O14">
        <v>92</v>
      </c>
      <c r="P14" s="29">
        <v>51</v>
      </c>
      <c r="Q14" s="29"/>
    </row>
    <row r="15" spans="1:17" x14ac:dyDescent="0.25">
      <c r="A15" s="29" t="s">
        <v>295</v>
      </c>
      <c r="B15" s="29"/>
      <c r="C15" s="29">
        <v>18</v>
      </c>
      <c r="D15" s="29"/>
      <c r="E15" s="29">
        <v>6</v>
      </c>
      <c r="F15" s="29"/>
      <c r="G15" s="29">
        <v>57</v>
      </c>
      <c r="H15" s="29"/>
      <c r="I15" s="29">
        <v>33</v>
      </c>
      <c r="J15" s="29"/>
      <c r="K15">
        <v>92</v>
      </c>
      <c r="L15">
        <v>47</v>
      </c>
      <c r="M15">
        <v>109</v>
      </c>
      <c r="N15">
        <v>57</v>
      </c>
      <c r="O15">
        <v>276</v>
      </c>
      <c r="P15" s="29">
        <v>143</v>
      </c>
      <c r="Q15" s="29"/>
    </row>
    <row r="16" spans="1:17" x14ac:dyDescent="0.25">
      <c r="A16" s="29" t="s">
        <v>296</v>
      </c>
      <c r="B16" s="29"/>
      <c r="C16" s="29">
        <v>15</v>
      </c>
      <c r="D16" s="29"/>
      <c r="E16" s="29">
        <v>4</v>
      </c>
      <c r="F16" s="29"/>
      <c r="G16" s="29">
        <v>153</v>
      </c>
      <c r="H16" s="29"/>
      <c r="I16" s="29">
        <v>69</v>
      </c>
      <c r="J16" s="29"/>
      <c r="K16">
        <v>208</v>
      </c>
      <c r="L16">
        <v>100</v>
      </c>
      <c r="M16">
        <v>89</v>
      </c>
      <c r="N16">
        <v>47</v>
      </c>
      <c r="O16">
        <v>465</v>
      </c>
      <c r="P16" s="29">
        <v>220</v>
      </c>
      <c r="Q16" s="29"/>
    </row>
    <row r="17" spans="1:17" x14ac:dyDescent="0.25">
      <c r="A17" s="29" t="s">
        <v>297</v>
      </c>
      <c r="B17" s="29"/>
      <c r="C17" s="29">
        <v>2293</v>
      </c>
      <c r="D17" s="29"/>
      <c r="E17" s="29">
        <v>1138</v>
      </c>
      <c r="F17" s="29"/>
      <c r="G17" s="29">
        <v>3533</v>
      </c>
      <c r="H17" s="29"/>
      <c r="I17" s="29">
        <v>1776</v>
      </c>
      <c r="J17" s="29"/>
      <c r="K17">
        <v>6253</v>
      </c>
      <c r="L17">
        <v>3169</v>
      </c>
      <c r="M17">
        <v>3536</v>
      </c>
      <c r="N17">
        <v>1779</v>
      </c>
      <c r="O17">
        <v>15615</v>
      </c>
      <c r="P17" s="29">
        <v>7862</v>
      </c>
      <c r="Q17" s="29"/>
    </row>
    <row r="18" spans="1:17" x14ac:dyDescent="0.25">
      <c r="A18" s="29" t="s">
        <v>298</v>
      </c>
      <c r="B18" s="29"/>
      <c r="C18" s="29">
        <v>93</v>
      </c>
      <c r="D18" s="29"/>
      <c r="E18" s="29">
        <v>33</v>
      </c>
      <c r="F18" s="29"/>
      <c r="G18" s="29">
        <v>263</v>
      </c>
      <c r="H18" s="29"/>
      <c r="I18" s="29">
        <v>125</v>
      </c>
      <c r="J18" s="29"/>
      <c r="K18">
        <v>385</v>
      </c>
      <c r="L18">
        <v>189</v>
      </c>
      <c r="M18">
        <v>780</v>
      </c>
      <c r="N18">
        <v>384</v>
      </c>
      <c r="O18">
        <v>1521</v>
      </c>
      <c r="P18" s="29">
        <v>731</v>
      </c>
      <c r="Q18" s="29"/>
    </row>
    <row r="19" spans="1:17" x14ac:dyDescent="0.25">
      <c r="A19" s="29" t="s">
        <v>299</v>
      </c>
      <c r="B19" s="29"/>
      <c r="C19" s="29">
        <v>25</v>
      </c>
      <c r="D19" s="29"/>
      <c r="E19" s="29">
        <v>15</v>
      </c>
      <c r="F19" s="29"/>
      <c r="G19" s="29">
        <v>0</v>
      </c>
      <c r="H19" s="29"/>
      <c r="I19" s="29">
        <v>0</v>
      </c>
      <c r="J19" s="29"/>
      <c r="K19">
        <v>15</v>
      </c>
      <c r="L19">
        <v>4</v>
      </c>
      <c r="M19">
        <v>10</v>
      </c>
      <c r="N19">
        <v>4</v>
      </c>
      <c r="O19">
        <v>50</v>
      </c>
      <c r="P19" s="29">
        <v>23</v>
      </c>
      <c r="Q19" s="29"/>
    </row>
    <row r="20" spans="1:17" x14ac:dyDescent="0.25">
      <c r="A20" s="29" t="s">
        <v>300</v>
      </c>
      <c r="B20" s="29"/>
      <c r="C20" s="29">
        <v>29</v>
      </c>
      <c r="D20" s="29"/>
      <c r="E20" s="29">
        <v>12</v>
      </c>
      <c r="F20" s="29"/>
      <c r="G20" s="29">
        <v>20</v>
      </c>
      <c r="H20" s="29"/>
      <c r="I20" s="29">
        <v>15</v>
      </c>
      <c r="J20" s="29"/>
      <c r="K20">
        <v>14</v>
      </c>
      <c r="L20">
        <v>8</v>
      </c>
      <c r="M20">
        <v>12</v>
      </c>
      <c r="N20">
        <v>5</v>
      </c>
      <c r="O20">
        <v>75</v>
      </c>
      <c r="P20" s="29">
        <v>40</v>
      </c>
      <c r="Q20" s="29"/>
    </row>
    <row r="21" spans="1:17" x14ac:dyDescent="0.25">
      <c r="A21" s="29" t="s">
        <v>301</v>
      </c>
      <c r="B21" s="29"/>
      <c r="C21" s="29">
        <v>0</v>
      </c>
      <c r="D21" s="29"/>
      <c r="E21" s="29">
        <v>0</v>
      </c>
      <c r="F21" s="29"/>
      <c r="G21" s="29">
        <v>0</v>
      </c>
      <c r="H21" s="29"/>
      <c r="I21" s="29">
        <v>0</v>
      </c>
      <c r="J21" s="29"/>
      <c r="K21">
        <v>154</v>
      </c>
      <c r="L21">
        <v>78</v>
      </c>
      <c r="M21">
        <v>426</v>
      </c>
      <c r="N21">
        <v>219</v>
      </c>
      <c r="O21">
        <v>580</v>
      </c>
      <c r="P21" s="29">
        <v>297</v>
      </c>
      <c r="Q21" s="29"/>
    </row>
    <row r="22" spans="1:17" x14ac:dyDescent="0.25">
      <c r="A22" s="29" t="s">
        <v>302</v>
      </c>
      <c r="B22" s="29"/>
      <c r="C22" s="29">
        <v>164</v>
      </c>
      <c r="D22" s="29"/>
      <c r="E22" s="29">
        <v>84</v>
      </c>
      <c r="F22" s="29"/>
      <c r="G22" s="29">
        <v>96</v>
      </c>
      <c r="H22" s="29"/>
      <c r="I22" s="29">
        <v>49</v>
      </c>
      <c r="J22" s="29"/>
      <c r="K22">
        <v>206</v>
      </c>
      <c r="L22">
        <v>111</v>
      </c>
      <c r="M22">
        <v>58</v>
      </c>
      <c r="N22">
        <v>24</v>
      </c>
      <c r="O22">
        <v>524</v>
      </c>
      <c r="P22" s="29">
        <v>268</v>
      </c>
      <c r="Q22" s="29"/>
    </row>
    <row r="23" spans="1:17" x14ac:dyDescent="0.25">
      <c r="A23" s="29" t="s">
        <v>303</v>
      </c>
      <c r="B23" s="29"/>
      <c r="C23" s="29">
        <v>357</v>
      </c>
      <c r="D23" s="29"/>
      <c r="E23" s="29">
        <v>174</v>
      </c>
      <c r="F23" s="29"/>
      <c r="G23" s="29">
        <v>494</v>
      </c>
      <c r="H23" s="29"/>
      <c r="I23" s="29">
        <v>256</v>
      </c>
      <c r="J23" s="29"/>
      <c r="K23">
        <v>5631</v>
      </c>
      <c r="L23">
        <v>586</v>
      </c>
      <c r="M23">
        <v>1250</v>
      </c>
      <c r="N23">
        <v>668</v>
      </c>
      <c r="O23">
        <v>7732</v>
      </c>
      <c r="P23" s="29">
        <v>1684</v>
      </c>
      <c r="Q23" s="29"/>
    </row>
    <row r="24" spans="1:17" x14ac:dyDescent="0.25">
      <c r="A24" s="29" t="s">
        <v>304</v>
      </c>
      <c r="B24" s="29"/>
      <c r="C24" s="29">
        <v>26</v>
      </c>
      <c r="D24" s="29"/>
      <c r="E24" s="29">
        <v>18</v>
      </c>
      <c r="F24" s="29"/>
      <c r="G24" s="29">
        <v>62</v>
      </c>
      <c r="H24" s="29"/>
      <c r="I24" s="29">
        <v>33</v>
      </c>
      <c r="J24" s="29"/>
      <c r="K24">
        <v>75</v>
      </c>
      <c r="L24">
        <v>30</v>
      </c>
      <c r="M24">
        <v>69</v>
      </c>
      <c r="N24">
        <v>39</v>
      </c>
      <c r="O24">
        <v>232</v>
      </c>
      <c r="P24" s="29">
        <v>120</v>
      </c>
      <c r="Q24" s="29"/>
    </row>
    <row r="25" spans="1:17" x14ac:dyDescent="0.25">
      <c r="A25" s="29" t="s">
        <v>305</v>
      </c>
      <c r="B25" s="29"/>
      <c r="C25" s="29">
        <v>17</v>
      </c>
      <c r="D25" s="29"/>
      <c r="E25" s="29">
        <v>7</v>
      </c>
      <c r="F25" s="29"/>
      <c r="G25" s="29">
        <v>20</v>
      </c>
      <c r="H25" s="29"/>
      <c r="I25" s="29">
        <v>10</v>
      </c>
      <c r="J25" s="29"/>
      <c r="K25">
        <v>37</v>
      </c>
      <c r="L25">
        <v>19</v>
      </c>
      <c r="M25">
        <v>83</v>
      </c>
      <c r="N25">
        <v>41</v>
      </c>
      <c r="O25">
        <v>157</v>
      </c>
      <c r="P25" s="29">
        <v>77</v>
      </c>
      <c r="Q25" s="29"/>
    </row>
    <row r="26" spans="1:17" x14ac:dyDescent="0.25">
      <c r="A26" s="29" t="s">
        <v>306</v>
      </c>
      <c r="B26" s="29"/>
      <c r="C26" s="29">
        <v>142</v>
      </c>
      <c r="D26" s="29"/>
      <c r="E26" s="29">
        <v>68</v>
      </c>
      <c r="F26" s="29"/>
      <c r="G26" s="29">
        <v>296</v>
      </c>
      <c r="H26" s="29"/>
      <c r="I26" s="29">
        <v>152</v>
      </c>
      <c r="J26" s="29"/>
      <c r="K26">
        <v>506</v>
      </c>
      <c r="L26">
        <v>224</v>
      </c>
      <c r="M26">
        <v>296</v>
      </c>
      <c r="N26">
        <v>145</v>
      </c>
      <c r="O26">
        <v>1240</v>
      </c>
      <c r="P26" s="29">
        <v>589</v>
      </c>
      <c r="Q26" s="29"/>
    </row>
    <row r="27" spans="1:17" x14ac:dyDescent="0.25">
      <c r="A27" s="29" t="s">
        <v>307</v>
      </c>
      <c r="B27" s="29"/>
      <c r="C27" s="29">
        <v>47</v>
      </c>
      <c r="D27" s="29"/>
      <c r="E27" s="29">
        <v>27</v>
      </c>
      <c r="F27" s="29"/>
      <c r="G27" s="29">
        <v>36</v>
      </c>
      <c r="H27" s="29"/>
      <c r="I27" s="29">
        <v>21</v>
      </c>
      <c r="J27" s="29"/>
      <c r="K27">
        <v>41</v>
      </c>
      <c r="L27">
        <v>21</v>
      </c>
      <c r="M27">
        <v>286</v>
      </c>
      <c r="N27">
        <v>161</v>
      </c>
      <c r="O27">
        <v>410</v>
      </c>
      <c r="P27" s="29">
        <v>230</v>
      </c>
      <c r="Q27" s="29"/>
    </row>
    <row r="28" spans="1:17" x14ac:dyDescent="0.25">
      <c r="A28" s="29" t="s">
        <v>266</v>
      </c>
      <c r="B28" s="29"/>
      <c r="C28" s="29">
        <v>4986</v>
      </c>
      <c r="D28" s="29"/>
      <c r="E28" s="29">
        <v>2430</v>
      </c>
      <c r="F28" s="29"/>
      <c r="G28" s="29">
        <v>7408</v>
      </c>
      <c r="H28" s="29"/>
      <c r="I28" s="29">
        <v>3737</v>
      </c>
      <c r="J28" s="29"/>
      <c r="K28">
        <v>17245</v>
      </c>
      <c r="L28">
        <v>6356</v>
      </c>
      <c r="M28">
        <v>11976</v>
      </c>
      <c r="N28">
        <v>6065</v>
      </c>
      <c r="O28">
        <v>41615</v>
      </c>
      <c r="P28" s="29">
        <v>18588</v>
      </c>
      <c r="Q28" s="29"/>
    </row>
    <row r="29" spans="1:17" x14ac:dyDescent="0.25">
      <c r="A29" s="29" t="s">
        <v>459</v>
      </c>
      <c r="B29" s="29"/>
      <c r="C29" s="29">
        <v>4000</v>
      </c>
      <c r="D29" s="29"/>
      <c r="E29" s="29">
        <v>1947</v>
      </c>
      <c r="F29" s="29"/>
      <c r="G29" s="29">
        <v>5932</v>
      </c>
      <c r="H29" s="29"/>
      <c r="I29" s="29">
        <v>2979</v>
      </c>
      <c r="J29" s="29"/>
      <c r="K29">
        <v>14969</v>
      </c>
      <c r="L29">
        <v>5237</v>
      </c>
      <c r="M29">
        <v>8488</v>
      </c>
      <c r="N29">
        <v>4253</v>
      </c>
      <c r="O29">
        <v>33389</v>
      </c>
      <c r="P29" s="29">
        <v>14416</v>
      </c>
      <c r="Q29" s="29"/>
    </row>
    <row r="30" spans="1:17" x14ac:dyDescent="0.25">
      <c r="A30" s="29" t="s">
        <v>460</v>
      </c>
      <c r="B30" s="29"/>
      <c r="C30" s="29">
        <v>986</v>
      </c>
      <c r="D30" s="29"/>
      <c r="E30" s="29">
        <v>483</v>
      </c>
      <c r="F30" s="29"/>
      <c r="G30" s="29">
        <v>1476</v>
      </c>
      <c r="H30" s="29"/>
      <c r="I30" s="29">
        <v>758</v>
      </c>
      <c r="J30" s="29"/>
      <c r="K30">
        <v>2276</v>
      </c>
      <c r="L30">
        <v>1119</v>
      </c>
      <c r="M30">
        <v>3488</v>
      </c>
      <c r="N30">
        <v>1812</v>
      </c>
      <c r="O30">
        <v>8226</v>
      </c>
      <c r="P30" s="29">
        <v>4172</v>
      </c>
      <c r="Q30" s="29"/>
    </row>
  </sheetData>
  <mergeCells count="179">
    <mergeCell ref="A29:B29"/>
    <mergeCell ref="A13:B13"/>
    <mergeCell ref="C13:D13"/>
    <mergeCell ref="E21:F21"/>
    <mergeCell ref="E30:F30"/>
    <mergeCell ref="C2:D2"/>
    <mergeCell ref="G30:H30"/>
    <mergeCell ref="P7:Q7"/>
    <mergeCell ref="E2:F2"/>
    <mergeCell ref="C11:D11"/>
    <mergeCell ref="P16:Q16"/>
    <mergeCell ref="E11:F11"/>
    <mergeCell ref="G5:H5"/>
    <mergeCell ref="I5:J5"/>
    <mergeCell ref="G14:H14"/>
    <mergeCell ref="I14:J14"/>
    <mergeCell ref="G29:H29"/>
    <mergeCell ref="P18:Q18"/>
    <mergeCell ref="I29:J29"/>
    <mergeCell ref="G4:H4"/>
    <mergeCell ref="I4:J4"/>
    <mergeCell ref="P29:Q29"/>
    <mergeCell ref="E24:F24"/>
    <mergeCell ref="G27:H27"/>
    <mergeCell ref="I27:J27"/>
    <mergeCell ref="G1:J1"/>
    <mergeCell ref="G8:H8"/>
    <mergeCell ref="E17:F17"/>
    <mergeCell ref="C26:D26"/>
    <mergeCell ref="G17:H17"/>
    <mergeCell ref="C10:D10"/>
    <mergeCell ref="C16:D16"/>
    <mergeCell ref="P21:Q21"/>
    <mergeCell ref="E10:F10"/>
    <mergeCell ref="C25:D25"/>
    <mergeCell ref="G10:H10"/>
    <mergeCell ref="E19:F19"/>
    <mergeCell ref="P8:Q8"/>
    <mergeCell ref="G19:H19"/>
    <mergeCell ref="E28:F28"/>
    <mergeCell ref="G28:H28"/>
    <mergeCell ref="I22:J22"/>
    <mergeCell ref="I28:J28"/>
    <mergeCell ref="C9:D9"/>
    <mergeCell ref="E9:F9"/>
    <mergeCell ref="A1:B2"/>
    <mergeCell ref="C23:D23"/>
    <mergeCell ref="A4:B4"/>
    <mergeCell ref="P3:Q3"/>
    <mergeCell ref="C7:D7"/>
    <mergeCell ref="P12:Q12"/>
    <mergeCell ref="E7:F7"/>
    <mergeCell ref="P5:Q5"/>
    <mergeCell ref="A24:B24"/>
    <mergeCell ref="C24:D24"/>
    <mergeCell ref="A6:B6"/>
    <mergeCell ref="A16:B16"/>
    <mergeCell ref="A18:B18"/>
    <mergeCell ref="G6:H6"/>
    <mergeCell ref="P23:Q23"/>
    <mergeCell ref="G3:H3"/>
    <mergeCell ref="I3:J3"/>
    <mergeCell ref="I12:J12"/>
    <mergeCell ref="A20:B20"/>
    <mergeCell ref="P30:Q30"/>
    <mergeCell ref="G16:H16"/>
    <mergeCell ref="E25:F25"/>
    <mergeCell ref="I10:J10"/>
    <mergeCell ref="G25:H25"/>
    <mergeCell ref="A10:B10"/>
    <mergeCell ref="I19:J19"/>
    <mergeCell ref="P14:Q14"/>
    <mergeCell ref="C18:D18"/>
    <mergeCell ref="E18:F18"/>
    <mergeCell ref="G11:H11"/>
    <mergeCell ref="I11:J11"/>
    <mergeCell ref="C20:D20"/>
    <mergeCell ref="E20:F20"/>
    <mergeCell ref="C29:D29"/>
    <mergeCell ref="E29:F29"/>
    <mergeCell ref="E13:F13"/>
    <mergeCell ref="C22:D22"/>
    <mergeCell ref="P27:Q27"/>
    <mergeCell ref="G13:H13"/>
    <mergeCell ref="A12:B12"/>
    <mergeCell ref="I21:J21"/>
    <mergeCell ref="C12:D12"/>
    <mergeCell ref="A21:B21"/>
    <mergeCell ref="I30:J30"/>
    <mergeCell ref="E12:F12"/>
    <mergeCell ref="A30:B30"/>
    <mergeCell ref="P26:Q26"/>
    <mergeCell ref="G12:H12"/>
    <mergeCell ref="C30:D30"/>
    <mergeCell ref="I6:J6"/>
    <mergeCell ref="I15:J15"/>
    <mergeCell ref="A11:B11"/>
    <mergeCell ref="P10:Q10"/>
    <mergeCell ref="C14:D14"/>
    <mergeCell ref="P25:Q25"/>
    <mergeCell ref="E14:F14"/>
    <mergeCell ref="P9:Q9"/>
    <mergeCell ref="G7:H7"/>
    <mergeCell ref="I7:J7"/>
    <mergeCell ref="P11:Q11"/>
    <mergeCell ref="A26:B26"/>
    <mergeCell ref="G24:H24"/>
    <mergeCell ref="I24:J24"/>
    <mergeCell ref="P28:Q28"/>
    <mergeCell ref="I8:J8"/>
    <mergeCell ref="E26:F26"/>
    <mergeCell ref="A8:B8"/>
    <mergeCell ref="A28:B28"/>
    <mergeCell ref="P24:Q24"/>
    <mergeCell ref="C28:D28"/>
    <mergeCell ref="E22:F22"/>
    <mergeCell ref="I13:J13"/>
    <mergeCell ref="G22:H22"/>
    <mergeCell ref="A9:B9"/>
    <mergeCell ref="C3:D3"/>
    <mergeCell ref="E3:F3"/>
    <mergeCell ref="C5:D5"/>
    <mergeCell ref="E5:F5"/>
    <mergeCell ref="C4:D4"/>
    <mergeCell ref="E4:F4"/>
    <mergeCell ref="I17:J17"/>
    <mergeCell ref="G26:H26"/>
    <mergeCell ref="C8:D8"/>
    <mergeCell ref="E16:F16"/>
    <mergeCell ref="G9:H9"/>
    <mergeCell ref="I9:J9"/>
    <mergeCell ref="P4:Q4"/>
    <mergeCell ref="A3:B3"/>
    <mergeCell ref="P17:Q17"/>
    <mergeCell ref="E6:F6"/>
    <mergeCell ref="C21:D21"/>
    <mergeCell ref="A27:B27"/>
    <mergeCell ref="G18:H18"/>
    <mergeCell ref="I18:J18"/>
    <mergeCell ref="C27:D27"/>
    <mergeCell ref="E27:F27"/>
    <mergeCell ref="C1:F1"/>
    <mergeCell ref="A17:B17"/>
    <mergeCell ref="P13:Q13"/>
    <mergeCell ref="C17:D17"/>
    <mergeCell ref="A22:B22"/>
    <mergeCell ref="G20:H20"/>
    <mergeCell ref="I20:J20"/>
    <mergeCell ref="A19:B19"/>
    <mergeCell ref="P15:Q15"/>
    <mergeCell ref="C19:D19"/>
    <mergeCell ref="M1:N1"/>
    <mergeCell ref="K1:L1"/>
    <mergeCell ref="P2:Q2"/>
    <mergeCell ref="O1:Q1"/>
    <mergeCell ref="G2:H2"/>
    <mergeCell ref="I2:J2"/>
    <mergeCell ref="E15:F15"/>
    <mergeCell ref="G15:H15"/>
    <mergeCell ref="A5:B5"/>
    <mergeCell ref="G21:H21"/>
    <mergeCell ref="C6:D6"/>
    <mergeCell ref="A15:B15"/>
    <mergeCell ref="C15:D15"/>
    <mergeCell ref="P20:Q20"/>
    <mergeCell ref="E23:F23"/>
    <mergeCell ref="G23:H23"/>
    <mergeCell ref="I26:J26"/>
    <mergeCell ref="E8:F8"/>
    <mergeCell ref="P22:Q22"/>
    <mergeCell ref="A7:B7"/>
    <mergeCell ref="I16:J16"/>
    <mergeCell ref="P6:Q6"/>
    <mergeCell ref="I25:J25"/>
    <mergeCell ref="A14:B14"/>
    <mergeCell ref="I23:J23"/>
    <mergeCell ref="A23:B23"/>
    <mergeCell ref="P19:Q19"/>
    <mergeCell ref="A25:B25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FFC000"/>
  </sheetPr>
  <dimension ref="A1:S30"/>
  <sheetViews>
    <sheetView workbookViewId="0"/>
  </sheetViews>
  <sheetFormatPr defaultRowHeight="15" x14ac:dyDescent="0.25"/>
  <cols>
    <col min="1" max="1" width="19.85546875" customWidth="1"/>
    <col min="2" max="2" width="8.7109375" customWidth="1"/>
    <col min="3" max="3" width="8.42578125" customWidth="1"/>
    <col min="5" max="5" width="9.28515625" customWidth="1"/>
    <col min="7" max="7" width="8.42578125" customWidth="1"/>
    <col min="10" max="10" width="8.7109375" customWidth="1"/>
    <col min="11" max="11" width="8.85546875" customWidth="1"/>
    <col min="12" max="12" width="9.28515625" customWidth="1"/>
    <col min="13" max="13" width="8.7109375" customWidth="1"/>
    <col min="14" max="14" width="8.42578125" customWidth="1"/>
    <col min="17" max="17" width="8.85546875" customWidth="1"/>
    <col min="18" max="18" width="9.28515625" customWidth="1"/>
    <col min="19" max="19" width="8.7109375" customWidth="1"/>
  </cols>
  <sheetData>
    <row r="1" spans="1:19" x14ac:dyDescent="0.25">
      <c r="A1" s="29" t="s">
        <v>252</v>
      </c>
      <c r="B1" s="29" t="s">
        <v>812</v>
      </c>
      <c r="C1" s="29"/>
      <c r="D1" s="29"/>
      <c r="E1" s="29"/>
      <c r="F1" s="29"/>
      <c r="G1" s="29"/>
      <c r="H1" s="29" t="s">
        <v>718</v>
      </c>
      <c r="I1" s="29"/>
      <c r="J1" s="29"/>
      <c r="K1" s="29"/>
      <c r="L1" s="29"/>
      <c r="M1" s="29"/>
      <c r="N1" s="29" t="s">
        <v>719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18</v>
      </c>
      <c r="C3">
        <v>58</v>
      </c>
      <c r="D3">
        <v>353</v>
      </c>
      <c r="E3">
        <v>223</v>
      </c>
      <c r="F3">
        <v>11</v>
      </c>
      <c r="G3">
        <v>2</v>
      </c>
      <c r="H3">
        <v>12</v>
      </c>
      <c r="I3">
        <v>41</v>
      </c>
      <c r="J3">
        <v>268</v>
      </c>
      <c r="K3">
        <v>189</v>
      </c>
      <c r="L3">
        <v>10</v>
      </c>
      <c r="M3">
        <v>2</v>
      </c>
      <c r="N3">
        <v>0</v>
      </c>
      <c r="O3">
        <v>14</v>
      </c>
      <c r="P3">
        <v>184</v>
      </c>
      <c r="Q3">
        <v>351</v>
      </c>
      <c r="R3">
        <v>62</v>
      </c>
      <c r="S3">
        <v>2</v>
      </c>
    </row>
    <row r="4" spans="1:19" x14ac:dyDescent="0.25">
      <c r="A4" t="s">
        <v>284</v>
      </c>
      <c r="B4">
        <v>7</v>
      </c>
      <c r="C4">
        <v>17</v>
      </c>
      <c r="D4">
        <v>146</v>
      </c>
      <c r="E4">
        <v>166</v>
      </c>
      <c r="F4">
        <v>12</v>
      </c>
      <c r="G4">
        <v>0</v>
      </c>
      <c r="H4">
        <v>16</v>
      </c>
      <c r="I4">
        <v>13</v>
      </c>
      <c r="J4">
        <v>99</v>
      </c>
      <c r="K4">
        <v>136</v>
      </c>
      <c r="L4">
        <v>7</v>
      </c>
      <c r="M4">
        <v>0</v>
      </c>
      <c r="N4">
        <v>0</v>
      </c>
      <c r="O4">
        <v>49</v>
      </c>
      <c r="P4">
        <v>115</v>
      </c>
      <c r="Q4">
        <v>368</v>
      </c>
      <c r="R4">
        <v>92</v>
      </c>
      <c r="S4">
        <v>0</v>
      </c>
    </row>
    <row r="5" spans="1:19" x14ac:dyDescent="0.25">
      <c r="A5" t="s">
        <v>285</v>
      </c>
      <c r="B5">
        <v>5</v>
      </c>
      <c r="C5">
        <v>2</v>
      </c>
      <c r="D5">
        <v>73</v>
      </c>
      <c r="E5">
        <v>40</v>
      </c>
      <c r="F5">
        <v>0</v>
      </c>
      <c r="G5">
        <v>0</v>
      </c>
      <c r="H5">
        <v>16</v>
      </c>
      <c r="I5">
        <v>7</v>
      </c>
      <c r="J5">
        <v>67</v>
      </c>
      <c r="K5">
        <v>42</v>
      </c>
      <c r="L5">
        <v>0</v>
      </c>
      <c r="M5">
        <v>0</v>
      </c>
      <c r="N5">
        <v>11</v>
      </c>
      <c r="O5">
        <v>5</v>
      </c>
      <c r="P5">
        <v>37</v>
      </c>
      <c r="Q5">
        <v>109</v>
      </c>
      <c r="R5">
        <v>2</v>
      </c>
      <c r="S5">
        <v>0</v>
      </c>
    </row>
    <row r="6" spans="1:19" x14ac:dyDescent="0.25">
      <c r="A6" t="s">
        <v>286</v>
      </c>
      <c r="B6">
        <v>3</v>
      </c>
      <c r="C6">
        <v>15</v>
      </c>
      <c r="D6">
        <v>91</v>
      </c>
      <c r="E6">
        <v>72</v>
      </c>
      <c r="F6">
        <v>1</v>
      </c>
      <c r="G6">
        <v>0</v>
      </c>
      <c r="H6">
        <v>1</v>
      </c>
      <c r="I6">
        <v>15</v>
      </c>
      <c r="J6">
        <v>62</v>
      </c>
      <c r="K6">
        <v>59</v>
      </c>
      <c r="L6">
        <v>1</v>
      </c>
      <c r="M6">
        <v>0</v>
      </c>
      <c r="N6">
        <v>4</v>
      </c>
      <c r="O6">
        <v>2</v>
      </c>
      <c r="P6">
        <v>52</v>
      </c>
      <c r="Q6">
        <v>88</v>
      </c>
      <c r="R6">
        <v>3</v>
      </c>
      <c r="S6">
        <v>0</v>
      </c>
    </row>
    <row r="7" spans="1:19" x14ac:dyDescent="0.25">
      <c r="A7" t="s">
        <v>287</v>
      </c>
      <c r="B7">
        <v>56</v>
      </c>
      <c r="C7">
        <v>13</v>
      </c>
      <c r="D7">
        <v>157</v>
      </c>
      <c r="E7">
        <v>118</v>
      </c>
      <c r="F7">
        <v>6</v>
      </c>
      <c r="G7">
        <v>0</v>
      </c>
      <c r="H7">
        <v>30</v>
      </c>
      <c r="I7">
        <v>8</v>
      </c>
      <c r="J7">
        <v>120</v>
      </c>
      <c r="K7">
        <v>104</v>
      </c>
      <c r="L7">
        <v>10</v>
      </c>
      <c r="M7">
        <v>1</v>
      </c>
      <c r="N7">
        <v>2</v>
      </c>
      <c r="O7">
        <v>3</v>
      </c>
      <c r="P7">
        <v>37</v>
      </c>
      <c r="Q7">
        <v>184</v>
      </c>
      <c r="R7">
        <v>15</v>
      </c>
      <c r="S7">
        <v>0</v>
      </c>
    </row>
    <row r="8" spans="1:19" x14ac:dyDescent="0.25">
      <c r="A8" t="s">
        <v>288</v>
      </c>
      <c r="B8">
        <v>17</v>
      </c>
      <c r="C8">
        <v>17</v>
      </c>
      <c r="D8">
        <v>72</v>
      </c>
      <c r="E8">
        <v>42</v>
      </c>
      <c r="F8">
        <v>0</v>
      </c>
      <c r="G8">
        <v>0</v>
      </c>
      <c r="H8">
        <v>45</v>
      </c>
      <c r="I8">
        <v>8</v>
      </c>
      <c r="J8">
        <v>56</v>
      </c>
      <c r="K8">
        <v>31</v>
      </c>
      <c r="L8">
        <v>0</v>
      </c>
      <c r="M8">
        <v>0</v>
      </c>
      <c r="N8">
        <v>41</v>
      </c>
      <c r="O8">
        <v>6</v>
      </c>
      <c r="P8">
        <v>12</v>
      </c>
      <c r="Q8">
        <v>98</v>
      </c>
      <c r="R8">
        <v>10</v>
      </c>
      <c r="S8">
        <v>0</v>
      </c>
    </row>
    <row r="9" spans="1:19" x14ac:dyDescent="0.25">
      <c r="A9" t="s">
        <v>289</v>
      </c>
      <c r="B9">
        <v>5</v>
      </c>
      <c r="C9">
        <v>14</v>
      </c>
      <c r="D9">
        <v>92</v>
      </c>
      <c r="E9">
        <v>64</v>
      </c>
      <c r="F9">
        <v>4</v>
      </c>
      <c r="G9">
        <v>0</v>
      </c>
      <c r="H9">
        <v>41</v>
      </c>
      <c r="I9">
        <v>49</v>
      </c>
      <c r="J9">
        <v>89</v>
      </c>
      <c r="K9">
        <v>59</v>
      </c>
      <c r="L9">
        <v>2</v>
      </c>
      <c r="M9">
        <v>0</v>
      </c>
      <c r="N9">
        <v>21</v>
      </c>
      <c r="O9">
        <v>16</v>
      </c>
      <c r="P9">
        <v>41</v>
      </c>
      <c r="Q9">
        <v>218</v>
      </c>
      <c r="R9">
        <v>27</v>
      </c>
      <c r="S9">
        <v>0</v>
      </c>
    </row>
    <row r="10" spans="1:19" x14ac:dyDescent="0.25">
      <c r="A10" t="s">
        <v>290</v>
      </c>
      <c r="B10">
        <v>12</v>
      </c>
      <c r="C10">
        <v>43</v>
      </c>
      <c r="D10">
        <v>194</v>
      </c>
      <c r="E10">
        <v>158</v>
      </c>
      <c r="F10">
        <v>4</v>
      </c>
      <c r="G10">
        <v>0</v>
      </c>
      <c r="H10">
        <v>34</v>
      </c>
      <c r="I10">
        <v>18</v>
      </c>
      <c r="J10">
        <v>131</v>
      </c>
      <c r="K10">
        <v>128</v>
      </c>
      <c r="L10">
        <v>2</v>
      </c>
      <c r="M10">
        <v>0</v>
      </c>
      <c r="N10">
        <v>5</v>
      </c>
      <c r="O10">
        <v>24</v>
      </c>
      <c r="P10">
        <v>76</v>
      </c>
      <c r="Q10">
        <v>234</v>
      </c>
      <c r="R10">
        <v>33</v>
      </c>
      <c r="S10">
        <v>1</v>
      </c>
    </row>
    <row r="11" spans="1:19" x14ac:dyDescent="0.25">
      <c r="A11" t="s">
        <v>291</v>
      </c>
      <c r="B11">
        <v>0</v>
      </c>
      <c r="C11">
        <v>0</v>
      </c>
      <c r="D11">
        <v>0</v>
      </c>
      <c r="E11">
        <v>9</v>
      </c>
      <c r="F11">
        <v>0</v>
      </c>
      <c r="G11">
        <v>0</v>
      </c>
      <c r="H11">
        <v>14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9</v>
      </c>
      <c r="R11">
        <v>0</v>
      </c>
      <c r="S11">
        <v>0</v>
      </c>
    </row>
    <row r="12" spans="1:19" x14ac:dyDescent="0.25">
      <c r="A12" t="s">
        <v>292</v>
      </c>
      <c r="B12">
        <v>8</v>
      </c>
      <c r="C12">
        <v>7</v>
      </c>
      <c r="D12">
        <v>47</v>
      </c>
      <c r="E12">
        <v>16</v>
      </c>
      <c r="F12">
        <v>0</v>
      </c>
      <c r="G12">
        <v>0</v>
      </c>
      <c r="H12">
        <v>2</v>
      </c>
      <c r="I12">
        <v>12</v>
      </c>
      <c r="J12">
        <v>42</v>
      </c>
      <c r="K12">
        <v>13</v>
      </c>
      <c r="L12">
        <v>0</v>
      </c>
      <c r="M12">
        <v>0</v>
      </c>
      <c r="N12">
        <v>0</v>
      </c>
      <c r="O12">
        <v>0</v>
      </c>
      <c r="P12">
        <v>14</v>
      </c>
      <c r="Q12">
        <v>16</v>
      </c>
      <c r="R12">
        <v>1</v>
      </c>
      <c r="S12">
        <v>0</v>
      </c>
    </row>
    <row r="13" spans="1:19" x14ac:dyDescent="0.25">
      <c r="A13" t="s">
        <v>293</v>
      </c>
      <c r="B13">
        <v>0</v>
      </c>
      <c r="C13">
        <v>1</v>
      </c>
      <c r="D13">
        <v>14</v>
      </c>
      <c r="E13">
        <v>14</v>
      </c>
      <c r="F13">
        <v>1</v>
      </c>
      <c r="G13">
        <v>0</v>
      </c>
      <c r="H13">
        <v>21</v>
      </c>
      <c r="I13">
        <v>6</v>
      </c>
      <c r="J13">
        <v>10</v>
      </c>
      <c r="K13">
        <v>6</v>
      </c>
      <c r="L13">
        <v>0</v>
      </c>
      <c r="M13">
        <v>0</v>
      </c>
      <c r="N13">
        <v>0</v>
      </c>
      <c r="O13">
        <v>0</v>
      </c>
      <c r="P13">
        <v>3</v>
      </c>
      <c r="Q13">
        <v>20</v>
      </c>
      <c r="R13">
        <v>9</v>
      </c>
      <c r="S13">
        <v>0</v>
      </c>
    </row>
    <row r="14" spans="1:19" x14ac:dyDescent="0.25">
      <c r="A14" t="s">
        <v>294</v>
      </c>
      <c r="B14">
        <v>0</v>
      </c>
      <c r="C14">
        <v>3</v>
      </c>
      <c r="D14">
        <v>27</v>
      </c>
      <c r="E14">
        <v>10</v>
      </c>
      <c r="F14">
        <v>0</v>
      </c>
      <c r="G14">
        <v>0</v>
      </c>
      <c r="H14">
        <v>0</v>
      </c>
      <c r="I14">
        <v>2</v>
      </c>
      <c r="J14">
        <v>19</v>
      </c>
      <c r="K14">
        <v>8</v>
      </c>
      <c r="L14">
        <v>0</v>
      </c>
      <c r="M14">
        <v>0</v>
      </c>
      <c r="N14">
        <v>0</v>
      </c>
      <c r="O14">
        <v>0</v>
      </c>
      <c r="P14">
        <v>1</v>
      </c>
      <c r="Q14">
        <v>18</v>
      </c>
      <c r="R14">
        <v>1</v>
      </c>
      <c r="S14">
        <v>0</v>
      </c>
    </row>
    <row r="15" spans="1:19" x14ac:dyDescent="0.25">
      <c r="A15" t="s">
        <v>295</v>
      </c>
      <c r="B15">
        <v>1</v>
      </c>
      <c r="C15">
        <v>8</v>
      </c>
      <c r="D15">
        <v>63</v>
      </c>
      <c r="E15">
        <v>7</v>
      </c>
      <c r="F15">
        <v>2</v>
      </c>
      <c r="G15">
        <v>0</v>
      </c>
      <c r="H15">
        <v>1</v>
      </c>
      <c r="I15">
        <v>5</v>
      </c>
      <c r="J15">
        <v>46</v>
      </c>
      <c r="K15">
        <v>6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6</v>
      </c>
      <c r="D16">
        <v>51</v>
      </c>
      <c r="E16">
        <v>22</v>
      </c>
      <c r="F16">
        <v>0</v>
      </c>
      <c r="G16">
        <v>0</v>
      </c>
      <c r="H16">
        <v>0</v>
      </c>
      <c r="I16">
        <v>3</v>
      </c>
      <c r="J16">
        <v>32</v>
      </c>
      <c r="K16">
        <v>18</v>
      </c>
      <c r="L16">
        <v>0</v>
      </c>
      <c r="M16">
        <v>0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164</v>
      </c>
      <c r="C17">
        <v>253</v>
      </c>
      <c r="D17">
        <v>843</v>
      </c>
      <c r="E17">
        <v>1927</v>
      </c>
      <c r="F17">
        <v>119</v>
      </c>
      <c r="G17">
        <v>6</v>
      </c>
      <c r="H17">
        <v>131</v>
      </c>
      <c r="I17">
        <v>159</v>
      </c>
      <c r="J17">
        <v>595</v>
      </c>
      <c r="K17">
        <v>1688</v>
      </c>
      <c r="L17">
        <v>174</v>
      </c>
      <c r="M17">
        <v>8</v>
      </c>
      <c r="N17">
        <v>69</v>
      </c>
      <c r="O17">
        <v>122</v>
      </c>
      <c r="P17">
        <v>378</v>
      </c>
      <c r="Q17">
        <v>2876</v>
      </c>
      <c r="R17">
        <v>485</v>
      </c>
      <c r="S17">
        <v>76</v>
      </c>
    </row>
    <row r="18" spans="1:19" x14ac:dyDescent="0.25">
      <c r="A18" t="s">
        <v>298</v>
      </c>
      <c r="B18">
        <v>7</v>
      </c>
      <c r="C18">
        <v>25</v>
      </c>
      <c r="D18">
        <v>120</v>
      </c>
      <c r="E18">
        <v>92</v>
      </c>
      <c r="F18">
        <v>3</v>
      </c>
      <c r="G18">
        <v>0</v>
      </c>
      <c r="H18">
        <v>8</v>
      </c>
      <c r="I18">
        <v>32</v>
      </c>
      <c r="J18">
        <v>104</v>
      </c>
      <c r="K18">
        <v>91</v>
      </c>
      <c r="L18">
        <v>3</v>
      </c>
      <c r="M18">
        <v>0</v>
      </c>
      <c r="N18">
        <v>1</v>
      </c>
      <c r="O18">
        <v>3</v>
      </c>
      <c r="P18">
        <v>53</v>
      </c>
      <c r="Q18">
        <v>199</v>
      </c>
      <c r="R18">
        <v>18</v>
      </c>
      <c r="S18">
        <v>0</v>
      </c>
    </row>
    <row r="19" spans="1:19" x14ac:dyDescent="0.25">
      <c r="A19" t="s">
        <v>299</v>
      </c>
      <c r="B19">
        <v>0</v>
      </c>
      <c r="C19">
        <v>3</v>
      </c>
      <c r="D19">
        <v>11</v>
      </c>
      <c r="E19">
        <v>0</v>
      </c>
      <c r="F19">
        <v>0</v>
      </c>
      <c r="G19">
        <v>0</v>
      </c>
      <c r="H19">
        <v>0</v>
      </c>
      <c r="I19">
        <v>2</v>
      </c>
      <c r="J19">
        <v>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0</v>
      </c>
      <c r="D20">
        <v>9</v>
      </c>
      <c r="E20">
        <v>4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  <c r="O20">
        <v>1</v>
      </c>
      <c r="P20">
        <v>2</v>
      </c>
      <c r="Q20">
        <v>16</v>
      </c>
      <c r="R20">
        <v>3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26</v>
      </c>
      <c r="E21">
        <v>17</v>
      </c>
      <c r="F21">
        <v>2</v>
      </c>
      <c r="G21">
        <v>0</v>
      </c>
      <c r="H21">
        <v>0</v>
      </c>
      <c r="I21">
        <v>0</v>
      </c>
      <c r="J21">
        <v>7</v>
      </c>
      <c r="K21">
        <v>2</v>
      </c>
      <c r="L21">
        <v>0</v>
      </c>
      <c r="M21">
        <v>0</v>
      </c>
      <c r="N21">
        <v>0</v>
      </c>
      <c r="O21">
        <v>0</v>
      </c>
      <c r="P21">
        <v>12</v>
      </c>
      <c r="Q21">
        <v>13</v>
      </c>
      <c r="R21">
        <v>2</v>
      </c>
      <c r="S21">
        <v>0</v>
      </c>
    </row>
    <row r="22" spans="1:19" x14ac:dyDescent="0.25">
      <c r="A22" t="s">
        <v>302</v>
      </c>
      <c r="B22">
        <v>0</v>
      </c>
      <c r="C22">
        <v>17</v>
      </c>
      <c r="D22">
        <v>40</v>
      </c>
      <c r="E22">
        <v>15</v>
      </c>
      <c r="F22">
        <v>0</v>
      </c>
      <c r="G22">
        <v>0</v>
      </c>
      <c r="H22">
        <v>0</v>
      </c>
      <c r="I22">
        <v>8</v>
      </c>
      <c r="J22">
        <v>34</v>
      </c>
      <c r="K22">
        <v>9</v>
      </c>
      <c r="L22">
        <v>0</v>
      </c>
      <c r="M22">
        <v>0</v>
      </c>
      <c r="N22">
        <v>0</v>
      </c>
      <c r="O22">
        <v>2</v>
      </c>
      <c r="P22">
        <v>18</v>
      </c>
      <c r="Q22">
        <v>60</v>
      </c>
      <c r="R22">
        <v>1</v>
      </c>
      <c r="S22">
        <v>0</v>
      </c>
    </row>
    <row r="23" spans="1:19" x14ac:dyDescent="0.25">
      <c r="A23" t="s">
        <v>303</v>
      </c>
      <c r="B23">
        <v>29</v>
      </c>
      <c r="C23">
        <v>50</v>
      </c>
      <c r="D23">
        <v>300</v>
      </c>
      <c r="E23">
        <v>250</v>
      </c>
      <c r="F23">
        <v>12</v>
      </c>
      <c r="G23">
        <v>0</v>
      </c>
      <c r="H23">
        <v>28</v>
      </c>
      <c r="I23">
        <v>24</v>
      </c>
      <c r="J23">
        <v>200</v>
      </c>
      <c r="K23">
        <v>175</v>
      </c>
      <c r="L23">
        <v>14</v>
      </c>
      <c r="M23">
        <v>1</v>
      </c>
      <c r="N23">
        <v>6</v>
      </c>
      <c r="O23">
        <v>23</v>
      </c>
      <c r="P23">
        <v>224</v>
      </c>
      <c r="Q23">
        <v>602</v>
      </c>
      <c r="R23">
        <v>58</v>
      </c>
      <c r="S23">
        <v>3</v>
      </c>
    </row>
    <row r="24" spans="1:19" x14ac:dyDescent="0.25">
      <c r="A24" t="s">
        <v>304</v>
      </c>
      <c r="B24">
        <v>3</v>
      </c>
      <c r="C24">
        <v>0</v>
      </c>
      <c r="D24">
        <v>23</v>
      </c>
      <c r="E24">
        <v>5</v>
      </c>
      <c r="F24">
        <v>0</v>
      </c>
      <c r="G24">
        <v>0</v>
      </c>
      <c r="H24">
        <v>0</v>
      </c>
      <c r="I24">
        <v>0</v>
      </c>
      <c r="J24">
        <v>15</v>
      </c>
      <c r="K24">
        <v>3</v>
      </c>
      <c r="L24">
        <v>0</v>
      </c>
      <c r="M24">
        <v>0</v>
      </c>
      <c r="N24">
        <v>0</v>
      </c>
      <c r="O24">
        <v>10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305</v>
      </c>
      <c r="B25">
        <v>2</v>
      </c>
      <c r="C25">
        <v>2</v>
      </c>
      <c r="D25">
        <v>20</v>
      </c>
      <c r="E25">
        <v>18</v>
      </c>
      <c r="F25">
        <v>0</v>
      </c>
      <c r="G25">
        <v>0</v>
      </c>
      <c r="H25">
        <v>0</v>
      </c>
      <c r="I25">
        <v>2</v>
      </c>
      <c r="J25">
        <v>16</v>
      </c>
      <c r="K25">
        <v>6</v>
      </c>
      <c r="L25">
        <v>0</v>
      </c>
      <c r="M25">
        <v>0</v>
      </c>
      <c r="N25">
        <v>0</v>
      </c>
      <c r="O25">
        <v>0</v>
      </c>
      <c r="P25">
        <v>0</v>
      </c>
      <c r="Q25">
        <v>12</v>
      </c>
      <c r="R25">
        <v>0</v>
      </c>
      <c r="S25">
        <v>0</v>
      </c>
    </row>
    <row r="26" spans="1:19" x14ac:dyDescent="0.25">
      <c r="A26" t="s">
        <v>306</v>
      </c>
      <c r="B26">
        <v>19</v>
      </c>
      <c r="C26">
        <v>35</v>
      </c>
      <c r="D26">
        <v>141</v>
      </c>
      <c r="E26">
        <v>65</v>
      </c>
      <c r="F26">
        <v>1</v>
      </c>
      <c r="G26">
        <v>0</v>
      </c>
      <c r="H26">
        <v>12</v>
      </c>
      <c r="I26">
        <v>21</v>
      </c>
      <c r="J26">
        <v>91</v>
      </c>
      <c r="K26">
        <v>60</v>
      </c>
      <c r="L26">
        <v>1</v>
      </c>
      <c r="M26">
        <v>0</v>
      </c>
      <c r="N26">
        <v>2</v>
      </c>
      <c r="O26">
        <v>4</v>
      </c>
      <c r="P26">
        <v>64</v>
      </c>
      <c r="Q26">
        <v>112</v>
      </c>
      <c r="R26">
        <v>24</v>
      </c>
      <c r="S26">
        <v>2</v>
      </c>
    </row>
    <row r="27" spans="1:19" x14ac:dyDescent="0.25">
      <c r="A27" t="s">
        <v>307</v>
      </c>
      <c r="B27">
        <v>0</v>
      </c>
      <c r="C27">
        <v>0</v>
      </c>
      <c r="D27">
        <v>52</v>
      </c>
      <c r="E27">
        <v>26</v>
      </c>
      <c r="F27">
        <v>0</v>
      </c>
      <c r="G27">
        <v>0</v>
      </c>
      <c r="H27">
        <v>1</v>
      </c>
      <c r="I27">
        <v>3</v>
      </c>
      <c r="J27">
        <v>78</v>
      </c>
      <c r="K27">
        <v>33</v>
      </c>
      <c r="L27">
        <v>0</v>
      </c>
      <c r="M27">
        <v>0</v>
      </c>
      <c r="N27">
        <v>0</v>
      </c>
      <c r="O27">
        <v>0</v>
      </c>
      <c r="P27">
        <v>36</v>
      </c>
      <c r="Q27">
        <v>122</v>
      </c>
      <c r="R27">
        <v>3</v>
      </c>
      <c r="S27">
        <v>0</v>
      </c>
    </row>
    <row r="28" spans="1:19" x14ac:dyDescent="0.25">
      <c r="A28" t="s">
        <v>266</v>
      </c>
      <c r="B28">
        <v>356</v>
      </c>
      <c r="C28">
        <v>589</v>
      </c>
      <c r="D28">
        <v>2965</v>
      </c>
      <c r="E28">
        <v>3380</v>
      </c>
      <c r="F28">
        <v>178</v>
      </c>
      <c r="G28">
        <v>8</v>
      </c>
      <c r="H28">
        <v>413</v>
      </c>
      <c r="I28">
        <v>439</v>
      </c>
      <c r="J28">
        <v>2195</v>
      </c>
      <c r="K28">
        <v>2867</v>
      </c>
      <c r="L28">
        <v>226</v>
      </c>
      <c r="M28">
        <v>12</v>
      </c>
      <c r="N28">
        <v>162</v>
      </c>
      <c r="O28">
        <v>284</v>
      </c>
      <c r="P28">
        <v>1363</v>
      </c>
      <c r="Q28">
        <v>5727</v>
      </c>
      <c r="R28">
        <v>849</v>
      </c>
      <c r="S28">
        <v>84</v>
      </c>
    </row>
    <row r="29" spans="1:19" x14ac:dyDescent="0.25">
      <c r="A29" t="s">
        <v>459</v>
      </c>
      <c r="B29">
        <v>252</v>
      </c>
      <c r="C29">
        <v>454</v>
      </c>
      <c r="D29">
        <v>2187</v>
      </c>
      <c r="E29">
        <v>3032</v>
      </c>
      <c r="F29">
        <v>160</v>
      </c>
      <c r="G29">
        <v>8</v>
      </c>
      <c r="H29">
        <v>236</v>
      </c>
      <c r="I29">
        <v>309</v>
      </c>
      <c r="J29">
        <v>1587</v>
      </c>
      <c r="K29">
        <v>2546</v>
      </c>
      <c r="L29">
        <v>211</v>
      </c>
      <c r="M29">
        <v>12</v>
      </c>
      <c r="N29">
        <v>80</v>
      </c>
      <c r="O29">
        <v>227</v>
      </c>
      <c r="P29">
        <v>1100</v>
      </c>
      <c r="Q29">
        <v>4902</v>
      </c>
      <c r="R29">
        <v>785</v>
      </c>
      <c r="S29">
        <v>81</v>
      </c>
    </row>
    <row r="30" spans="1:19" x14ac:dyDescent="0.25">
      <c r="A30" t="s">
        <v>460</v>
      </c>
      <c r="B30">
        <v>104</v>
      </c>
      <c r="C30">
        <v>135</v>
      </c>
      <c r="D30">
        <v>778</v>
      </c>
      <c r="E30">
        <v>348</v>
      </c>
      <c r="F30">
        <v>18</v>
      </c>
      <c r="G30">
        <v>0</v>
      </c>
      <c r="H30">
        <v>177</v>
      </c>
      <c r="I30">
        <v>130</v>
      </c>
      <c r="J30">
        <v>608</v>
      </c>
      <c r="K30">
        <v>321</v>
      </c>
      <c r="L30">
        <v>15</v>
      </c>
      <c r="M30">
        <v>0</v>
      </c>
      <c r="N30">
        <v>82</v>
      </c>
      <c r="O30">
        <v>57</v>
      </c>
      <c r="P30">
        <v>263</v>
      </c>
      <c r="Q30">
        <v>825</v>
      </c>
      <c r="R30">
        <v>64</v>
      </c>
      <c r="S30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FFC000"/>
  </sheetPr>
  <dimension ref="A1:S30"/>
  <sheetViews>
    <sheetView workbookViewId="0"/>
  </sheetViews>
  <sheetFormatPr defaultRowHeight="15" x14ac:dyDescent="0.25"/>
  <cols>
    <col min="1" max="1" width="19.140625" customWidth="1"/>
    <col min="2" max="2" width="10.140625" customWidth="1"/>
    <col min="5" max="5" width="8.85546875" customWidth="1"/>
    <col min="8" max="8" width="7.42578125" customWidth="1"/>
    <col min="9" max="9" width="7.85546875" customWidth="1"/>
    <col min="11" max="11" width="8.85546875" customWidth="1"/>
    <col min="14" max="14" width="8.140625" customWidth="1"/>
    <col min="17" max="17" width="8.85546875" customWidth="1"/>
  </cols>
  <sheetData>
    <row r="1" spans="1:19" x14ac:dyDescent="0.25">
      <c r="A1" s="29" t="s">
        <v>252</v>
      </c>
      <c r="B1" s="29" t="s">
        <v>742</v>
      </c>
      <c r="C1" s="29"/>
      <c r="D1" s="29"/>
      <c r="E1" s="29"/>
      <c r="F1" s="29"/>
      <c r="G1" s="29"/>
      <c r="H1" s="29" t="s">
        <v>743</v>
      </c>
      <c r="I1" s="29"/>
      <c r="J1" s="29"/>
      <c r="K1" s="29"/>
      <c r="L1" s="29"/>
      <c r="M1" s="29"/>
      <c r="N1" s="29" t="s">
        <v>744</v>
      </c>
      <c r="O1" s="29"/>
      <c r="P1" s="29"/>
      <c r="Q1" s="29"/>
      <c r="R1" s="29"/>
      <c r="S1" s="29"/>
    </row>
    <row r="2" spans="1:19" x14ac:dyDescent="0.25">
      <c r="A2" s="29"/>
      <c r="B2" t="s">
        <v>346</v>
      </c>
      <c r="C2" t="s">
        <v>739</v>
      </c>
      <c r="D2" t="s">
        <v>481</v>
      </c>
      <c r="E2" t="s">
        <v>482</v>
      </c>
      <c r="F2" t="s">
        <v>485</v>
      </c>
      <c r="G2" t="s">
        <v>741</v>
      </c>
      <c r="H2" t="s">
        <v>346</v>
      </c>
      <c r="I2" t="s">
        <v>739</v>
      </c>
      <c r="J2" t="s">
        <v>481</v>
      </c>
      <c r="K2" t="s">
        <v>482</v>
      </c>
      <c r="L2" t="s">
        <v>485</v>
      </c>
      <c r="M2" t="s">
        <v>741</v>
      </c>
      <c r="N2" t="s">
        <v>346</v>
      </c>
      <c r="O2" t="s">
        <v>739</v>
      </c>
      <c r="P2" t="s">
        <v>481</v>
      </c>
      <c r="Q2" t="s">
        <v>482</v>
      </c>
      <c r="R2" t="s">
        <v>485</v>
      </c>
      <c r="S2" t="s">
        <v>741</v>
      </c>
    </row>
    <row r="3" spans="1:19" x14ac:dyDescent="0.25">
      <c r="A3" t="s">
        <v>283</v>
      </c>
      <c r="B3">
        <v>18</v>
      </c>
      <c r="C3">
        <v>72</v>
      </c>
      <c r="D3">
        <v>535</v>
      </c>
      <c r="E3">
        <v>559</v>
      </c>
      <c r="F3">
        <v>73</v>
      </c>
      <c r="G3">
        <v>4</v>
      </c>
      <c r="H3">
        <v>13</v>
      </c>
      <c r="I3">
        <v>48</v>
      </c>
      <c r="J3">
        <v>341</v>
      </c>
      <c r="K3">
        <v>291</v>
      </c>
      <c r="L3">
        <v>21</v>
      </c>
      <c r="M3">
        <v>0</v>
      </c>
      <c r="N3">
        <v>2</v>
      </c>
      <c r="O3">
        <v>3</v>
      </c>
      <c r="P3">
        <v>31</v>
      </c>
      <c r="Q3">
        <v>20</v>
      </c>
      <c r="R3">
        <v>0</v>
      </c>
      <c r="S3">
        <v>0</v>
      </c>
    </row>
    <row r="4" spans="1:19" x14ac:dyDescent="0.25">
      <c r="A4" t="s">
        <v>284</v>
      </c>
      <c r="B4">
        <v>17</v>
      </c>
      <c r="C4">
        <v>66</v>
      </c>
      <c r="D4">
        <v>244</v>
      </c>
      <c r="E4">
        <v>512</v>
      </c>
      <c r="F4">
        <v>100</v>
      </c>
      <c r="G4">
        <v>0</v>
      </c>
      <c r="H4">
        <v>17</v>
      </c>
      <c r="I4">
        <v>34</v>
      </c>
      <c r="J4">
        <v>177</v>
      </c>
      <c r="K4">
        <v>310</v>
      </c>
      <c r="L4">
        <v>31</v>
      </c>
      <c r="M4">
        <v>0</v>
      </c>
      <c r="N4">
        <v>1</v>
      </c>
      <c r="O4">
        <v>2</v>
      </c>
      <c r="P4">
        <v>21</v>
      </c>
      <c r="Q4">
        <v>19</v>
      </c>
      <c r="R4">
        <v>0</v>
      </c>
      <c r="S4">
        <v>0</v>
      </c>
    </row>
    <row r="5" spans="1:19" x14ac:dyDescent="0.25">
      <c r="A5" t="s">
        <v>285</v>
      </c>
      <c r="B5">
        <v>16</v>
      </c>
      <c r="C5">
        <v>11</v>
      </c>
      <c r="D5">
        <v>117</v>
      </c>
      <c r="E5">
        <v>138</v>
      </c>
      <c r="F5">
        <v>2</v>
      </c>
      <c r="G5">
        <v>0</v>
      </c>
      <c r="H5">
        <v>9</v>
      </c>
      <c r="I5">
        <v>4</v>
      </c>
      <c r="J5">
        <v>83</v>
      </c>
      <c r="K5">
        <v>80</v>
      </c>
      <c r="L5">
        <v>0</v>
      </c>
      <c r="M5">
        <v>0</v>
      </c>
      <c r="N5">
        <v>4</v>
      </c>
      <c r="O5">
        <v>0</v>
      </c>
      <c r="P5">
        <v>12</v>
      </c>
      <c r="Q5">
        <v>8</v>
      </c>
      <c r="R5">
        <v>0</v>
      </c>
      <c r="S5">
        <v>0</v>
      </c>
    </row>
    <row r="6" spans="1:19" x14ac:dyDescent="0.25">
      <c r="A6" t="s">
        <v>286</v>
      </c>
      <c r="B6">
        <v>7</v>
      </c>
      <c r="C6">
        <v>17</v>
      </c>
      <c r="D6">
        <v>142</v>
      </c>
      <c r="E6">
        <v>158</v>
      </c>
      <c r="F6">
        <v>4</v>
      </c>
      <c r="G6">
        <v>0</v>
      </c>
      <c r="H6">
        <v>6</v>
      </c>
      <c r="I6">
        <v>14</v>
      </c>
      <c r="J6">
        <v>97</v>
      </c>
      <c r="K6">
        <v>88</v>
      </c>
      <c r="L6">
        <v>0</v>
      </c>
      <c r="M6">
        <v>0</v>
      </c>
      <c r="N6">
        <v>0</v>
      </c>
      <c r="O6">
        <v>0</v>
      </c>
      <c r="P6">
        <v>2</v>
      </c>
      <c r="Q6">
        <v>10</v>
      </c>
      <c r="R6">
        <v>1</v>
      </c>
      <c r="S6">
        <v>0</v>
      </c>
    </row>
    <row r="7" spans="1:19" x14ac:dyDescent="0.25">
      <c r="A7" t="s">
        <v>287</v>
      </c>
      <c r="B7">
        <v>57</v>
      </c>
      <c r="C7">
        <v>18</v>
      </c>
      <c r="D7">
        <v>191</v>
      </c>
      <c r="E7">
        <v>298</v>
      </c>
      <c r="F7">
        <v>26</v>
      </c>
      <c r="G7">
        <v>1</v>
      </c>
      <c r="H7">
        <v>38</v>
      </c>
      <c r="I7">
        <v>10</v>
      </c>
      <c r="J7">
        <v>146</v>
      </c>
      <c r="K7">
        <v>171</v>
      </c>
      <c r="L7">
        <v>13</v>
      </c>
      <c r="M7">
        <v>0</v>
      </c>
      <c r="N7">
        <v>0</v>
      </c>
      <c r="O7">
        <v>3</v>
      </c>
      <c r="P7">
        <v>35</v>
      </c>
      <c r="Q7">
        <v>22</v>
      </c>
      <c r="R7">
        <v>1</v>
      </c>
      <c r="S7">
        <v>0</v>
      </c>
    </row>
    <row r="8" spans="1:19" x14ac:dyDescent="0.25">
      <c r="A8" t="s">
        <v>288</v>
      </c>
      <c r="B8">
        <v>58</v>
      </c>
      <c r="C8">
        <v>23</v>
      </c>
      <c r="D8">
        <v>83</v>
      </c>
      <c r="E8">
        <v>135</v>
      </c>
      <c r="F8">
        <v>10</v>
      </c>
      <c r="G8">
        <v>0</v>
      </c>
      <c r="H8">
        <v>22</v>
      </c>
      <c r="I8">
        <v>18</v>
      </c>
      <c r="J8">
        <v>67</v>
      </c>
      <c r="K8">
        <v>66</v>
      </c>
      <c r="L8">
        <v>1</v>
      </c>
      <c r="M8">
        <v>0</v>
      </c>
      <c r="N8">
        <v>1</v>
      </c>
      <c r="O8">
        <v>1</v>
      </c>
      <c r="P8">
        <v>11</v>
      </c>
      <c r="Q8">
        <v>10</v>
      </c>
      <c r="R8">
        <v>0</v>
      </c>
      <c r="S8">
        <v>0</v>
      </c>
    </row>
    <row r="9" spans="1:19" x14ac:dyDescent="0.25">
      <c r="A9" t="s">
        <v>289</v>
      </c>
      <c r="B9">
        <v>41</v>
      </c>
      <c r="C9">
        <v>69</v>
      </c>
      <c r="D9">
        <v>144</v>
      </c>
      <c r="E9">
        <v>283</v>
      </c>
      <c r="F9">
        <v>31</v>
      </c>
      <c r="G9">
        <v>0</v>
      </c>
      <c r="H9">
        <v>18</v>
      </c>
      <c r="I9">
        <v>55</v>
      </c>
      <c r="J9">
        <v>81</v>
      </c>
      <c r="K9">
        <v>133</v>
      </c>
      <c r="L9">
        <v>5</v>
      </c>
      <c r="M9">
        <v>0</v>
      </c>
      <c r="N9">
        <v>20</v>
      </c>
      <c r="O9">
        <v>12</v>
      </c>
      <c r="P9">
        <v>17</v>
      </c>
      <c r="Q9">
        <v>34</v>
      </c>
      <c r="R9">
        <v>4</v>
      </c>
      <c r="S9">
        <v>0</v>
      </c>
    </row>
    <row r="10" spans="1:19" x14ac:dyDescent="0.25">
      <c r="A10" t="s">
        <v>290</v>
      </c>
      <c r="B10">
        <v>40</v>
      </c>
      <c r="C10">
        <v>52</v>
      </c>
      <c r="D10">
        <v>255</v>
      </c>
      <c r="E10">
        <v>368</v>
      </c>
      <c r="F10">
        <v>37</v>
      </c>
      <c r="G10">
        <v>1</v>
      </c>
      <c r="H10">
        <v>27</v>
      </c>
      <c r="I10">
        <v>40</v>
      </c>
      <c r="J10">
        <v>198</v>
      </c>
      <c r="K10">
        <v>179</v>
      </c>
      <c r="L10">
        <v>10</v>
      </c>
      <c r="M10">
        <v>1</v>
      </c>
      <c r="N10">
        <v>2</v>
      </c>
      <c r="O10">
        <v>2</v>
      </c>
      <c r="P10">
        <v>24</v>
      </c>
      <c r="Q10">
        <v>25</v>
      </c>
      <c r="R10">
        <v>0</v>
      </c>
      <c r="S10">
        <v>0</v>
      </c>
    </row>
    <row r="11" spans="1:19" x14ac:dyDescent="0.25">
      <c r="A11" t="s">
        <v>291</v>
      </c>
      <c r="B11">
        <v>14</v>
      </c>
      <c r="C11">
        <v>1</v>
      </c>
      <c r="D11">
        <v>0</v>
      </c>
      <c r="E11">
        <v>10</v>
      </c>
      <c r="F11">
        <v>0</v>
      </c>
      <c r="G11">
        <v>0</v>
      </c>
      <c r="H11">
        <v>10</v>
      </c>
      <c r="I11">
        <v>1</v>
      </c>
      <c r="J11">
        <v>0</v>
      </c>
      <c r="K11">
        <v>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292</v>
      </c>
      <c r="B12">
        <v>8</v>
      </c>
      <c r="C12">
        <v>13</v>
      </c>
      <c r="D12">
        <v>65</v>
      </c>
      <c r="E12">
        <v>32</v>
      </c>
      <c r="F12">
        <v>1</v>
      </c>
      <c r="G12">
        <v>0</v>
      </c>
      <c r="H12">
        <v>7</v>
      </c>
      <c r="I12">
        <v>8</v>
      </c>
      <c r="J12">
        <v>48</v>
      </c>
      <c r="K12">
        <v>15</v>
      </c>
      <c r="L12">
        <v>0</v>
      </c>
      <c r="M12">
        <v>0</v>
      </c>
      <c r="N12">
        <v>1</v>
      </c>
      <c r="O12">
        <v>0</v>
      </c>
      <c r="P12">
        <v>9</v>
      </c>
      <c r="Q12">
        <v>0</v>
      </c>
      <c r="R12">
        <v>0</v>
      </c>
      <c r="S12">
        <v>0</v>
      </c>
    </row>
    <row r="13" spans="1:19" x14ac:dyDescent="0.25">
      <c r="A13" t="s">
        <v>293</v>
      </c>
      <c r="B13">
        <v>21</v>
      </c>
      <c r="C13">
        <v>6</v>
      </c>
      <c r="D13">
        <v>16</v>
      </c>
      <c r="E13">
        <v>34</v>
      </c>
      <c r="F13">
        <v>10</v>
      </c>
      <c r="G13">
        <v>0</v>
      </c>
      <c r="H13">
        <v>19</v>
      </c>
      <c r="I13">
        <v>5</v>
      </c>
      <c r="J13">
        <v>14</v>
      </c>
      <c r="K13">
        <v>24</v>
      </c>
      <c r="L13">
        <v>6</v>
      </c>
      <c r="M13">
        <v>0</v>
      </c>
      <c r="N13">
        <v>12</v>
      </c>
      <c r="O13">
        <v>1</v>
      </c>
      <c r="P13">
        <v>3</v>
      </c>
      <c r="Q13">
        <v>0</v>
      </c>
      <c r="R13">
        <v>0</v>
      </c>
      <c r="S13">
        <v>0</v>
      </c>
    </row>
    <row r="14" spans="1:19" x14ac:dyDescent="0.25">
      <c r="A14" t="s">
        <v>294</v>
      </c>
      <c r="B14">
        <v>0</v>
      </c>
      <c r="C14">
        <v>3</v>
      </c>
      <c r="D14">
        <v>28</v>
      </c>
      <c r="E14">
        <v>28</v>
      </c>
      <c r="F14">
        <v>1</v>
      </c>
      <c r="G14">
        <v>0</v>
      </c>
      <c r="H14">
        <v>0</v>
      </c>
      <c r="I14">
        <v>3</v>
      </c>
      <c r="J14">
        <v>20</v>
      </c>
      <c r="K14">
        <v>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295</v>
      </c>
      <c r="B15">
        <v>1</v>
      </c>
      <c r="C15">
        <v>8</v>
      </c>
      <c r="D15">
        <v>63</v>
      </c>
      <c r="E15">
        <v>7</v>
      </c>
      <c r="F15">
        <v>2</v>
      </c>
      <c r="G15">
        <v>0</v>
      </c>
      <c r="H15">
        <v>0</v>
      </c>
      <c r="I15">
        <v>5</v>
      </c>
      <c r="J15">
        <v>44</v>
      </c>
      <c r="K15">
        <v>6</v>
      </c>
      <c r="L15">
        <v>0</v>
      </c>
      <c r="M15">
        <v>0</v>
      </c>
      <c r="N15">
        <v>0</v>
      </c>
      <c r="O15">
        <v>2</v>
      </c>
      <c r="P15">
        <v>8</v>
      </c>
      <c r="Q15">
        <v>0</v>
      </c>
      <c r="R15">
        <v>0</v>
      </c>
      <c r="S15">
        <v>0</v>
      </c>
    </row>
    <row r="16" spans="1:19" x14ac:dyDescent="0.25">
      <c r="A16" t="s">
        <v>296</v>
      </c>
      <c r="B16">
        <v>0</v>
      </c>
      <c r="C16">
        <v>6</v>
      </c>
      <c r="D16">
        <v>51</v>
      </c>
      <c r="E16">
        <v>22</v>
      </c>
      <c r="F16">
        <v>0</v>
      </c>
      <c r="G16">
        <v>0</v>
      </c>
      <c r="H16">
        <v>0</v>
      </c>
      <c r="I16">
        <v>5</v>
      </c>
      <c r="J16">
        <v>44</v>
      </c>
      <c r="K16">
        <v>17</v>
      </c>
      <c r="L16">
        <v>0</v>
      </c>
      <c r="M16">
        <v>0</v>
      </c>
      <c r="N16">
        <v>0</v>
      </c>
      <c r="O16">
        <v>0</v>
      </c>
      <c r="P16">
        <v>8</v>
      </c>
      <c r="Q16">
        <v>1</v>
      </c>
      <c r="R16">
        <v>0</v>
      </c>
      <c r="S16">
        <v>0</v>
      </c>
    </row>
    <row r="17" spans="1:19" x14ac:dyDescent="0.25">
      <c r="A17" t="s">
        <v>297</v>
      </c>
      <c r="B17">
        <v>212</v>
      </c>
      <c r="C17">
        <v>340</v>
      </c>
      <c r="D17">
        <v>1155</v>
      </c>
      <c r="E17">
        <v>4475</v>
      </c>
      <c r="F17">
        <v>583</v>
      </c>
      <c r="G17">
        <v>82</v>
      </c>
      <c r="H17">
        <v>159</v>
      </c>
      <c r="I17">
        <v>245</v>
      </c>
      <c r="J17">
        <v>845</v>
      </c>
      <c r="K17">
        <v>2548</v>
      </c>
      <c r="L17">
        <v>242</v>
      </c>
      <c r="M17">
        <v>28</v>
      </c>
      <c r="N17">
        <v>19</v>
      </c>
      <c r="O17">
        <v>38</v>
      </c>
      <c r="P17">
        <v>176</v>
      </c>
      <c r="Q17">
        <v>621</v>
      </c>
      <c r="R17">
        <v>66</v>
      </c>
      <c r="S17">
        <v>3</v>
      </c>
    </row>
    <row r="18" spans="1:19" x14ac:dyDescent="0.25">
      <c r="A18" t="s">
        <v>298</v>
      </c>
      <c r="B18">
        <v>12</v>
      </c>
      <c r="C18">
        <v>44</v>
      </c>
      <c r="D18">
        <v>168</v>
      </c>
      <c r="E18">
        <v>288</v>
      </c>
      <c r="F18">
        <v>21</v>
      </c>
      <c r="G18">
        <v>0</v>
      </c>
      <c r="H18">
        <v>10</v>
      </c>
      <c r="I18">
        <v>36</v>
      </c>
      <c r="J18">
        <v>111</v>
      </c>
      <c r="K18">
        <v>134</v>
      </c>
      <c r="L18">
        <v>3</v>
      </c>
      <c r="M18">
        <v>0</v>
      </c>
      <c r="N18">
        <v>2</v>
      </c>
      <c r="O18">
        <v>6</v>
      </c>
      <c r="P18">
        <v>22</v>
      </c>
      <c r="Q18">
        <v>55</v>
      </c>
      <c r="R18">
        <v>4</v>
      </c>
      <c r="S18">
        <v>0</v>
      </c>
    </row>
    <row r="19" spans="1:19" x14ac:dyDescent="0.25">
      <c r="A19" t="s">
        <v>299</v>
      </c>
      <c r="B19">
        <v>0</v>
      </c>
      <c r="C19">
        <v>3</v>
      </c>
      <c r="D19">
        <v>11</v>
      </c>
      <c r="E19">
        <v>0</v>
      </c>
      <c r="F19">
        <v>0</v>
      </c>
      <c r="G19">
        <v>0</v>
      </c>
      <c r="H19">
        <v>0</v>
      </c>
      <c r="I19">
        <v>3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300</v>
      </c>
      <c r="B20">
        <v>0</v>
      </c>
      <c r="C20">
        <v>1</v>
      </c>
      <c r="D20">
        <v>9</v>
      </c>
      <c r="E20">
        <v>20</v>
      </c>
      <c r="F20">
        <v>3</v>
      </c>
      <c r="G20">
        <v>0</v>
      </c>
      <c r="H20">
        <v>0</v>
      </c>
      <c r="I20">
        <v>1</v>
      </c>
      <c r="J20">
        <v>9</v>
      </c>
      <c r="K20">
        <v>9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</row>
    <row r="21" spans="1:19" x14ac:dyDescent="0.25">
      <c r="A21" t="s">
        <v>301</v>
      </c>
      <c r="B21">
        <v>0</v>
      </c>
      <c r="C21">
        <v>0</v>
      </c>
      <c r="D21">
        <v>26</v>
      </c>
      <c r="E21">
        <v>17</v>
      </c>
      <c r="F21">
        <v>2</v>
      </c>
      <c r="G21">
        <v>0</v>
      </c>
      <c r="H21">
        <v>0</v>
      </c>
      <c r="I21">
        <v>0</v>
      </c>
      <c r="J21">
        <v>22</v>
      </c>
      <c r="K21">
        <v>16</v>
      </c>
      <c r="L21">
        <v>1</v>
      </c>
      <c r="M21">
        <v>0</v>
      </c>
      <c r="N21">
        <v>0</v>
      </c>
      <c r="O21">
        <v>0</v>
      </c>
      <c r="P21">
        <v>6</v>
      </c>
      <c r="Q21">
        <v>7</v>
      </c>
      <c r="R21">
        <v>0</v>
      </c>
      <c r="S21">
        <v>0</v>
      </c>
    </row>
    <row r="22" spans="1:19" x14ac:dyDescent="0.25">
      <c r="A22" t="s">
        <v>302</v>
      </c>
      <c r="B22">
        <v>0</v>
      </c>
      <c r="C22">
        <v>17</v>
      </c>
      <c r="D22">
        <v>58</v>
      </c>
      <c r="E22">
        <v>75</v>
      </c>
      <c r="F22">
        <v>1</v>
      </c>
      <c r="G22">
        <v>0</v>
      </c>
      <c r="H22">
        <v>0</v>
      </c>
      <c r="I22">
        <v>15</v>
      </c>
      <c r="J22">
        <v>39</v>
      </c>
      <c r="K22">
        <v>31</v>
      </c>
      <c r="L22">
        <v>0</v>
      </c>
      <c r="M22">
        <v>0</v>
      </c>
      <c r="N22">
        <v>0</v>
      </c>
      <c r="O22">
        <v>2</v>
      </c>
      <c r="P22">
        <v>3</v>
      </c>
      <c r="Q22">
        <v>0</v>
      </c>
      <c r="R22">
        <v>0</v>
      </c>
      <c r="S22">
        <v>0</v>
      </c>
    </row>
    <row r="23" spans="1:19" x14ac:dyDescent="0.25">
      <c r="A23" t="s">
        <v>303</v>
      </c>
      <c r="B23">
        <v>33</v>
      </c>
      <c r="C23">
        <v>68</v>
      </c>
      <c r="D23">
        <v>464</v>
      </c>
      <c r="E23">
        <v>766</v>
      </c>
      <c r="F23">
        <v>63</v>
      </c>
      <c r="G23">
        <v>3</v>
      </c>
      <c r="H23">
        <v>24</v>
      </c>
      <c r="I23">
        <v>57</v>
      </c>
      <c r="J23">
        <v>370</v>
      </c>
      <c r="K23">
        <v>440</v>
      </c>
      <c r="L23">
        <v>22</v>
      </c>
      <c r="M23">
        <v>2</v>
      </c>
      <c r="N23">
        <v>11</v>
      </c>
      <c r="O23">
        <v>19</v>
      </c>
      <c r="P23">
        <v>52</v>
      </c>
      <c r="Q23">
        <v>25</v>
      </c>
      <c r="R23">
        <v>0</v>
      </c>
      <c r="S23">
        <v>0</v>
      </c>
    </row>
    <row r="24" spans="1:19" x14ac:dyDescent="0.25">
      <c r="A24" t="s">
        <v>304</v>
      </c>
      <c r="B24">
        <v>3</v>
      </c>
      <c r="C24">
        <v>10</v>
      </c>
      <c r="D24">
        <v>24</v>
      </c>
      <c r="E24">
        <v>6</v>
      </c>
      <c r="F24">
        <v>0</v>
      </c>
      <c r="G24">
        <v>0</v>
      </c>
      <c r="H24">
        <v>3</v>
      </c>
      <c r="I24">
        <v>5</v>
      </c>
      <c r="J24">
        <v>20</v>
      </c>
      <c r="K24">
        <v>4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0</v>
      </c>
      <c r="S24">
        <v>0</v>
      </c>
    </row>
    <row r="25" spans="1:19" x14ac:dyDescent="0.25">
      <c r="A25" t="s">
        <v>305</v>
      </c>
      <c r="B25">
        <v>2</v>
      </c>
      <c r="C25">
        <v>2</v>
      </c>
      <c r="D25">
        <v>20</v>
      </c>
      <c r="E25">
        <v>20</v>
      </c>
      <c r="F25">
        <v>0</v>
      </c>
      <c r="G25">
        <v>0</v>
      </c>
      <c r="H25">
        <v>2</v>
      </c>
      <c r="I25">
        <v>2</v>
      </c>
      <c r="J25">
        <v>18</v>
      </c>
      <c r="K25">
        <v>16</v>
      </c>
      <c r="L25">
        <v>0</v>
      </c>
      <c r="M25">
        <v>0</v>
      </c>
      <c r="N25">
        <v>0</v>
      </c>
      <c r="O25">
        <v>0</v>
      </c>
      <c r="P25">
        <v>2</v>
      </c>
      <c r="Q25">
        <v>3</v>
      </c>
      <c r="R25">
        <v>0</v>
      </c>
      <c r="S25">
        <v>0</v>
      </c>
    </row>
    <row r="26" spans="1:19" x14ac:dyDescent="0.25">
      <c r="A26" t="s">
        <v>306</v>
      </c>
      <c r="B26">
        <v>21</v>
      </c>
      <c r="C26">
        <v>39</v>
      </c>
      <c r="D26">
        <v>204</v>
      </c>
      <c r="E26">
        <v>177</v>
      </c>
      <c r="F26">
        <v>25</v>
      </c>
      <c r="G26">
        <v>2</v>
      </c>
      <c r="H26">
        <v>18</v>
      </c>
      <c r="I26">
        <v>22</v>
      </c>
      <c r="J26">
        <v>115</v>
      </c>
      <c r="K26">
        <v>82</v>
      </c>
      <c r="L26">
        <v>4</v>
      </c>
      <c r="M26">
        <v>0</v>
      </c>
      <c r="N26">
        <v>0</v>
      </c>
      <c r="O26">
        <v>6</v>
      </c>
      <c r="P26">
        <v>32</v>
      </c>
      <c r="Q26">
        <v>6</v>
      </c>
      <c r="R26">
        <v>0</v>
      </c>
      <c r="S26">
        <v>0</v>
      </c>
    </row>
    <row r="27" spans="1:19" x14ac:dyDescent="0.25">
      <c r="A27" t="s">
        <v>307</v>
      </c>
      <c r="B27">
        <v>1</v>
      </c>
      <c r="C27">
        <v>3</v>
      </c>
      <c r="D27">
        <v>96</v>
      </c>
      <c r="E27">
        <v>140</v>
      </c>
      <c r="F27">
        <v>3</v>
      </c>
      <c r="G27">
        <v>0</v>
      </c>
      <c r="H27">
        <v>1</v>
      </c>
      <c r="I27">
        <v>2</v>
      </c>
      <c r="J27">
        <v>69</v>
      </c>
      <c r="K27">
        <v>83</v>
      </c>
      <c r="L27">
        <v>0</v>
      </c>
      <c r="M27">
        <v>0</v>
      </c>
      <c r="N27">
        <v>0</v>
      </c>
      <c r="O27">
        <v>0</v>
      </c>
      <c r="P27">
        <v>7</v>
      </c>
      <c r="Q27">
        <v>32</v>
      </c>
      <c r="R27">
        <v>1</v>
      </c>
      <c r="S27">
        <v>0</v>
      </c>
    </row>
    <row r="28" spans="1:19" x14ac:dyDescent="0.25">
      <c r="A28" t="s">
        <v>266</v>
      </c>
      <c r="B28">
        <v>582</v>
      </c>
      <c r="C28">
        <v>892</v>
      </c>
      <c r="D28">
        <v>4169</v>
      </c>
      <c r="E28">
        <v>8568</v>
      </c>
      <c r="F28">
        <v>998</v>
      </c>
      <c r="G28">
        <v>93</v>
      </c>
      <c r="H28">
        <v>403</v>
      </c>
      <c r="I28">
        <v>638</v>
      </c>
      <c r="J28">
        <v>2986</v>
      </c>
      <c r="K28">
        <v>4762</v>
      </c>
      <c r="L28">
        <v>359</v>
      </c>
      <c r="M28">
        <v>31</v>
      </c>
      <c r="N28">
        <v>75</v>
      </c>
      <c r="O28">
        <v>97</v>
      </c>
      <c r="P28">
        <v>485</v>
      </c>
      <c r="Q28">
        <v>898</v>
      </c>
      <c r="R28">
        <v>77</v>
      </c>
      <c r="S28">
        <v>3</v>
      </c>
    </row>
    <row r="29" spans="1:19" x14ac:dyDescent="0.25">
      <c r="A29" t="s">
        <v>459</v>
      </c>
      <c r="B29">
        <v>348</v>
      </c>
      <c r="C29">
        <v>660</v>
      </c>
      <c r="D29">
        <v>3158</v>
      </c>
      <c r="E29">
        <v>7458</v>
      </c>
      <c r="F29">
        <v>917</v>
      </c>
      <c r="G29">
        <v>90</v>
      </c>
      <c r="H29">
        <v>264</v>
      </c>
      <c r="I29">
        <v>473</v>
      </c>
      <c r="J29">
        <v>2315</v>
      </c>
      <c r="K29">
        <v>4228</v>
      </c>
      <c r="L29">
        <v>345</v>
      </c>
      <c r="M29">
        <v>30</v>
      </c>
      <c r="N29">
        <v>34</v>
      </c>
      <c r="O29">
        <v>70</v>
      </c>
      <c r="P29">
        <v>354</v>
      </c>
      <c r="Q29">
        <v>758</v>
      </c>
      <c r="R29">
        <v>68</v>
      </c>
      <c r="S29">
        <v>3</v>
      </c>
    </row>
    <row r="30" spans="1:19" x14ac:dyDescent="0.25">
      <c r="A30" t="s">
        <v>460</v>
      </c>
      <c r="B30">
        <v>234</v>
      </c>
      <c r="C30">
        <v>232</v>
      </c>
      <c r="D30">
        <v>1011</v>
      </c>
      <c r="E30">
        <v>1110</v>
      </c>
      <c r="F30">
        <v>81</v>
      </c>
      <c r="G30">
        <v>3</v>
      </c>
      <c r="H30">
        <v>139</v>
      </c>
      <c r="I30">
        <v>165</v>
      </c>
      <c r="J30">
        <v>671</v>
      </c>
      <c r="K30">
        <v>534</v>
      </c>
      <c r="L30">
        <v>14</v>
      </c>
      <c r="M30">
        <v>1</v>
      </c>
      <c r="N30">
        <v>41</v>
      </c>
      <c r="O30">
        <v>27</v>
      </c>
      <c r="P30">
        <v>131</v>
      </c>
      <c r="Q30">
        <v>140</v>
      </c>
      <c r="R30">
        <v>9</v>
      </c>
      <c r="S30">
        <v>0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A9D18E"/>
  </sheetPr>
  <dimension ref="A1:K30"/>
  <sheetViews>
    <sheetView workbookViewId="0"/>
  </sheetViews>
  <sheetFormatPr defaultRowHeight="15" x14ac:dyDescent="0.25"/>
  <cols>
    <col min="1" max="1" width="19.42578125" customWidth="1"/>
    <col min="2" max="2" width="14.85546875" customWidth="1"/>
    <col min="3" max="3" width="15.140625" customWidth="1"/>
    <col min="4" max="4" width="14.85546875" customWidth="1"/>
    <col min="8" max="8" width="16.85546875" customWidth="1"/>
    <col min="9" max="9" width="16" customWidth="1"/>
    <col min="10" max="10" width="15.85546875" customWidth="1"/>
    <col min="11" max="11" width="13.42578125" customWidth="1"/>
  </cols>
  <sheetData>
    <row r="1" spans="1:11" x14ac:dyDescent="0.25">
      <c r="A1" s="29" t="s">
        <v>252</v>
      </c>
      <c r="B1" s="29" t="s">
        <v>745</v>
      </c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/>
      <c r="B2" t="s">
        <v>746</v>
      </c>
      <c r="C2" t="s">
        <v>747</v>
      </c>
      <c r="D2" t="s">
        <v>748</v>
      </c>
      <c r="E2" t="s">
        <v>749</v>
      </c>
      <c r="F2" t="s">
        <v>502</v>
      </c>
      <c r="G2" t="s">
        <v>813</v>
      </c>
      <c r="H2" t="s">
        <v>751</v>
      </c>
      <c r="I2" t="s">
        <v>814</v>
      </c>
      <c r="J2" t="s">
        <v>753</v>
      </c>
      <c r="K2" t="s">
        <v>754</v>
      </c>
    </row>
    <row r="3" spans="1:11" x14ac:dyDescent="0.25">
      <c r="A3" t="s">
        <v>283</v>
      </c>
      <c r="B3">
        <v>1480</v>
      </c>
      <c r="C3">
        <v>157</v>
      </c>
      <c r="D3">
        <v>185</v>
      </c>
      <c r="E3">
        <v>138</v>
      </c>
      <c r="F3">
        <v>80</v>
      </c>
      <c r="G3">
        <v>90</v>
      </c>
      <c r="H3">
        <v>31</v>
      </c>
      <c r="I3">
        <v>97</v>
      </c>
      <c r="J3">
        <v>126</v>
      </c>
      <c r="K3">
        <v>109</v>
      </c>
    </row>
    <row r="4" spans="1:11" x14ac:dyDescent="0.25">
      <c r="A4" t="s">
        <v>284</v>
      </c>
      <c r="B4">
        <v>852</v>
      </c>
      <c r="C4">
        <v>76</v>
      </c>
      <c r="D4">
        <v>99</v>
      </c>
      <c r="E4">
        <v>44</v>
      </c>
      <c r="F4">
        <v>45</v>
      </c>
      <c r="G4">
        <v>35</v>
      </c>
      <c r="H4">
        <v>25</v>
      </c>
      <c r="I4">
        <v>43</v>
      </c>
      <c r="J4">
        <v>67</v>
      </c>
      <c r="K4">
        <v>55</v>
      </c>
    </row>
    <row r="5" spans="1:11" x14ac:dyDescent="0.25">
      <c r="A5" t="s">
        <v>285</v>
      </c>
      <c r="B5">
        <v>173</v>
      </c>
      <c r="C5">
        <v>15</v>
      </c>
      <c r="D5">
        <v>10</v>
      </c>
      <c r="E5">
        <v>20</v>
      </c>
      <c r="F5">
        <v>16</v>
      </c>
      <c r="G5">
        <v>9</v>
      </c>
      <c r="H5">
        <v>7</v>
      </c>
      <c r="I5">
        <v>22</v>
      </c>
      <c r="J5">
        <v>25</v>
      </c>
      <c r="K5">
        <v>20</v>
      </c>
    </row>
    <row r="6" spans="1:11" x14ac:dyDescent="0.25">
      <c r="A6" t="s">
        <v>286</v>
      </c>
      <c r="B6">
        <v>379</v>
      </c>
      <c r="C6">
        <v>32</v>
      </c>
      <c r="D6">
        <v>53</v>
      </c>
      <c r="E6">
        <v>24</v>
      </c>
      <c r="F6">
        <v>20</v>
      </c>
      <c r="G6">
        <v>16</v>
      </c>
      <c r="H6">
        <v>6</v>
      </c>
      <c r="I6">
        <v>20</v>
      </c>
      <c r="J6">
        <v>32</v>
      </c>
      <c r="K6">
        <v>25</v>
      </c>
    </row>
    <row r="7" spans="1:11" x14ac:dyDescent="0.25">
      <c r="A7" t="s">
        <v>287</v>
      </c>
      <c r="B7">
        <v>860</v>
      </c>
      <c r="C7">
        <v>73</v>
      </c>
      <c r="D7">
        <v>76</v>
      </c>
      <c r="E7">
        <v>61</v>
      </c>
      <c r="F7">
        <v>41</v>
      </c>
      <c r="G7">
        <v>46</v>
      </c>
      <c r="H7">
        <v>19</v>
      </c>
      <c r="I7">
        <v>41</v>
      </c>
      <c r="J7">
        <v>59</v>
      </c>
      <c r="K7">
        <v>50</v>
      </c>
    </row>
    <row r="8" spans="1:11" x14ac:dyDescent="0.25">
      <c r="A8" t="s">
        <v>288</v>
      </c>
      <c r="B8">
        <v>392</v>
      </c>
      <c r="C8">
        <v>12</v>
      </c>
      <c r="D8">
        <v>50</v>
      </c>
      <c r="E8">
        <v>37</v>
      </c>
      <c r="F8">
        <v>23</v>
      </c>
      <c r="G8">
        <v>20</v>
      </c>
      <c r="H8">
        <v>7</v>
      </c>
      <c r="I8">
        <v>26</v>
      </c>
      <c r="J8">
        <v>60</v>
      </c>
      <c r="K8">
        <v>44</v>
      </c>
    </row>
    <row r="9" spans="1:11" x14ac:dyDescent="0.25">
      <c r="A9" t="s">
        <v>289</v>
      </c>
      <c r="B9">
        <v>331</v>
      </c>
      <c r="C9">
        <v>38</v>
      </c>
      <c r="D9">
        <v>28</v>
      </c>
      <c r="E9">
        <v>38</v>
      </c>
      <c r="F9">
        <v>27</v>
      </c>
      <c r="G9">
        <v>16</v>
      </c>
      <c r="H9">
        <v>6</v>
      </c>
      <c r="I9">
        <v>30</v>
      </c>
      <c r="J9">
        <v>34</v>
      </c>
      <c r="K9">
        <v>34</v>
      </c>
    </row>
    <row r="10" spans="1:11" x14ac:dyDescent="0.25">
      <c r="A10" t="s">
        <v>290</v>
      </c>
      <c r="B10">
        <v>1315</v>
      </c>
      <c r="C10">
        <v>90</v>
      </c>
      <c r="D10">
        <v>108</v>
      </c>
      <c r="E10">
        <v>94</v>
      </c>
      <c r="F10">
        <v>50</v>
      </c>
      <c r="G10">
        <v>49</v>
      </c>
      <c r="H10">
        <v>24</v>
      </c>
      <c r="I10">
        <v>53</v>
      </c>
      <c r="J10">
        <v>73</v>
      </c>
      <c r="K10">
        <v>74</v>
      </c>
    </row>
    <row r="11" spans="1:11" x14ac:dyDescent="0.25">
      <c r="A11" t="s">
        <v>291</v>
      </c>
      <c r="B11">
        <v>3</v>
      </c>
      <c r="C11">
        <v>1</v>
      </c>
      <c r="D11">
        <v>1</v>
      </c>
      <c r="E11">
        <v>1</v>
      </c>
      <c r="F11">
        <v>3</v>
      </c>
      <c r="G11">
        <v>1</v>
      </c>
      <c r="H11">
        <v>0</v>
      </c>
      <c r="I11">
        <v>0</v>
      </c>
      <c r="J11">
        <v>2</v>
      </c>
      <c r="K11" t="e">
        <v>#NULL!</v>
      </c>
    </row>
    <row r="12" spans="1:11" x14ac:dyDescent="0.25">
      <c r="A12" t="s">
        <v>292</v>
      </c>
      <c r="B12">
        <v>28</v>
      </c>
      <c r="C12">
        <v>6</v>
      </c>
      <c r="D12">
        <v>7</v>
      </c>
      <c r="E12">
        <v>11</v>
      </c>
      <c r="F12">
        <v>7</v>
      </c>
      <c r="G12">
        <v>1</v>
      </c>
      <c r="H12">
        <v>0</v>
      </c>
      <c r="I12">
        <v>8</v>
      </c>
      <c r="J12">
        <v>10</v>
      </c>
      <c r="K12">
        <v>14</v>
      </c>
    </row>
    <row r="13" spans="1:11" x14ac:dyDescent="0.25">
      <c r="A13" t="s">
        <v>293</v>
      </c>
      <c r="B13">
        <v>92</v>
      </c>
      <c r="C13">
        <v>12</v>
      </c>
      <c r="D13">
        <v>8</v>
      </c>
      <c r="E13">
        <v>3</v>
      </c>
      <c r="F13">
        <v>4</v>
      </c>
      <c r="G13">
        <v>5</v>
      </c>
      <c r="H13">
        <v>0</v>
      </c>
      <c r="I13">
        <v>5</v>
      </c>
      <c r="J13">
        <v>11</v>
      </c>
      <c r="K13">
        <v>6</v>
      </c>
    </row>
    <row r="14" spans="1:11" x14ac:dyDescent="0.25">
      <c r="A14" t="s">
        <v>294</v>
      </c>
      <c r="B14">
        <v>80</v>
      </c>
      <c r="C14">
        <v>9</v>
      </c>
      <c r="D14">
        <v>11</v>
      </c>
      <c r="E14">
        <v>7</v>
      </c>
      <c r="F14">
        <v>6</v>
      </c>
      <c r="G14">
        <v>4</v>
      </c>
      <c r="H14">
        <v>0</v>
      </c>
      <c r="I14">
        <v>5</v>
      </c>
      <c r="J14">
        <v>10</v>
      </c>
      <c r="K14">
        <v>7</v>
      </c>
    </row>
    <row r="15" spans="1:11" x14ac:dyDescent="0.25">
      <c r="A15" t="s">
        <v>295</v>
      </c>
      <c r="B15">
        <v>77</v>
      </c>
      <c r="C15">
        <v>4</v>
      </c>
      <c r="D15">
        <v>5</v>
      </c>
      <c r="E15">
        <v>14</v>
      </c>
      <c r="F15">
        <v>4</v>
      </c>
      <c r="G15">
        <v>4</v>
      </c>
      <c r="H15">
        <v>1</v>
      </c>
      <c r="I15">
        <v>6</v>
      </c>
      <c r="J15">
        <v>11</v>
      </c>
      <c r="K15">
        <v>9</v>
      </c>
    </row>
    <row r="16" spans="1:11" x14ac:dyDescent="0.25">
      <c r="A16" t="s">
        <v>296</v>
      </c>
      <c r="B16">
        <v>75</v>
      </c>
      <c r="C16">
        <v>8</v>
      </c>
      <c r="D16">
        <v>5</v>
      </c>
      <c r="E16">
        <v>11</v>
      </c>
      <c r="F16">
        <v>4</v>
      </c>
      <c r="G16">
        <v>2</v>
      </c>
      <c r="H16">
        <v>1</v>
      </c>
      <c r="I16">
        <v>6</v>
      </c>
      <c r="J16">
        <v>20</v>
      </c>
      <c r="K16">
        <v>13</v>
      </c>
    </row>
    <row r="17" spans="1:11" x14ac:dyDescent="0.25">
      <c r="A17" t="s">
        <v>297</v>
      </c>
      <c r="B17">
        <v>13569</v>
      </c>
      <c r="C17">
        <v>883</v>
      </c>
      <c r="D17">
        <v>1941</v>
      </c>
      <c r="E17">
        <v>897</v>
      </c>
      <c r="F17">
        <v>636</v>
      </c>
      <c r="G17">
        <v>652</v>
      </c>
      <c r="H17">
        <v>364</v>
      </c>
      <c r="I17">
        <v>573</v>
      </c>
      <c r="J17">
        <v>567</v>
      </c>
      <c r="K17">
        <v>517</v>
      </c>
    </row>
    <row r="18" spans="1:11" x14ac:dyDescent="0.25">
      <c r="A18" t="s">
        <v>298</v>
      </c>
      <c r="B18">
        <v>704</v>
      </c>
      <c r="C18">
        <v>103</v>
      </c>
      <c r="D18">
        <v>81</v>
      </c>
      <c r="E18">
        <v>70</v>
      </c>
      <c r="F18">
        <v>26</v>
      </c>
      <c r="G18">
        <v>36</v>
      </c>
      <c r="H18">
        <v>12</v>
      </c>
      <c r="I18">
        <v>29</v>
      </c>
      <c r="J18">
        <v>77</v>
      </c>
      <c r="K18">
        <v>50</v>
      </c>
    </row>
    <row r="19" spans="1:11" x14ac:dyDescent="0.25">
      <c r="A19" t="s">
        <v>299</v>
      </c>
      <c r="B19">
        <v>27</v>
      </c>
      <c r="C19">
        <v>4</v>
      </c>
      <c r="D19">
        <v>2</v>
      </c>
      <c r="E19">
        <v>2</v>
      </c>
      <c r="F19">
        <v>1</v>
      </c>
      <c r="G19">
        <v>1</v>
      </c>
      <c r="H19">
        <v>2</v>
      </c>
      <c r="I19">
        <v>3</v>
      </c>
      <c r="J19">
        <v>5</v>
      </c>
      <c r="K19">
        <v>2</v>
      </c>
    </row>
    <row r="20" spans="1:11" x14ac:dyDescent="0.25">
      <c r="A20" t="s">
        <v>300</v>
      </c>
      <c r="B20">
        <v>51</v>
      </c>
      <c r="C20">
        <v>8</v>
      </c>
      <c r="D20">
        <v>2</v>
      </c>
      <c r="E20">
        <v>4</v>
      </c>
      <c r="F20">
        <v>3</v>
      </c>
      <c r="G20">
        <v>1</v>
      </c>
      <c r="H20">
        <v>0</v>
      </c>
      <c r="I20">
        <v>4</v>
      </c>
      <c r="J20">
        <v>5</v>
      </c>
      <c r="K20">
        <v>5</v>
      </c>
    </row>
    <row r="21" spans="1:11" x14ac:dyDescent="0.25">
      <c r="A21" t="s">
        <v>301</v>
      </c>
      <c r="B21">
        <v>71</v>
      </c>
      <c r="C21">
        <v>2</v>
      </c>
      <c r="D21">
        <v>8</v>
      </c>
      <c r="E21">
        <v>7</v>
      </c>
      <c r="F21">
        <v>2</v>
      </c>
      <c r="G21">
        <v>3</v>
      </c>
      <c r="H21">
        <v>0</v>
      </c>
      <c r="I21">
        <v>5</v>
      </c>
      <c r="J21">
        <v>6</v>
      </c>
      <c r="K21">
        <v>6</v>
      </c>
    </row>
    <row r="22" spans="1:11" x14ac:dyDescent="0.25">
      <c r="A22" t="s">
        <v>302</v>
      </c>
      <c r="B22">
        <v>154</v>
      </c>
      <c r="C22">
        <v>6</v>
      </c>
      <c r="D22">
        <v>37</v>
      </c>
      <c r="E22">
        <v>17</v>
      </c>
      <c r="F22">
        <v>11</v>
      </c>
      <c r="G22">
        <v>9</v>
      </c>
      <c r="H22">
        <v>6</v>
      </c>
      <c r="I22">
        <v>12</v>
      </c>
      <c r="J22">
        <v>15</v>
      </c>
      <c r="K22">
        <v>9</v>
      </c>
    </row>
    <row r="23" spans="1:11" x14ac:dyDescent="0.25">
      <c r="A23" t="s">
        <v>303</v>
      </c>
      <c r="B23">
        <v>2210</v>
      </c>
      <c r="C23">
        <v>217</v>
      </c>
      <c r="D23">
        <v>176</v>
      </c>
      <c r="E23">
        <v>112</v>
      </c>
      <c r="F23">
        <v>77</v>
      </c>
      <c r="G23">
        <v>78</v>
      </c>
      <c r="H23">
        <v>27</v>
      </c>
      <c r="I23">
        <v>85</v>
      </c>
      <c r="J23">
        <v>110</v>
      </c>
      <c r="K23">
        <v>95</v>
      </c>
    </row>
    <row r="24" spans="1:11" x14ac:dyDescent="0.25">
      <c r="A24" t="s">
        <v>304</v>
      </c>
      <c r="B24">
        <v>139</v>
      </c>
      <c r="C24">
        <v>11</v>
      </c>
      <c r="D24">
        <v>15</v>
      </c>
      <c r="E24">
        <v>16</v>
      </c>
      <c r="F24">
        <v>7</v>
      </c>
      <c r="G24">
        <v>7</v>
      </c>
      <c r="H24">
        <v>5</v>
      </c>
      <c r="I24">
        <v>5</v>
      </c>
      <c r="J24">
        <v>13</v>
      </c>
      <c r="K24">
        <v>9</v>
      </c>
    </row>
    <row r="25" spans="1:11" x14ac:dyDescent="0.25">
      <c r="A25" t="s">
        <v>305</v>
      </c>
      <c r="B25">
        <v>19</v>
      </c>
      <c r="C25">
        <v>4</v>
      </c>
      <c r="D25">
        <v>3</v>
      </c>
      <c r="E25">
        <v>2</v>
      </c>
      <c r="F25">
        <v>1</v>
      </c>
      <c r="G25">
        <v>2</v>
      </c>
      <c r="H25">
        <v>2</v>
      </c>
      <c r="I25">
        <v>2</v>
      </c>
      <c r="J25">
        <v>8</v>
      </c>
      <c r="K25">
        <v>3</v>
      </c>
    </row>
    <row r="26" spans="1:11" x14ac:dyDescent="0.25">
      <c r="A26" t="s">
        <v>306</v>
      </c>
      <c r="B26">
        <v>706</v>
      </c>
      <c r="C26">
        <v>38</v>
      </c>
      <c r="D26">
        <v>49</v>
      </c>
      <c r="E26">
        <v>52</v>
      </c>
      <c r="F26">
        <v>37</v>
      </c>
      <c r="G26">
        <v>25</v>
      </c>
      <c r="H26">
        <v>10</v>
      </c>
      <c r="I26">
        <v>41</v>
      </c>
      <c r="J26">
        <v>49</v>
      </c>
      <c r="K26">
        <v>46</v>
      </c>
    </row>
    <row r="27" spans="1:11" x14ac:dyDescent="0.25">
      <c r="A27" t="s">
        <v>307</v>
      </c>
      <c r="B27">
        <v>254</v>
      </c>
      <c r="C27">
        <v>26</v>
      </c>
      <c r="D27">
        <v>17</v>
      </c>
      <c r="E27">
        <v>25</v>
      </c>
      <c r="F27">
        <v>12</v>
      </c>
      <c r="G27">
        <v>14</v>
      </c>
      <c r="H27">
        <v>6</v>
      </c>
      <c r="I27">
        <v>19</v>
      </c>
      <c r="J27">
        <v>23</v>
      </c>
      <c r="K27">
        <v>23</v>
      </c>
    </row>
    <row r="28" spans="1:11" x14ac:dyDescent="0.25">
      <c r="A28" t="s">
        <v>266</v>
      </c>
      <c r="B28">
        <v>24041</v>
      </c>
      <c r="C28">
        <v>1835</v>
      </c>
      <c r="D28">
        <v>2977</v>
      </c>
      <c r="E28">
        <v>1707</v>
      </c>
      <c r="F28">
        <v>3129</v>
      </c>
      <c r="G28">
        <v>1126</v>
      </c>
      <c r="H28">
        <v>561</v>
      </c>
      <c r="I28">
        <v>1140</v>
      </c>
      <c r="J28">
        <v>1418</v>
      </c>
      <c r="K28">
        <v>1225</v>
      </c>
    </row>
    <row r="29" spans="1:11" x14ac:dyDescent="0.25">
      <c r="A29" t="s">
        <v>459</v>
      </c>
      <c r="B29">
        <v>21372</v>
      </c>
      <c r="C29">
        <v>1641</v>
      </c>
      <c r="D29">
        <v>2772</v>
      </c>
      <c r="E29">
        <v>1431</v>
      </c>
      <c r="F29">
        <v>2259</v>
      </c>
      <c r="G29">
        <v>1000</v>
      </c>
      <c r="H29">
        <v>507</v>
      </c>
      <c r="I29">
        <v>959</v>
      </c>
      <c r="J29">
        <v>1088</v>
      </c>
      <c r="K29">
        <v>950</v>
      </c>
    </row>
    <row r="30" spans="1:11" x14ac:dyDescent="0.25">
      <c r="A30" t="s">
        <v>460</v>
      </c>
      <c r="B30">
        <v>2669</v>
      </c>
      <c r="C30">
        <v>194</v>
      </c>
      <c r="D30">
        <v>205</v>
      </c>
      <c r="E30">
        <v>276</v>
      </c>
      <c r="F30">
        <v>870</v>
      </c>
      <c r="G30">
        <v>126</v>
      </c>
      <c r="H30">
        <v>54</v>
      </c>
      <c r="I30">
        <v>181</v>
      </c>
      <c r="J30">
        <v>330</v>
      </c>
      <c r="K30">
        <v>275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A9D18E"/>
  </sheetPr>
  <dimension ref="A1:H30"/>
  <sheetViews>
    <sheetView workbookViewId="0"/>
  </sheetViews>
  <sheetFormatPr defaultRowHeight="15" x14ac:dyDescent="0.25"/>
  <cols>
    <col min="1" max="1" width="23.28515625" customWidth="1"/>
    <col min="2" max="2" width="21.42578125" customWidth="1"/>
    <col min="3" max="3" width="21.85546875" customWidth="1"/>
    <col min="5" max="5" width="21.42578125" customWidth="1"/>
    <col min="6" max="6" width="21.85546875" customWidth="1"/>
    <col min="7" max="7" width="21.42578125" customWidth="1"/>
    <col min="8" max="8" width="21.85546875" customWidth="1"/>
  </cols>
  <sheetData>
    <row r="1" spans="1:8" x14ac:dyDescent="0.25">
      <c r="A1" s="29" t="s">
        <v>252</v>
      </c>
      <c r="B1" s="29" t="s">
        <v>520</v>
      </c>
      <c r="C1" s="29"/>
      <c r="D1" s="29"/>
      <c r="E1" s="29" t="s">
        <v>755</v>
      </c>
      <c r="F1" s="29"/>
      <c r="G1" s="29" t="s">
        <v>522</v>
      </c>
      <c r="H1" s="29"/>
    </row>
    <row r="2" spans="1:8" x14ac:dyDescent="0.25">
      <c r="A2" s="29"/>
      <c r="B2" t="s">
        <v>526</v>
      </c>
      <c r="C2" t="s">
        <v>527</v>
      </c>
      <c r="D2" t="s">
        <v>313</v>
      </c>
      <c r="E2" t="s">
        <v>526</v>
      </c>
      <c r="F2" t="s">
        <v>527</v>
      </c>
      <c r="G2" t="s">
        <v>526</v>
      </c>
      <c r="H2" t="s">
        <v>527</v>
      </c>
    </row>
    <row r="3" spans="1:8" x14ac:dyDescent="0.25">
      <c r="A3" t="s">
        <v>283</v>
      </c>
      <c r="B3">
        <v>248</v>
      </c>
      <c r="C3">
        <v>2220</v>
      </c>
      <c r="D3">
        <v>768</v>
      </c>
      <c r="E3">
        <v>233</v>
      </c>
      <c r="F3">
        <v>2138</v>
      </c>
      <c r="G3">
        <v>15</v>
      </c>
      <c r="H3">
        <v>82</v>
      </c>
    </row>
    <row r="4" spans="1:8" x14ac:dyDescent="0.25">
      <c r="A4" t="s">
        <v>284</v>
      </c>
      <c r="B4">
        <v>90</v>
      </c>
      <c r="C4">
        <v>1182</v>
      </c>
      <c r="D4">
        <v>456</v>
      </c>
      <c r="E4">
        <v>82</v>
      </c>
      <c r="F4">
        <v>1164</v>
      </c>
      <c r="G4">
        <v>8</v>
      </c>
      <c r="H4">
        <v>18</v>
      </c>
    </row>
    <row r="5" spans="1:8" x14ac:dyDescent="0.25">
      <c r="A5" t="s">
        <v>285</v>
      </c>
      <c r="B5">
        <v>62</v>
      </c>
      <c r="C5">
        <v>291</v>
      </c>
      <c r="D5">
        <v>190</v>
      </c>
      <c r="E5">
        <v>51</v>
      </c>
      <c r="F5">
        <v>270</v>
      </c>
      <c r="G5">
        <v>11</v>
      </c>
      <c r="H5">
        <v>21</v>
      </c>
    </row>
    <row r="6" spans="1:8" x14ac:dyDescent="0.25">
      <c r="A6" t="s">
        <v>286</v>
      </c>
      <c r="B6">
        <v>67</v>
      </c>
      <c r="C6">
        <v>443</v>
      </c>
      <c r="D6">
        <v>172</v>
      </c>
      <c r="E6">
        <v>60</v>
      </c>
      <c r="F6">
        <v>388</v>
      </c>
      <c r="G6">
        <v>7</v>
      </c>
      <c r="H6">
        <v>55</v>
      </c>
    </row>
    <row r="7" spans="1:8" x14ac:dyDescent="0.25">
      <c r="A7" t="s">
        <v>287</v>
      </c>
      <c r="B7">
        <v>129</v>
      </c>
      <c r="C7">
        <v>862</v>
      </c>
      <c r="D7">
        <v>381</v>
      </c>
      <c r="E7">
        <v>125</v>
      </c>
      <c r="F7">
        <v>852</v>
      </c>
      <c r="G7">
        <v>4</v>
      </c>
      <c r="H7">
        <v>10</v>
      </c>
    </row>
    <row r="8" spans="1:8" x14ac:dyDescent="0.25">
      <c r="A8" t="s">
        <v>288</v>
      </c>
      <c r="B8">
        <v>82</v>
      </c>
      <c r="C8">
        <v>502</v>
      </c>
      <c r="D8">
        <v>187</v>
      </c>
      <c r="E8">
        <v>72</v>
      </c>
      <c r="F8">
        <v>466</v>
      </c>
      <c r="G8">
        <v>10</v>
      </c>
      <c r="H8">
        <v>36</v>
      </c>
    </row>
    <row r="9" spans="1:8" x14ac:dyDescent="0.25">
      <c r="A9" t="s">
        <v>289</v>
      </c>
      <c r="B9">
        <v>97</v>
      </c>
      <c r="C9">
        <v>688</v>
      </c>
      <c r="D9">
        <v>301</v>
      </c>
      <c r="E9">
        <v>97</v>
      </c>
      <c r="F9">
        <v>688</v>
      </c>
      <c r="G9">
        <v>0</v>
      </c>
      <c r="H9">
        <v>0</v>
      </c>
    </row>
    <row r="10" spans="1:8" x14ac:dyDescent="0.25">
      <c r="A10" t="s">
        <v>290</v>
      </c>
      <c r="B10">
        <v>176</v>
      </c>
      <c r="C10">
        <v>1578</v>
      </c>
      <c r="D10">
        <v>571</v>
      </c>
      <c r="E10">
        <v>164</v>
      </c>
      <c r="F10">
        <v>1544</v>
      </c>
      <c r="G10">
        <v>12</v>
      </c>
      <c r="H10">
        <v>34</v>
      </c>
    </row>
    <row r="11" spans="1:8" x14ac:dyDescent="0.25">
      <c r="A11" t="s">
        <v>291</v>
      </c>
      <c r="B11">
        <v>4</v>
      </c>
      <c r="C11">
        <v>21</v>
      </c>
      <c r="D11">
        <v>18</v>
      </c>
      <c r="E11">
        <v>4</v>
      </c>
      <c r="F11">
        <v>21</v>
      </c>
      <c r="G11">
        <v>0</v>
      </c>
      <c r="H11">
        <v>0</v>
      </c>
    </row>
    <row r="12" spans="1:8" x14ac:dyDescent="0.25">
      <c r="A12" t="s">
        <v>292</v>
      </c>
      <c r="B12">
        <v>42</v>
      </c>
      <c r="C12">
        <v>188</v>
      </c>
      <c r="D12">
        <v>86</v>
      </c>
      <c r="E12">
        <v>39</v>
      </c>
      <c r="F12">
        <v>180</v>
      </c>
      <c r="G12">
        <v>3</v>
      </c>
      <c r="H12">
        <v>8</v>
      </c>
    </row>
    <row r="13" spans="1:8" x14ac:dyDescent="0.25">
      <c r="A13" t="s">
        <v>293</v>
      </c>
      <c r="B13">
        <v>16</v>
      </c>
      <c r="C13">
        <v>113</v>
      </c>
      <c r="D13">
        <v>53</v>
      </c>
      <c r="E13">
        <v>15</v>
      </c>
      <c r="F13">
        <v>110</v>
      </c>
      <c r="G13">
        <v>1</v>
      </c>
      <c r="H13">
        <v>3</v>
      </c>
    </row>
    <row r="14" spans="1:8" x14ac:dyDescent="0.25">
      <c r="A14" t="s">
        <v>294</v>
      </c>
      <c r="B14">
        <v>12</v>
      </c>
      <c r="C14">
        <v>46</v>
      </c>
      <c r="D14">
        <v>34</v>
      </c>
      <c r="E14">
        <v>12</v>
      </c>
      <c r="F14">
        <v>46</v>
      </c>
      <c r="G14">
        <v>0</v>
      </c>
      <c r="H14">
        <v>0</v>
      </c>
    </row>
    <row r="15" spans="1:8" x14ac:dyDescent="0.25">
      <c r="A15" t="s">
        <v>295</v>
      </c>
      <c r="B15">
        <v>26</v>
      </c>
      <c r="C15">
        <v>106</v>
      </c>
      <c r="D15">
        <v>56</v>
      </c>
      <c r="E15">
        <v>21</v>
      </c>
      <c r="F15">
        <v>98</v>
      </c>
      <c r="G15">
        <v>5</v>
      </c>
      <c r="H15">
        <v>8</v>
      </c>
    </row>
    <row r="16" spans="1:8" x14ac:dyDescent="0.25">
      <c r="A16" t="s">
        <v>296</v>
      </c>
      <c r="B16">
        <v>31</v>
      </c>
      <c r="C16">
        <v>207</v>
      </c>
      <c r="D16">
        <v>83</v>
      </c>
      <c r="E16">
        <v>27</v>
      </c>
      <c r="F16">
        <v>195</v>
      </c>
      <c r="G16">
        <v>4</v>
      </c>
      <c r="H16">
        <v>12</v>
      </c>
    </row>
    <row r="17" spans="1:8" x14ac:dyDescent="0.25">
      <c r="A17" t="s">
        <v>297</v>
      </c>
      <c r="B17">
        <v>981</v>
      </c>
      <c r="C17">
        <v>17049</v>
      </c>
      <c r="D17">
        <v>5551</v>
      </c>
      <c r="E17">
        <v>956</v>
      </c>
      <c r="F17">
        <v>16737</v>
      </c>
      <c r="G17">
        <v>25</v>
      </c>
      <c r="H17">
        <v>312</v>
      </c>
    </row>
    <row r="18" spans="1:8" x14ac:dyDescent="0.25">
      <c r="A18" t="s">
        <v>298</v>
      </c>
      <c r="B18">
        <v>103</v>
      </c>
      <c r="C18">
        <v>1012</v>
      </c>
      <c r="D18">
        <v>325</v>
      </c>
      <c r="E18">
        <v>93</v>
      </c>
      <c r="F18">
        <v>992</v>
      </c>
      <c r="G18">
        <v>10</v>
      </c>
      <c r="H18">
        <v>20</v>
      </c>
    </row>
    <row r="19" spans="1:8" x14ac:dyDescent="0.25">
      <c r="A19" t="s">
        <v>299</v>
      </c>
      <c r="B19">
        <v>5</v>
      </c>
      <c r="C19">
        <v>43</v>
      </c>
      <c r="D19">
        <v>13</v>
      </c>
      <c r="E19">
        <v>3</v>
      </c>
      <c r="F19">
        <v>31</v>
      </c>
      <c r="G19">
        <v>2</v>
      </c>
      <c r="H19">
        <v>12</v>
      </c>
    </row>
    <row r="20" spans="1:8" x14ac:dyDescent="0.25">
      <c r="A20" t="s">
        <v>300</v>
      </c>
      <c r="B20">
        <v>8</v>
      </c>
      <c r="C20">
        <v>54</v>
      </c>
      <c r="D20">
        <v>14</v>
      </c>
      <c r="E20">
        <v>7</v>
      </c>
      <c r="F20">
        <v>53</v>
      </c>
      <c r="G20">
        <v>1</v>
      </c>
      <c r="H20">
        <v>1</v>
      </c>
    </row>
    <row r="21" spans="1:8" x14ac:dyDescent="0.25">
      <c r="A21" t="s">
        <v>301</v>
      </c>
      <c r="B21">
        <v>12</v>
      </c>
      <c r="C21">
        <v>59</v>
      </c>
      <c r="D21">
        <v>33</v>
      </c>
      <c r="E21">
        <v>12</v>
      </c>
      <c r="F21">
        <v>59</v>
      </c>
      <c r="G21">
        <v>0</v>
      </c>
      <c r="H21">
        <v>0</v>
      </c>
    </row>
    <row r="22" spans="1:8" x14ac:dyDescent="0.25">
      <c r="A22" t="s">
        <v>302</v>
      </c>
      <c r="B22">
        <v>14</v>
      </c>
      <c r="C22">
        <v>97</v>
      </c>
      <c r="D22">
        <v>86</v>
      </c>
      <c r="E22">
        <v>14</v>
      </c>
      <c r="F22">
        <v>97</v>
      </c>
      <c r="G22">
        <v>0</v>
      </c>
      <c r="H22">
        <v>0</v>
      </c>
    </row>
    <row r="23" spans="1:8" x14ac:dyDescent="0.25">
      <c r="A23" t="s">
        <v>303</v>
      </c>
      <c r="B23">
        <v>223</v>
      </c>
      <c r="C23">
        <v>1687</v>
      </c>
      <c r="D23">
        <v>700</v>
      </c>
      <c r="E23">
        <v>206</v>
      </c>
      <c r="F23">
        <v>1646</v>
      </c>
      <c r="G23">
        <v>17</v>
      </c>
      <c r="H23">
        <v>41</v>
      </c>
    </row>
    <row r="24" spans="1:8" x14ac:dyDescent="0.25">
      <c r="A24" t="s">
        <v>304</v>
      </c>
      <c r="B24">
        <v>14</v>
      </c>
      <c r="C24">
        <v>70</v>
      </c>
      <c r="D24">
        <v>38</v>
      </c>
      <c r="E24">
        <v>12</v>
      </c>
      <c r="F24">
        <v>60</v>
      </c>
      <c r="G24">
        <v>2</v>
      </c>
      <c r="H24">
        <v>10</v>
      </c>
    </row>
    <row r="25" spans="1:8" x14ac:dyDescent="0.25">
      <c r="A25" t="s">
        <v>305</v>
      </c>
      <c r="B25">
        <v>8</v>
      </c>
      <c r="C25">
        <v>59</v>
      </c>
      <c r="D25">
        <v>25</v>
      </c>
      <c r="E25">
        <v>8</v>
      </c>
      <c r="F25">
        <v>59</v>
      </c>
      <c r="G25">
        <v>0</v>
      </c>
      <c r="H25">
        <v>0</v>
      </c>
    </row>
    <row r="26" spans="1:8" x14ac:dyDescent="0.25">
      <c r="A26" t="s">
        <v>306</v>
      </c>
      <c r="B26">
        <v>170</v>
      </c>
      <c r="C26">
        <v>593</v>
      </c>
      <c r="D26">
        <v>268</v>
      </c>
      <c r="E26">
        <v>152</v>
      </c>
      <c r="F26">
        <v>540</v>
      </c>
      <c r="G26">
        <v>18</v>
      </c>
      <c r="H26">
        <v>53</v>
      </c>
    </row>
    <row r="27" spans="1:8" x14ac:dyDescent="0.25">
      <c r="A27" t="s">
        <v>307</v>
      </c>
      <c r="B27">
        <v>43</v>
      </c>
      <c r="C27">
        <v>401</v>
      </c>
      <c r="D27">
        <v>164</v>
      </c>
      <c r="E27">
        <v>39</v>
      </c>
      <c r="F27">
        <v>395</v>
      </c>
      <c r="G27">
        <v>4</v>
      </c>
      <c r="H27">
        <v>6</v>
      </c>
    </row>
    <row r="28" spans="1:8" x14ac:dyDescent="0.25">
      <c r="A28" t="s">
        <v>266</v>
      </c>
      <c r="B28">
        <v>2663</v>
      </c>
      <c r="C28">
        <v>29571</v>
      </c>
      <c r="D28">
        <v>10573</v>
      </c>
      <c r="E28">
        <v>2504</v>
      </c>
      <c r="F28">
        <v>28829</v>
      </c>
      <c r="G28">
        <v>159</v>
      </c>
      <c r="H28">
        <v>742</v>
      </c>
    </row>
    <row r="29" spans="1:8" x14ac:dyDescent="0.25">
      <c r="A29" t="s">
        <v>459</v>
      </c>
      <c r="B29">
        <v>730</v>
      </c>
      <c r="C29">
        <v>3902</v>
      </c>
      <c r="D29">
        <v>1774</v>
      </c>
      <c r="E29">
        <v>653</v>
      </c>
      <c r="F29">
        <v>3715</v>
      </c>
      <c r="G29">
        <v>77</v>
      </c>
      <c r="H29">
        <v>187</v>
      </c>
    </row>
    <row r="30" spans="1:8" x14ac:dyDescent="0.25">
      <c r="A30" t="s">
        <v>460</v>
      </c>
      <c r="B30">
        <v>1933</v>
      </c>
      <c r="C30">
        <v>25669</v>
      </c>
      <c r="D30">
        <v>8799</v>
      </c>
      <c r="E30">
        <v>1851</v>
      </c>
      <c r="F30">
        <v>25114</v>
      </c>
      <c r="G30">
        <v>82</v>
      </c>
      <c r="H30">
        <v>555</v>
      </c>
    </row>
  </sheetData>
  <mergeCells count="4">
    <mergeCell ref="B1:D1"/>
    <mergeCell ref="G1:H1"/>
    <mergeCell ref="E1:F1"/>
    <mergeCell ref="A1:A2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A9D18E"/>
  </sheetPr>
  <dimension ref="A1:L30"/>
  <sheetViews>
    <sheetView workbookViewId="0"/>
  </sheetViews>
  <sheetFormatPr defaultRowHeight="15" x14ac:dyDescent="0.25"/>
  <cols>
    <col min="1" max="1" width="19.140625" customWidth="1"/>
    <col min="2" max="2" width="14.7109375" customWidth="1"/>
    <col min="3" max="3" width="14.42578125" customWidth="1"/>
    <col min="4" max="4" width="16.85546875" customWidth="1"/>
    <col min="5" max="5" width="16.7109375" customWidth="1"/>
    <col min="6" max="6" width="12.42578125" customWidth="1"/>
  </cols>
  <sheetData>
    <row r="1" spans="1:12" x14ac:dyDescent="0.25">
      <c r="A1" s="29" t="s">
        <v>252</v>
      </c>
      <c r="B1" s="29" t="s">
        <v>531</v>
      </c>
      <c r="C1" s="29"/>
      <c r="D1" s="29" t="s">
        <v>756</v>
      </c>
      <c r="E1" s="29" t="s">
        <v>757</v>
      </c>
      <c r="F1" s="29" t="s">
        <v>534</v>
      </c>
      <c r="G1" s="29"/>
      <c r="H1" s="29"/>
      <c r="I1" s="29"/>
      <c r="J1" s="29"/>
      <c r="K1" s="29"/>
      <c r="L1" s="29"/>
    </row>
    <row r="2" spans="1:12" x14ac:dyDescent="0.25">
      <c r="A2" s="29"/>
      <c r="B2" t="s">
        <v>535</v>
      </c>
      <c r="C2" t="s">
        <v>536</v>
      </c>
      <c r="D2" s="29"/>
      <c r="E2" s="29"/>
      <c r="F2" t="s">
        <v>538</v>
      </c>
      <c r="G2" t="s">
        <v>539</v>
      </c>
      <c r="H2" t="s">
        <v>540</v>
      </c>
      <c r="I2" t="s">
        <v>542</v>
      </c>
      <c r="J2" t="s">
        <v>543</v>
      </c>
      <c r="K2" t="s">
        <v>544</v>
      </c>
      <c r="L2" t="s">
        <v>758</v>
      </c>
    </row>
    <row r="3" spans="1:12" x14ac:dyDescent="0.25">
      <c r="A3" t="s">
        <v>283</v>
      </c>
      <c r="B3">
        <v>594463</v>
      </c>
      <c r="C3">
        <v>245996</v>
      </c>
      <c r="D3">
        <v>2.5</v>
      </c>
      <c r="E3">
        <v>31</v>
      </c>
      <c r="F3">
        <v>26</v>
      </c>
      <c r="G3">
        <v>37</v>
      </c>
      <c r="H3">
        <v>9</v>
      </c>
      <c r="I3">
        <v>10</v>
      </c>
      <c r="J3">
        <v>15</v>
      </c>
      <c r="K3">
        <v>15</v>
      </c>
      <c r="L3">
        <v>21</v>
      </c>
    </row>
    <row r="4" spans="1:12" x14ac:dyDescent="0.25">
      <c r="A4" t="s">
        <v>284</v>
      </c>
      <c r="B4">
        <v>189827</v>
      </c>
      <c r="C4">
        <v>80910</v>
      </c>
      <c r="D4">
        <v>2.9</v>
      </c>
      <c r="E4">
        <v>22</v>
      </c>
      <c r="F4">
        <v>9</v>
      </c>
      <c r="G4">
        <v>16</v>
      </c>
      <c r="H4">
        <v>7</v>
      </c>
      <c r="I4">
        <v>1</v>
      </c>
      <c r="J4">
        <v>3</v>
      </c>
      <c r="K4">
        <v>2</v>
      </c>
      <c r="L4">
        <v>5</v>
      </c>
    </row>
    <row r="5" spans="1:12" x14ac:dyDescent="0.25">
      <c r="A5" t="s">
        <v>285</v>
      </c>
      <c r="B5">
        <v>257237</v>
      </c>
      <c r="C5">
        <v>49598</v>
      </c>
      <c r="D5">
        <v>2.9</v>
      </c>
      <c r="E5">
        <v>7</v>
      </c>
      <c r="F5">
        <v>1</v>
      </c>
      <c r="G5">
        <v>5</v>
      </c>
      <c r="H5">
        <v>0</v>
      </c>
      <c r="I5">
        <v>0</v>
      </c>
      <c r="J5">
        <v>1</v>
      </c>
      <c r="K5">
        <v>1</v>
      </c>
      <c r="L5">
        <v>1</v>
      </c>
    </row>
    <row r="6" spans="1:12" x14ac:dyDescent="0.25">
      <c r="A6" t="s">
        <v>286</v>
      </c>
      <c r="B6">
        <v>178422</v>
      </c>
      <c r="C6">
        <v>49953</v>
      </c>
      <c r="D6">
        <v>3.8</v>
      </c>
      <c r="E6">
        <v>8</v>
      </c>
      <c r="F6">
        <v>5</v>
      </c>
      <c r="G6">
        <v>5</v>
      </c>
      <c r="H6">
        <v>4</v>
      </c>
      <c r="I6">
        <v>4</v>
      </c>
      <c r="J6">
        <v>5</v>
      </c>
      <c r="K6">
        <v>4</v>
      </c>
      <c r="L6">
        <v>4</v>
      </c>
    </row>
    <row r="7" spans="1:12" x14ac:dyDescent="0.25">
      <c r="A7" t="s">
        <v>287</v>
      </c>
      <c r="B7">
        <v>1209118</v>
      </c>
      <c r="C7">
        <v>75293</v>
      </c>
      <c r="D7">
        <v>2.4</v>
      </c>
      <c r="E7">
        <v>18</v>
      </c>
      <c r="F7">
        <v>6</v>
      </c>
      <c r="G7">
        <v>13</v>
      </c>
      <c r="H7">
        <v>4</v>
      </c>
      <c r="I7">
        <v>2</v>
      </c>
      <c r="J7">
        <v>4</v>
      </c>
      <c r="K7">
        <v>4</v>
      </c>
      <c r="L7">
        <v>7</v>
      </c>
    </row>
    <row r="8" spans="1:12" x14ac:dyDescent="0.25">
      <c r="A8" t="s">
        <v>288</v>
      </c>
      <c r="B8">
        <v>939276</v>
      </c>
      <c r="C8">
        <v>294585</v>
      </c>
      <c r="D8">
        <v>2.8</v>
      </c>
      <c r="E8">
        <v>9</v>
      </c>
      <c r="F8">
        <v>6</v>
      </c>
      <c r="G8">
        <v>8</v>
      </c>
      <c r="H8">
        <v>4</v>
      </c>
      <c r="I8">
        <v>1</v>
      </c>
      <c r="J8">
        <v>2</v>
      </c>
      <c r="K8">
        <v>3</v>
      </c>
      <c r="L8">
        <v>3</v>
      </c>
    </row>
    <row r="9" spans="1:12" x14ac:dyDescent="0.25">
      <c r="A9" t="s">
        <v>289</v>
      </c>
      <c r="B9">
        <v>90122</v>
      </c>
      <c r="C9">
        <v>74504</v>
      </c>
      <c r="D9">
        <v>1.9</v>
      </c>
      <c r="E9">
        <v>9</v>
      </c>
      <c r="F9">
        <v>9</v>
      </c>
      <c r="G9">
        <v>11</v>
      </c>
      <c r="H9">
        <v>7</v>
      </c>
      <c r="I9">
        <v>3</v>
      </c>
      <c r="J9">
        <v>4</v>
      </c>
      <c r="K9">
        <v>5</v>
      </c>
      <c r="L9">
        <v>5</v>
      </c>
    </row>
    <row r="10" spans="1:12" x14ac:dyDescent="0.25">
      <c r="A10" t="s">
        <v>290</v>
      </c>
      <c r="B10">
        <v>169349</v>
      </c>
      <c r="C10">
        <v>66182</v>
      </c>
      <c r="D10">
        <v>5.0999999999999996</v>
      </c>
      <c r="E10">
        <v>28</v>
      </c>
      <c r="F10">
        <v>11</v>
      </c>
      <c r="G10">
        <v>17</v>
      </c>
      <c r="H10">
        <v>8</v>
      </c>
      <c r="I10">
        <v>3</v>
      </c>
      <c r="J10">
        <v>5</v>
      </c>
      <c r="K10">
        <v>5</v>
      </c>
      <c r="L10">
        <v>7</v>
      </c>
    </row>
    <row r="11" spans="1:12" x14ac:dyDescent="0.25">
      <c r="A11" t="s">
        <v>291</v>
      </c>
      <c r="B11">
        <v>1000</v>
      </c>
      <c r="C11">
        <v>50</v>
      </c>
      <c r="D11">
        <v>1.3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292</v>
      </c>
      <c r="B12">
        <v>26072</v>
      </c>
      <c r="C12">
        <v>9336</v>
      </c>
      <c r="D12">
        <v>1.5</v>
      </c>
      <c r="E12">
        <v>1</v>
      </c>
      <c r="F12">
        <v>4</v>
      </c>
      <c r="G12">
        <v>5</v>
      </c>
      <c r="H12">
        <v>0</v>
      </c>
      <c r="I12">
        <v>1</v>
      </c>
      <c r="J12">
        <v>2</v>
      </c>
      <c r="K12">
        <v>0</v>
      </c>
      <c r="L12">
        <v>0</v>
      </c>
    </row>
    <row r="13" spans="1:12" x14ac:dyDescent="0.25">
      <c r="A13" t="s">
        <v>293</v>
      </c>
      <c r="B13">
        <v>9510</v>
      </c>
      <c r="C13">
        <v>2040</v>
      </c>
      <c r="D13">
        <v>2.2999999999999998</v>
      </c>
      <c r="E13">
        <v>2</v>
      </c>
      <c r="F13">
        <v>1</v>
      </c>
      <c r="G13">
        <v>2</v>
      </c>
      <c r="H13">
        <v>1</v>
      </c>
      <c r="I13">
        <v>0</v>
      </c>
      <c r="J13">
        <v>1</v>
      </c>
      <c r="K13">
        <v>1</v>
      </c>
      <c r="L13">
        <v>0</v>
      </c>
    </row>
    <row r="14" spans="1:12" x14ac:dyDescent="0.25">
      <c r="A14" t="s">
        <v>294</v>
      </c>
      <c r="B14">
        <v>36328</v>
      </c>
      <c r="C14">
        <v>17436</v>
      </c>
      <c r="D14">
        <v>3.5</v>
      </c>
      <c r="E14">
        <v>3</v>
      </c>
      <c r="F14">
        <v>3</v>
      </c>
      <c r="G14">
        <v>3</v>
      </c>
      <c r="H14">
        <v>1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 t="s">
        <v>295</v>
      </c>
      <c r="B15">
        <v>14039</v>
      </c>
      <c r="C15">
        <v>9450</v>
      </c>
      <c r="D15">
        <v>1.2</v>
      </c>
      <c r="E15">
        <v>3</v>
      </c>
      <c r="F15">
        <v>2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</row>
    <row r="16" spans="1:12" x14ac:dyDescent="0.25">
      <c r="A16" t="s">
        <v>296</v>
      </c>
      <c r="B16">
        <v>14697</v>
      </c>
      <c r="C16">
        <v>7942</v>
      </c>
      <c r="D16">
        <v>1.3</v>
      </c>
      <c r="E16">
        <v>4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t="s">
        <v>297</v>
      </c>
      <c r="B17">
        <v>3049129</v>
      </c>
      <c r="C17">
        <v>918402</v>
      </c>
      <c r="D17">
        <v>2.2000000000000002</v>
      </c>
      <c r="E17">
        <v>181</v>
      </c>
      <c r="F17">
        <v>64</v>
      </c>
      <c r="G17">
        <v>137</v>
      </c>
      <c r="H17">
        <v>90</v>
      </c>
      <c r="I17">
        <v>28</v>
      </c>
      <c r="J17">
        <v>48</v>
      </c>
      <c r="K17">
        <v>45</v>
      </c>
      <c r="L17">
        <v>56</v>
      </c>
    </row>
    <row r="18" spans="1:12" x14ac:dyDescent="0.25">
      <c r="A18" t="s">
        <v>298</v>
      </c>
      <c r="B18">
        <v>374228</v>
      </c>
      <c r="C18">
        <v>147705</v>
      </c>
      <c r="D18">
        <v>2.9</v>
      </c>
      <c r="E18">
        <v>14</v>
      </c>
      <c r="F18">
        <v>9</v>
      </c>
      <c r="G18">
        <v>16</v>
      </c>
      <c r="H18">
        <v>9</v>
      </c>
      <c r="I18">
        <v>1</v>
      </c>
      <c r="J18">
        <v>3</v>
      </c>
      <c r="K18">
        <v>3</v>
      </c>
      <c r="L18">
        <v>6</v>
      </c>
    </row>
    <row r="19" spans="1:12" x14ac:dyDescent="0.25">
      <c r="A19" t="s">
        <v>299</v>
      </c>
      <c r="B19">
        <v>3571</v>
      </c>
      <c r="C19">
        <v>738</v>
      </c>
      <c r="D19">
        <v>3.9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</row>
    <row r="20" spans="1:12" x14ac:dyDescent="0.25">
      <c r="A20" t="s">
        <v>300</v>
      </c>
      <c r="B20">
        <v>5344</v>
      </c>
      <c r="C20">
        <v>4547</v>
      </c>
      <c r="D20">
        <v>3.5</v>
      </c>
      <c r="E20">
        <v>3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25">
      <c r="A21" t="s">
        <v>301</v>
      </c>
      <c r="B21">
        <v>1318</v>
      </c>
      <c r="C21">
        <v>102</v>
      </c>
      <c r="D21">
        <v>0.4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 t="s">
        <v>302</v>
      </c>
      <c r="B22">
        <v>15792</v>
      </c>
      <c r="C22">
        <v>108328</v>
      </c>
      <c r="D22">
        <v>1.5</v>
      </c>
      <c r="E22">
        <v>4</v>
      </c>
      <c r="F22">
        <v>4</v>
      </c>
      <c r="G22">
        <v>7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 t="s">
        <v>303</v>
      </c>
      <c r="B23">
        <v>82451</v>
      </c>
      <c r="C23">
        <v>34742</v>
      </c>
      <c r="D23">
        <v>2</v>
      </c>
      <c r="E23">
        <v>45</v>
      </c>
      <c r="F23">
        <v>7</v>
      </c>
      <c r="G23">
        <v>16</v>
      </c>
      <c r="H23">
        <v>12</v>
      </c>
      <c r="I23">
        <v>9</v>
      </c>
      <c r="J23">
        <v>7</v>
      </c>
      <c r="K23">
        <v>9</v>
      </c>
      <c r="L23">
        <v>12</v>
      </c>
    </row>
    <row r="24" spans="1:12" x14ac:dyDescent="0.25">
      <c r="A24" t="s">
        <v>304</v>
      </c>
      <c r="B24">
        <v>3201</v>
      </c>
      <c r="C24">
        <v>865</v>
      </c>
      <c r="D24">
        <v>1.3</v>
      </c>
      <c r="E24">
        <v>2</v>
      </c>
      <c r="F24">
        <v>1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 t="s">
        <v>305</v>
      </c>
      <c r="B25">
        <v>4274</v>
      </c>
      <c r="C25">
        <v>3003</v>
      </c>
      <c r="D25">
        <v>2.1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t="s">
        <v>306</v>
      </c>
      <c r="B26">
        <v>339594</v>
      </c>
      <c r="C26">
        <v>103207</v>
      </c>
      <c r="D26">
        <v>2.2000000000000002</v>
      </c>
      <c r="E26">
        <v>16</v>
      </c>
      <c r="F26">
        <v>7</v>
      </c>
      <c r="G26">
        <v>12</v>
      </c>
      <c r="H26">
        <v>4</v>
      </c>
      <c r="I26">
        <v>4</v>
      </c>
      <c r="J26">
        <v>3</v>
      </c>
      <c r="K26">
        <v>3</v>
      </c>
      <c r="L26">
        <v>3</v>
      </c>
    </row>
    <row r="27" spans="1:12" x14ac:dyDescent="0.25">
      <c r="A27" t="s">
        <v>307</v>
      </c>
      <c r="B27">
        <v>67069</v>
      </c>
      <c r="C27">
        <v>30416</v>
      </c>
      <c r="D27">
        <v>4.4000000000000004</v>
      </c>
      <c r="E27">
        <v>7</v>
      </c>
      <c r="F27">
        <v>3</v>
      </c>
      <c r="G27">
        <v>3</v>
      </c>
      <c r="H27">
        <v>1</v>
      </c>
      <c r="I27">
        <v>0</v>
      </c>
      <c r="J27">
        <v>2</v>
      </c>
      <c r="K27">
        <v>1</v>
      </c>
      <c r="L27">
        <v>2</v>
      </c>
    </row>
    <row r="28" spans="1:12" x14ac:dyDescent="0.25">
      <c r="A28" t="s">
        <v>266</v>
      </c>
      <c r="B28">
        <v>7675431</v>
      </c>
      <c r="C28">
        <v>2335330</v>
      </c>
      <c r="D28">
        <v>3.3</v>
      </c>
      <c r="E28">
        <v>424</v>
      </c>
      <c r="F28">
        <v>181</v>
      </c>
      <c r="G28">
        <v>319</v>
      </c>
      <c r="H28">
        <v>163</v>
      </c>
      <c r="I28">
        <v>69</v>
      </c>
      <c r="J28">
        <v>109</v>
      </c>
      <c r="K28">
        <v>104</v>
      </c>
      <c r="L28">
        <v>135</v>
      </c>
    </row>
    <row r="29" spans="1:12" x14ac:dyDescent="0.25">
      <c r="A29" t="s">
        <v>459</v>
      </c>
      <c r="B29">
        <v>4415139</v>
      </c>
      <c r="C29">
        <v>1597194</v>
      </c>
      <c r="D29">
        <v>2.4</v>
      </c>
      <c r="E29">
        <v>339</v>
      </c>
      <c r="F29">
        <v>131</v>
      </c>
      <c r="G29">
        <v>250</v>
      </c>
      <c r="H29">
        <v>140</v>
      </c>
      <c r="I29">
        <v>55</v>
      </c>
      <c r="J29">
        <v>89</v>
      </c>
      <c r="K29">
        <v>84</v>
      </c>
      <c r="L29">
        <v>106</v>
      </c>
    </row>
    <row r="30" spans="1:12" x14ac:dyDescent="0.25">
      <c r="A30" t="s">
        <v>460</v>
      </c>
      <c r="B30">
        <v>3260292</v>
      </c>
      <c r="C30">
        <v>738136</v>
      </c>
      <c r="D30">
        <v>3</v>
      </c>
      <c r="E30">
        <v>85</v>
      </c>
      <c r="F30">
        <v>50</v>
      </c>
      <c r="G30">
        <v>69</v>
      </c>
      <c r="H30">
        <v>23</v>
      </c>
      <c r="I30">
        <v>14</v>
      </c>
      <c r="J30">
        <v>20</v>
      </c>
      <c r="K30">
        <v>20</v>
      </c>
      <c r="L30">
        <v>29</v>
      </c>
    </row>
  </sheetData>
  <mergeCells count="5">
    <mergeCell ref="F1:L1"/>
    <mergeCell ref="D1:D2"/>
    <mergeCell ref="E1:E2"/>
    <mergeCell ref="B1:C1"/>
    <mergeCell ref="A1:A2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FF0000"/>
  </sheetPr>
  <dimension ref="A1:I29"/>
  <sheetViews>
    <sheetView workbookViewId="0"/>
  </sheetViews>
  <sheetFormatPr defaultRowHeight="15" x14ac:dyDescent="0.25"/>
  <cols>
    <col min="1" max="1" width="21.42578125" customWidth="1"/>
    <col min="2" max="2" width="19.42578125" customWidth="1"/>
  </cols>
  <sheetData>
    <row r="1" spans="1:9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</row>
    <row r="2" spans="1:9" x14ac:dyDescent="0.25">
      <c r="A2" s="29" t="s">
        <v>709</v>
      </c>
      <c r="B2" s="29" t="s">
        <v>759</v>
      </c>
      <c r="C2" s="29"/>
      <c r="D2" s="29"/>
      <c r="E2" s="29"/>
      <c r="F2" s="29"/>
      <c r="G2" s="29"/>
      <c r="H2" s="29"/>
      <c r="I2" s="29"/>
    </row>
    <row r="3" spans="1:9" x14ac:dyDescent="0.25">
      <c r="A3" s="29"/>
      <c r="B3" s="29" t="s">
        <v>423</v>
      </c>
      <c r="C3" s="29"/>
      <c r="D3" s="29" t="s">
        <v>424</v>
      </c>
      <c r="E3" s="29"/>
      <c r="F3" s="29" t="s">
        <v>425</v>
      </c>
      <c r="G3" s="29"/>
      <c r="H3" s="29" t="s">
        <v>373</v>
      </c>
      <c r="I3" s="29"/>
    </row>
    <row r="4" spans="1:9" x14ac:dyDescent="0.25">
      <c r="A4" s="29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</row>
    <row r="5" spans="1:9" x14ac:dyDescent="0.25">
      <c r="A5" t="s">
        <v>283</v>
      </c>
      <c r="B5">
        <v>80</v>
      </c>
      <c r="C5">
        <v>1280</v>
      </c>
      <c r="D5">
        <v>35</v>
      </c>
      <c r="E5">
        <v>1280</v>
      </c>
      <c r="F5">
        <v>0</v>
      </c>
      <c r="G5">
        <v>1280</v>
      </c>
      <c r="H5">
        <v>0</v>
      </c>
      <c r="I5">
        <v>740</v>
      </c>
    </row>
    <row r="6" spans="1:9" x14ac:dyDescent="0.25">
      <c r="A6" t="s">
        <v>284</v>
      </c>
      <c r="B6">
        <v>40</v>
      </c>
      <c r="C6">
        <v>2400</v>
      </c>
      <c r="D6">
        <v>30</v>
      </c>
      <c r="E6">
        <v>2800</v>
      </c>
      <c r="F6">
        <v>15</v>
      </c>
      <c r="G6">
        <v>3200</v>
      </c>
      <c r="H6">
        <v>0</v>
      </c>
      <c r="I6">
        <v>1670</v>
      </c>
    </row>
    <row r="7" spans="1:9" x14ac:dyDescent="0.25">
      <c r="A7" t="s">
        <v>285</v>
      </c>
      <c r="B7">
        <v>60</v>
      </c>
      <c r="C7">
        <v>500</v>
      </c>
      <c r="D7">
        <v>80</v>
      </c>
      <c r="E7">
        <v>500</v>
      </c>
      <c r="F7">
        <v>120</v>
      </c>
      <c r="G7">
        <v>500</v>
      </c>
      <c r="H7">
        <v>0</v>
      </c>
      <c r="I7">
        <v>500</v>
      </c>
    </row>
    <row r="8" spans="1:9" x14ac:dyDescent="0.25">
      <c r="A8" t="s">
        <v>286</v>
      </c>
      <c r="B8">
        <v>60</v>
      </c>
      <c r="C8">
        <v>340</v>
      </c>
      <c r="D8">
        <v>60</v>
      </c>
      <c r="E8">
        <v>340</v>
      </c>
      <c r="F8">
        <v>60</v>
      </c>
      <c r="G8">
        <v>340</v>
      </c>
      <c r="H8">
        <v>0</v>
      </c>
      <c r="I8">
        <v>160</v>
      </c>
    </row>
    <row r="9" spans="1:9" x14ac:dyDescent="0.25">
      <c r="A9" t="s">
        <v>287</v>
      </c>
      <c r="B9">
        <v>13</v>
      </c>
      <c r="C9">
        <v>395</v>
      </c>
      <c r="D9">
        <v>14</v>
      </c>
      <c r="E9">
        <v>435</v>
      </c>
      <c r="F9">
        <v>14</v>
      </c>
      <c r="G9">
        <v>475</v>
      </c>
      <c r="H9">
        <v>0</v>
      </c>
      <c r="I9">
        <v>354</v>
      </c>
    </row>
    <row r="10" spans="1:9" x14ac:dyDescent="0.25">
      <c r="A10" t="s">
        <v>288</v>
      </c>
      <c r="B10">
        <v>125</v>
      </c>
      <c r="C10">
        <v>450</v>
      </c>
      <c r="D10">
        <v>200</v>
      </c>
      <c r="E10">
        <v>470</v>
      </c>
      <c r="F10">
        <v>200</v>
      </c>
      <c r="G10">
        <v>490</v>
      </c>
      <c r="H10">
        <v>0</v>
      </c>
      <c r="I10">
        <v>432</v>
      </c>
    </row>
    <row r="11" spans="1:9" x14ac:dyDescent="0.25">
      <c r="A11" t="s">
        <v>289</v>
      </c>
      <c r="B11">
        <v>120</v>
      </c>
      <c r="C11">
        <v>380</v>
      </c>
      <c r="D11">
        <v>75</v>
      </c>
      <c r="E11">
        <v>380</v>
      </c>
      <c r="F11">
        <v>75</v>
      </c>
      <c r="G11">
        <v>380</v>
      </c>
      <c r="H11">
        <v>0</v>
      </c>
      <c r="I11">
        <v>330</v>
      </c>
    </row>
    <row r="12" spans="1:9" x14ac:dyDescent="0.25">
      <c r="A12" t="s">
        <v>290</v>
      </c>
      <c r="B12">
        <v>15</v>
      </c>
      <c r="C12">
        <v>2299</v>
      </c>
      <c r="D12">
        <v>50</v>
      </c>
      <c r="E12">
        <v>2299</v>
      </c>
      <c r="F12">
        <v>0</v>
      </c>
      <c r="G12">
        <v>2299</v>
      </c>
      <c r="H12">
        <v>0</v>
      </c>
      <c r="I12">
        <v>1000</v>
      </c>
    </row>
    <row r="13" spans="1:9" x14ac:dyDescent="0.25">
      <c r="A13" t="s">
        <v>291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</row>
    <row r="14" spans="1:9" x14ac:dyDescent="0.25">
      <c r="A14" t="s">
        <v>292</v>
      </c>
      <c r="B14">
        <v>90</v>
      </c>
      <c r="C14">
        <v>120</v>
      </c>
      <c r="D14">
        <v>90</v>
      </c>
      <c r="E14">
        <v>120</v>
      </c>
      <c r="F14">
        <v>90</v>
      </c>
      <c r="G14">
        <v>120</v>
      </c>
      <c r="H14">
        <v>0</v>
      </c>
      <c r="I14">
        <v>90</v>
      </c>
    </row>
    <row r="15" spans="1:9" x14ac:dyDescent="0.25">
      <c r="A15" t="s">
        <v>293</v>
      </c>
      <c r="B15">
        <v>300</v>
      </c>
      <c r="C15">
        <v>300</v>
      </c>
      <c r="D15">
        <v>300</v>
      </c>
      <c r="E15">
        <v>300</v>
      </c>
      <c r="F15">
        <v>0</v>
      </c>
      <c r="G15">
        <v>300</v>
      </c>
      <c r="H15">
        <v>0</v>
      </c>
      <c r="I15">
        <v>0</v>
      </c>
    </row>
    <row r="16" spans="1:9" x14ac:dyDescent="0.25">
      <c r="A16" t="s">
        <v>294</v>
      </c>
      <c r="B16">
        <v>286</v>
      </c>
      <c r="C16">
        <v>286</v>
      </c>
      <c r="D16">
        <v>286</v>
      </c>
      <c r="E16">
        <v>286</v>
      </c>
      <c r="F16">
        <v>286</v>
      </c>
      <c r="G16">
        <v>286</v>
      </c>
      <c r="H16">
        <v>0</v>
      </c>
      <c r="I16">
        <v>0</v>
      </c>
    </row>
    <row r="17" spans="1:9" x14ac:dyDescent="0.25">
      <c r="A17" t="s">
        <v>295</v>
      </c>
      <c r="B17">
        <v>100</v>
      </c>
      <c r="C17">
        <v>220</v>
      </c>
      <c r="D17">
        <v>100</v>
      </c>
      <c r="E17">
        <v>220</v>
      </c>
      <c r="F17">
        <v>100</v>
      </c>
      <c r="G17">
        <v>220</v>
      </c>
      <c r="H17">
        <v>0</v>
      </c>
      <c r="I17">
        <v>220</v>
      </c>
    </row>
    <row r="18" spans="1:9" x14ac:dyDescent="0.25">
      <c r="A18" t="s">
        <v>296</v>
      </c>
      <c r="B18">
        <v>15</v>
      </c>
      <c r="C18">
        <v>150</v>
      </c>
      <c r="D18">
        <v>15</v>
      </c>
      <c r="E18">
        <v>150</v>
      </c>
      <c r="F18">
        <v>15</v>
      </c>
      <c r="G18">
        <v>150</v>
      </c>
      <c r="H18">
        <v>0</v>
      </c>
      <c r="I18">
        <v>120</v>
      </c>
    </row>
    <row r="19" spans="1:9" x14ac:dyDescent="0.25">
      <c r="A19" t="s">
        <v>297</v>
      </c>
      <c r="B19">
        <v>18</v>
      </c>
      <c r="C19">
        <v>11550</v>
      </c>
      <c r="D19">
        <v>18</v>
      </c>
      <c r="E19">
        <v>13600</v>
      </c>
      <c r="F19">
        <v>0</v>
      </c>
      <c r="G19">
        <v>14250</v>
      </c>
      <c r="H19">
        <v>0</v>
      </c>
      <c r="I19">
        <v>19713</v>
      </c>
    </row>
    <row r="20" spans="1:9" x14ac:dyDescent="0.25">
      <c r="A20" t="s">
        <v>298</v>
      </c>
      <c r="B20">
        <v>10</v>
      </c>
      <c r="C20">
        <v>1590</v>
      </c>
      <c r="D20">
        <v>10</v>
      </c>
      <c r="E20">
        <v>2000</v>
      </c>
      <c r="F20">
        <v>0</v>
      </c>
      <c r="G20">
        <v>2100</v>
      </c>
      <c r="H20">
        <v>0</v>
      </c>
      <c r="I20">
        <v>450</v>
      </c>
    </row>
    <row r="21" spans="1:9" x14ac:dyDescent="0.25">
      <c r="A21" t="s">
        <v>299</v>
      </c>
      <c r="B21">
        <v>210</v>
      </c>
      <c r="C21">
        <v>210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 t="s">
        <v>300</v>
      </c>
      <c r="B22">
        <v>30</v>
      </c>
      <c r="C22">
        <v>100</v>
      </c>
      <c r="D22">
        <v>100</v>
      </c>
      <c r="E22">
        <v>20000</v>
      </c>
      <c r="F22">
        <v>0</v>
      </c>
      <c r="G22">
        <v>100</v>
      </c>
      <c r="H22">
        <v>0</v>
      </c>
      <c r="I22">
        <v>0</v>
      </c>
    </row>
    <row r="23" spans="1:9" x14ac:dyDescent="0.25">
      <c r="A23" t="s">
        <v>302</v>
      </c>
      <c r="B23">
        <v>270</v>
      </c>
      <c r="C23">
        <v>580</v>
      </c>
      <c r="D23">
        <v>414</v>
      </c>
      <c r="E23">
        <v>580</v>
      </c>
      <c r="F23">
        <v>414</v>
      </c>
      <c r="G23">
        <v>580</v>
      </c>
      <c r="H23">
        <v>0</v>
      </c>
      <c r="I23">
        <v>580</v>
      </c>
    </row>
    <row r="24" spans="1:9" x14ac:dyDescent="0.25">
      <c r="A24" t="s">
        <v>303</v>
      </c>
      <c r="B24">
        <v>60</v>
      </c>
      <c r="C24">
        <v>4390</v>
      </c>
      <c r="D24">
        <v>60</v>
      </c>
      <c r="E24">
        <v>4390</v>
      </c>
      <c r="F24">
        <v>60</v>
      </c>
      <c r="G24">
        <v>6120</v>
      </c>
      <c r="H24">
        <v>0</v>
      </c>
      <c r="I24">
        <v>507</v>
      </c>
    </row>
    <row r="25" spans="1:9" x14ac:dyDescent="0.25">
      <c r="A25" t="s">
        <v>304</v>
      </c>
      <c r="B25">
        <v>270</v>
      </c>
      <c r="C25">
        <v>580</v>
      </c>
      <c r="D25">
        <v>270</v>
      </c>
      <c r="E25">
        <v>580</v>
      </c>
      <c r="F25">
        <v>270</v>
      </c>
      <c r="G25">
        <v>580</v>
      </c>
      <c r="H25">
        <v>0</v>
      </c>
      <c r="I25">
        <v>0</v>
      </c>
    </row>
    <row r="26" spans="1:9" x14ac:dyDescent="0.25">
      <c r="A26" t="s">
        <v>305</v>
      </c>
      <c r="B26">
        <v>105</v>
      </c>
      <c r="C26">
        <v>105</v>
      </c>
      <c r="D26">
        <v>105</v>
      </c>
      <c r="E26">
        <v>105</v>
      </c>
      <c r="F26">
        <v>105</v>
      </c>
      <c r="G26">
        <v>105</v>
      </c>
      <c r="H26">
        <v>0</v>
      </c>
      <c r="I26">
        <v>0</v>
      </c>
    </row>
    <row r="27" spans="1:9" x14ac:dyDescent="0.25">
      <c r="A27" t="s">
        <v>306</v>
      </c>
      <c r="B27">
        <v>16</v>
      </c>
      <c r="C27">
        <v>396</v>
      </c>
      <c r="D27">
        <v>16</v>
      </c>
      <c r="E27">
        <v>420</v>
      </c>
      <c r="F27">
        <v>16</v>
      </c>
      <c r="G27">
        <v>420</v>
      </c>
      <c r="H27">
        <v>0</v>
      </c>
      <c r="I27">
        <v>310</v>
      </c>
    </row>
    <row r="28" spans="1:9" x14ac:dyDescent="0.25">
      <c r="A28" t="s">
        <v>307</v>
      </c>
      <c r="B28">
        <v>100</v>
      </c>
      <c r="C28">
        <v>400</v>
      </c>
      <c r="D28">
        <v>200</v>
      </c>
      <c r="E28">
        <v>400</v>
      </c>
      <c r="F28">
        <v>220</v>
      </c>
      <c r="G28">
        <v>400</v>
      </c>
      <c r="H28">
        <v>0</v>
      </c>
      <c r="I28">
        <v>400</v>
      </c>
    </row>
    <row r="29" spans="1:9" x14ac:dyDescent="0.25">
      <c r="A29" t="s">
        <v>266</v>
      </c>
      <c r="B29">
        <v>10</v>
      </c>
      <c r="C29">
        <v>11550</v>
      </c>
      <c r="D29">
        <v>10</v>
      </c>
      <c r="E29">
        <v>20000</v>
      </c>
      <c r="F29">
        <v>0</v>
      </c>
      <c r="G29">
        <v>14250</v>
      </c>
      <c r="H29">
        <v>0</v>
      </c>
      <c r="I29">
        <v>19713</v>
      </c>
    </row>
  </sheetData>
  <mergeCells count="7">
    <mergeCell ref="F3:G3"/>
    <mergeCell ref="A2:A4"/>
    <mergeCell ref="B3:C3"/>
    <mergeCell ref="B2:I2"/>
    <mergeCell ref="A1:I1"/>
    <mergeCell ref="D3:E3"/>
    <mergeCell ref="H3:I3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FF0000"/>
  </sheetPr>
  <dimension ref="A1:M30"/>
  <sheetViews>
    <sheetView workbookViewId="0"/>
  </sheetViews>
  <sheetFormatPr defaultRowHeight="15" x14ac:dyDescent="0.25"/>
  <cols>
    <col min="1" max="1" width="22" customWidth="1"/>
    <col min="2" max="2" width="12.7109375" customWidth="1"/>
    <col min="3" max="3" width="12.85546875" customWidth="1"/>
    <col min="6" max="6" width="12.7109375" customWidth="1"/>
    <col min="7" max="7" width="12.85546875" customWidth="1"/>
    <col min="11" max="11" width="12.7109375" customWidth="1"/>
    <col min="12" max="12" width="12.85546875" customWidth="1"/>
  </cols>
  <sheetData>
    <row r="1" spans="1:13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759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 t="s">
        <v>334</v>
      </c>
      <c r="C3" s="29"/>
      <c r="D3" s="29" t="s">
        <v>335</v>
      </c>
      <c r="E3" s="29"/>
      <c r="F3" s="29" t="s">
        <v>336</v>
      </c>
      <c r="G3" s="29"/>
      <c r="H3" s="29" t="s">
        <v>337</v>
      </c>
      <c r="I3" s="29"/>
      <c r="J3" s="29" t="s">
        <v>338</v>
      </c>
      <c r="K3" s="29"/>
      <c r="L3" s="29" t="s">
        <v>339</v>
      </c>
      <c r="M3" s="29"/>
    </row>
    <row r="4" spans="1:13" x14ac:dyDescent="0.25">
      <c r="A4" s="29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  <c r="J4" t="s">
        <v>760</v>
      </c>
      <c r="K4" t="s">
        <v>761</v>
      </c>
      <c r="L4" t="s">
        <v>760</v>
      </c>
      <c r="M4" t="s">
        <v>761</v>
      </c>
    </row>
    <row r="5" spans="1:13" x14ac:dyDescent="0.25">
      <c r="A5" t="s">
        <v>283</v>
      </c>
      <c r="B5">
        <v>6</v>
      </c>
      <c r="C5">
        <v>880</v>
      </c>
      <c r="D5">
        <v>6</v>
      </c>
      <c r="E5">
        <v>1125</v>
      </c>
      <c r="F5">
        <v>6</v>
      </c>
      <c r="G5">
        <v>880</v>
      </c>
      <c r="H5">
        <v>6</v>
      </c>
      <c r="I5">
        <v>880</v>
      </c>
      <c r="J5">
        <v>6</v>
      </c>
      <c r="K5">
        <v>880</v>
      </c>
      <c r="L5">
        <v>6</v>
      </c>
      <c r="M5">
        <v>880</v>
      </c>
    </row>
    <row r="6" spans="1:13" x14ac:dyDescent="0.25">
      <c r="A6" t="s">
        <v>284</v>
      </c>
      <c r="B6">
        <v>20</v>
      </c>
      <c r="C6">
        <v>3795</v>
      </c>
      <c r="D6">
        <v>20</v>
      </c>
      <c r="E6">
        <v>3795</v>
      </c>
      <c r="F6">
        <v>20</v>
      </c>
      <c r="G6">
        <v>3795</v>
      </c>
      <c r="H6">
        <v>20</v>
      </c>
      <c r="I6">
        <v>3795</v>
      </c>
      <c r="J6">
        <v>20</v>
      </c>
      <c r="K6">
        <v>3795</v>
      </c>
      <c r="L6">
        <v>20</v>
      </c>
      <c r="M6">
        <v>3795</v>
      </c>
    </row>
    <row r="7" spans="1:13" x14ac:dyDescent="0.25">
      <c r="A7" t="s">
        <v>285</v>
      </c>
      <c r="B7">
        <v>28</v>
      </c>
      <c r="C7">
        <v>600</v>
      </c>
      <c r="D7">
        <v>28</v>
      </c>
      <c r="E7">
        <v>600</v>
      </c>
      <c r="F7">
        <v>36</v>
      </c>
      <c r="G7">
        <v>600</v>
      </c>
      <c r="H7">
        <v>36</v>
      </c>
      <c r="I7">
        <v>600</v>
      </c>
      <c r="J7">
        <v>48</v>
      </c>
      <c r="K7">
        <v>600</v>
      </c>
      <c r="L7">
        <v>48</v>
      </c>
      <c r="M7">
        <v>600</v>
      </c>
    </row>
    <row r="8" spans="1:13" x14ac:dyDescent="0.25">
      <c r="A8" t="s">
        <v>286</v>
      </c>
      <c r="B8">
        <v>80</v>
      </c>
      <c r="C8">
        <v>400</v>
      </c>
      <c r="D8">
        <v>80</v>
      </c>
      <c r="E8">
        <v>400</v>
      </c>
      <c r="F8">
        <v>80</v>
      </c>
      <c r="G8">
        <v>460</v>
      </c>
      <c r="H8">
        <v>80</v>
      </c>
      <c r="I8">
        <v>460</v>
      </c>
      <c r="J8">
        <v>80</v>
      </c>
      <c r="K8">
        <v>520</v>
      </c>
      <c r="L8">
        <v>80</v>
      </c>
      <c r="M8">
        <v>520</v>
      </c>
    </row>
    <row r="9" spans="1:13" x14ac:dyDescent="0.25">
      <c r="A9" t="s">
        <v>287</v>
      </c>
      <c r="B9">
        <v>11</v>
      </c>
      <c r="C9">
        <v>7317</v>
      </c>
      <c r="D9">
        <v>12</v>
      </c>
      <c r="E9">
        <v>7317</v>
      </c>
      <c r="F9">
        <v>13</v>
      </c>
      <c r="G9">
        <v>7317</v>
      </c>
      <c r="H9">
        <v>13</v>
      </c>
      <c r="I9">
        <v>7317</v>
      </c>
      <c r="J9">
        <v>13</v>
      </c>
      <c r="K9">
        <v>7317</v>
      </c>
      <c r="L9">
        <v>13</v>
      </c>
      <c r="M9">
        <v>7317</v>
      </c>
    </row>
    <row r="10" spans="1:13" x14ac:dyDescent="0.25">
      <c r="A10" t="s">
        <v>288</v>
      </c>
      <c r="B10">
        <v>60</v>
      </c>
      <c r="C10">
        <v>500</v>
      </c>
      <c r="D10">
        <v>60</v>
      </c>
      <c r="E10">
        <v>500</v>
      </c>
      <c r="F10">
        <v>60</v>
      </c>
      <c r="G10">
        <v>520</v>
      </c>
      <c r="H10">
        <v>60</v>
      </c>
      <c r="I10">
        <v>520</v>
      </c>
      <c r="J10">
        <v>60</v>
      </c>
      <c r="K10">
        <v>540</v>
      </c>
      <c r="L10">
        <v>60</v>
      </c>
      <c r="M10">
        <v>540</v>
      </c>
    </row>
    <row r="11" spans="1:13" x14ac:dyDescent="0.25">
      <c r="A11" t="s">
        <v>289</v>
      </c>
      <c r="B11">
        <v>50</v>
      </c>
      <c r="C11">
        <v>330</v>
      </c>
      <c r="D11">
        <v>50</v>
      </c>
      <c r="E11">
        <v>350</v>
      </c>
      <c r="F11">
        <v>50</v>
      </c>
      <c r="G11">
        <v>370</v>
      </c>
      <c r="H11">
        <v>50</v>
      </c>
      <c r="I11">
        <v>390</v>
      </c>
      <c r="J11">
        <v>50</v>
      </c>
      <c r="K11">
        <v>410</v>
      </c>
      <c r="L11">
        <v>50</v>
      </c>
      <c r="M11">
        <v>430</v>
      </c>
    </row>
    <row r="12" spans="1:13" x14ac:dyDescent="0.25">
      <c r="A12" t="s">
        <v>290</v>
      </c>
      <c r="B12">
        <v>10</v>
      </c>
      <c r="C12">
        <v>1996</v>
      </c>
      <c r="D12">
        <v>10</v>
      </c>
      <c r="E12">
        <v>1996</v>
      </c>
      <c r="F12">
        <v>10</v>
      </c>
      <c r="G12">
        <v>1996</v>
      </c>
      <c r="H12">
        <v>10</v>
      </c>
      <c r="I12">
        <v>2100</v>
      </c>
      <c r="J12">
        <v>15</v>
      </c>
      <c r="K12">
        <v>2100</v>
      </c>
      <c r="L12">
        <v>15</v>
      </c>
      <c r="M12">
        <v>2100</v>
      </c>
    </row>
    <row r="13" spans="1:13" x14ac:dyDescent="0.25">
      <c r="A13" t="s">
        <v>291</v>
      </c>
      <c r="B13">
        <v>3000</v>
      </c>
      <c r="C13">
        <v>3000</v>
      </c>
      <c r="D13">
        <v>3000</v>
      </c>
      <c r="E13">
        <v>3000</v>
      </c>
      <c r="F13">
        <v>3000</v>
      </c>
      <c r="G13">
        <v>3000</v>
      </c>
      <c r="H13">
        <v>3000</v>
      </c>
      <c r="I13">
        <v>3000</v>
      </c>
      <c r="J13">
        <v>3000</v>
      </c>
      <c r="K13">
        <v>3000</v>
      </c>
      <c r="L13">
        <v>3000</v>
      </c>
      <c r="M13">
        <v>3000</v>
      </c>
    </row>
    <row r="14" spans="1:13" x14ac:dyDescent="0.25">
      <c r="A14" t="s">
        <v>292</v>
      </c>
      <c r="B14">
        <v>90</v>
      </c>
      <c r="C14">
        <v>125</v>
      </c>
      <c r="D14">
        <v>90</v>
      </c>
      <c r="E14">
        <v>125</v>
      </c>
      <c r="F14">
        <v>90</v>
      </c>
      <c r="G14">
        <v>125</v>
      </c>
      <c r="H14">
        <v>90</v>
      </c>
      <c r="I14">
        <v>125</v>
      </c>
      <c r="J14">
        <v>90</v>
      </c>
      <c r="K14">
        <v>150</v>
      </c>
      <c r="L14">
        <v>90</v>
      </c>
      <c r="M14">
        <v>150</v>
      </c>
    </row>
    <row r="15" spans="1:13" x14ac:dyDescent="0.25">
      <c r="A15" t="s">
        <v>293</v>
      </c>
      <c r="B15">
        <v>450</v>
      </c>
      <c r="C15">
        <v>450</v>
      </c>
      <c r="D15">
        <v>450</v>
      </c>
      <c r="E15">
        <v>450</v>
      </c>
      <c r="F15">
        <v>450</v>
      </c>
      <c r="G15">
        <v>450</v>
      </c>
      <c r="H15">
        <v>450</v>
      </c>
      <c r="I15">
        <v>450</v>
      </c>
      <c r="J15">
        <v>450</v>
      </c>
      <c r="K15">
        <v>450</v>
      </c>
      <c r="L15">
        <v>450</v>
      </c>
      <c r="M15">
        <v>450</v>
      </c>
    </row>
    <row r="16" spans="1:13" x14ac:dyDescent="0.25">
      <c r="A16" t="s">
        <v>294</v>
      </c>
      <c r="B16">
        <v>280</v>
      </c>
      <c r="C16">
        <v>400</v>
      </c>
      <c r="D16">
        <v>280</v>
      </c>
      <c r="E16">
        <v>400</v>
      </c>
      <c r="F16">
        <v>280</v>
      </c>
      <c r="G16">
        <v>400</v>
      </c>
      <c r="H16">
        <v>280</v>
      </c>
      <c r="I16">
        <v>410</v>
      </c>
      <c r="J16">
        <v>300</v>
      </c>
      <c r="K16">
        <v>410</v>
      </c>
      <c r="L16">
        <v>300</v>
      </c>
      <c r="M16">
        <v>410</v>
      </c>
    </row>
    <row r="17" spans="1:13" x14ac:dyDescent="0.25">
      <c r="A17" t="s">
        <v>295</v>
      </c>
      <c r="B17">
        <v>15</v>
      </c>
      <c r="C17">
        <v>100</v>
      </c>
      <c r="D17">
        <v>15</v>
      </c>
      <c r="E17">
        <v>100</v>
      </c>
      <c r="F17">
        <v>15</v>
      </c>
      <c r="G17">
        <v>100</v>
      </c>
      <c r="H17">
        <v>15</v>
      </c>
      <c r="I17">
        <v>100</v>
      </c>
      <c r="J17">
        <v>15</v>
      </c>
      <c r="K17">
        <v>100</v>
      </c>
      <c r="L17">
        <v>15</v>
      </c>
      <c r="M17">
        <v>100</v>
      </c>
    </row>
    <row r="18" spans="1:13" x14ac:dyDescent="0.25">
      <c r="A18" t="s">
        <v>296</v>
      </c>
      <c r="B18">
        <v>12</v>
      </c>
      <c r="C18">
        <v>165</v>
      </c>
      <c r="D18">
        <v>12</v>
      </c>
      <c r="E18">
        <v>165</v>
      </c>
      <c r="F18">
        <v>12</v>
      </c>
      <c r="G18">
        <v>165</v>
      </c>
      <c r="H18">
        <v>12</v>
      </c>
      <c r="I18">
        <v>180</v>
      </c>
      <c r="J18">
        <v>12</v>
      </c>
      <c r="K18">
        <v>180</v>
      </c>
      <c r="L18">
        <v>12</v>
      </c>
      <c r="M18">
        <v>180</v>
      </c>
    </row>
    <row r="19" spans="1:13" x14ac:dyDescent="0.25">
      <c r="A19" t="s">
        <v>297</v>
      </c>
      <c r="B19">
        <v>20</v>
      </c>
      <c r="C19">
        <v>19713</v>
      </c>
      <c r="D19">
        <v>20</v>
      </c>
      <c r="E19">
        <v>20241</v>
      </c>
      <c r="F19">
        <v>20</v>
      </c>
      <c r="G19">
        <v>20241</v>
      </c>
      <c r="H19">
        <v>20</v>
      </c>
      <c r="I19">
        <v>20241</v>
      </c>
      <c r="J19">
        <v>22</v>
      </c>
      <c r="K19">
        <v>20311</v>
      </c>
      <c r="L19">
        <v>22</v>
      </c>
      <c r="M19">
        <v>23790</v>
      </c>
    </row>
    <row r="20" spans="1:13" x14ac:dyDescent="0.25">
      <c r="A20" t="s">
        <v>298</v>
      </c>
      <c r="B20">
        <v>5</v>
      </c>
      <c r="C20">
        <v>2240</v>
      </c>
      <c r="D20">
        <v>5</v>
      </c>
      <c r="E20">
        <v>2240</v>
      </c>
      <c r="F20">
        <v>5</v>
      </c>
      <c r="G20">
        <v>2240</v>
      </c>
      <c r="H20">
        <v>5</v>
      </c>
      <c r="I20">
        <v>2240</v>
      </c>
      <c r="J20">
        <v>5</v>
      </c>
      <c r="K20">
        <v>2240</v>
      </c>
      <c r="L20">
        <v>5</v>
      </c>
      <c r="M20">
        <v>2240</v>
      </c>
    </row>
    <row r="21" spans="1:13" x14ac:dyDescent="0.25">
      <c r="A21" t="s">
        <v>299</v>
      </c>
      <c r="B21">
        <v>270</v>
      </c>
      <c r="C21">
        <v>270</v>
      </c>
      <c r="D21">
        <v>290</v>
      </c>
      <c r="E21">
        <v>290</v>
      </c>
      <c r="F21">
        <v>310</v>
      </c>
      <c r="G21">
        <v>310</v>
      </c>
      <c r="H21">
        <v>330</v>
      </c>
      <c r="I21">
        <v>330</v>
      </c>
      <c r="J21">
        <v>350</v>
      </c>
      <c r="K21">
        <v>350</v>
      </c>
      <c r="L21">
        <v>370</v>
      </c>
      <c r="M21">
        <v>370</v>
      </c>
    </row>
    <row r="22" spans="1:13" x14ac:dyDescent="0.25">
      <c r="A22" t="s">
        <v>300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</row>
    <row r="23" spans="1:13" x14ac:dyDescent="0.25">
      <c r="A23" t="s">
        <v>301</v>
      </c>
      <c r="B23">
        <v>380</v>
      </c>
      <c r="C23">
        <v>380</v>
      </c>
      <c r="D23">
        <v>380</v>
      </c>
      <c r="E23">
        <v>380</v>
      </c>
      <c r="F23">
        <v>380</v>
      </c>
      <c r="G23">
        <v>380</v>
      </c>
      <c r="H23">
        <v>380</v>
      </c>
      <c r="I23">
        <v>380</v>
      </c>
      <c r="J23">
        <v>380</v>
      </c>
      <c r="K23">
        <v>380</v>
      </c>
      <c r="L23">
        <v>380</v>
      </c>
      <c r="M23">
        <v>380</v>
      </c>
    </row>
    <row r="24" spans="1:13" x14ac:dyDescent="0.25">
      <c r="A24" t="s">
        <v>302</v>
      </c>
      <c r="B24">
        <v>270</v>
      </c>
      <c r="C24">
        <v>580</v>
      </c>
      <c r="D24">
        <v>270</v>
      </c>
      <c r="E24">
        <v>580</v>
      </c>
      <c r="F24">
        <v>282</v>
      </c>
      <c r="G24">
        <v>620</v>
      </c>
      <c r="H24">
        <v>282</v>
      </c>
      <c r="I24">
        <v>620</v>
      </c>
      <c r="J24">
        <v>306</v>
      </c>
      <c r="K24">
        <v>680</v>
      </c>
      <c r="L24">
        <v>306</v>
      </c>
      <c r="M24">
        <v>680</v>
      </c>
    </row>
    <row r="25" spans="1:13" x14ac:dyDescent="0.25">
      <c r="A25" t="s">
        <v>303</v>
      </c>
      <c r="B25">
        <v>10</v>
      </c>
      <c r="C25">
        <v>6120</v>
      </c>
      <c r="D25">
        <v>11</v>
      </c>
      <c r="E25">
        <v>6120</v>
      </c>
      <c r="F25">
        <v>12</v>
      </c>
      <c r="G25">
        <v>6120</v>
      </c>
      <c r="H25">
        <v>13</v>
      </c>
      <c r="I25">
        <v>6120</v>
      </c>
      <c r="J25">
        <v>14</v>
      </c>
      <c r="K25">
        <v>6120</v>
      </c>
      <c r="L25">
        <v>15</v>
      </c>
      <c r="M25">
        <v>6670</v>
      </c>
    </row>
    <row r="26" spans="1:13" x14ac:dyDescent="0.25">
      <c r="A26" t="s">
        <v>304</v>
      </c>
      <c r="B26">
        <v>330</v>
      </c>
      <c r="C26">
        <v>580</v>
      </c>
      <c r="D26">
        <v>330</v>
      </c>
      <c r="E26">
        <v>580</v>
      </c>
      <c r="F26">
        <v>330</v>
      </c>
      <c r="G26">
        <v>620</v>
      </c>
      <c r="H26">
        <v>336</v>
      </c>
      <c r="I26">
        <v>620</v>
      </c>
      <c r="J26">
        <v>336</v>
      </c>
      <c r="K26">
        <v>680</v>
      </c>
      <c r="L26">
        <v>336</v>
      </c>
      <c r="M26">
        <v>680</v>
      </c>
    </row>
    <row r="27" spans="1:13" x14ac:dyDescent="0.25">
      <c r="A27" t="s">
        <v>305</v>
      </c>
      <c r="B27">
        <v>200</v>
      </c>
      <c r="C27">
        <v>220</v>
      </c>
      <c r="D27">
        <v>200</v>
      </c>
      <c r="E27">
        <v>220</v>
      </c>
      <c r="F27">
        <v>200</v>
      </c>
      <c r="G27">
        <v>250</v>
      </c>
      <c r="H27">
        <v>200</v>
      </c>
      <c r="I27">
        <v>250</v>
      </c>
      <c r="J27">
        <v>200</v>
      </c>
      <c r="K27">
        <v>250</v>
      </c>
      <c r="L27">
        <v>200</v>
      </c>
      <c r="M27">
        <v>250</v>
      </c>
    </row>
    <row r="28" spans="1:13" x14ac:dyDescent="0.25">
      <c r="A28" t="s">
        <v>306</v>
      </c>
      <c r="B28">
        <v>15</v>
      </c>
      <c r="C28">
        <v>380</v>
      </c>
      <c r="D28">
        <v>16</v>
      </c>
      <c r="E28">
        <v>380</v>
      </c>
      <c r="F28">
        <v>17</v>
      </c>
      <c r="G28">
        <v>380</v>
      </c>
      <c r="H28">
        <v>17</v>
      </c>
      <c r="I28">
        <v>390</v>
      </c>
      <c r="J28">
        <v>17</v>
      </c>
      <c r="K28">
        <v>390</v>
      </c>
      <c r="L28">
        <v>17</v>
      </c>
      <c r="M28">
        <v>390</v>
      </c>
    </row>
    <row r="29" spans="1:13" x14ac:dyDescent="0.25">
      <c r="A29" t="s">
        <v>307</v>
      </c>
      <c r="B29">
        <v>45</v>
      </c>
      <c r="C29">
        <v>672</v>
      </c>
      <c r="D29">
        <v>45</v>
      </c>
      <c r="E29">
        <v>672</v>
      </c>
      <c r="F29">
        <v>45</v>
      </c>
      <c r="G29">
        <v>672</v>
      </c>
      <c r="H29">
        <v>45</v>
      </c>
      <c r="I29">
        <v>672</v>
      </c>
      <c r="J29">
        <v>45</v>
      </c>
      <c r="K29">
        <v>672</v>
      </c>
      <c r="L29">
        <v>45</v>
      </c>
      <c r="M29">
        <v>672</v>
      </c>
    </row>
    <row r="30" spans="1:13" x14ac:dyDescent="0.25">
      <c r="A30" t="s">
        <v>266</v>
      </c>
      <c r="B30">
        <v>5</v>
      </c>
      <c r="C30">
        <v>19713</v>
      </c>
      <c r="D30">
        <v>5</v>
      </c>
      <c r="E30">
        <v>20241</v>
      </c>
      <c r="F30">
        <v>5</v>
      </c>
      <c r="G30">
        <v>20241</v>
      </c>
      <c r="H30">
        <v>5</v>
      </c>
      <c r="I30">
        <v>20241</v>
      </c>
      <c r="J30">
        <v>5</v>
      </c>
      <c r="K30">
        <v>20311</v>
      </c>
      <c r="L30">
        <v>5</v>
      </c>
      <c r="M30">
        <v>23790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FF0000"/>
  </sheetPr>
  <dimension ref="A1:M21"/>
  <sheetViews>
    <sheetView workbookViewId="0"/>
  </sheetViews>
  <sheetFormatPr defaultRowHeight="15" x14ac:dyDescent="0.25"/>
  <cols>
    <col min="1" max="1" width="21.85546875" customWidth="1"/>
    <col min="2" max="2" width="12.42578125" customWidth="1"/>
    <col min="3" max="3" width="12.7109375" customWidth="1"/>
    <col min="5" max="5" width="12.42578125" customWidth="1"/>
    <col min="6" max="6" width="12.7109375" customWidth="1"/>
    <col min="7" max="7" width="12.42578125" customWidth="1"/>
    <col min="8" max="8" width="12.7109375" customWidth="1"/>
    <col min="10" max="10" width="12.42578125" customWidth="1"/>
    <col min="11" max="11" width="12.7109375" customWidth="1"/>
    <col min="12" max="12" width="12.42578125" customWidth="1"/>
    <col min="13" max="13" width="12.7109375" customWidth="1"/>
  </cols>
  <sheetData>
    <row r="1" spans="1:13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759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 t="s">
        <v>340</v>
      </c>
      <c r="C3" s="29"/>
      <c r="D3" s="29" t="s">
        <v>341</v>
      </c>
      <c r="E3" s="29"/>
      <c r="F3" s="29" t="s">
        <v>342</v>
      </c>
      <c r="G3" s="29"/>
      <c r="H3" s="29" t="s">
        <v>343</v>
      </c>
      <c r="I3" s="29"/>
      <c r="J3" s="29" t="s">
        <v>344</v>
      </c>
      <c r="K3" s="29"/>
      <c r="L3" s="29" t="s">
        <v>345</v>
      </c>
      <c r="M3" s="29"/>
    </row>
    <row r="4" spans="1:13" x14ac:dyDescent="0.25">
      <c r="A4" s="29"/>
      <c r="B4" t="s">
        <v>760</v>
      </c>
      <c r="C4" t="s">
        <v>761</v>
      </c>
      <c r="D4" t="s">
        <v>760</v>
      </c>
      <c r="E4" t="s">
        <v>761</v>
      </c>
      <c r="F4" t="s">
        <v>760</v>
      </c>
      <c r="G4" t="s">
        <v>761</v>
      </c>
      <c r="H4" t="s">
        <v>760</v>
      </c>
      <c r="I4" t="s">
        <v>761</v>
      </c>
      <c r="J4" t="s">
        <v>760</v>
      </c>
      <c r="K4" t="s">
        <v>761</v>
      </c>
      <c r="L4" t="s">
        <v>760</v>
      </c>
      <c r="M4" t="s">
        <v>761</v>
      </c>
    </row>
    <row r="5" spans="1:13" x14ac:dyDescent="0.25">
      <c r="A5" t="s">
        <v>283</v>
      </c>
      <c r="B5">
        <v>150</v>
      </c>
      <c r="C5">
        <v>980</v>
      </c>
      <c r="D5">
        <v>150</v>
      </c>
      <c r="E5">
        <v>980</v>
      </c>
      <c r="F5">
        <v>150</v>
      </c>
      <c r="G5">
        <v>980</v>
      </c>
      <c r="H5">
        <v>150</v>
      </c>
      <c r="I5">
        <v>1040</v>
      </c>
      <c r="J5">
        <v>150</v>
      </c>
      <c r="K5">
        <v>1040</v>
      </c>
      <c r="L5">
        <v>150</v>
      </c>
      <c r="M5">
        <v>1040</v>
      </c>
    </row>
    <row r="6" spans="1:13" x14ac:dyDescent="0.25">
      <c r="A6" t="s">
        <v>284</v>
      </c>
      <c r="B6">
        <v>200</v>
      </c>
      <c r="C6">
        <v>1050</v>
      </c>
      <c r="D6">
        <v>200</v>
      </c>
      <c r="E6">
        <v>1050</v>
      </c>
      <c r="F6">
        <v>200</v>
      </c>
      <c r="G6">
        <v>1050</v>
      </c>
      <c r="H6">
        <v>200</v>
      </c>
      <c r="I6">
        <v>1100</v>
      </c>
      <c r="J6">
        <v>200</v>
      </c>
      <c r="K6">
        <v>1200</v>
      </c>
      <c r="L6">
        <v>200</v>
      </c>
      <c r="M6">
        <v>1300</v>
      </c>
    </row>
    <row r="7" spans="1:13" x14ac:dyDescent="0.25">
      <c r="A7" t="s">
        <v>285</v>
      </c>
      <c r="B7">
        <v>100</v>
      </c>
      <c r="C7">
        <v>600</v>
      </c>
      <c r="D7">
        <v>100</v>
      </c>
      <c r="E7">
        <v>600</v>
      </c>
      <c r="F7">
        <v>100</v>
      </c>
      <c r="G7">
        <v>600</v>
      </c>
      <c r="H7">
        <v>100</v>
      </c>
      <c r="I7">
        <v>650</v>
      </c>
      <c r="J7">
        <v>100</v>
      </c>
      <c r="K7">
        <v>650</v>
      </c>
      <c r="L7">
        <v>100</v>
      </c>
      <c r="M7">
        <v>650</v>
      </c>
    </row>
    <row r="8" spans="1:13" x14ac:dyDescent="0.25">
      <c r="A8" t="s">
        <v>286</v>
      </c>
      <c r="B8">
        <v>280</v>
      </c>
      <c r="C8">
        <v>495</v>
      </c>
      <c r="D8">
        <v>260</v>
      </c>
      <c r="E8">
        <v>495</v>
      </c>
      <c r="F8">
        <v>280</v>
      </c>
      <c r="G8">
        <v>495</v>
      </c>
      <c r="H8">
        <v>325</v>
      </c>
      <c r="I8">
        <v>550</v>
      </c>
      <c r="J8">
        <v>325</v>
      </c>
      <c r="K8">
        <v>550</v>
      </c>
      <c r="L8">
        <v>325</v>
      </c>
      <c r="M8">
        <v>550</v>
      </c>
    </row>
    <row r="9" spans="1:13" x14ac:dyDescent="0.25">
      <c r="A9" t="s">
        <v>287</v>
      </c>
      <c r="B9">
        <v>100</v>
      </c>
      <c r="C9">
        <v>820</v>
      </c>
      <c r="D9">
        <v>100</v>
      </c>
      <c r="E9">
        <v>860</v>
      </c>
      <c r="F9">
        <v>100</v>
      </c>
      <c r="G9">
        <v>900</v>
      </c>
      <c r="H9">
        <v>150</v>
      </c>
      <c r="I9">
        <v>1054</v>
      </c>
      <c r="J9">
        <v>150</v>
      </c>
      <c r="K9">
        <v>1065</v>
      </c>
      <c r="L9">
        <v>150</v>
      </c>
      <c r="M9">
        <v>1285</v>
      </c>
    </row>
    <row r="10" spans="1:13" x14ac:dyDescent="0.25">
      <c r="A10" t="s">
        <v>288</v>
      </c>
      <c r="B10">
        <v>171</v>
      </c>
      <c r="C10">
        <v>215</v>
      </c>
      <c r="D10">
        <v>181</v>
      </c>
      <c r="E10">
        <v>225</v>
      </c>
      <c r="F10">
        <v>191</v>
      </c>
      <c r="G10">
        <v>250</v>
      </c>
      <c r="H10">
        <v>225</v>
      </c>
      <c r="I10">
        <v>300</v>
      </c>
      <c r="J10">
        <v>225</v>
      </c>
      <c r="K10">
        <v>350</v>
      </c>
      <c r="L10">
        <v>225</v>
      </c>
      <c r="M10">
        <v>350</v>
      </c>
    </row>
    <row r="11" spans="1:13" x14ac:dyDescent="0.25">
      <c r="A11" t="s">
        <v>289</v>
      </c>
      <c r="B11">
        <v>250</v>
      </c>
      <c r="C11">
        <v>460</v>
      </c>
      <c r="D11">
        <v>250</v>
      </c>
      <c r="E11">
        <v>460</v>
      </c>
      <c r="F11">
        <v>250</v>
      </c>
      <c r="G11">
        <v>500</v>
      </c>
      <c r="H11">
        <v>200</v>
      </c>
      <c r="I11">
        <v>500</v>
      </c>
      <c r="J11">
        <v>200</v>
      </c>
      <c r="K11">
        <v>550</v>
      </c>
      <c r="L11">
        <v>220</v>
      </c>
      <c r="M11">
        <v>550</v>
      </c>
    </row>
    <row r="12" spans="1:13" x14ac:dyDescent="0.25">
      <c r="A12" t="s">
        <v>290</v>
      </c>
      <c r="B12">
        <v>40</v>
      </c>
      <c r="C12">
        <v>1000</v>
      </c>
      <c r="D12">
        <v>40</v>
      </c>
      <c r="E12">
        <v>1000</v>
      </c>
      <c r="F12">
        <v>40</v>
      </c>
      <c r="G12">
        <v>1000</v>
      </c>
      <c r="H12">
        <v>45</v>
      </c>
      <c r="I12">
        <v>1100</v>
      </c>
      <c r="J12">
        <v>45</v>
      </c>
      <c r="K12">
        <v>1200</v>
      </c>
      <c r="L12">
        <v>45</v>
      </c>
      <c r="M12">
        <v>1300</v>
      </c>
    </row>
    <row r="13" spans="1:13" x14ac:dyDescent="0.25">
      <c r="A13" t="s">
        <v>293</v>
      </c>
      <c r="B13">
        <v>550</v>
      </c>
      <c r="C13">
        <v>550</v>
      </c>
      <c r="D13">
        <v>550</v>
      </c>
      <c r="E13">
        <v>550</v>
      </c>
      <c r="F13">
        <v>650</v>
      </c>
      <c r="G13">
        <v>650</v>
      </c>
      <c r="H13">
        <v>700</v>
      </c>
      <c r="I13">
        <v>700</v>
      </c>
      <c r="J13">
        <v>700</v>
      </c>
      <c r="K13">
        <v>700</v>
      </c>
      <c r="L13">
        <v>800</v>
      </c>
      <c r="M13">
        <v>800</v>
      </c>
    </row>
    <row r="14" spans="1:13" x14ac:dyDescent="0.25">
      <c r="A14" t="s">
        <v>294</v>
      </c>
      <c r="B14">
        <v>500</v>
      </c>
      <c r="C14">
        <v>500</v>
      </c>
      <c r="D14">
        <v>500</v>
      </c>
      <c r="E14">
        <v>500</v>
      </c>
      <c r="F14">
        <v>500</v>
      </c>
      <c r="G14">
        <v>500</v>
      </c>
      <c r="H14">
        <v>500</v>
      </c>
      <c r="I14">
        <v>500</v>
      </c>
      <c r="J14">
        <v>500</v>
      </c>
      <c r="K14">
        <v>500</v>
      </c>
      <c r="L14">
        <v>500</v>
      </c>
      <c r="M14">
        <v>500</v>
      </c>
    </row>
    <row r="15" spans="1:13" x14ac:dyDescent="0.25">
      <c r="A15" t="s">
        <v>297</v>
      </c>
      <c r="B15">
        <v>35</v>
      </c>
      <c r="C15">
        <v>24065</v>
      </c>
      <c r="D15">
        <v>40</v>
      </c>
      <c r="E15">
        <v>24065</v>
      </c>
      <c r="F15">
        <v>40</v>
      </c>
      <c r="G15">
        <v>24065</v>
      </c>
      <c r="H15">
        <v>40</v>
      </c>
      <c r="I15">
        <v>24065</v>
      </c>
      <c r="J15">
        <v>40</v>
      </c>
      <c r="K15">
        <v>25728</v>
      </c>
      <c r="L15">
        <v>40</v>
      </c>
      <c r="M15">
        <v>25728</v>
      </c>
    </row>
    <row r="16" spans="1:13" x14ac:dyDescent="0.25">
      <c r="A16" t="s">
        <v>298</v>
      </c>
      <c r="B16">
        <v>7</v>
      </c>
      <c r="C16">
        <v>2840</v>
      </c>
      <c r="D16">
        <v>7</v>
      </c>
      <c r="E16">
        <v>2840</v>
      </c>
      <c r="F16">
        <v>7</v>
      </c>
      <c r="G16">
        <v>4040</v>
      </c>
      <c r="H16">
        <v>7</v>
      </c>
      <c r="I16">
        <v>4040</v>
      </c>
      <c r="J16">
        <v>7</v>
      </c>
      <c r="K16">
        <v>4046</v>
      </c>
      <c r="L16">
        <v>7</v>
      </c>
      <c r="M16">
        <v>4040</v>
      </c>
    </row>
    <row r="17" spans="1:13" x14ac:dyDescent="0.25">
      <c r="A17" t="s">
        <v>302</v>
      </c>
      <c r="B17">
        <v>325</v>
      </c>
      <c r="C17">
        <v>860</v>
      </c>
      <c r="D17">
        <v>325</v>
      </c>
      <c r="E17">
        <v>860</v>
      </c>
      <c r="F17">
        <v>325</v>
      </c>
      <c r="G17">
        <v>860</v>
      </c>
      <c r="H17">
        <v>325</v>
      </c>
      <c r="I17">
        <v>860</v>
      </c>
      <c r="J17">
        <v>325</v>
      </c>
      <c r="K17">
        <v>860</v>
      </c>
      <c r="L17">
        <v>325</v>
      </c>
      <c r="M17">
        <v>950</v>
      </c>
    </row>
    <row r="18" spans="1:13" x14ac:dyDescent="0.25">
      <c r="A18" t="s">
        <v>303</v>
      </c>
      <c r="B18">
        <v>390</v>
      </c>
      <c r="C18">
        <v>1449</v>
      </c>
      <c r="D18">
        <v>390</v>
      </c>
      <c r="E18">
        <v>1518</v>
      </c>
      <c r="F18">
        <v>420</v>
      </c>
      <c r="G18">
        <v>1659</v>
      </c>
      <c r="H18">
        <v>410</v>
      </c>
      <c r="I18">
        <v>1725</v>
      </c>
      <c r="J18">
        <v>410</v>
      </c>
      <c r="K18">
        <v>1725</v>
      </c>
      <c r="L18">
        <v>490</v>
      </c>
      <c r="M18">
        <v>1794</v>
      </c>
    </row>
    <row r="19" spans="1:13" x14ac:dyDescent="0.25">
      <c r="A19" t="s">
        <v>306</v>
      </c>
      <c r="B19">
        <v>30</v>
      </c>
      <c r="C19">
        <v>480</v>
      </c>
      <c r="D19">
        <v>30</v>
      </c>
      <c r="E19">
        <v>480</v>
      </c>
      <c r="F19">
        <v>30</v>
      </c>
      <c r="G19">
        <v>500</v>
      </c>
      <c r="H19">
        <v>35</v>
      </c>
      <c r="I19">
        <v>500</v>
      </c>
      <c r="J19">
        <v>35</v>
      </c>
      <c r="K19">
        <v>520</v>
      </c>
      <c r="L19">
        <v>35</v>
      </c>
      <c r="M19">
        <v>520</v>
      </c>
    </row>
    <row r="20" spans="1:13" x14ac:dyDescent="0.25">
      <c r="A20" t="s">
        <v>307</v>
      </c>
      <c r="B20">
        <v>75</v>
      </c>
      <c r="C20">
        <v>75</v>
      </c>
      <c r="D20">
        <v>75</v>
      </c>
      <c r="E20">
        <v>75</v>
      </c>
      <c r="F20">
        <v>75</v>
      </c>
      <c r="G20">
        <v>75</v>
      </c>
      <c r="H20">
        <v>75</v>
      </c>
      <c r="I20">
        <v>75</v>
      </c>
      <c r="J20">
        <v>75</v>
      </c>
      <c r="K20">
        <v>75</v>
      </c>
      <c r="L20">
        <v>75</v>
      </c>
      <c r="M20">
        <v>75</v>
      </c>
    </row>
    <row r="21" spans="1:13" x14ac:dyDescent="0.25">
      <c r="A21" t="s">
        <v>266</v>
      </c>
      <c r="B21">
        <v>7</v>
      </c>
      <c r="C21">
        <v>24065</v>
      </c>
      <c r="D21">
        <v>7</v>
      </c>
      <c r="E21">
        <v>24065</v>
      </c>
      <c r="F21">
        <v>7</v>
      </c>
      <c r="G21">
        <v>24065</v>
      </c>
      <c r="H21">
        <v>7</v>
      </c>
      <c r="I21">
        <v>24065</v>
      </c>
      <c r="J21">
        <v>7</v>
      </c>
      <c r="K21">
        <v>25728</v>
      </c>
      <c r="L21">
        <v>7</v>
      </c>
      <c r="M21">
        <v>25728</v>
      </c>
    </row>
  </sheetData>
  <mergeCells count="9">
    <mergeCell ref="F3:G3"/>
    <mergeCell ref="L3:M3"/>
    <mergeCell ref="B2:M2"/>
    <mergeCell ref="J3:K3"/>
    <mergeCell ref="A1:M1"/>
    <mergeCell ref="A2:A4"/>
    <mergeCell ref="B3:C3"/>
    <mergeCell ref="D3:E3"/>
    <mergeCell ref="H3:I3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7030A0"/>
  </sheetPr>
  <dimension ref="A1:Z32"/>
  <sheetViews>
    <sheetView workbookViewId="0"/>
  </sheetViews>
  <sheetFormatPr defaultRowHeight="15" x14ac:dyDescent="0.25"/>
  <cols>
    <col min="1" max="1" width="18.85546875" customWidth="1"/>
    <col min="2" max="2" width="6.42578125" customWidth="1"/>
    <col min="3" max="3" width="6.7109375" customWidth="1"/>
    <col min="7" max="7" width="6.42578125" customWidth="1"/>
    <col min="8" max="8" width="6.7109375" customWidth="1"/>
    <col min="12" max="12" width="6.42578125" customWidth="1"/>
    <col min="13" max="13" width="6.7109375" customWidth="1"/>
    <col min="17" max="17" width="6.42578125" customWidth="1"/>
    <col min="18" max="18" width="6.7109375" customWidth="1"/>
    <col min="22" max="22" width="6.42578125" customWidth="1"/>
    <col min="23" max="23" width="6.7109375" customWidth="1"/>
    <col min="26" max="26" width="10.140625" customWidth="1"/>
  </cols>
  <sheetData>
    <row r="1" spans="1:26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29" t="s">
        <v>709</v>
      </c>
      <c r="B2" s="29" t="s">
        <v>762</v>
      </c>
      <c r="C2" s="29"/>
      <c r="D2" s="29"/>
      <c r="E2" s="29" t="s">
        <v>763</v>
      </c>
      <c r="F2" s="29"/>
      <c r="G2" s="29"/>
      <c r="H2" s="29" t="s">
        <v>764</v>
      </c>
      <c r="I2" s="29"/>
      <c r="J2" s="29"/>
      <c r="K2" s="29"/>
      <c r="L2" s="29"/>
      <c r="M2" s="29"/>
      <c r="N2" s="29"/>
      <c r="O2" s="29"/>
      <c r="P2" s="29"/>
      <c r="Q2" s="29" t="s">
        <v>765</v>
      </c>
      <c r="R2" s="29"/>
      <c r="S2" s="29"/>
      <c r="T2" s="29"/>
      <c r="U2" s="29"/>
      <c r="V2" s="29"/>
      <c r="W2" s="29"/>
      <c r="X2" s="29"/>
      <c r="Y2" s="29"/>
    </row>
    <row r="3" spans="1:26" x14ac:dyDescent="0.25">
      <c r="A3" s="29"/>
      <c r="B3" s="29"/>
      <c r="C3" s="29"/>
      <c r="D3" s="29"/>
      <c r="E3" s="29"/>
      <c r="F3" s="29"/>
      <c r="G3" s="29"/>
      <c r="H3" s="29" t="s">
        <v>263</v>
      </c>
      <c r="I3" s="29"/>
      <c r="J3" s="29"/>
      <c r="K3" s="29" t="s">
        <v>264</v>
      </c>
      <c r="L3" s="29"/>
      <c r="M3" s="29"/>
      <c r="N3" s="29" t="s">
        <v>618</v>
      </c>
      <c r="O3" s="29"/>
      <c r="P3" s="29"/>
      <c r="Q3" s="29" t="s">
        <v>263</v>
      </c>
      <c r="R3" s="29"/>
      <c r="S3" s="29"/>
      <c r="T3" s="29" t="s">
        <v>264</v>
      </c>
      <c r="U3" s="29"/>
      <c r="V3" s="29"/>
      <c r="W3" s="29" t="s">
        <v>618</v>
      </c>
      <c r="X3" s="29"/>
      <c r="Y3" s="29"/>
    </row>
    <row r="4" spans="1:26" x14ac:dyDescent="0.25">
      <c r="A4" s="29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652</v>
      </c>
      <c r="I4" t="s">
        <v>347</v>
      </c>
      <c r="J4" t="s">
        <v>348</v>
      </c>
      <c r="K4" t="s">
        <v>652</v>
      </c>
      <c r="L4" t="s">
        <v>347</v>
      </c>
      <c r="M4" t="s">
        <v>348</v>
      </c>
      <c r="N4" t="s">
        <v>652</v>
      </c>
      <c r="O4" t="s">
        <v>347</v>
      </c>
      <c r="P4" t="s">
        <v>348</v>
      </c>
      <c r="Q4" t="s">
        <v>652</v>
      </c>
      <c r="R4" t="s">
        <v>347</v>
      </c>
      <c r="S4" t="s">
        <v>348</v>
      </c>
      <c r="T4" t="s">
        <v>652</v>
      </c>
      <c r="U4" t="s">
        <v>347</v>
      </c>
      <c r="V4" t="s">
        <v>348</v>
      </c>
      <c r="W4" t="s">
        <v>652</v>
      </c>
      <c r="X4" t="s">
        <v>347</v>
      </c>
      <c r="Y4" t="s">
        <v>348</v>
      </c>
    </row>
    <row r="5" spans="1:26" x14ac:dyDescent="0.25">
      <c r="A5" t="s">
        <v>283</v>
      </c>
      <c r="B5">
        <v>15.1</v>
      </c>
      <c r="C5">
        <v>14.9</v>
      </c>
      <c r="D5">
        <v>15.3</v>
      </c>
      <c r="E5">
        <v>7.3</v>
      </c>
      <c r="F5">
        <v>7.5</v>
      </c>
      <c r="G5">
        <v>7.1</v>
      </c>
      <c r="H5">
        <v>11.5</v>
      </c>
      <c r="I5">
        <v>6.9</v>
      </c>
      <c r="J5">
        <v>3.8</v>
      </c>
      <c r="K5">
        <v>11.6</v>
      </c>
      <c r="L5">
        <v>7.4</v>
      </c>
      <c r="M5">
        <v>4</v>
      </c>
      <c r="N5">
        <v>11.3</v>
      </c>
      <c r="O5">
        <v>6.4</v>
      </c>
      <c r="P5">
        <v>3.6</v>
      </c>
      <c r="Q5">
        <v>9.8000000000000007</v>
      </c>
      <c r="R5">
        <v>4.8</v>
      </c>
      <c r="S5">
        <v>3</v>
      </c>
      <c r="T5">
        <v>10.199999999999999</v>
      </c>
      <c r="U5">
        <v>5.4</v>
      </c>
      <c r="V5">
        <v>3.3</v>
      </c>
      <c r="W5">
        <v>9.5</v>
      </c>
      <c r="X5">
        <v>4.3</v>
      </c>
      <c r="Y5">
        <v>2.7</v>
      </c>
    </row>
    <row r="6" spans="1:26" x14ac:dyDescent="0.25">
      <c r="A6" t="s">
        <v>284</v>
      </c>
      <c r="B6">
        <v>4.4000000000000004</v>
      </c>
      <c r="C6">
        <v>4.2</v>
      </c>
      <c r="D6">
        <v>4.7</v>
      </c>
      <c r="E6">
        <v>3.1</v>
      </c>
      <c r="F6">
        <v>3</v>
      </c>
      <c r="G6">
        <v>3.1</v>
      </c>
      <c r="H6">
        <v>3.4</v>
      </c>
      <c r="I6">
        <v>2.9</v>
      </c>
      <c r="J6">
        <v>2.8</v>
      </c>
      <c r="K6">
        <v>3.3</v>
      </c>
      <c r="L6">
        <v>3</v>
      </c>
      <c r="M6">
        <v>3.1</v>
      </c>
      <c r="N6">
        <v>3.6</v>
      </c>
      <c r="O6">
        <v>2.7</v>
      </c>
      <c r="P6">
        <v>2.5</v>
      </c>
      <c r="Q6">
        <v>3.1</v>
      </c>
      <c r="R6">
        <v>2.2000000000000002</v>
      </c>
      <c r="S6">
        <v>2.1</v>
      </c>
      <c r="T6">
        <v>3</v>
      </c>
      <c r="U6">
        <v>2.4</v>
      </c>
      <c r="V6">
        <v>2.4</v>
      </c>
      <c r="W6">
        <v>3.2</v>
      </c>
      <c r="X6">
        <v>2</v>
      </c>
      <c r="Y6">
        <v>1.8</v>
      </c>
    </row>
    <row r="7" spans="1:26" x14ac:dyDescent="0.25">
      <c r="A7" t="s">
        <v>285</v>
      </c>
      <c r="B7">
        <v>2.6</v>
      </c>
      <c r="C7">
        <v>2.6</v>
      </c>
      <c r="D7">
        <v>2.6</v>
      </c>
      <c r="E7">
        <v>1</v>
      </c>
      <c r="F7">
        <v>1.1000000000000001</v>
      </c>
      <c r="G7">
        <v>1</v>
      </c>
      <c r="H7">
        <v>2.1</v>
      </c>
      <c r="I7">
        <v>1.3</v>
      </c>
      <c r="J7">
        <v>0.7</v>
      </c>
      <c r="K7">
        <v>2.2000000000000002</v>
      </c>
      <c r="L7">
        <v>1.3</v>
      </c>
      <c r="M7">
        <v>0.6</v>
      </c>
      <c r="N7">
        <v>2</v>
      </c>
      <c r="O7">
        <v>1.2</v>
      </c>
      <c r="P7">
        <v>0.7</v>
      </c>
      <c r="Q7">
        <v>1.6</v>
      </c>
      <c r="R7">
        <v>1.1000000000000001</v>
      </c>
      <c r="S7">
        <v>0.6</v>
      </c>
      <c r="T7">
        <v>1.7</v>
      </c>
      <c r="U7">
        <v>1.2</v>
      </c>
      <c r="V7">
        <v>0.5</v>
      </c>
      <c r="W7">
        <v>1.6</v>
      </c>
      <c r="X7">
        <v>1.1000000000000001</v>
      </c>
      <c r="Y7">
        <v>0.6</v>
      </c>
    </row>
    <row r="8" spans="1:26" x14ac:dyDescent="0.25">
      <c r="A8" t="s">
        <v>286</v>
      </c>
      <c r="B8">
        <v>4</v>
      </c>
      <c r="C8">
        <v>3.5</v>
      </c>
      <c r="D8">
        <v>4.5</v>
      </c>
      <c r="E8">
        <v>3.1</v>
      </c>
      <c r="F8">
        <v>2.9</v>
      </c>
      <c r="G8">
        <v>3.4</v>
      </c>
      <c r="H8">
        <v>3.1</v>
      </c>
      <c r="I8">
        <v>1.9</v>
      </c>
      <c r="J8">
        <v>1.1000000000000001</v>
      </c>
      <c r="K8">
        <v>2.8</v>
      </c>
      <c r="L8">
        <v>1.5</v>
      </c>
      <c r="M8">
        <v>0.7</v>
      </c>
      <c r="N8">
        <v>3.3</v>
      </c>
      <c r="O8">
        <v>2.2999999999999998</v>
      </c>
      <c r="P8">
        <v>1.4</v>
      </c>
      <c r="Q8">
        <v>2.9</v>
      </c>
      <c r="R8">
        <v>1.5</v>
      </c>
      <c r="S8">
        <v>0.9</v>
      </c>
      <c r="T8">
        <v>2.7</v>
      </c>
      <c r="U8">
        <v>1.2</v>
      </c>
      <c r="V8">
        <v>0.6</v>
      </c>
      <c r="W8">
        <v>3.2</v>
      </c>
      <c r="X8">
        <v>1.9</v>
      </c>
      <c r="Y8">
        <v>1.1000000000000001</v>
      </c>
    </row>
    <row r="9" spans="1:26" x14ac:dyDescent="0.25">
      <c r="A9" t="s">
        <v>287</v>
      </c>
      <c r="B9">
        <v>6.8</v>
      </c>
      <c r="C9">
        <v>6.7</v>
      </c>
      <c r="D9">
        <v>7</v>
      </c>
      <c r="E9">
        <v>5</v>
      </c>
      <c r="F9">
        <v>4.8</v>
      </c>
      <c r="G9">
        <v>5.2</v>
      </c>
      <c r="H9">
        <v>4.4000000000000004</v>
      </c>
      <c r="I9">
        <v>1.2</v>
      </c>
      <c r="J9">
        <v>0.4</v>
      </c>
      <c r="K9">
        <v>4.3</v>
      </c>
      <c r="L9">
        <v>1.2</v>
      </c>
      <c r="M9">
        <v>0.4</v>
      </c>
      <c r="N9">
        <v>4.5</v>
      </c>
      <c r="O9">
        <v>1.2</v>
      </c>
      <c r="P9">
        <v>0.4</v>
      </c>
      <c r="Q9">
        <v>3.9</v>
      </c>
      <c r="R9">
        <v>0.9</v>
      </c>
      <c r="S9">
        <v>0.3</v>
      </c>
      <c r="T9">
        <v>3.8</v>
      </c>
      <c r="U9">
        <v>0.9</v>
      </c>
      <c r="V9">
        <v>0.3</v>
      </c>
      <c r="W9">
        <v>3.9</v>
      </c>
      <c r="X9">
        <v>0.9</v>
      </c>
      <c r="Y9">
        <v>0.3</v>
      </c>
    </row>
    <row r="10" spans="1:26" x14ac:dyDescent="0.25">
      <c r="A10" t="s">
        <v>288</v>
      </c>
      <c r="B10">
        <v>6.2</v>
      </c>
      <c r="C10">
        <v>6.1</v>
      </c>
      <c r="D10">
        <v>6.2</v>
      </c>
      <c r="E10">
        <v>5.5</v>
      </c>
      <c r="F10">
        <v>5.6</v>
      </c>
      <c r="G10">
        <v>5.4</v>
      </c>
      <c r="H10">
        <v>3.6</v>
      </c>
      <c r="I10">
        <v>1.2</v>
      </c>
      <c r="J10">
        <v>0.5</v>
      </c>
      <c r="K10">
        <v>3.6</v>
      </c>
      <c r="L10">
        <v>1.3</v>
      </c>
      <c r="M10">
        <v>0.5</v>
      </c>
      <c r="N10">
        <v>3.7</v>
      </c>
      <c r="O10">
        <v>1.2</v>
      </c>
      <c r="P10">
        <v>0.6</v>
      </c>
      <c r="Q10">
        <v>3.4</v>
      </c>
      <c r="R10">
        <v>1</v>
      </c>
      <c r="S10">
        <v>0.4</v>
      </c>
      <c r="T10">
        <v>3.4</v>
      </c>
      <c r="U10">
        <v>1.1000000000000001</v>
      </c>
      <c r="V10">
        <v>0.3</v>
      </c>
      <c r="W10">
        <v>3.5</v>
      </c>
      <c r="X10">
        <v>0.9</v>
      </c>
      <c r="Y10">
        <v>0.4</v>
      </c>
    </row>
    <row r="11" spans="1:26" x14ac:dyDescent="0.25">
      <c r="A11" t="s">
        <v>289</v>
      </c>
      <c r="B11">
        <v>11</v>
      </c>
      <c r="C11">
        <v>11.9</v>
      </c>
      <c r="D11">
        <v>10.199999999999999</v>
      </c>
      <c r="E11">
        <v>4.0999999999999996</v>
      </c>
      <c r="F11">
        <v>4.4000000000000004</v>
      </c>
      <c r="G11">
        <v>3.9</v>
      </c>
      <c r="H11">
        <v>7.3</v>
      </c>
      <c r="I11">
        <v>4</v>
      </c>
      <c r="J11">
        <v>3</v>
      </c>
      <c r="K11">
        <v>7.9</v>
      </c>
      <c r="L11">
        <v>4</v>
      </c>
      <c r="M11">
        <v>3.3</v>
      </c>
      <c r="N11">
        <v>6.7</v>
      </c>
      <c r="O11">
        <v>3.9</v>
      </c>
      <c r="P11">
        <v>2.8</v>
      </c>
      <c r="Q11">
        <v>4.0999999999999996</v>
      </c>
      <c r="R11">
        <v>2.4</v>
      </c>
      <c r="S11">
        <v>2.1</v>
      </c>
      <c r="T11">
        <v>4.5999999999999996</v>
      </c>
      <c r="U11">
        <v>2.6</v>
      </c>
      <c r="V11">
        <v>2.4</v>
      </c>
      <c r="W11">
        <v>3.6</v>
      </c>
      <c r="X11">
        <v>2.2000000000000002</v>
      </c>
      <c r="Y11">
        <v>1.9</v>
      </c>
    </row>
    <row r="12" spans="1:26" x14ac:dyDescent="0.25">
      <c r="A12" t="s">
        <v>290</v>
      </c>
      <c r="B12">
        <v>7.2</v>
      </c>
      <c r="C12">
        <v>7.4</v>
      </c>
      <c r="D12">
        <v>7</v>
      </c>
      <c r="E12">
        <v>4.4000000000000004</v>
      </c>
      <c r="F12">
        <v>4.5</v>
      </c>
      <c r="G12">
        <v>4.3</v>
      </c>
      <c r="H12">
        <v>5.3</v>
      </c>
      <c r="I12">
        <v>3.1</v>
      </c>
      <c r="J12">
        <v>2.2000000000000002</v>
      </c>
      <c r="K12">
        <v>5.5</v>
      </c>
      <c r="L12">
        <v>2.9</v>
      </c>
      <c r="M12">
        <v>2.1</v>
      </c>
      <c r="N12">
        <v>5.0999999999999996</v>
      </c>
      <c r="O12">
        <v>3.3</v>
      </c>
      <c r="P12">
        <v>2.2999999999999998</v>
      </c>
      <c r="Q12">
        <v>4.3</v>
      </c>
      <c r="R12">
        <v>2.5</v>
      </c>
      <c r="S12">
        <v>1.8</v>
      </c>
      <c r="T12">
        <v>4.4000000000000004</v>
      </c>
      <c r="U12">
        <v>2.2999999999999998</v>
      </c>
      <c r="V12">
        <v>1.8</v>
      </c>
      <c r="W12">
        <v>4.0999999999999996</v>
      </c>
      <c r="X12">
        <v>2.6</v>
      </c>
      <c r="Y12">
        <v>1.9</v>
      </c>
    </row>
    <row r="13" spans="1:26" x14ac:dyDescent="0.25">
      <c r="A13" t="s">
        <v>291</v>
      </c>
      <c r="B13">
        <v>24.4</v>
      </c>
      <c r="C13">
        <v>27.5</v>
      </c>
      <c r="D13">
        <v>21.5</v>
      </c>
      <c r="E13">
        <v>0</v>
      </c>
      <c r="F13">
        <v>0</v>
      </c>
      <c r="G13">
        <v>0</v>
      </c>
      <c r="H13">
        <v>9.9</v>
      </c>
      <c r="I13">
        <v>0</v>
      </c>
      <c r="J13">
        <v>0</v>
      </c>
      <c r="K13">
        <v>11.6</v>
      </c>
      <c r="L13">
        <v>0</v>
      </c>
      <c r="M13">
        <v>0</v>
      </c>
      <c r="N13">
        <v>8.3000000000000007</v>
      </c>
      <c r="O13">
        <v>0</v>
      </c>
      <c r="P13">
        <v>0</v>
      </c>
      <c r="Q13">
        <v>0.2</v>
      </c>
      <c r="R13">
        <v>0</v>
      </c>
      <c r="S13">
        <v>0</v>
      </c>
      <c r="T13">
        <v>1</v>
      </c>
      <c r="U13">
        <v>0</v>
      </c>
      <c r="V13">
        <v>0</v>
      </c>
      <c r="W13">
        <v>-0.7</v>
      </c>
      <c r="X13">
        <v>0</v>
      </c>
      <c r="Y13">
        <v>0</v>
      </c>
    </row>
    <row r="14" spans="1:26" x14ac:dyDescent="0.25">
      <c r="A14" t="s">
        <v>292</v>
      </c>
      <c r="B14">
        <v>16.5</v>
      </c>
      <c r="C14">
        <v>17.8</v>
      </c>
      <c r="D14">
        <v>15.4</v>
      </c>
      <c r="E14">
        <v>6.8</v>
      </c>
      <c r="F14">
        <v>7.7</v>
      </c>
      <c r="G14">
        <v>5.9</v>
      </c>
      <c r="H14">
        <v>10.8</v>
      </c>
      <c r="I14">
        <v>1.9</v>
      </c>
      <c r="J14">
        <v>0</v>
      </c>
      <c r="K14">
        <v>11.9</v>
      </c>
      <c r="L14">
        <v>2.1</v>
      </c>
      <c r="M14">
        <v>0</v>
      </c>
      <c r="N14">
        <v>9.9</v>
      </c>
      <c r="O14">
        <v>1.8</v>
      </c>
      <c r="P14">
        <v>0</v>
      </c>
      <c r="Q14">
        <v>9</v>
      </c>
      <c r="R14">
        <v>1.3</v>
      </c>
      <c r="S14">
        <v>0</v>
      </c>
      <c r="T14">
        <v>10.199999999999999</v>
      </c>
      <c r="U14">
        <v>1.6</v>
      </c>
      <c r="V14">
        <v>0</v>
      </c>
      <c r="W14">
        <v>8</v>
      </c>
      <c r="X14">
        <v>1</v>
      </c>
      <c r="Y14">
        <v>0</v>
      </c>
    </row>
    <row r="15" spans="1:26" x14ac:dyDescent="0.25">
      <c r="A15" t="s">
        <v>293</v>
      </c>
      <c r="B15">
        <v>6.8</v>
      </c>
      <c r="C15">
        <v>8.6999999999999993</v>
      </c>
      <c r="D15">
        <v>5.0999999999999996</v>
      </c>
      <c r="E15">
        <v>0.7</v>
      </c>
      <c r="F15">
        <v>0.6</v>
      </c>
      <c r="G15">
        <v>0.7</v>
      </c>
      <c r="H15">
        <v>2</v>
      </c>
      <c r="I15">
        <v>0.2</v>
      </c>
      <c r="J15">
        <v>0.2</v>
      </c>
      <c r="K15">
        <v>2.5</v>
      </c>
      <c r="L15">
        <v>0.2</v>
      </c>
      <c r="M15">
        <v>0.3</v>
      </c>
      <c r="N15">
        <v>1.6</v>
      </c>
      <c r="O15">
        <v>0.2</v>
      </c>
      <c r="P15">
        <v>0.2</v>
      </c>
      <c r="Q15">
        <v>0.6</v>
      </c>
      <c r="R15">
        <v>0.1</v>
      </c>
      <c r="S15">
        <v>0.2</v>
      </c>
      <c r="T15">
        <v>0.7</v>
      </c>
      <c r="U15">
        <v>0.2</v>
      </c>
      <c r="V15">
        <v>0.2</v>
      </c>
      <c r="W15">
        <v>0.5</v>
      </c>
      <c r="X15">
        <v>0.1</v>
      </c>
      <c r="Y15">
        <v>0.2</v>
      </c>
    </row>
    <row r="16" spans="1:26" x14ac:dyDescent="0.25">
      <c r="A16" t="s">
        <v>294</v>
      </c>
      <c r="B16">
        <v>4.8</v>
      </c>
      <c r="C16">
        <v>4.8</v>
      </c>
      <c r="D16">
        <v>4.8</v>
      </c>
      <c r="E16">
        <v>2.9</v>
      </c>
      <c r="F16">
        <v>3</v>
      </c>
      <c r="G16">
        <v>2.8</v>
      </c>
      <c r="H16">
        <v>2.8</v>
      </c>
      <c r="I16">
        <v>1.7</v>
      </c>
      <c r="J16">
        <v>0.8</v>
      </c>
      <c r="K16">
        <v>2.7</v>
      </c>
      <c r="L16">
        <v>1.4</v>
      </c>
      <c r="M16">
        <v>0.8</v>
      </c>
      <c r="N16">
        <v>2.8</v>
      </c>
      <c r="O16">
        <v>1.9</v>
      </c>
      <c r="P16">
        <v>0.8</v>
      </c>
      <c r="Q16">
        <v>2.7</v>
      </c>
      <c r="R16">
        <v>1.2</v>
      </c>
      <c r="S16">
        <v>0.6</v>
      </c>
      <c r="T16">
        <v>2.6</v>
      </c>
      <c r="U16">
        <v>1</v>
      </c>
      <c r="V16">
        <v>0.7</v>
      </c>
      <c r="W16">
        <v>2.7</v>
      </c>
      <c r="X16">
        <v>1.5</v>
      </c>
      <c r="Y16">
        <v>0.5</v>
      </c>
    </row>
    <row r="17" spans="1:25" x14ac:dyDescent="0.25">
      <c r="A17" t="s">
        <v>295</v>
      </c>
      <c r="B17">
        <v>7.6</v>
      </c>
      <c r="C17">
        <v>7.7</v>
      </c>
      <c r="D17">
        <v>7.5</v>
      </c>
      <c r="E17">
        <v>6.6</v>
      </c>
      <c r="F17">
        <v>6.7</v>
      </c>
      <c r="G17">
        <v>6.5</v>
      </c>
      <c r="H17">
        <v>5.2</v>
      </c>
      <c r="I17">
        <v>0</v>
      </c>
      <c r="J17">
        <v>0</v>
      </c>
      <c r="K17">
        <v>5.0999999999999996</v>
      </c>
      <c r="L17">
        <v>0</v>
      </c>
      <c r="M17">
        <v>0</v>
      </c>
      <c r="N17">
        <v>5.3</v>
      </c>
      <c r="O17">
        <v>0</v>
      </c>
      <c r="P17">
        <v>0</v>
      </c>
      <c r="Q17">
        <v>4.8</v>
      </c>
      <c r="R17">
        <v>0</v>
      </c>
      <c r="S17">
        <v>0</v>
      </c>
      <c r="T17">
        <v>4.7</v>
      </c>
      <c r="U17">
        <v>0</v>
      </c>
      <c r="V17">
        <v>0</v>
      </c>
      <c r="W17">
        <v>4.9000000000000004</v>
      </c>
      <c r="X17">
        <v>0</v>
      </c>
      <c r="Y17">
        <v>0</v>
      </c>
    </row>
    <row r="18" spans="1:25" x14ac:dyDescent="0.25">
      <c r="A18" t="s">
        <v>296</v>
      </c>
      <c r="B18">
        <v>21.4</v>
      </c>
      <c r="C18">
        <v>22.6</v>
      </c>
      <c r="D18">
        <v>20.3</v>
      </c>
      <c r="E18">
        <v>13.7</v>
      </c>
      <c r="F18">
        <v>15.1</v>
      </c>
      <c r="G18">
        <v>12.4</v>
      </c>
      <c r="H18">
        <v>14</v>
      </c>
      <c r="I18">
        <v>0</v>
      </c>
      <c r="J18">
        <v>0</v>
      </c>
      <c r="K18">
        <v>14.7</v>
      </c>
      <c r="L18">
        <v>0</v>
      </c>
      <c r="M18">
        <v>0</v>
      </c>
      <c r="N18">
        <v>13.3</v>
      </c>
      <c r="O18">
        <v>0</v>
      </c>
      <c r="P18">
        <v>0</v>
      </c>
      <c r="Q18">
        <v>12.6</v>
      </c>
      <c r="R18">
        <v>0</v>
      </c>
      <c r="S18">
        <v>0</v>
      </c>
      <c r="T18">
        <v>13.2</v>
      </c>
      <c r="U18">
        <v>0</v>
      </c>
      <c r="V18">
        <v>0</v>
      </c>
      <c r="W18">
        <v>12.1</v>
      </c>
      <c r="X18">
        <v>0</v>
      </c>
      <c r="Y18">
        <v>0</v>
      </c>
    </row>
    <row r="19" spans="1:25" x14ac:dyDescent="0.25">
      <c r="A19" t="s">
        <v>297</v>
      </c>
      <c r="B19">
        <v>29.3</v>
      </c>
      <c r="C19">
        <v>28.7</v>
      </c>
      <c r="D19">
        <v>29.9</v>
      </c>
      <c r="E19">
        <v>22</v>
      </c>
      <c r="F19">
        <v>21.6</v>
      </c>
      <c r="G19">
        <v>22.5</v>
      </c>
      <c r="H19">
        <v>23.7</v>
      </c>
      <c r="I19">
        <v>14.4</v>
      </c>
      <c r="J19">
        <v>10.4</v>
      </c>
      <c r="K19">
        <v>24</v>
      </c>
      <c r="L19">
        <v>15.1</v>
      </c>
      <c r="M19">
        <v>10.9</v>
      </c>
      <c r="N19">
        <v>23.5</v>
      </c>
      <c r="O19">
        <v>13.7</v>
      </c>
      <c r="P19">
        <v>9.9</v>
      </c>
      <c r="Q19">
        <v>22.1</v>
      </c>
      <c r="R19">
        <v>11.9</v>
      </c>
      <c r="S19">
        <v>8.9</v>
      </c>
      <c r="T19">
        <v>22.6</v>
      </c>
      <c r="U19">
        <v>12.6</v>
      </c>
      <c r="V19">
        <v>9.5</v>
      </c>
      <c r="W19">
        <v>21.7</v>
      </c>
      <c r="X19">
        <v>11.3</v>
      </c>
      <c r="Y19">
        <v>8.4</v>
      </c>
    </row>
    <row r="20" spans="1:25" x14ac:dyDescent="0.25">
      <c r="A20" t="s">
        <v>298</v>
      </c>
      <c r="B20">
        <v>19.3</v>
      </c>
      <c r="C20">
        <v>20.8</v>
      </c>
      <c r="D20">
        <v>18.100000000000001</v>
      </c>
      <c r="E20">
        <v>6.7</v>
      </c>
      <c r="F20">
        <v>7.8</v>
      </c>
      <c r="G20">
        <v>5.8</v>
      </c>
      <c r="H20">
        <v>13.3</v>
      </c>
      <c r="I20">
        <v>5.7</v>
      </c>
      <c r="J20">
        <v>4.2</v>
      </c>
      <c r="K20">
        <v>14.3</v>
      </c>
      <c r="L20">
        <v>5.9</v>
      </c>
      <c r="M20">
        <v>4.3</v>
      </c>
      <c r="N20">
        <v>12.4</v>
      </c>
      <c r="O20">
        <v>5.6</v>
      </c>
      <c r="P20">
        <v>4.2</v>
      </c>
      <c r="Q20">
        <v>10.8</v>
      </c>
      <c r="R20">
        <v>4.5</v>
      </c>
      <c r="S20">
        <v>3.1</v>
      </c>
      <c r="T20">
        <v>11.9</v>
      </c>
      <c r="U20">
        <v>4.5999999999999996</v>
      </c>
      <c r="V20">
        <v>3.4</v>
      </c>
      <c r="W20">
        <v>9.9</v>
      </c>
      <c r="X20">
        <v>4.4000000000000004</v>
      </c>
      <c r="Y20">
        <v>2.9</v>
      </c>
    </row>
    <row r="21" spans="1:25" x14ac:dyDescent="0.25">
      <c r="A21" t="s">
        <v>299</v>
      </c>
      <c r="B21">
        <v>1.1000000000000001</v>
      </c>
      <c r="C21">
        <v>1</v>
      </c>
      <c r="D21">
        <v>1.3</v>
      </c>
      <c r="E21">
        <v>1.1000000000000001</v>
      </c>
      <c r="F21">
        <v>0.9</v>
      </c>
      <c r="G21">
        <v>1.2</v>
      </c>
      <c r="H21">
        <v>0.4</v>
      </c>
      <c r="I21">
        <v>0</v>
      </c>
      <c r="J21">
        <v>0</v>
      </c>
      <c r="K21">
        <v>0.4</v>
      </c>
      <c r="L21">
        <v>0</v>
      </c>
      <c r="M21">
        <v>0</v>
      </c>
      <c r="N21">
        <v>0.4</v>
      </c>
      <c r="O21">
        <v>0</v>
      </c>
      <c r="P21">
        <v>0</v>
      </c>
      <c r="Q21">
        <v>0.4</v>
      </c>
      <c r="R21">
        <v>0</v>
      </c>
      <c r="S21">
        <v>0</v>
      </c>
      <c r="T21">
        <v>0.4</v>
      </c>
      <c r="U21">
        <v>0</v>
      </c>
      <c r="V21">
        <v>0</v>
      </c>
      <c r="W21">
        <v>0.4</v>
      </c>
      <c r="X21">
        <v>0</v>
      </c>
      <c r="Y21">
        <v>0</v>
      </c>
    </row>
    <row r="22" spans="1:25" x14ac:dyDescent="0.25">
      <c r="A22" t="s">
        <v>300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</v>
      </c>
      <c r="I22">
        <v>0</v>
      </c>
      <c r="J22">
        <v>0.2</v>
      </c>
      <c r="K22">
        <v>0</v>
      </c>
      <c r="L22">
        <v>0</v>
      </c>
      <c r="M22">
        <v>0.3</v>
      </c>
      <c r="N22">
        <v>0</v>
      </c>
      <c r="O22">
        <v>0</v>
      </c>
      <c r="P22">
        <v>0.1</v>
      </c>
      <c r="Q22">
        <v>0</v>
      </c>
      <c r="R22">
        <v>0</v>
      </c>
      <c r="S22">
        <v>0.2</v>
      </c>
      <c r="T22">
        <v>0</v>
      </c>
      <c r="U22">
        <v>0</v>
      </c>
      <c r="V22">
        <v>0.2</v>
      </c>
      <c r="W22">
        <v>0</v>
      </c>
      <c r="X22">
        <v>0</v>
      </c>
      <c r="Y22">
        <v>0.1</v>
      </c>
    </row>
    <row r="23" spans="1:25" x14ac:dyDescent="0.25">
      <c r="A23" t="s">
        <v>301</v>
      </c>
      <c r="B23">
        <v>0.7</v>
      </c>
      <c r="C23">
        <v>0.8</v>
      </c>
      <c r="D23">
        <v>0.6</v>
      </c>
      <c r="E23">
        <v>0.7</v>
      </c>
      <c r="F23">
        <v>0.8</v>
      </c>
      <c r="G23">
        <v>0.5</v>
      </c>
      <c r="H23">
        <v>0.3</v>
      </c>
      <c r="I23">
        <v>0</v>
      </c>
      <c r="J23">
        <v>0</v>
      </c>
      <c r="K23">
        <v>0.3</v>
      </c>
      <c r="L23">
        <v>0</v>
      </c>
      <c r="M23">
        <v>0</v>
      </c>
      <c r="N23">
        <v>0.2</v>
      </c>
      <c r="O23">
        <v>0</v>
      </c>
      <c r="P23">
        <v>0</v>
      </c>
      <c r="Q23">
        <v>0.3</v>
      </c>
      <c r="R23">
        <v>0</v>
      </c>
      <c r="S23">
        <v>0</v>
      </c>
      <c r="T23">
        <v>0.3</v>
      </c>
      <c r="U23">
        <v>0</v>
      </c>
      <c r="V23">
        <v>0</v>
      </c>
      <c r="W23">
        <v>0.2</v>
      </c>
      <c r="X23">
        <v>0</v>
      </c>
      <c r="Y23">
        <v>0</v>
      </c>
    </row>
    <row r="24" spans="1:25" x14ac:dyDescent="0.25">
      <c r="A24" t="s">
        <v>302</v>
      </c>
      <c r="B24">
        <v>7.7</v>
      </c>
      <c r="C24">
        <v>6.7</v>
      </c>
      <c r="D24">
        <v>8.5</v>
      </c>
      <c r="E24">
        <v>5.9</v>
      </c>
      <c r="F24">
        <v>5.4</v>
      </c>
      <c r="G24">
        <v>6.3</v>
      </c>
      <c r="H24">
        <v>4.4000000000000004</v>
      </c>
      <c r="I24">
        <v>2.2000000000000002</v>
      </c>
      <c r="J24">
        <v>1.6</v>
      </c>
      <c r="K24">
        <v>4.5</v>
      </c>
      <c r="L24">
        <v>2.1</v>
      </c>
      <c r="M24">
        <v>1.5</v>
      </c>
      <c r="N24">
        <v>4.4000000000000004</v>
      </c>
      <c r="O24">
        <v>2.2999999999999998</v>
      </c>
      <c r="P24">
        <v>1.8</v>
      </c>
      <c r="Q24">
        <v>4.3</v>
      </c>
      <c r="R24">
        <v>2</v>
      </c>
      <c r="S24">
        <v>1.3</v>
      </c>
      <c r="T24">
        <v>4.3</v>
      </c>
      <c r="U24">
        <v>1.9</v>
      </c>
      <c r="V24">
        <v>1.2</v>
      </c>
      <c r="W24">
        <v>4.2</v>
      </c>
      <c r="X24">
        <v>2</v>
      </c>
      <c r="Y24">
        <v>1.4</v>
      </c>
    </row>
    <row r="25" spans="1:25" x14ac:dyDescent="0.25">
      <c r="A25" t="s">
        <v>303</v>
      </c>
      <c r="B25">
        <v>6.8</v>
      </c>
      <c r="C25">
        <v>7.3</v>
      </c>
      <c r="D25">
        <v>6.4</v>
      </c>
      <c r="E25">
        <v>4.5999999999999996</v>
      </c>
      <c r="F25">
        <v>5.0999999999999996</v>
      </c>
      <c r="G25">
        <v>4.2</v>
      </c>
      <c r="H25">
        <v>5.2</v>
      </c>
      <c r="I25">
        <v>3.7</v>
      </c>
      <c r="J25">
        <v>2.8</v>
      </c>
      <c r="K25">
        <v>5.2</v>
      </c>
      <c r="L25">
        <v>3.8</v>
      </c>
      <c r="M25">
        <v>2.8</v>
      </c>
      <c r="N25">
        <v>5.2</v>
      </c>
      <c r="O25">
        <v>3.7</v>
      </c>
      <c r="P25">
        <v>2.7</v>
      </c>
      <c r="Q25">
        <v>4.8</v>
      </c>
      <c r="R25">
        <v>3</v>
      </c>
      <c r="S25">
        <v>2.2999999999999998</v>
      </c>
      <c r="T25">
        <v>4.9000000000000004</v>
      </c>
      <c r="U25">
        <v>3.1</v>
      </c>
      <c r="V25">
        <v>2.4</v>
      </c>
      <c r="W25">
        <v>4.7</v>
      </c>
      <c r="X25">
        <v>3</v>
      </c>
      <c r="Y25">
        <v>2.2000000000000002</v>
      </c>
    </row>
    <row r="26" spans="1:25" x14ac:dyDescent="0.25">
      <c r="A26" t="s">
        <v>304</v>
      </c>
      <c r="B26">
        <v>3.6</v>
      </c>
      <c r="C26">
        <v>4</v>
      </c>
      <c r="D26">
        <v>3.2</v>
      </c>
      <c r="E26">
        <v>3.1</v>
      </c>
      <c r="F26">
        <v>3.5</v>
      </c>
      <c r="G26">
        <v>2.8</v>
      </c>
      <c r="H26">
        <v>1.8</v>
      </c>
      <c r="I26">
        <v>0.7</v>
      </c>
      <c r="J26">
        <v>0.2</v>
      </c>
      <c r="K26">
        <v>1.9</v>
      </c>
      <c r="L26">
        <v>0.7</v>
      </c>
      <c r="M26">
        <v>0.3</v>
      </c>
      <c r="N26">
        <v>1.6</v>
      </c>
      <c r="O26">
        <v>0.6</v>
      </c>
      <c r="P26">
        <v>0.1</v>
      </c>
      <c r="Q26">
        <v>1.8</v>
      </c>
      <c r="R26">
        <v>0.7</v>
      </c>
      <c r="S26">
        <v>0.2</v>
      </c>
      <c r="T26">
        <v>1.9</v>
      </c>
      <c r="U26">
        <v>0.7</v>
      </c>
      <c r="V26">
        <v>0.3</v>
      </c>
      <c r="W26">
        <v>1.6</v>
      </c>
      <c r="X26">
        <v>0.6</v>
      </c>
      <c r="Y26">
        <v>0.1</v>
      </c>
    </row>
    <row r="27" spans="1:25" x14ac:dyDescent="0.25">
      <c r="A27" t="s">
        <v>305</v>
      </c>
      <c r="B27">
        <v>0.7</v>
      </c>
      <c r="C27">
        <v>0.5</v>
      </c>
      <c r="D27">
        <v>0.8</v>
      </c>
      <c r="E27">
        <v>0.6</v>
      </c>
      <c r="F27">
        <v>0.4</v>
      </c>
      <c r="G27">
        <v>0.8</v>
      </c>
      <c r="H27">
        <v>0.3</v>
      </c>
      <c r="I27">
        <v>0</v>
      </c>
      <c r="J27">
        <v>0</v>
      </c>
      <c r="K27">
        <v>0.3</v>
      </c>
      <c r="L27">
        <v>0</v>
      </c>
      <c r="M27">
        <v>0</v>
      </c>
      <c r="N27">
        <v>0.4</v>
      </c>
      <c r="O27">
        <v>0</v>
      </c>
      <c r="P27">
        <v>0</v>
      </c>
      <c r="Q27">
        <v>0.3</v>
      </c>
      <c r="R27">
        <v>0</v>
      </c>
      <c r="S27">
        <v>0</v>
      </c>
      <c r="T27">
        <v>0.3</v>
      </c>
      <c r="U27">
        <v>0</v>
      </c>
      <c r="V27">
        <v>0</v>
      </c>
      <c r="W27">
        <v>0.4</v>
      </c>
      <c r="X27">
        <v>0</v>
      </c>
      <c r="Y27">
        <v>0</v>
      </c>
    </row>
    <row r="28" spans="1:25" x14ac:dyDescent="0.25">
      <c r="A28" t="s">
        <v>306</v>
      </c>
      <c r="B28">
        <v>4.4000000000000004</v>
      </c>
      <c r="C28">
        <v>4.2</v>
      </c>
      <c r="D28">
        <v>4.7</v>
      </c>
      <c r="E28">
        <v>2.8</v>
      </c>
      <c r="F28">
        <v>2.7</v>
      </c>
      <c r="G28">
        <v>2.9</v>
      </c>
      <c r="H28">
        <v>3</v>
      </c>
      <c r="I28">
        <v>1.1000000000000001</v>
      </c>
      <c r="J28">
        <v>1</v>
      </c>
      <c r="K28">
        <v>3</v>
      </c>
      <c r="L28">
        <v>1.2</v>
      </c>
      <c r="M28">
        <v>1</v>
      </c>
      <c r="N28">
        <v>3</v>
      </c>
      <c r="O28">
        <v>1.1000000000000001</v>
      </c>
      <c r="P28">
        <v>1</v>
      </c>
      <c r="Q28">
        <v>2.7</v>
      </c>
      <c r="R28">
        <v>0.9</v>
      </c>
      <c r="S28">
        <v>0.8</v>
      </c>
      <c r="T28">
        <v>2.7</v>
      </c>
      <c r="U28">
        <v>0.9</v>
      </c>
      <c r="V28">
        <v>0.7</v>
      </c>
      <c r="W28">
        <v>2.7</v>
      </c>
      <c r="X28">
        <v>0.8</v>
      </c>
      <c r="Y28">
        <v>0.8</v>
      </c>
    </row>
    <row r="29" spans="1:25" x14ac:dyDescent="0.25">
      <c r="A29" t="s">
        <v>307</v>
      </c>
      <c r="B29">
        <v>2.4</v>
      </c>
      <c r="C29">
        <v>2.6</v>
      </c>
      <c r="D29">
        <v>2.2000000000000002</v>
      </c>
      <c r="E29">
        <v>1.3</v>
      </c>
      <c r="F29">
        <v>1.4</v>
      </c>
      <c r="G29">
        <v>1.2</v>
      </c>
      <c r="H29">
        <v>1.9</v>
      </c>
      <c r="I29">
        <v>3.5</v>
      </c>
      <c r="J29">
        <v>1.2</v>
      </c>
      <c r="K29">
        <v>2.1</v>
      </c>
      <c r="L29">
        <v>3.8</v>
      </c>
      <c r="M29">
        <v>2</v>
      </c>
      <c r="N29">
        <v>1.8</v>
      </c>
      <c r="O29">
        <v>3.1</v>
      </c>
      <c r="P29">
        <v>0.5</v>
      </c>
      <c r="Q29">
        <v>1.6</v>
      </c>
      <c r="R29">
        <v>1.8</v>
      </c>
      <c r="S29">
        <v>0.8</v>
      </c>
      <c r="T29">
        <v>1.7</v>
      </c>
      <c r="U29">
        <v>2.2999999999999998</v>
      </c>
      <c r="V29">
        <v>1.3</v>
      </c>
      <c r="W29">
        <v>1.5</v>
      </c>
      <c r="X29">
        <v>1.4</v>
      </c>
      <c r="Y29">
        <v>0.3</v>
      </c>
    </row>
    <row r="30" spans="1:25" x14ac:dyDescent="0.25">
      <c r="A30" t="s">
        <v>266</v>
      </c>
      <c r="B30">
        <v>9.4</v>
      </c>
      <c r="C30">
        <v>9.4</v>
      </c>
      <c r="D30">
        <v>9.4</v>
      </c>
      <c r="E30">
        <v>6.1</v>
      </c>
      <c r="F30">
        <v>6.1</v>
      </c>
      <c r="G30">
        <v>6.1</v>
      </c>
      <c r="H30">
        <v>7</v>
      </c>
      <c r="I30">
        <v>4</v>
      </c>
      <c r="J30">
        <v>2.7</v>
      </c>
      <c r="K30">
        <v>7.1</v>
      </c>
      <c r="L30">
        <v>4.0999999999999996</v>
      </c>
      <c r="M30">
        <v>2.9</v>
      </c>
      <c r="N30">
        <v>6.9</v>
      </c>
      <c r="O30">
        <v>3.8</v>
      </c>
      <c r="P30">
        <v>2.6</v>
      </c>
      <c r="Q30">
        <v>6.2</v>
      </c>
      <c r="R30">
        <v>3.1</v>
      </c>
      <c r="S30">
        <v>2.2999999999999998</v>
      </c>
      <c r="T30">
        <v>6.3</v>
      </c>
      <c r="U30">
        <v>3.3</v>
      </c>
      <c r="V30">
        <v>2.4</v>
      </c>
      <c r="W30">
        <v>6</v>
      </c>
      <c r="X30">
        <v>3</v>
      </c>
      <c r="Y30">
        <v>2.1</v>
      </c>
    </row>
    <row r="31" spans="1:25" x14ac:dyDescent="0.25">
      <c r="A31" t="s">
        <v>459</v>
      </c>
      <c r="B31">
        <v>26.9</v>
      </c>
      <c r="C31">
        <v>26.4</v>
      </c>
      <c r="D31">
        <v>27.4</v>
      </c>
      <c r="E31">
        <v>18.5</v>
      </c>
      <c r="F31">
        <v>18.3</v>
      </c>
      <c r="G31">
        <v>18.7</v>
      </c>
      <c r="H31">
        <v>20.9</v>
      </c>
      <c r="I31">
        <v>12.6</v>
      </c>
      <c r="J31">
        <v>9.1999999999999993</v>
      </c>
      <c r="K31">
        <v>21.1</v>
      </c>
      <c r="L31">
        <v>13.2</v>
      </c>
      <c r="M31">
        <v>9.6</v>
      </c>
      <c r="N31">
        <v>20.6</v>
      </c>
      <c r="O31">
        <v>12</v>
      </c>
      <c r="P31">
        <v>8.6999999999999993</v>
      </c>
      <c r="Q31">
        <v>19</v>
      </c>
      <c r="R31">
        <v>10.199999999999999</v>
      </c>
      <c r="S31">
        <v>7.7</v>
      </c>
      <c r="T31">
        <v>19.399999999999999</v>
      </c>
      <c r="U31">
        <v>10.8</v>
      </c>
      <c r="V31">
        <v>8.1999999999999993</v>
      </c>
      <c r="W31">
        <v>18.600000000000001</v>
      </c>
      <c r="X31">
        <v>9.6</v>
      </c>
      <c r="Y31">
        <v>7.2</v>
      </c>
    </row>
    <row r="32" spans="1:25" x14ac:dyDescent="0.25">
      <c r="A32" t="s">
        <v>460</v>
      </c>
      <c r="B32">
        <v>3</v>
      </c>
      <c r="C32">
        <v>3.2</v>
      </c>
      <c r="D32">
        <v>2.8</v>
      </c>
      <c r="E32">
        <v>1.6</v>
      </c>
      <c r="F32">
        <v>1.7</v>
      </c>
      <c r="G32">
        <v>1.5</v>
      </c>
      <c r="H32">
        <v>1.9</v>
      </c>
      <c r="I32">
        <v>0.8</v>
      </c>
      <c r="J32">
        <v>0.4</v>
      </c>
      <c r="K32">
        <v>1.9</v>
      </c>
      <c r="L32">
        <v>0.8</v>
      </c>
      <c r="M32">
        <v>0.4</v>
      </c>
      <c r="N32">
        <v>1.9</v>
      </c>
      <c r="O32">
        <v>0.9</v>
      </c>
      <c r="P32">
        <v>0.4</v>
      </c>
      <c r="Q32">
        <v>1.5</v>
      </c>
      <c r="R32">
        <v>0.6</v>
      </c>
      <c r="S32">
        <v>0.3</v>
      </c>
      <c r="T32">
        <v>1.5</v>
      </c>
      <c r="U32">
        <v>0.6</v>
      </c>
      <c r="V32">
        <v>0.3</v>
      </c>
      <c r="W32">
        <v>1.4</v>
      </c>
      <c r="X32">
        <v>0.6</v>
      </c>
      <c r="Y32">
        <v>0.3</v>
      </c>
    </row>
  </sheetData>
  <mergeCells count="12">
    <mergeCell ref="B2:D3"/>
    <mergeCell ref="E2:G3"/>
    <mergeCell ref="A1:Z1"/>
    <mergeCell ref="A2:A4"/>
    <mergeCell ref="Q3:S3"/>
    <mergeCell ref="W3:Y3"/>
    <mergeCell ref="T3:V3"/>
    <mergeCell ref="H2:P2"/>
    <mergeCell ref="K3:M3"/>
    <mergeCell ref="H3:J3"/>
    <mergeCell ref="N3:P3"/>
    <mergeCell ref="Q2:Y2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00B0F0"/>
  </sheetPr>
  <dimension ref="A1:K31"/>
  <sheetViews>
    <sheetView workbookViewId="0"/>
  </sheetViews>
  <sheetFormatPr defaultRowHeight="15" x14ac:dyDescent="0.25"/>
  <cols>
    <col min="1" max="1" width="26" customWidth="1"/>
    <col min="2" max="2" width="11.140625" customWidth="1"/>
    <col min="3" max="3" width="17.28515625" customWidth="1"/>
    <col min="11" max="11" width="12.85546875" customWidth="1"/>
  </cols>
  <sheetData>
    <row r="1" spans="1:11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s="29" t="s">
        <v>346</v>
      </c>
      <c r="C2" s="29"/>
      <c r="D2" s="29"/>
      <c r="E2" s="29" t="s">
        <v>328</v>
      </c>
      <c r="F2" s="29"/>
      <c r="G2" s="29"/>
      <c r="H2" s="29" t="s">
        <v>329</v>
      </c>
      <c r="I2" s="29"/>
      <c r="J2" s="29"/>
    </row>
    <row r="3" spans="1:11" x14ac:dyDescent="0.25">
      <c r="A3" s="29"/>
      <c r="B3" t="s">
        <v>263</v>
      </c>
      <c r="C3" t="s">
        <v>264</v>
      </c>
      <c r="D3" t="s">
        <v>618</v>
      </c>
      <c r="E3" t="s">
        <v>263</v>
      </c>
      <c r="F3" t="s">
        <v>264</v>
      </c>
      <c r="G3" t="s">
        <v>618</v>
      </c>
      <c r="H3" t="s">
        <v>263</v>
      </c>
      <c r="I3" t="s">
        <v>264</v>
      </c>
      <c r="J3" t="s">
        <v>618</v>
      </c>
    </row>
    <row r="4" spans="1:11" x14ac:dyDescent="0.25">
      <c r="A4" t="s">
        <v>283</v>
      </c>
      <c r="B4">
        <v>8.6</v>
      </c>
      <c r="C4">
        <v>9</v>
      </c>
      <c r="D4">
        <v>8.1999999999999993</v>
      </c>
      <c r="E4">
        <v>6.3</v>
      </c>
      <c r="F4">
        <v>7</v>
      </c>
      <c r="G4">
        <v>5.6</v>
      </c>
      <c r="H4">
        <v>3.1</v>
      </c>
      <c r="I4">
        <v>3.1</v>
      </c>
      <c r="J4">
        <v>3.1</v>
      </c>
    </row>
    <row r="5" spans="1:11" x14ac:dyDescent="0.25">
      <c r="A5" t="s">
        <v>284</v>
      </c>
      <c r="B5">
        <v>2.2999999999999998</v>
      </c>
      <c r="C5">
        <v>2.5</v>
      </c>
      <c r="D5">
        <v>2.2000000000000002</v>
      </c>
      <c r="E5">
        <v>2.8</v>
      </c>
      <c r="F5">
        <v>3</v>
      </c>
      <c r="G5">
        <v>2.6</v>
      </c>
      <c r="H5">
        <v>2.8</v>
      </c>
      <c r="I5">
        <v>3.1</v>
      </c>
      <c r="J5">
        <v>2.5</v>
      </c>
    </row>
    <row r="6" spans="1:11" x14ac:dyDescent="0.25">
      <c r="A6" t="s">
        <v>285</v>
      </c>
      <c r="B6">
        <v>1.6</v>
      </c>
      <c r="C6">
        <v>1.8</v>
      </c>
      <c r="D6">
        <v>1.3</v>
      </c>
      <c r="E6">
        <v>1.3</v>
      </c>
      <c r="F6">
        <v>1.4</v>
      </c>
      <c r="G6">
        <v>1.3</v>
      </c>
      <c r="H6">
        <v>0.6</v>
      </c>
      <c r="I6">
        <v>0.6</v>
      </c>
      <c r="J6">
        <v>0.6</v>
      </c>
    </row>
    <row r="7" spans="1:11" x14ac:dyDescent="0.25">
      <c r="A7" t="s">
        <v>286</v>
      </c>
      <c r="B7">
        <v>1.8</v>
      </c>
      <c r="C7">
        <v>1.6</v>
      </c>
      <c r="D7">
        <v>2</v>
      </c>
      <c r="E7">
        <v>1.8</v>
      </c>
      <c r="F7">
        <v>1.5</v>
      </c>
      <c r="G7">
        <v>2</v>
      </c>
      <c r="H7">
        <v>0.9</v>
      </c>
      <c r="I7">
        <v>0.6</v>
      </c>
      <c r="J7">
        <v>1.1000000000000001</v>
      </c>
    </row>
    <row r="8" spans="1:11" x14ac:dyDescent="0.25">
      <c r="A8" t="s">
        <v>287</v>
      </c>
      <c r="B8">
        <v>1.9</v>
      </c>
      <c r="C8">
        <v>2</v>
      </c>
      <c r="D8">
        <v>1.8</v>
      </c>
      <c r="E8">
        <v>0.9</v>
      </c>
      <c r="F8">
        <v>1.1000000000000001</v>
      </c>
      <c r="G8">
        <v>0.8</v>
      </c>
      <c r="H8">
        <v>0.4</v>
      </c>
      <c r="I8">
        <v>0.5</v>
      </c>
      <c r="J8">
        <v>0.3</v>
      </c>
    </row>
    <row r="9" spans="1:11" x14ac:dyDescent="0.25">
      <c r="A9" t="s">
        <v>288</v>
      </c>
      <c r="B9">
        <v>2</v>
      </c>
      <c r="C9">
        <v>2.1</v>
      </c>
      <c r="D9">
        <v>1.9</v>
      </c>
      <c r="E9">
        <v>0.9</v>
      </c>
      <c r="F9">
        <v>0.8</v>
      </c>
      <c r="G9">
        <v>0.9</v>
      </c>
      <c r="H9">
        <v>0.3</v>
      </c>
      <c r="I9">
        <v>0.4</v>
      </c>
      <c r="J9">
        <v>0.3</v>
      </c>
    </row>
    <row r="10" spans="1:11" x14ac:dyDescent="0.25">
      <c r="A10" t="s">
        <v>289</v>
      </c>
      <c r="B10">
        <v>3.6</v>
      </c>
      <c r="C10">
        <v>3.8</v>
      </c>
      <c r="D10">
        <v>3.4</v>
      </c>
      <c r="E10">
        <v>3.7</v>
      </c>
      <c r="F10">
        <v>3.8</v>
      </c>
      <c r="G10">
        <v>3.7</v>
      </c>
      <c r="H10">
        <v>3.2</v>
      </c>
      <c r="I10">
        <v>3.3</v>
      </c>
      <c r="J10">
        <v>3</v>
      </c>
    </row>
    <row r="11" spans="1:11" x14ac:dyDescent="0.25">
      <c r="A11" t="s">
        <v>290</v>
      </c>
      <c r="B11">
        <v>3</v>
      </c>
      <c r="C11">
        <v>3.5</v>
      </c>
      <c r="D11">
        <v>2.6</v>
      </c>
      <c r="E11">
        <v>2.9</v>
      </c>
      <c r="F11">
        <v>2.9</v>
      </c>
      <c r="G11">
        <v>2.9</v>
      </c>
      <c r="H11">
        <v>2</v>
      </c>
      <c r="I11">
        <v>2</v>
      </c>
      <c r="J11">
        <v>2</v>
      </c>
    </row>
    <row r="12" spans="1:11" x14ac:dyDescent="0.25">
      <c r="A12" t="s">
        <v>291</v>
      </c>
      <c r="B12">
        <v>1.8</v>
      </c>
      <c r="C12">
        <v>1.4</v>
      </c>
      <c r="D12">
        <v>2.2000000000000002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t="s">
        <v>292</v>
      </c>
      <c r="B13">
        <v>6.4</v>
      </c>
      <c r="C13">
        <v>7.2</v>
      </c>
      <c r="D13">
        <v>5.8</v>
      </c>
      <c r="E13">
        <v>2.2000000000000002</v>
      </c>
      <c r="F13">
        <v>2.6</v>
      </c>
      <c r="G13">
        <v>1.7</v>
      </c>
      <c r="H13">
        <v>0</v>
      </c>
      <c r="I13">
        <v>0</v>
      </c>
      <c r="J13">
        <v>0</v>
      </c>
    </row>
    <row r="14" spans="1:11" x14ac:dyDescent="0.25">
      <c r="A14" t="s">
        <v>293</v>
      </c>
      <c r="B14">
        <v>0.2</v>
      </c>
      <c r="C14">
        <v>0.1</v>
      </c>
      <c r="D14">
        <v>0.2</v>
      </c>
      <c r="E14">
        <v>0.3</v>
      </c>
      <c r="F14">
        <v>0.3</v>
      </c>
      <c r="G14">
        <v>0.3</v>
      </c>
      <c r="H14">
        <v>0.3</v>
      </c>
      <c r="I14">
        <v>0.4</v>
      </c>
      <c r="J14">
        <v>0.3</v>
      </c>
    </row>
    <row r="15" spans="1:11" x14ac:dyDescent="0.25">
      <c r="A15" t="s">
        <v>294</v>
      </c>
      <c r="B15">
        <v>1.2</v>
      </c>
      <c r="C15">
        <v>1.3</v>
      </c>
      <c r="D15">
        <v>1.2</v>
      </c>
      <c r="E15">
        <v>1.4</v>
      </c>
      <c r="F15">
        <v>1.3</v>
      </c>
      <c r="G15">
        <v>1.5</v>
      </c>
      <c r="H15">
        <v>0.7</v>
      </c>
      <c r="I15">
        <v>0.8</v>
      </c>
      <c r="J15">
        <v>0.6</v>
      </c>
    </row>
    <row r="16" spans="1:11" x14ac:dyDescent="0.25">
      <c r="A16" t="s">
        <v>295</v>
      </c>
      <c r="B16">
        <v>2.8</v>
      </c>
      <c r="C16">
        <v>2.6</v>
      </c>
      <c r="D16">
        <v>2.9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296</v>
      </c>
      <c r="B17">
        <v>8.1</v>
      </c>
      <c r="C17">
        <v>10.199999999999999</v>
      </c>
      <c r="D17">
        <v>6.2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297</v>
      </c>
      <c r="B18">
        <v>15.9</v>
      </c>
      <c r="C18">
        <v>16.5</v>
      </c>
      <c r="D18">
        <v>15.3</v>
      </c>
      <c r="E18">
        <v>13</v>
      </c>
      <c r="F18">
        <v>14.3</v>
      </c>
      <c r="G18">
        <v>11.8</v>
      </c>
      <c r="H18">
        <v>9.6999999999999993</v>
      </c>
      <c r="I18">
        <v>10.4</v>
      </c>
      <c r="J18">
        <v>9.1</v>
      </c>
    </row>
    <row r="19" spans="1:10" x14ac:dyDescent="0.25">
      <c r="A19" t="s">
        <v>298</v>
      </c>
      <c r="B19">
        <v>7.1</v>
      </c>
      <c r="C19">
        <v>7.8</v>
      </c>
      <c r="D19">
        <v>6.4</v>
      </c>
      <c r="E19">
        <v>5.3</v>
      </c>
      <c r="F19">
        <v>5.5</v>
      </c>
      <c r="G19">
        <v>5.0999999999999996</v>
      </c>
      <c r="H19">
        <v>4.2</v>
      </c>
      <c r="I19">
        <v>4.5</v>
      </c>
      <c r="J19">
        <v>4</v>
      </c>
    </row>
    <row r="20" spans="1:10" x14ac:dyDescent="0.25">
      <c r="A20" t="s">
        <v>299</v>
      </c>
      <c r="B20">
        <v>0.1</v>
      </c>
      <c r="C20">
        <v>0</v>
      </c>
      <c r="D20">
        <v>0.2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300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0.2</v>
      </c>
      <c r="I21">
        <v>0.3</v>
      </c>
      <c r="J21">
        <v>0.1</v>
      </c>
    </row>
    <row r="22" spans="1:10" x14ac:dyDescent="0.25">
      <c r="A22" t="s">
        <v>301</v>
      </c>
      <c r="B22">
        <v>0.1</v>
      </c>
      <c r="C22">
        <v>0</v>
      </c>
      <c r="D22">
        <v>0.1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302</v>
      </c>
      <c r="B23">
        <v>2.6</v>
      </c>
      <c r="C23">
        <v>2.9</v>
      </c>
      <c r="D23">
        <v>2.4</v>
      </c>
      <c r="E23">
        <v>1.8</v>
      </c>
      <c r="F23">
        <v>1.8</v>
      </c>
      <c r="G23">
        <v>1.8</v>
      </c>
      <c r="H23">
        <v>1.7</v>
      </c>
      <c r="I23">
        <v>1.7</v>
      </c>
      <c r="J23">
        <v>1.6</v>
      </c>
    </row>
    <row r="24" spans="1:10" x14ac:dyDescent="0.25">
      <c r="A24" t="s">
        <v>303</v>
      </c>
      <c r="B24">
        <v>3.4</v>
      </c>
      <c r="C24">
        <v>3.4</v>
      </c>
      <c r="D24">
        <v>3.3</v>
      </c>
      <c r="E24">
        <v>3.7</v>
      </c>
      <c r="F24">
        <v>3.7</v>
      </c>
      <c r="G24">
        <v>3.6</v>
      </c>
      <c r="H24">
        <v>2.5</v>
      </c>
      <c r="I24">
        <v>2.5</v>
      </c>
      <c r="J24">
        <v>2.5</v>
      </c>
    </row>
    <row r="25" spans="1:10" x14ac:dyDescent="0.25">
      <c r="A25" t="s">
        <v>304</v>
      </c>
      <c r="B25">
        <v>1</v>
      </c>
      <c r="C25">
        <v>0.8</v>
      </c>
      <c r="D25">
        <v>1.2</v>
      </c>
      <c r="E25">
        <v>0.5</v>
      </c>
      <c r="F25">
        <v>0.6</v>
      </c>
      <c r="G25">
        <v>0.4</v>
      </c>
      <c r="H25">
        <v>0</v>
      </c>
      <c r="I25">
        <v>0</v>
      </c>
      <c r="J25">
        <v>0</v>
      </c>
    </row>
    <row r="26" spans="1:10" x14ac:dyDescent="0.25">
      <c r="A26" t="s">
        <v>305</v>
      </c>
      <c r="B26">
        <v>0.2</v>
      </c>
      <c r="C26">
        <v>0.2</v>
      </c>
      <c r="D26">
        <v>0.2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306</v>
      </c>
      <c r="B27">
        <v>2</v>
      </c>
      <c r="C27">
        <v>2.1</v>
      </c>
      <c r="D27">
        <v>1.9</v>
      </c>
      <c r="E27">
        <v>1</v>
      </c>
      <c r="F27">
        <v>1</v>
      </c>
      <c r="G27">
        <v>1</v>
      </c>
      <c r="H27">
        <v>0.9</v>
      </c>
      <c r="I27">
        <v>0.9</v>
      </c>
      <c r="J27">
        <v>0.8</v>
      </c>
    </row>
    <row r="28" spans="1:10" x14ac:dyDescent="0.25">
      <c r="A28" t="s">
        <v>307</v>
      </c>
      <c r="B28">
        <v>1.2</v>
      </c>
      <c r="C28">
        <v>1.4</v>
      </c>
      <c r="D28">
        <v>1</v>
      </c>
      <c r="E28">
        <v>2.7</v>
      </c>
      <c r="F28">
        <v>2.7</v>
      </c>
      <c r="G28">
        <v>2.7</v>
      </c>
      <c r="H28">
        <v>0.9</v>
      </c>
      <c r="I28">
        <v>1.2</v>
      </c>
      <c r="J28">
        <v>0.5</v>
      </c>
    </row>
    <row r="29" spans="1:10" x14ac:dyDescent="0.25">
      <c r="A29" t="s">
        <v>266</v>
      </c>
      <c r="B29">
        <v>4.4000000000000004</v>
      </c>
      <c r="C29">
        <v>4.5999999999999996</v>
      </c>
      <c r="D29">
        <v>4.2</v>
      </c>
      <c r="E29">
        <v>3.6</v>
      </c>
      <c r="F29">
        <v>3.9</v>
      </c>
      <c r="G29">
        <v>3.4</v>
      </c>
      <c r="H29">
        <v>2.5</v>
      </c>
      <c r="I29">
        <v>2.7</v>
      </c>
      <c r="J29">
        <v>2.4</v>
      </c>
    </row>
    <row r="30" spans="1:10" x14ac:dyDescent="0.25">
      <c r="A30" t="s">
        <v>459</v>
      </c>
      <c r="B30">
        <v>13.9</v>
      </c>
      <c r="C30">
        <v>14.6</v>
      </c>
      <c r="D30">
        <v>13.1</v>
      </c>
      <c r="E30">
        <v>11.6</v>
      </c>
      <c r="F30">
        <v>12.6</v>
      </c>
      <c r="G30">
        <v>10.6</v>
      </c>
      <c r="H30">
        <v>8.6</v>
      </c>
      <c r="I30">
        <v>9.1999999999999993</v>
      </c>
      <c r="J30">
        <v>8.1</v>
      </c>
    </row>
    <row r="31" spans="1:10" x14ac:dyDescent="0.25">
      <c r="A31" t="s">
        <v>460</v>
      </c>
      <c r="B31">
        <v>1</v>
      </c>
      <c r="C31">
        <v>1</v>
      </c>
      <c r="D31">
        <v>0.9</v>
      </c>
      <c r="E31">
        <v>0.7</v>
      </c>
      <c r="F31">
        <v>0.7</v>
      </c>
      <c r="G31">
        <v>0.8</v>
      </c>
      <c r="H31">
        <v>0.3</v>
      </c>
      <c r="I31">
        <v>0.3</v>
      </c>
      <c r="J31">
        <v>0.3</v>
      </c>
    </row>
  </sheetData>
  <mergeCells count="5">
    <mergeCell ref="E2:G2"/>
    <mergeCell ref="A2:A3"/>
    <mergeCell ref="H2:J2"/>
    <mergeCell ref="A1:K1"/>
    <mergeCell ref="B2:D2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FF66CC"/>
  </sheetPr>
  <dimension ref="A1:J31"/>
  <sheetViews>
    <sheetView workbookViewId="0"/>
  </sheetViews>
  <sheetFormatPr defaultRowHeight="15" x14ac:dyDescent="0.25"/>
  <cols>
    <col min="1" max="1" width="22.85546875" customWidth="1"/>
    <col min="2" max="2" width="18" customWidth="1"/>
    <col min="10" max="10" width="21.42578125" customWidth="1"/>
  </cols>
  <sheetData>
    <row r="1" spans="1:10" x14ac:dyDescent="0.25">
      <c r="A1" s="29" t="s">
        <v>252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29" t="s">
        <v>709</v>
      </c>
      <c r="B2" s="29" t="s">
        <v>634</v>
      </c>
      <c r="C2" s="29" t="s">
        <v>635</v>
      </c>
      <c r="D2" s="29" t="s">
        <v>767</v>
      </c>
      <c r="E2" s="29"/>
      <c r="F2" s="29"/>
      <c r="G2" s="29" t="s">
        <v>768</v>
      </c>
      <c r="H2" s="29"/>
      <c r="I2" s="29"/>
    </row>
    <row r="3" spans="1:10" x14ac:dyDescent="0.25">
      <c r="A3" s="29"/>
      <c r="B3" s="29"/>
      <c r="C3" s="29"/>
      <c r="D3" t="s">
        <v>346</v>
      </c>
      <c r="E3" t="s">
        <v>400</v>
      </c>
      <c r="F3" t="s">
        <v>401</v>
      </c>
      <c r="G3" t="s">
        <v>346</v>
      </c>
      <c r="H3" t="s">
        <v>400</v>
      </c>
      <c r="I3" t="s">
        <v>401</v>
      </c>
    </row>
    <row r="4" spans="1:10" x14ac:dyDescent="0.25">
      <c r="A4" t="s">
        <v>283</v>
      </c>
      <c r="B4">
        <v>1</v>
      </c>
      <c r="C4">
        <v>1.1000000000000001</v>
      </c>
      <c r="D4">
        <v>1</v>
      </c>
      <c r="E4">
        <v>1.1000000000000001</v>
      </c>
      <c r="F4">
        <v>1.1000000000000001</v>
      </c>
      <c r="G4">
        <v>1.1000000000000001</v>
      </c>
      <c r="H4">
        <v>1.3</v>
      </c>
      <c r="I4">
        <v>1.2</v>
      </c>
    </row>
    <row r="5" spans="1:10" x14ac:dyDescent="0.25">
      <c r="A5" t="s">
        <v>284</v>
      </c>
      <c r="B5">
        <v>0.9</v>
      </c>
      <c r="C5">
        <v>1</v>
      </c>
      <c r="D5">
        <v>0.9</v>
      </c>
      <c r="E5">
        <v>1.1000000000000001</v>
      </c>
      <c r="F5">
        <v>1.3</v>
      </c>
      <c r="G5">
        <v>1</v>
      </c>
      <c r="H5">
        <v>1.2</v>
      </c>
      <c r="I5">
        <v>1.3</v>
      </c>
    </row>
    <row r="6" spans="1:10" x14ac:dyDescent="0.25">
      <c r="A6" t="s">
        <v>285</v>
      </c>
      <c r="B6">
        <v>1</v>
      </c>
      <c r="C6">
        <v>1.2</v>
      </c>
      <c r="D6">
        <v>1.1000000000000001</v>
      </c>
      <c r="E6">
        <v>1.1000000000000001</v>
      </c>
      <c r="F6">
        <v>0.8</v>
      </c>
      <c r="G6">
        <v>1.1000000000000001</v>
      </c>
      <c r="H6">
        <v>1.1000000000000001</v>
      </c>
      <c r="I6">
        <v>0.9</v>
      </c>
    </row>
    <row r="7" spans="1:10" x14ac:dyDescent="0.25">
      <c r="A7" t="s">
        <v>286</v>
      </c>
      <c r="B7">
        <v>0.8</v>
      </c>
      <c r="C7">
        <v>0.9</v>
      </c>
      <c r="D7">
        <v>0.8</v>
      </c>
      <c r="E7">
        <v>0.6</v>
      </c>
      <c r="F7">
        <v>0.5</v>
      </c>
      <c r="G7">
        <v>0.9</v>
      </c>
      <c r="H7">
        <v>0.7</v>
      </c>
      <c r="I7">
        <v>0.5</v>
      </c>
    </row>
    <row r="8" spans="1:10" x14ac:dyDescent="0.25">
      <c r="A8" t="s">
        <v>287</v>
      </c>
      <c r="B8">
        <v>1</v>
      </c>
      <c r="C8">
        <v>0.9</v>
      </c>
      <c r="D8">
        <v>1</v>
      </c>
      <c r="E8">
        <v>1</v>
      </c>
      <c r="F8">
        <v>1</v>
      </c>
      <c r="G8">
        <v>1</v>
      </c>
      <c r="H8">
        <v>1</v>
      </c>
      <c r="I8">
        <v>0.9</v>
      </c>
    </row>
    <row r="9" spans="1:10" x14ac:dyDescent="0.25">
      <c r="A9" t="s">
        <v>288</v>
      </c>
      <c r="B9">
        <v>1</v>
      </c>
      <c r="C9">
        <v>1</v>
      </c>
      <c r="D9">
        <v>1</v>
      </c>
      <c r="E9">
        <v>1.1000000000000001</v>
      </c>
      <c r="F9">
        <v>0.9</v>
      </c>
      <c r="G9">
        <v>1</v>
      </c>
      <c r="H9">
        <v>1.3</v>
      </c>
      <c r="I9">
        <v>1</v>
      </c>
    </row>
    <row r="10" spans="1:10" x14ac:dyDescent="0.25">
      <c r="A10" t="s">
        <v>289</v>
      </c>
      <c r="B10">
        <v>1.2</v>
      </c>
      <c r="C10">
        <v>1.1000000000000001</v>
      </c>
      <c r="D10">
        <v>1.2</v>
      </c>
      <c r="E10">
        <v>1</v>
      </c>
      <c r="F10">
        <v>1.2</v>
      </c>
      <c r="G10">
        <v>1.3</v>
      </c>
      <c r="H10">
        <v>1.2</v>
      </c>
      <c r="I10">
        <v>1.3</v>
      </c>
    </row>
    <row r="11" spans="1:10" x14ac:dyDescent="0.25">
      <c r="A11" t="s">
        <v>290</v>
      </c>
      <c r="B11">
        <v>1.1000000000000001</v>
      </c>
      <c r="C11">
        <v>1</v>
      </c>
      <c r="D11">
        <v>1.1000000000000001</v>
      </c>
      <c r="E11">
        <v>0.9</v>
      </c>
      <c r="F11">
        <v>0.9</v>
      </c>
      <c r="G11">
        <v>1.1000000000000001</v>
      </c>
      <c r="H11">
        <v>0.9</v>
      </c>
      <c r="I11">
        <v>1</v>
      </c>
    </row>
    <row r="12" spans="1:10" x14ac:dyDescent="0.25">
      <c r="A12" t="s">
        <v>291</v>
      </c>
      <c r="B12">
        <v>1.3</v>
      </c>
      <c r="C12" t="e">
        <v>#DIV/0!</v>
      </c>
      <c r="D12">
        <v>1.4</v>
      </c>
      <c r="E12" t="e">
        <v>#DIV/0!</v>
      </c>
      <c r="F12" t="e">
        <v>#DIV/0!</v>
      </c>
      <c r="G12">
        <v>1.6</v>
      </c>
      <c r="H12" t="e">
        <v>#DIV/0!</v>
      </c>
      <c r="I12" t="e">
        <v>#DIV/0!</v>
      </c>
    </row>
    <row r="13" spans="1:10" x14ac:dyDescent="0.25">
      <c r="A13" t="s">
        <v>292</v>
      </c>
      <c r="B13">
        <v>1.2</v>
      </c>
      <c r="C13">
        <v>1.3</v>
      </c>
      <c r="D13">
        <v>1.2</v>
      </c>
      <c r="E13">
        <v>1.2</v>
      </c>
      <c r="F13" t="e">
        <v>#DIV/0!</v>
      </c>
      <c r="G13">
        <v>1.3</v>
      </c>
      <c r="H13">
        <v>1.6</v>
      </c>
      <c r="I13" t="e">
        <v>#DIV/0!</v>
      </c>
    </row>
    <row r="14" spans="1:10" x14ac:dyDescent="0.25">
      <c r="A14" t="s">
        <v>293</v>
      </c>
      <c r="B14">
        <v>1.7</v>
      </c>
      <c r="C14">
        <v>0.8</v>
      </c>
      <c r="D14">
        <v>1.5</v>
      </c>
      <c r="E14">
        <v>1.1000000000000001</v>
      </c>
      <c r="F14">
        <v>1.2</v>
      </c>
      <c r="G14">
        <v>1.4</v>
      </c>
      <c r="H14">
        <v>1.3</v>
      </c>
      <c r="I14">
        <v>1</v>
      </c>
    </row>
    <row r="15" spans="1:10" x14ac:dyDescent="0.25">
      <c r="A15" t="s">
        <v>294</v>
      </c>
      <c r="B15">
        <v>1</v>
      </c>
      <c r="C15">
        <v>1</v>
      </c>
      <c r="D15">
        <v>0.9</v>
      </c>
      <c r="E15">
        <v>0.7</v>
      </c>
      <c r="F15">
        <v>1.1000000000000001</v>
      </c>
      <c r="G15">
        <v>1</v>
      </c>
      <c r="H15">
        <v>0.7</v>
      </c>
      <c r="I15">
        <v>1.4</v>
      </c>
    </row>
    <row r="16" spans="1:10" x14ac:dyDescent="0.25">
      <c r="A16" t="s">
        <v>295</v>
      </c>
      <c r="B16">
        <v>1</v>
      </c>
      <c r="C16">
        <v>1</v>
      </c>
      <c r="D16">
        <v>0.9</v>
      </c>
      <c r="E16" t="e">
        <v>#DIV/0!</v>
      </c>
      <c r="F16" t="e">
        <v>#DIV/0!</v>
      </c>
      <c r="G16">
        <v>1</v>
      </c>
      <c r="H16" t="e">
        <v>#DIV/0!</v>
      </c>
      <c r="I16" t="e">
        <v>#DIV/0!</v>
      </c>
    </row>
    <row r="17" spans="1:9" x14ac:dyDescent="0.25">
      <c r="A17" t="s">
        <v>296</v>
      </c>
      <c r="B17">
        <v>1.1000000000000001</v>
      </c>
      <c r="C17">
        <v>1.2</v>
      </c>
      <c r="D17">
        <v>1.1000000000000001</v>
      </c>
      <c r="E17" t="e">
        <v>#DIV/0!</v>
      </c>
      <c r="F17" t="e">
        <v>#DIV/0!</v>
      </c>
      <c r="G17">
        <v>1.1000000000000001</v>
      </c>
      <c r="H17" t="e">
        <v>#DIV/0!</v>
      </c>
      <c r="I17" t="e">
        <v>#DIV/0!</v>
      </c>
    </row>
    <row r="18" spans="1:9" x14ac:dyDescent="0.25">
      <c r="A18" t="s">
        <v>297</v>
      </c>
      <c r="B18">
        <v>1</v>
      </c>
      <c r="C18">
        <v>1</v>
      </c>
      <c r="D18">
        <v>1</v>
      </c>
      <c r="E18">
        <v>1.1000000000000001</v>
      </c>
      <c r="F18">
        <v>1.1000000000000001</v>
      </c>
      <c r="G18">
        <v>1</v>
      </c>
      <c r="H18">
        <v>1.1000000000000001</v>
      </c>
      <c r="I18">
        <v>1.1000000000000001</v>
      </c>
    </row>
    <row r="19" spans="1:9" x14ac:dyDescent="0.25">
      <c r="A19" t="s">
        <v>298</v>
      </c>
      <c r="B19">
        <v>1.1000000000000001</v>
      </c>
      <c r="C19">
        <v>1.3</v>
      </c>
      <c r="D19">
        <v>1.2</v>
      </c>
      <c r="E19">
        <v>1.1000000000000001</v>
      </c>
      <c r="F19">
        <v>1</v>
      </c>
      <c r="G19">
        <v>1.2</v>
      </c>
      <c r="H19">
        <v>1</v>
      </c>
      <c r="I19">
        <v>1.2</v>
      </c>
    </row>
    <row r="20" spans="1:9" x14ac:dyDescent="0.25">
      <c r="A20" t="s">
        <v>299</v>
      </c>
      <c r="B20">
        <v>0.8</v>
      </c>
      <c r="C20">
        <v>0.7</v>
      </c>
      <c r="D20">
        <v>1</v>
      </c>
      <c r="E20" t="e">
        <v>#DIV/0!</v>
      </c>
      <c r="F20" t="e">
        <v>#DIV/0!</v>
      </c>
      <c r="G20">
        <v>1</v>
      </c>
      <c r="H20" t="e">
        <v>#DIV/0!</v>
      </c>
      <c r="I20" t="e">
        <v>#DIV/0!</v>
      </c>
    </row>
    <row r="21" spans="1:9" x14ac:dyDescent="0.25">
      <c r="A21" t="s">
        <v>300</v>
      </c>
      <c r="B21">
        <v>1</v>
      </c>
      <c r="C21">
        <v>1</v>
      </c>
      <c r="D21">
        <v>1</v>
      </c>
      <c r="E21" t="e">
        <v>#DIV/0!</v>
      </c>
      <c r="F21">
        <v>1.7</v>
      </c>
      <c r="G21">
        <v>1</v>
      </c>
      <c r="H21" t="e">
        <v>#DIV/0!</v>
      </c>
      <c r="I21">
        <v>1.6</v>
      </c>
    </row>
    <row r="22" spans="1:9" x14ac:dyDescent="0.25">
      <c r="A22" t="s">
        <v>301</v>
      </c>
      <c r="B22">
        <v>1.4</v>
      </c>
      <c r="C22">
        <v>1.5</v>
      </c>
      <c r="D22">
        <v>1.2</v>
      </c>
      <c r="E22" t="e">
        <v>#DIV/0!</v>
      </c>
      <c r="F22" t="e">
        <v>#DIV/0!</v>
      </c>
      <c r="G22">
        <v>1.2</v>
      </c>
      <c r="H22" t="e">
        <v>#DIV/0!</v>
      </c>
      <c r="I22" t="e">
        <v>#DIV/0!</v>
      </c>
    </row>
    <row r="23" spans="1:9" x14ac:dyDescent="0.25">
      <c r="A23" t="s">
        <v>302</v>
      </c>
      <c r="B23">
        <v>0.8</v>
      </c>
      <c r="C23">
        <v>0.9</v>
      </c>
      <c r="D23">
        <v>1</v>
      </c>
      <c r="E23">
        <v>0.9</v>
      </c>
      <c r="F23">
        <v>0.8</v>
      </c>
      <c r="G23">
        <v>1</v>
      </c>
      <c r="H23">
        <v>1</v>
      </c>
      <c r="I23">
        <v>0.9</v>
      </c>
    </row>
    <row r="24" spans="1:9" x14ac:dyDescent="0.25">
      <c r="A24" t="s">
        <v>303</v>
      </c>
      <c r="B24">
        <v>1.1000000000000001</v>
      </c>
      <c r="C24">
        <v>1.2</v>
      </c>
      <c r="D24">
        <v>1</v>
      </c>
      <c r="E24">
        <v>1</v>
      </c>
      <c r="F24">
        <v>1.1000000000000001</v>
      </c>
      <c r="G24">
        <v>1</v>
      </c>
      <c r="H24">
        <v>1.1000000000000001</v>
      </c>
      <c r="I24">
        <v>1.1000000000000001</v>
      </c>
    </row>
    <row r="25" spans="1:9" x14ac:dyDescent="0.25">
      <c r="A25" t="s">
        <v>304</v>
      </c>
      <c r="B25">
        <v>1.3</v>
      </c>
      <c r="C25">
        <v>1.2</v>
      </c>
      <c r="D25">
        <v>1.2</v>
      </c>
      <c r="E25">
        <v>1.1000000000000001</v>
      </c>
      <c r="F25">
        <v>3</v>
      </c>
      <c r="G25">
        <v>1.2</v>
      </c>
      <c r="H25">
        <v>1.1000000000000001</v>
      </c>
      <c r="I25">
        <v>3</v>
      </c>
    </row>
    <row r="26" spans="1:9" x14ac:dyDescent="0.25">
      <c r="A26" t="s">
        <v>305</v>
      </c>
      <c r="B26">
        <v>0.6</v>
      </c>
      <c r="C26">
        <v>0.5</v>
      </c>
      <c r="D26">
        <v>0.7</v>
      </c>
      <c r="E26" t="e">
        <v>#DIV/0!</v>
      </c>
      <c r="F26" t="e">
        <v>#DIV/0!</v>
      </c>
      <c r="G26">
        <v>0.7</v>
      </c>
      <c r="H26" t="e">
        <v>#DIV/0!</v>
      </c>
      <c r="I26" t="e">
        <v>#DIV/0!</v>
      </c>
    </row>
    <row r="27" spans="1:9" x14ac:dyDescent="0.25">
      <c r="A27" t="s">
        <v>306</v>
      </c>
      <c r="B27">
        <v>0.9</v>
      </c>
      <c r="C27">
        <v>0.9</v>
      </c>
      <c r="D27">
        <v>1</v>
      </c>
      <c r="E27">
        <v>1.1000000000000001</v>
      </c>
      <c r="F27">
        <v>0.9</v>
      </c>
      <c r="G27">
        <v>1</v>
      </c>
      <c r="H27">
        <v>1.2</v>
      </c>
      <c r="I27">
        <v>0.9</v>
      </c>
    </row>
    <row r="28" spans="1:9" x14ac:dyDescent="0.25">
      <c r="A28" t="s">
        <v>307</v>
      </c>
      <c r="B28">
        <v>1.2</v>
      </c>
      <c r="C28">
        <v>1.1000000000000001</v>
      </c>
      <c r="D28">
        <v>1.1000000000000001</v>
      </c>
      <c r="E28">
        <v>1.2</v>
      </c>
      <c r="F28">
        <v>3.8</v>
      </c>
      <c r="G28">
        <v>1.1000000000000001</v>
      </c>
      <c r="H28">
        <v>1.6</v>
      </c>
      <c r="I28">
        <v>5</v>
      </c>
    </row>
    <row r="29" spans="1:9" x14ac:dyDescent="0.25">
      <c r="A29" t="s">
        <v>266</v>
      </c>
      <c r="B29">
        <v>1</v>
      </c>
      <c r="C29">
        <v>1</v>
      </c>
      <c r="D29">
        <v>1</v>
      </c>
      <c r="E29">
        <v>1.1000000000000001</v>
      </c>
      <c r="F29">
        <v>1.1000000000000001</v>
      </c>
      <c r="G29">
        <v>1</v>
      </c>
      <c r="H29">
        <v>1.1000000000000001</v>
      </c>
      <c r="I29">
        <v>1.1000000000000001</v>
      </c>
    </row>
    <row r="30" spans="1:9" x14ac:dyDescent="0.25">
      <c r="A30" t="s">
        <v>459</v>
      </c>
      <c r="B30">
        <v>1</v>
      </c>
      <c r="C30">
        <v>1</v>
      </c>
      <c r="D30">
        <v>1</v>
      </c>
      <c r="E30">
        <v>1.1000000000000001</v>
      </c>
      <c r="F30">
        <v>1.1000000000000001</v>
      </c>
      <c r="G30">
        <v>1</v>
      </c>
      <c r="H30">
        <v>1.1000000000000001</v>
      </c>
      <c r="I30">
        <v>1.1000000000000001</v>
      </c>
    </row>
    <row r="31" spans="1:9" x14ac:dyDescent="0.25">
      <c r="A31" t="s">
        <v>460</v>
      </c>
      <c r="B31">
        <v>1.1000000000000001</v>
      </c>
      <c r="C31">
        <v>1.1000000000000001</v>
      </c>
      <c r="D31">
        <v>1</v>
      </c>
      <c r="E31">
        <v>0.9</v>
      </c>
      <c r="F31">
        <v>1</v>
      </c>
      <c r="G31">
        <v>1</v>
      </c>
      <c r="H31">
        <v>1</v>
      </c>
      <c r="I31">
        <v>1.1000000000000001</v>
      </c>
    </row>
  </sheetData>
  <mergeCells count="6">
    <mergeCell ref="D2:F2"/>
    <mergeCell ref="A1:J1"/>
    <mergeCell ref="G2:I2"/>
    <mergeCell ref="B2:B3"/>
    <mergeCell ref="A2:A3"/>
    <mergeCell ref="C2:C3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rgb="FF4472C4"/>
  </sheetPr>
  <dimension ref="A1:O20"/>
  <sheetViews>
    <sheetView workbookViewId="0"/>
  </sheetViews>
  <sheetFormatPr defaultRowHeight="15" x14ac:dyDescent="0.25"/>
  <cols>
    <col min="1" max="1" width="19" customWidth="1"/>
    <col min="2" max="2" width="8.42578125" customWidth="1"/>
    <col min="3" max="3" width="7.5703125" customWidth="1"/>
    <col min="4" max="4" width="8.42578125" customWidth="1"/>
    <col min="5" max="5" width="7.5703125" customWidth="1"/>
    <col min="6" max="6" width="8.85546875" customWidth="1"/>
    <col min="8" max="8" width="7.42578125" customWidth="1"/>
    <col min="9" max="9" width="6.42578125" customWidth="1"/>
    <col min="11" max="11" width="7.140625" customWidth="1"/>
    <col min="12" max="12" width="7.28515625" customWidth="1"/>
    <col min="13" max="13" width="7.140625" customWidth="1"/>
    <col min="14" max="14" width="7.42578125" customWidth="1"/>
    <col min="15" max="15" width="7.140625" customWidth="1"/>
  </cols>
  <sheetData>
    <row r="1" spans="1:15" x14ac:dyDescent="0.25">
      <c r="A1" s="29" t="s">
        <v>251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252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x14ac:dyDescent="0.25">
      <c r="A3" s="29" t="s">
        <v>253</v>
      </c>
      <c r="B3" t="s">
        <v>254</v>
      </c>
      <c r="C3" t="s">
        <v>255</v>
      </c>
      <c r="D3" t="s">
        <v>254</v>
      </c>
      <c r="E3" t="s">
        <v>256</v>
      </c>
      <c r="F3" s="29" t="s">
        <v>72</v>
      </c>
      <c r="G3" s="29"/>
      <c r="H3" s="29" t="s">
        <v>257</v>
      </c>
      <c r="I3" s="29"/>
      <c r="J3" s="29" t="s">
        <v>258</v>
      </c>
      <c r="K3" s="29"/>
      <c r="L3" s="29" t="s">
        <v>259</v>
      </c>
      <c r="M3" s="29"/>
      <c r="N3" s="29" t="s">
        <v>260</v>
      </c>
      <c r="O3" s="29"/>
    </row>
    <row r="4" spans="1:15" x14ac:dyDescent="0.25">
      <c r="A4" s="29"/>
      <c r="B4" t="s">
        <v>261</v>
      </c>
      <c r="C4" t="s">
        <v>261</v>
      </c>
      <c r="D4" t="s">
        <v>256</v>
      </c>
      <c r="E4" t="s">
        <v>262</v>
      </c>
      <c r="F4" t="s">
        <v>263</v>
      </c>
      <c r="G4" t="s">
        <v>264</v>
      </c>
      <c r="H4" t="s">
        <v>263</v>
      </c>
      <c r="I4" t="s">
        <v>264</v>
      </c>
      <c r="J4" t="s">
        <v>263</v>
      </c>
      <c r="K4" t="s">
        <v>265</v>
      </c>
      <c r="L4" t="s">
        <v>263</v>
      </c>
      <c r="M4" t="s">
        <v>265</v>
      </c>
      <c r="N4" t="s">
        <v>263</v>
      </c>
      <c r="O4" t="s">
        <v>265</v>
      </c>
    </row>
    <row r="5" spans="1:15" x14ac:dyDescent="0.25">
      <c r="A5" t="s">
        <v>266</v>
      </c>
      <c r="B5">
        <v>13681</v>
      </c>
      <c r="C5">
        <v>0</v>
      </c>
      <c r="D5">
        <v>95909</v>
      </c>
      <c r="E5">
        <v>1393</v>
      </c>
      <c r="F5">
        <v>3277076</v>
      </c>
      <c r="G5">
        <v>1652532</v>
      </c>
      <c r="H5">
        <v>175718</v>
      </c>
      <c r="I5">
        <v>65660</v>
      </c>
      <c r="J5">
        <v>94718</v>
      </c>
      <c r="K5">
        <v>50545</v>
      </c>
      <c r="L5">
        <v>20831</v>
      </c>
      <c r="M5">
        <v>6287</v>
      </c>
      <c r="N5">
        <v>115549</v>
      </c>
      <c r="O5">
        <v>56832</v>
      </c>
    </row>
    <row r="6" spans="1:15" x14ac:dyDescent="0.25">
      <c r="A6" t="s">
        <v>267</v>
      </c>
      <c r="B6">
        <v>1464</v>
      </c>
      <c r="C6">
        <v>0</v>
      </c>
      <c r="D6">
        <v>16171</v>
      </c>
      <c r="E6">
        <v>230</v>
      </c>
      <c r="F6">
        <v>631100</v>
      </c>
      <c r="G6">
        <v>313657</v>
      </c>
      <c r="H6">
        <v>30248</v>
      </c>
      <c r="I6">
        <v>11701</v>
      </c>
      <c r="J6">
        <v>22625</v>
      </c>
      <c r="K6">
        <v>13158</v>
      </c>
      <c r="L6">
        <v>3777</v>
      </c>
      <c r="M6">
        <v>1515</v>
      </c>
      <c r="N6">
        <v>26402</v>
      </c>
      <c r="O6">
        <v>14673</v>
      </c>
    </row>
    <row r="7" spans="1:15" x14ac:dyDescent="0.25">
      <c r="A7" t="s">
        <v>268</v>
      </c>
      <c r="B7">
        <v>12217</v>
      </c>
      <c r="C7">
        <v>0</v>
      </c>
      <c r="D7">
        <v>79738</v>
      </c>
      <c r="E7">
        <v>1163</v>
      </c>
      <c r="F7">
        <v>2645976</v>
      </c>
      <c r="G7">
        <v>1338875</v>
      </c>
      <c r="H7">
        <v>145470</v>
      </c>
      <c r="I7">
        <v>53959</v>
      </c>
      <c r="J7">
        <v>72093</v>
      </c>
      <c r="K7">
        <v>37387</v>
      </c>
      <c r="L7">
        <v>17054</v>
      </c>
      <c r="M7">
        <v>4772</v>
      </c>
      <c r="N7">
        <v>89147</v>
      </c>
      <c r="O7">
        <v>42159</v>
      </c>
    </row>
    <row r="8" spans="1:15" x14ac:dyDescent="0.25">
      <c r="A8" t="s">
        <v>269</v>
      </c>
      <c r="B8">
        <v>4563</v>
      </c>
      <c r="C8">
        <v>0</v>
      </c>
      <c r="D8">
        <v>8482</v>
      </c>
      <c r="E8">
        <v>229</v>
      </c>
      <c r="F8">
        <v>217787</v>
      </c>
      <c r="G8">
        <v>109005</v>
      </c>
      <c r="H8">
        <v>0</v>
      </c>
      <c r="I8">
        <v>0</v>
      </c>
      <c r="J8">
        <v>5621</v>
      </c>
      <c r="K8">
        <v>5337</v>
      </c>
      <c r="L8">
        <v>313</v>
      </c>
      <c r="M8">
        <v>264</v>
      </c>
      <c r="N8">
        <v>5934</v>
      </c>
      <c r="O8">
        <v>5601</v>
      </c>
    </row>
    <row r="9" spans="1:15" x14ac:dyDescent="0.25">
      <c r="A9" t="s">
        <v>270</v>
      </c>
      <c r="B9">
        <v>7306</v>
      </c>
      <c r="C9">
        <v>0</v>
      </c>
      <c r="D9">
        <v>63263</v>
      </c>
      <c r="E9">
        <v>905</v>
      </c>
      <c r="F9">
        <v>2036566</v>
      </c>
      <c r="G9">
        <v>998416</v>
      </c>
      <c r="H9">
        <v>164200</v>
      </c>
      <c r="I9">
        <v>61095</v>
      </c>
      <c r="J9">
        <v>45148</v>
      </c>
      <c r="K9">
        <v>26590</v>
      </c>
      <c r="L9">
        <v>12892</v>
      </c>
      <c r="M9">
        <v>3983</v>
      </c>
      <c r="N9">
        <v>58040</v>
      </c>
      <c r="O9">
        <v>30573</v>
      </c>
    </row>
    <row r="10" spans="1:15" x14ac:dyDescent="0.25">
      <c r="A10" t="s">
        <v>271</v>
      </c>
      <c r="B10">
        <v>1253</v>
      </c>
      <c r="C10">
        <v>0</v>
      </c>
      <c r="D10">
        <v>7938</v>
      </c>
      <c r="E10">
        <v>144</v>
      </c>
      <c r="F10">
        <v>341922</v>
      </c>
      <c r="G10">
        <v>181120</v>
      </c>
      <c r="H10">
        <v>3082</v>
      </c>
      <c r="I10">
        <v>1053</v>
      </c>
      <c r="J10">
        <v>14704</v>
      </c>
      <c r="K10">
        <v>6665</v>
      </c>
      <c r="L10">
        <v>2998</v>
      </c>
      <c r="M10">
        <v>712</v>
      </c>
      <c r="N10">
        <v>17702</v>
      </c>
      <c r="O10">
        <v>7377</v>
      </c>
    </row>
    <row r="11" spans="1:15" x14ac:dyDescent="0.25">
      <c r="A11" t="s">
        <v>272</v>
      </c>
      <c r="B11">
        <v>35</v>
      </c>
      <c r="C11">
        <v>0</v>
      </c>
      <c r="D11">
        <v>572</v>
      </c>
      <c r="E11">
        <v>0</v>
      </c>
      <c r="F11">
        <v>24517</v>
      </c>
      <c r="G11">
        <v>13294</v>
      </c>
      <c r="H11">
        <v>234</v>
      </c>
      <c r="I11">
        <v>99</v>
      </c>
      <c r="J11">
        <v>1058</v>
      </c>
      <c r="K11">
        <v>350</v>
      </c>
      <c r="L11">
        <v>145</v>
      </c>
      <c r="M11">
        <v>35</v>
      </c>
      <c r="N11">
        <v>1203</v>
      </c>
      <c r="O11">
        <v>385</v>
      </c>
    </row>
    <row r="12" spans="1:15" x14ac:dyDescent="0.25">
      <c r="A12" t="s">
        <v>273</v>
      </c>
      <c r="B12">
        <v>524</v>
      </c>
      <c r="C12">
        <v>0</v>
      </c>
      <c r="D12">
        <v>15654</v>
      </c>
      <c r="E12">
        <v>115</v>
      </c>
      <c r="F12">
        <v>656284</v>
      </c>
      <c r="G12">
        <v>350697</v>
      </c>
      <c r="H12">
        <v>8202</v>
      </c>
      <c r="I12">
        <v>3413</v>
      </c>
      <c r="J12">
        <v>28187</v>
      </c>
      <c r="K12">
        <v>11603</v>
      </c>
      <c r="L12">
        <v>4483</v>
      </c>
      <c r="M12">
        <v>1293</v>
      </c>
      <c r="N12">
        <v>32670</v>
      </c>
      <c r="O12">
        <v>12896</v>
      </c>
    </row>
    <row r="13" spans="1:15" x14ac:dyDescent="0.25">
      <c r="A13" t="s">
        <v>274</v>
      </c>
      <c r="B13">
        <v>1777</v>
      </c>
      <c r="C13">
        <v>0</v>
      </c>
      <c r="D13">
        <v>15307</v>
      </c>
      <c r="E13">
        <v>144</v>
      </c>
      <c r="F13">
        <v>662106</v>
      </c>
      <c r="G13">
        <v>348637</v>
      </c>
      <c r="H13">
        <v>7724</v>
      </c>
      <c r="I13">
        <v>2817</v>
      </c>
      <c r="J13">
        <v>28236</v>
      </c>
      <c r="K13">
        <v>12920</v>
      </c>
      <c r="L13">
        <v>5150</v>
      </c>
      <c r="M13">
        <v>1332</v>
      </c>
      <c r="N13">
        <v>33386</v>
      </c>
      <c r="O13">
        <v>14252</v>
      </c>
    </row>
    <row r="14" spans="1:15" x14ac:dyDescent="0.25">
      <c r="A14" t="s">
        <v>275</v>
      </c>
      <c r="B14">
        <v>559</v>
      </c>
      <c r="C14">
        <v>0</v>
      </c>
      <c r="D14">
        <v>8857</v>
      </c>
      <c r="E14">
        <v>115</v>
      </c>
      <c r="F14">
        <v>360617</v>
      </c>
      <c r="G14">
        <v>196474</v>
      </c>
      <c r="H14">
        <v>3794</v>
      </c>
      <c r="I14">
        <v>1748</v>
      </c>
      <c r="J14">
        <v>15713</v>
      </c>
      <c r="K14">
        <v>5698</v>
      </c>
      <c r="L14">
        <v>2476</v>
      </c>
      <c r="M14">
        <v>708</v>
      </c>
      <c r="N14">
        <v>18189</v>
      </c>
      <c r="O14">
        <v>6406</v>
      </c>
    </row>
    <row r="15" spans="1:15" x14ac:dyDescent="0.25">
      <c r="A15" t="s">
        <v>276</v>
      </c>
      <c r="B15">
        <v>1342</v>
      </c>
      <c r="C15">
        <v>0</v>
      </c>
      <c r="D15">
        <v>17223</v>
      </c>
      <c r="E15">
        <v>202</v>
      </c>
      <c r="F15">
        <v>653654</v>
      </c>
      <c r="G15">
        <v>322306</v>
      </c>
      <c r="H15">
        <v>49612</v>
      </c>
      <c r="I15">
        <v>18238</v>
      </c>
      <c r="J15">
        <v>14100</v>
      </c>
      <c r="K15">
        <v>9257</v>
      </c>
      <c r="L15">
        <v>4171</v>
      </c>
      <c r="M15">
        <v>1402</v>
      </c>
      <c r="N15">
        <v>18271</v>
      </c>
      <c r="O15">
        <v>10659</v>
      </c>
    </row>
    <row r="16" spans="1:15" x14ac:dyDescent="0.25">
      <c r="A16" t="s">
        <v>277</v>
      </c>
      <c r="B16">
        <v>5964</v>
      </c>
      <c r="C16">
        <v>0</v>
      </c>
      <c r="D16">
        <v>46040</v>
      </c>
      <c r="E16">
        <v>703</v>
      </c>
      <c r="F16">
        <v>1382912</v>
      </c>
      <c r="G16">
        <v>676110</v>
      </c>
      <c r="H16">
        <v>114588</v>
      </c>
      <c r="I16">
        <v>42857</v>
      </c>
      <c r="J16">
        <v>31048</v>
      </c>
      <c r="K16">
        <v>17333</v>
      </c>
      <c r="L16">
        <v>8721</v>
      </c>
      <c r="M16">
        <v>2581</v>
      </c>
      <c r="N16">
        <v>39769</v>
      </c>
      <c r="O16">
        <v>19914</v>
      </c>
    </row>
    <row r="17" spans="1:15" x14ac:dyDescent="0.25">
      <c r="A17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279</v>
      </c>
      <c r="B18">
        <v>705</v>
      </c>
      <c r="C18">
        <v>0</v>
      </c>
      <c r="D18">
        <v>5084</v>
      </c>
      <c r="E18">
        <v>180</v>
      </c>
      <c r="F18">
        <v>147868</v>
      </c>
      <c r="G18">
        <v>71093</v>
      </c>
      <c r="H18">
        <v>12201</v>
      </c>
      <c r="I18">
        <v>4592</v>
      </c>
      <c r="J18">
        <v>3441</v>
      </c>
      <c r="K18">
        <v>1879</v>
      </c>
      <c r="L18">
        <v>887</v>
      </c>
      <c r="M18">
        <v>296</v>
      </c>
      <c r="N18">
        <v>4328</v>
      </c>
      <c r="O18">
        <v>2175</v>
      </c>
    </row>
    <row r="19" spans="1:15" x14ac:dyDescent="0.25">
      <c r="A19" t="s">
        <v>280</v>
      </c>
      <c r="B19">
        <v>972</v>
      </c>
      <c r="C19">
        <v>0</v>
      </c>
      <c r="D19">
        <v>8406</v>
      </c>
      <c r="E19">
        <v>0</v>
      </c>
      <c r="F19">
        <v>283816</v>
      </c>
      <c r="G19">
        <v>136751</v>
      </c>
      <c r="H19">
        <v>21708</v>
      </c>
      <c r="I19">
        <v>7651</v>
      </c>
      <c r="J19">
        <v>6333</v>
      </c>
      <c r="K19">
        <v>3608</v>
      </c>
      <c r="L19">
        <v>2029</v>
      </c>
      <c r="M19">
        <v>607</v>
      </c>
      <c r="N19">
        <v>8362</v>
      </c>
      <c r="O19">
        <v>4215</v>
      </c>
    </row>
    <row r="20" spans="1:15" x14ac:dyDescent="0.25">
      <c r="A20" t="s">
        <v>281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rgb="FF4472C4"/>
  </sheetPr>
  <dimension ref="A1:P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9" customWidth="1"/>
    <col min="5" max="5" width="8.85546875" customWidth="1"/>
    <col min="6" max="6" width="10.140625" customWidth="1"/>
    <col min="8" max="8" width="8.7109375" customWidth="1"/>
    <col min="9" max="9" width="7.7109375" customWidth="1"/>
    <col min="13" max="13" width="7.140625" customWidth="1"/>
    <col min="14" max="14" width="8.7109375" customWidth="1"/>
    <col min="15" max="15" width="7.7109375" customWidth="1"/>
  </cols>
  <sheetData>
    <row r="1" spans="1:16" x14ac:dyDescent="0.25">
      <c r="A1" s="29" t="s">
        <v>282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256</v>
      </c>
      <c r="F2" s="29" t="s">
        <v>72</v>
      </c>
      <c r="G2" s="29"/>
      <c r="H2" s="29" t="s">
        <v>257</v>
      </c>
      <c r="I2" s="29"/>
      <c r="J2" s="29" t="s">
        <v>258</v>
      </c>
      <c r="K2" s="29"/>
      <c r="L2" s="29" t="s">
        <v>259</v>
      </c>
      <c r="M2" s="29"/>
      <c r="N2" s="29" t="s">
        <v>260</v>
      </c>
      <c r="O2" s="29"/>
    </row>
    <row r="3" spans="1:16" x14ac:dyDescent="0.25">
      <c r="A3" s="29"/>
      <c r="B3" t="s">
        <v>261</v>
      </c>
      <c r="C3" t="s">
        <v>261</v>
      </c>
      <c r="D3" t="s">
        <v>256</v>
      </c>
      <c r="E3" t="s">
        <v>262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265</v>
      </c>
      <c r="L3" t="s">
        <v>263</v>
      </c>
      <c r="M3" t="s">
        <v>265</v>
      </c>
      <c r="N3" t="s">
        <v>263</v>
      </c>
      <c r="O3" t="s">
        <v>265</v>
      </c>
    </row>
    <row r="4" spans="1:16" x14ac:dyDescent="0.25">
      <c r="A4" t="s">
        <v>283</v>
      </c>
      <c r="B4">
        <v>822</v>
      </c>
      <c r="C4">
        <v>0</v>
      </c>
      <c r="D4">
        <v>4882</v>
      </c>
      <c r="E4">
        <v>23</v>
      </c>
      <c r="F4">
        <v>164159</v>
      </c>
      <c r="G4">
        <v>82496</v>
      </c>
      <c r="H4">
        <v>5391</v>
      </c>
      <c r="I4">
        <v>1961</v>
      </c>
      <c r="J4">
        <v>4766</v>
      </c>
      <c r="K4">
        <v>2503</v>
      </c>
      <c r="L4">
        <v>938</v>
      </c>
      <c r="M4">
        <v>243</v>
      </c>
      <c r="N4">
        <v>5704</v>
      </c>
      <c r="O4">
        <v>2746</v>
      </c>
    </row>
    <row r="5" spans="1:16" x14ac:dyDescent="0.25">
      <c r="A5" t="s">
        <v>284</v>
      </c>
      <c r="B5">
        <v>1170</v>
      </c>
      <c r="C5">
        <v>0</v>
      </c>
      <c r="D5">
        <v>7827</v>
      </c>
      <c r="E5">
        <v>63</v>
      </c>
      <c r="F5">
        <v>257116</v>
      </c>
      <c r="G5">
        <v>128312</v>
      </c>
      <c r="H5">
        <v>13223</v>
      </c>
      <c r="I5">
        <v>5076</v>
      </c>
      <c r="J5">
        <v>7099</v>
      </c>
      <c r="K5">
        <v>4290</v>
      </c>
      <c r="L5">
        <v>1758</v>
      </c>
      <c r="M5">
        <v>670</v>
      </c>
      <c r="N5">
        <v>8857</v>
      </c>
      <c r="O5">
        <v>4960</v>
      </c>
    </row>
    <row r="6" spans="1:16" x14ac:dyDescent="0.25">
      <c r="A6" t="s">
        <v>285</v>
      </c>
      <c r="B6">
        <v>820</v>
      </c>
      <c r="C6">
        <v>0</v>
      </c>
      <c r="D6">
        <v>6116</v>
      </c>
      <c r="E6">
        <v>146</v>
      </c>
      <c r="F6">
        <v>223361</v>
      </c>
      <c r="G6">
        <v>118213</v>
      </c>
      <c r="H6">
        <v>14549</v>
      </c>
      <c r="I6">
        <v>5407</v>
      </c>
      <c r="J6">
        <v>5840</v>
      </c>
      <c r="K6">
        <v>3411</v>
      </c>
      <c r="L6">
        <v>1779</v>
      </c>
      <c r="M6">
        <v>722</v>
      </c>
      <c r="N6">
        <v>7619</v>
      </c>
      <c r="O6">
        <v>4133</v>
      </c>
    </row>
    <row r="7" spans="1:16" x14ac:dyDescent="0.25">
      <c r="A7" t="s">
        <v>286</v>
      </c>
      <c r="B7">
        <v>472</v>
      </c>
      <c r="C7">
        <v>0</v>
      </c>
      <c r="D7">
        <v>3307</v>
      </c>
      <c r="E7">
        <v>23</v>
      </c>
      <c r="F7">
        <v>118383</v>
      </c>
      <c r="G7">
        <v>61090</v>
      </c>
      <c r="H7">
        <v>6480</v>
      </c>
      <c r="I7">
        <v>2210</v>
      </c>
      <c r="J7">
        <v>3586</v>
      </c>
      <c r="K7">
        <v>1776</v>
      </c>
      <c r="L7">
        <v>740</v>
      </c>
      <c r="M7">
        <v>213</v>
      </c>
      <c r="N7">
        <v>4326</v>
      </c>
      <c r="O7">
        <v>1989</v>
      </c>
    </row>
    <row r="8" spans="1:16" x14ac:dyDescent="0.25">
      <c r="A8" t="s">
        <v>287</v>
      </c>
      <c r="B8">
        <v>631</v>
      </c>
      <c r="C8">
        <v>0</v>
      </c>
      <c r="D8">
        <v>4182</v>
      </c>
      <c r="E8">
        <v>37</v>
      </c>
      <c r="F8">
        <v>165484</v>
      </c>
      <c r="G8">
        <v>81809</v>
      </c>
      <c r="H8">
        <v>6624</v>
      </c>
      <c r="I8">
        <v>2620</v>
      </c>
      <c r="J8">
        <v>4308</v>
      </c>
      <c r="K8">
        <v>1970</v>
      </c>
      <c r="L8">
        <v>871</v>
      </c>
      <c r="M8">
        <v>177</v>
      </c>
      <c r="N8">
        <v>5179</v>
      </c>
      <c r="O8">
        <v>2147</v>
      </c>
    </row>
    <row r="9" spans="1:16" x14ac:dyDescent="0.25">
      <c r="A9" t="s">
        <v>288</v>
      </c>
      <c r="B9">
        <v>800</v>
      </c>
      <c r="C9">
        <v>0</v>
      </c>
      <c r="D9">
        <v>4920</v>
      </c>
      <c r="E9">
        <v>69</v>
      </c>
      <c r="F9">
        <v>158695</v>
      </c>
      <c r="G9">
        <v>84240</v>
      </c>
      <c r="H9">
        <v>8224</v>
      </c>
      <c r="I9">
        <v>3068</v>
      </c>
      <c r="J9">
        <v>4463</v>
      </c>
      <c r="K9">
        <v>2526</v>
      </c>
      <c r="L9">
        <v>828</v>
      </c>
      <c r="M9">
        <v>218</v>
      </c>
      <c r="N9">
        <v>5291</v>
      </c>
      <c r="O9">
        <v>2744</v>
      </c>
    </row>
    <row r="10" spans="1:16" x14ac:dyDescent="0.25">
      <c r="A10" t="s">
        <v>289</v>
      </c>
      <c r="B10">
        <v>612</v>
      </c>
      <c r="C10">
        <v>0</v>
      </c>
      <c r="D10">
        <v>4710</v>
      </c>
      <c r="E10">
        <v>79</v>
      </c>
      <c r="F10">
        <v>125456</v>
      </c>
      <c r="G10">
        <v>61766</v>
      </c>
      <c r="H10">
        <v>4613</v>
      </c>
      <c r="I10">
        <v>1626</v>
      </c>
      <c r="J10">
        <v>4740</v>
      </c>
      <c r="K10">
        <v>2374</v>
      </c>
      <c r="L10">
        <v>998</v>
      </c>
      <c r="M10">
        <v>226</v>
      </c>
      <c r="N10">
        <v>5738</v>
      </c>
      <c r="O10">
        <v>2600</v>
      </c>
    </row>
    <row r="11" spans="1:16" x14ac:dyDescent="0.25">
      <c r="A11" t="s">
        <v>290</v>
      </c>
      <c r="B11">
        <v>761</v>
      </c>
      <c r="C11">
        <v>0</v>
      </c>
      <c r="D11">
        <v>6810</v>
      </c>
      <c r="E11">
        <v>175</v>
      </c>
      <c r="F11">
        <v>263786</v>
      </c>
      <c r="G11">
        <v>130356</v>
      </c>
      <c r="H11">
        <v>19661</v>
      </c>
      <c r="I11">
        <v>7286</v>
      </c>
      <c r="J11">
        <v>7299</v>
      </c>
      <c r="K11">
        <v>4114</v>
      </c>
      <c r="L11">
        <v>1516</v>
      </c>
      <c r="M11">
        <v>402</v>
      </c>
      <c r="N11">
        <v>8815</v>
      </c>
      <c r="O11">
        <v>4516</v>
      </c>
    </row>
    <row r="12" spans="1:16" x14ac:dyDescent="0.25">
      <c r="A12" t="s">
        <v>291</v>
      </c>
      <c r="B12">
        <v>50</v>
      </c>
      <c r="C12">
        <v>0</v>
      </c>
      <c r="D12">
        <v>300</v>
      </c>
      <c r="E12">
        <v>9</v>
      </c>
      <c r="F12">
        <v>9014</v>
      </c>
      <c r="G12">
        <v>4477</v>
      </c>
      <c r="H12">
        <v>350</v>
      </c>
      <c r="I12">
        <v>111</v>
      </c>
      <c r="J12">
        <v>476</v>
      </c>
      <c r="K12">
        <v>258</v>
      </c>
      <c r="L12">
        <v>97</v>
      </c>
      <c r="M12">
        <v>19</v>
      </c>
      <c r="N12">
        <v>573</v>
      </c>
      <c r="O12">
        <v>277</v>
      </c>
    </row>
    <row r="13" spans="1:16" x14ac:dyDescent="0.25">
      <c r="A13" t="s">
        <v>292</v>
      </c>
      <c r="B13">
        <v>223</v>
      </c>
      <c r="C13">
        <v>0</v>
      </c>
      <c r="D13">
        <v>1204</v>
      </c>
      <c r="E13">
        <v>2</v>
      </c>
      <c r="F13">
        <v>28113</v>
      </c>
      <c r="G13">
        <v>13868</v>
      </c>
      <c r="H13">
        <v>995</v>
      </c>
      <c r="I13">
        <v>376</v>
      </c>
      <c r="J13">
        <v>1199</v>
      </c>
      <c r="K13">
        <v>578</v>
      </c>
      <c r="L13">
        <v>186</v>
      </c>
      <c r="M13">
        <v>53</v>
      </c>
      <c r="N13">
        <v>1385</v>
      </c>
      <c r="O13">
        <v>631</v>
      </c>
    </row>
    <row r="14" spans="1:16" x14ac:dyDescent="0.25">
      <c r="A14" t="s">
        <v>293</v>
      </c>
      <c r="B14">
        <v>446</v>
      </c>
      <c r="C14">
        <v>0</v>
      </c>
      <c r="D14">
        <v>2993</v>
      </c>
      <c r="E14">
        <v>71</v>
      </c>
      <c r="F14">
        <v>89547</v>
      </c>
      <c r="G14">
        <v>47017</v>
      </c>
      <c r="H14">
        <v>6580</v>
      </c>
      <c r="I14">
        <v>2591</v>
      </c>
      <c r="J14">
        <v>2696</v>
      </c>
      <c r="K14">
        <v>1706</v>
      </c>
      <c r="L14">
        <v>404</v>
      </c>
      <c r="M14">
        <v>144</v>
      </c>
      <c r="N14">
        <v>3100</v>
      </c>
      <c r="O14">
        <v>1850</v>
      </c>
    </row>
    <row r="15" spans="1:16" x14ac:dyDescent="0.25">
      <c r="A15" t="s">
        <v>294</v>
      </c>
      <c r="B15">
        <v>132</v>
      </c>
      <c r="C15">
        <v>0</v>
      </c>
      <c r="D15">
        <v>862</v>
      </c>
      <c r="E15">
        <v>2</v>
      </c>
      <c r="F15">
        <v>22045</v>
      </c>
      <c r="G15">
        <v>11465</v>
      </c>
      <c r="H15">
        <v>1161</v>
      </c>
      <c r="I15">
        <v>439</v>
      </c>
      <c r="J15">
        <v>937</v>
      </c>
      <c r="K15">
        <v>484</v>
      </c>
      <c r="L15">
        <v>68</v>
      </c>
      <c r="M15">
        <v>12</v>
      </c>
      <c r="N15">
        <v>1005</v>
      </c>
      <c r="O15">
        <v>496</v>
      </c>
    </row>
    <row r="16" spans="1:16" x14ac:dyDescent="0.25">
      <c r="A16" t="s">
        <v>295</v>
      </c>
      <c r="B16">
        <v>366</v>
      </c>
      <c r="C16">
        <v>0</v>
      </c>
      <c r="D16">
        <v>2090</v>
      </c>
      <c r="E16">
        <v>1</v>
      </c>
      <c r="F16">
        <v>57618</v>
      </c>
      <c r="G16">
        <v>28479</v>
      </c>
      <c r="H16">
        <v>3547</v>
      </c>
      <c r="I16">
        <v>1318</v>
      </c>
      <c r="J16">
        <v>1641</v>
      </c>
      <c r="K16">
        <v>767</v>
      </c>
      <c r="L16">
        <v>349</v>
      </c>
      <c r="M16">
        <v>87</v>
      </c>
      <c r="N16">
        <v>1990</v>
      </c>
      <c r="O16">
        <v>854</v>
      </c>
    </row>
    <row r="17" spans="1:15" x14ac:dyDescent="0.25">
      <c r="A17" t="s">
        <v>296</v>
      </c>
      <c r="B17">
        <v>82</v>
      </c>
      <c r="C17">
        <v>0</v>
      </c>
      <c r="D17">
        <v>540</v>
      </c>
      <c r="E17">
        <v>0</v>
      </c>
      <c r="F17">
        <v>16283</v>
      </c>
      <c r="G17">
        <v>8278</v>
      </c>
      <c r="H17">
        <v>947</v>
      </c>
      <c r="I17">
        <v>375</v>
      </c>
      <c r="J17">
        <v>669</v>
      </c>
      <c r="K17">
        <v>355</v>
      </c>
      <c r="L17">
        <v>95</v>
      </c>
      <c r="M17">
        <v>30</v>
      </c>
      <c r="N17">
        <v>764</v>
      </c>
      <c r="O17">
        <v>385</v>
      </c>
    </row>
    <row r="18" spans="1:15" x14ac:dyDescent="0.25">
      <c r="A18" t="s">
        <v>297</v>
      </c>
      <c r="B18">
        <v>380</v>
      </c>
      <c r="C18">
        <v>0</v>
      </c>
      <c r="D18">
        <v>5707</v>
      </c>
      <c r="E18">
        <v>115</v>
      </c>
      <c r="F18">
        <v>245356</v>
      </c>
      <c r="G18">
        <v>119102</v>
      </c>
      <c r="H18">
        <v>9470</v>
      </c>
      <c r="I18">
        <v>3699</v>
      </c>
      <c r="J18">
        <v>9242</v>
      </c>
      <c r="K18">
        <v>5332</v>
      </c>
      <c r="L18">
        <v>1170</v>
      </c>
      <c r="M18">
        <v>453</v>
      </c>
      <c r="N18">
        <v>10412</v>
      </c>
      <c r="O18">
        <v>5785</v>
      </c>
    </row>
    <row r="19" spans="1:15" x14ac:dyDescent="0.25">
      <c r="A19" t="s">
        <v>298</v>
      </c>
      <c r="B19">
        <v>159</v>
      </c>
      <c r="C19">
        <v>0</v>
      </c>
      <c r="D19">
        <v>1252</v>
      </c>
      <c r="E19">
        <v>0</v>
      </c>
      <c r="F19">
        <v>44262</v>
      </c>
      <c r="G19">
        <v>21758</v>
      </c>
      <c r="H19">
        <v>2592</v>
      </c>
      <c r="I19">
        <v>998</v>
      </c>
      <c r="J19">
        <v>1658</v>
      </c>
      <c r="K19">
        <v>856</v>
      </c>
      <c r="L19">
        <v>272</v>
      </c>
      <c r="M19">
        <v>81</v>
      </c>
      <c r="N19">
        <v>1930</v>
      </c>
      <c r="O19">
        <v>937</v>
      </c>
    </row>
    <row r="20" spans="1:15" x14ac:dyDescent="0.25">
      <c r="A20" t="s">
        <v>299</v>
      </c>
      <c r="B20">
        <v>411</v>
      </c>
      <c r="C20">
        <v>0</v>
      </c>
      <c r="D20">
        <v>2228</v>
      </c>
      <c r="E20">
        <v>5</v>
      </c>
      <c r="F20">
        <v>58449</v>
      </c>
      <c r="G20">
        <v>29838</v>
      </c>
      <c r="H20">
        <v>4311</v>
      </c>
      <c r="I20">
        <v>1737</v>
      </c>
      <c r="J20">
        <v>2178</v>
      </c>
      <c r="K20">
        <v>1139</v>
      </c>
      <c r="L20">
        <v>350</v>
      </c>
      <c r="M20">
        <v>109</v>
      </c>
      <c r="N20">
        <v>2528</v>
      </c>
      <c r="O20">
        <v>1248</v>
      </c>
    </row>
    <row r="21" spans="1:15" x14ac:dyDescent="0.25">
      <c r="A21" t="s">
        <v>300</v>
      </c>
      <c r="B21">
        <v>1071</v>
      </c>
      <c r="C21">
        <v>0</v>
      </c>
      <c r="D21">
        <v>6884</v>
      </c>
      <c r="E21">
        <v>163</v>
      </c>
      <c r="F21">
        <v>241931</v>
      </c>
      <c r="G21">
        <v>118122</v>
      </c>
      <c r="H21">
        <v>12332</v>
      </c>
      <c r="I21">
        <v>4439</v>
      </c>
      <c r="J21">
        <v>5860</v>
      </c>
      <c r="K21">
        <v>2826</v>
      </c>
      <c r="L21">
        <v>1926</v>
      </c>
      <c r="M21">
        <v>504</v>
      </c>
      <c r="N21">
        <v>7786</v>
      </c>
      <c r="O21">
        <v>3330</v>
      </c>
    </row>
    <row r="22" spans="1:15" x14ac:dyDescent="0.25">
      <c r="A22" t="s">
        <v>301</v>
      </c>
      <c r="B22">
        <v>551</v>
      </c>
      <c r="C22">
        <v>0</v>
      </c>
      <c r="D22">
        <v>3355</v>
      </c>
      <c r="E22">
        <v>50</v>
      </c>
      <c r="F22">
        <v>111387</v>
      </c>
      <c r="G22">
        <v>58990</v>
      </c>
      <c r="H22">
        <v>6787</v>
      </c>
      <c r="I22">
        <v>2646</v>
      </c>
      <c r="J22">
        <v>3140</v>
      </c>
      <c r="K22">
        <v>1585</v>
      </c>
      <c r="L22">
        <v>735</v>
      </c>
      <c r="M22">
        <v>205</v>
      </c>
      <c r="N22">
        <v>3875</v>
      </c>
      <c r="O22">
        <v>1790</v>
      </c>
    </row>
    <row r="23" spans="1:15" x14ac:dyDescent="0.25">
      <c r="A23" t="s">
        <v>302</v>
      </c>
      <c r="B23">
        <v>328</v>
      </c>
      <c r="C23">
        <v>0</v>
      </c>
      <c r="D23">
        <v>1967</v>
      </c>
      <c r="E23">
        <v>14</v>
      </c>
      <c r="F23">
        <v>56346</v>
      </c>
      <c r="G23">
        <v>28110</v>
      </c>
      <c r="H23">
        <v>2294</v>
      </c>
      <c r="I23">
        <v>934</v>
      </c>
      <c r="J23">
        <v>1430</v>
      </c>
      <c r="K23">
        <v>699</v>
      </c>
      <c r="L23">
        <v>142</v>
      </c>
      <c r="M23">
        <v>43</v>
      </c>
      <c r="N23">
        <v>1572</v>
      </c>
      <c r="O23">
        <v>742</v>
      </c>
    </row>
    <row r="24" spans="1:15" x14ac:dyDescent="0.25">
      <c r="A24" t="s">
        <v>303</v>
      </c>
      <c r="B24">
        <v>1109</v>
      </c>
      <c r="C24">
        <v>0</v>
      </c>
      <c r="D24">
        <v>7625</v>
      </c>
      <c r="E24">
        <v>91</v>
      </c>
      <c r="F24">
        <v>278744</v>
      </c>
      <c r="G24">
        <v>143448</v>
      </c>
      <c r="H24">
        <v>17570</v>
      </c>
      <c r="I24">
        <v>6287</v>
      </c>
      <c r="J24">
        <v>5943</v>
      </c>
      <c r="K24">
        <v>3759</v>
      </c>
      <c r="L24">
        <v>1758</v>
      </c>
      <c r="M24">
        <v>734</v>
      </c>
      <c r="N24">
        <v>7701</v>
      </c>
      <c r="O24">
        <v>4493</v>
      </c>
    </row>
    <row r="25" spans="1:15" x14ac:dyDescent="0.25">
      <c r="A25" t="s">
        <v>304</v>
      </c>
      <c r="B25">
        <v>259</v>
      </c>
      <c r="C25">
        <v>0</v>
      </c>
      <c r="D25">
        <v>1782</v>
      </c>
      <c r="E25">
        <v>2</v>
      </c>
      <c r="F25">
        <v>38032</v>
      </c>
      <c r="G25">
        <v>19508</v>
      </c>
      <c r="H25">
        <v>3576</v>
      </c>
      <c r="I25">
        <v>1532</v>
      </c>
      <c r="J25">
        <v>1411</v>
      </c>
      <c r="K25">
        <v>787</v>
      </c>
      <c r="L25">
        <v>194</v>
      </c>
      <c r="M25">
        <v>57</v>
      </c>
      <c r="N25">
        <v>1605</v>
      </c>
      <c r="O25">
        <v>844</v>
      </c>
    </row>
    <row r="26" spans="1:15" x14ac:dyDescent="0.25">
      <c r="A26" t="s">
        <v>305</v>
      </c>
      <c r="B26">
        <v>511</v>
      </c>
      <c r="C26">
        <v>0</v>
      </c>
      <c r="D26">
        <v>3568</v>
      </c>
      <c r="E26">
        <v>48</v>
      </c>
      <c r="F26">
        <v>121308</v>
      </c>
      <c r="G26">
        <v>59173</v>
      </c>
      <c r="H26">
        <v>4560</v>
      </c>
      <c r="I26">
        <v>1574</v>
      </c>
      <c r="J26">
        <v>3747</v>
      </c>
      <c r="K26">
        <v>1499</v>
      </c>
      <c r="L26">
        <v>971</v>
      </c>
      <c r="M26">
        <v>221</v>
      </c>
      <c r="N26">
        <v>4718</v>
      </c>
      <c r="O26">
        <v>1720</v>
      </c>
    </row>
    <row r="27" spans="1:15" x14ac:dyDescent="0.25">
      <c r="A27" t="s">
        <v>306</v>
      </c>
      <c r="B27">
        <v>802</v>
      </c>
      <c r="C27">
        <v>0</v>
      </c>
      <c r="D27">
        <v>5907</v>
      </c>
      <c r="E27">
        <v>154</v>
      </c>
      <c r="F27">
        <v>200404</v>
      </c>
      <c r="G27">
        <v>98718</v>
      </c>
      <c r="H27">
        <v>9808</v>
      </c>
      <c r="I27">
        <v>3522</v>
      </c>
      <c r="J27">
        <v>6486</v>
      </c>
      <c r="K27">
        <v>2754</v>
      </c>
      <c r="L27">
        <v>1771</v>
      </c>
      <c r="M27">
        <v>393</v>
      </c>
      <c r="N27">
        <v>8257</v>
      </c>
      <c r="O27">
        <v>3147</v>
      </c>
    </row>
    <row r="28" spans="1:15" x14ac:dyDescent="0.25">
      <c r="A28" t="s">
        <v>307</v>
      </c>
      <c r="B28">
        <v>723</v>
      </c>
      <c r="C28">
        <v>0</v>
      </c>
      <c r="D28">
        <v>4891</v>
      </c>
      <c r="E28">
        <v>51</v>
      </c>
      <c r="F28">
        <v>170498</v>
      </c>
      <c r="G28">
        <v>85439</v>
      </c>
      <c r="H28">
        <v>10073</v>
      </c>
      <c r="I28">
        <v>3828</v>
      </c>
      <c r="J28">
        <v>3904</v>
      </c>
      <c r="K28">
        <v>2197</v>
      </c>
      <c r="L28">
        <v>915</v>
      </c>
      <c r="M28">
        <v>271</v>
      </c>
      <c r="N28">
        <v>4819</v>
      </c>
      <c r="O28">
        <v>2468</v>
      </c>
    </row>
    <row r="29" spans="1:15" x14ac:dyDescent="0.25">
      <c r="A29" t="s">
        <v>266</v>
      </c>
      <c r="B29">
        <v>13681</v>
      </c>
      <c r="C29">
        <v>0</v>
      </c>
      <c r="D29">
        <v>95909</v>
      </c>
      <c r="E29">
        <v>1393</v>
      </c>
      <c r="F29">
        <v>3277076</v>
      </c>
      <c r="G29">
        <v>1652532</v>
      </c>
      <c r="H29">
        <v>175718</v>
      </c>
      <c r="I29">
        <v>65660</v>
      </c>
      <c r="J29">
        <v>94718</v>
      </c>
      <c r="K29">
        <v>50545</v>
      </c>
      <c r="L29">
        <v>20831</v>
      </c>
      <c r="M29">
        <v>6287</v>
      </c>
      <c r="N29">
        <v>115549</v>
      </c>
      <c r="O29">
        <v>56832</v>
      </c>
    </row>
    <row r="30" spans="1:15" x14ac:dyDescent="0.25">
      <c r="A30" t="s">
        <v>308</v>
      </c>
      <c r="B30">
        <v>1464</v>
      </c>
      <c r="C30">
        <v>0</v>
      </c>
      <c r="D30">
        <v>16171</v>
      </c>
      <c r="E30">
        <v>230</v>
      </c>
      <c r="F30">
        <v>631100</v>
      </c>
      <c r="G30">
        <v>313657</v>
      </c>
      <c r="H30">
        <v>30248</v>
      </c>
      <c r="I30">
        <v>11701</v>
      </c>
      <c r="J30">
        <v>22625</v>
      </c>
      <c r="K30">
        <v>13158</v>
      </c>
      <c r="L30">
        <v>3777</v>
      </c>
      <c r="M30">
        <v>1515</v>
      </c>
      <c r="N30">
        <v>26402</v>
      </c>
      <c r="O30">
        <v>14673</v>
      </c>
    </row>
    <row r="31" spans="1:15" x14ac:dyDescent="0.25">
      <c r="A31" t="s">
        <v>309</v>
      </c>
      <c r="B31">
        <v>12217</v>
      </c>
      <c r="C31">
        <v>0</v>
      </c>
      <c r="D31">
        <v>79738</v>
      </c>
      <c r="E31">
        <v>1163</v>
      </c>
      <c r="F31">
        <v>2645976</v>
      </c>
      <c r="G31">
        <v>1338875</v>
      </c>
      <c r="H31">
        <v>145470</v>
      </c>
      <c r="I31">
        <v>53959</v>
      </c>
      <c r="J31">
        <v>72093</v>
      </c>
      <c r="K31">
        <v>37387</v>
      </c>
      <c r="L31">
        <v>17054</v>
      </c>
      <c r="M31">
        <v>4772</v>
      </c>
      <c r="N31">
        <v>89147</v>
      </c>
      <c r="O31">
        <v>42159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8.7109375" customWidth="1"/>
    <col min="9" max="9" width="6.7109375" customWidth="1"/>
    <col min="11" max="11" width="7.7109375" customWidth="1"/>
    <col min="13" max="13" width="6.7109375" customWidth="1"/>
    <col min="14" max="14" width="7.140625" customWidth="1"/>
    <col min="15" max="15" width="7.7109375" customWidth="1"/>
  </cols>
  <sheetData>
    <row r="1" spans="1:17" x14ac:dyDescent="0.25">
      <c r="A1" s="29" t="s">
        <v>310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7" x14ac:dyDescent="0.25">
      <c r="A3" s="29"/>
      <c r="B3" t="s">
        <v>312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30</v>
      </c>
      <c r="C4">
        <v>0</v>
      </c>
      <c r="D4">
        <v>692</v>
      </c>
      <c r="E4">
        <v>687</v>
      </c>
      <c r="F4">
        <v>0</v>
      </c>
      <c r="G4">
        <v>31897</v>
      </c>
      <c r="H4">
        <v>17592</v>
      </c>
      <c r="I4">
        <v>252</v>
      </c>
      <c r="J4">
        <v>104</v>
      </c>
      <c r="K4">
        <v>1330</v>
      </c>
      <c r="L4">
        <v>535</v>
      </c>
      <c r="M4">
        <v>197</v>
      </c>
      <c r="N4">
        <v>55</v>
      </c>
      <c r="O4">
        <v>1527</v>
      </c>
      <c r="P4">
        <v>590</v>
      </c>
    </row>
    <row r="5" spans="1:17" x14ac:dyDescent="0.25">
      <c r="A5" t="s">
        <v>284</v>
      </c>
      <c r="B5">
        <v>29</v>
      </c>
      <c r="C5">
        <v>0</v>
      </c>
      <c r="D5">
        <v>877</v>
      </c>
      <c r="E5">
        <v>817</v>
      </c>
      <c r="F5">
        <v>0</v>
      </c>
      <c r="G5">
        <v>41587</v>
      </c>
      <c r="H5">
        <v>22710</v>
      </c>
      <c r="I5">
        <v>565</v>
      </c>
      <c r="J5">
        <v>282</v>
      </c>
      <c r="K5">
        <v>1456</v>
      </c>
      <c r="L5">
        <v>668</v>
      </c>
      <c r="M5">
        <v>232</v>
      </c>
      <c r="N5">
        <v>76</v>
      </c>
      <c r="O5">
        <v>1688</v>
      </c>
      <c r="P5">
        <v>744</v>
      </c>
    </row>
    <row r="6" spans="1:17" x14ac:dyDescent="0.25">
      <c r="A6" t="s">
        <v>285</v>
      </c>
      <c r="B6">
        <v>43</v>
      </c>
      <c r="C6">
        <v>0</v>
      </c>
      <c r="D6">
        <v>1095</v>
      </c>
      <c r="E6">
        <v>1026</v>
      </c>
      <c r="F6">
        <v>10</v>
      </c>
      <c r="G6">
        <v>48289</v>
      </c>
      <c r="H6">
        <v>26749</v>
      </c>
      <c r="I6">
        <v>705</v>
      </c>
      <c r="J6">
        <v>359</v>
      </c>
      <c r="K6">
        <v>2078</v>
      </c>
      <c r="L6">
        <v>952</v>
      </c>
      <c r="M6">
        <v>463</v>
      </c>
      <c r="N6">
        <v>202</v>
      </c>
      <c r="O6">
        <v>2541</v>
      </c>
      <c r="P6">
        <v>1154</v>
      </c>
    </row>
    <row r="7" spans="1:17" x14ac:dyDescent="0.25">
      <c r="A7" t="s">
        <v>286</v>
      </c>
      <c r="B7">
        <v>16</v>
      </c>
      <c r="C7">
        <v>0</v>
      </c>
      <c r="D7">
        <v>492</v>
      </c>
      <c r="E7">
        <v>480</v>
      </c>
      <c r="F7">
        <v>0</v>
      </c>
      <c r="G7">
        <v>22200</v>
      </c>
      <c r="H7">
        <v>12346</v>
      </c>
      <c r="I7">
        <v>187</v>
      </c>
      <c r="J7">
        <v>91</v>
      </c>
      <c r="K7">
        <v>1060</v>
      </c>
      <c r="L7">
        <v>411</v>
      </c>
      <c r="M7">
        <v>186</v>
      </c>
      <c r="N7">
        <v>51</v>
      </c>
      <c r="O7">
        <v>1246</v>
      </c>
      <c r="P7">
        <v>462</v>
      </c>
    </row>
    <row r="8" spans="1:17" x14ac:dyDescent="0.25">
      <c r="A8" t="s">
        <v>287</v>
      </c>
      <c r="B8">
        <v>25</v>
      </c>
      <c r="C8">
        <v>0</v>
      </c>
      <c r="D8">
        <v>576</v>
      </c>
      <c r="E8">
        <v>523</v>
      </c>
      <c r="F8">
        <v>2</v>
      </c>
      <c r="G8">
        <v>29701</v>
      </c>
      <c r="H8">
        <v>15670</v>
      </c>
      <c r="I8">
        <v>291</v>
      </c>
      <c r="J8">
        <v>97</v>
      </c>
      <c r="K8">
        <v>1084</v>
      </c>
      <c r="L8">
        <v>399</v>
      </c>
      <c r="M8">
        <v>185</v>
      </c>
      <c r="N8">
        <v>29</v>
      </c>
      <c r="O8">
        <v>1269</v>
      </c>
      <c r="P8">
        <v>428</v>
      </c>
    </row>
    <row r="9" spans="1:17" x14ac:dyDescent="0.25">
      <c r="A9" t="s">
        <v>288</v>
      </c>
      <c r="B9">
        <v>25</v>
      </c>
      <c r="C9">
        <v>0</v>
      </c>
      <c r="D9">
        <v>695</v>
      </c>
      <c r="E9">
        <v>660</v>
      </c>
      <c r="F9">
        <v>0</v>
      </c>
      <c r="G9">
        <v>30546</v>
      </c>
      <c r="H9">
        <v>16866</v>
      </c>
      <c r="I9">
        <v>217</v>
      </c>
      <c r="J9">
        <v>65</v>
      </c>
      <c r="K9">
        <v>1100</v>
      </c>
      <c r="L9">
        <v>502</v>
      </c>
      <c r="M9">
        <v>201</v>
      </c>
      <c r="N9">
        <v>47</v>
      </c>
      <c r="O9">
        <v>1301</v>
      </c>
      <c r="P9">
        <v>549</v>
      </c>
    </row>
    <row r="10" spans="1:17" x14ac:dyDescent="0.25">
      <c r="A10" t="s">
        <v>289</v>
      </c>
      <c r="B10">
        <v>24</v>
      </c>
      <c r="C10">
        <v>0</v>
      </c>
      <c r="D10">
        <v>1603</v>
      </c>
      <c r="E10">
        <v>594</v>
      </c>
      <c r="F10">
        <v>0</v>
      </c>
      <c r="G10">
        <v>25504</v>
      </c>
      <c r="H10">
        <v>13387</v>
      </c>
      <c r="I10">
        <v>387</v>
      </c>
      <c r="J10">
        <v>164</v>
      </c>
      <c r="K10">
        <v>1258</v>
      </c>
      <c r="L10">
        <v>499</v>
      </c>
      <c r="M10">
        <v>231</v>
      </c>
      <c r="N10">
        <v>63</v>
      </c>
      <c r="O10">
        <v>1489</v>
      </c>
      <c r="P10">
        <v>562</v>
      </c>
    </row>
    <row r="11" spans="1:17" x14ac:dyDescent="0.25">
      <c r="A11" t="s">
        <v>290</v>
      </c>
      <c r="B11">
        <v>40</v>
      </c>
      <c r="C11">
        <v>0</v>
      </c>
      <c r="D11">
        <v>1211</v>
      </c>
      <c r="E11">
        <v>1071</v>
      </c>
      <c r="F11">
        <v>22</v>
      </c>
      <c r="G11">
        <v>54191</v>
      </c>
      <c r="H11">
        <v>29152</v>
      </c>
      <c r="I11">
        <v>569</v>
      </c>
      <c r="J11">
        <v>206</v>
      </c>
      <c r="K11">
        <v>2759</v>
      </c>
      <c r="L11">
        <v>1221</v>
      </c>
      <c r="M11">
        <v>383</v>
      </c>
      <c r="N11">
        <v>91</v>
      </c>
      <c r="O11">
        <v>3142</v>
      </c>
      <c r="P11">
        <v>1312</v>
      </c>
    </row>
    <row r="12" spans="1:17" x14ac:dyDescent="0.25">
      <c r="A12" t="s">
        <v>291</v>
      </c>
      <c r="B12">
        <v>2</v>
      </c>
      <c r="C12">
        <v>0</v>
      </c>
      <c r="D12">
        <v>48</v>
      </c>
      <c r="E12">
        <v>48</v>
      </c>
      <c r="F12">
        <v>0</v>
      </c>
      <c r="G12">
        <v>1743</v>
      </c>
      <c r="H12">
        <v>920</v>
      </c>
      <c r="I12">
        <v>29</v>
      </c>
      <c r="J12">
        <v>9</v>
      </c>
      <c r="K12">
        <v>141</v>
      </c>
      <c r="L12">
        <v>64</v>
      </c>
      <c r="M12">
        <v>16</v>
      </c>
      <c r="N12">
        <v>7</v>
      </c>
      <c r="O12">
        <v>157</v>
      </c>
      <c r="P12">
        <v>71</v>
      </c>
    </row>
    <row r="13" spans="1:17" x14ac:dyDescent="0.25">
      <c r="A13" t="s">
        <v>292</v>
      </c>
      <c r="B13">
        <v>12</v>
      </c>
      <c r="C13">
        <v>0</v>
      </c>
      <c r="D13">
        <v>183</v>
      </c>
      <c r="E13">
        <v>153</v>
      </c>
      <c r="F13">
        <v>0</v>
      </c>
      <c r="G13">
        <v>6598</v>
      </c>
      <c r="H13">
        <v>3394</v>
      </c>
      <c r="I13">
        <v>75</v>
      </c>
      <c r="J13">
        <v>27</v>
      </c>
      <c r="K13">
        <v>313</v>
      </c>
      <c r="L13">
        <v>116</v>
      </c>
      <c r="M13">
        <v>42</v>
      </c>
      <c r="N13">
        <v>13</v>
      </c>
      <c r="O13">
        <v>355</v>
      </c>
      <c r="P13">
        <v>129</v>
      </c>
    </row>
    <row r="14" spans="1:17" x14ac:dyDescent="0.25">
      <c r="A14" t="s">
        <v>293</v>
      </c>
      <c r="B14">
        <v>13</v>
      </c>
      <c r="C14">
        <v>0</v>
      </c>
      <c r="D14">
        <v>256</v>
      </c>
      <c r="E14">
        <v>251</v>
      </c>
      <c r="F14">
        <v>0</v>
      </c>
      <c r="G14">
        <v>11281</v>
      </c>
      <c r="H14">
        <v>6160</v>
      </c>
      <c r="I14">
        <v>101</v>
      </c>
      <c r="J14">
        <v>34</v>
      </c>
      <c r="K14">
        <v>523</v>
      </c>
      <c r="L14">
        <v>255</v>
      </c>
      <c r="M14">
        <v>70</v>
      </c>
      <c r="N14">
        <v>19</v>
      </c>
      <c r="O14">
        <v>593</v>
      </c>
      <c r="P14">
        <v>274</v>
      </c>
    </row>
    <row r="15" spans="1:17" x14ac:dyDescent="0.25">
      <c r="A15" t="s">
        <v>294</v>
      </c>
      <c r="B15">
        <v>6</v>
      </c>
      <c r="C15">
        <v>0</v>
      </c>
      <c r="D15">
        <v>98</v>
      </c>
      <c r="E15">
        <v>90</v>
      </c>
      <c r="F15">
        <v>0</v>
      </c>
      <c r="G15">
        <v>4315</v>
      </c>
      <c r="H15">
        <v>2269</v>
      </c>
      <c r="I15">
        <v>75</v>
      </c>
      <c r="J15">
        <v>26</v>
      </c>
      <c r="K15">
        <v>185</v>
      </c>
      <c r="L15">
        <v>74</v>
      </c>
      <c r="M15">
        <v>22</v>
      </c>
      <c r="N15">
        <v>3</v>
      </c>
      <c r="O15">
        <v>207</v>
      </c>
      <c r="P15">
        <v>77</v>
      </c>
    </row>
    <row r="16" spans="1:17" x14ac:dyDescent="0.25">
      <c r="A16" t="s">
        <v>295</v>
      </c>
      <c r="B16">
        <v>9</v>
      </c>
      <c r="C16">
        <v>0</v>
      </c>
      <c r="D16">
        <v>215</v>
      </c>
      <c r="E16">
        <v>208</v>
      </c>
      <c r="F16">
        <v>0</v>
      </c>
      <c r="G16">
        <v>9331</v>
      </c>
      <c r="H16">
        <v>4939</v>
      </c>
      <c r="I16">
        <v>237</v>
      </c>
      <c r="J16">
        <v>90</v>
      </c>
      <c r="K16">
        <v>311</v>
      </c>
      <c r="L16">
        <v>109</v>
      </c>
      <c r="M16">
        <v>46</v>
      </c>
      <c r="N16">
        <v>14</v>
      </c>
      <c r="O16">
        <v>357</v>
      </c>
      <c r="P16">
        <v>123</v>
      </c>
    </row>
    <row r="17" spans="1:16" x14ac:dyDescent="0.25">
      <c r="A17" t="s">
        <v>296</v>
      </c>
      <c r="B17">
        <v>2</v>
      </c>
      <c r="C17">
        <v>0</v>
      </c>
      <c r="D17">
        <v>74</v>
      </c>
      <c r="E17">
        <v>74</v>
      </c>
      <c r="F17">
        <v>0</v>
      </c>
      <c r="G17">
        <v>3307</v>
      </c>
      <c r="H17">
        <v>1838</v>
      </c>
      <c r="I17">
        <v>98</v>
      </c>
      <c r="J17">
        <v>37</v>
      </c>
      <c r="K17">
        <v>165</v>
      </c>
      <c r="L17">
        <v>70</v>
      </c>
      <c r="M17">
        <v>20</v>
      </c>
      <c r="N17">
        <v>5</v>
      </c>
      <c r="O17">
        <v>185</v>
      </c>
      <c r="P17">
        <v>75</v>
      </c>
    </row>
    <row r="18" spans="1:16" x14ac:dyDescent="0.25">
      <c r="A18" t="s">
        <v>297</v>
      </c>
      <c r="B18">
        <v>41</v>
      </c>
      <c r="C18">
        <v>0</v>
      </c>
      <c r="D18">
        <v>1817</v>
      </c>
      <c r="E18">
        <v>1303</v>
      </c>
      <c r="F18">
        <v>12</v>
      </c>
      <c r="G18">
        <v>86732</v>
      </c>
      <c r="H18">
        <v>43543</v>
      </c>
      <c r="I18">
        <v>1367</v>
      </c>
      <c r="J18">
        <v>573</v>
      </c>
      <c r="K18">
        <v>4916</v>
      </c>
      <c r="L18">
        <v>2199</v>
      </c>
      <c r="M18">
        <v>482</v>
      </c>
      <c r="N18">
        <v>158</v>
      </c>
      <c r="O18">
        <v>5398</v>
      </c>
      <c r="P18">
        <v>2357</v>
      </c>
    </row>
    <row r="19" spans="1:16" x14ac:dyDescent="0.25">
      <c r="A19" t="s">
        <v>298</v>
      </c>
      <c r="B19">
        <v>9</v>
      </c>
      <c r="C19">
        <v>0</v>
      </c>
      <c r="D19">
        <v>223</v>
      </c>
      <c r="E19">
        <v>221</v>
      </c>
      <c r="F19">
        <v>0</v>
      </c>
      <c r="G19">
        <v>9600</v>
      </c>
      <c r="H19">
        <v>4949</v>
      </c>
      <c r="I19">
        <v>131</v>
      </c>
      <c r="J19">
        <v>44</v>
      </c>
      <c r="K19">
        <v>460</v>
      </c>
      <c r="L19">
        <v>159</v>
      </c>
      <c r="M19">
        <v>52</v>
      </c>
      <c r="N19">
        <v>9</v>
      </c>
      <c r="O19">
        <v>512</v>
      </c>
      <c r="P19">
        <v>168</v>
      </c>
    </row>
    <row r="20" spans="1:16" x14ac:dyDescent="0.25">
      <c r="A20" t="s">
        <v>299</v>
      </c>
      <c r="B20">
        <v>18</v>
      </c>
      <c r="C20">
        <v>0</v>
      </c>
      <c r="D20">
        <v>227</v>
      </c>
      <c r="E20">
        <v>227</v>
      </c>
      <c r="F20">
        <v>0</v>
      </c>
      <c r="G20">
        <v>8704</v>
      </c>
      <c r="H20">
        <v>4744</v>
      </c>
      <c r="I20">
        <v>45</v>
      </c>
      <c r="J20">
        <v>18</v>
      </c>
      <c r="K20">
        <v>394</v>
      </c>
      <c r="L20">
        <v>169</v>
      </c>
      <c r="M20">
        <v>39</v>
      </c>
      <c r="N20">
        <v>12</v>
      </c>
      <c r="O20">
        <v>433</v>
      </c>
      <c r="P20">
        <v>181</v>
      </c>
    </row>
    <row r="21" spans="1:16" x14ac:dyDescent="0.25">
      <c r="A21" t="s">
        <v>300</v>
      </c>
      <c r="B21">
        <v>32</v>
      </c>
      <c r="C21">
        <v>0</v>
      </c>
      <c r="D21">
        <v>1066</v>
      </c>
      <c r="E21">
        <v>979</v>
      </c>
      <c r="F21">
        <v>37</v>
      </c>
      <c r="G21">
        <v>47497</v>
      </c>
      <c r="H21">
        <v>25335</v>
      </c>
      <c r="I21">
        <v>315</v>
      </c>
      <c r="J21">
        <v>141</v>
      </c>
      <c r="K21">
        <v>1730</v>
      </c>
      <c r="L21">
        <v>625</v>
      </c>
      <c r="M21">
        <v>329</v>
      </c>
      <c r="N21">
        <v>77</v>
      </c>
      <c r="O21">
        <v>2059</v>
      </c>
      <c r="P21">
        <v>702</v>
      </c>
    </row>
    <row r="22" spans="1:16" x14ac:dyDescent="0.25">
      <c r="A22" t="s">
        <v>301</v>
      </c>
      <c r="B22">
        <v>16</v>
      </c>
      <c r="C22">
        <v>0</v>
      </c>
      <c r="D22">
        <v>379</v>
      </c>
      <c r="E22">
        <v>368</v>
      </c>
      <c r="F22">
        <v>0</v>
      </c>
      <c r="G22">
        <v>17099</v>
      </c>
      <c r="H22">
        <v>9352</v>
      </c>
      <c r="I22">
        <v>123</v>
      </c>
      <c r="J22">
        <v>53</v>
      </c>
      <c r="K22">
        <v>769</v>
      </c>
      <c r="L22">
        <v>283</v>
      </c>
      <c r="M22">
        <v>126</v>
      </c>
      <c r="N22">
        <v>25</v>
      </c>
      <c r="O22">
        <v>895</v>
      </c>
      <c r="P22">
        <v>308</v>
      </c>
    </row>
    <row r="23" spans="1:16" x14ac:dyDescent="0.25">
      <c r="A23" t="s">
        <v>302</v>
      </c>
      <c r="B23">
        <v>12</v>
      </c>
      <c r="C23">
        <v>0</v>
      </c>
      <c r="D23">
        <v>198</v>
      </c>
      <c r="E23">
        <v>184</v>
      </c>
      <c r="F23">
        <v>0</v>
      </c>
      <c r="G23">
        <v>9304</v>
      </c>
      <c r="H23">
        <v>4722</v>
      </c>
      <c r="I23">
        <v>79</v>
      </c>
      <c r="J23">
        <v>30</v>
      </c>
      <c r="K23">
        <v>342</v>
      </c>
      <c r="L23">
        <v>137</v>
      </c>
      <c r="M23">
        <v>27</v>
      </c>
      <c r="N23">
        <v>12</v>
      </c>
      <c r="O23">
        <v>369</v>
      </c>
      <c r="P23">
        <v>149</v>
      </c>
    </row>
    <row r="24" spans="1:16" x14ac:dyDescent="0.25">
      <c r="A24" t="s">
        <v>303</v>
      </c>
      <c r="B24">
        <v>44</v>
      </c>
      <c r="C24">
        <v>0</v>
      </c>
      <c r="D24">
        <v>1156</v>
      </c>
      <c r="E24">
        <v>1046</v>
      </c>
      <c r="F24">
        <v>0</v>
      </c>
      <c r="G24">
        <v>60122</v>
      </c>
      <c r="H24">
        <v>33550</v>
      </c>
      <c r="I24">
        <v>1139</v>
      </c>
      <c r="J24">
        <v>436</v>
      </c>
      <c r="K24">
        <v>1727</v>
      </c>
      <c r="L24">
        <v>766</v>
      </c>
      <c r="M24">
        <v>303</v>
      </c>
      <c r="N24">
        <v>107</v>
      </c>
      <c r="O24">
        <v>2030</v>
      </c>
      <c r="P24">
        <v>873</v>
      </c>
    </row>
    <row r="25" spans="1:16" x14ac:dyDescent="0.25">
      <c r="A25" t="s">
        <v>304</v>
      </c>
      <c r="B25">
        <v>9</v>
      </c>
      <c r="C25">
        <v>0</v>
      </c>
      <c r="D25">
        <v>114</v>
      </c>
      <c r="E25">
        <v>111</v>
      </c>
      <c r="F25">
        <v>0</v>
      </c>
      <c r="G25">
        <v>4632</v>
      </c>
      <c r="H25">
        <v>2472</v>
      </c>
      <c r="I25">
        <v>24</v>
      </c>
      <c r="J25">
        <v>9</v>
      </c>
      <c r="K25">
        <v>238</v>
      </c>
      <c r="L25">
        <v>89</v>
      </c>
      <c r="M25">
        <v>33</v>
      </c>
      <c r="N25">
        <v>15</v>
      </c>
      <c r="O25">
        <v>271</v>
      </c>
      <c r="P25">
        <v>104</v>
      </c>
    </row>
    <row r="26" spans="1:16" x14ac:dyDescent="0.25">
      <c r="A26" t="s">
        <v>305</v>
      </c>
      <c r="B26">
        <v>21</v>
      </c>
      <c r="C26">
        <v>0</v>
      </c>
      <c r="D26">
        <v>684</v>
      </c>
      <c r="E26">
        <v>667</v>
      </c>
      <c r="F26">
        <v>30</v>
      </c>
      <c r="G26">
        <v>26114</v>
      </c>
      <c r="H26">
        <v>13403</v>
      </c>
      <c r="I26">
        <v>168</v>
      </c>
      <c r="J26">
        <v>53</v>
      </c>
      <c r="K26">
        <v>1300</v>
      </c>
      <c r="L26">
        <v>416</v>
      </c>
      <c r="M26">
        <v>227</v>
      </c>
      <c r="N26">
        <v>69</v>
      </c>
      <c r="O26">
        <v>1527</v>
      </c>
      <c r="P26">
        <v>485</v>
      </c>
    </row>
    <row r="27" spans="1:16" x14ac:dyDescent="0.25">
      <c r="A27" t="s">
        <v>306</v>
      </c>
      <c r="B27">
        <v>53</v>
      </c>
      <c r="C27">
        <v>0</v>
      </c>
      <c r="D27">
        <v>1479</v>
      </c>
      <c r="E27">
        <v>1429</v>
      </c>
      <c r="F27">
        <v>2</v>
      </c>
      <c r="G27">
        <v>57052</v>
      </c>
      <c r="H27">
        <v>29629</v>
      </c>
      <c r="I27">
        <v>730</v>
      </c>
      <c r="J27">
        <v>342</v>
      </c>
      <c r="K27">
        <v>2502</v>
      </c>
      <c r="L27">
        <v>791</v>
      </c>
      <c r="M27">
        <v>529</v>
      </c>
      <c r="N27">
        <v>122</v>
      </c>
      <c r="O27">
        <v>3031</v>
      </c>
      <c r="P27">
        <v>913</v>
      </c>
    </row>
    <row r="28" spans="1:16" x14ac:dyDescent="0.25">
      <c r="A28" t="s">
        <v>307</v>
      </c>
      <c r="B28">
        <v>28</v>
      </c>
      <c r="C28">
        <v>0</v>
      </c>
      <c r="D28">
        <v>768</v>
      </c>
      <c r="E28">
        <v>700</v>
      </c>
      <c r="F28">
        <v>0</v>
      </c>
      <c r="G28">
        <v>33455</v>
      </c>
      <c r="H28">
        <v>18300</v>
      </c>
      <c r="I28">
        <v>527</v>
      </c>
      <c r="J28">
        <v>222</v>
      </c>
      <c r="K28">
        <v>1104</v>
      </c>
      <c r="L28">
        <v>444</v>
      </c>
      <c r="M28">
        <v>187</v>
      </c>
      <c r="N28">
        <v>47</v>
      </c>
      <c r="O28">
        <v>1291</v>
      </c>
      <c r="P28">
        <v>491</v>
      </c>
    </row>
    <row r="29" spans="1:16" x14ac:dyDescent="0.25">
      <c r="A29" t="s">
        <v>266</v>
      </c>
      <c r="B29">
        <v>559</v>
      </c>
      <c r="C29">
        <v>0</v>
      </c>
      <c r="D29">
        <v>16226</v>
      </c>
      <c r="E29">
        <v>13917</v>
      </c>
      <c r="F29">
        <v>115</v>
      </c>
      <c r="G29">
        <v>680801</v>
      </c>
      <c r="H29">
        <v>363991</v>
      </c>
      <c r="I29">
        <v>8436</v>
      </c>
      <c r="J29">
        <v>3512</v>
      </c>
      <c r="K29">
        <v>29245</v>
      </c>
      <c r="L29">
        <v>11953</v>
      </c>
      <c r="M29">
        <v>4628</v>
      </c>
      <c r="N29">
        <v>1328</v>
      </c>
      <c r="O29">
        <v>33873</v>
      </c>
      <c r="P29">
        <v>13281</v>
      </c>
    </row>
    <row r="30" spans="1:16" x14ac:dyDescent="0.25">
      <c r="A30" t="s">
        <v>308</v>
      </c>
      <c r="B30">
        <v>116</v>
      </c>
      <c r="C30">
        <v>0</v>
      </c>
      <c r="D30">
        <v>4391</v>
      </c>
      <c r="E30">
        <v>3723</v>
      </c>
      <c r="F30">
        <v>12</v>
      </c>
      <c r="G30">
        <v>201854</v>
      </c>
      <c r="H30">
        <v>104509</v>
      </c>
      <c r="I30">
        <v>3124</v>
      </c>
      <c r="J30">
        <v>1251</v>
      </c>
      <c r="K30">
        <v>10119</v>
      </c>
      <c r="L30">
        <v>4470</v>
      </c>
      <c r="M30">
        <v>1277</v>
      </c>
      <c r="N30">
        <v>448</v>
      </c>
      <c r="O30">
        <v>11396</v>
      </c>
      <c r="P30">
        <v>4918</v>
      </c>
    </row>
    <row r="31" spans="1:16" x14ac:dyDescent="0.25">
      <c r="A31" t="s">
        <v>309</v>
      </c>
      <c r="B31">
        <v>443</v>
      </c>
      <c r="C31">
        <v>0</v>
      </c>
      <c r="D31">
        <v>11835</v>
      </c>
      <c r="E31">
        <v>10194</v>
      </c>
      <c r="F31">
        <v>103</v>
      </c>
      <c r="G31">
        <v>478947</v>
      </c>
      <c r="H31">
        <v>259482</v>
      </c>
      <c r="I31">
        <v>5312</v>
      </c>
      <c r="J31">
        <v>2261</v>
      </c>
      <c r="K31">
        <v>19126</v>
      </c>
      <c r="L31">
        <v>7483</v>
      </c>
      <c r="M31">
        <v>3351</v>
      </c>
      <c r="N31">
        <v>880</v>
      </c>
      <c r="O31">
        <v>22477</v>
      </c>
      <c r="P31">
        <v>8363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8.7109375" customWidth="1"/>
    <col min="9" max="9" width="6.7109375" customWidth="1"/>
    <col min="11" max="11" width="7.7109375" customWidth="1"/>
    <col min="12" max="12" width="7.140625" customWidth="1"/>
    <col min="13" max="13" width="6.7109375" customWidth="1"/>
    <col min="14" max="14" width="7.140625" customWidth="1"/>
    <col min="15" max="15" width="7.7109375" customWidth="1"/>
    <col min="16" max="16" width="7.140625" customWidth="1"/>
  </cols>
  <sheetData>
    <row r="1" spans="1:17" x14ac:dyDescent="0.25">
      <c r="A1" s="29" t="s">
        <v>314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7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54</v>
      </c>
      <c r="C4">
        <v>0</v>
      </c>
      <c r="D4">
        <v>338</v>
      </c>
      <c r="E4">
        <v>323</v>
      </c>
      <c r="F4">
        <v>-1</v>
      </c>
      <c r="G4">
        <v>15577</v>
      </c>
      <c r="H4">
        <v>8256</v>
      </c>
      <c r="I4">
        <v>109</v>
      </c>
      <c r="J4">
        <v>38</v>
      </c>
      <c r="K4">
        <v>530</v>
      </c>
      <c r="L4">
        <v>231</v>
      </c>
      <c r="M4">
        <v>135</v>
      </c>
      <c r="N4">
        <v>43</v>
      </c>
      <c r="O4">
        <v>665</v>
      </c>
      <c r="P4">
        <v>274</v>
      </c>
    </row>
    <row r="5" spans="1:17" x14ac:dyDescent="0.25">
      <c r="A5" t="s">
        <v>284</v>
      </c>
      <c r="B5">
        <v>98</v>
      </c>
      <c r="C5">
        <v>0</v>
      </c>
      <c r="D5">
        <v>695</v>
      </c>
      <c r="E5">
        <v>663</v>
      </c>
      <c r="F5">
        <v>4</v>
      </c>
      <c r="G5">
        <v>33417</v>
      </c>
      <c r="H5">
        <v>17840</v>
      </c>
      <c r="I5">
        <v>306</v>
      </c>
      <c r="J5">
        <v>108</v>
      </c>
      <c r="K5">
        <v>1314</v>
      </c>
      <c r="L5">
        <v>636</v>
      </c>
      <c r="M5">
        <v>282</v>
      </c>
      <c r="N5">
        <v>96</v>
      </c>
      <c r="O5">
        <v>1596</v>
      </c>
      <c r="P5">
        <v>732</v>
      </c>
    </row>
    <row r="6" spans="1:17" x14ac:dyDescent="0.25">
      <c r="A6" t="s">
        <v>285</v>
      </c>
      <c r="B6">
        <v>81</v>
      </c>
      <c r="C6">
        <v>0</v>
      </c>
      <c r="D6">
        <v>482</v>
      </c>
      <c r="E6">
        <v>433</v>
      </c>
      <c r="F6">
        <v>9</v>
      </c>
      <c r="G6">
        <v>20896</v>
      </c>
      <c r="H6">
        <v>11303</v>
      </c>
      <c r="I6">
        <v>138</v>
      </c>
      <c r="J6">
        <v>38</v>
      </c>
      <c r="K6">
        <v>882</v>
      </c>
      <c r="L6">
        <v>464</v>
      </c>
      <c r="M6">
        <v>213</v>
      </c>
      <c r="N6">
        <v>59</v>
      </c>
      <c r="O6">
        <v>1095</v>
      </c>
      <c r="P6">
        <v>523</v>
      </c>
    </row>
    <row r="7" spans="1:17" x14ac:dyDescent="0.25">
      <c r="A7" t="s">
        <v>286</v>
      </c>
      <c r="B7">
        <v>62</v>
      </c>
      <c r="C7">
        <v>0</v>
      </c>
      <c r="D7">
        <v>335</v>
      </c>
      <c r="E7">
        <v>311</v>
      </c>
      <c r="F7">
        <v>3</v>
      </c>
      <c r="G7">
        <v>15873</v>
      </c>
      <c r="H7">
        <v>8594</v>
      </c>
      <c r="I7">
        <v>131</v>
      </c>
      <c r="J7">
        <v>53</v>
      </c>
      <c r="K7">
        <v>575</v>
      </c>
      <c r="L7">
        <v>275</v>
      </c>
      <c r="M7">
        <v>105</v>
      </c>
      <c r="N7">
        <v>28</v>
      </c>
      <c r="O7">
        <v>680</v>
      </c>
      <c r="P7">
        <v>303</v>
      </c>
    </row>
    <row r="8" spans="1:17" x14ac:dyDescent="0.25">
      <c r="A8" t="s">
        <v>287</v>
      </c>
      <c r="B8">
        <v>72</v>
      </c>
      <c r="C8">
        <v>0</v>
      </c>
      <c r="D8">
        <v>428</v>
      </c>
      <c r="E8">
        <v>380</v>
      </c>
      <c r="F8">
        <v>9</v>
      </c>
      <c r="G8">
        <v>20012</v>
      </c>
      <c r="H8">
        <v>10335</v>
      </c>
      <c r="I8">
        <v>73</v>
      </c>
      <c r="J8">
        <v>18</v>
      </c>
      <c r="K8">
        <v>865</v>
      </c>
      <c r="L8">
        <v>318</v>
      </c>
      <c r="M8">
        <v>123</v>
      </c>
      <c r="N8">
        <v>18</v>
      </c>
      <c r="O8">
        <v>988</v>
      </c>
      <c r="P8">
        <v>336</v>
      </c>
    </row>
    <row r="9" spans="1:17" x14ac:dyDescent="0.25">
      <c r="A9" t="s">
        <v>288</v>
      </c>
      <c r="B9">
        <v>67</v>
      </c>
      <c r="C9">
        <v>0</v>
      </c>
      <c r="D9">
        <v>432</v>
      </c>
      <c r="E9">
        <v>399</v>
      </c>
      <c r="F9">
        <v>8</v>
      </c>
      <c r="G9">
        <v>16924</v>
      </c>
      <c r="H9">
        <v>9140</v>
      </c>
      <c r="I9">
        <v>147</v>
      </c>
      <c r="J9">
        <v>50</v>
      </c>
      <c r="K9">
        <v>664</v>
      </c>
      <c r="L9">
        <v>328</v>
      </c>
      <c r="M9">
        <v>142</v>
      </c>
      <c r="N9">
        <v>24</v>
      </c>
      <c r="O9">
        <v>806</v>
      </c>
      <c r="P9">
        <v>352</v>
      </c>
    </row>
    <row r="10" spans="1:17" x14ac:dyDescent="0.25">
      <c r="A10" t="s">
        <v>289</v>
      </c>
      <c r="B10">
        <v>76</v>
      </c>
      <c r="C10">
        <v>0</v>
      </c>
      <c r="D10">
        <v>450</v>
      </c>
      <c r="E10">
        <v>422</v>
      </c>
      <c r="F10">
        <v>12</v>
      </c>
      <c r="G10">
        <v>17394</v>
      </c>
      <c r="H10">
        <v>9129</v>
      </c>
      <c r="I10">
        <v>206</v>
      </c>
      <c r="J10">
        <v>54</v>
      </c>
      <c r="K10">
        <v>984</v>
      </c>
      <c r="L10">
        <v>431</v>
      </c>
      <c r="M10">
        <v>236</v>
      </c>
      <c r="N10">
        <v>54</v>
      </c>
      <c r="O10">
        <v>1220</v>
      </c>
      <c r="P10">
        <v>485</v>
      </c>
    </row>
    <row r="11" spans="1:17" x14ac:dyDescent="0.25">
      <c r="A11" t="s">
        <v>290</v>
      </c>
      <c r="B11">
        <v>100</v>
      </c>
      <c r="C11">
        <v>0</v>
      </c>
      <c r="D11">
        <v>759</v>
      </c>
      <c r="E11">
        <v>728</v>
      </c>
      <c r="F11">
        <v>38</v>
      </c>
      <c r="G11">
        <v>32073</v>
      </c>
      <c r="H11">
        <v>16626</v>
      </c>
      <c r="I11">
        <v>282</v>
      </c>
      <c r="J11">
        <v>103</v>
      </c>
      <c r="K11">
        <v>1608</v>
      </c>
      <c r="L11">
        <v>830</v>
      </c>
      <c r="M11">
        <v>296</v>
      </c>
      <c r="N11">
        <v>65</v>
      </c>
      <c r="O11">
        <v>1904</v>
      </c>
      <c r="P11">
        <v>895</v>
      </c>
    </row>
    <row r="12" spans="1:17" x14ac:dyDescent="0.25">
      <c r="A12" t="s">
        <v>291</v>
      </c>
      <c r="B12">
        <v>4</v>
      </c>
      <c r="C12">
        <v>0</v>
      </c>
      <c r="D12">
        <v>30</v>
      </c>
      <c r="E12">
        <v>30</v>
      </c>
      <c r="F12">
        <v>0</v>
      </c>
      <c r="G12">
        <v>973</v>
      </c>
      <c r="H12">
        <v>519</v>
      </c>
      <c r="I12">
        <v>16</v>
      </c>
      <c r="J12">
        <v>3</v>
      </c>
      <c r="K12">
        <v>98</v>
      </c>
      <c r="L12">
        <v>40</v>
      </c>
      <c r="M12">
        <v>19</v>
      </c>
      <c r="N12">
        <v>2</v>
      </c>
      <c r="O12">
        <v>117</v>
      </c>
      <c r="P12">
        <v>42</v>
      </c>
    </row>
    <row r="13" spans="1:17" x14ac:dyDescent="0.25">
      <c r="A13" t="s">
        <v>292</v>
      </c>
      <c r="B13">
        <v>19</v>
      </c>
      <c r="C13">
        <v>0</v>
      </c>
      <c r="D13">
        <v>76</v>
      </c>
      <c r="E13">
        <v>72</v>
      </c>
      <c r="F13">
        <v>0</v>
      </c>
      <c r="G13">
        <v>2240</v>
      </c>
      <c r="H13">
        <v>1161</v>
      </c>
      <c r="I13">
        <v>33</v>
      </c>
      <c r="J13">
        <v>8</v>
      </c>
      <c r="K13">
        <v>152</v>
      </c>
      <c r="L13">
        <v>51</v>
      </c>
      <c r="M13">
        <v>26</v>
      </c>
      <c r="N13">
        <v>7</v>
      </c>
      <c r="O13">
        <v>178</v>
      </c>
      <c r="P13">
        <v>58</v>
      </c>
    </row>
    <row r="14" spans="1:17" x14ac:dyDescent="0.25">
      <c r="A14" t="s">
        <v>293</v>
      </c>
      <c r="B14">
        <v>42</v>
      </c>
      <c r="C14">
        <v>0</v>
      </c>
      <c r="D14">
        <v>221</v>
      </c>
      <c r="E14">
        <v>214</v>
      </c>
      <c r="F14">
        <v>3</v>
      </c>
      <c r="G14">
        <v>9755</v>
      </c>
      <c r="H14">
        <v>5333</v>
      </c>
      <c r="I14">
        <v>102</v>
      </c>
      <c r="J14">
        <v>25</v>
      </c>
      <c r="K14">
        <v>475</v>
      </c>
      <c r="L14">
        <v>253</v>
      </c>
      <c r="M14">
        <v>65</v>
      </c>
      <c r="N14">
        <v>20</v>
      </c>
      <c r="O14">
        <v>540</v>
      </c>
      <c r="P14">
        <v>273</v>
      </c>
    </row>
    <row r="15" spans="1:17" x14ac:dyDescent="0.25">
      <c r="A15" t="s">
        <v>294</v>
      </c>
      <c r="B15">
        <v>8</v>
      </c>
      <c r="C15">
        <v>0</v>
      </c>
      <c r="D15">
        <v>37</v>
      </c>
      <c r="E15">
        <v>34</v>
      </c>
      <c r="F15">
        <v>0</v>
      </c>
      <c r="G15">
        <v>1323</v>
      </c>
      <c r="H15">
        <v>733</v>
      </c>
      <c r="I15">
        <v>25</v>
      </c>
      <c r="J15">
        <v>4</v>
      </c>
      <c r="K15">
        <v>79</v>
      </c>
      <c r="L15">
        <v>34</v>
      </c>
      <c r="M15">
        <v>1</v>
      </c>
      <c r="N15">
        <v>0</v>
      </c>
      <c r="O15">
        <v>80</v>
      </c>
      <c r="P15">
        <v>34</v>
      </c>
    </row>
    <row r="16" spans="1:17" x14ac:dyDescent="0.25">
      <c r="A16" t="s">
        <v>295</v>
      </c>
      <c r="B16">
        <v>30</v>
      </c>
      <c r="C16">
        <v>0</v>
      </c>
      <c r="D16">
        <v>150</v>
      </c>
      <c r="E16">
        <v>140</v>
      </c>
      <c r="F16">
        <v>0</v>
      </c>
      <c r="G16">
        <v>6759</v>
      </c>
      <c r="H16">
        <v>3644</v>
      </c>
      <c r="I16">
        <v>68</v>
      </c>
      <c r="J16">
        <v>24</v>
      </c>
      <c r="K16">
        <v>235</v>
      </c>
      <c r="L16">
        <v>87</v>
      </c>
      <c r="M16">
        <v>30</v>
      </c>
      <c r="N16">
        <v>1</v>
      </c>
      <c r="O16">
        <v>265</v>
      </c>
      <c r="P16">
        <v>88</v>
      </c>
    </row>
    <row r="17" spans="1:16" x14ac:dyDescent="0.25">
      <c r="A17" t="s">
        <v>296</v>
      </c>
      <c r="B17">
        <v>7</v>
      </c>
      <c r="C17">
        <v>0</v>
      </c>
      <c r="D17">
        <v>58</v>
      </c>
      <c r="E17">
        <v>53</v>
      </c>
      <c r="F17">
        <v>0</v>
      </c>
      <c r="G17">
        <v>2115</v>
      </c>
      <c r="H17">
        <v>1116</v>
      </c>
      <c r="I17">
        <v>17</v>
      </c>
      <c r="J17">
        <v>6</v>
      </c>
      <c r="K17">
        <v>169</v>
      </c>
      <c r="L17">
        <v>78</v>
      </c>
      <c r="M17">
        <v>25</v>
      </c>
      <c r="N17">
        <v>3</v>
      </c>
      <c r="O17">
        <v>194</v>
      </c>
      <c r="P17">
        <v>81</v>
      </c>
    </row>
    <row r="18" spans="1:16" x14ac:dyDescent="0.25">
      <c r="A18" t="s">
        <v>297</v>
      </c>
      <c r="B18">
        <v>27</v>
      </c>
      <c r="C18">
        <v>0</v>
      </c>
      <c r="D18">
        <v>302</v>
      </c>
      <c r="E18">
        <v>234</v>
      </c>
      <c r="F18">
        <v>0</v>
      </c>
      <c r="G18">
        <v>13326</v>
      </c>
      <c r="H18">
        <v>6551</v>
      </c>
      <c r="I18">
        <v>409</v>
      </c>
      <c r="J18">
        <v>172</v>
      </c>
      <c r="K18">
        <v>827</v>
      </c>
      <c r="L18">
        <v>434</v>
      </c>
      <c r="M18">
        <v>116</v>
      </c>
      <c r="N18">
        <v>32</v>
      </c>
      <c r="O18">
        <v>943</v>
      </c>
      <c r="P18">
        <v>466</v>
      </c>
    </row>
    <row r="19" spans="1:16" x14ac:dyDescent="0.25">
      <c r="A19" t="s">
        <v>298</v>
      </c>
      <c r="B19">
        <v>18</v>
      </c>
      <c r="C19">
        <v>0</v>
      </c>
      <c r="D19">
        <v>120</v>
      </c>
      <c r="E19">
        <v>116</v>
      </c>
      <c r="F19">
        <v>0</v>
      </c>
      <c r="G19">
        <v>4439</v>
      </c>
      <c r="H19">
        <v>2296</v>
      </c>
      <c r="I19">
        <v>42</v>
      </c>
      <c r="J19">
        <v>15</v>
      </c>
      <c r="K19">
        <v>281</v>
      </c>
      <c r="L19">
        <v>122</v>
      </c>
      <c r="M19">
        <v>48</v>
      </c>
      <c r="N19">
        <v>12</v>
      </c>
      <c r="O19">
        <v>329</v>
      </c>
      <c r="P19">
        <v>134</v>
      </c>
    </row>
    <row r="20" spans="1:16" x14ac:dyDescent="0.25">
      <c r="A20" t="s">
        <v>299</v>
      </c>
      <c r="B20">
        <v>48</v>
      </c>
      <c r="C20">
        <v>0</v>
      </c>
      <c r="D20">
        <v>219</v>
      </c>
      <c r="E20">
        <v>219</v>
      </c>
      <c r="F20">
        <v>0</v>
      </c>
      <c r="G20">
        <v>7671</v>
      </c>
      <c r="H20">
        <v>4260</v>
      </c>
      <c r="I20">
        <v>33</v>
      </c>
      <c r="J20">
        <v>15</v>
      </c>
      <c r="K20">
        <v>415</v>
      </c>
      <c r="L20">
        <v>168</v>
      </c>
      <c r="M20">
        <v>36</v>
      </c>
      <c r="N20">
        <v>13</v>
      </c>
      <c r="O20">
        <v>451</v>
      </c>
      <c r="P20">
        <v>181</v>
      </c>
    </row>
    <row r="21" spans="1:16" x14ac:dyDescent="0.25">
      <c r="A21" t="s">
        <v>300</v>
      </c>
      <c r="B21">
        <v>93</v>
      </c>
      <c r="C21">
        <v>0</v>
      </c>
      <c r="D21">
        <v>631</v>
      </c>
      <c r="E21">
        <v>610</v>
      </c>
      <c r="F21">
        <v>17</v>
      </c>
      <c r="G21">
        <v>29040</v>
      </c>
      <c r="H21">
        <v>15139</v>
      </c>
      <c r="I21">
        <v>118</v>
      </c>
      <c r="J21">
        <v>44</v>
      </c>
      <c r="K21">
        <v>885</v>
      </c>
      <c r="L21">
        <v>346</v>
      </c>
      <c r="M21">
        <v>283</v>
      </c>
      <c r="N21">
        <v>57</v>
      </c>
      <c r="O21">
        <v>1168</v>
      </c>
      <c r="P21">
        <v>403</v>
      </c>
    </row>
    <row r="22" spans="1:16" x14ac:dyDescent="0.25">
      <c r="A22" t="s">
        <v>301</v>
      </c>
      <c r="B22">
        <v>44</v>
      </c>
      <c r="C22">
        <v>0</v>
      </c>
      <c r="D22">
        <v>332</v>
      </c>
      <c r="E22">
        <v>301</v>
      </c>
      <c r="F22">
        <v>0</v>
      </c>
      <c r="G22">
        <v>14261</v>
      </c>
      <c r="H22">
        <v>7632</v>
      </c>
      <c r="I22">
        <v>51</v>
      </c>
      <c r="J22">
        <v>22</v>
      </c>
      <c r="K22">
        <v>689</v>
      </c>
      <c r="L22">
        <v>282</v>
      </c>
      <c r="M22">
        <v>124</v>
      </c>
      <c r="N22">
        <v>28</v>
      </c>
      <c r="O22">
        <v>813</v>
      </c>
      <c r="P22">
        <v>310</v>
      </c>
    </row>
    <row r="23" spans="1:16" x14ac:dyDescent="0.25">
      <c r="A23" t="s">
        <v>302</v>
      </c>
      <c r="B23">
        <v>22</v>
      </c>
      <c r="C23">
        <v>0</v>
      </c>
      <c r="D23">
        <v>101</v>
      </c>
      <c r="E23">
        <v>89</v>
      </c>
      <c r="F23">
        <v>0</v>
      </c>
      <c r="G23">
        <v>4766</v>
      </c>
      <c r="H23">
        <v>2500</v>
      </c>
      <c r="I23">
        <v>21</v>
      </c>
      <c r="J23">
        <v>5</v>
      </c>
      <c r="K23">
        <v>146</v>
      </c>
      <c r="L23">
        <v>65</v>
      </c>
      <c r="M23">
        <v>21</v>
      </c>
      <c r="N23">
        <v>6</v>
      </c>
      <c r="O23">
        <v>167</v>
      </c>
      <c r="P23">
        <v>71</v>
      </c>
    </row>
    <row r="24" spans="1:16" x14ac:dyDescent="0.25">
      <c r="A24" t="s">
        <v>303</v>
      </c>
      <c r="B24">
        <v>80</v>
      </c>
      <c r="C24">
        <v>0</v>
      </c>
      <c r="D24">
        <v>545</v>
      </c>
      <c r="E24">
        <v>482</v>
      </c>
      <c r="F24">
        <v>22</v>
      </c>
      <c r="G24">
        <v>25111</v>
      </c>
      <c r="H24">
        <v>13937</v>
      </c>
      <c r="I24">
        <v>437</v>
      </c>
      <c r="J24">
        <v>145</v>
      </c>
      <c r="K24">
        <v>732</v>
      </c>
      <c r="L24">
        <v>402</v>
      </c>
      <c r="M24">
        <v>175</v>
      </c>
      <c r="N24">
        <v>60</v>
      </c>
      <c r="O24">
        <v>907</v>
      </c>
      <c r="P24">
        <v>462</v>
      </c>
    </row>
    <row r="25" spans="1:16" x14ac:dyDescent="0.25">
      <c r="A25" t="s">
        <v>304</v>
      </c>
      <c r="B25">
        <v>30</v>
      </c>
      <c r="C25">
        <v>0</v>
      </c>
      <c r="D25">
        <v>121</v>
      </c>
      <c r="E25">
        <v>114</v>
      </c>
      <c r="F25">
        <v>0</v>
      </c>
      <c r="G25">
        <v>4131</v>
      </c>
      <c r="H25">
        <v>2243</v>
      </c>
      <c r="I25">
        <v>29</v>
      </c>
      <c r="J25">
        <v>8</v>
      </c>
      <c r="K25">
        <v>285</v>
      </c>
      <c r="L25">
        <v>119</v>
      </c>
      <c r="M25">
        <v>34</v>
      </c>
      <c r="N25">
        <v>7</v>
      </c>
      <c r="O25">
        <v>319</v>
      </c>
      <c r="P25">
        <v>126</v>
      </c>
    </row>
    <row r="26" spans="1:16" x14ac:dyDescent="0.25">
      <c r="A26" t="s">
        <v>305</v>
      </c>
      <c r="B26">
        <v>53</v>
      </c>
      <c r="C26">
        <v>0</v>
      </c>
      <c r="D26">
        <v>312</v>
      </c>
      <c r="E26">
        <v>300</v>
      </c>
      <c r="F26">
        <v>5</v>
      </c>
      <c r="G26">
        <v>12878</v>
      </c>
      <c r="H26">
        <v>6488</v>
      </c>
      <c r="I26">
        <v>20</v>
      </c>
      <c r="J26">
        <v>4</v>
      </c>
      <c r="K26">
        <v>587</v>
      </c>
      <c r="L26">
        <v>165</v>
      </c>
      <c r="M26">
        <v>143</v>
      </c>
      <c r="N26">
        <v>14</v>
      </c>
      <c r="O26">
        <v>730</v>
      </c>
      <c r="P26">
        <v>179</v>
      </c>
    </row>
    <row r="27" spans="1:16" x14ac:dyDescent="0.25">
      <c r="A27" t="s">
        <v>306</v>
      </c>
      <c r="B27">
        <v>66</v>
      </c>
      <c r="C27">
        <v>0</v>
      </c>
      <c r="D27">
        <v>449</v>
      </c>
      <c r="E27">
        <v>436</v>
      </c>
      <c r="F27">
        <v>15</v>
      </c>
      <c r="G27">
        <v>17026</v>
      </c>
      <c r="H27">
        <v>8747</v>
      </c>
      <c r="I27">
        <v>187</v>
      </c>
      <c r="J27">
        <v>70</v>
      </c>
      <c r="K27">
        <v>782</v>
      </c>
      <c r="L27">
        <v>292</v>
      </c>
      <c r="M27">
        <v>233</v>
      </c>
      <c r="N27">
        <v>45</v>
      </c>
      <c r="O27">
        <v>1015</v>
      </c>
      <c r="P27">
        <v>337</v>
      </c>
    </row>
    <row r="28" spans="1:16" x14ac:dyDescent="0.25">
      <c r="A28" t="s">
        <v>307</v>
      </c>
      <c r="B28">
        <v>52</v>
      </c>
      <c r="C28">
        <v>0</v>
      </c>
      <c r="D28">
        <v>315</v>
      </c>
      <c r="E28">
        <v>293</v>
      </c>
      <c r="F28">
        <v>0</v>
      </c>
      <c r="G28">
        <v>13942</v>
      </c>
      <c r="H28">
        <v>7598</v>
      </c>
      <c r="I28">
        <v>82</v>
      </c>
      <c r="J28">
        <v>21</v>
      </c>
      <c r="K28">
        <v>445</v>
      </c>
      <c r="L28">
        <v>214</v>
      </c>
      <c r="M28">
        <v>87</v>
      </c>
      <c r="N28">
        <v>18</v>
      </c>
      <c r="O28">
        <v>532</v>
      </c>
      <c r="P28">
        <v>232</v>
      </c>
    </row>
    <row r="29" spans="1:16" x14ac:dyDescent="0.25">
      <c r="A29" t="s">
        <v>266</v>
      </c>
      <c r="B29">
        <v>1253</v>
      </c>
      <c r="C29">
        <v>0</v>
      </c>
      <c r="D29">
        <v>7938</v>
      </c>
      <c r="E29">
        <v>7396</v>
      </c>
      <c r="F29">
        <v>144</v>
      </c>
      <c r="G29">
        <v>341922</v>
      </c>
      <c r="H29">
        <v>181120</v>
      </c>
      <c r="I29">
        <v>3082</v>
      </c>
      <c r="J29">
        <v>1053</v>
      </c>
      <c r="K29">
        <v>14704</v>
      </c>
      <c r="L29">
        <v>6665</v>
      </c>
      <c r="M29">
        <v>2998</v>
      </c>
      <c r="N29">
        <v>712</v>
      </c>
      <c r="O29">
        <v>17702</v>
      </c>
      <c r="P29">
        <v>7377</v>
      </c>
    </row>
    <row r="30" spans="1:16" x14ac:dyDescent="0.25">
      <c r="A30" t="s">
        <v>308</v>
      </c>
      <c r="B30">
        <v>128</v>
      </c>
      <c r="C30">
        <v>0</v>
      </c>
      <c r="D30">
        <v>1090</v>
      </c>
      <c r="E30">
        <v>968</v>
      </c>
      <c r="F30">
        <v>45</v>
      </c>
      <c r="G30">
        <v>44587</v>
      </c>
      <c r="H30">
        <v>22844</v>
      </c>
      <c r="I30">
        <v>821</v>
      </c>
      <c r="J30">
        <v>342</v>
      </c>
      <c r="K30">
        <v>2635</v>
      </c>
      <c r="L30">
        <v>1382</v>
      </c>
      <c r="M30">
        <v>483</v>
      </c>
      <c r="N30">
        <v>166</v>
      </c>
      <c r="O30">
        <v>3118</v>
      </c>
      <c r="P30">
        <v>1548</v>
      </c>
    </row>
    <row r="31" spans="1:16" x14ac:dyDescent="0.25">
      <c r="A31" t="s">
        <v>309</v>
      </c>
      <c r="B31">
        <v>1125</v>
      </c>
      <c r="C31">
        <v>0</v>
      </c>
      <c r="D31">
        <v>6848</v>
      </c>
      <c r="E31">
        <v>6428</v>
      </c>
      <c r="F31">
        <v>99</v>
      </c>
      <c r="G31">
        <v>297335</v>
      </c>
      <c r="H31">
        <v>158276</v>
      </c>
      <c r="I31">
        <v>2261</v>
      </c>
      <c r="J31">
        <v>711</v>
      </c>
      <c r="K31">
        <v>12069</v>
      </c>
      <c r="L31">
        <v>5283</v>
      </c>
      <c r="M31">
        <v>2515</v>
      </c>
      <c r="N31">
        <v>546</v>
      </c>
      <c r="O31">
        <v>14584</v>
      </c>
      <c r="P31">
        <v>5829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tabColor rgb="FFED7D31"/>
  </sheetPr>
  <dimension ref="A1:Q19"/>
  <sheetViews>
    <sheetView workbookViewId="0"/>
  </sheetViews>
  <sheetFormatPr defaultRowHeight="15" x14ac:dyDescent="0.25"/>
  <cols>
    <col min="1" max="1" width="12.85546875" customWidth="1"/>
    <col min="2" max="2" width="14.85546875" customWidth="1"/>
    <col min="3" max="3" width="7.5703125" customWidth="1"/>
    <col min="4" max="4" width="8.42578125" customWidth="1"/>
    <col min="5" max="5" width="9" customWidth="1"/>
    <col min="6" max="6" width="8.85546875" customWidth="1"/>
    <col min="7" max="7" width="7.7109375" customWidth="1"/>
    <col min="9" max="9" width="6" customWidth="1"/>
    <col min="10" max="10" width="5" customWidth="1"/>
    <col min="11" max="11" width="6.7109375" customWidth="1"/>
    <col min="12" max="12" width="7.140625" customWidth="1"/>
    <col min="13" max="13" width="6" customWidth="1"/>
    <col min="14" max="14" width="7.140625" customWidth="1"/>
    <col min="15" max="15" width="6.7109375" customWidth="1"/>
    <col min="16" max="16" width="7.140625" customWidth="1"/>
  </cols>
  <sheetData>
    <row r="1" spans="1:17" x14ac:dyDescent="0.25">
      <c r="A1" s="29" t="s">
        <v>315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316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7" x14ac:dyDescent="0.25">
      <c r="A3" s="29"/>
      <c r="B3" t="s">
        <v>317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284</v>
      </c>
      <c r="B4">
        <v>3</v>
      </c>
      <c r="C4">
        <v>0</v>
      </c>
      <c r="D4">
        <v>83</v>
      </c>
      <c r="E4">
        <v>67</v>
      </c>
      <c r="F4">
        <v>0</v>
      </c>
      <c r="G4">
        <v>3856</v>
      </c>
      <c r="H4">
        <v>2118</v>
      </c>
      <c r="I4">
        <v>56</v>
      </c>
      <c r="J4">
        <v>19</v>
      </c>
      <c r="K4">
        <v>107</v>
      </c>
      <c r="L4">
        <v>37</v>
      </c>
      <c r="M4">
        <v>16</v>
      </c>
      <c r="N4">
        <v>3</v>
      </c>
      <c r="O4">
        <v>123</v>
      </c>
      <c r="P4">
        <v>40</v>
      </c>
    </row>
    <row r="5" spans="1:17" x14ac:dyDescent="0.25">
      <c r="A5" t="s">
        <v>287</v>
      </c>
      <c r="B5">
        <v>2</v>
      </c>
      <c r="C5">
        <v>0</v>
      </c>
      <c r="D5">
        <v>48</v>
      </c>
      <c r="E5">
        <v>41</v>
      </c>
      <c r="F5">
        <v>0</v>
      </c>
      <c r="G5">
        <v>2746</v>
      </c>
      <c r="H5">
        <v>1475</v>
      </c>
      <c r="I5">
        <v>4</v>
      </c>
      <c r="J5">
        <v>1</v>
      </c>
      <c r="K5">
        <v>97</v>
      </c>
      <c r="L5">
        <v>33</v>
      </c>
      <c r="M5">
        <v>14</v>
      </c>
      <c r="N5">
        <v>4</v>
      </c>
      <c r="O5">
        <v>111</v>
      </c>
      <c r="P5">
        <v>37</v>
      </c>
    </row>
    <row r="6" spans="1:17" x14ac:dyDescent="0.25">
      <c r="A6" t="s">
        <v>288</v>
      </c>
      <c r="B6">
        <v>1</v>
      </c>
      <c r="C6">
        <v>0</v>
      </c>
      <c r="D6">
        <v>15</v>
      </c>
      <c r="E6">
        <v>15</v>
      </c>
      <c r="F6">
        <v>0</v>
      </c>
      <c r="G6">
        <v>522</v>
      </c>
      <c r="H6">
        <v>355</v>
      </c>
      <c r="I6">
        <v>0</v>
      </c>
      <c r="J6">
        <v>0</v>
      </c>
      <c r="K6">
        <v>21</v>
      </c>
      <c r="L6">
        <v>9</v>
      </c>
      <c r="M6">
        <v>11</v>
      </c>
      <c r="N6">
        <v>4</v>
      </c>
      <c r="O6">
        <v>32</v>
      </c>
      <c r="P6">
        <v>13</v>
      </c>
    </row>
    <row r="7" spans="1:17" x14ac:dyDescent="0.25">
      <c r="A7" t="s">
        <v>289</v>
      </c>
      <c r="B7">
        <v>2</v>
      </c>
      <c r="C7">
        <v>0</v>
      </c>
      <c r="D7">
        <v>26</v>
      </c>
      <c r="E7">
        <v>26</v>
      </c>
      <c r="F7">
        <v>0</v>
      </c>
      <c r="G7">
        <v>1026</v>
      </c>
      <c r="H7">
        <v>542</v>
      </c>
      <c r="I7">
        <v>8</v>
      </c>
      <c r="J7">
        <v>3</v>
      </c>
      <c r="K7">
        <v>55</v>
      </c>
      <c r="L7">
        <v>16</v>
      </c>
      <c r="M7">
        <v>8</v>
      </c>
      <c r="N7">
        <v>2</v>
      </c>
      <c r="O7">
        <v>63</v>
      </c>
      <c r="P7">
        <v>18</v>
      </c>
    </row>
    <row r="8" spans="1:17" x14ac:dyDescent="0.25">
      <c r="A8" t="s">
        <v>290</v>
      </c>
      <c r="B8">
        <v>2</v>
      </c>
      <c r="C8">
        <v>0</v>
      </c>
      <c r="D8">
        <v>73</v>
      </c>
      <c r="E8">
        <v>73</v>
      </c>
      <c r="F8">
        <v>0</v>
      </c>
      <c r="G8">
        <v>2997</v>
      </c>
      <c r="H8">
        <v>1626</v>
      </c>
      <c r="I8">
        <v>0</v>
      </c>
      <c r="J8">
        <v>0</v>
      </c>
      <c r="K8">
        <v>168</v>
      </c>
      <c r="L8">
        <v>50</v>
      </c>
      <c r="M8">
        <v>17</v>
      </c>
      <c r="N8">
        <v>2</v>
      </c>
      <c r="O8">
        <v>185</v>
      </c>
      <c r="P8">
        <v>52</v>
      </c>
    </row>
    <row r="9" spans="1:17" x14ac:dyDescent="0.25">
      <c r="A9" t="s">
        <v>293</v>
      </c>
      <c r="B9">
        <v>2</v>
      </c>
      <c r="C9">
        <v>0</v>
      </c>
      <c r="D9">
        <v>23</v>
      </c>
      <c r="E9">
        <v>22</v>
      </c>
      <c r="F9">
        <v>0</v>
      </c>
      <c r="G9">
        <v>1104</v>
      </c>
      <c r="H9">
        <v>621</v>
      </c>
      <c r="I9">
        <v>3</v>
      </c>
      <c r="J9">
        <v>2</v>
      </c>
      <c r="K9">
        <v>48</v>
      </c>
      <c r="L9">
        <v>19</v>
      </c>
      <c r="M9">
        <v>7</v>
      </c>
      <c r="N9">
        <v>2</v>
      </c>
      <c r="O9">
        <v>55</v>
      </c>
      <c r="P9">
        <v>21</v>
      </c>
    </row>
    <row r="10" spans="1:17" x14ac:dyDescent="0.25">
      <c r="A10" t="s">
        <v>295</v>
      </c>
      <c r="B10">
        <v>2</v>
      </c>
      <c r="C10">
        <v>0</v>
      </c>
      <c r="D10">
        <v>49</v>
      </c>
      <c r="E10">
        <v>49</v>
      </c>
      <c r="F10">
        <v>0</v>
      </c>
      <c r="G10">
        <v>2165</v>
      </c>
      <c r="H10">
        <v>1143</v>
      </c>
      <c r="I10">
        <v>49</v>
      </c>
      <c r="J10">
        <v>25</v>
      </c>
      <c r="K10">
        <v>69</v>
      </c>
      <c r="L10">
        <v>21</v>
      </c>
      <c r="M10">
        <v>8</v>
      </c>
      <c r="N10">
        <v>4</v>
      </c>
      <c r="O10">
        <v>77</v>
      </c>
      <c r="P10">
        <v>25</v>
      </c>
    </row>
    <row r="11" spans="1:17" x14ac:dyDescent="0.25">
      <c r="A11" t="s">
        <v>298</v>
      </c>
      <c r="B11">
        <v>1</v>
      </c>
      <c r="C11">
        <v>0</v>
      </c>
      <c r="D11">
        <v>30</v>
      </c>
      <c r="E11">
        <v>30</v>
      </c>
      <c r="F11">
        <v>0</v>
      </c>
      <c r="G11">
        <v>902</v>
      </c>
      <c r="H11">
        <v>463</v>
      </c>
      <c r="I11">
        <v>0</v>
      </c>
      <c r="J11">
        <v>0</v>
      </c>
      <c r="K11">
        <v>75</v>
      </c>
      <c r="L11">
        <v>19</v>
      </c>
      <c r="M11">
        <v>8</v>
      </c>
      <c r="N11">
        <v>3</v>
      </c>
      <c r="O11">
        <v>83</v>
      </c>
      <c r="P11">
        <v>22</v>
      </c>
    </row>
    <row r="12" spans="1:17" x14ac:dyDescent="0.25">
      <c r="A12" t="s">
        <v>299</v>
      </c>
      <c r="B12">
        <v>8</v>
      </c>
      <c r="C12">
        <v>0</v>
      </c>
      <c r="D12">
        <v>65</v>
      </c>
      <c r="E12">
        <v>65</v>
      </c>
      <c r="F12">
        <v>0</v>
      </c>
      <c r="G12">
        <v>2399</v>
      </c>
      <c r="H12">
        <v>1354</v>
      </c>
      <c r="I12">
        <v>18</v>
      </c>
      <c r="J12">
        <v>11</v>
      </c>
      <c r="K12">
        <v>112</v>
      </c>
      <c r="L12">
        <v>42</v>
      </c>
      <c r="M12">
        <v>7</v>
      </c>
      <c r="N12">
        <v>0</v>
      </c>
      <c r="O12">
        <v>119</v>
      </c>
      <c r="P12">
        <v>42</v>
      </c>
    </row>
    <row r="13" spans="1:17" x14ac:dyDescent="0.25">
      <c r="A13" t="s">
        <v>301</v>
      </c>
      <c r="B13">
        <v>4</v>
      </c>
      <c r="C13">
        <v>0</v>
      </c>
      <c r="D13">
        <v>98</v>
      </c>
      <c r="E13">
        <v>91</v>
      </c>
      <c r="F13">
        <v>0</v>
      </c>
      <c r="G13">
        <v>4462</v>
      </c>
      <c r="H13">
        <v>2402</v>
      </c>
      <c r="I13">
        <v>65</v>
      </c>
      <c r="J13">
        <v>29</v>
      </c>
      <c r="K13">
        <v>211</v>
      </c>
      <c r="L13">
        <v>76</v>
      </c>
      <c r="M13">
        <v>33</v>
      </c>
      <c r="N13">
        <v>5</v>
      </c>
      <c r="O13">
        <v>244</v>
      </c>
      <c r="P13">
        <v>81</v>
      </c>
    </row>
    <row r="14" spans="1:17" x14ac:dyDescent="0.25">
      <c r="A14" t="s">
        <v>302</v>
      </c>
      <c r="B14">
        <v>2</v>
      </c>
      <c r="C14">
        <v>0</v>
      </c>
      <c r="D14">
        <v>20</v>
      </c>
      <c r="E14">
        <v>20</v>
      </c>
      <c r="F14">
        <v>0</v>
      </c>
      <c r="G14">
        <v>810</v>
      </c>
      <c r="H14">
        <v>385</v>
      </c>
      <c r="I14">
        <v>3</v>
      </c>
      <c r="J14">
        <v>0</v>
      </c>
      <c r="K14">
        <v>34</v>
      </c>
      <c r="L14">
        <v>9</v>
      </c>
      <c r="M14">
        <v>0</v>
      </c>
      <c r="N14">
        <v>0</v>
      </c>
      <c r="O14">
        <v>34</v>
      </c>
      <c r="P14">
        <v>9</v>
      </c>
    </row>
    <row r="15" spans="1:17" x14ac:dyDescent="0.25">
      <c r="A15" t="s">
        <v>303</v>
      </c>
      <c r="B15">
        <v>2</v>
      </c>
      <c r="C15">
        <v>0</v>
      </c>
      <c r="D15">
        <v>13</v>
      </c>
      <c r="E15">
        <v>13</v>
      </c>
      <c r="F15">
        <v>0</v>
      </c>
      <c r="G15">
        <v>482</v>
      </c>
      <c r="H15">
        <v>271</v>
      </c>
      <c r="I15">
        <v>17</v>
      </c>
      <c r="J15">
        <v>6</v>
      </c>
      <c r="K15">
        <v>17</v>
      </c>
      <c r="L15">
        <v>9</v>
      </c>
      <c r="M15">
        <v>8</v>
      </c>
      <c r="N15">
        <v>3</v>
      </c>
      <c r="O15">
        <v>25</v>
      </c>
      <c r="P15">
        <v>12</v>
      </c>
    </row>
    <row r="16" spans="1:17" x14ac:dyDescent="0.25">
      <c r="A16" t="s">
        <v>304</v>
      </c>
      <c r="B16">
        <v>4</v>
      </c>
      <c r="C16">
        <v>0</v>
      </c>
      <c r="D16">
        <v>29</v>
      </c>
      <c r="E16">
        <v>26</v>
      </c>
      <c r="F16">
        <v>0</v>
      </c>
      <c r="G16">
        <v>1046</v>
      </c>
      <c r="H16">
        <v>539</v>
      </c>
      <c r="I16">
        <v>11</v>
      </c>
      <c r="J16">
        <v>3</v>
      </c>
      <c r="K16">
        <v>44</v>
      </c>
      <c r="L16">
        <v>10</v>
      </c>
      <c r="M16">
        <v>8</v>
      </c>
      <c r="N16">
        <v>3</v>
      </c>
      <c r="O16">
        <v>52</v>
      </c>
      <c r="P16">
        <v>13</v>
      </c>
    </row>
    <row r="17" spans="1:16" x14ac:dyDescent="0.25">
      <c r="A17" t="s">
        <v>318</v>
      </c>
      <c r="B17">
        <v>35</v>
      </c>
      <c r="C17">
        <v>0</v>
      </c>
      <c r="D17">
        <v>572</v>
      </c>
      <c r="E17">
        <v>538</v>
      </c>
      <c r="F17">
        <v>0</v>
      </c>
      <c r="G17">
        <v>24517</v>
      </c>
      <c r="H17">
        <v>13294</v>
      </c>
      <c r="I17">
        <v>234</v>
      </c>
      <c r="J17">
        <v>99</v>
      </c>
      <c r="K17">
        <v>1058</v>
      </c>
      <c r="L17">
        <v>350</v>
      </c>
      <c r="M17">
        <v>145</v>
      </c>
      <c r="N17">
        <v>35</v>
      </c>
      <c r="O17">
        <v>1203</v>
      </c>
      <c r="P17">
        <v>385</v>
      </c>
    </row>
    <row r="18" spans="1:16" x14ac:dyDescent="0.25">
      <c r="A18" t="s">
        <v>308</v>
      </c>
      <c r="B18">
        <v>7</v>
      </c>
      <c r="C18">
        <v>0</v>
      </c>
      <c r="D18">
        <v>151</v>
      </c>
      <c r="E18">
        <v>144</v>
      </c>
      <c r="F18">
        <v>0</v>
      </c>
      <c r="G18">
        <v>6690</v>
      </c>
      <c r="H18">
        <v>3575</v>
      </c>
      <c r="I18">
        <v>94</v>
      </c>
      <c r="J18">
        <v>39</v>
      </c>
      <c r="K18">
        <v>302</v>
      </c>
      <c r="L18">
        <v>94</v>
      </c>
      <c r="M18">
        <v>41</v>
      </c>
      <c r="N18">
        <v>11</v>
      </c>
      <c r="O18">
        <v>343</v>
      </c>
      <c r="P18">
        <v>105</v>
      </c>
    </row>
    <row r="19" spans="1:16" x14ac:dyDescent="0.25">
      <c r="A19" t="s">
        <v>309</v>
      </c>
      <c r="B19">
        <v>28</v>
      </c>
      <c r="C19">
        <v>0</v>
      </c>
      <c r="D19">
        <v>421</v>
      </c>
      <c r="E19">
        <v>394</v>
      </c>
      <c r="F19">
        <v>0</v>
      </c>
      <c r="G19">
        <v>17827</v>
      </c>
      <c r="H19">
        <v>9719</v>
      </c>
      <c r="I19">
        <v>140</v>
      </c>
      <c r="J19">
        <v>60</v>
      </c>
      <c r="K19">
        <v>756</v>
      </c>
      <c r="L19">
        <v>256</v>
      </c>
      <c r="M19">
        <v>104</v>
      </c>
      <c r="N19">
        <v>24</v>
      </c>
      <c r="O19">
        <v>860</v>
      </c>
      <c r="P19">
        <v>280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4" max="4" width="7.5703125" customWidth="1"/>
    <col min="5" max="5" width="8.42578125" customWidth="1"/>
    <col min="6" max="6" width="9" customWidth="1"/>
    <col min="7" max="7" width="8.85546875" customWidth="1"/>
    <col min="8" max="8" width="8.7109375" customWidth="1"/>
    <col min="10" max="10" width="6.7109375" customWidth="1"/>
    <col min="12" max="12" width="6" customWidth="1"/>
    <col min="13" max="13" width="7.140625" customWidth="1"/>
    <col min="14" max="14" width="6.7109375" customWidth="1"/>
    <col min="15" max="15" width="7.140625" customWidth="1"/>
    <col min="16" max="16" width="24" customWidth="1"/>
  </cols>
  <sheetData>
    <row r="1" spans="1:17" x14ac:dyDescent="0.25">
      <c r="A1" s="29" t="s">
        <v>319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254</v>
      </c>
      <c r="C2" t="s">
        <v>320</v>
      </c>
      <c r="D2" t="s">
        <v>255</v>
      </c>
      <c r="E2" t="s">
        <v>254</v>
      </c>
      <c r="F2" t="s">
        <v>254</v>
      </c>
      <c r="G2" t="s">
        <v>256</v>
      </c>
      <c r="H2" s="29" t="s">
        <v>72</v>
      </c>
      <c r="I2" s="29"/>
      <c r="J2" s="29" t="s">
        <v>258</v>
      </c>
      <c r="K2" s="29"/>
      <c r="L2" s="29" t="s">
        <v>259</v>
      </c>
      <c r="M2" s="29"/>
      <c r="N2" s="29" t="s">
        <v>311</v>
      </c>
      <c r="O2" s="29"/>
      <c r="P2" s="29" t="s">
        <v>321</v>
      </c>
    </row>
    <row r="3" spans="1:17" x14ac:dyDescent="0.25">
      <c r="A3" s="29"/>
      <c r="B3" t="s">
        <v>261</v>
      </c>
      <c r="C3" t="s">
        <v>322</v>
      </c>
      <c r="D3" t="s">
        <v>261</v>
      </c>
      <c r="E3" t="s">
        <v>256</v>
      </c>
      <c r="F3" t="s">
        <v>313</v>
      </c>
      <c r="G3" t="s">
        <v>262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265</v>
      </c>
      <c r="N3" t="s">
        <v>263</v>
      </c>
      <c r="O3" t="s">
        <v>265</v>
      </c>
      <c r="P3" s="29"/>
    </row>
    <row r="4" spans="1:17" x14ac:dyDescent="0.25">
      <c r="A4" t="s">
        <v>283</v>
      </c>
      <c r="B4">
        <v>328</v>
      </c>
      <c r="C4">
        <v>21</v>
      </c>
      <c r="D4">
        <v>0</v>
      </c>
      <c r="E4">
        <v>559</v>
      </c>
      <c r="F4">
        <v>539</v>
      </c>
      <c r="G4">
        <v>3</v>
      </c>
      <c r="H4">
        <v>16738</v>
      </c>
      <c r="I4">
        <v>8453</v>
      </c>
      <c r="J4">
        <v>91</v>
      </c>
      <c r="K4">
        <v>91</v>
      </c>
      <c r="L4">
        <v>22</v>
      </c>
      <c r="M4">
        <v>22</v>
      </c>
      <c r="N4">
        <v>113</v>
      </c>
      <c r="O4">
        <v>113</v>
      </c>
      <c r="P4">
        <v>4</v>
      </c>
    </row>
    <row r="5" spans="1:17" x14ac:dyDescent="0.25">
      <c r="A5" t="s">
        <v>284</v>
      </c>
      <c r="B5">
        <v>389</v>
      </c>
      <c r="C5">
        <v>26</v>
      </c>
      <c r="D5">
        <v>0</v>
      </c>
      <c r="E5">
        <v>669</v>
      </c>
      <c r="F5">
        <v>611</v>
      </c>
      <c r="G5">
        <v>12</v>
      </c>
      <c r="H5">
        <v>17777</v>
      </c>
      <c r="I5">
        <v>8958</v>
      </c>
      <c r="J5">
        <v>606</v>
      </c>
      <c r="K5">
        <v>573</v>
      </c>
      <c r="L5">
        <v>30</v>
      </c>
      <c r="M5">
        <v>28</v>
      </c>
      <c r="N5">
        <v>636</v>
      </c>
      <c r="O5">
        <v>601</v>
      </c>
      <c r="P5">
        <v>23</v>
      </c>
    </row>
    <row r="6" spans="1:17" x14ac:dyDescent="0.25">
      <c r="A6" t="s">
        <v>285</v>
      </c>
      <c r="B6">
        <v>289</v>
      </c>
      <c r="C6">
        <v>6</v>
      </c>
      <c r="D6">
        <v>0</v>
      </c>
      <c r="E6">
        <v>538</v>
      </c>
      <c r="F6">
        <v>442</v>
      </c>
      <c r="G6">
        <v>24</v>
      </c>
      <c r="H6">
        <v>15659</v>
      </c>
      <c r="I6">
        <v>7771</v>
      </c>
      <c r="J6">
        <v>335</v>
      </c>
      <c r="K6">
        <v>320</v>
      </c>
      <c r="L6">
        <v>13</v>
      </c>
      <c r="M6">
        <v>12</v>
      </c>
      <c r="N6">
        <v>348</v>
      </c>
      <c r="O6">
        <v>332</v>
      </c>
      <c r="P6">
        <v>16</v>
      </c>
    </row>
    <row r="7" spans="1:17" x14ac:dyDescent="0.25">
      <c r="A7" t="s">
        <v>286</v>
      </c>
      <c r="B7">
        <v>115</v>
      </c>
      <c r="C7">
        <v>18</v>
      </c>
      <c r="D7">
        <v>0</v>
      </c>
      <c r="E7">
        <v>227</v>
      </c>
      <c r="F7">
        <v>221</v>
      </c>
      <c r="G7">
        <v>2</v>
      </c>
      <c r="H7">
        <v>6560</v>
      </c>
      <c r="I7">
        <v>3271</v>
      </c>
      <c r="J7">
        <v>175</v>
      </c>
      <c r="K7">
        <v>174</v>
      </c>
      <c r="L7">
        <v>17</v>
      </c>
      <c r="M7">
        <v>17</v>
      </c>
      <c r="N7">
        <v>192</v>
      </c>
      <c r="O7">
        <v>191</v>
      </c>
      <c r="P7">
        <v>3</v>
      </c>
    </row>
    <row r="8" spans="1:17" x14ac:dyDescent="0.25">
      <c r="A8" t="s">
        <v>287</v>
      </c>
      <c r="B8">
        <v>218</v>
      </c>
      <c r="C8">
        <v>4</v>
      </c>
      <c r="D8">
        <v>0</v>
      </c>
      <c r="E8">
        <v>346</v>
      </c>
      <c r="F8">
        <v>302</v>
      </c>
      <c r="G8">
        <v>10</v>
      </c>
      <c r="H8">
        <v>9294</v>
      </c>
      <c r="I8">
        <v>4660</v>
      </c>
      <c r="J8">
        <v>235</v>
      </c>
      <c r="K8">
        <v>221</v>
      </c>
      <c r="L8">
        <v>15</v>
      </c>
      <c r="M8">
        <v>12</v>
      </c>
      <c r="N8">
        <v>250</v>
      </c>
      <c r="O8">
        <v>233</v>
      </c>
      <c r="P8">
        <v>5</v>
      </c>
    </row>
    <row r="9" spans="1:17" x14ac:dyDescent="0.25">
      <c r="A9" t="s">
        <v>288</v>
      </c>
      <c r="B9">
        <v>214</v>
      </c>
      <c r="C9">
        <v>0</v>
      </c>
      <c r="D9">
        <v>0</v>
      </c>
      <c r="E9">
        <v>351</v>
      </c>
      <c r="F9">
        <v>287</v>
      </c>
      <c r="G9">
        <v>2</v>
      </c>
      <c r="H9">
        <v>9931</v>
      </c>
      <c r="I9">
        <v>5077</v>
      </c>
      <c r="J9">
        <v>274</v>
      </c>
      <c r="K9">
        <v>269</v>
      </c>
      <c r="L9">
        <v>7</v>
      </c>
      <c r="M9">
        <v>7</v>
      </c>
      <c r="N9">
        <v>281</v>
      </c>
      <c r="O9">
        <v>276</v>
      </c>
      <c r="P9">
        <v>12</v>
      </c>
    </row>
    <row r="10" spans="1:17" x14ac:dyDescent="0.25">
      <c r="A10" t="s">
        <v>289</v>
      </c>
      <c r="B10">
        <v>202</v>
      </c>
      <c r="C10">
        <v>5</v>
      </c>
      <c r="D10">
        <v>0</v>
      </c>
      <c r="E10">
        <v>266</v>
      </c>
      <c r="F10">
        <v>261</v>
      </c>
      <c r="G10">
        <v>15</v>
      </c>
      <c r="H10">
        <v>7042</v>
      </c>
      <c r="I10">
        <v>3451</v>
      </c>
      <c r="J10">
        <v>266</v>
      </c>
      <c r="K10">
        <v>257</v>
      </c>
      <c r="L10">
        <v>2</v>
      </c>
      <c r="M10">
        <v>2</v>
      </c>
      <c r="N10">
        <v>268</v>
      </c>
      <c r="O10">
        <v>259</v>
      </c>
      <c r="P10">
        <v>9</v>
      </c>
    </row>
    <row r="11" spans="1:17" x14ac:dyDescent="0.25">
      <c r="A11" t="s">
        <v>290</v>
      </c>
      <c r="B11">
        <v>248</v>
      </c>
      <c r="C11">
        <v>29</v>
      </c>
      <c r="D11">
        <v>0</v>
      </c>
      <c r="E11">
        <v>517</v>
      </c>
      <c r="F11">
        <v>506</v>
      </c>
      <c r="G11">
        <v>18</v>
      </c>
      <c r="H11">
        <v>15822</v>
      </c>
      <c r="I11">
        <v>7875</v>
      </c>
      <c r="J11">
        <v>507</v>
      </c>
      <c r="K11">
        <v>479</v>
      </c>
      <c r="L11">
        <v>21</v>
      </c>
      <c r="M11">
        <v>20</v>
      </c>
      <c r="N11">
        <v>528</v>
      </c>
      <c r="O11">
        <v>499</v>
      </c>
      <c r="P11">
        <v>10</v>
      </c>
    </row>
    <row r="12" spans="1:17" x14ac:dyDescent="0.25">
      <c r="A12" t="s">
        <v>291</v>
      </c>
      <c r="B12">
        <v>22</v>
      </c>
      <c r="C12">
        <v>0</v>
      </c>
      <c r="D12">
        <v>0</v>
      </c>
      <c r="E12">
        <v>39</v>
      </c>
      <c r="F12">
        <v>38</v>
      </c>
      <c r="G12">
        <v>3</v>
      </c>
      <c r="H12">
        <v>817</v>
      </c>
      <c r="I12">
        <v>417</v>
      </c>
      <c r="J12">
        <v>38</v>
      </c>
      <c r="K12">
        <v>37</v>
      </c>
      <c r="L12">
        <v>0</v>
      </c>
      <c r="M12">
        <v>0</v>
      </c>
      <c r="N12">
        <v>38</v>
      </c>
      <c r="O12">
        <v>37</v>
      </c>
      <c r="P12">
        <v>1</v>
      </c>
    </row>
    <row r="13" spans="1:17" x14ac:dyDescent="0.25">
      <c r="A13" t="s">
        <v>292</v>
      </c>
      <c r="B13">
        <v>71</v>
      </c>
      <c r="C13">
        <v>0</v>
      </c>
      <c r="D13">
        <v>0</v>
      </c>
      <c r="E13">
        <v>120</v>
      </c>
      <c r="F13">
        <v>91</v>
      </c>
      <c r="G13">
        <v>2</v>
      </c>
      <c r="H13">
        <v>2070</v>
      </c>
      <c r="I13">
        <v>1068</v>
      </c>
      <c r="J13">
        <v>67</v>
      </c>
      <c r="K13">
        <v>61</v>
      </c>
      <c r="L13">
        <v>6</v>
      </c>
      <c r="M13">
        <v>2</v>
      </c>
      <c r="N13">
        <v>73</v>
      </c>
      <c r="O13">
        <v>63</v>
      </c>
      <c r="P13">
        <v>3</v>
      </c>
    </row>
    <row r="14" spans="1:17" x14ac:dyDescent="0.25">
      <c r="A14" t="s">
        <v>293</v>
      </c>
      <c r="B14">
        <v>106</v>
      </c>
      <c r="C14">
        <v>9</v>
      </c>
      <c r="D14">
        <v>0</v>
      </c>
      <c r="E14">
        <v>245</v>
      </c>
      <c r="F14">
        <v>161</v>
      </c>
      <c r="G14">
        <v>10</v>
      </c>
      <c r="H14">
        <v>4507</v>
      </c>
      <c r="I14">
        <v>2316</v>
      </c>
      <c r="J14">
        <v>153</v>
      </c>
      <c r="K14">
        <v>150</v>
      </c>
      <c r="L14">
        <v>12</v>
      </c>
      <c r="M14">
        <v>12</v>
      </c>
      <c r="N14">
        <v>165</v>
      </c>
      <c r="O14">
        <v>162</v>
      </c>
      <c r="P14">
        <v>5</v>
      </c>
    </row>
    <row r="15" spans="1:17" x14ac:dyDescent="0.25">
      <c r="A15" t="s">
        <v>294</v>
      </c>
      <c r="B15">
        <v>30</v>
      </c>
      <c r="C15">
        <v>4</v>
      </c>
      <c r="D15">
        <v>0</v>
      </c>
      <c r="E15">
        <v>42</v>
      </c>
      <c r="F15">
        <v>42</v>
      </c>
      <c r="G15">
        <v>0</v>
      </c>
      <c r="H15">
        <v>1182</v>
      </c>
      <c r="I15">
        <v>604</v>
      </c>
      <c r="J15">
        <v>42</v>
      </c>
      <c r="K15">
        <v>40</v>
      </c>
      <c r="L15">
        <v>0</v>
      </c>
      <c r="M15">
        <v>0</v>
      </c>
      <c r="N15">
        <v>42</v>
      </c>
      <c r="O15">
        <v>40</v>
      </c>
      <c r="P15">
        <v>0</v>
      </c>
    </row>
    <row r="16" spans="1:17" x14ac:dyDescent="0.25">
      <c r="A16" t="s">
        <v>295</v>
      </c>
      <c r="B16">
        <v>108</v>
      </c>
      <c r="C16">
        <v>0</v>
      </c>
      <c r="D16">
        <v>0</v>
      </c>
      <c r="E16">
        <v>150</v>
      </c>
      <c r="F16">
        <v>131</v>
      </c>
      <c r="G16">
        <v>1</v>
      </c>
      <c r="H16">
        <v>3486</v>
      </c>
      <c r="I16">
        <v>1816</v>
      </c>
      <c r="J16">
        <v>108</v>
      </c>
      <c r="K16">
        <v>95</v>
      </c>
      <c r="L16">
        <v>3</v>
      </c>
      <c r="M16">
        <v>0</v>
      </c>
      <c r="N16">
        <v>111</v>
      </c>
      <c r="O16">
        <v>95</v>
      </c>
      <c r="P16">
        <v>5</v>
      </c>
    </row>
    <row r="17" spans="1:16" x14ac:dyDescent="0.25">
      <c r="A17" t="s">
        <v>296</v>
      </c>
      <c r="B17">
        <v>25</v>
      </c>
      <c r="C17">
        <v>2</v>
      </c>
      <c r="D17">
        <v>0</v>
      </c>
      <c r="E17">
        <v>44</v>
      </c>
      <c r="F17">
        <v>40</v>
      </c>
      <c r="G17">
        <v>0</v>
      </c>
      <c r="H17">
        <v>980</v>
      </c>
      <c r="I17">
        <v>496</v>
      </c>
      <c r="J17">
        <v>36</v>
      </c>
      <c r="K17">
        <v>36</v>
      </c>
      <c r="L17">
        <v>4</v>
      </c>
      <c r="M17">
        <v>4</v>
      </c>
      <c r="N17">
        <v>40</v>
      </c>
      <c r="O17">
        <v>40</v>
      </c>
      <c r="P17">
        <v>0</v>
      </c>
    </row>
    <row r="18" spans="1:16" x14ac:dyDescent="0.25">
      <c r="A18" t="s">
        <v>297</v>
      </c>
      <c r="B18">
        <v>148</v>
      </c>
      <c r="C18">
        <v>20</v>
      </c>
      <c r="D18">
        <v>0</v>
      </c>
      <c r="E18">
        <v>454</v>
      </c>
      <c r="F18">
        <v>254</v>
      </c>
      <c r="G18">
        <v>0</v>
      </c>
      <c r="H18">
        <v>9743</v>
      </c>
      <c r="I18">
        <v>4696</v>
      </c>
      <c r="J18">
        <v>292</v>
      </c>
      <c r="K18">
        <v>289</v>
      </c>
      <c r="L18">
        <v>30</v>
      </c>
      <c r="M18">
        <v>28</v>
      </c>
      <c r="N18">
        <v>322</v>
      </c>
      <c r="O18">
        <v>317</v>
      </c>
      <c r="P18">
        <v>11</v>
      </c>
    </row>
    <row r="19" spans="1:16" x14ac:dyDescent="0.25">
      <c r="A19" t="s">
        <v>298</v>
      </c>
      <c r="B19">
        <v>60</v>
      </c>
      <c r="C19">
        <v>1</v>
      </c>
      <c r="D19">
        <v>0</v>
      </c>
      <c r="E19">
        <v>87</v>
      </c>
      <c r="F19">
        <v>86</v>
      </c>
      <c r="G19">
        <v>0</v>
      </c>
      <c r="H19">
        <v>1983</v>
      </c>
      <c r="I19">
        <v>987</v>
      </c>
      <c r="J19">
        <v>89</v>
      </c>
      <c r="K19">
        <v>87</v>
      </c>
      <c r="L19">
        <v>3</v>
      </c>
      <c r="M19">
        <v>3</v>
      </c>
      <c r="N19">
        <v>92</v>
      </c>
      <c r="O19">
        <v>90</v>
      </c>
      <c r="P19">
        <v>1</v>
      </c>
    </row>
    <row r="20" spans="1:16" x14ac:dyDescent="0.25">
      <c r="A20" t="s">
        <v>299</v>
      </c>
      <c r="B20">
        <v>116</v>
      </c>
      <c r="C20">
        <v>7</v>
      </c>
      <c r="D20">
        <v>0</v>
      </c>
      <c r="E20">
        <v>162</v>
      </c>
      <c r="F20">
        <v>160</v>
      </c>
      <c r="G20">
        <v>0</v>
      </c>
      <c r="H20">
        <v>4169</v>
      </c>
      <c r="I20">
        <v>2092</v>
      </c>
      <c r="J20">
        <v>100</v>
      </c>
      <c r="K20">
        <v>97</v>
      </c>
      <c r="L20">
        <v>7</v>
      </c>
      <c r="M20">
        <v>7</v>
      </c>
      <c r="N20">
        <v>107</v>
      </c>
      <c r="O20">
        <v>104</v>
      </c>
      <c r="P20">
        <v>0</v>
      </c>
    </row>
    <row r="21" spans="1:16" x14ac:dyDescent="0.25">
      <c r="A21" t="s">
        <v>300</v>
      </c>
      <c r="B21">
        <v>399</v>
      </c>
      <c r="C21">
        <v>17</v>
      </c>
      <c r="D21">
        <v>0</v>
      </c>
      <c r="E21">
        <v>612</v>
      </c>
      <c r="F21">
        <v>599</v>
      </c>
      <c r="G21">
        <v>34</v>
      </c>
      <c r="H21">
        <v>16663</v>
      </c>
      <c r="I21">
        <v>8228</v>
      </c>
      <c r="J21">
        <v>471</v>
      </c>
      <c r="K21">
        <v>437</v>
      </c>
      <c r="L21">
        <v>25</v>
      </c>
      <c r="M21">
        <v>17</v>
      </c>
      <c r="N21">
        <v>496</v>
      </c>
      <c r="O21">
        <v>454</v>
      </c>
      <c r="P21">
        <v>20</v>
      </c>
    </row>
    <row r="22" spans="1:16" x14ac:dyDescent="0.25">
      <c r="A22" t="s">
        <v>301</v>
      </c>
      <c r="B22">
        <v>185</v>
      </c>
      <c r="C22">
        <v>21</v>
      </c>
      <c r="D22">
        <v>0</v>
      </c>
      <c r="E22">
        <v>297</v>
      </c>
      <c r="F22">
        <v>270</v>
      </c>
      <c r="G22">
        <v>43</v>
      </c>
      <c r="H22">
        <v>7939</v>
      </c>
      <c r="I22">
        <v>3990</v>
      </c>
      <c r="J22">
        <v>199</v>
      </c>
      <c r="K22">
        <v>188</v>
      </c>
      <c r="L22">
        <v>18</v>
      </c>
      <c r="M22">
        <v>17</v>
      </c>
      <c r="N22">
        <v>217</v>
      </c>
      <c r="O22">
        <v>205</v>
      </c>
      <c r="P22">
        <v>4</v>
      </c>
    </row>
    <row r="23" spans="1:16" x14ac:dyDescent="0.25">
      <c r="A23" t="s">
        <v>302</v>
      </c>
      <c r="B23">
        <v>68</v>
      </c>
      <c r="C23">
        <v>1</v>
      </c>
      <c r="D23">
        <v>0</v>
      </c>
      <c r="E23">
        <v>197</v>
      </c>
      <c r="F23">
        <v>96</v>
      </c>
      <c r="G23">
        <v>0</v>
      </c>
      <c r="H23">
        <v>2617</v>
      </c>
      <c r="I23">
        <v>1364</v>
      </c>
      <c r="J23">
        <v>84</v>
      </c>
      <c r="K23">
        <v>77</v>
      </c>
      <c r="L23">
        <v>3</v>
      </c>
      <c r="M23">
        <v>2</v>
      </c>
      <c r="N23">
        <v>87</v>
      </c>
      <c r="O23">
        <v>79</v>
      </c>
      <c r="P23">
        <v>3</v>
      </c>
    </row>
    <row r="24" spans="1:16" x14ac:dyDescent="0.25">
      <c r="A24" t="s">
        <v>303</v>
      </c>
      <c r="B24">
        <v>463</v>
      </c>
      <c r="C24">
        <v>27</v>
      </c>
      <c r="D24">
        <v>0</v>
      </c>
      <c r="E24">
        <v>1225</v>
      </c>
      <c r="F24">
        <v>824</v>
      </c>
      <c r="G24">
        <v>19</v>
      </c>
      <c r="H24">
        <v>28489</v>
      </c>
      <c r="I24">
        <v>14344</v>
      </c>
      <c r="J24">
        <v>485</v>
      </c>
      <c r="K24">
        <v>474</v>
      </c>
      <c r="L24">
        <v>31</v>
      </c>
      <c r="M24">
        <v>28</v>
      </c>
      <c r="N24">
        <v>516</v>
      </c>
      <c r="O24">
        <v>502</v>
      </c>
      <c r="P24">
        <v>25</v>
      </c>
    </row>
    <row r="25" spans="1:16" x14ac:dyDescent="0.25">
      <c r="A25" t="s">
        <v>304</v>
      </c>
      <c r="B25">
        <v>46</v>
      </c>
      <c r="C25">
        <v>1</v>
      </c>
      <c r="D25">
        <v>0</v>
      </c>
      <c r="E25">
        <v>66</v>
      </c>
      <c r="F25">
        <v>57</v>
      </c>
      <c r="G25">
        <v>1</v>
      </c>
      <c r="H25">
        <v>1388</v>
      </c>
      <c r="I25">
        <v>754</v>
      </c>
      <c r="J25">
        <v>53</v>
      </c>
      <c r="K25">
        <v>52</v>
      </c>
      <c r="L25">
        <v>1</v>
      </c>
      <c r="M25">
        <v>1</v>
      </c>
      <c r="N25">
        <v>54</v>
      </c>
      <c r="O25">
        <v>53</v>
      </c>
      <c r="P25">
        <v>1</v>
      </c>
    </row>
    <row r="26" spans="1:16" x14ac:dyDescent="0.25">
      <c r="A26" t="s">
        <v>305</v>
      </c>
      <c r="B26">
        <v>175</v>
      </c>
      <c r="C26">
        <v>6</v>
      </c>
      <c r="D26">
        <v>0</v>
      </c>
      <c r="E26">
        <v>299</v>
      </c>
      <c r="F26">
        <v>258</v>
      </c>
      <c r="G26">
        <v>0</v>
      </c>
      <c r="H26">
        <v>6874</v>
      </c>
      <c r="I26">
        <v>3354</v>
      </c>
      <c r="J26">
        <v>241</v>
      </c>
      <c r="K26">
        <v>206</v>
      </c>
      <c r="L26">
        <v>31</v>
      </c>
      <c r="M26">
        <v>16</v>
      </c>
      <c r="N26">
        <v>272</v>
      </c>
      <c r="O26">
        <v>222</v>
      </c>
      <c r="P26">
        <v>12</v>
      </c>
    </row>
    <row r="27" spans="1:16" x14ac:dyDescent="0.25">
      <c r="A27" t="s">
        <v>306</v>
      </c>
      <c r="B27">
        <v>301</v>
      </c>
      <c r="C27">
        <v>4</v>
      </c>
      <c r="D27">
        <v>0</v>
      </c>
      <c r="E27">
        <v>460</v>
      </c>
      <c r="F27">
        <v>455</v>
      </c>
      <c r="G27">
        <v>22</v>
      </c>
      <c r="H27">
        <v>12424</v>
      </c>
      <c r="I27">
        <v>6103</v>
      </c>
      <c r="J27">
        <v>425</v>
      </c>
      <c r="K27">
        <v>395</v>
      </c>
      <c r="L27">
        <v>7</v>
      </c>
      <c r="M27">
        <v>3</v>
      </c>
      <c r="N27">
        <v>432</v>
      </c>
      <c r="O27">
        <v>398</v>
      </c>
      <c r="P27">
        <v>16</v>
      </c>
    </row>
    <row r="28" spans="1:16" x14ac:dyDescent="0.25">
      <c r="A28" t="s">
        <v>307</v>
      </c>
      <c r="B28">
        <v>237</v>
      </c>
      <c r="C28">
        <v>4</v>
      </c>
      <c r="D28">
        <v>0</v>
      </c>
      <c r="E28">
        <v>510</v>
      </c>
      <c r="F28">
        <v>392</v>
      </c>
      <c r="G28">
        <v>8</v>
      </c>
      <c r="H28">
        <v>13633</v>
      </c>
      <c r="I28">
        <v>6860</v>
      </c>
      <c r="J28">
        <v>249</v>
      </c>
      <c r="K28">
        <v>232</v>
      </c>
      <c r="L28">
        <v>5</v>
      </c>
      <c r="M28">
        <v>4</v>
      </c>
      <c r="N28">
        <v>254</v>
      </c>
      <c r="O28">
        <v>236</v>
      </c>
      <c r="P28">
        <v>27</v>
      </c>
    </row>
    <row r="29" spans="1:16" x14ac:dyDescent="0.25">
      <c r="A29" t="s">
        <v>266</v>
      </c>
      <c r="B29">
        <v>4563</v>
      </c>
      <c r="C29">
        <v>233</v>
      </c>
      <c r="D29">
        <v>0</v>
      </c>
      <c r="E29">
        <v>8482</v>
      </c>
      <c r="F29">
        <v>7123</v>
      </c>
      <c r="G29">
        <v>229</v>
      </c>
      <c r="H29">
        <v>217787</v>
      </c>
      <c r="I29">
        <v>109005</v>
      </c>
      <c r="J29">
        <v>5621</v>
      </c>
      <c r="K29">
        <v>5337</v>
      </c>
      <c r="L29">
        <v>313</v>
      </c>
      <c r="M29">
        <v>264</v>
      </c>
      <c r="N29">
        <v>5934</v>
      </c>
      <c r="O29">
        <v>5601</v>
      </c>
      <c r="P29">
        <v>216</v>
      </c>
    </row>
    <row r="30" spans="1:16" x14ac:dyDescent="0.25">
      <c r="A30" t="s">
        <v>308</v>
      </c>
      <c r="B30">
        <v>536</v>
      </c>
      <c r="C30">
        <v>63</v>
      </c>
      <c r="D30">
        <v>0</v>
      </c>
      <c r="E30">
        <v>1581</v>
      </c>
      <c r="F30">
        <v>1035</v>
      </c>
      <c r="G30">
        <v>8</v>
      </c>
      <c r="H30">
        <v>36865</v>
      </c>
      <c r="I30">
        <v>18425</v>
      </c>
      <c r="J30">
        <v>1021</v>
      </c>
      <c r="K30">
        <v>1011</v>
      </c>
      <c r="L30">
        <v>110</v>
      </c>
      <c r="M30">
        <v>105</v>
      </c>
      <c r="N30">
        <v>1131</v>
      </c>
      <c r="O30">
        <v>1116</v>
      </c>
      <c r="P30">
        <v>23</v>
      </c>
    </row>
    <row r="31" spans="1:16" x14ac:dyDescent="0.25">
      <c r="A31" t="s">
        <v>309</v>
      </c>
      <c r="B31">
        <v>4027</v>
      </c>
      <c r="C31">
        <v>170</v>
      </c>
      <c r="D31">
        <v>0</v>
      </c>
      <c r="E31">
        <v>6901</v>
      </c>
      <c r="F31">
        <v>6088</v>
      </c>
      <c r="G31">
        <v>221</v>
      </c>
      <c r="H31">
        <v>180922</v>
      </c>
      <c r="I31">
        <v>90580</v>
      </c>
      <c r="J31">
        <v>4600</v>
      </c>
      <c r="K31">
        <v>4326</v>
      </c>
      <c r="L31">
        <v>203</v>
      </c>
      <c r="M31">
        <v>159</v>
      </c>
      <c r="N31">
        <v>4803</v>
      </c>
      <c r="O31">
        <v>4485</v>
      </c>
      <c r="P31">
        <v>193</v>
      </c>
    </row>
  </sheetData>
  <mergeCells count="7">
    <mergeCell ref="P2:P3"/>
    <mergeCell ref="A1:Q1"/>
    <mergeCell ref="L2:M2"/>
    <mergeCell ref="H2:I2"/>
    <mergeCell ref="J2:K2"/>
    <mergeCell ref="N2:O2"/>
    <mergeCell ref="A2:A3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85546875" customWidth="1"/>
    <col min="7" max="7" width="10.140625" customWidth="1"/>
    <col min="8" max="8" width="8.7109375" customWidth="1"/>
    <col min="10" max="10" width="7.7109375" customWidth="1"/>
    <col min="14" max="14" width="7.140625" customWidth="1"/>
    <col min="15" max="15" width="7.7109375" customWidth="1"/>
  </cols>
  <sheetData>
    <row r="1" spans="1:17" x14ac:dyDescent="0.25">
      <c r="A1" s="29" t="s">
        <v>323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7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410</v>
      </c>
      <c r="C4">
        <v>0</v>
      </c>
      <c r="D4">
        <v>3293</v>
      </c>
      <c r="E4">
        <v>2427</v>
      </c>
      <c r="F4">
        <v>21</v>
      </c>
      <c r="G4">
        <v>99947</v>
      </c>
      <c r="H4">
        <v>48195</v>
      </c>
      <c r="I4">
        <v>5030</v>
      </c>
      <c r="J4">
        <v>1819</v>
      </c>
      <c r="K4">
        <v>2815</v>
      </c>
      <c r="L4">
        <v>1646</v>
      </c>
      <c r="M4">
        <v>584</v>
      </c>
      <c r="N4">
        <v>123</v>
      </c>
      <c r="O4">
        <v>3399</v>
      </c>
      <c r="P4">
        <v>1769</v>
      </c>
    </row>
    <row r="5" spans="1:17" x14ac:dyDescent="0.25">
      <c r="A5" t="s">
        <v>284</v>
      </c>
      <c r="B5">
        <v>654</v>
      </c>
      <c r="C5">
        <v>0</v>
      </c>
      <c r="D5">
        <v>5586</v>
      </c>
      <c r="E5">
        <v>3686</v>
      </c>
      <c r="F5">
        <v>47</v>
      </c>
      <c r="G5">
        <v>164335</v>
      </c>
      <c r="H5">
        <v>78804</v>
      </c>
      <c r="I5">
        <v>12352</v>
      </c>
      <c r="J5">
        <v>4686</v>
      </c>
      <c r="K5">
        <v>3723</v>
      </c>
      <c r="L5">
        <v>2413</v>
      </c>
      <c r="M5">
        <v>1214</v>
      </c>
      <c r="N5">
        <v>470</v>
      </c>
      <c r="O5">
        <v>4937</v>
      </c>
      <c r="P5">
        <v>2883</v>
      </c>
    </row>
    <row r="6" spans="1:17" x14ac:dyDescent="0.25">
      <c r="A6" t="s">
        <v>285</v>
      </c>
      <c r="B6">
        <v>407</v>
      </c>
      <c r="C6">
        <v>0</v>
      </c>
      <c r="D6">
        <v>4001</v>
      </c>
      <c r="E6">
        <v>2945</v>
      </c>
      <c r="F6">
        <v>103</v>
      </c>
      <c r="G6">
        <v>138517</v>
      </c>
      <c r="H6">
        <v>72390</v>
      </c>
      <c r="I6">
        <v>13706</v>
      </c>
      <c r="J6">
        <v>5010</v>
      </c>
      <c r="K6">
        <v>2545</v>
      </c>
      <c r="L6">
        <v>1675</v>
      </c>
      <c r="M6">
        <v>1090</v>
      </c>
      <c r="N6">
        <v>449</v>
      </c>
      <c r="O6">
        <v>3635</v>
      </c>
      <c r="P6">
        <v>2124</v>
      </c>
    </row>
    <row r="7" spans="1:17" x14ac:dyDescent="0.25">
      <c r="A7" t="s">
        <v>286</v>
      </c>
      <c r="B7">
        <v>279</v>
      </c>
      <c r="C7">
        <v>0</v>
      </c>
      <c r="D7">
        <v>2253</v>
      </c>
      <c r="E7">
        <v>1542</v>
      </c>
      <c r="F7">
        <v>18</v>
      </c>
      <c r="G7">
        <v>73750</v>
      </c>
      <c r="H7">
        <v>36879</v>
      </c>
      <c r="I7">
        <v>6162</v>
      </c>
      <c r="J7">
        <v>2066</v>
      </c>
      <c r="K7">
        <v>1776</v>
      </c>
      <c r="L7">
        <v>916</v>
      </c>
      <c r="M7">
        <v>432</v>
      </c>
      <c r="N7">
        <v>117</v>
      </c>
      <c r="O7">
        <v>2208</v>
      </c>
      <c r="P7">
        <v>1033</v>
      </c>
    </row>
    <row r="8" spans="1:17" x14ac:dyDescent="0.25">
      <c r="A8" t="s">
        <v>287</v>
      </c>
      <c r="B8">
        <v>316</v>
      </c>
      <c r="C8">
        <v>0</v>
      </c>
      <c r="D8">
        <v>2832</v>
      </c>
      <c r="E8">
        <v>2204</v>
      </c>
      <c r="F8">
        <v>16</v>
      </c>
      <c r="G8">
        <v>106477</v>
      </c>
      <c r="H8">
        <v>51144</v>
      </c>
      <c r="I8">
        <v>6260</v>
      </c>
      <c r="J8">
        <v>2505</v>
      </c>
      <c r="K8">
        <v>2124</v>
      </c>
      <c r="L8">
        <v>1032</v>
      </c>
      <c r="M8">
        <v>548</v>
      </c>
      <c r="N8">
        <v>118</v>
      </c>
      <c r="O8">
        <v>2672</v>
      </c>
      <c r="P8">
        <v>1150</v>
      </c>
    </row>
    <row r="9" spans="1:17" x14ac:dyDescent="0.25">
      <c r="A9" t="s">
        <v>288</v>
      </c>
      <c r="B9">
        <v>494</v>
      </c>
      <c r="C9">
        <v>0</v>
      </c>
      <c r="D9">
        <v>3442</v>
      </c>
      <c r="E9">
        <v>2511</v>
      </c>
      <c r="F9">
        <v>59</v>
      </c>
      <c r="G9">
        <v>101294</v>
      </c>
      <c r="H9">
        <v>53157</v>
      </c>
      <c r="I9">
        <v>7860</v>
      </c>
      <c r="J9">
        <v>2953</v>
      </c>
      <c r="K9">
        <v>2425</v>
      </c>
      <c r="L9">
        <v>1427</v>
      </c>
      <c r="M9">
        <v>478</v>
      </c>
      <c r="N9">
        <v>140</v>
      </c>
      <c r="O9">
        <v>2903</v>
      </c>
      <c r="P9">
        <v>1567</v>
      </c>
    </row>
    <row r="10" spans="1:17" x14ac:dyDescent="0.25">
      <c r="A10" t="s">
        <v>289</v>
      </c>
      <c r="B10">
        <v>310</v>
      </c>
      <c r="C10">
        <v>0</v>
      </c>
      <c r="D10">
        <v>2391</v>
      </c>
      <c r="E10">
        <v>1939</v>
      </c>
      <c r="F10">
        <v>52</v>
      </c>
      <c r="G10">
        <v>75516</v>
      </c>
      <c r="H10">
        <v>35799</v>
      </c>
      <c r="I10">
        <v>4020</v>
      </c>
      <c r="J10">
        <v>1408</v>
      </c>
      <c r="K10">
        <v>2232</v>
      </c>
      <c r="L10">
        <v>1187</v>
      </c>
      <c r="M10">
        <v>529</v>
      </c>
      <c r="N10">
        <v>107</v>
      </c>
      <c r="O10">
        <v>2761</v>
      </c>
      <c r="P10">
        <v>1294</v>
      </c>
    </row>
    <row r="11" spans="1:17" x14ac:dyDescent="0.25">
      <c r="A11" t="s">
        <v>290</v>
      </c>
      <c r="B11">
        <v>373</v>
      </c>
      <c r="C11">
        <v>0</v>
      </c>
      <c r="D11">
        <v>4323</v>
      </c>
      <c r="E11">
        <v>3285</v>
      </c>
      <c r="F11">
        <v>97</v>
      </c>
      <c r="G11">
        <v>161700</v>
      </c>
      <c r="H11">
        <v>76703</v>
      </c>
      <c r="I11">
        <v>18810</v>
      </c>
      <c r="J11">
        <v>6977</v>
      </c>
      <c r="K11">
        <v>2425</v>
      </c>
      <c r="L11">
        <v>1584</v>
      </c>
      <c r="M11">
        <v>816</v>
      </c>
      <c r="N11">
        <v>226</v>
      </c>
      <c r="O11">
        <v>3241</v>
      </c>
      <c r="P11">
        <v>1810</v>
      </c>
    </row>
    <row r="12" spans="1:17" x14ac:dyDescent="0.25">
      <c r="A12" t="s">
        <v>291</v>
      </c>
      <c r="B12">
        <v>22</v>
      </c>
      <c r="C12">
        <v>0</v>
      </c>
      <c r="D12">
        <v>183</v>
      </c>
      <c r="E12">
        <v>146</v>
      </c>
      <c r="F12">
        <v>6</v>
      </c>
      <c r="G12">
        <v>5481</v>
      </c>
      <c r="H12">
        <v>2621</v>
      </c>
      <c r="I12">
        <v>305</v>
      </c>
      <c r="J12">
        <v>99</v>
      </c>
      <c r="K12">
        <v>199</v>
      </c>
      <c r="L12">
        <v>117</v>
      </c>
      <c r="M12">
        <v>62</v>
      </c>
      <c r="N12">
        <v>10</v>
      </c>
      <c r="O12">
        <v>261</v>
      </c>
      <c r="P12">
        <v>127</v>
      </c>
    </row>
    <row r="13" spans="1:17" x14ac:dyDescent="0.25">
      <c r="A13" t="s">
        <v>292</v>
      </c>
      <c r="B13">
        <v>121</v>
      </c>
      <c r="C13">
        <v>0</v>
      </c>
      <c r="D13">
        <v>825</v>
      </c>
      <c r="E13">
        <v>553</v>
      </c>
      <c r="F13">
        <v>0</v>
      </c>
      <c r="G13">
        <v>17205</v>
      </c>
      <c r="H13">
        <v>8245</v>
      </c>
      <c r="I13">
        <v>887</v>
      </c>
      <c r="J13">
        <v>341</v>
      </c>
      <c r="K13">
        <v>667</v>
      </c>
      <c r="L13">
        <v>350</v>
      </c>
      <c r="M13">
        <v>112</v>
      </c>
      <c r="N13">
        <v>31</v>
      </c>
      <c r="O13">
        <v>779</v>
      </c>
      <c r="P13">
        <v>381</v>
      </c>
    </row>
    <row r="14" spans="1:17" x14ac:dyDescent="0.25">
      <c r="A14" t="s">
        <v>293</v>
      </c>
      <c r="B14">
        <v>285</v>
      </c>
      <c r="C14">
        <v>0</v>
      </c>
      <c r="D14">
        <v>2271</v>
      </c>
      <c r="E14">
        <v>1465</v>
      </c>
      <c r="F14">
        <v>58</v>
      </c>
      <c r="G14">
        <v>64004</v>
      </c>
      <c r="H14">
        <v>33208</v>
      </c>
      <c r="I14">
        <v>6377</v>
      </c>
      <c r="J14">
        <v>2532</v>
      </c>
      <c r="K14">
        <v>1545</v>
      </c>
      <c r="L14">
        <v>1048</v>
      </c>
      <c r="M14">
        <v>257</v>
      </c>
      <c r="N14">
        <v>93</v>
      </c>
      <c r="O14">
        <v>1802</v>
      </c>
      <c r="P14">
        <v>1141</v>
      </c>
    </row>
    <row r="15" spans="1:17" x14ac:dyDescent="0.25">
      <c r="A15" t="s">
        <v>294</v>
      </c>
      <c r="B15">
        <v>88</v>
      </c>
      <c r="C15">
        <v>0</v>
      </c>
      <c r="D15">
        <v>685</v>
      </c>
      <c r="E15">
        <v>487</v>
      </c>
      <c r="F15">
        <v>2</v>
      </c>
      <c r="G15">
        <v>15225</v>
      </c>
      <c r="H15">
        <v>7859</v>
      </c>
      <c r="I15">
        <v>1061</v>
      </c>
      <c r="J15">
        <v>409</v>
      </c>
      <c r="K15">
        <v>631</v>
      </c>
      <c r="L15">
        <v>336</v>
      </c>
      <c r="M15">
        <v>45</v>
      </c>
      <c r="N15">
        <v>9</v>
      </c>
      <c r="O15">
        <v>676</v>
      </c>
      <c r="P15">
        <v>345</v>
      </c>
    </row>
    <row r="16" spans="1:17" x14ac:dyDescent="0.25">
      <c r="A16" t="s">
        <v>295</v>
      </c>
      <c r="B16">
        <v>219</v>
      </c>
      <c r="C16">
        <v>0</v>
      </c>
      <c r="D16">
        <v>1575</v>
      </c>
      <c r="E16">
        <v>1082</v>
      </c>
      <c r="F16">
        <v>0</v>
      </c>
      <c r="G16">
        <v>38042</v>
      </c>
      <c r="H16">
        <v>18080</v>
      </c>
      <c r="I16">
        <v>3242</v>
      </c>
      <c r="J16">
        <v>1204</v>
      </c>
      <c r="K16">
        <v>987</v>
      </c>
      <c r="L16">
        <v>476</v>
      </c>
      <c r="M16">
        <v>270</v>
      </c>
      <c r="N16">
        <v>72</v>
      </c>
      <c r="O16">
        <v>1257</v>
      </c>
      <c r="P16">
        <v>548</v>
      </c>
    </row>
    <row r="17" spans="1:16" x14ac:dyDescent="0.25">
      <c r="A17" t="s">
        <v>296</v>
      </c>
      <c r="B17">
        <v>48</v>
      </c>
      <c r="C17">
        <v>0</v>
      </c>
      <c r="D17">
        <v>364</v>
      </c>
      <c r="E17">
        <v>259</v>
      </c>
      <c r="F17">
        <v>0</v>
      </c>
      <c r="G17">
        <v>9881</v>
      </c>
      <c r="H17">
        <v>4828</v>
      </c>
      <c r="I17">
        <v>832</v>
      </c>
      <c r="J17">
        <v>332</v>
      </c>
      <c r="K17">
        <v>299</v>
      </c>
      <c r="L17">
        <v>171</v>
      </c>
      <c r="M17">
        <v>46</v>
      </c>
      <c r="N17">
        <v>18</v>
      </c>
      <c r="O17">
        <v>345</v>
      </c>
      <c r="P17">
        <v>189</v>
      </c>
    </row>
    <row r="18" spans="1:16" x14ac:dyDescent="0.25">
      <c r="A18" t="s">
        <v>297</v>
      </c>
      <c r="B18">
        <v>164</v>
      </c>
      <c r="C18">
        <v>0</v>
      </c>
      <c r="D18">
        <v>3134</v>
      </c>
      <c r="E18">
        <v>2260</v>
      </c>
      <c r="F18">
        <v>103</v>
      </c>
      <c r="G18">
        <v>135555</v>
      </c>
      <c r="H18">
        <v>64312</v>
      </c>
      <c r="I18">
        <v>7694</v>
      </c>
      <c r="J18">
        <v>2954</v>
      </c>
      <c r="K18">
        <v>3207</v>
      </c>
      <c r="L18">
        <v>2410</v>
      </c>
      <c r="M18">
        <v>542</v>
      </c>
      <c r="N18">
        <v>235</v>
      </c>
      <c r="O18">
        <v>3749</v>
      </c>
      <c r="P18">
        <v>2645</v>
      </c>
    </row>
    <row r="19" spans="1:16" x14ac:dyDescent="0.25">
      <c r="A19" t="s">
        <v>298</v>
      </c>
      <c r="B19">
        <v>72</v>
      </c>
      <c r="C19">
        <v>0</v>
      </c>
      <c r="D19">
        <v>822</v>
      </c>
      <c r="E19">
        <v>664</v>
      </c>
      <c r="F19">
        <v>0</v>
      </c>
      <c r="G19">
        <v>28240</v>
      </c>
      <c r="H19">
        <v>13526</v>
      </c>
      <c r="I19">
        <v>2419</v>
      </c>
      <c r="J19">
        <v>939</v>
      </c>
      <c r="K19">
        <v>828</v>
      </c>
      <c r="L19">
        <v>488</v>
      </c>
      <c r="M19">
        <v>169</v>
      </c>
      <c r="N19">
        <v>57</v>
      </c>
      <c r="O19">
        <v>997</v>
      </c>
      <c r="P19">
        <v>545</v>
      </c>
    </row>
    <row r="20" spans="1:16" x14ac:dyDescent="0.25">
      <c r="A20" t="s">
        <v>299</v>
      </c>
      <c r="B20">
        <v>229</v>
      </c>
      <c r="C20">
        <v>0</v>
      </c>
      <c r="D20">
        <v>1620</v>
      </c>
      <c r="E20">
        <v>1214</v>
      </c>
      <c r="F20">
        <v>5</v>
      </c>
      <c r="G20">
        <v>37905</v>
      </c>
      <c r="H20">
        <v>18742</v>
      </c>
      <c r="I20">
        <v>4233</v>
      </c>
      <c r="J20">
        <v>1704</v>
      </c>
      <c r="K20">
        <v>1269</v>
      </c>
      <c r="L20">
        <v>705</v>
      </c>
      <c r="M20">
        <v>268</v>
      </c>
      <c r="N20">
        <v>77</v>
      </c>
      <c r="O20">
        <v>1537</v>
      </c>
      <c r="P20">
        <v>782</v>
      </c>
    </row>
    <row r="21" spans="1:16" x14ac:dyDescent="0.25">
      <c r="A21" t="s">
        <v>300</v>
      </c>
      <c r="B21">
        <v>547</v>
      </c>
      <c r="C21">
        <v>0</v>
      </c>
      <c r="D21">
        <v>4575</v>
      </c>
      <c r="E21">
        <v>3550</v>
      </c>
      <c r="F21">
        <v>75</v>
      </c>
      <c r="G21">
        <v>148731</v>
      </c>
      <c r="H21">
        <v>69420</v>
      </c>
      <c r="I21">
        <v>11899</v>
      </c>
      <c r="J21">
        <v>4254</v>
      </c>
      <c r="K21">
        <v>2774</v>
      </c>
      <c r="L21">
        <v>1418</v>
      </c>
      <c r="M21">
        <v>1289</v>
      </c>
      <c r="N21">
        <v>353</v>
      </c>
      <c r="O21">
        <v>4063</v>
      </c>
      <c r="P21">
        <v>1771</v>
      </c>
    </row>
    <row r="22" spans="1:16" x14ac:dyDescent="0.25">
      <c r="A22" t="s">
        <v>301</v>
      </c>
      <c r="B22">
        <v>306</v>
      </c>
      <c r="C22">
        <v>0</v>
      </c>
      <c r="D22">
        <v>2347</v>
      </c>
      <c r="E22">
        <v>1644</v>
      </c>
      <c r="F22">
        <v>7</v>
      </c>
      <c r="G22">
        <v>72088</v>
      </c>
      <c r="H22">
        <v>38016</v>
      </c>
      <c r="I22">
        <v>6613</v>
      </c>
      <c r="J22">
        <v>2571</v>
      </c>
      <c r="K22">
        <v>1483</v>
      </c>
      <c r="L22">
        <v>832</v>
      </c>
      <c r="M22">
        <v>467</v>
      </c>
      <c r="N22">
        <v>135</v>
      </c>
      <c r="O22">
        <v>1950</v>
      </c>
      <c r="P22">
        <v>967</v>
      </c>
    </row>
    <row r="23" spans="1:16" x14ac:dyDescent="0.25">
      <c r="A23" t="s">
        <v>302</v>
      </c>
      <c r="B23">
        <v>226</v>
      </c>
      <c r="C23">
        <v>0</v>
      </c>
      <c r="D23">
        <v>1471</v>
      </c>
      <c r="E23">
        <v>933</v>
      </c>
      <c r="F23">
        <v>14</v>
      </c>
      <c r="G23">
        <v>39659</v>
      </c>
      <c r="H23">
        <v>19524</v>
      </c>
      <c r="I23">
        <v>2194</v>
      </c>
      <c r="J23">
        <v>899</v>
      </c>
      <c r="K23">
        <v>858</v>
      </c>
      <c r="L23">
        <v>420</v>
      </c>
      <c r="M23">
        <v>91</v>
      </c>
      <c r="N23">
        <v>23</v>
      </c>
      <c r="O23">
        <v>949</v>
      </c>
      <c r="P23">
        <v>443</v>
      </c>
    </row>
    <row r="24" spans="1:16" x14ac:dyDescent="0.25">
      <c r="A24" t="s">
        <v>303</v>
      </c>
      <c r="B24">
        <v>522</v>
      </c>
      <c r="C24">
        <v>0</v>
      </c>
      <c r="D24">
        <v>4699</v>
      </c>
      <c r="E24">
        <v>3259</v>
      </c>
      <c r="F24">
        <v>50</v>
      </c>
      <c r="G24">
        <v>165022</v>
      </c>
      <c r="H24">
        <v>81617</v>
      </c>
      <c r="I24">
        <v>15994</v>
      </c>
      <c r="J24">
        <v>5706</v>
      </c>
      <c r="K24">
        <v>2999</v>
      </c>
      <c r="L24">
        <v>2117</v>
      </c>
      <c r="M24">
        <v>1249</v>
      </c>
      <c r="N24">
        <v>539</v>
      </c>
      <c r="O24">
        <v>4248</v>
      </c>
      <c r="P24">
        <v>2656</v>
      </c>
    </row>
    <row r="25" spans="1:16" x14ac:dyDescent="0.25">
      <c r="A25" t="s">
        <v>304</v>
      </c>
      <c r="B25">
        <v>174</v>
      </c>
      <c r="C25">
        <v>0</v>
      </c>
      <c r="D25">
        <v>1481</v>
      </c>
      <c r="E25">
        <v>795</v>
      </c>
      <c r="F25">
        <v>1</v>
      </c>
      <c r="G25">
        <v>27881</v>
      </c>
      <c r="H25">
        <v>14039</v>
      </c>
      <c r="I25">
        <v>3523</v>
      </c>
      <c r="J25">
        <v>1515</v>
      </c>
      <c r="K25">
        <v>835</v>
      </c>
      <c r="L25">
        <v>527</v>
      </c>
      <c r="M25">
        <v>126</v>
      </c>
      <c r="N25">
        <v>34</v>
      </c>
      <c r="O25">
        <v>961</v>
      </c>
      <c r="P25">
        <v>561</v>
      </c>
    </row>
    <row r="26" spans="1:16" x14ac:dyDescent="0.25">
      <c r="A26" t="s">
        <v>305</v>
      </c>
      <c r="B26">
        <v>262</v>
      </c>
      <c r="C26">
        <v>0</v>
      </c>
      <c r="D26">
        <v>2273</v>
      </c>
      <c r="E26">
        <v>1860</v>
      </c>
      <c r="F26">
        <v>13</v>
      </c>
      <c r="G26">
        <v>75442</v>
      </c>
      <c r="H26">
        <v>35928</v>
      </c>
      <c r="I26">
        <v>4372</v>
      </c>
      <c r="J26">
        <v>1517</v>
      </c>
      <c r="K26">
        <v>1619</v>
      </c>
      <c r="L26">
        <v>712</v>
      </c>
      <c r="M26">
        <v>570</v>
      </c>
      <c r="N26">
        <v>122</v>
      </c>
      <c r="O26">
        <v>2189</v>
      </c>
      <c r="P26">
        <v>834</v>
      </c>
    </row>
    <row r="27" spans="1:16" x14ac:dyDescent="0.25">
      <c r="A27" t="s">
        <v>306</v>
      </c>
      <c r="B27">
        <v>382</v>
      </c>
      <c r="C27">
        <v>0</v>
      </c>
      <c r="D27">
        <v>3519</v>
      </c>
      <c r="E27">
        <v>3103</v>
      </c>
      <c r="F27">
        <v>115</v>
      </c>
      <c r="G27">
        <v>113902</v>
      </c>
      <c r="H27">
        <v>54239</v>
      </c>
      <c r="I27">
        <v>8891</v>
      </c>
      <c r="J27">
        <v>3110</v>
      </c>
      <c r="K27">
        <v>2777</v>
      </c>
      <c r="L27">
        <v>1276</v>
      </c>
      <c r="M27">
        <v>1002</v>
      </c>
      <c r="N27">
        <v>223</v>
      </c>
      <c r="O27">
        <v>3779</v>
      </c>
      <c r="P27">
        <v>1499</v>
      </c>
    </row>
    <row r="28" spans="1:16" x14ac:dyDescent="0.25">
      <c r="A28" t="s">
        <v>307</v>
      </c>
      <c r="B28">
        <v>406</v>
      </c>
      <c r="C28">
        <v>0</v>
      </c>
      <c r="D28">
        <v>3298</v>
      </c>
      <c r="E28">
        <v>2379</v>
      </c>
      <c r="F28">
        <v>43</v>
      </c>
      <c r="G28">
        <v>109468</v>
      </c>
      <c r="H28">
        <v>52681</v>
      </c>
      <c r="I28">
        <v>9464</v>
      </c>
      <c r="J28">
        <v>3585</v>
      </c>
      <c r="K28">
        <v>2106</v>
      </c>
      <c r="L28">
        <v>1307</v>
      </c>
      <c r="M28">
        <v>636</v>
      </c>
      <c r="N28">
        <v>202</v>
      </c>
      <c r="O28">
        <v>2742</v>
      </c>
      <c r="P28">
        <v>1509</v>
      </c>
    </row>
    <row r="29" spans="1:16" x14ac:dyDescent="0.25">
      <c r="A29" t="s">
        <v>266</v>
      </c>
      <c r="B29">
        <v>7306</v>
      </c>
      <c r="C29">
        <v>0</v>
      </c>
      <c r="D29">
        <v>63263</v>
      </c>
      <c r="E29">
        <v>46192</v>
      </c>
      <c r="F29">
        <v>905</v>
      </c>
      <c r="G29">
        <v>2036566</v>
      </c>
      <c r="H29">
        <v>998416</v>
      </c>
      <c r="I29">
        <v>164200</v>
      </c>
      <c r="J29">
        <v>61095</v>
      </c>
      <c r="K29">
        <v>45148</v>
      </c>
      <c r="L29">
        <v>26590</v>
      </c>
      <c r="M29">
        <v>12892</v>
      </c>
      <c r="N29">
        <v>3983</v>
      </c>
      <c r="O29">
        <v>58040</v>
      </c>
      <c r="P29">
        <v>30573</v>
      </c>
    </row>
    <row r="30" spans="1:16" x14ac:dyDescent="0.25">
      <c r="A30" t="s">
        <v>308</v>
      </c>
      <c r="B30">
        <v>684</v>
      </c>
      <c r="C30">
        <v>0</v>
      </c>
      <c r="D30">
        <v>9109</v>
      </c>
      <c r="E30">
        <v>6769</v>
      </c>
      <c r="F30">
        <v>165</v>
      </c>
      <c r="G30">
        <v>347794</v>
      </c>
      <c r="H30">
        <v>167879</v>
      </c>
      <c r="I30">
        <v>26303</v>
      </c>
      <c r="J30">
        <v>10108</v>
      </c>
      <c r="K30">
        <v>8850</v>
      </c>
      <c r="L30">
        <v>6295</v>
      </c>
      <c r="M30">
        <v>1907</v>
      </c>
      <c r="N30">
        <v>796</v>
      </c>
      <c r="O30">
        <v>10757</v>
      </c>
      <c r="P30">
        <v>7091</v>
      </c>
    </row>
    <row r="31" spans="1:16" x14ac:dyDescent="0.25">
      <c r="A31" t="s">
        <v>309</v>
      </c>
      <c r="B31">
        <v>6622</v>
      </c>
      <c r="C31">
        <v>0</v>
      </c>
      <c r="D31">
        <v>54154</v>
      </c>
      <c r="E31">
        <v>39423</v>
      </c>
      <c r="F31">
        <v>740</v>
      </c>
      <c r="G31">
        <v>1688772</v>
      </c>
      <c r="H31">
        <v>830537</v>
      </c>
      <c r="I31">
        <v>137897</v>
      </c>
      <c r="J31">
        <v>50987</v>
      </c>
      <c r="K31">
        <v>36298</v>
      </c>
      <c r="L31">
        <v>20295</v>
      </c>
      <c r="M31">
        <v>10985</v>
      </c>
      <c r="N31">
        <v>3187</v>
      </c>
      <c r="O31">
        <v>47283</v>
      </c>
      <c r="P31">
        <v>23482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rgb="FFED7D31"/>
  </sheetPr>
  <dimension ref="A1:Q31"/>
  <sheetViews>
    <sheetView workbookViewId="0"/>
  </sheetViews>
  <sheetFormatPr defaultRowHeight="15" x14ac:dyDescent="0.25"/>
  <cols>
    <col min="1" max="1" width="14.5703125" customWidth="1"/>
    <col min="2" max="2" width="8.42578125" customWidth="1"/>
    <col min="3" max="3" width="7.5703125" customWidth="1"/>
    <col min="4" max="4" width="8.42578125" customWidth="1"/>
    <col min="5" max="5" width="9" customWidth="1"/>
    <col min="6" max="6" width="7.5703125" customWidth="1"/>
    <col min="7" max="7" width="10.140625" customWidth="1"/>
    <col min="8" max="8" width="8.7109375" customWidth="1"/>
    <col min="9" max="9" width="7.7109375" customWidth="1"/>
    <col min="10" max="10" width="6.7109375" customWidth="1"/>
    <col min="11" max="11" width="7.7109375" customWidth="1"/>
    <col min="13" max="13" width="7.28515625" customWidth="1"/>
    <col min="14" max="14" width="7.140625" customWidth="1"/>
    <col min="15" max="15" width="7.7109375" customWidth="1"/>
  </cols>
  <sheetData>
    <row r="1" spans="1:17" x14ac:dyDescent="0.25">
      <c r="A1" s="29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t="s">
        <v>254</v>
      </c>
      <c r="C2" t="s">
        <v>255</v>
      </c>
      <c r="D2" t="s">
        <v>254</v>
      </c>
      <c r="E2" t="s">
        <v>254</v>
      </c>
      <c r="F2" t="s">
        <v>256</v>
      </c>
      <c r="G2" s="29" t="s">
        <v>72</v>
      </c>
      <c r="H2" s="29"/>
      <c r="I2" s="29" t="s">
        <v>257</v>
      </c>
      <c r="J2" s="29"/>
      <c r="K2" s="29" t="s">
        <v>258</v>
      </c>
      <c r="L2" s="29"/>
      <c r="M2" s="29" t="s">
        <v>259</v>
      </c>
      <c r="N2" s="29"/>
      <c r="O2" s="29" t="s">
        <v>311</v>
      </c>
      <c r="P2" s="29"/>
    </row>
    <row r="3" spans="1:17" x14ac:dyDescent="0.25">
      <c r="A3" s="29"/>
      <c r="B3" t="s">
        <v>261</v>
      </c>
      <c r="C3" t="s">
        <v>261</v>
      </c>
      <c r="D3" t="s">
        <v>256</v>
      </c>
      <c r="E3" t="s">
        <v>313</v>
      </c>
      <c r="F3" t="s">
        <v>262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265</v>
      </c>
      <c r="M3" t="s">
        <v>263</v>
      </c>
      <c r="N3" t="s">
        <v>265</v>
      </c>
      <c r="O3" t="s">
        <v>263</v>
      </c>
      <c r="P3" t="s">
        <v>265</v>
      </c>
    </row>
    <row r="4" spans="1:17" x14ac:dyDescent="0.25">
      <c r="A4" t="s">
        <v>283</v>
      </c>
      <c r="B4">
        <v>84</v>
      </c>
      <c r="C4">
        <v>0</v>
      </c>
      <c r="D4">
        <v>1030</v>
      </c>
      <c r="E4">
        <v>1010</v>
      </c>
      <c r="F4">
        <v>-1</v>
      </c>
      <c r="G4">
        <v>47474</v>
      </c>
      <c r="H4">
        <v>25848</v>
      </c>
      <c r="I4">
        <v>361</v>
      </c>
      <c r="J4">
        <v>142</v>
      </c>
      <c r="K4">
        <v>1860</v>
      </c>
      <c r="L4">
        <v>766</v>
      </c>
      <c r="M4">
        <v>332</v>
      </c>
      <c r="N4">
        <v>98</v>
      </c>
      <c r="O4">
        <v>2192</v>
      </c>
      <c r="P4">
        <v>864</v>
      </c>
    </row>
    <row r="5" spans="1:17" x14ac:dyDescent="0.25">
      <c r="A5" t="s">
        <v>284</v>
      </c>
      <c r="B5">
        <v>127</v>
      </c>
      <c r="C5">
        <v>0</v>
      </c>
      <c r="D5">
        <v>1572</v>
      </c>
      <c r="E5">
        <v>1480</v>
      </c>
      <c r="F5">
        <v>4</v>
      </c>
      <c r="G5">
        <v>75004</v>
      </c>
      <c r="H5">
        <v>40550</v>
      </c>
      <c r="I5">
        <v>871</v>
      </c>
      <c r="J5">
        <v>390</v>
      </c>
      <c r="K5">
        <v>2770</v>
      </c>
      <c r="L5">
        <v>1304</v>
      </c>
      <c r="M5">
        <v>514</v>
      </c>
      <c r="N5">
        <v>172</v>
      </c>
      <c r="O5">
        <v>3284</v>
      </c>
      <c r="P5">
        <v>1476</v>
      </c>
    </row>
    <row r="6" spans="1:17" x14ac:dyDescent="0.25">
      <c r="A6" t="s">
        <v>285</v>
      </c>
      <c r="B6">
        <v>124</v>
      </c>
      <c r="C6">
        <v>0</v>
      </c>
      <c r="D6">
        <v>1577</v>
      </c>
      <c r="E6">
        <v>1459</v>
      </c>
      <c r="F6">
        <v>19</v>
      </c>
      <c r="G6">
        <v>69185</v>
      </c>
      <c r="H6">
        <v>38052</v>
      </c>
      <c r="I6">
        <v>843</v>
      </c>
      <c r="J6">
        <v>397</v>
      </c>
      <c r="K6">
        <v>2960</v>
      </c>
      <c r="L6">
        <v>1416</v>
      </c>
      <c r="M6">
        <v>676</v>
      </c>
      <c r="N6">
        <v>261</v>
      </c>
      <c r="O6">
        <v>3636</v>
      </c>
      <c r="P6">
        <v>1677</v>
      </c>
    </row>
    <row r="7" spans="1:17" x14ac:dyDescent="0.25">
      <c r="A7" t="s">
        <v>286</v>
      </c>
      <c r="B7">
        <v>78</v>
      </c>
      <c r="C7">
        <v>0</v>
      </c>
      <c r="D7">
        <v>827</v>
      </c>
      <c r="E7">
        <v>791</v>
      </c>
      <c r="F7">
        <v>3</v>
      </c>
      <c r="G7">
        <v>38073</v>
      </c>
      <c r="H7">
        <v>20940</v>
      </c>
      <c r="I7">
        <v>318</v>
      </c>
      <c r="J7">
        <v>144</v>
      </c>
      <c r="K7">
        <v>1635</v>
      </c>
      <c r="L7">
        <v>686</v>
      </c>
      <c r="M7">
        <v>291</v>
      </c>
      <c r="N7">
        <v>79</v>
      </c>
      <c r="O7">
        <v>1926</v>
      </c>
      <c r="P7">
        <v>765</v>
      </c>
    </row>
    <row r="8" spans="1:17" x14ac:dyDescent="0.25">
      <c r="A8" t="s">
        <v>287</v>
      </c>
      <c r="B8">
        <v>97</v>
      </c>
      <c r="C8">
        <v>0</v>
      </c>
      <c r="D8">
        <v>1004</v>
      </c>
      <c r="E8">
        <v>903</v>
      </c>
      <c r="F8">
        <v>11</v>
      </c>
      <c r="G8">
        <v>49713</v>
      </c>
      <c r="H8">
        <v>26005</v>
      </c>
      <c r="I8">
        <v>364</v>
      </c>
      <c r="J8">
        <v>115</v>
      </c>
      <c r="K8">
        <v>1949</v>
      </c>
      <c r="L8">
        <v>717</v>
      </c>
      <c r="M8">
        <v>308</v>
      </c>
      <c r="N8">
        <v>47</v>
      </c>
      <c r="O8">
        <v>2257</v>
      </c>
      <c r="P8">
        <v>764</v>
      </c>
    </row>
    <row r="9" spans="1:17" x14ac:dyDescent="0.25">
      <c r="A9" t="s">
        <v>288</v>
      </c>
      <c r="B9">
        <v>92</v>
      </c>
      <c r="C9">
        <v>0</v>
      </c>
      <c r="D9">
        <v>1127</v>
      </c>
      <c r="E9">
        <v>1059</v>
      </c>
      <c r="F9">
        <v>8</v>
      </c>
      <c r="G9">
        <v>47470</v>
      </c>
      <c r="H9">
        <v>26006</v>
      </c>
      <c r="I9">
        <v>364</v>
      </c>
      <c r="J9">
        <v>115</v>
      </c>
      <c r="K9">
        <v>1764</v>
      </c>
      <c r="L9">
        <v>830</v>
      </c>
      <c r="M9">
        <v>343</v>
      </c>
      <c r="N9">
        <v>71</v>
      </c>
      <c r="O9">
        <v>2107</v>
      </c>
      <c r="P9">
        <v>901</v>
      </c>
    </row>
    <row r="10" spans="1:17" x14ac:dyDescent="0.25">
      <c r="A10" t="s">
        <v>289</v>
      </c>
      <c r="B10">
        <v>100</v>
      </c>
      <c r="C10">
        <v>0</v>
      </c>
      <c r="D10">
        <v>2053</v>
      </c>
      <c r="E10">
        <v>1016</v>
      </c>
      <c r="F10">
        <v>12</v>
      </c>
      <c r="G10">
        <v>42898</v>
      </c>
      <c r="H10">
        <v>22516</v>
      </c>
      <c r="I10">
        <v>593</v>
      </c>
      <c r="J10">
        <v>218</v>
      </c>
      <c r="K10">
        <v>2242</v>
      </c>
      <c r="L10">
        <v>930</v>
      </c>
      <c r="M10">
        <v>467</v>
      </c>
      <c r="N10">
        <v>117</v>
      </c>
      <c r="O10">
        <v>2709</v>
      </c>
      <c r="P10">
        <v>1047</v>
      </c>
    </row>
    <row r="11" spans="1:17" x14ac:dyDescent="0.25">
      <c r="A11" t="s">
        <v>290</v>
      </c>
      <c r="B11">
        <v>140</v>
      </c>
      <c r="C11">
        <v>0</v>
      </c>
      <c r="D11">
        <v>1970</v>
      </c>
      <c r="E11">
        <v>1799</v>
      </c>
      <c r="F11">
        <v>60</v>
      </c>
      <c r="G11">
        <v>86264</v>
      </c>
      <c r="H11">
        <v>45778</v>
      </c>
      <c r="I11">
        <v>851</v>
      </c>
      <c r="J11">
        <v>309</v>
      </c>
      <c r="K11">
        <v>4367</v>
      </c>
      <c r="L11">
        <v>2051</v>
      </c>
      <c r="M11">
        <v>679</v>
      </c>
      <c r="N11">
        <v>156</v>
      </c>
      <c r="O11">
        <v>5046</v>
      </c>
      <c r="P11">
        <v>2207</v>
      </c>
    </row>
    <row r="12" spans="1:17" x14ac:dyDescent="0.25">
      <c r="A12" t="s">
        <v>291</v>
      </c>
      <c r="B12">
        <v>6</v>
      </c>
      <c r="C12">
        <v>0</v>
      </c>
      <c r="D12">
        <v>78</v>
      </c>
      <c r="E12">
        <v>78</v>
      </c>
      <c r="F12">
        <v>0</v>
      </c>
      <c r="G12">
        <v>2716</v>
      </c>
      <c r="H12">
        <v>1439</v>
      </c>
      <c r="I12">
        <v>45</v>
      </c>
      <c r="J12">
        <v>12</v>
      </c>
      <c r="K12">
        <v>239</v>
      </c>
      <c r="L12">
        <v>104</v>
      </c>
      <c r="M12">
        <v>35</v>
      </c>
      <c r="N12">
        <v>9</v>
      </c>
      <c r="O12">
        <v>274</v>
      </c>
      <c r="P12">
        <v>113</v>
      </c>
    </row>
    <row r="13" spans="1:17" x14ac:dyDescent="0.25">
      <c r="A13" t="s">
        <v>292</v>
      </c>
      <c r="B13">
        <v>31</v>
      </c>
      <c r="C13">
        <v>0</v>
      </c>
      <c r="D13">
        <v>259</v>
      </c>
      <c r="E13">
        <v>225</v>
      </c>
      <c r="F13">
        <v>0</v>
      </c>
      <c r="G13">
        <v>8838</v>
      </c>
      <c r="H13">
        <v>4555</v>
      </c>
      <c r="I13">
        <v>108</v>
      </c>
      <c r="J13">
        <v>35</v>
      </c>
      <c r="K13">
        <v>465</v>
      </c>
      <c r="L13">
        <v>167</v>
      </c>
      <c r="M13">
        <v>68</v>
      </c>
      <c r="N13">
        <v>20</v>
      </c>
      <c r="O13">
        <v>533</v>
      </c>
      <c r="P13">
        <v>187</v>
      </c>
    </row>
    <row r="14" spans="1:17" x14ac:dyDescent="0.25">
      <c r="A14" t="s">
        <v>293</v>
      </c>
      <c r="B14">
        <v>55</v>
      </c>
      <c r="C14">
        <v>0</v>
      </c>
      <c r="D14">
        <v>477</v>
      </c>
      <c r="E14">
        <v>465</v>
      </c>
      <c r="F14">
        <v>3</v>
      </c>
      <c r="G14">
        <v>21036</v>
      </c>
      <c r="H14">
        <v>11493</v>
      </c>
      <c r="I14">
        <v>203</v>
      </c>
      <c r="J14">
        <v>59</v>
      </c>
      <c r="K14">
        <v>998</v>
      </c>
      <c r="L14">
        <v>508</v>
      </c>
      <c r="M14">
        <v>135</v>
      </c>
      <c r="N14">
        <v>39</v>
      </c>
      <c r="O14">
        <v>1133</v>
      </c>
      <c r="P14">
        <v>547</v>
      </c>
    </row>
    <row r="15" spans="1:17" x14ac:dyDescent="0.25">
      <c r="A15" t="s">
        <v>294</v>
      </c>
      <c r="B15">
        <v>14</v>
      </c>
      <c r="C15">
        <v>0</v>
      </c>
      <c r="D15">
        <v>135</v>
      </c>
      <c r="E15">
        <v>124</v>
      </c>
      <c r="F15">
        <v>0</v>
      </c>
      <c r="G15">
        <v>5638</v>
      </c>
      <c r="H15">
        <v>3002</v>
      </c>
      <c r="I15">
        <v>100</v>
      </c>
      <c r="J15">
        <v>30</v>
      </c>
      <c r="K15">
        <v>264</v>
      </c>
      <c r="L15">
        <v>108</v>
      </c>
      <c r="M15">
        <v>23</v>
      </c>
      <c r="N15">
        <v>3</v>
      </c>
      <c r="O15">
        <v>287</v>
      </c>
      <c r="P15">
        <v>111</v>
      </c>
    </row>
    <row r="16" spans="1:17" x14ac:dyDescent="0.25">
      <c r="A16" t="s">
        <v>295</v>
      </c>
      <c r="B16">
        <v>39</v>
      </c>
      <c r="C16">
        <v>0</v>
      </c>
      <c r="D16">
        <v>365</v>
      </c>
      <c r="E16">
        <v>348</v>
      </c>
      <c r="F16">
        <v>0</v>
      </c>
      <c r="G16">
        <v>16090</v>
      </c>
      <c r="H16">
        <v>8583</v>
      </c>
      <c r="I16">
        <v>305</v>
      </c>
      <c r="J16">
        <v>114</v>
      </c>
      <c r="K16">
        <v>546</v>
      </c>
      <c r="L16">
        <v>196</v>
      </c>
      <c r="M16">
        <v>76</v>
      </c>
      <c r="N16">
        <v>15</v>
      </c>
      <c r="O16">
        <v>622</v>
      </c>
      <c r="P16">
        <v>211</v>
      </c>
    </row>
    <row r="17" spans="1:16" x14ac:dyDescent="0.25">
      <c r="A17" t="s">
        <v>296</v>
      </c>
      <c r="B17">
        <v>9</v>
      </c>
      <c r="C17">
        <v>0</v>
      </c>
      <c r="D17">
        <v>132</v>
      </c>
      <c r="E17">
        <v>127</v>
      </c>
      <c r="F17">
        <v>0</v>
      </c>
      <c r="G17">
        <v>5422</v>
      </c>
      <c r="H17">
        <v>2954</v>
      </c>
      <c r="I17">
        <v>115</v>
      </c>
      <c r="J17">
        <v>43</v>
      </c>
      <c r="K17">
        <v>334</v>
      </c>
      <c r="L17">
        <v>148</v>
      </c>
      <c r="M17">
        <v>45</v>
      </c>
      <c r="N17">
        <v>8</v>
      </c>
      <c r="O17">
        <v>379</v>
      </c>
      <c r="P17">
        <v>156</v>
      </c>
    </row>
    <row r="18" spans="1:16" x14ac:dyDescent="0.25">
      <c r="A18" t="s">
        <v>297</v>
      </c>
      <c r="B18">
        <v>68</v>
      </c>
      <c r="C18">
        <v>0</v>
      </c>
      <c r="D18">
        <v>2119</v>
      </c>
      <c r="E18">
        <v>1537</v>
      </c>
      <c r="F18">
        <v>12</v>
      </c>
      <c r="G18">
        <v>100058</v>
      </c>
      <c r="H18">
        <v>50094</v>
      </c>
      <c r="I18">
        <v>1776</v>
      </c>
      <c r="J18">
        <v>745</v>
      </c>
      <c r="K18">
        <v>5743</v>
      </c>
      <c r="L18">
        <v>2633</v>
      </c>
      <c r="M18">
        <v>598</v>
      </c>
      <c r="N18">
        <v>190</v>
      </c>
      <c r="O18">
        <v>6341</v>
      </c>
      <c r="P18">
        <v>2823</v>
      </c>
    </row>
    <row r="19" spans="1:16" x14ac:dyDescent="0.25">
      <c r="A19" t="s">
        <v>298</v>
      </c>
      <c r="B19">
        <v>27</v>
      </c>
      <c r="C19">
        <v>0</v>
      </c>
      <c r="D19">
        <v>343</v>
      </c>
      <c r="E19">
        <v>337</v>
      </c>
      <c r="F19">
        <v>0</v>
      </c>
      <c r="G19">
        <v>14039</v>
      </c>
      <c r="H19">
        <v>7245</v>
      </c>
      <c r="I19">
        <v>173</v>
      </c>
      <c r="J19">
        <v>59</v>
      </c>
      <c r="K19">
        <v>741</v>
      </c>
      <c r="L19">
        <v>281</v>
      </c>
      <c r="M19">
        <v>100</v>
      </c>
      <c r="N19">
        <v>21</v>
      </c>
      <c r="O19">
        <v>841</v>
      </c>
      <c r="P19">
        <v>302</v>
      </c>
    </row>
    <row r="20" spans="1:16" x14ac:dyDescent="0.25">
      <c r="A20" t="s">
        <v>299</v>
      </c>
      <c r="B20">
        <v>66</v>
      </c>
      <c r="C20">
        <v>0</v>
      </c>
      <c r="D20">
        <v>446</v>
      </c>
      <c r="E20">
        <v>446</v>
      </c>
      <c r="F20">
        <v>0</v>
      </c>
      <c r="G20">
        <v>16375</v>
      </c>
      <c r="H20">
        <v>9004</v>
      </c>
      <c r="I20">
        <v>78</v>
      </c>
      <c r="J20">
        <v>33</v>
      </c>
      <c r="K20">
        <v>809</v>
      </c>
      <c r="L20">
        <v>337</v>
      </c>
      <c r="M20">
        <v>75</v>
      </c>
      <c r="N20">
        <v>25</v>
      </c>
      <c r="O20">
        <v>884</v>
      </c>
      <c r="P20">
        <v>362</v>
      </c>
    </row>
    <row r="21" spans="1:16" x14ac:dyDescent="0.25">
      <c r="A21" t="s">
        <v>300</v>
      </c>
      <c r="B21">
        <v>125</v>
      </c>
      <c r="C21">
        <v>0</v>
      </c>
      <c r="D21">
        <v>1697</v>
      </c>
      <c r="E21">
        <v>1589</v>
      </c>
      <c r="F21">
        <v>54</v>
      </c>
      <c r="G21">
        <v>76537</v>
      </c>
      <c r="H21">
        <v>40474</v>
      </c>
      <c r="I21">
        <v>433</v>
      </c>
      <c r="J21">
        <v>185</v>
      </c>
      <c r="K21">
        <v>2615</v>
      </c>
      <c r="L21">
        <v>971</v>
      </c>
      <c r="M21">
        <v>612</v>
      </c>
      <c r="N21">
        <v>134</v>
      </c>
      <c r="O21">
        <v>3227</v>
      </c>
      <c r="P21">
        <v>1105</v>
      </c>
    </row>
    <row r="22" spans="1:16" x14ac:dyDescent="0.25">
      <c r="A22" t="s">
        <v>301</v>
      </c>
      <c r="B22">
        <v>60</v>
      </c>
      <c r="C22">
        <v>0</v>
      </c>
      <c r="D22">
        <v>711</v>
      </c>
      <c r="E22">
        <v>669</v>
      </c>
      <c r="F22">
        <v>0</v>
      </c>
      <c r="G22">
        <v>31360</v>
      </c>
      <c r="H22">
        <v>16984</v>
      </c>
      <c r="I22">
        <v>174</v>
      </c>
      <c r="J22">
        <v>75</v>
      </c>
      <c r="K22">
        <v>1458</v>
      </c>
      <c r="L22">
        <v>565</v>
      </c>
      <c r="M22">
        <v>250</v>
      </c>
      <c r="N22">
        <v>53</v>
      </c>
      <c r="O22">
        <v>1708</v>
      </c>
      <c r="P22">
        <v>618</v>
      </c>
    </row>
    <row r="23" spans="1:16" x14ac:dyDescent="0.25">
      <c r="A23" t="s">
        <v>302</v>
      </c>
      <c r="B23">
        <v>34</v>
      </c>
      <c r="C23">
        <v>0</v>
      </c>
      <c r="D23">
        <v>299</v>
      </c>
      <c r="E23">
        <v>273</v>
      </c>
      <c r="F23">
        <v>0</v>
      </c>
      <c r="G23">
        <v>14070</v>
      </c>
      <c r="H23">
        <v>7222</v>
      </c>
      <c r="I23">
        <v>100</v>
      </c>
      <c r="J23">
        <v>35</v>
      </c>
      <c r="K23">
        <v>488</v>
      </c>
      <c r="L23">
        <v>202</v>
      </c>
      <c r="M23">
        <v>48</v>
      </c>
      <c r="N23">
        <v>18</v>
      </c>
      <c r="O23">
        <v>536</v>
      </c>
      <c r="P23">
        <v>220</v>
      </c>
    </row>
    <row r="24" spans="1:16" x14ac:dyDescent="0.25">
      <c r="A24" t="s">
        <v>303</v>
      </c>
      <c r="B24">
        <v>124</v>
      </c>
      <c r="C24">
        <v>0</v>
      </c>
      <c r="D24">
        <v>1701</v>
      </c>
      <c r="E24">
        <v>1528</v>
      </c>
      <c r="F24">
        <v>22</v>
      </c>
      <c r="G24">
        <v>85233</v>
      </c>
      <c r="H24">
        <v>47487</v>
      </c>
      <c r="I24">
        <v>1576</v>
      </c>
      <c r="J24">
        <v>581</v>
      </c>
      <c r="K24">
        <v>2459</v>
      </c>
      <c r="L24">
        <v>1168</v>
      </c>
      <c r="M24">
        <v>478</v>
      </c>
      <c r="N24">
        <v>167</v>
      </c>
      <c r="O24">
        <v>2937</v>
      </c>
      <c r="P24">
        <v>1335</v>
      </c>
    </row>
    <row r="25" spans="1:16" x14ac:dyDescent="0.25">
      <c r="A25" t="s">
        <v>304</v>
      </c>
      <c r="B25">
        <v>39</v>
      </c>
      <c r="C25">
        <v>0</v>
      </c>
      <c r="D25">
        <v>235</v>
      </c>
      <c r="E25">
        <v>225</v>
      </c>
      <c r="F25">
        <v>0</v>
      </c>
      <c r="G25">
        <v>8763</v>
      </c>
      <c r="H25">
        <v>4715</v>
      </c>
      <c r="I25">
        <v>53</v>
      </c>
      <c r="J25">
        <v>17</v>
      </c>
      <c r="K25">
        <v>523</v>
      </c>
      <c r="L25">
        <v>208</v>
      </c>
      <c r="M25">
        <v>67</v>
      </c>
      <c r="N25">
        <v>22</v>
      </c>
      <c r="O25">
        <v>590</v>
      </c>
      <c r="P25">
        <v>230</v>
      </c>
    </row>
    <row r="26" spans="1:16" x14ac:dyDescent="0.25">
      <c r="A26" t="s">
        <v>305</v>
      </c>
      <c r="B26">
        <v>74</v>
      </c>
      <c r="C26">
        <v>0</v>
      </c>
      <c r="D26">
        <v>996</v>
      </c>
      <c r="E26">
        <v>967</v>
      </c>
      <c r="F26">
        <v>35</v>
      </c>
      <c r="G26">
        <v>38992</v>
      </c>
      <c r="H26">
        <v>19891</v>
      </c>
      <c r="I26">
        <v>188</v>
      </c>
      <c r="J26">
        <v>57</v>
      </c>
      <c r="K26">
        <v>1887</v>
      </c>
      <c r="L26">
        <v>581</v>
      </c>
      <c r="M26">
        <v>370</v>
      </c>
      <c r="N26">
        <v>83</v>
      </c>
      <c r="O26">
        <v>2257</v>
      </c>
      <c r="P26">
        <v>664</v>
      </c>
    </row>
    <row r="27" spans="1:16" x14ac:dyDescent="0.25">
      <c r="A27" t="s">
        <v>306</v>
      </c>
      <c r="B27">
        <v>119</v>
      </c>
      <c r="C27">
        <v>0</v>
      </c>
      <c r="D27">
        <v>1928</v>
      </c>
      <c r="E27">
        <v>1865</v>
      </c>
      <c r="F27">
        <v>17</v>
      </c>
      <c r="G27">
        <v>74078</v>
      </c>
      <c r="H27">
        <v>38376</v>
      </c>
      <c r="I27">
        <v>917</v>
      </c>
      <c r="J27">
        <v>412</v>
      </c>
      <c r="K27">
        <v>3284</v>
      </c>
      <c r="L27">
        <v>1083</v>
      </c>
      <c r="M27">
        <v>762</v>
      </c>
      <c r="N27">
        <v>167</v>
      </c>
      <c r="O27">
        <v>4046</v>
      </c>
      <c r="P27">
        <v>1250</v>
      </c>
    </row>
    <row r="28" spans="1:16" x14ac:dyDescent="0.25">
      <c r="A28" t="s">
        <v>307</v>
      </c>
      <c r="B28">
        <v>80</v>
      </c>
      <c r="C28">
        <v>0</v>
      </c>
      <c r="D28">
        <v>1083</v>
      </c>
      <c r="E28">
        <v>993</v>
      </c>
      <c r="F28">
        <v>0</v>
      </c>
      <c r="G28">
        <v>47397</v>
      </c>
      <c r="H28">
        <v>25898</v>
      </c>
      <c r="I28">
        <v>609</v>
      </c>
      <c r="J28">
        <v>243</v>
      </c>
      <c r="K28">
        <v>1549</v>
      </c>
      <c r="L28">
        <v>658</v>
      </c>
      <c r="M28">
        <v>274</v>
      </c>
      <c r="N28">
        <v>65</v>
      </c>
      <c r="O28">
        <v>1823</v>
      </c>
      <c r="P28">
        <v>723</v>
      </c>
    </row>
    <row r="29" spans="1:16" x14ac:dyDescent="0.25">
      <c r="A29" t="s">
        <v>266</v>
      </c>
      <c r="B29">
        <v>1812</v>
      </c>
      <c r="C29">
        <v>0</v>
      </c>
      <c r="D29">
        <v>24164</v>
      </c>
      <c r="E29">
        <v>21313</v>
      </c>
      <c r="F29">
        <v>259</v>
      </c>
      <c r="G29">
        <v>1022723</v>
      </c>
      <c r="H29">
        <v>545111</v>
      </c>
      <c r="I29">
        <v>11518</v>
      </c>
      <c r="J29">
        <v>4565</v>
      </c>
      <c r="K29">
        <v>43949</v>
      </c>
      <c r="L29">
        <v>18618</v>
      </c>
      <c r="M29">
        <v>7626</v>
      </c>
      <c r="N29">
        <v>2040</v>
      </c>
      <c r="O29">
        <v>51575</v>
      </c>
      <c r="P29">
        <v>20658</v>
      </c>
    </row>
    <row r="30" spans="1:16" x14ac:dyDescent="0.25">
      <c r="A30" t="s">
        <v>308</v>
      </c>
      <c r="B30">
        <v>244</v>
      </c>
      <c r="C30">
        <v>0</v>
      </c>
      <c r="D30">
        <v>5481</v>
      </c>
      <c r="E30">
        <v>4691</v>
      </c>
      <c r="F30">
        <v>57</v>
      </c>
      <c r="G30">
        <v>246441</v>
      </c>
      <c r="H30">
        <v>127353</v>
      </c>
      <c r="I30">
        <v>3945</v>
      </c>
      <c r="J30">
        <v>1593</v>
      </c>
      <c r="K30">
        <v>12754</v>
      </c>
      <c r="L30">
        <v>5852</v>
      </c>
      <c r="M30">
        <v>1760</v>
      </c>
      <c r="N30">
        <v>614</v>
      </c>
      <c r="O30">
        <v>14514</v>
      </c>
      <c r="P30">
        <v>6466</v>
      </c>
    </row>
    <row r="31" spans="1:16" x14ac:dyDescent="0.25">
      <c r="A31" t="s">
        <v>309</v>
      </c>
      <c r="B31">
        <v>1568</v>
      </c>
      <c r="C31">
        <v>0</v>
      </c>
      <c r="D31">
        <v>18683</v>
      </c>
      <c r="E31">
        <v>16622</v>
      </c>
      <c r="F31">
        <v>202</v>
      </c>
      <c r="G31">
        <v>776282</v>
      </c>
      <c r="H31">
        <v>417758</v>
      </c>
      <c r="I31">
        <v>7573</v>
      </c>
      <c r="J31">
        <v>2972</v>
      </c>
      <c r="K31">
        <v>31195</v>
      </c>
      <c r="L31">
        <v>12766</v>
      </c>
      <c r="M31">
        <v>5866</v>
      </c>
      <c r="N31">
        <v>1426</v>
      </c>
      <c r="O31">
        <v>37061</v>
      </c>
      <c r="P31">
        <v>14192</v>
      </c>
    </row>
  </sheetData>
  <mergeCells count="7">
    <mergeCell ref="A2:A3"/>
    <mergeCell ref="A1:Q1"/>
    <mergeCell ref="O2:P2"/>
    <mergeCell ref="M2:N2"/>
    <mergeCell ref="G2:H2"/>
    <mergeCell ref="K2:L2"/>
    <mergeCell ref="I2:J2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rgb="FF70AD47"/>
  </sheetPr>
  <dimension ref="A1:W31"/>
  <sheetViews>
    <sheetView workbookViewId="0"/>
  </sheetViews>
  <sheetFormatPr defaultRowHeight="15" x14ac:dyDescent="0.25"/>
  <cols>
    <col min="1" max="1" width="14.5703125" customWidth="1"/>
    <col min="2" max="2" width="4.140625" customWidth="1"/>
    <col min="3" max="3" width="5.5703125" customWidth="1"/>
    <col min="4" max="4" width="5.42578125" customWidth="1"/>
    <col min="6" max="6" width="6.7109375" customWidth="1"/>
    <col min="7" max="7" width="6.42578125" customWidth="1"/>
    <col min="15" max="15" width="7.28515625" customWidth="1"/>
    <col min="18" max="18" width="8.28515625" customWidth="1"/>
    <col min="19" max="19" width="6.5703125" customWidth="1"/>
    <col min="20" max="20" width="6.42578125" customWidth="1"/>
    <col min="21" max="21" width="5.42578125" customWidth="1"/>
    <col min="22" max="22" width="6.42578125" customWidth="1"/>
  </cols>
  <sheetData>
    <row r="1" spans="1:23" x14ac:dyDescent="0.25">
      <c r="A1" s="29" t="s">
        <v>325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25">
      <c r="A2" s="29" t="s">
        <v>709</v>
      </c>
      <c r="B2" s="29" t="s">
        <v>326</v>
      </c>
      <c r="C2" s="29"/>
      <c r="D2" s="29"/>
      <c r="E2" s="29"/>
      <c r="F2" s="29" t="s">
        <v>327</v>
      </c>
      <c r="G2" s="29"/>
      <c r="H2" s="29"/>
      <c r="I2" s="29"/>
      <c r="J2" s="29"/>
      <c r="K2" s="29"/>
      <c r="L2" s="29" t="s">
        <v>328</v>
      </c>
      <c r="M2" s="29"/>
      <c r="N2" s="29"/>
      <c r="O2" s="29" t="s">
        <v>329</v>
      </c>
      <c r="P2" s="29"/>
      <c r="Q2" s="29"/>
      <c r="R2" s="29" t="s">
        <v>256</v>
      </c>
      <c r="S2" s="29"/>
      <c r="T2" s="29"/>
      <c r="U2" s="29"/>
      <c r="V2" s="29"/>
    </row>
    <row r="3" spans="1:23" x14ac:dyDescent="0.25">
      <c r="A3" s="29"/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  <c r="N3" t="s">
        <v>342</v>
      </c>
      <c r="O3" t="s">
        <v>343</v>
      </c>
      <c r="P3" t="s">
        <v>344</v>
      </c>
      <c r="Q3" t="s">
        <v>345</v>
      </c>
      <c r="R3" t="s">
        <v>326</v>
      </c>
      <c r="S3" t="s">
        <v>346</v>
      </c>
      <c r="T3" t="s">
        <v>347</v>
      </c>
      <c r="U3" t="s">
        <v>348</v>
      </c>
      <c r="V3" t="s">
        <v>263</v>
      </c>
    </row>
    <row r="4" spans="1:23" x14ac:dyDescent="0.25">
      <c r="A4" t="s">
        <v>283</v>
      </c>
      <c r="B4">
        <v>37</v>
      </c>
      <c r="C4">
        <v>99</v>
      </c>
      <c r="D4">
        <v>188</v>
      </c>
      <c r="E4">
        <v>235</v>
      </c>
      <c r="F4">
        <v>587</v>
      </c>
      <c r="G4">
        <v>582</v>
      </c>
      <c r="H4">
        <v>550</v>
      </c>
      <c r="I4">
        <v>547</v>
      </c>
      <c r="J4">
        <v>520</v>
      </c>
      <c r="K4">
        <v>507</v>
      </c>
      <c r="L4">
        <v>264</v>
      </c>
      <c r="M4">
        <v>228</v>
      </c>
      <c r="N4">
        <v>185</v>
      </c>
      <c r="O4">
        <v>131</v>
      </c>
      <c r="P4">
        <v>117</v>
      </c>
      <c r="Q4">
        <v>105</v>
      </c>
      <c r="R4">
        <v>559</v>
      </c>
      <c r="S4">
        <v>3293</v>
      </c>
      <c r="T4">
        <v>677</v>
      </c>
      <c r="U4">
        <v>353</v>
      </c>
      <c r="V4">
        <v>4882</v>
      </c>
    </row>
    <row r="5" spans="1:23" x14ac:dyDescent="0.25">
      <c r="A5" t="s">
        <v>284</v>
      </c>
      <c r="B5">
        <v>36</v>
      </c>
      <c r="C5">
        <v>140</v>
      </c>
      <c r="D5">
        <v>277</v>
      </c>
      <c r="E5">
        <v>216</v>
      </c>
      <c r="F5">
        <v>1034</v>
      </c>
      <c r="G5">
        <v>990</v>
      </c>
      <c r="H5">
        <v>943</v>
      </c>
      <c r="I5">
        <v>916</v>
      </c>
      <c r="J5">
        <v>875</v>
      </c>
      <c r="K5">
        <v>828</v>
      </c>
      <c r="L5">
        <v>399</v>
      </c>
      <c r="M5">
        <v>345</v>
      </c>
      <c r="N5">
        <v>294</v>
      </c>
      <c r="O5">
        <v>205</v>
      </c>
      <c r="P5">
        <v>174</v>
      </c>
      <c r="Q5">
        <v>155</v>
      </c>
      <c r="R5">
        <v>669</v>
      </c>
      <c r="S5">
        <v>5586</v>
      </c>
      <c r="T5">
        <v>1038</v>
      </c>
      <c r="U5">
        <v>534</v>
      </c>
      <c r="V5">
        <v>7827</v>
      </c>
    </row>
    <row r="6" spans="1:23" x14ac:dyDescent="0.25">
      <c r="A6" t="s">
        <v>285</v>
      </c>
      <c r="B6">
        <v>17</v>
      </c>
      <c r="C6">
        <v>112</v>
      </c>
      <c r="D6">
        <v>365</v>
      </c>
      <c r="E6">
        <v>44</v>
      </c>
      <c r="F6">
        <v>747</v>
      </c>
      <c r="G6">
        <v>713</v>
      </c>
      <c r="H6">
        <v>670</v>
      </c>
      <c r="I6">
        <v>652</v>
      </c>
      <c r="J6">
        <v>619</v>
      </c>
      <c r="K6">
        <v>600</v>
      </c>
      <c r="L6">
        <v>378</v>
      </c>
      <c r="M6">
        <v>334</v>
      </c>
      <c r="N6">
        <v>290</v>
      </c>
      <c r="O6">
        <v>209</v>
      </c>
      <c r="P6">
        <v>191</v>
      </c>
      <c r="Q6">
        <v>175</v>
      </c>
      <c r="R6">
        <v>538</v>
      </c>
      <c r="S6">
        <v>4001</v>
      </c>
      <c r="T6">
        <v>1002</v>
      </c>
      <c r="U6">
        <v>575</v>
      </c>
      <c r="V6">
        <v>6116</v>
      </c>
    </row>
    <row r="7" spans="1:23" x14ac:dyDescent="0.25">
      <c r="A7" t="s">
        <v>286</v>
      </c>
      <c r="B7">
        <v>19</v>
      </c>
      <c r="C7">
        <v>46</v>
      </c>
      <c r="D7">
        <v>116</v>
      </c>
      <c r="E7">
        <v>46</v>
      </c>
      <c r="F7">
        <v>407</v>
      </c>
      <c r="G7">
        <v>396</v>
      </c>
      <c r="H7">
        <v>380</v>
      </c>
      <c r="I7">
        <v>368</v>
      </c>
      <c r="J7">
        <v>357</v>
      </c>
      <c r="K7">
        <v>345</v>
      </c>
      <c r="L7">
        <v>205</v>
      </c>
      <c r="M7">
        <v>181</v>
      </c>
      <c r="N7">
        <v>153</v>
      </c>
      <c r="O7">
        <v>106</v>
      </c>
      <c r="P7">
        <v>96</v>
      </c>
      <c r="Q7">
        <v>86</v>
      </c>
      <c r="R7">
        <v>227</v>
      </c>
      <c r="S7">
        <v>2253</v>
      </c>
      <c r="T7">
        <v>539</v>
      </c>
      <c r="U7">
        <v>288</v>
      </c>
      <c r="V7">
        <v>3307</v>
      </c>
    </row>
    <row r="8" spans="1:23" x14ac:dyDescent="0.25">
      <c r="A8" t="s">
        <v>287</v>
      </c>
      <c r="B8">
        <v>12</v>
      </c>
      <c r="C8">
        <v>37</v>
      </c>
      <c r="D8">
        <v>192</v>
      </c>
      <c r="E8">
        <v>105</v>
      </c>
      <c r="F8">
        <v>486</v>
      </c>
      <c r="G8">
        <v>490</v>
      </c>
      <c r="H8">
        <v>478</v>
      </c>
      <c r="I8">
        <v>462</v>
      </c>
      <c r="J8">
        <v>460</v>
      </c>
      <c r="K8">
        <v>456</v>
      </c>
      <c r="L8">
        <v>276</v>
      </c>
      <c r="M8">
        <v>234</v>
      </c>
      <c r="N8">
        <v>189</v>
      </c>
      <c r="O8">
        <v>114</v>
      </c>
      <c r="P8">
        <v>99</v>
      </c>
      <c r="Q8">
        <v>92</v>
      </c>
      <c r="R8">
        <v>346</v>
      </c>
      <c r="S8">
        <v>2832</v>
      </c>
      <c r="T8">
        <v>699</v>
      </c>
      <c r="U8">
        <v>305</v>
      </c>
      <c r="V8">
        <v>4182</v>
      </c>
    </row>
    <row r="9" spans="1:23" x14ac:dyDescent="0.25">
      <c r="A9" t="s">
        <v>288</v>
      </c>
      <c r="B9">
        <v>20</v>
      </c>
      <c r="C9">
        <v>62</v>
      </c>
      <c r="D9">
        <v>188</v>
      </c>
      <c r="E9">
        <v>81</v>
      </c>
      <c r="F9">
        <v>627</v>
      </c>
      <c r="G9">
        <v>611</v>
      </c>
      <c r="H9">
        <v>589</v>
      </c>
      <c r="I9">
        <v>560</v>
      </c>
      <c r="J9">
        <v>533</v>
      </c>
      <c r="K9">
        <v>522</v>
      </c>
      <c r="L9">
        <v>275</v>
      </c>
      <c r="M9">
        <v>249</v>
      </c>
      <c r="N9">
        <v>213</v>
      </c>
      <c r="O9">
        <v>142</v>
      </c>
      <c r="P9">
        <v>130</v>
      </c>
      <c r="Q9">
        <v>118</v>
      </c>
      <c r="R9">
        <v>351</v>
      </c>
      <c r="S9">
        <v>3442</v>
      </c>
      <c r="T9">
        <v>737</v>
      </c>
      <c r="U9">
        <v>390</v>
      </c>
      <c r="V9">
        <v>4920</v>
      </c>
    </row>
    <row r="10" spans="1:23" x14ac:dyDescent="0.25">
      <c r="A10" t="s">
        <v>289</v>
      </c>
      <c r="B10">
        <v>8</v>
      </c>
      <c r="C10">
        <v>22</v>
      </c>
      <c r="D10">
        <v>197</v>
      </c>
      <c r="E10">
        <v>39</v>
      </c>
      <c r="F10">
        <v>432</v>
      </c>
      <c r="G10">
        <v>424</v>
      </c>
      <c r="H10">
        <v>397</v>
      </c>
      <c r="I10">
        <v>389</v>
      </c>
      <c r="J10">
        <v>376</v>
      </c>
      <c r="K10">
        <v>373</v>
      </c>
      <c r="L10">
        <v>421</v>
      </c>
      <c r="M10">
        <v>362</v>
      </c>
      <c r="N10">
        <v>323</v>
      </c>
      <c r="O10">
        <v>338</v>
      </c>
      <c r="P10">
        <v>323</v>
      </c>
      <c r="Q10">
        <v>286</v>
      </c>
      <c r="R10">
        <v>266</v>
      </c>
      <c r="S10">
        <v>2391</v>
      </c>
      <c r="T10">
        <v>1106</v>
      </c>
      <c r="U10">
        <v>947</v>
      </c>
      <c r="V10">
        <v>4710</v>
      </c>
    </row>
    <row r="11" spans="1:23" x14ac:dyDescent="0.25">
      <c r="A11" t="s">
        <v>290</v>
      </c>
      <c r="B11">
        <v>33</v>
      </c>
      <c r="C11">
        <v>124</v>
      </c>
      <c r="D11">
        <v>335</v>
      </c>
      <c r="E11">
        <v>25</v>
      </c>
      <c r="F11">
        <v>822</v>
      </c>
      <c r="G11">
        <v>792</v>
      </c>
      <c r="H11">
        <v>748</v>
      </c>
      <c r="I11">
        <v>690</v>
      </c>
      <c r="J11">
        <v>648</v>
      </c>
      <c r="K11">
        <v>623</v>
      </c>
      <c r="L11">
        <v>474</v>
      </c>
      <c r="M11">
        <v>432</v>
      </c>
      <c r="N11">
        <v>363</v>
      </c>
      <c r="O11">
        <v>255</v>
      </c>
      <c r="P11">
        <v>232</v>
      </c>
      <c r="Q11">
        <v>214</v>
      </c>
      <c r="R11">
        <v>517</v>
      </c>
      <c r="S11">
        <v>4323</v>
      </c>
      <c r="T11">
        <v>1269</v>
      </c>
      <c r="U11">
        <v>701</v>
      </c>
      <c r="V11">
        <v>6810</v>
      </c>
    </row>
    <row r="12" spans="1:23" x14ac:dyDescent="0.25">
      <c r="A12" t="s">
        <v>291</v>
      </c>
      <c r="B12">
        <v>2</v>
      </c>
      <c r="C12">
        <v>12</v>
      </c>
      <c r="D12">
        <v>15</v>
      </c>
      <c r="E12">
        <v>10</v>
      </c>
      <c r="F12">
        <v>35</v>
      </c>
      <c r="G12">
        <v>35</v>
      </c>
      <c r="H12">
        <v>31</v>
      </c>
      <c r="I12">
        <v>29</v>
      </c>
      <c r="J12">
        <v>28</v>
      </c>
      <c r="K12">
        <v>25</v>
      </c>
      <c r="L12">
        <v>19</v>
      </c>
      <c r="M12">
        <v>16</v>
      </c>
      <c r="N12">
        <v>16</v>
      </c>
      <c r="O12">
        <v>8</v>
      </c>
      <c r="P12">
        <v>10</v>
      </c>
      <c r="Q12">
        <v>9</v>
      </c>
      <c r="R12">
        <v>39</v>
      </c>
      <c r="S12">
        <v>183</v>
      </c>
      <c r="T12">
        <v>51</v>
      </c>
      <c r="U12">
        <v>27</v>
      </c>
      <c r="V12">
        <v>300</v>
      </c>
    </row>
    <row r="13" spans="1:23" x14ac:dyDescent="0.25">
      <c r="A13" t="s">
        <v>292</v>
      </c>
      <c r="B13">
        <v>7</v>
      </c>
      <c r="C13">
        <v>10</v>
      </c>
      <c r="D13">
        <v>16</v>
      </c>
      <c r="E13">
        <v>87</v>
      </c>
      <c r="F13">
        <v>147</v>
      </c>
      <c r="G13">
        <v>151</v>
      </c>
      <c r="H13">
        <v>140</v>
      </c>
      <c r="I13">
        <v>136</v>
      </c>
      <c r="J13">
        <v>125</v>
      </c>
      <c r="K13">
        <v>126</v>
      </c>
      <c r="L13">
        <v>60</v>
      </c>
      <c r="M13">
        <v>55</v>
      </c>
      <c r="N13">
        <v>49</v>
      </c>
      <c r="O13">
        <v>36</v>
      </c>
      <c r="P13">
        <v>32</v>
      </c>
      <c r="Q13">
        <v>27</v>
      </c>
      <c r="R13">
        <v>120</v>
      </c>
      <c r="S13">
        <v>825</v>
      </c>
      <c r="T13">
        <v>164</v>
      </c>
      <c r="U13">
        <v>95</v>
      </c>
      <c r="V13">
        <v>1204</v>
      </c>
    </row>
    <row r="14" spans="1:23" x14ac:dyDescent="0.25">
      <c r="A14" t="s">
        <v>293</v>
      </c>
      <c r="B14">
        <v>7</v>
      </c>
      <c r="C14">
        <v>67</v>
      </c>
      <c r="D14">
        <v>142</v>
      </c>
      <c r="E14">
        <v>29</v>
      </c>
      <c r="F14">
        <v>443</v>
      </c>
      <c r="G14">
        <v>420</v>
      </c>
      <c r="H14">
        <v>391</v>
      </c>
      <c r="I14">
        <v>364</v>
      </c>
      <c r="J14">
        <v>336</v>
      </c>
      <c r="K14">
        <v>317</v>
      </c>
      <c r="L14">
        <v>125</v>
      </c>
      <c r="M14">
        <v>105</v>
      </c>
      <c r="N14">
        <v>92</v>
      </c>
      <c r="O14">
        <v>58</v>
      </c>
      <c r="P14">
        <v>50</v>
      </c>
      <c r="Q14">
        <v>47</v>
      </c>
      <c r="R14">
        <v>245</v>
      </c>
      <c r="S14">
        <v>2271</v>
      </c>
      <c r="T14">
        <v>322</v>
      </c>
      <c r="U14">
        <v>155</v>
      </c>
      <c r="V14">
        <v>2993</v>
      </c>
    </row>
    <row r="15" spans="1:23" x14ac:dyDescent="0.25">
      <c r="A15" t="s">
        <v>294</v>
      </c>
      <c r="B15">
        <v>4</v>
      </c>
      <c r="C15">
        <v>6</v>
      </c>
      <c r="D15">
        <v>7</v>
      </c>
      <c r="E15">
        <v>25</v>
      </c>
      <c r="F15">
        <v>126</v>
      </c>
      <c r="G15">
        <v>122</v>
      </c>
      <c r="H15">
        <v>118</v>
      </c>
      <c r="I15">
        <v>111</v>
      </c>
      <c r="J15">
        <v>106</v>
      </c>
      <c r="K15">
        <v>102</v>
      </c>
      <c r="L15">
        <v>37</v>
      </c>
      <c r="M15">
        <v>28</v>
      </c>
      <c r="N15">
        <v>26</v>
      </c>
      <c r="O15">
        <v>17</v>
      </c>
      <c r="P15">
        <v>15</v>
      </c>
      <c r="Q15">
        <v>12</v>
      </c>
      <c r="R15">
        <v>42</v>
      </c>
      <c r="S15">
        <v>685</v>
      </c>
      <c r="T15">
        <v>91</v>
      </c>
      <c r="U15">
        <v>44</v>
      </c>
      <c r="V15">
        <v>862</v>
      </c>
    </row>
    <row r="16" spans="1:23" x14ac:dyDescent="0.25">
      <c r="A16" t="s">
        <v>295</v>
      </c>
      <c r="B16">
        <v>3</v>
      </c>
      <c r="C16">
        <v>10</v>
      </c>
      <c r="D16">
        <v>59</v>
      </c>
      <c r="E16">
        <v>78</v>
      </c>
      <c r="F16">
        <v>288</v>
      </c>
      <c r="G16">
        <v>281</v>
      </c>
      <c r="H16">
        <v>264</v>
      </c>
      <c r="I16">
        <v>255</v>
      </c>
      <c r="J16">
        <v>249</v>
      </c>
      <c r="K16">
        <v>238</v>
      </c>
      <c r="L16">
        <v>91</v>
      </c>
      <c r="M16">
        <v>79</v>
      </c>
      <c r="N16">
        <v>66</v>
      </c>
      <c r="O16">
        <v>49</v>
      </c>
      <c r="P16">
        <v>41</v>
      </c>
      <c r="Q16">
        <v>39</v>
      </c>
      <c r="R16">
        <v>150</v>
      </c>
      <c r="S16">
        <v>1575</v>
      </c>
      <c r="T16">
        <v>236</v>
      </c>
      <c r="U16">
        <v>129</v>
      </c>
      <c r="V16">
        <v>2090</v>
      </c>
    </row>
    <row r="17" spans="1:22" x14ac:dyDescent="0.25">
      <c r="A17" t="s">
        <v>296</v>
      </c>
      <c r="B17">
        <v>4</v>
      </c>
      <c r="C17">
        <v>11</v>
      </c>
      <c r="D17">
        <v>15</v>
      </c>
      <c r="E17">
        <v>14</v>
      </c>
      <c r="F17">
        <v>67</v>
      </c>
      <c r="G17">
        <v>63</v>
      </c>
      <c r="H17">
        <v>62</v>
      </c>
      <c r="I17">
        <v>59</v>
      </c>
      <c r="J17">
        <v>58</v>
      </c>
      <c r="K17">
        <v>55</v>
      </c>
      <c r="L17">
        <v>36</v>
      </c>
      <c r="M17">
        <v>31</v>
      </c>
      <c r="N17">
        <v>24</v>
      </c>
      <c r="O17">
        <v>15</v>
      </c>
      <c r="P17">
        <v>15</v>
      </c>
      <c r="Q17">
        <v>11</v>
      </c>
      <c r="R17">
        <v>44</v>
      </c>
      <c r="S17">
        <v>364</v>
      </c>
      <c r="T17">
        <v>91</v>
      </c>
      <c r="U17">
        <v>41</v>
      </c>
      <c r="V17">
        <v>540</v>
      </c>
    </row>
    <row r="18" spans="1:22" x14ac:dyDescent="0.25">
      <c r="A18" t="s">
        <v>297</v>
      </c>
      <c r="B18">
        <v>23</v>
      </c>
      <c r="C18">
        <v>37</v>
      </c>
      <c r="D18">
        <v>393</v>
      </c>
      <c r="E18">
        <v>1</v>
      </c>
      <c r="F18">
        <v>562</v>
      </c>
      <c r="G18">
        <v>541</v>
      </c>
      <c r="H18">
        <v>517</v>
      </c>
      <c r="I18">
        <v>518</v>
      </c>
      <c r="J18">
        <v>501</v>
      </c>
      <c r="K18">
        <v>495</v>
      </c>
      <c r="L18">
        <v>436</v>
      </c>
      <c r="M18">
        <v>415</v>
      </c>
      <c r="N18">
        <v>379</v>
      </c>
      <c r="O18">
        <v>295</v>
      </c>
      <c r="P18">
        <v>296</v>
      </c>
      <c r="Q18">
        <v>298</v>
      </c>
      <c r="R18">
        <v>454</v>
      </c>
      <c r="S18">
        <v>3134</v>
      </c>
      <c r="T18">
        <v>1230</v>
      </c>
      <c r="U18">
        <v>889</v>
      </c>
      <c r="V18">
        <v>5707</v>
      </c>
    </row>
    <row r="19" spans="1:22" x14ac:dyDescent="0.25">
      <c r="A19" t="s">
        <v>298</v>
      </c>
      <c r="B19">
        <v>1</v>
      </c>
      <c r="C19">
        <v>6</v>
      </c>
      <c r="D19">
        <v>35</v>
      </c>
      <c r="E19">
        <v>45</v>
      </c>
      <c r="F19">
        <v>158</v>
      </c>
      <c r="G19">
        <v>148</v>
      </c>
      <c r="H19">
        <v>141</v>
      </c>
      <c r="I19">
        <v>133</v>
      </c>
      <c r="J19">
        <v>124</v>
      </c>
      <c r="K19">
        <v>118</v>
      </c>
      <c r="L19">
        <v>83</v>
      </c>
      <c r="M19">
        <v>74</v>
      </c>
      <c r="N19">
        <v>66</v>
      </c>
      <c r="O19">
        <v>42</v>
      </c>
      <c r="P19">
        <v>40</v>
      </c>
      <c r="Q19">
        <v>38</v>
      </c>
      <c r="R19">
        <v>87</v>
      </c>
      <c r="S19">
        <v>822</v>
      </c>
      <c r="T19">
        <v>223</v>
      </c>
      <c r="U19">
        <v>120</v>
      </c>
      <c r="V19">
        <v>1252</v>
      </c>
    </row>
    <row r="20" spans="1:22" x14ac:dyDescent="0.25">
      <c r="A20" t="s">
        <v>299</v>
      </c>
      <c r="B20">
        <v>10</v>
      </c>
      <c r="C20">
        <v>21</v>
      </c>
      <c r="D20">
        <v>39</v>
      </c>
      <c r="E20">
        <v>92</v>
      </c>
      <c r="F20">
        <v>303</v>
      </c>
      <c r="G20">
        <v>290</v>
      </c>
      <c r="H20">
        <v>276</v>
      </c>
      <c r="I20">
        <v>259</v>
      </c>
      <c r="J20">
        <v>249</v>
      </c>
      <c r="K20">
        <v>243</v>
      </c>
      <c r="L20">
        <v>106</v>
      </c>
      <c r="M20">
        <v>97</v>
      </c>
      <c r="N20">
        <v>89</v>
      </c>
      <c r="O20">
        <v>57</v>
      </c>
      <c r="P20">
        <v>51</v>
      </c>
      <c r="Q20">
        <v>46</v>
      </c>
      <c r="R20">
        <v>162</v>
      </c>
      <c r="S20">
        <v>1620</v>
      </c>
      <c r="T20">
        <v>292</v>
      </c>
      <c r="U20">
        <v>154</v>
      </c>
      <c r="V20">
        <v>2228</v>
      </c>
    </row>
    <row r="21" spans="1:22" x14ac:dyDescent="0.25">
      <c r="A21" t="s">
        <v>300</v>
      </c>
      <c r="B21">
        <v>19</v>
      </c>
      <c r="C21">
        <v>110</v>
      </c>
      <c r="D21">
        <v>465</v>
      </c>
      <c r="E21">
        <v>18</v>
      </c>
      <c r="F21">
        <v>811</v>
      </c>
      <c r="G21">
        <v>787</v>
      </c>
      <c r="H21">
        <v>753</v>
      </c>
      <c r="I21">
        <v>745</v>
      </c>
      <c r="J21">
        <v>749</v>
      </c>
      <c r="K21">
        <v>730</v>
      </c>
      <c r="L21">
        <v>420</v>
      </c>
      <c r="M21">
        <v>369</v>
      </c>
      <c r="N21">
        <v>316</v>
      </c>
      <c r="O21">
        <v>220</v>
      </c>
      <c r="P21">
        <v>191</v>
      </c>
      <c r="Q21">
        <v>181</v>
      </c>
      <c r="R21">
        <v>612</v>
      </c>
      <c r="S21">
        <v>4575</v>
      </c>
      <c r="T21">
        <v>1105</v>
      </c>
      <c r="U21">
        <v>592</v>
      </c>
      <c r="V21">
        <v>6884</v>
      </c>
    </row>
    <row r="22" spans="1:22" x14ac:dyDescent="0.25">
      <c r="A22" t="s">
        <v>301</v>
      </c>
      <c r="B22">
        <v>22</v>
      </c>
      <c r="C22">
        <v>59</v>
      </c>
      <c r="D22">
        <v>129</v>
      </c>
      <c r="E22">
        <v>87</v>
      </c>
      <c r="F22">
        <v>444</v>
      </c>
      <c r="G22">
        <v>415</v>
      </c>
      <c r="H22">
        <v>399</v>
      </c>
      <c r="I22">
        <v>377</v>
      </c>
      <c r="J22">
        <v>365</v>
      </c>
      <c r="K22">
        <v>347</v>
      </c>
      <c r="L22">
        <v>179</v>
      </c>
      <c r="M22">
        <v>154</v>
      </c>
      <c r="N22">
        <v>135</v>
      </c>
      <c r="O22">
        <v>90</v>
      </c>
      <c r="P22">
        <v>79</v>
      </c>
      <c r="Q22">
        <v>74</v>
      </c>
      <c r="R22">
        <v>297</v>
      </c>
      <c r="S22">
        <v>2347</v>
      </c>
      <c r="T22">
        <v>468</v>
      </c>
      <c r="U22">
        <v>243</v>
      </c>
      <c r="V22">
        <v>3355</v>
      </c>
    </row>
    <row r="23" spans="1:22" x14ac:dyDescent="0.25">
      <c r="A23" t="s">
        <v>302</v>
      </c>
      <c r="B23">
        <v>27</v>
      </c>
      <c r="C23">
        <v>17</v>
      </c>
      <c r="D23">
        <v>88</v>
      </c>
      <c r="E23">
        <v>65</v>
      </c>
      <c r="F23">
        <v>267</v>
      </c>
      <c r="G23">
        <v>264</v>
      </c>
      <c r="H23">
        <v>255</v>
      </c>
      <c r="I23">
        <v>246</v>
      </c>
      <c r="J23">
        <v>232</v>
      </c>
      <c r="K23">
        <v>207</v>
      </c>
      <c r="L23">
        <v>78</v>
      </c>
      <c r="M23">
        <v>61</v>
      </c>
      <c r="N23">
        <v>52</v>
      </c>
      <c r="O23">
        <v>39</v>
      </c>
      <c r="P23">
        <v>39</v>
      </c>
      <c r="Q23">
        <v>30</v>
      </c>
      <c r="R23">
        <v>197</v>
      </c>
      <c r="S23">
        <v>1471</v>
      </c>
      <c r="T23">
        <v>191</v>
      </c>
      <c r="U23">
        <v>108</v>
      </c>
      <c r="V23">
        <v>1967</v>
      </c>
    </row>
    <row r="24" spans="1:22" x14ac:dyDescent="0.25">
      <c r="A24" t="s">
        <v>303</v>
      </c>
      <c r="B24">
        <v>110</v>
      </c>
      <c r="C24">
        <v>329</v>
      </c>
      <c r="D24">
        <v>591</v>
      </c>
      <c r="E24">
        <v>195</v>
      </c>
      <c r="F24">
        <v>895</v>
      </c>
      <c r="G24">
        <v>844</v>
      </c>
      <c r="H24">
        <v>787</v>
      </c>
      <c r="I24">
        <v>757</v>
      </c>
      <c r="J24">
        <v>724</v>
      </c>
      <c r="K24">
        <v>692</v>
      </c>
      <c r="L24">
        <v>403</v>
      </c>
      <c r="M24">
        <v>362</v>
      </c>
      <c r="N24">
        <v>316</v>
      </c>
      <c r="O24">
        <v>228</v>
      </c>
      <c r="P24">
        <v>206</v>
      </c>
      <c r="Q24">
        <v>186</v>
      </c>
      <c r="R24">
        <v>1225</v>
      </c>
      <c r="S24">
        <v>4699</v>
      </c>
      <c r="T24">
        <v>1081</v>
      </c>
      <c r="U24">
        <v>620</v>
      </c>
      <c r="V24">
        <v>7625</v>
      </c>
    </row>
    <row r="25" spans="1:22" x14ac:dyDescent="0.25">
      <c r="A25" t="s">
        <v>304</v>
      </c>
      <c r="B25">
        <v>3</v>
      </c>
      <c r="C25">
        <v>6</v>
      </c>
      <c r="D25">
        <v>36</v>
      </c>
      <c r="E25">
        <v>21</v>
      </c>
      <c r="F25">
        <v>293</v>
      </c>
      <c r="G25">
        <v>262</v>
      </c>
      <c r="H25">
        <v>255</v>
      </c>
      <c r="I25">
        <v>235</v>
      </c>
      <c r="J25">
        <v>238</v>
      </c>
      <c r="K25">
        <v>198</v>
      </c>
      <c r="L25">
        <v>59</v>
      </c>
      <c r="M25">
        <v>55</v>
      </c>
      <c r="N25">
        <v>49</v>
      </c>
      <c r="O25">
        <v>26</v>
      </c>
      <c r="P25">
        <v>25</v>
      </c>
      <c r="Q25">
        <v>21</v>
      </c>
      <c r="R25">
        <v>66</v>
      </c>
      <c r="S25">
        <v>1481</v>
      </c>
      <c r="T25">
        <v>163</v>
      </c>
      <c r="U25">
        <v>72</v>
      </c>
      <c r="V25">
        <v>1782</v>
      </c>
    </row>
    <row r="26" spans="1:22" x14ac:dyDescent="0.25">
      <c r="A26" t="s">
        <v>305</v>
      </c>
      <c r="B26">
        <v>11</v>
      </c>
      <c r="C26">
        <v>45</v>
      </c>
      <c r="D26">
        <v>110</v>
      </c>
      <c r="E26">
        <v>133</v>
      </c>
      <c r="F26">
        <v>417</v>
      </c>
      <c r="G26">
        <v>398</v>
      </c>
      <c r="H26">
        <v>385</v>
      </c>
      <c r="I26">
        <v>362</v>
      </c>
      <c r="J26">
        <v>356</v>
      </c>
      <c r="K26">
        <v>355</v>
      </c>
      <c r="L26">
        <v>254</v>
      </c>
      <c r="M26">
        <v>214</v>
      </c>
      <c r="N26">
        <v>182</v>
      </c>
      <c r="O26">
        <v>127</v>
      </c>
      <c r="P26">
        <v>114</v>
      </c>
      <c r="Q26">
        <v>105</v>
      </c>
      <c r="R26">
        <v>299</v>
      </c>
      <c r="S26">
        <v>2273</v>
      </c>
      <c r="T26">
        <v>650</v>
      </c>
      <c r="U26">
        <v>346</v>
      </c>
      <c r="V26">
        <v>3568</v>
      </c>
    </row>
    <row r="27" spans="1:22" x14ac:dyDescent="0.25">
      <c r="A27" t="s">
        <v>306</v>
      </c>
      <c r="B27">
        <v>16</v>
      </c>
      <c r="C27">
        <v>77</v>
      </c>
      <c r="D27">
        <v>306</v>
      </c>
      <c r="E27">
        <v>61</v>
      </c>
      <c r="F27">
        <v>621</v>
      </c>
      <c r="G27">
        <v>619</v>
      </c>
      <c r="H27">
        <v>583</v>
      </c>
      <c r="I27">
        <v>571</v>
      </c>
      <c r="J27">
        <v>557</v>
      </c>
      <c r="K27">
        <v>568</v>
      </c>
      <c r="L27">
        <v>423</v>
      </c>
      <c r="M27">
        <v>387</v>
      </c>
      <c r="N27">
        <v>361</v>
      </c>
      <c r="O27">
        <v>260</v>
      </c>
      <c r="P27">
        <v>259</v>
      </c>
      <c r="Q27">
        <v>238</v>
      </c>
      <c r="R27">
        <v>460</v>
      </c>
      <c r="S27">
        <v>3519</v>
      </c>
      <c r="T27">
        <v>1171</v>
      </c>
      <c r="U27">
        <v>757</v>
      </c>
      <c r="V27">
        <v>5907</v>
      </c>
    </row>
    <row r="28" spans="1:22" x14ac:dyDescent="0.25">
      <c r="A28" t="s">
        <v>307</v>
      </c>
      <c r="B28">
        <v>25</v>
      </c>
      <c r="C28">
        <v>136</v>
      </c>
      <c r="D28">
        <v>245</v>
      </c>
      <c r="E28">
        <v>104</v>
      </c>
      <c r="F28">
        <v>598</v>
      </c>
      <c r="G28">
        <v>592</v>
      </c>
      <c r="H28">
        <v>566</v>
      </c>
      <c r="I28">
        <v>544</v>
      </c>
      <c r="J28">
        <v>513</v>
      </c>
      <c r="K28">
        <v>485</v>
      </c>
      <c r="L28">
        <v>275</v>
      </c>
      <c r="M28">
        <v>239</v>
      </c>
      <c r="N28">
        <v>196</v>
      </c>
      <c r="O28">
        <v>136</v>
      </c>
      <c r="P28">
        <v>129</v>
      </c>
      <c r="Q28">
        <v>108</v>
      </c>
      <c r="R28">
        <v>510</v>
      </c>
      <c r="S28">
        <v>3298</v>
      </c>
      <c r="T28">
        <v>710</v>
      </c>
      <c r="U28">
        <v>373</v>
      </c>
      <c r="V28">
        <v>4891</v>
      </c>
    </row>
    <row r="29" spans="1:22" x14ac:dyDescent="0.25">
      <c r="A29" t="s">
        <v>266</v>
      </c>
      <c r="B29">
        <v>476</v>
      </c>
      <c r="C29">
        <v>1601</v>
      </c>
      <c r="D29">
        <v>4549</v>
      </c>
      <c r="E29">
        <v>1856</v>
      </c>
      <c r="F29">
        <v>11617</v>
      </c>
      <c r="G29">
        <v>11230</v>
      </c>
      <c r="H29">
        <v>10678</v>
      </c>
      <c r="I29">
        <v>10285</v>
      </c>
      <c r="J29">
        <v>9898</v>
      </c>
      <c r="K29">
        <v>9555</v>
      </c>
      <c r="L29">
        <v>5776</v>
      </c>
      <c r="M29">
        <v>5106</v>
      </c>
      <c r="N29">
        <v>4424</v>
      </c>
      <c r="O29">
        <v>3203</v>
      </c>
      <c r="P29">
        <v>2954</v>
      </c>
      <c r="Q29">
        <v>2701</v>
      </c>
      <c r="R29">
        <v>8482</v>
      </c>
      <c r="S29">
        <v>63263</v>
      </c>
      <c r="T29">
        <v>15306</v>
      </c>
      <c r="U29">
        <v>8858</v>
      </c>
      <c r="V29">
        <v>95909</v>
      </c>
    </row>
    <row r="30" spans="1:22" x14ac:dyDescent="0.25">
      <c r="A30" t="s">
        <v>308</v>
      </c>
      <c r="B30">
        <v>147</v>
      </c>
      <c r="C30">
        <v>370</v>
      </c>
      <c r="D30">
        <v>894</v>
      </c>
      <c r="E30">
        <v>170</v>
      </c>
      <c r="F30">
        <v>1691</v>
      </c>
      <c r="G30">
        <v>1631</v>
      </c>
      <c r="H30">
        <v>1532</v>
      </c>
      <c r="I30">
        <v>1473</v>
      </c>
      <c r="J30">
        <v>1409</v>
      </c>
      <c r="K30">
        <v>1373</v>
      </c>
      <c r="L30">
        <v>1122</v>
      </c>
      <c r="M30">
        <v>1045</v>
      </c>
      <c r="N30">
        <v>951</v>
      </c>
      <c r="O30">
        <v>808</v>
      </c>
      <c r="P30">
        <v>788</v>
      </c>
      <c r="Q30">
        <v>767</v>
      </c>
      <c r="R30">
        <v>1581</v>
      </c>
      <c r="S30">
        <v>9109</v>
      </c>
      <c r="T30">
        <v>3118</v>
      </c>
      <c r="U30">
        <v>2363</v>
      </c>
      <c r="V30">
        <v>16171</v>
      </c>
    </row>
    <row r="31" spans="1:22" x14ac:dyDescent="0.25">
      <c r="A31" t="s">
        <v>309</v>
      </c>
      <c r="B31">
        <v>329</v>
      </c>
      <c r="C31">
        <v>1231</v>
      </c>
      <c r="D31">
        <v>3655</v>
      </c>
      <c r="E31">
        <v>1686</v>
      </c>
      <c r="F31">
        <v>9926</v>
      </c>
      <c r="G31">
        <v>9599</v>
      </c>
      <c r="H31">
        <v>9146</v>
      </c>
      <c r="I31">
        <v>8812</v>
      </c>
      <c r="J31">
        <v>8489</v>
      </c>
      <c r="K31">
        <v>8182</v>
      </c>
      <c r="L31">
        <v>4654</v>
      </c>
      <c r="M31">
        <v>4061</v>
      </c>
      <c r="N31">
        <v>3473</v>
      </c>
      <c r="O31">
        <v>2395</v>
      </c>
      <c r="P31">
        <v>2166</v>
      </c>
      <c r="Q31">
        <v>1934</v>
      </c>
      <c r="R31">
        <v>6901</v>
      </c>
      <c r="S31">
        <v>54154</v>
      </c>
      <c r="T31">
        <v>12188</v>
      </c>
      <c r="U31">
        <v>6495</v>
      </c>
      <c r="V31">
        <v>79738</v>
      </c>
    </row>
  </sheetData>
  <mergeCells count="7">
    <mergeCell ref="A1:W1"/>
    <mergeCell ref="R2:V2"/>
    <mergeCell ref="A2:A3"/>
    <mergeCell ref="B2:E2"/>
    <mergeCell ref="F2:K2"/>
    <mergeCell ref="L2:N2"/>
    <mergeCell ref="O2:Q2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tabColor rgb="FF70AD47"/>
  </sheetPr>
  <dimension ref="A1:M32"/>
  <sheetViews>
    <sheetView workbookViewId="0"/>
  </sheetViews>
  <sheetFormatPr defaultRowHeight="15" x14ac:dyDescent="0.25"/>
  <cols>
    <col min="1" max="1" width="14.5703125" customWidth="1"/>
    <col min="2" max="2" width="21.85546875" customWidth="1"/>
    <col min="3" max="3" width="19.85546875" customWidth="1"/>
    <col min="4" max="4" width="8.85546875" customWidth="1"/>
    <col min="5" max="5" width="8.7109375" customWidth="1"/>
    <col min="6" max="6" width="7.5703125" customWidth="1"/>
    <col min="7" max="7" width="8.7109375" customWidth="1"/>
    <col min="8" max="8" width="8.85546875" customWidth="1"/>
    <col min="9" max="9" width="8.7109375" customWidth="1"/>
    <col min="10" max="10" width="8.85546875" customWidth="1"/>
    <col min="11" max="11" width="8.7109375" customWidth="1"/>
    <col min="12" max="12" width="8.85546875" customWidth="1"/>
    <col min="13" max="13" width="8.7109375" customWidth="1"/>
  </cols>
  <sheetData>
    <row r="1" spans="1:13" x14ac:dyDescent="0.25">
      <c r="A1" s="29" t="s">
        <v>349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350</v>
      </c>
      <c r="C2" s="29" t="s">
        <v>351</v>
      </c>
      <c r="D2" s="29" t="s">
        <v>352</v>
      </c>
      <c r="E2" s="29"/>
      <c r="F2" s="29" t="s">
        <v>353</v>
      </c>
      <c r="G2" s="29"/>
      <c r="H2" s="29"/>
      <c r="I2" s="29"/>
      <c r="J2" s="29"/>
      <c r="K2" s="29"/>
      <c r="L2" s="29"/>
      <c r="M2" s="29"/>
    </row>
    <row r="3" spans="1:13" x14ac:dyDescent="0.25">
      <c r="A3" s="29"/>
      <c r="B3" s="29"/>
      <c r="C3" s="29"/>
      <c r="D3" s="29" t="s">
        <v>261</v>
      </c>
      <c r="E3" s="29" t="s">
        <v>256</v>
      </c>
      <c r="F3" s="29" t="s">
        <v>354</v>
      </c>
      <c r="G3" s="29"/>
      <c r="H3" s="29" t="s">
        <v>327</v>
      </c>
      <c r="I3" s="29"/>
      <c r="J3" s="29" t="s">
        <v>355</v>
      </c>
      <c r="K3" s="29"/>
      <c r="L3" s="29" t="s">
        <v>356</v>
      </c>
      <c r="M3" s="29"/>
    </row>
    <row r="4" spans="1:13" x14ac:dyDescent="0.25">
      <c r="A4" s="29"/>
      <c r="B4" s="29"/>
      <c r="C4" s="29"/>
      <c r="D4" s="29"/>
      <c r="E4" s="29"/>
      <c r="F4" t="s">
        <v>261</v>
      </c>
      <c r="G4" t="s">
        <v>256</v>
      </c>
      <c r="H4" t="s">
        <v>261</v>
      </c>
      <c r="I4" t="s">
        <v>256</v>
      </c>
      <c r="J4" t="s">
        <v>261</v>
      </c>
      <c r="K4" t="s">
        <v>256</v>
      </c>
      <c r="L4" t="s">
        <v>261</v>
      </c>
      <c r="M4" t="s">
        <v>256</v>
      </c>
    </row>
    <row r="5" spans="1:13" x14ac:dyDescent="0.25">
      <c r="A5" t="s">
        <v>283</v>
      </c>
      <c r="B5">
        <v>410</v>
      </c>
      <c r="C5">
        <v>86</v>
      </c>
      <c r="D5">
        <v>324</v>
      </c>
      <c r="E5">
        <v>2255</v>
      </c>
      <c r="F5">
        <v>6</v>
      </c>
      <c r="G5">
        <v>7</v>
      </c>
      <c r="H5">
        <v>10</v>
      </c>
      <c r="I5">
        <v>75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284</v>
      </c>
      <c r="B6">
        <v>654</v>
      </c>
      <c r="C6">
        <v>155</v>
      </c>
      <c r="D6">
        <v>499</v>
      </c>
      <c r="E6">
        <v>3660</v>
      </c>
      <c r="F6">
        <v>23</v>
      </c>
      <c r="G6">
        <v>40</v>
      </c>
      <c r="H6">
        <v>29</v>
      </c>
      <c r="I6">
        <v>283</v>
      </c>
      <c r="J6">
        <v>3</v>
      </c>
      <c r="K6">
        <v>27</v>
      </c>
      <c r="L6">
        <v>0</v>
      </c>
      <c r="M6">
        <v>0</v>
      </c>
    </row>
    <row r="7" spans="1:13" x14ac:dyDescent="0.25">
      <c r="A7" t="s">
        <v>285</v>
      </c>
      <c r="B7">
        <v>407</v>
      </c>
      <c r="C7">
        <v>66</v>
      </c>
      <c r="D7">
        <v>341</v>
      </c>
      <c r="E7">
        <v>3013</v>
      </c>
      <c r="F7">
        <v>47</v>
      </c>
      <c r="G7">
        <v>77</v>
      </c>
      <c r="H7">
        <v>82</v>
      </c>
      <c r="I7">
        <v>675</v>
      </c>
      <c r="J7">
        <v>5</v>
      </c>
      <c r="K7">
        <v>27</v>
      </c>
      <c r="L7">
        <v>2</v>
      </c>
      <c r="M7">
        <v>42</v>
      </c>
    </row>
    <row r="8" spans="1:13" x14ac:dyDescent="0.25">
      <c r="A8" t="s">
        <v>286</v>
      </c>
      <c r="B8">
        <v>279</v>
      </c>
      <c r="C8">
        <v>48</v>
      </c>
      <c r="D8">
        <v>231</v>
      </c>
      <c r="E8">
        <v>1695</v>
      </c>
      <c r="F8">
        <v>9</v>
      </c>
      <c r="G8">
        <v>17</v>
      </c>
      <c r="H8">
        <v>27</v>
      </c>
      <c r="I8">
        <v>215</v>
      </c>
      <c r="J8">
        <v>7</v>
      </c>
      <c r="K8">
        <v>32</v>
      </c>
      <c r="L8">
        <v>0</v>
      </c>
      <c r="M8">
        <v>0</v>
      </c>
    </row>
    <row r="9" spans="1:13" x14ac:dyDescent="0.25">
      <c r="A9" t="s">
        <v>287</v>
      </c>
      <c r="B9">
        <v>316</v>
      </c>
      <c r="C9">
        <v>49</v>
      </c>
      <c r="D9">
        <v>267</v>
      </c>
      <c r="E9">
        <v>2204</v>
      </c>
      <c r="F9">
        <v>15</v>
      </c>
      <c r="G9">
        <v>19</v>
      </c>
      <c r="H9">
        <v>28</v>
      </c>
      <c r="I9">
        <v>244</v>
      </c>
      <c r="J9">
        <v>1</v>
      </c>
      <c r="K9">
        <v>5</v>
      </c>
      <c r="L9">
        <v>1</v>
      </c>
      <c r="M9">
        <v>15</v>
      </c>
    </row>
    <row r="10" spans="1:13" x14ac:dyDescent="0.25">
      <c r="A10" t="s">
        <v>288</v>
      </c>
      <c r="B10">
        <v>494</v>
      </c>
      <c r="C10">
        <v>88</v>
      </c>
      <c r="D10">
        <v>406</v>
      </c>
      <c r="E10">
        <v>2602</v>
      </c>
      <c r="F10">
        <v>24</v>
      </c>
      <c r="G10">
        <v>31</v>
      </c>
      <c r="H10">
        <v>47</v>
      </c>
      <c r="I10">
        <v>325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289</v>
      </c>
      <c r="B11">
        <v>300</v>
      </c>
      <c r="C11">
        <v>61</v>
      </c>
      <c r="D11">
        <v>239</v>
      </c>
      <c r="E11">
        <v>1745</v>
      </c>
      <c r="F11">
        <v>107</v>
      </c>
      <c r="G11">
        <v>138</v>
      </c>
      <c r="H11">
        <v>153</v>
      </c>
      <c r="I11">
        <v>1282</v>
      </c>
      <c r="J11">
        <v>35</v>
      </c>
      <c r="K11">
        <v>185</v>
      </c>
      <c r="L11">
        <v>1</v>
      </c>
      <c r="M11">
        <v>13</v>
      </c>
    </row>
    <row r="12" spans="1:13" x14ac:dyDescent="0.25">
      <c r="A12" t="s">
        <v>290</v>
      </c>
      <c r="B12">
        <v>373</v>
      </c>
      <c r="C12">
        <v>79</v>
      </c>
      <c r="D12">
        <v>496</v>
      </c>
      <c r="E12">
        <v>3420</v>
      </c>
      <c r="F12">
        <v>69</v>
      </c>
      <c r="G12">
        <v>139</v>
      </c>
      <c r="H12">
        <v>114</v>
      </c>
      <c r="I12">
        <v>1267</v>
      </c>
      <c r="J12">
        <v>18</v>
      </c>
      <c r="K12">
        <v>117</v>
      </c>
      <c r="L12">
        <v>4</v>
      </c>
      <c r="M12">
        <v>80</v>
      </c>
    </row>
    <row r="13" spans="1:13" x14ac:dyDescent="0.25">
      <c r="A13" t="s">
        <v>291</v>
      </c>
      <c r="B13">
        <v>22</v>
      </c>
      <c r="C13">
        <v>6</v>
      </c>
      <c r="D13">
        <v>16</v>
      </c>
      <c r="E13">
        <v>115</v>
      </c>
      <c r="F13">
        <v>5</v>
      </c>
      <c r="G13">
        <v>9</v>
      </c>
      <c r="H13">
        <v>5</v>
      </c>
      <c r="I13">
        <v>45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292</v>
      </c>
      <c r="B14">
        <v>121</v>
      </c>
      <c r="C14">
        <v>23</v>
      </c>
      <c r="D14">
        <v>98</v>
      </c>
      <c r="E14">
        <v>583</v>
      </c>
      <c r="F14">
        <v>2</v>
      </c>
      <c r="G14">
        <v>2</v>
      </c>
      <c r="H14">
        <v>3</v>
      </c>
      <c r="I14">
        <v>19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293</v>
      </c>
      <c r="B15">
        <v>285</v>
      </c>
      <c r="C15">
        <v>52</v>
      </c>
      <c r="D15">
        <v>233</v>
      </c>
      <c r="E15">
        <v>1702</v>
      </c>
      <c r="F15">
        <v>16</v>
      </c>
      <c r="G15">
        <v>28</v>
      </c>
      <c r="H15">
        <v>27</v>
      </c>
      <c r="I15">
        <v>213</v>
      </c>
      <c r="J15">
        <v>4</v>
      </c>
      <c r="K15">
        <v>18</v>
      </c>
      <c r="L15">
        <v>1</v>
      </c>
      <c r="M15">
        <v>25</v>
      </c>
    </row>
    <row r="16" spans="1:13" x14ac:dyDescent="0.25">
      <c r="A16" t="s">
        <v>294</v>
      </c>
      <c r="B16">
        <v>88</v>
      </c>
      <c r="C16">
        <v>11</v>
      </c>
      <c r="D16">
        <v>77</v>
      </c>
      <c r="E16">
        <v>562</v>
      </c>
      <c r="F16">
        <v>1</v>
      </c>
      <c r="G16">
        <v>1</v>
      </c>
      <c r="H16">
        <v>1</v>
      </c>
      <c r="I16">
        <v>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295</v>
      </c>
      <c r="B17">
        <v>219</v>
      </c>
      <c r="C17">
        <v>28</v>
      </c>
      <c r="D17">
        <v>191</v>
      </c>
      <c r="E17">
        <v>1304</v>
      </c>
      <c r="F17">
        <v>3</v>
      </c>
      <c r="G17">
        <v>3</v>
      </c>
      <c r="H17">
        <v>1</v>
      </c>
      <c r="I17">
        <v>10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296</v>
      </c>
      <c r="B18">
        <v>48</v>
      </c>
      <c r="C18">
        <v>8</v>
      </c>
      <c r="D18">
        <v>40</v>
      </c>
      <c r="E18">
        <v>278</v>
      </c>
      <c r="F18">
        <v>1</v>
      </c>
      <c r="G18">
        <v>1</v>
      </c>
      <c r="H18">
        <v>1</v>
      </c>
      <c r="I18">
        <v>11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297</v>
      </c>
      <c r="B19">
        <v>164</v>
      </c>
      <c r="C19">
        <v>52</v>
      </c>
      <c r="D19">
        <v>112</v>
      </c>
      <c r="E19">
        <v>1761</v>
      </c>
      <c r="F19">
        <v>32</v>
      </c>
      <c r="G19">
        <v>39</v>
      </c>
      <c r="H19">
        <v>44</v>
      </c>
      <c r="I19">
        <v>527</v>
      </c>
      <c r="J19">
        <v>4</v>
      </c>
      <c r="K19">
        <v>38</v>
      </c>
      <c r="L19">
        <v>1</v>
      </c>
      <c r="M19">
        <v>17</v>
      </c>
    </row>
    <row r="20" spans="1:13" x14ac:dyDescent="0.25">
      <c r="A20" t="s">
        <v>298</v>
      </c>
      <c r="B20">
        <v>72</v>
      </c>
      <c r="C20">
        <v>13</v>
      </c>
      <c r="D20">
        <v>59</v>
      </c>
      <c r="E20">
        <v>618</v>
      </c>
      <c r="F20">
        <v>7</v>
      </c>
      <c r="G20">
        <v>8</v>
      </c>
      <c r="H20">
        <v>6</v>
      </c>
      <c r="I20">
        <v>75</v>
      </c>
      <c r="J20">
        <v>2</v>
      </c>
      <c r="K20">
        <v>12</v>
      </c>
      <c r="L20">
        <v>0</v>
      </c>
      <c r="M20">
        <v>0</v>
      </c>
    </row>
    <row r="21" spans="1:13" x14ac:dyDescent="0.25">
      <c r="A21" t="s">
        <v>299</v>
      </c>
      <c r="B21">
        <v>229</v>
      </c>
      <c r="C21">
        <v>34</v>
      </c>
      <c r="D21">
        <v>195</v>
      </c>
      <c r="E21">
        <v>1257</v>
      </c>
      <c r="F21">
        <v>0</v>
      </c>
      <c r="G21">
        <v>0</v>
      </c>
      <c r="H21">
        <v>2</v>
      </c>
      <c r="I21">
        <v>9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300</v>
      </c>
      <c r="B22">
        <v>547</v>
      </c>
      <c r="C22">
        <v>98</v>
      </c>
      <c r="D22">
        <v>449</v>
      </c>
      <c r="E22">
        <v>3444</v>
      </c>
      <c r="F22">
        <v>96</v>
      </c>
      <c r="G22">
        <v>138</v>
      </c>
      <c r="H22">
        <v>137</v>
      </c>
      <c r="I22">
        <v>1094</v>
      </c>
      <c r="J22">
        <v>13</v>
      </c>
      <c r="K22">
        <v>90</v>
      </c>
      <c r="L22">
        <v>1</v>
      </c>
      <c r="M22">
        <v>37</v>
      </c>
    </row>
    <row r="23" spans="1:13" x14ac:dyDescent="0.25">
      <c r="A23" t="s">
        <v>301</v>
      </c>
      <c r="B23">
        <v>306</v>
      </c>
      <c r="C23">
        <v>50</v>
      </c>
      <c r="D23">
        <v>256</v>
      </c>
      <c r="E23">
        <v>1688</v>
      </c>
      <c r="F23">
        <v>4</v>
      </c>
      <c r="G23">
        <v>5</v>
      </c>
      <c r="H23">
        <v>5</v>
      </c>
      <c r="I23">
        <v>36</v>
      </c>
      <c r="J23">
        <v>1</v>
      </c>
      <c r="K23">
        <v>12</v>
      </c>
      <c r="L23">
        <v>0</v>
      </c>
      <c r="M23">
        <v>0</v>
      </c>
    </row>
    <row r="24" spans="1:13" x14ac:dyDescent="0.25">
      <c r="A24" t="s">
        <v>302</v>
      </c>
      <c r="B24">
        <v>226</v>
      </c>
      <c r="C24">
        <v>38</v>
      </c>
      <c r="D24">
        <v>188</v>
      </c>
      <c r="E24">
        <v>1112</v>
      </c>
      <c r="F24">
        <v>1</v>
      </c>
      <c r="G24">
        <v>1</v>
      </c>
      <c r="H24">
        <v>4</v>
      </c>
      <c r="I24">
        <v>16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303</v>
      </c>
      <c r="B25">
        <v>522</v>
      </c>
      <c r="C25">
        <v>84</v>
      </c>
      <c r="D25">
        <v>438</v>
      </c>
      <c r="E25">
        <v>3454</v>
      </c>
      <c r="F25">
        <v>18</v>
      </c>
      <c r="G25">
        <v>33</v>
      </c>
      <c r="H25">
        <v>21</v>
      </c>
      <c r="I25">
        <v>190</v>
      </c>
      <c r="J25">
        <v>1</v>
      </c>
      <c r="K25">
        <v>22</v>
      </c>
      <c r="L25">
        <v>1</v>
      </c>
      <c r="M25">
        <v>9</v>
      </c>
    </row>
    <row r="26" spans="1:13" x14ac:dyDescent="0.25">
      <c r="A26" t="s">
        <v>304</v>
      </c>
      <c r="B26">
        <v>174</v>
      </c>
      <c r="C26">
        <v>23</v>
      </c>
      <c r="D26">
        <v>151</v>
      </c>
      <c r="E26">
        <v>1266</v>
      </c>
      <c r="F26">
        <v>1</v>
      </c>
      <c r="G26">
        <v>10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305</v>
      </c>
      <c r="B27">
        <v>262</v>
      </c>
      <c r="C27">
        <v>40</v>
      </c>
      <c r="D27">
        <v>222</v>
      </c>
      <c r="E27">
        <v>1707</v>
      </c>
      <c r="F27">
        <v>27</v>
      </c>
      <c r="G27">
        <v>36</v>
      </c>
      <c r="H27">
        <v>61</v>
      </c>
      <c r="I27">
        <v>441</v>
      </c>
      <c r="J27">
        <v>1</v>
      </c>
      <c r="K27">
        <v>7</v>
      </c>
      <c r="L27">
        <v>0</v>
      </c>
      <c r="M27">
        <v>0</v>
      </c>
    </row>
    <row r="28" spans="1:13" x14ac:dyDescent="0.25">
      <c r="A28" t="s">
        <v>306</v>
      </c>
      <c r="B28">
        <v>382</v>
      </c>
      <c r="C28">
        <v>79</v>
      </c>
      <c r="D28">
        <v>303</v>
      </c>
      <c r="E28">
        <v>2585</v>
      </c>
      <c r="F28">
        <v>80</v>
      </c>
      <c r="G28">
        <v>120</v>
      </c>
      <c r="H28">
        <v>117</v>
      </c>
      <c r="I28">
        <v>1017</v>
      </c>
      <c r="J28">
        <v>18</v>
      </c>
      <c r="K28">
        <v>100</v>
      </c>
      <c r="L28">
        <v>2</v>
      </c>
      <c r="M28">
        <v>47</v>
      </c>
    </row>
    <row r="29" spans="1:13" x14ac:dyDescent="0.25">
      <c r="A29" t="s">
        <v>307</v>
      </c>
      <c r="B29">
        <v>406</v>
      </c>
      <c r="C29">
        <v>71</v>
      </c>
      <c r="D29">
        <v>335</v>
      </c>
      <c r="E29">
        <v>2451</v>
      </c>
      <c r="F29">
        <v>25</v>
      </c>
      <c r="G29">
        <v>66</v>
      </c>
      <c r="H29">
        <v>46</v>
      </c>
      <c r="I29">
        <v>325</v>
      </c>
      <c r="J29">
        <v>3</v>
      </c>
      <c r="K29">
        <v>16</v>
      </c>
      <c r="L29">
        <v>2</v>
      </c>
      <c r="M29">
        <v>36</v>
      </c>
    </row>
    <row r="30" spans="1:13" x14ac:dyDescent="0.25">
      <c r="A30" t="s">
        <v>266</v>
      </c>
      <c r="B30">
        <v>7306</v>
      </c>
      <c r="C30">
        <v>1342</v>
      </c>
      <c r="D30">
        <v>6166</v>
      </c>
      <c r="E30">
        <v>46481</v>
      </c>
      <c r="F30">
        <v>619</v>
      </c>
      <c r="G30">
        <v>968</v>
      </c>
      <c r="H30">
        <v>972</v>
      </c>
      <c r="I30">
        <v>8406</v>
      </c>
      <c r="J30">
        <v>118</v>
      </c>
      <c r="K30">
        <v>720</v>
      </c>
      <c r="L30">
        <v>16</v>
      </c>
      <c r="M30">
        <v>321</v>
      </c>
    </row>
    <row r="31" spans="1:13" x14ac:dyDescent="0.25">
      <c r="A31" t="s">
        <v>308</v>
      </c>
      <c r="B31">
        <v>684</v>
      </c>
      <c r="C31">
        <v>159</v>
      </c>
      <c r="D31">
        <v>534</v>
      </c>
      <c r="E31">
        <v>5684</v>
      </c>
      <c r="F31">
        <v>67</v>
      </c>
      <c r="G31">
        <v>96</v>
      </c>
      <c r="H31">
        <v>93</v>
      </c>
      <c r="I31">
        <v>994</v>
      </c>
      <c r="J31">
        <v>9</v>
      </c>
      <c r="K31">
        <v>80</v>
      </c>
      <c r="L31">
        <v>2</v>
      </c>
      <c r="M31">
        <v>35</v>
      </c>
    </row>
    <row r="32" spans="1:13" x14ac:dyDescent="0.25">
      <c r="A32" t="s">
        <v>309</v>
      </c>
      <c r="B32">
        <v>6622</v>
      </c>
      <c r="C32">
        <v>1183</v>
      </c>
      <c r="D32">
        <v>5632</v>
      </c>
      <c r="E32">
        <v>40797</v>
      </c>
      <c r="F32">
        <v>552</v>
      </c>
      <c r="G32">
        <v>872</v>
      </c>
      <c r="H32">
        <v>879</v>
      </c>
      <c r="I32">
        <v>7412</v>
      </c>
      <c r="J32">
        <v>109</v>
      </c>
      <c r="K32">
        <v>640</v>
      </c>
      <c r="L32">
        <v>14</v>
      </c>
      <c r="M32">
        <v>286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tabColor rgb="FF70AD47"/>
  </sheetPr>
  <dimension ref="A1:P31"/>
  <sheetViews>
    <sheetView workbookViewId="0"/>
  </sheetViews>
  <sheetFormatPr defaultRowHeight="15" x14ac:dyDescent="0.25"/>
  <cols>
    <col min="1" max="1" width="14.5703125" customWidth="1"/>
    <col min="2" max="2" width="8" customWidth="1"/>
    <col min="3" max="3" width="7.85546875" customWidth="1"/>
    <col min="4" max="4" width="7.28515625" customWidth="1"/>
    <col min="5" max="5" width="7.7109375" customWidth="1"/>
    <col min="6" max="6" width="7.85546875" customWidth="1"/>
    <col min="8" max="8" width="7.5703125" customWidth="1"/>
    <col min="9" max="9" width="8.5703125" customWidth="1"/>
    <col min="10" max="10" width="8.7109375" customWidth="1"/>
    <col min="11" max="11" width="7.140625" customWidth="1"/>
    <col min="12" max="12" width="8.7109375" customWidth="1"/>
    <col min="13" max="13" width="9.140625" customWidth="1"/>
    <col min="14" max="14" width="8.7109375" customWidth="1"/>
    <col min="15" max="15" width="7.140625" customWidth="1"/>
  </cols>
  <sheetData>
    <row r="1" spans="1:16" x14ac:dyDescent="0.25">
      <c r="A1" s="29" t="s">
        <v>357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709</v>
      </c>
      <c r="B2" s="29" t="s">
        <v>358</v>
      </c>
      <c r="C2" s="29"/>
      <c r="D2" s="29"/>
      <c r="E2" s="29"/>
      <c r="F2" t="s">
        <v>359</v>
      </c>
      <c r="G2" t="s">
        <v>360</v>
      </c>
      <c r="H2" t="s">
        <v>261</v>
      </c>
      <c r="I2" t="s">
        <v>361</v>
      </c>
      <c r="J2" s="29" t="s">
        <v>362</v>
      </c>
      <c r="K2" s="29"/>
      <c r="L2" s="29" t="s">
        <v>363</v>
      </c>
      <c r="M2" s="29"/>
      <c r="N2" s="29"/>
      <c r="O2" s="29"/>
    </row>
    <row r="3" spans="1:16" x14ac:dyDescent="0.25">
      <c r="A3" s="29"/>
      <c r="B3" t="s">
        <v>364</v>
      </c>
      <c r="C3" t="s">
        <v>346</v>
      </c>
      <c r="D3" t="s">
        <v>365</v>
      </c>
      <c r="E3" t="s">
        <v>366</v>
      </c>
      <c r="F3" t="s">
        <v>261</v>
      </c>
      <c r="G3" t="s">
        <v>261</v>
      </c>
      <c r="H3" t="s">
        <v>262</v>
      </c>
      <c r="I3" t="s">
        <v>364</v>
      </c>
      <c r="J3" t="s">
        <v>367</v>
      </c>
      <c r="K3" t="s">
        <v>368</v>
      </c>
      <c r="L3" t="s">
        <v>369</v>
      </c>
      <c r="M3" t="s">
        <v>370</v>
      </c>
      <c r="N3" t="s">
        <v>371</v>
      </c>
      <c r="O3" t="s">
        <v>265</v>
      </c>
    </row>
    <row r="4" spans="1:16" x14ac:dyDescent="0.25">
      <c r="A4" t="s">
        <v>283</v>
      </c>
      <c r="B4">
        <v>328</v>
      </c>
      <c r="C4">
        <v>410</v>
      </c>
      <c r="D4">
        <v>54</v>
      </c>
      <c r="E4">
        <v>30</v>
      </c>
      <c r="F4">
        <v>255</v>
      </c>
      <c r="G4">
        <v>0</v>
      </c>
      <c r="H4">
        <v>17</v>
      </c>
      <c r="I4">
        <v>307</v>
      </c>
      <c r="J4">
        <v>520</v>
      </c>
      <c r="K4">
        <v>366</v>
      </c>
      <c r="L4">
        <v>46</v>
      </c>
      <c r="M4">
        <v>23.5</v>
      </c>
      <c r="N4">
        <v>577</v>
      </c>
      <c r="O4">
        <v>106</v>
      </c>
    </row>
    <row r="5" spans="1:16" x14ac:dyDescent="0.25">
      <c r="A5" t="s">
        <v>284</v>
      </c>
      <c r="B5">
        <v>389</v>
      </c>
      <c r="C5">
        <v>654</v>
      </c>
      <c r="D5">
        <v>98</v>
      </c>
      <c r="E5">
        <v>29</v>
      </c>
      <c r="F5">
        <v>571</v>
      </c>
      <c r="G5">
        <v>5</v>
      </c>
      <c r="H5">
        <v>55</v>
      </c>
      <c r="I5">
        <v>363</v>
      </c>
      <c r="J5">
        <v>787</v>
      </c>
      <c r="K5">
        <v>373</v>
      </c>
      <c r="L5">
        <v>42.7</v>
      </c>
      <c r="M5">
        <v>22.8</v>
      </c>
      <c r="N5">
        <v>935</v>
      </c>
      <c r="O5">
        <v>250</v>
      </c>
    </row>
    <row r="6" spans="1:16" x14ac:dyDescent="0.25">
      <c r="A6" t="s">
        <v>285</v>
      </c>
      <c r="B6">
        <v>289</v>
      </c>
      <c r="C6">
        <v>407</v>
      </c>
      <c r="D6">
        <v>81</v>
      </c>
      <c r="E6">
        <v>43</v>
      </c>
      <c r="F6">
        <v>313</v>
      </c>
      <c r="G6">
        <v>0</v>
      </c>
      <c r="H6">
        <v>136</v>
      </c>
      <c r="I6">
        <v>283</v>
      </c>
      <c r="J6">
        <v>379</v>
      </c>
      <c r="K6">
        <v>349</v>
      </c>
      <c r="L6">
        <v>46.1</v>
      </c>
      <c r="M6">
        <v>27.3</v>
      </c>
      <c r="N6">
        <v>501</v>
      </c>
      <c r="O6">
        <v>113</v>
      </c>
    </row>
    <row r="7" spans="1:16" x14ac:dyDescent="0.25">
      <c r="A7" t="s">
        <v>286</v>
      </c>
      <c r="B7">
        <v>115</v>
      </c>
      <c r="C7">
        <v>279</v>
      </c>
      <c r="D7">
        <v>62</v>
      </c>
      <c r="E7">
        <v>16</v>
      </c>
      <c r="F7">
        <v>185</v>
      </c>
      <c r="G7">
        <v>4</v>
      </c>
      <c r="H7">
        <v>43</v>
      </c>
      <c r="I7">
        <v>97</v>
      </c>
      <c r="J7">
        <v>298</v>
      </c>
      <c r="K7">
        <v>97</v>
      </c>
      <c r="L7">
        <v>42</v>
      </c>
      <c r="M7">
        <v>23.3</v>
      </c>
      <c r="N7">
        <v>381</v>
      </c>
      <c r="O7">
        <v>77</v>
      </c>
    </row>
    <row r="8" spans="1:16" x14ac:dyDescent="0.25">
      <c r="A8" t="s">
        <v>287</v>
      </c>
      <c r="B8">
        <v>218</v>
      </c>
      <c r="C8">
        <v>316</v>
      </c>
      <c r="D8">
        <v>72</v>
      </c>
      <c r="E8">
        <v>25</v>
      </c>
      <c r="F8">
        <v>232</v>
      </c>
      <c r="G8">
        <v>0</v>
      </c>
      <c r="H8">
        <v>45</v>
      </c>
      <c r="I8">
        <v>214</v>
      </c>
      <c r="J8">
        <v>318</v>
      </c>
      <c r="K8">
        <v>219</v>
      </c>
      <c r="L8">
        <v>43.5</v>
      </c>
      <c r="M8">
        <v>23.6</v>
      </c>
      <c r="N8">
        <v>456</v>
      </c>
      <c r="O8">
        <v>53</v>
      </c>
    </row>
    <row r="9" spans="1:16" x14ac:dyDescent="0.25">
      <c r="A9" t="s">
        <v>288</v>
      </c>
      <c r="B9">
        <v>214</v>
      </c>
      <c r="C9">
        <v>494</v>
      </c>
      <c r="D9">
        <v>67</v>
      </c>
      <c r="E9">
        <v>25</v>
      </c>
      <c r="F9">
        <v>315</v>
      </c>
      <c r="G9">
        <v>6</v>
      </c>
      <c r="H9">
        <v>71</v>
      </c>
      <c r="I9">
        <v>214</v>
      </c>
      <c r="J9">
        <v>485</v>
      </c>
      <c r="K9">
        <v>237</v>
      </c>
      <c r="L9">
        <v>35.299999999999997</v>
      </c>
      <c r="M9">
        <v>22.2</v>
      </c>
      <c r="N9">
        <v>607</v>
      </c>
      <c r="O9">
        <v>153</v>
      </c>
    </row>
    <row r="10" spans="1:16" x14ac:dyDescent="0.25">
      <c r="A10" t="s">
        <v>289</v>
      </c>
      <c r="B10">
        <v>202</v>
      </c>
      <c r="C10">
        <v>310</v>
      </c>
      <c r="D10">
        <v>76</v>
      </c>
      <c r="E10">
        <v>24</v>
      </c>
      <c r="F10">
        <v>171</v>
      </c>
      <c r="G10">
        <v>0</v>
      </c>
      <c r="H10">
        <v>296</v>
      </c>
      <c r="I10">
        <v>197</v>
      </c>
      <c r="J10">
        <v>406</v>
      </c>
      <c r="K10">
        <v>194</v>
      </c>
      <c r="L10">
        <v>45.1</v>
      </c>
      <c r="M10">
        <v>26.3</v>
      </c>
      <c r="N10">
        <v>508</v>
      </c>
      <c r="O10">
        <v>33</v>
      </c>
    </row>
    <row r="11" spans="1:16" x14ac:dyDescent="0.25">
      <c r="A11" t="s">
        <v>290</v>
      </c>
      <c r="B11">
        <v>248</v>
      </c>
      <c r="C11">
        <v>373</v>
      </c>
      <c r="D11">
        <v>100</v>
      </c>
      <c r="E11">
        <v>40</v>
      </c>
      <c r="F11">
        <v>309</v>
      </c>
      <c r="G11">
        <v>0</v>
      </c>
      <c r="H11">
        <v>205</v>
      </c>
      <c r="I11">
        <v>219</v>
      </c>
      <c r="J11">
        <v>279</v>
      </c>
      <c r="K11">
        <v>233</v>
      </c>
      <c r="L11">
        <v>45.7</v>
      </c>
      <c r="M11">
        <v>27.1</v>
      </c>
      <c r="N11">
        <v>534</v>
      </c>
      <c r="O11">
        <v>134</v>
      </c>
    </row>
    <row r="12" spans="1:16" x14ac:dyDescent="0.25">
      <c r="A12" t="s">
        <v>291</v>
      </c>
      <c r="B12">
        <v>22</v>
      </c>
      <c r="C12">
        <v>22</v>
      </c>
      <c r="D12">
        <v>4</v>
      </c>
      <c r="E12">
        <v>2</v>
      </c>
      <c r="F12">
        <v>10</v>
      </c>
      <c r="G12">
        <v>0</v>
      </c>
      <c r="H12">
        <v>10</v>
      </c>
      <c r="I12">
        <v>22</v>
      </c>
      <c r="J12">
        <v>29</v>
      </c>
      <c r="K12">
        <v>22</v>
      </c>
      <c r="L12">
        <v>44.4</v>
      </c>
      <c r="M12">
        <v>23.6</v>
      </c>
      <c r="N12">
        <v>42</v>
      </c>
      <c r="O12">
        <v>4</v>
      </c>
    </row>
    <row r="13" spans="1:16" x14ac:dyDescent="0.25">
      <c r="A13" t="s">
        <v>292</v>
      </c>
      <c r="B13">
        <v>71</v>
      </c>
      <c r="C13">
        <v>121</v>
      </c>
      <c r="D13">
        <v>19</v>
      </c>
      <c r="E13">
        <v>12</v>
      </c>
      <c r="F13">
        <v>71</v>
      </c>
      <c r="G13">
        <v>0</v>
      </c>
      <c r="H13">
        <v>5</v>
      </c>
      <c r="I13">
        <v>71</v>
      </c>
      <c r="J13">
        <v>154</v>
      </c>
      <c r="K13">
        <v>94</v>
      </c>
      <c r="L13">
        <v>37.799999999999997</v>
      </c>
      <c r="M13">
        <v>18.3</v>
      </c>
      <c r="N13">
        <v>175</v>
      </c>
      <c r="O13">
        <v>14</v>
      </c>
    </row>
    <row r="14" spans="1:16" x14ac:dyDescent="0.25">
      <c r="A14" t="s">
        <v>293</v>
      </c>
      <c r="B14">
        <v>106</v>
      </c>
      <c r="C14">
        <v>285</v>
      </c>
      <c r="D14">
        <v>42</v>
      </c>
      <c r="E14">
        <v>13</v>
      </c>
      <c r="F14">
        <v>205</v>
      </c>
      <c r="G14">
        <v>0</v>
      </c>
      <c r="H14">
        <v>48</v>
      </c>
      <c r="I14">
        <v>97</v>
      </c>
      <c r="J14">
        <v>274</v>
      </c>
      <c r="K14">
        <v>157</v>
      </c>
      <c r="L14">
        <v>41.2</v>
      </c>
      <c r="M14">
        <v>21.9</v>
      </c>
      <c r="N14">
        <v>276</v>
      </c>
      <c r="O14">
        <v>85</v>
      </c>
    </row>
    <row r="15" spans="1:16" x14ac:dyDescent="0.25">
      <c r="A15" t="s">
        <v>294</v>
      </c>
      <c r="B15">
        <v>30</v>
      </c>
      <c r="C15">
        <v>88</v>
      </c>
      <c r="D15">
        <v>8</v>
      </c>
      <c r="E15">
        <v>6</v>
      </c>
      <c r="F15">
        <v>49</v>
      </c>
      <c r="G15">
        <v>0</v>
      </c>
      <c r="H15">
        <v>2</v>
      </c>
      <c r="I15">
        <v>26</v>
      </c>
      <c r="J15">
        <v>109</v>
      </c>
      <c r="K15">
        <v>31</v>
      </c>
      <c r="L15">
        <v>36.299999999999997</v>
      </c>
      <c r="M15">
        <v>17.7</v>
      </c>
      <c r="N15">
        <v>69</v>
      </c>
      <c r="O15">
        <v>29</v>
      </c>
    </row>
    <row r="16" spans="1:16" x14ac:dyDescent="0.25">
      <c r="A16" t="s">
        <v>295</v>
      </c>
      <c r="B16">
        <v>108</v>
      </c>
      <c r="C16">
        <v>219</v>
      </c>
      <c r="D16">
        <v>30</v>
      </c>
      <c r="E16">
        <v>9</v>
      </c>
      <c r="F16">
        <v>91</v>
      </c>
      <c r="G16">
        <v>0</v>
      </c>
      <c r="H16">
        <v>4</v>
      </c>
      <c r="I16">
        <v>108</v>
      </c>
      <c r="J16">
        <v>212</v>
      </c>
      <c r="K16">
        <v>133</v>
      </c>
      <c r="L16">
        <v>39.6</v>
      </c>
      <c r="M16">
        <v>18.7</v>
      </c>
      <c r="N16">
        <v>220</v>
      </c>
      <c r="O16">
        <v>22</v>
      </c>
    </row>
    <row r="17" spans="1:15" x14ac:dyDescent="0.25">
      <c r="A17" t="s">
        <v>296</v>
      </c>
      <c r="B17">
        <v>25</v>
      </c>
      <c r="C17">
        <v>48</v>
      </c>
      <c r="D17">
        <v>7</v>
      </c>
      <c r="E17">
        <v>2</v>
      </c>
      <c r="F17">
        <v>29</v>
      </c>
      <c r="G17">
        <v>0</v>
      </c>
      <c r="H17">
        <v>2</v>
      </c>
      <c r="I17">
        <v>23</v>
      </c>
      <c r="J17">
        <v>60</v>
      </c>
      <c r="K17">
        <v>30</v>
      </c>
      <c r="L17">
        <v>40</v>
      </c>
      <c r="M17">
        <v>20.2</v>
      </c>
      <c r="N17">
        <v>68</v>
      </c>
      <c r="O17">
        <v>16</v>
      </c>
    </row>
    <row r="18" spans="1:15" x14ac:dyDescent="0.25">
      <c r="A18" t="s">
        <v>297</v>
      </c>
      <c r="B18">
        <v>148</v>
      </c>
      <c r="C18">
        <v>164</v>
      </c>
      <c r="D18">
        <v>27</v>
      </c>
      <c r="E18">
        <v>41</v>
      </c>
      <c r="F18">
        <v>158</v>
      </c>
      <c r="G18">
        <v>0</v>
      </c>
      <c r="H18">
        <v>81</v>
      </c>
      <c r="I18">
        <v>128</v>
      </c>
      <c r="J18">
        <v>103</v>
      </c>
      <c r="K18">
        <v>137</v>
      </c>
      <c r="L18">
        <v>47.6</v>
      </c>
      <c r="M18">
        <v>28.8</v>
      </c>
      <c r="N18">
        <v>318</v>
      </c>
      <c r="O18">
        <v>63</v>
      </c>
    </row>
    <row r="19" spans="1:15" x14ac:dyDescent="0.25">
      <c r="A19" t="s">
        <v>298</v>
      </c>
      <c r="B19">
        <v>60</v>
      </c>
      <c r="C19">
        <v>72</v>
      </c>
      <c r="D19">
        <v>18</v>
      </c>
      <c r="E19">
        <v>9</v>
      </c>
      <c r="F19">
        <v>60</v>
      </c>
      <c r="G19">
        <v>0</v>
      </c>
      <c r="H19">
        <v>15</v>
      </c>
      <c r="I19">
        <v>59</v>
      </c>
      <c r="J19">
        <v>81</v>
      </c>
      <c r="K19">
        <v>54</v>
      </c>
      <c r="L19">
        <v>42.5</v>
      </c>
      <c r="M19">
        <v>23.5</v>
      </c>
      <c r="N19">
        <v>138</v>
      </c>
      <c r="O19">
        <v>21</v>
      </c>
    </row>
    <row r="20" spans="1:15" x14ac:dyDescent="0.25">
      <c r="A20" t="s">
        <v>299</v>
      </c>
      <c r="B20">
        <v>116</v>
      </c>
      <c r="C20">
        <v>229</v>
      </c>
      <c r="D20">
        <v>48</v>
      </c>
      <c r="E20">
        <v>18</v>
      </c>
      <c r="F20">
        <v>51</v>
      </c>
      <c r="G20">
        <v>0</v>
      </c>
      <c r="H20">
        <v>2</v>
      </c>
      <c r="I20">
        <v>109</v>
      </c>
      <c r="J20">
        <v>266</v>
      </c>
      <c r="K20">
        <v>149</v>
      </c>
      <c r="L20">
        <v>37.5</v>
      </c>
      <c r="M20">
        <v>17.5</v>
      </c>
      <c r="N20">
        <v>270</v>
      </c>
      <c r="O20">
        <v>69</v>
      </c>
    </row>
    <row r="21" spans="1:15" x14ac:dyDescent="0.25">
      <c r="A21" t="s">
        <v>300</v>
      </c>
      <c r="B21">
        <v>399</v>
      </c>
      <c r="C21">
        <v>547</v>
      </c>
      <c r="D21">
        <v>93</v>
      </c>
      <c r="E21">
        <v>32</v>
      </c>
      <c r="F21">
        <v>453</v>
      </c>
      <c r="G21">
        <v>0</v>
      </c>
      <c r="H21">
        <v>247</v>
      </c>
      <c r="I21">
        <v>382</v>
      </c>
      <c r="J21">
        <v>628</v>
      </c>
      <c r="K21">
        <v>424</v>
      </c>
      <c r="L21">
        <v>45.3</v>
      </c>
      <c r="M21">
        <v>26.2</v>
      </c>
      <c r="N21">
        <v>689</v>
      </c>
      <c r="O21">
        <v>117</v>
      </c>
    </row>
    <row r="22" spans="1:15" x14ac:dyDescent="0.25">
      <c r="A22" t="s">
        <v>301</v>
      </c>
      <c r="B22">
        <v>185</v>
      </c>
      <c r="C22">
        <v>306</v>
      </c>
      <c r="D22">
        <v>44</v>
      </c>
      <c r="E22">
        <v>16</v>
      </c>
      <c r="F22">
        <v>208</v>
      </c>
      <c r="G22">
        <v>12</v>
      </c>
      <c r="H22">
        <v>10</v>
      </c>
      <c r="I22">
        <v>164</v>
      </c>
      <c r="J22">
        <v>419</v>
      </c>
      <c r="K22">
        <v>177</v>
      </c>
      <c r="L22">
        <v>43.1</v>
      </c>
      <c r="M22">
        <v>24.3</v>
      </c>
      <c r="N22">
        <v>401</v>
      </c>
      <c r="O22">
        <v>81</v>
      </c>
    </row>
    <row r="23" spans="1:15" x14ac:dyDescent="0.25">
      <c r="A23" t="s">
        <v>302</v>
      </c>
      <c r="B23">
        <v>68</v>
      </c>
      <c r="C23">
        <v>226</v>
      </c>
      <c r="D23">
        <v>22</v>
      </c>
      <c r="E23">
        <v>12</v>
      </c>
      <c r="F23">
        <v>132</v>
      </c>
      <c r="G23">
        <v>0</v>
      </c>
      <c r="H23">
        <v>6</v>
      </c>
      <c r="I23">
        <v>67</v>
      </c>
      <c r="J23">
        <v>195</v>
      </c>
      <c r="K23">
        <v>106</v>
      </c>
      <c r="L23">
        <v>34.799999999999997</v>
      </c>
      <c r="M23">
        <v>15.1</v>
      </c>
      <c r="N23">
        <v>225</v>
      </c>
      <c r="O23">
        <v>39</v>
      </c>
    </row>
    <row r="24" spans="1:15" x14ac:dyDescent="0.25">
      <c r="A24" t="s">
        <v>303</v>
      </c>
      <c r="B24">
        <v>463</v>
      </c>
      <c r="C24">
        <v>522</v>
      </c>
      <c r="D24">
        <v>80</v>
      </c>
      <c r="E24">
        <v>44</v>
      </c>
      <c r="F24">
        <v>379</v>
      </c>
      <c r="G24">
        <v>4</v>
      </c>
      <c r="H24">
        <v>41</v>
      </c>
      <c r="I24">
        <v>436</v>
      </c>
      <c r="J24">
        <v>663</v>
      </c>
      <c r="K24">
        <v>519</v>
      </c>
      <c r="L24">
        <v>39.799999999999997</v>
      </c>
      <c r="M24">
        <v>20.100000000000001</v>
      </c>
      <c r="N24">
        <v>773</v>
      </c>
      <c r="O24">
        <v>256</v>
      </c>
    </row>
    <row r="25" spans="1:15" x14ac:dyDescent="0.25">
      <c r="A25" t="s">
        <v>304</v>
      </c>
      <c r="B25">
        <v>46</v>
      </c>
      <c r="C25">
        <v>174</v>
      </c>
      <c r="D25">
        <v>30</v>
      </c>
      <c r="E25">
        <v>9</v>
      </c>
      <c r="F25">
        <v>117</v>
      </c>
      <c r="G25">
        <v>0</v>
      </c>
      <c r="H25">
        <v>2</v>
      </c>
      <c r="I25">
        <v>45</v>
      </c>
      <c r="J25">
        <v>186</v>
      </c>
      <c r="K25">
        <v>82</v>
      </c>
      <c r="L25">
        <v>36.799999999999997</v>
      </c>
      <c r="M25">
        <v>16.899999999999999</v>
      </c>
      <c r="N25">
        <v>159</v>
      </c>
      <c r="O25">
        <v>49</v>
      </c>
    </row>
    <row r="26" spans="1:15" x14ac:dyDescent="0.25">
      <c r="A26" t="s">
        <v>305</v>
      </c>
      <c r="B26">
        <v>175</v>
      </c>
      <c r="C26">
        <v>262</v>
      </c>
      <c r="D26">
        <v>53</v>
      </c>
      <c r="E26">
        <v>21</v>
      </c>
      <c r="F26">
        <v>156</v>
      </c>
      <c r="G26">
        <v>0</v>
      </c>
      <c r="H26">
        <v>89</v>
      </c>
      <c r="I26">
        <v>169</v>
      </c>
      <c r="J26">
        <v>356</v>
      </c>
      <c r="K26">
        <v>215</v>
      </c>
      <c r="L26">
        <v>45.5</v>
      </c>
      <c r="M26">
        <v>27.1</v>
      </c>
      <c r="N26">
        <v>418</v>
      </c>
      <c r="O26">
        <v>52</v>
      </c>
    </row>
    <row r="27" spans="1:15" x14ac:dyDescent="0.25">
      <c r="A27" t="s">
        <v>306</v>
      </c>
      <c r="B27">
        <v>301</v>
      </c>
      <c r="C27">
        <v>382</v>
      </c>
      <c r="D27">
        <v>66</v>
      </c>
      <c r="E27">
        <v>53</v>
      </c>
      <c r="F27">
        <v>185</v>
      </c>
      <c r="G27">
        <v>0</v>
      </c>
      <c r="H27">
        <v>217</v>
      </c>
      <c r="I27">
        <v>297</v>
      </c>
      <c r="J27">
        <v>445</v>
      </c>
      <c r="K27">
        <v>289</v>
      </c>
      <c r="L27">
        <v>39.9</v>
      </c>
      <c r="M27">
        <v>28.4</v>
      </c>
      <c r="N27">
        <v>622</v>
      </c>
      <c r="O27">
        <v>62</v>
      </c>
    </row>
    <row r="28" spans="1:15" x14ac:dyDescent="0.25">
      <c r="A28" t="s">
        <v>307</v>
      </c>
      <c r="B28">
        <v>237</v>
      </c>
      <c r="C28">
        <v>406</v>
      </c>
      <c r="D28">
        <v>52</v>
      </c>
      <c r="E28">
        <v>28</v>
      </c>
      <c r="F28">
        <v>286</v>
      </c>
      <c r="G28">
        <v>0</v>
      </c>
      <c r="H28">
        <v>76</v>
      </c>
      <c r="I28">
        <v>233</v>
      </c>
      <c r="J28">
        <v>377</v>
      </c>
      <c r="K28">
        <v>244</v>
      </c>
      <c r="L28">
        <v>43.8</v>
      </c>
      <c r="M28">
        <v>22.2</v>
      </c>
      <c r="N28">
        <v>506</v>
      </c>
      <c r="O28">
        <v>93</v>
      </c>
    </row>
    <row r="29" spans="1:15" x14ac:dyDescent="0.25">
      <c r="A29" t="s">
        <v>266</v>
      </c>
      <c r="B29">
        <v>4563</v>
      </c>
      <c r="C29">
        <v>7306</v>
      </c>
      <c r="D29">
        <v>1253</v>
      </c>
      <c r="E29">
        <v>559</v>
      </c>
      <c r="F29">
        <v>4991</v>
      </c>
      <c r="G29">
        <v>31</v>
      </c>
      <c r="H29">
        <v>1725</v>
      </c>
      <c r="I29">
        <v>4330</v>
      </c>
      <c r="J29">
        <v>8029</v>
      </c>
      <c r="K29">
        <v>4931</v>
      </c>
      <c r="L29">
        <v>42.3</v>
      </c>
      <c r="M29">
        <v>23.5</v>
      </c>
      <c r="N29">
        <v>9868</v>
      </c>
      <c r="O29">
        <v>1991</v>
      </c>
    </row>
    <row r="30" spans="1:15" x14ac:dyDescent="0.25">
      <c r="A30" t="s">
        <v>308</v>
      </c>
      <c r="B30">
        <v>536</v>
      </c>
      <c r="C30">
        <v>684</v>
      </c>
      <c r="D30">
        <v>128</v>
      </c>
      <c r="E30">
        <v>116</v>
      </c>
      <c r="F30">
        <v>495</v>
      </c>
      <c r="G30">
        <v>0</v>
      </c>
      <c r="H30">
        <v>171</v>
      </c>
      <c r="I30">
        <v>473</v>
      </c>
      <c r="J30">
        <v>574</v>
      </c>
      <c r="K30">
        <v>499</v>
      </c>
      <c r="L30">
        <v>41.4</v>
      </c>
      <c r="M30">
        <v>26.5</v>
      </c>
      <c r="N30">
        <v>1178</v>
      </c>
      <c r="O30">
        <v>328</v>
      </c>
    </row>
    <row r="31" spans="1:15" x14ac:dyDescent="0.25">
      <c r="A31" t="s">
        <v>309</v>
      </c>
      <c r="B31">
        <v>4027</v>
      </c>
      <c r="C31">
        <v>6622</v>
      </c>
      <c r="D31">
        <v>1125</v>
      </c>
      <c r="E31">
        <v>443</v>
      </c>
      <c r="F31">
        <v>4496</v>
      </c>
      <c r="G31">
        <v>31</v>
      </c>
      <c r="H31">
        <v>1554</v>
      </c>
      <c r="I31">
        <v>3857</v>
      </c>
      <c r="J31">
        <v>7455</v>
      </c>
      <c r="K31">
        <v>4432</v>
      </c>
      <c r="L31">
        <v>42.4</v>
      </c>
      <c r="M31">
        <v>23.2</v>
      </c>
      <c r="N31">
        <v>8690</v>
      </c>
      <c r="O31">
        <v>1663</v>
      </c>
    </row>
  </sheetData>
  <mergeCells count="5">
    <mergeCell ref="A1:P1"/>
    <mergeCell ref="J2:K2"/>
    <mergeCell ref="L2:O2"/>
    <mergeCell ref="A2:A3"/>
    <mergeCell ref="B2:E2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tabColor rgb="FF70AD47"/>
  </sheetPr>
  <dimension ref="A1:P31"/>
  <sheetViews>
    <sheetView workbookViewId="0"/>
  </sheetViews>
  <sheetFormatPr defaultRowHeight="15" x14ac:dyDescent="0.25"/>
  <cols>
    <col min="1" max="1" width="14.5703125" customWidth="1"/>
    <col min="2" max="2" width="7.28515625" customWidth="1"/>
    <col min="3" max="3" width="9" customWidth="1"/>
    <col min="4" max="4" width="7.7109375" customWidth="1"/>
    <col min="13" max="13" width="8.5703125" customWidth="1"/>
  </cols>
  <sheetData>
    <row r="1" spans="1:16" x14ac:dyDescent="0.25">
      <c r="A1" s="29" t="s">
        <v>372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 t="s">
        <v>709</v>
      </c>
      <c r="B2" s="29" t="s">
        <v>326</v>
      </c>
      <c r="C2" s="29"/>
      <c r="D2" s="29" t="s">
        <v>346</v>
      </c>
      <c r="E2" s="29"/>
      <c r="F2" s="29"/>
      <c r="G2" s="29"/>
      <c r="H2" s="29"/>
      <c r="I2" s="29"/>
      <c r="J2" s="29" t="s">
        <v>365</v>
      </c>
      <c r="K2" s="29"/>
      <c r="L2" s="29"/>
      <c r="M2" s="29" t="s">
        <v>366</v>
      </c>
      <c r="N2" s="29"/>
      <c r="O2" s="29"/>
    </row>
    <row r="3" spans="1:16" x14ac:dyDescent="0.25">
      <c r="A3" s="29"/>
      <c r="B3" t="s">
        <v>263</v>
      </c>
      <c r="C3" t="s">
        <v>373</v>
      </c>
      <c r="D3" t="s">
        <v>334</v>
      </c>
      <c r="E3" t="s">
        <v>335</v>
      </c>
      <c r="F3" t="s">
        <v>336</v>
      </c>
      <c r="G3" t="s">
        <v>337</v>
      </c>
      <c r="H3" t="s">
        <v>338</v>
      </c>
      <c r="I3" t="s">
        <v>339</v>
      </c>
      <c r="J3" t="s">
        <v>340</v>
      </c>
      <c r="K3" t="s">
        <v>341</v>
      </c>
      <c r="L3" t="s">
        <v>342</v>
      </c>
      <c r="M3" t="s">
        <v>343</v>
      </c>
      <c r="N3" t="s">
        <v>344</v>
      </c>
      <c r="O3" t="s">
        <v>345</v>
      </c>
    </row>
    <row r="4" spans="1:16" x14ac:dyDescent="0.25">
      <c r="A4" t="s">
        <v>283</v>
      </c>
      <c r="B4">
        <v>328</v>
      </c>
      <c r="C4">
        <v>179</v>
      </c>
      <c r="D4">
        <v>0</v>
      </c>
      <c r="E4">
        <v>3</v>
      </c>
      <c r="F4">
        <v>4</v>
      </c>
      <c r="G4">
        <v>6</v>
      </c>
      <c r="H4">
        <v>4</v>
      </c>
      <c r="I4">
        <v>393</v>
      </c>
      <c r="J4">
        <v>0</v>
      </c>
      <c r="K4">
        <v>0</v>
      </c>
      <c r="L4">
        <v>54</v>
      </c>
      <c r="M4">
        <v>1</v>
      </c>
      <c r="N4">
        <v>1</v>
      </c>
      <c r="O4">
        <v>28</v>
      </c>
    </row>
    <row r="5" spans="1:16" x14ac:dyDescent="0.25">
      <c r="A5" t="s">
        <v>284</v>
      </c>
      <c r="B5">
        <v>389</v>
      </c>
      <c r="C5">
        <v>170</v>
      </c>
      <c r="D5">
        <v>2</v>
      </c>
      <c r="E5">
        <v>3</v>
      </c>
      <c r="F5">
        <v>4</v>
      </c>
      <c r="G5">
        <v>10</v>
      </c>
      <c r="H5">
        <v>7</v>
      </c>
      <c r="I5">
        <v>628</v>
      </c>
      <c r="J5">
        <v>1</v>
      </c>
      <c r="K5">
        <v>1</v>
      </c>
      <c r="L5">
        <v>96</v>
      </c>
      <c r="M5">
        <v>0</v>
      </c>
      <c r="N5">
        <v>0</v>
      </c>
      <c r="O5">
        <v>29</v>
      </c>
    </row>
    <row r="6" spans="1:16" x14ac:dyDescent="0.25">
      <c r="A6" t="s">
        <v>285</v>
      </c>
      <c r="B6">
        <v>289</v>
      </c>
      <c r="C6">
        <v>42</v>
      </c>
      <c r="D6">
        <v>1</v>
      </c>
      <c r="E6">
        <v>4</v>
      </c>
      <c r="F6">
        <v>2</v>
      </c>
      <c r="G6">
        <v>4</v>
      </c>
      <c r="H6">
        <v>1</v>
      </c>
      <c r="I6">
        <v>395</v>
      </c>
      <c r="J6">
        <v>0</v>
      </c>
      <c r="K6">
        <v>0</v>
      </c>
      <c r="L6">
        <v>81</v>
      </c>
      <c r="M6">
        <v>0</v>
      </c>
      <c r="N6">
        <v>0</v>
      </c>
      <c r="O6">
        <v>43</v>
      </c>
    </row>
    <row r="7" spans="1:16" x14ac:dyDescent="0.25">
      <c r="A7" t="s">
        <v>286</v>
      </c>
      <c r="B7">
        <v>115</v>
      </c>
      <c r="C7">
        <v>33</v>
      </c>
      <c r="D7">
        <v>0</v>
      </c>
      <c r="E7">
        <v>0</v>
      </c>
      <c r="F7">
        <v>0</v>
      </c>
      <c r="G7">
        <v>2</v>
      </c>
      <c r="H7">
        <v>1</v>
      </c>
      <c r="I7">
        <v>276</v>
      </c>
      <c r="J7">
        <v>0</v>
      </c>
      <c r="K7">
        <v>1</v>
      </c>
      <c r="L7">
        <v>61</v>
      </c>
      <c r="M7">
        <v>0</v>
      </c>
      <c r="N7">
        <v>0</v>
      </c>
      <c r="O7">
        <v>16</v>
      </c>
    </row>
    <row r="8" spans="1:16" x14ac:dyDescent="0.25">
      <c r="A8" t="s">
        <v>287</v>
      </c>
      <c r="B8">
        <v>218</v>
      </c>
      <c r="C8">
        <v>66</v>
      </c>
      <c r="D8">
        <v>0</v>
      </c>
      <c r="E8">
        <v>0</v>
      </c>
      <c r="F8">
        <v>0</v>
      </c>
      <c r="G8">
        <v>1</v>
      </c>
      <c r="H8">
        <v>0</v>
      </c>
      <c r="I8">
        <v>315</v>
      </c>
      <c r="J8">
        <v>1</v>
      </c>
      <c r="K8">
        <v>0</v>
      </c>
      <c r="L8">
        <v>71</v>
      </c>
      <c r="M8">
        <v>0</v>
      </c>
      <c r="N8">
        <v>1</v>
      </c>
      <c r="O8">
        <v>24</v>
      </c>
    </row>
    <row r="9" spans="1:16" x14ac:dyDescent="0.25">
      <c r="A9" t="s">
        <v>288</v>
      </c>
      <c r="B9">
        <v>214</v>
      </c>
      <c r="C9">
        <v>73</v>
      </c>
      <c r="D9">
        <v>3</v>
      </c>
      <c r="E9">
        <v>6</v>
      </c>
      <c r="F9">
        <v>12</v>
      </c>
      <c r="G9">
        <v>15</v>
      </c>
      <c r="H9">
        <v>9</v>
      </c>
      <c r="I9">
        <v>449</v>
      </c>
      <c r="J9">
        <v>0</v>
      </c>
      <c r="K9">
        <v>0</v>
      </c>
      <c r="L9">
        <v>67</v>
      </c>
      <c r="M9">
        <v>0</v>
      </c>
      <c r="N9">
        <v>0</v>
      </c>
      <c r="O9">
        <v>25</v>
      </c>
    </row>
    <row r="10" spans="1:16" x14ac:dyDescent="0.25">
      <c r="A10" t="s">
        <v>289</v>
      </c>
      <c r="B10">
        <v>202</v>
      </c>
      <c r="C10">
        <v>35</v>
      </c>
      <c r="D10">
        <v>0</v>
      </c>
      <c r="E10">
        <v>0</v>
      </c>
      <c r="F10">
        <v>0</v>
      </c>
      <c r="G10">
        <v>0</v>
      </c>
      <c r="H10">
        <v>3</v>
      </c>
      <c r="I10">
        <v>297</v>
      </c>
      <c r="J10">
        <v>0</v>
      </c>
      <c r="K10">
        <v>0</v>
      </c>
      <c r="L10">
        <v>76</v>
      </c>
      <c r="M10">
        <v>0</v>
      </c>
      <c r="N10">
        <v>0</v>
      </c>
      <c r="O10">
        <v>24</v>
      </c>
    </row>
    <row r="11" spans="1:16" x14ac:dyDescent="0.25">
      <c r="A11" t="s">
        <v>290</v>
      </c>
      <c r="B11">
        <v>248</v>
      </c>
      <c r="C11">
        <v>22</v>
      </c>
      <c r="D11">
        <v>0</v>
      </c>
      <c r="E11">
        <v>3</v>
      </c>
      <c r="F11">
        <v>1</v>
      </c>
      <c r="G11">
        <v>4</v>
      </c>
      <c r="H11">
        <v>0</v>
      </c>
      <c r="I11">
        <v>365</v>
      </c>
      <c r="J11">
        <v>0</v>
      </c>
      <c r="K11">
        <v>0</v>
      </c>
      <c r="L11">
        <v>100</v>
      </c>
      <c r="M11">
        <v>1</v>
      </c>
      <c r="N11">
        <v>0</v>
      </c>
      <c r="O11">
        <v>39</v>
      </c>
    </row>
    <row r="12" spans="1:16" x14ac:dyDescent="0.25">
      <c r="A12" t="s">
        <v>291</v>
      </c>
      <c r="B12">
        <v>22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22</v>
      </c>
      <c r="J12">
        <v>0</v>
      </c>
      <c r="K12">
        <v>0</v>
      </c>
      <c r="L12">
        <v>4</v>
      </c>
      <c r="M12">
        <v>0</v>
      </c>
      <c r="N12">
        <v>0</v>
      </c>
      <c r="O12">
        <v>2</v>
      </c>
    </row>
    <row r="13" spans="1:16" x14ac:dyDescent="0.25">
      <c r="A13" t="s">
        <v>292</v>
      </c>
      <c r="B13">
        <v>71</v>
      </c>
      <c r="C13">
        <v>55</v>
      </c>
      <c r="D13">
        <v>0</v>
      </c>
      <c r="E13">
        <v>3</v>
      </c>
      <c r="F13">
        <v>4</v>
      </c>
      <c r="G13">
        <v>2</v>
      </c>
      <c r="H13">
        <v>0</v>
      </c>
      <c r="I13">
        <v>112</v>
      </c>
      <c r="J13">
        <v>0</v>
      </c>
      <c r="K13">
        <v>0</v>
      </c>
      <c r="L13">
        <v>19</v>
      </c>
      <c r="M13">
        <v>0</v>
      </c>
      <c r="N13">
        <v>0</v>
      </c>
      <c r="O13">
        <v>12</v>
      </c>
    </row>
    <row r="14" spans="1:16" x14ac:dyDescent="0.25">
      <c r="A14" t="s">
        <v>293</v>
      </c>
      <c r="B14">
        <v>106</v>
      </c>
      <c r="C14">
        <v>28</v>
      </c>
      <c r="D14">
        <v>1</v>
      </c>
      <c r="E14">
        <v>5</v>
      </c>
      <c r="F14">
        <v>2</v>
      </c>
      <c r="G14">
        <v>4</v>
      </c>
      <c r="H14">
        <v>6</v>
      </c>
      <c r="I14">
        <v>267</v>
      </c>
      <c r="J14">
        <v>0</v>
      </c>
      <c r="K14">
        <v>0</v>
      </c>
      <c r="L14">
        <v>42</v>
      </c>
      <c r="M14">
        <v>1</v>
      </c>
      <c r="N14">
        <v>0</v>
      </c>
      <c r="O14">
        <v>12</v>
      </c>
    </row>
    <row r="15" spans="1:16" x14ac:dyDescent="0.25">
      <c r="A15" t="s">
        <v>294</v>
      </c>
      <c r="B15">
        <v>30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88</v>
      </c>
      <c r="J15">
        <v>0</v>
      </c>
      <c r="K15">
        <v>0</v>
      </c>
      <c r="L15">
        <v>8</v>
      </c>
      <c r="M15">
        <v>0</v>
      </c>
      <c r="N15">
        <v>1</v>
      </c>
      <c r="O15">
        <v>5</v>
      </c>
    </row>
    <row r="16" spans="1:16" x14ac:dyDescent="0.25">
      <c r="A16" t="s">
        <v>295</v>
      </c>
      <c r="B16">
        <v>108</v>
      </c>
      <c r="C16">
        <v>56</v>
      </c>
      <c r="D16">
        <v>0</v>
      </c>
      <c r="E16">
        <v>0</v>
      </c>
      <c r="F16">
        <v>1</v>
      </c>
      <c r="G16">
        <v>6</v>
      </c>
      <c r="H16">
        <v>3</v>
      </c>
      <c r="I16">
        <v>209</v>
      </c>
      <c r="J16">
        <v>0</v>
      </c>
      <c r="K16">
        <v>1</v>
      </c>
      <c r="L16">
        <v>29</v>
      </c>
      <c r="M16">
        <v>0</v>
      </c>
      <c r="N16">
        <v>0</v>
      </c>
      <c r="O16">
        <v>9</v>
      </c>
    </row>
    <row r="17" spans="1:15" x14ac:dyDescent="0.25">
      <c r="A17" t="s">
        <v>296</v>
      </c>
      <c r="B17">
        <v>25</v>
      </c>
      <c r="C17">
        <v>16</v>
      </c>
      <c r="D17">
        <v>0</v>
      </c>
      <c r="E17">
        <v>0</v>
      </c>
      <c r="F17">
        <v>0</v>
      </c>
      <c r="G17">
        <v>1</v>
      </c>
      <c r="H17">
        <v>0</v>
      </c>
      <c r="I17">
        <v>47</v>
      </c>
      <c r="J17">
        <v>0</v>
      </c>
      <c r="K17">
        <v>0</v>
      </c>
      <c r="L17">
        <v>7</v>
      </c>
      <c r="M17">
        <v>0</v>
      </c>
      <c r="N17">
        <v>0</v>
      </c>
      <c r="O17">
        <v>2</v>
      </c>
    </row>
    <row r="18" spans="1:15" x14ac:dyDescent="0.25">
      <c r="A18" t="s">
        <v>297</v>
      </c>
      <c r="B18">
        <v>148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162</v>
      </c>
      <c r="J18">
        <v>0</v>
      </c>
      <c r="K18">
        <v>1</v>
      </c>
      <c r="L18">
        <v>26</v>
      </c>
      <c r="M18">
        <v>0</v>
      </c>
      <c r="N18">
        <v>0</v>
      </c>
      <c r="O18">
        <v>41</v>
      </c>
    </row>
    <row r="19" spans="1:15" x14ac:dyDescent="0.25">
      <c r="A19" t="s">
        <v>298</v>
      </c>
      <c r="B19">
        <v>60</v>
      </c>
      <c r="C19">
        <v>36</v>
      </c>
      <c r="D19">
        <v>0</v>
      </c>
      <c r="E19">
        <v>0</v>
      </c>
      <c r="F19">
        <v>0</v>
      </c>
      <c r="G19">
        <v>0</v>
      </c>
      <c r="H19">
        <v>0</v>
      </c>
      <c r="I19">
        <v>72</v>
      </c>
      <c r="J19">
        <v>0</v>
      </c>
      <c r="K19">
        <v>0</v>
      </c>
      <c r="L19">
        <v>18</v>
      </c>
      <c r="M19">
        <v>0</v>
      </c>
      <c r="N19">
        <v>0</v>
      </c>
      <c r="O19">
        <v>9</v>
      </c>
    </row>
    <row r="20" spans="1:15" x14ac:dyDescent="0.25">
      <c r="A20" t="s">
        <v>299</v>
      </c>
      <c r="B20">
        <v>116</v>
      </c>
      <c r="C20">
        <v>81</v>
      </c>
      <c r="D20">
        <v>0</v>
      </c>
      <c r="E20">
        <v>2</v>
      </c>
      <c r="F20">
        <v>5</v>
      </c>
      <c r="G20">
        <v>2</v>
      </c>
      <c r="H20">
        <v>4</v>
      </c>
      <c r="I20">
        <v>216</v>
      </c>
      <c r="J20">
        <v>1</v>
      </c>
      <c r="K20">
        <v>1</v>
      </c>
      <c r="L20">
        <v>46</v>
      </c>
      <c r="M20">
        <v>0</v>
      </c>
      <c r="N20">
        <v>2</v>
      </c>
      <c r="O20">
        <v>16</v>
      </c>
    </row>
    <row r="21" spans="1:15" x14ac:dyDescent="0.25">
      <c r="A21" t="s">
        <v>300</v>
      </c>
      <c r="B21">
        <v>399</v>
      </c>
      <c r="C21">
        <v>20</v>
      </c>
      <c r="D21">
        <v>1</v>
      </c>
      <c r="E21">
        <v>2</v>
      </c>
      <c r="F21">
        <v>2</v>
      </c>
      <c r="G21">
        <v>6</v>
      </c>
      <c r="H21">
        <v>5</v>
      </c>
      <c r="I21">
        <v>531</v>
      </c>
      <c r="J21">
        <v>1</v>
      </c>
      <c r="K21">
        <v>0</v>
      </c>
      <c r="L21">
        <v>92</v>
      </c>
      <c r="M21">
        <v>0</v>
      </c>
      <c r="N21">
        <v>0</v>
      </c>
      <c r="O21">
        <v>32</v>
      </c>
    </row>
    <row r="22" spans="1:15" x14ac:dyDescent="0.25">
      <c r="A22" t="s">
        <v>301</v>
      </c>
      <c r="B22">
        <v>185</v>
      </c>
      <c r="C22">
        <v>83</v>
      </c>
      <c r="D22">
        <v>1</v>
      </c>
      <c r="E22">
        <v>7</v>
      </c>
      <c r="F22">
        <v>5</v>
      </c>
      <c r="G22">
        <v>6</v>
      </c>
      <c r="H22">
        <v>8</v>
      </c>
      <c r="I22">
        <v>279</v>
      </c>
      <c r="J22">
        <v>0</v>
      </c>
      <c r="K22">
        <v>0</v>
      </c>
      <c r="L22">
        <v>44</v>
      </c>
      <c r="M22">
        <v>0</v>
      </c>
      <c r="N22">
        <v>0</v>
      </c>
      <c r="O22">
        <v>16</v>
      </c>
    </row>
    <row r="23" spans="1:15" x14ac:dyDescent="0.25">
      <c r="A23" t="s">
        <v>302</v>
      </c>
      <c r="B23">
        <v>68</v>
      </c>
      <c r="C23">
        <v>35</v>
      </c>
      <c r="D23">
        <v>0</v>
      </c>
      <c r="E23">
        <v>7</v>
      </c>
      <c r="F23">
        <v>6</v>
      </c>
      <c r="G23">
        <v>9</v>
      </c>
      <c r="H23">
        <v>22</v>
      </c>
      <c r="I23">
        <v>182</v>
      </c>
      <c r="J23">
        <v>4</v>
      </c>
      <c r="K23">
        <v>3</v>
      </c>
      <c r="L23">
        <v>15</v>
      </c>
      <c r="M23">
        <v>0</v>
      </c>
      <c r="N23">
        <v>1</v>
      </c>
      <c r="O23">
        <v>11</v>
      </c>
    </row>
    <row r="24" spans="1:15" x14ac:dyDescent="0.25">
      <c r="A24" t="s">
        <v>303</v>
      </c>
      <c r="B24">
        <v>463</v>
      </c>
      <c r="C24">
        <v>116</v>
      </c>
      <c r="D24">
        <v>1</v>
      </c>
      <c r="E24">
        <v>4</v>
      </c>
      <c r="F24">
        <v>2</v>
      </c>
      <c r="G24">
        <v>7</v>
      </c>
      <c r="H24">
        <v>4</v>
      </c>
      <c r="I24">
        <v>504</v>
      </c>
      <c r="J24">
        <v>1</v>
      </c>
      <c r="K24">
        <v>0</v>
      </c>
      <c r="L24">
        <v>78</v>
      </c>
      <c r="M24">
        <v>1</v>
      </c>
      <c r="N24">
        <v>3</v>
      </c>
      <c r="O24">
        <v>40</v>
      </c>
    </row>
    <row r="25" spans="1:15" x14ac:dyDescent="0.25">
      <c r="A25" t="s">
        <v>304</v>
      </c>
      <c r="B25">
        <v>46</v>
      </c>
      <c r="C25">
        <v>20</v>
      </c>
      <c r="D25">
        <v>0</v>
      </c>
      <c r="E25">
        <v>0</v>
      </c>
      <c r="F25">
        <v>1</v>
      </c>
      <c r="G25">
        <v>2</v>
      </c>
      <c r="H25">
        <v>4</v>
      </c>
      <c r="I25">
        <v>167</v>
      </c>
      <c r="J25">
        <v>0</v>
      </c>
      <c r="K25">
        <v>1</v>
      </c>
      <c r="L25">
        <v>30</v>
      </c>
      <c r="M25">
        <v>0</v>
      </c>
      <c r="N25">
        <v>0</v>
      </c>
      <c r="O25">
        <v>8</v>
      </c>
    </row>
    <row r="26" spans="1:15" x14ac:dyDescent="0.25">
      <c r="A26" t="s">
        <v>305</v>
      </c>
      <c r="B26">
        <v>175</v>
      </c>
      <c r="C26">
        <v>75</v>
      </c>
      <c r="D26">
        <v>0</v>
      </c>
      <c r="E26">
        <v>1</v>
      </c>
      <c r="F26">
        <v>1</v>
      </c>
      <c r="G26">
        <v>1</v>
      </c>
      <c r="H26">
        <v>1</v>
      </c>
      <c r="I26">
        <v>258</v>
      </c>
      <c r="J26">
        <v>0</v>
      </c>
      <c r="K26">
        <v>0</v>
      </c>
      <c r="L26">
        <v>53</v>
      </c>
      <c r="M26">
        <v>1</v>
      </c>
      <c r="N26">
        <v>0</v>
      </c>
      <c r="O26">
        <v>20</v>
      </c>
    </row>
    <row r="27" spans="1:15" x14ac:dyDescent="0.25">
      <c r="A27" t="s">
        <v>306</v>
      </c>
      <c r="B27">
        <v>301</v>
      </c>
      <c r="C27">
        <v>44</v>
      </c>
      <c r="D27">
        <v>0</v>
      </c>
      <c r="E27">
        <v>0</v>
      </c>
      <c r="F27">
        <v>0</v>
      </c>
      <c r="G27">
        <v>1</v>
      </c>
      <c r="H27">
        <v>1</v>
      </c>
      <c r="I27">
        <v>380</v>
      </c>
      <c r="J27">
        <v>0</v>
      </c>
      <c r="K27">
        <v>0</v>
      </c>
      <c r="L27">
        <v>66</v>
      </c>
      <c r="M27">
        <v>0</v>
      </c>
      <c r="N27">
        <v>1</v>
      </c>
      <c r="O27">
        <v>52</v>
      </c>
    </row>
    <row r="28" spans="1:15" x14ac:dyDescent="0.25">
      <c r="A28" t="s">
        <v>307</v>
      </c>
      <c r="B28">
        <v>237</v>
      </c>
      <c r="C28">
        <v>64</v>
      </c>
      <c r="D28">
        <v>1</v>
      </c>
      <c r="E28">
        <v>18</v>
      </c>
      <c r="F28">
        <v>6</v>
      </c>
      <c r="G28">
        <v>12</v>
      </c>
      <c r="H28">
        <v>10</v>
      </c>
      <c r="I28">
        <v>359</v>
      </c>
      <c r="J28">
        <v>0</v>
      </c>
      <c r="K28">
        <v>0</v>
      </c>
      <c r="L28">
        <v>52</v>
      </c>
      <c r="M28">
        <v>1</v>
      </c>
      <c r="N28">
        <v>0</v>
      </c>
      <c r="O28">
        <v>27</v>
      </c>
    </row>
    <row r="29" spans="1:15" x14ac:dyDescent="0.25">
      <c r="A29" t="s">
        <v>266</v>
      </c>
      <c r="B29">
        <v>4563</v>
      </c>
      <c r="C29">
        <v>1385</v>
      </c>
      <c r="D29">
        <v>11</v>
      </c>
      <c r="E29">
        <v>69</v>
      </c>
      <c r="F29">
        <v>59</v>
      </c>
      <c r="G29">
        <v>101</v>
      </c>
      <c r="H29">
        <v>93</v>
      </c>
      <c r="I29">
        <v>6973</v>
      </c>
      <c r="J29">
        <v>9</v>
      </c>
      <c r="K29">
        <v>9</v>
      </c>
      <c r="L29">
        <v>1235</v>
      </c>
      <c r="M29">
        <v>6</v>
      </c>
      <c r="N29">
        <v>10</v>
      </c>
      <c r="O29">
        <v>542</v>
      </c>
    </row>
    <row r="30" spans="1:15" x14ac:dyDescent="0.25">
      <c r="A30" t="s">
        <v>308</v>
      </c>
      <c r="B30">
        <v>536</v>
      </c>
      <c r="C30">
        <v>131</v>
      </c>
      <c r="D30">
        <v>0</v>
      </c>
      <c r="E30">
        <v>3</v>
      </c>
      <c r="F30">
        <v>6</v>
      </c>
      <c r="G30">
        <v>6</v>
      </c>
      <c r="H30">
        <v>3</v>
      </c>
      <c r="I30">
        <v>666</v>
      </c>
      <c r="J30">
        <v>1</v>
      </c>
      <c r="K30">
        <v>1</v>
      </c>
      <c r="L30">
        <v>126</v>
      </c>
      <c r="M30">
        <v>0</v>
      </c>
      <c r="N30">
        <v>1</v>
      </c>
      <c r="O30">
        <v>115</v>
      </c>
    </row>
    <row r="31" spans="1:15" x14ac:dyDescent="0.25">
      <c r="A31" t="s">
        <v>309</v>
      </c>
      <c r="B31">
        <v>4027</v>
      </c>
      <c r="C31">
        <v>1254</v>
      </c>
      <c r="D31">
        <v>11</v>
      </c>
      <c r="E31">
        <v>66</v>
      </c>
      <c r="F31">
        <v>53</v>
      </c>
      <c r="G31">
        <v>95</v>
      </c>
      <c r="H31">
        <v>90</v>
      </c>
      <c r="I31">
        <v>6307</v>
      </c>
      <c r="J31">
        <v>8</v>
      </c>
      <c r="K31">
        <v>8</v>
      </c>
      <c r="L31">
        <v>1109</v>
      </c>
      <c r="M31">
        <v>6</v>
      </c>
      <c r="N31">
        <v>9</v>
      </c>
      <c r="O31">
        <v>427</v>
      </c>
    </row>
  </sheetData>
  <mergeCells count="6">
    <mergeCell ref="D2:I2"/>
    <mergeCell ref="J2:L2"/>
    <mergeCell ref="B2:C2"/>
    <mergeCell ref="A1:P1"/>
    <mergeCell ref="A2:A3"/>
    <mergeCell ref="M2:O2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tabColor rgb="FF5B9BD5"/>
  </sheetPr>
  <dimension ref="A1:AW31"/>
  <sheetViews>
    <sheetView workbookViewId="0"/>
  </sheetViews>
  <sheetFormatPr defaultRowHeight="15" x14ac:dyDescent="0.25"/>
  <sheetData>
    <row r="1" spans="1:49" x14ac:dyDescent="0.25">
      <c r="A1" s="29" t="s">
        <v>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49" x14ac:dyDescent="0.25">
      <c r="A2" s="29" t="s">
        <v>709</v>
      </c>
      <c r="B2" s="29" t="s">
        <v>375</v>
      </c>
      <c r="C2" s="29"/>
      <c r="D2" s="29" t="s">
        <v>376</v>
      </c>
      <c r="E2" s="29"/>
      <c r="F2" s="29" t="s">
        <v>377</v>
      </c>
      <c r="G2" s="29"/>
      <c r="H2" s="29" t="s">
        <v>378</v>
      </c>
      <c r="I2" s="29"/>
      <c r="J2" s="29" t="s">
        <v>379</v>
      </c>
      <c r="K2" s="29"/>
      <c r="L2" s="29" t="s">
        <v>380</v>
      </c>
      <c r="M2" s="29"/>
      <c r="N2" s="29" t="s">
        <v>381</v>
      </c>
      <c r="O2" s="29"/>
      <c r="P2" s="29" t="s">
        <v>382</v>
      </c>
      <c r="Q2" s="29"/>
      <c r="R2" s="29" t="s">
        <v>383</v>
      </c>
      <c r="S2" s="29"/>
      <c r="T2" s="29" t="s">
        <v>384</v>
      </c>
      <c r="U2" s="29"/>
      <c r="V2" s="29" t="s">
        <v>385</v>
      </c>
      <c r="W2" s="29"/>
      <c r="X2" s="29" t="s">
        <v>386</v>
      </c>
      <c r="Y2" s="29"/>
      <c r="Z2" s="29" t="s">
        <v>387</v>
      </c>
      <c r="AA2" s="29"/>
      <c r="AB2" s="29" t="s">
        <v>388</v>
      </c>
      <c r="AC2" s="29"/>
      <c r="AD2" s="29" t="s">
        <v>389</v>
      </c>
      <c r="AE2" s="29"/>
      <c r="AF2" s="29" t="s">
        <v>390</v>
      </c>
      <c r="AG2" s="29"/>
      <c r="AH2" s="29" t="s">
        <v>391</v>
      </c>
      <c r="AI2" s="29"/>
      <c r="AJ2" s="29" t="s">
        <v>392</v>
      </c>
      <c r="AK2" s="29"/>
      <c r="AL2" s="29" t="s">
        <v>393</v>
      </c>
      <c r="AM2" s="29"/>
      <c r="AN2" s="29" t="s">
        <v>394</v>
      </c>
      <c r="AO2" s="29"/>
      <c r="AP2" s="29" t="s">
        <v>395</v>
      </c>
      <c r="AQ2" s="29"/>
      <c r="AR2" s="29" t="s">
        <v>396</v>
      </c>
      <c r="AS2" s="29"/>
      <c r="AT2" s="29" t="s">
        <v>397</v>
      </c>
      <c r="AU2" s="29"/>
      <c r="AV2" s="29" t="s">
        <v>398</v>
      </c>
      <c r="AW2" s="29"/>
    </row>
    <row r="3" spans="1:49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  <c r="L3" t="s">
        <v>263</v>
      </c>
      <c r="M3" t="s">
        <v>264</v>
      </c>
      <c r="N3" t="s">
        <v>263</v>
      </c>
      <c r="O3" t="s">
        <v>264</v>
      </c>
      <c r="P3" t="s">
        <v>263</v>
      </c>
      <c r="Q3" t="s">
        <v>264</v>
      </c>
      <c r="R3" t="s">
        <v>263</v>
      </c>
      <c r="S3" t="s">
        <v>264</v>
      </c>
      <c r="T3" t="s">
        <v>263</v>
      </c>
      <c r="U3" t="s">
        <v>264</v>
      </c>
      <c r="V3" t="s">
        <v>263</v>
      </c>
      <c r="W3" t="s">
        <v>264</v>
      </c>
      <c r="X3" t="s">
        <v>263</v>
      </c>
      <c r="Y3" t="s">
        <v>264</v>
      </c>
      <c r="Z3" t="s">
        <v>263</v>
      </c>
      <c r="AA3" t="s">
        <v>264</v>
      </c>
      <c r="AB3" t="s">
        <v>263</v>
      </c>
      <c r="AC3" t="s">
        <v>264</v>
      </c>
      <c r="AD3" t="s">
        <v>263</v>
      </c>
      <c r="AE3" t="s">
        <v>264</v>
      </c>
      <c r="AF3" t="s">
        <v>263</v>
      </c>
      <c r="AG3" t="s">
        <v>264</v>
      </c>
      <c r="AH3" t="s">
        <v>263</v>
      </c>
      <c r="AI3" t="s">
        <v>264</v>
      </c>
      <c r="AJ3" t="s">
        <v>263</v>
      </c>
      <c r="AK3" t="s">
        <v>264</v>
      </c>
      <c r="AL3" t="s">
        <v>263</v>
      </c>
      <c r="AM3" t="s">
        <v>264</v>
      </c>
      <c r="AN3" t="s">
        <v>263</v>
      </c>
      <c r="AO3" t="s">
        <v>264</v>
      </c>
      <c r="AP3" t="s">
        <v>263</v>
      </c>
      <c r="AQ3" t="s">
        <v>264</v>
      </c>
      <c r="AR3" t="s">
        <v>263</v>
      </c>
      <c r="AS3" t="s">
        <v>264</v>
      </c>
      <c r="AT3" t="s">
        <v>263</v>
      </c>
      <c r="AU3" t="s">
        <v>264</v>
      </c>
      <c r="AV3" t="s">
        <v>263</v>
      </c>
      <c r="AW3" t="s">
        <v>264</v>
      </c>
    </row>
    <row r="4" spans="1:49" x14ac:dyDescent="0.25">
      <c r="A4" t="s">
        <v>283</v>
      </c>
      <c r="B4">
        <v>18994</v>
      </c>
      <c r="C4">
        <v>8921</v>
      </c>
      <c r="D4">
        <v>1737</v>
      </c>
      <c r="E4">
        <v>669</v>
      </c>
      <c r="F4">
        <v>18253</v>
      </c>
      <c r="G4">
        <v>8782</v>
      </c>
      <c r="H4">
        <v>1130</v>
      </c>
      <c r="I4">
        <v>425</v>
      </c>
      <c r="J4">
        <v>16506</v>
      </c>
      <c r="K4">
        <v>7837</v>
      </c>
      <c r="L4">
        <v>790</v>
      </c>
      <c r="M4">
        <v>271</v>
      </c>
      <c r="N4">
        <v>16301</v>
      </c>
      <c r="O4">
        <v>7923</v>
      </c>
      <c r="P4">
        <v>627</v>
      </c>
      <c r="Q4">
        <v>206</v>
      </c>
      <c r="R4">
        <v>15049</v>
      </c>
      <c r="S4">
        <v>7352</v>
      </c>
      <c r="T4">
        <v>421</v>
      </c>
      <c r="U4">
        <v>140</v>
      </c>
      <c r="V4">
        <v>14844</v>
      </c>
      <c r="W4">
        <v>7380</v>
      </c>
      <c r="X4">
        <v>325</v>
      </c>
      <c r="Y4">
        <v>108</v>
      </c>
      <c r="Z4">
        <v>12398</v>
      </c>
      <c r="AA4">
        <v>6475</v>
      </c>
      <c r="AB4">
        <v>117</v>
      </c>
      <c r="AC4">
        <v>40</v>
      </c>
      <c r="AD4">
        <v>10554</v>
      </c>
      <c r="AE4">
        <v>5648</v>
      </c>
      <c r="AF4">
        <v>54</v>
      </c>
      <c r="AG4">
        <v>15</v>
      </c>
      <c r="AH4">
        <v>8764</v>
      </c>
      <c r="AI4">
        <v>4738</v>
      </c>
      <c r="AJ4">
        <v>80</v>
      </c>
      <c r="AK4">
        <v>28</v>
      </c>
      <c r="AL4">
        <v>6038</v>
      </c>
      <c r="AM4">
        <v>3438</v>
      </c>
      <c r="AN4">
        <v>20</v>
      </c>
      <c r="AO4">
        <v>12</v>
      </c>
      <c r="AP4">
        <v>5205</v>
      </c>
      <c r="AQ4">
        <v>2926</v>
      </c>
      <c r="AR4">
        <v>8</v>
      </c>
      <c r="AS4">
        <v>2</v>
      </c>
      <c r="AT4">
        <v>4515</v>
      </c>
      <c r="AU4">
        <v>2623</v>
      </c>
      <c r="AV4">
        <v>82</v>
      </c>
      <c r="AW4">
        <v>45</v>
      </c>
    </row>
    <row r="5" spans="1:49" x14ac:dyDescent="0.25">
      <c r="A5" t="s">
        <v>284</v>
      </c>
      <c r="B5">
        <v>32644</v>
      </c>
      <c r="C5">
        <v>15287</v>
      </c>
      <c r="D5">
        <v>4614</v>
      </c>
      <c r="E5">
        <v>1801</v>
      </c>
      <c r="F5">
        <v>29477</v>
      </c>
      <c r="G5">
        <v>13891</v>
      </c>
      <c r="H5">
        <v>2873</v>
      </c>
      <c r="I5">
        <v>1098</v>
      </c>
      <c r="J5">
        <v>27532</v>
      </c>
      <c r="K5">
        <v>13050</v>
      </c>
      <c r="L5">
        <v>1994</v>
      </c>
      <c r="M5">
        <v>763</v>
      </c>
      <c r="N5">
        <v>26587</v>
      </c>
      <c r="O5">
        <v>12749</v>
      </c>
      <c r="P5">
        <v>1282</v>
      </c>
      <c r="Q5">
        <v>478</v>
      </c>
      <c r="R5">
        <v>25028</v>
      </c>
      <c r="S5">
        <v>12316</v>
      </c>
      <c r="T5">
        <v>936</v>
      </c>
      <c r="U5">
        <v>307</v>
      </c>
      <c r="V5">
        <v>23067</v>
      </c>
      <c r="W5">
        <v>11511</v>
      </c>
      <c r="X5">
        <v>653</v>
      </c>
      <c r="Y5">
        <v>239</v>
      </c>
      <c r="Z5">
        <v>19461</v>
      </c>
      <c r="AA5">
        <v>10172</v>
      </c>
      <c r="AB5">
        <v>167</v>
      </c>
      <c r="AC5">
        <v>58</v>
      </c>
      <c r="AD5">
        <v>16644</v>
      </c>
      <c r="AE5">
        <v>8987</v>
      </c>
      <c r="AF5">
        <v>138</v>
      </c>
      <c r="AG5">
        <v>65</v>
      </c>
      <c r="AH5">
        <v>13931</v>
      </c>
      <c r="AI5">
        <v>7514</v>
      </c>
      <c r="AJ5">
        <v>252</v>
      </c>
      <c r="AK5">
        <v>101</v>
      </c>
      <c r="AL5">
        <v>9524</v>
      </c>
      <c r="AM5">
        <v>5313</v>
      </c>
      <c r="AN5">
        <v>53</v>
      </c>
      <c r="AO5">
        <v>30</v>
      </c>
      <c r="AP5">
        <v>8071</v>
      </c>
      <c r="AQ5">
        <v>4452</v>
      </c>
      <c r="AR5">
        <v>37</v>
      </c>
      <c r="AS5">
        <v>19</v>
      </c>
      <c r="AT5">
        <v>7373</v>
      </c>
      <c r="AU5">
        <v>4112</v>
      </c>
      <c r="AV5">
        <v>224</v>
      </c>
      <c r="AW5">
        <v>117</v>
      </c>
    </row>
    <row r="6" spans="1:49" x14ac:dyDescent="0.25">
      <c r="A6" t="s">
        <v>285</v>
      </c>
      <c r="B6">
        <v>26921</v>
      </c>
      <c r="C6">
        <v>12429</v>
      </c>
      <c r="D6">
        <v>4424</v>
      </c>
      <c r="E6">
        <v>1663</v>
      </c>
      <c r="F6">
        <v>25295</v>
      </c>
      <c r="G6">
        <v>12431</v>
      </c>
      <c r="H6">
        <v>3017</v>
      </c>
      <c r="I6">
        <v>1148</v>
      </c>
      <c r="J6">
        <v>23026</v>
      </c>
      <c r="K6">
        <v>10869</v>
      </c>
      <c r="L6">
        <v>2348</v>
      </c>
      <c r="M6">
        <v>841</v>
      </c>
      <c r="N6">
        <v>22261</v>
      </c>
      <c r="O6">
        <v>12865</v>
      </c>
      <c r="P6">
        <v>1767</v>
      </c>
      <c r="Q6">
        <v>628</v>
      </c>
      <c r="R6">
        <v>21037</v>
      </c>
      <c r="S6">
        <v>13976</v>
      </c>
      <c r="T6">
        <v>1288</v>
      </c>
      <c r="U6">
        <v>443</v>
      </c>
      <c r="V6">
        <v>19977</v>
      </c>
      <c r="W6">
        <v>9820</v>
      </c>
      <c r="X6">
        <v>862</v>
      </c>
      <c r="Y6">
        <v>287</v>
      </c>
      <c r="Z6">
        <v>16844</v>
      </c>
      <c r="AA6">
        <v>8991</v>
      </c>
      <c r="AB6">
        <v>141</v>
      </c>
      <c r="AC6">
        <v>72</v>
      </c>
      <c r="AD6">
        <v>14422</v>
      </c>
      <c r="AE6">
        <v>7846</v>
      </c>
      <c r="AF6">
        <v>131</v>
      </c>
      <c r="AG6">
        <v>46</v>
      </c>
      <c r="AH6">
        <v>12577</v>
      </c>
      <c r="AI6">
        <v>6878</v>
      </c>
      <c r="AJ6">
        <v>251</v>
      </c>
      <c r="AK6">
        <v>97</v>
      </c>
      <c r="AL6">
        <v>9403</v>
      </c>
      <c r="AM6">
        <v>5311</v>
      </c>
      <c r="AN6">
        <v>48</v>
      </c>
      <c r="AO6">
        <v>24</v>
      </c>
      <c r="AP6">
        <v>8448</v>
      </c>
      <c r="AQ6">
        <v>4748</v>
      </c>
      <c r="AR6">
        <v>63</v>
      </c>
      <c r="AS6">
        <v>31</v>
      </c>
      <c r="AT6">
        <v>7491</v>
      </c>
      <c r="AU6">
        <v>4278</v>
      </c>
      <c r="AV6">
        <v>209</v>
      </c>
      <c r="AW6">
        <v>127</v>
      </c>
    </row>
    <row r="7" spans="1:49" x14ac:dyDescent="0.25">
      <c r="A7" t="s">
        <v>286</v>
      </c>
      <c r="B7">
        <v>14183</v>
      </c>
      <c r="C7">
        <v>6774</v>
      </c>
      <c r="D7">
        <v>1930</v>
      </c>
      <c r="E7">
        <v>746</v>
      </c>
      <c r="F7">
        <v>13382</v>
      </c>
      <c r="G7">
        <v>6424</v>
      </c>
      <c r="H7">
        <v>1325</v>
      </c>
      <c r="I7">
        <v>450</v>
      </c>
      <c r="J7">
        <v>12271</v>
      </c>
      <c r="K7">
        <v>5847</v>
      </c>
      <c r="L7">
        <v>1079</v>
      </c>
      <c r="M7">
        <v>326</v>
      </c>
      <c r="N7">
        <v>11813</v>
      </c>
      <c r="O7">
        <v>6099</v>
      </c>
      <c r="P7">
        <v>798</v>
      </c>
      <c r="Q7">
        <v>242</v>
      </c>
      <c r="R7">
        <v>11284</v>
      </c>
      <c r="S7">
        <v>6292</v>
      </c>
      <c r="T7">
        <v>647</v>
      </c>
      <c r="U7">
        <v>201</v>
      </c>
      <c r="V7">
        <v>10817</v>
      </c>
      <c r="W7">
        <v>5443</v>
      </c>
      <c r="X7">
        <v>383</v>
      </c>
      <c r="Y7">
        <v>101</v>
      </c>
      <c r="Z7">
        <v>9783</v>
      </c>
      <c r="AA7">
        <v>5297</v>
      </c>
      <c r="AB7">
        <v>54</v>
      </c>
      <c r="AC7">
        <v>24</v>
      </c>
      <c r="AD7">
        <v>8517</v>
      </c>
      <c r="AE7">
        <v>4623</v>
      </c>
      <c r="AF7">
        <v>60</v>
      </c>
      <c r="AG7">
        <v>20</v>
      </c>
      <c r="AH7">
        <v>7020</v>
      </c>
      <c r="AI7">
        <v>3842</v>
      </c>
      <c r="AJ7">
        <v>60</v>
      </c>
      <c r="AK7">
        <v>27</v>
      </c>
      <c r="AL7">
        <v>4856</v>
      </c>
      <c r="AM7">
        <v>2752</v>
      </c>
      <c r="AN7">
        <v>7</v>
      </c>
      <c r="AO7">
        <v>2</v>
      </c>
      <c r="AP7">
        <v>4148</v>
      </c>
      <c r="AQ7">
        <v>2276</v>
      </c>
      <c r="AR7">
        <v>3</v>
      </c>
      <c r="AS7">
        <v>1</v>
      </c>
      <c r="AT7">
        <v>3749</v>
      </c>
      <c r="AU7">
        <v>2150</v>
      </c>
      <c r="AV7">
        <v>134</v>
      </c>
      <c r="AW7">
        <v>70</v>
      </c>
    </row>
    <row r="8" spans="1:49" x14ac:dyDescent="0.25">
      <c r="A8" t="s">
        <v>287</v>
      </c>
      <c r="B8">
        <v>19207</v>
      </c>
      <c r="C8">
        <v>9013</v>
      </c>
      <c r="D8">
        <v>2057</v>
      </c>
      <c r="E8">
        <v>846</v>
      </c>
      <c r="F8">
        <v>18981</v>
      </c>
      <c r="G8">
        <v>9253</v>
      </c>
      <c r="H8">
        <v>1189</v>
      </c>
      <c r="I8">
        <v>481</v>
      </c>
      <c r="J8">
        <v>18125</v>
      </c>
      <c r="K8">
        <v>8613</v>
      </c>
      <c r="L8">
        <v>1092</v>
      </c>
      <c r="M8">
        <v>446</v>
      </c>
      <c r="N8">
        <v>17017</v>
      </c>
      <c r="O8">
        <v>8193</v>
      </c>
      <c r="P8">
        <v>867</v>
      </c>
      <c r="Q8">
        <v>335</v>
      </c>
      <c r="R8">
        <v>16776</v>
      </c>
      <c r="S8">
        <v>8084</v>
      </c>
      <c r="T8">
        <v>591</v>
      </c>
      <c r="U8">
        <v>228</v>
      </c>
      <c r="V8">
        <v>16371</v>
      </c>
      <c r="W8">
        <v>7988</v>
      </c>
      <c r="X8">
        <v>464</v>
      </c>
      <c r="Y8">
        <v>169</v>
      </c>
      <c r="Z8">
        <v>14031</v>
      </c>
      <c r="AA8">
        <v>7349</v>
      </c>
      <c r="AB8">
        <v>64</v>
      </c>
      <c r="AC8">
        <v>13</v>
      </c>
      <c r="AD8">
        <v>11429</v>
      </c>
      <c r="AE8">
        <v>5943</v>
      </c>
      <c r="AF8">
        <v>54</v>
      </c>
      <c r="AG8">
        <v>19</v>
      </c>
      <c r="AH8">
        <v>9190</v>
      </c>
      <c r="AI8">
        <v>4759</v>
      </c>
      <c r="AJ8">
        <v>135</v>
      </c>
      <c r="AK8">
        <v>35</v>
      </c>
      <c r="AL8">
        <v>5900</v>
      </c>
      <c r="AM8">
        <v>3098</v>
      </c>
      <c r="AN8">
        <v>36</v>
      </c>
      <c r="AO8">
        <v>8</v>
      </c>
      <c r="AP8">
        <v>4937</v>
      </c>
      <c r="AQ8">
        <v>2577</v>
      </c>
      <c r="AR8">
        <v>27</v>
      </c>
      <c r="AS8">
        <v>19</v>
      </c>
      <c r="AT8">
        <v>4226</v>
      </c>
      <c r="AU8">
        <v>2279</v>
      </c>
      <c r="AV8">
        <v>48</v>
      </c>
      <c r="AW8">
        <v>21</v>
      </c>
    </row>
    <row r="9" spans="1:49" x14ac:dyDescent="0.25">
      <c r="A9" t="s">
        <v>288</v>
      </c>
      <c r="B9">
        <v>20594</v>
      </c>
      <c r="C9">
        <v>9975</v>
      </c>
      <c r="D9">
        <v>3077</v>
      </c>
      <c r="E9">
        <v>1254</v>
      </c>
      <c r="F9">
        <v>19597</v>
      </c>
      <c r="G9">
        <v>9108</v>
      </c>
      <c r="H9">
        <v>1580</v>
      </c>
      <c r="I9">
        <v>578</v>
      </c>
      <c r="J9">
        <v>17053</v>
      </c>
      <c r="K9">
        <v>8140</v>
      </c>
      <c r="L9">
        <v>1347</v>
      </c>
      <c r="M9">
        <v>478</v>
      </c>
      <c r="N9">
        <v>16157</v>
      </c>
      <c r="O9">
        <v>9508</v>
      </c>
      <c r="P9">
        <v>864</v>
      </c>
      <c r="Q9">
        <v>315</v>
      </c>
      <c r="R9">
        <v>14283</v>
      </c>
      <c r="S9">
        <v>9443</v>
      </c>
      <c r="T9">
        <v>566</v>
      </c>
      <c r="U9">
        <v>189</v>
      </c>
      <c r="V9">
        <v>13610</v>
      </c>
      <c r="W9">
        <v>6983</v>
      </c>
      <c r="X9">
        <v>426</v>
      </c>
      <c r="Y9">
        <v>139</v>
      </c>
      <c r="Z9">
        <v>11644</v>
      </c>
      <c r="AA9">
        <v>6234</v>
      </c>
      <c r="AB9">
        <v>85</v>
      </c>
      <c r="AC9">
        <v>34</v>
      </c>
      <c r="AD9">
        <v>10016</v>
      </c>
      <c r="AE9">
        <v>5484</v>
      </c>
      <c r="AF9">
        <v>47</v>
      </c>
      <c r="AG9">
        <v>9</v>
      </c>
      <c r="AH9">
        <v>8662</v>
      </c>
      <c r="AI9">
        <v>4605</v>
      </c>
      <c r="AJ9">
        <v>107</v>
      </c>
      <c r="AK9">
        <v>34</v>
      </c>
      <c r="AL9">
        <v>6441</v>
      </c>
      <c r="AM9">
        <v>3703</v>
      </c>
      <c r="AN9">
        <v>26</v>
      </c>
      <c r="AO9">
        <v>4</v>
      </c>
      <c r="AP9">
        <v>5743</v>
      </c>
      <c r="AQ9">
        <v>3162</v>
      </c>
      <c r="AR9">
        <v>9</v>
      </c>
      <c r="AS9">
        <v>2</v>
      </c>
      <c r="AT9">
        <v>4964</v>
      </c>
      <c r="AU9">
        <v>2818</v>
      </c>
      <c r="AV9">
        <v>90</v>
      </c>
      <c r="AW9">
        <v>32</v>
      </c>
    </row>
    <row r="10" spans="1:49" x14ac:dyDescent="0.25">
      <c r="A10" t="s">
        <v>289</v>
      </c>
      <c r="B10">
        <v>14818</v>
      </c>
      <c r="C10">
        <v>6860</v>
      </c>
      <c r="D10">
        <v>1593</v>
      </c>
      <c r="E10">
        <v>631</v>
      </c>
      <c r="F10">
        <v>13809</v>
      </c>
      <c r="G10">
        <v>6571</v>
      </c>
      <c r="H10">
        <v>860</v>
      </c>
      <c r="I10">
        <v>278</v>
      </c>
      <c r="J10">
        <v>12471</v>
      </c>
      <c r="K10">
        <v>5798</v>
      </c>
      <c r="L10">
        <v>600</v>
      </c>
      <c r="M10">
        <v>181</v>
      </c>
      <c r="N10">
        <v>11982</v>
      </c>
      <c r="O10">
        <v>5751</v>
      </c>
      <c r="P10">
        <v>422</v>
      </c>
      <c r="Q10">
        <v>153</v>
      </c>
      <c r="R10">
        <v>11282</v>
      </c>
      <c r="S10">
        <v>5425</v>
      </c>
      <c r="T10">
        <v>285</v>
      </c>
      <c r="U10">
        <v>86</v>
      </c>
      <c r="V10">
        <v>11154</v>
      </c>
      <c r="W10">
        <v>5394</v>
      </c>
      <c r="X10">
        <v>260</v>
      </c>
      <c r="Y10">
        <v>79</v>
      </c>
      <c r="Z10">
        <v>10392</v>
      </c>
      <c r="AA10">
        <v>5331</v>
      </c>
      <c r="AB10">
        <v>143</v>
      </c>
      <c r="AC10">
        <v>56</v>
      </c>
      <c r="AD10">
        <v>9057</v>
      </c>
      <c r="AE10">
        <v>4815</v>
      </c>
      <c r="AF10">
        <v>72</v>
      </c>
      <c r="AG10">
        <v>32</v>
      </c>
      <c r="AH10">
        <v>7982</v>
      </c>
      <c r="AI10">
        <v>4156</v>
      </c>
      <c r="AJ10">
        <v>199</v>
      </c>
      <c r="AK10">
        <v>51</v>
      </c>
      <c r="AL10">
        <v>5526</v>
      </c>
      <c r="AM10">
        <v>2953</v>
      </c>
      <c r="AN10">
        <v>43</v>
      </c>
      <c r="AO10">
        <v>17</v>
      </c>
      <c r="AP10">
        <v>5312</v>
      </c>
      <c r="AQ10">
        <v>2788</v>
      </c>
      <c r="AR10">
        <v>34</v>
      </c>
      <c r="AS10">
        <v>18</v>
      </c>
      <c r="AT10">
        <v>4629</v>
      </c>
      <c r="AU10">
        <v>2473</v>
      </c>
      <c r="AV10">
        <v>102</v>
      </c>
      <c r="AW10">
        <v>44</v>
      </c>
    </row>
    <row r="11" spans="1:49" x14ac:dyDescent="0.25">
      <c r="A11" t="s">
        <v>290</v>
      </c>
      <c r="B11">
        <v>31962</v>
      </c>
      <c r="C11">
        <v>14772</v>
      </c>
      <c r="D11">
        <v>5786</v>
      </c>
      <c r="E11">
        <v>2239</v>
      </c>
      <c r="F11">
        <v>29303</v>
      </c>
      <c r="G11">
        <v>13751</v>
      </c>
      <c r="H11">
        <v>3874</v>
      </c>
      <c r="I11">
        <v>1452</v>
      </c>
      <c r="J11">
        <v>27449</v>
      </c>
      <c r="K11">
        <v>12960</v>
      </c>
      <c r="L11">
        <v>3247</v>
      </c>
      <c r="M11">
        <v>1215</v>
      </c>
      <c r="N11">
        <v>25903</v>
      </c>
      <c r="O11">
        <v>12553</v>
      </c>
      <c r="P11">
        <v>2570</v>
      </c>
      <c r="Q11">
        <v>910</v>
      </c>
      <c r="R11">
        <v>24049</v>
      </c>
      <c r="S11">
        <v>11469</v>
      </c>
      <c r="T11">
        <v>1989</v>
      </c>
      <c r="U11">
        <v>670</v>
      </c>
      <c r="V11">
        <v>23034</v>
      </c>
      <c r="W11">
        <v>11198</v>
      </c>
      <c r="X11">
        <v>1344</v>
      </c>
      <c r="Y11">
        <v>491</v>
      </c>
      <c r="Z11">
        <v>20965</v>
      </c>
      <c r="AA11">
        <v>10761</v>
      </c>
      <c r="AB11">
        <v>193</v>
      </c>
      <c r="AC11">
        <v>79</v>
      </c>
      <c r="AD11">
        <v>18850</v>
      </c>
      <c r="AE11">
        <v>9905</v>
      </c>
      <c r="AF11">
        <v>199</v>
      </c>
      <c r="AG11">
        <v>76</v>
      </c>
      <c r="AH11">
        <v>15976</v>
      </c>
      <c r="AI11">
        <v>8308</v>
      </c>
      <c r="AJ11">
        <v>186</v>
      </c>
      <c r="AK11">
        <v>47</v>
      </c>
      <c r="AL11">
        <v>11393</v>
      </c>
      <c r="AM11">
        <v>6220</v>
      </c>
      <c r="AN11">
        <v>77</v>
      </c>
      <c r="AO11">
        <v>28</v>
      </c>
      <c r="AP11">
        <v>10235</v>
      </c>
      <c r="AQ11">
        <v>5614</v>
      </c>
      <c r="AR11">
        <v>33</v>
      </c>
      <c r="AS11">
        <v>8</v>
      </c>
      <c r="AT11">
        <v>8845</v>
      </c>
      <c r="AU11">
        <v>4970</v>
      </c>
      <c r="AV11">
        <v>163</v>
      </c>
      <c r="AW11">
        <v>71</v>
      </c>
    </row>
    <row r="12" spans="1:49" x14ac:dyDescent="0.25">
      <c r="A12" t="s">
        <v>291</v>
      </c>
      <c r="B12">
        <v>1079</v>
      </c>
      <c r="C12">
        <v>499</v>
      </c>
      <c r="D12">
        <v>136</v>
      </c>
      <c r="E12">
        <v>51</v>
      </c>
      <c r="F12">
        <v>1055</v>
      </c>
      <c r="G12">
        <v>508</v>
      </c>
      <c r="H12">
        <v>78</v>
      </c>
      <c r="I12">
        <v>23</v>
      </c>
      <c r="J12">
        <v>948</v>
      </c>
      <c r="K12">
        <v>466</v>
      </c>
      <c r="L12">
        <v>40</v>
      </c>
      <c r="M12">
        <v>12</v>
      </c>
      <c r="N12">
        <v>881</v>
      </c>
      <c r="O12">
        <v>423</v>
      </c>
      <c r="P12">
        <v>21</v>
      </c>
      <c r="Q12">
        <v>4</v>
      </c>
      <c r="R12">
        <v>798</v>
      </c>
      <c r="S12">
        <v>381</v>
      </c>
      <c r="T12">
        <v>21</v>
      </c>
      <c r="U12">
        <v>7</v>
      </c>
      <c r="V12">
        <v>720</v>
      </c>
      <c r="W12">
        <v>344</v>
      </c>
      <c r="X12">
        <v>9</v>
      </c>
      <c r="Y12">
        <v>2</v>
      </c>
      <c r="Z12">
        <v>646</v>
      </c>
      <c r="AA12">
        <v>367</v>
      </c>
      <c r="AB12">
        <v>4</v>
      </c>
      <c r="AC12">
        <v>1</v>
      </c>
      <c r="AD12">
        <v>571</v>
      </c>
      <c r="AE12">
        <v>290</v>
      </c>
      <c r="AF12">
        <v>3</v>
      </c>
      <c r="AG12">
        <v>0</v>
      </c>
      <c r="AH12">
        <v>516</v>
      </c>
      <c r="AI12">
        <v>261</v>
      </c>
      <c r="AJ12">
        <v>37</v>
      </c>
      <c r="AK12">
        <v>10</v>
      </c>
      <c r="AL12">
        <v>329</v>
      </c>
      <c r="AM12">
        <v>184</v>
      </c>
      <c r="AN12">
        <v>0</v>
      </c>
      <c r="AO12">
        <v>0</v>
      </c>
      <c r="AP12">
        <v>335</v>
      </c>
      <c r="AQ12">
        <v>184</v>
      </c>
      <c r="AR12">
        <v>0</v>
      </c>
      <c r="AS12">
        <v>0</v>
      </c>
      <c r="AT12">
        <v>319</v>
      </c>
      <c r="AU12">
        <v>153</v>
      </c>
      <c r="AV12">
        <v>1</v>
      </c>
      <c r="AW12">
        <v>1</v>
      </c>
    </row>
    <row r="13" spans="1:49" x14ac:dyDescent="0.25">
      <c r="A13" t="s">
        <v>292</v>
      </c>
      <c r="B13">
        <v>3590</v>
      </c>
      <c r="C13">
        <v>1763</v>
      </c>
      <c r="D13">
        <v>366</v>
      </c>
      <c r="E13">
        <v>154</v>
      </c>
      <c r="F13">
        <v>3371</v>
      </c>
      <c r="G13">
        <v>1571</v>
      </c>
      <c r="H13">
        <v>233</v>
      </c>
      <c r="I13">
        <v>88</v>
      </c>
      <c r="J13">
        <v>2816</v>
      </c>
      <c r="K13">
        <v>1330</v>
      </c>
      <c r="L13">
        <v>123</v>
      </c>
      <c r="M13">
        <v>44</v>
      </c>
      <c r="N13">
        <v>2628</v>
      </c>
      <c r="O13">
        <v>1259</v>
      </c>
      <c r="P13">
        <v>61</v>
      </c>
      <c r="Q13">
        <v>21</v>
      </c>
      <c r="R13">
        <v>2438</v>
      </c>
      <c r="S13">
        <v>1178</v>
      </c>
      <c r="T13">
        <v>69</v>
      </c>
      <c r="U13">
        <v>25</v>
      </c>
      <c r="V13">
        <v>2362</v>
      </c>
      <c r="W13">
        <v>1144</v>
      </c>
      <c r="X13">
        <v>35</v>
      </c>
      <c r="Y13">
        <v>9</v>
      </c>
      <c r="Z13">
        <v>2144</v>
      </c>
      <c r="AA13">
        <v>1085</v>
      </c>
      <c r="AB13">
        <v>21</v>
      </c>
      <c r="AC13">
        <v>9</v>
      </c>
      <c r="AD13">
        <v>1873</v>
      </c>
      <c r="AE13">
        <v>1008</v>
      </c>
      <c r="AF13">
        <v>25</v>
      </c>
      <c r="AG13">
        <v>7</v>
      </c>
      <c r="AH13">
        <v>1690</v>
      </c>
      <c r="AI13">
        <v>841</v>
      </c>
      <c r="AJ13">
        <v>46</v>
      </c>
      <c r="AK13">
        <v>12</v>
      </c>
      <c r="AL13">
        <v>1243</v>
      </c>
      <c r="AM13">
        <v>643</v>
      </c>
      <c r="AN13">
        <v>4</v>
      </c>
      <c r="AO13">
        <v>1</v>
      </c>
      <c r="AP13">
        <v>1048</v>
      </c>
      <c r="AQ13">
        <v>540</v>
      </c>
      <c r="AR13">
        <v>1</v>
      </c>
      <c r="AS13">
        <v>0</v>
      </c>
      <c r="AT13">
        <v>840</v>
      </c>
      <c r="AU13">
        <v>438</v>
      </c>
      <c r="AV13">
        <v>11</v>
      </c>
      <c r="AW13">
        <v>6</v>
      </c>
    </row>
    <row r="14" spans="1:49" x14ac:dyDescent="0.25">
      <c r="A14" t="s">
        <v>293</v>
      </c>
      <c r="B14">
        <v>13526</v>
      </c>
      <c r="C14">
        <v>6401</v>
      </c>
      <c r="D14">
        <v>2434</v>
      </c>
      <c r="E14">
        <v>1003</v>
      </c>
      <c r="F14">
        <v>12639</v>
      </c>
      <c r="G14">
        <v>6112</v>
      </c>
      <c r="H14">
        <v>1440</v>
      </c>
      <c r="I14">
        <v>552</v>
      </c>
      <c r="J14">
        <v>10818</v>
      </c>
      <c r="K14">
        <v>5547</v>
      </c>
      <c r="L14">
        <v>1003</v>
      </c>
      <c r="M14">
        <v>400</v>
      </c>
      <c r="N14">
        <v>10237</v>
      </c>
      <c r="O14">
        <v>5906</v>
      </c>
      <c r="P14">
        <v>742</v>
      </c>
      <c r="Q14">
        <v>275</v>
      </c>
      <c r="R14">
        <v>8909</v>
      </c>
      <c r="S14">
        <v>5192</v>
      </c>
      <c r="T14">
        <v>454</v>
      </c>
      <c r="U14">
        <v>167</v>
      </c>
      <c r="V14">
        <v>7875</v>
      </c>
      <c r="W14">
        <v>4050</v>
      </c>
      <c r="X14">
        <v>304</v>
      </c>
      <c r="Y14">
        <v>135</v>
      </c>
      <c r="Z14">
        <v>5908</v>
      </c>
      <c r="AA14">
        <v>3239</v>
      </c>
      <c r="AB14">
        <v>50</v>
      </c>
      <c r="AC14">
        <v>16</v>
      </c>
      <c r="AD14">
        <v>4668</v>
      </c>
      <c r="AE14">
        <v>2535</v>
      </c>
      <c r="AF14">
        <v>24</v>
      </c>
      <c r="AG14">
        <v>4</v>
      </c>
      <c r="AH14">
        <v>3804</v>
      </c>
      <c r="AI14">
        <v>2013</v>
      </c>
      <c r="AJ14">
        <v>104</v>
      </c>
      <c r="AK14">
        <v>26</v>
      </c>
      <c r="AL14">
        <v>2515</v>
      </c>
      <c r="AM14">
        <v>1414</v>
      </c>
      <c r="AN14">
        <v>1</v>
      </c>
      <c r="AO14">
        <v>1</v>
      </c>
      <c r="AP14">
        <v>2193</v>
      </c>
      <c r="AQ14">
        <v>1240</v>
      </c>
      <c r="AR14">
        <v>1</v>
      </c>
      <c r="AS14">
        <v>1</v>
      </c>
      <c r="AT14">
        <v>1948</v>
      </c>
      <c r="AU14">
        <v>1052</v>
      </c>
      <c r="AV14">
        <v>23</v>
      </c>
      <c r="AW14">
        <v>11</v>
      </c>
    </row>
    <row r="15" spans="1:49" x14ac:dyDescent="0.25">
      <c r="A15" t="s">
        <v>294</v>
      </c>
      <c r="B15">
        <v>3166</v>
      </c>
      <c r="C15">
        <v>1515</v>
      </c>
      <c r="D15">
        <v>356</v>
      </c>
      <c r="E15">
        <v>151</v>
      </c>
      <c r="F15">
        <v>2861</v>
      </c>
      <c r="G15">
        <v>1395</v>
      </c>
      <c r="H15">
        <v>264</v>
      </c>
      <c r="I15">
        <v>87</v>
      </c>
      <c r="J15">
        <v>2654</v>
      </c>
      <c r="K15">
        <v>1411</v>
      </c>
      <c r="L15">
        <v>218</v>
      </c>
      <c r="M15">
        <v>97</v>
      </c>
      <c r="N15">
        <v>2457</v>
      </c>
      <c r="O15">
        <v>1321</v>
      </c>
      <c r="P15">
        <v>85</v>
      </c>
      <c r="Q15">
        <v>36</v>
      </c>
      <c r="R15">
        <v>2170</v>
      </c>
      <c r="S15">
        <v>1166</v>
      </c>
      <c r="T15">
        <v>86</v>
      </c>
      <c r="U15">
        <v>27</v>
      </c>
      <c r="V15">
        <v>1917</v>
      </c>
      <c r="W15">
        <v>1051</v>
      </c>
      <c r="X15">
        <v>52</v>
      </c>
      <c r="Y15">
        <v>11</v>
      </c>
      <c r="Z15">
        <v>1562</v>
      </c>
      <c r="AA15">
        <v>793</v>
      </c>
      <c r="AB15">
        <v>27</v>
      </c>
      <c r="AC15">
        <v>3</v>
      </c>
      <c r="AD15">
        <v>1166</v>
      </c>
      <c r="AE15">
        <v>639</v>
      </c>
      <c r="AF15">
        <v>19</v>
      </c>
      <c r="AG15">
        <v>2</v>
      </c>
      <c r="AH15">
        <v>993</v>
      </c>
      <c r="AI15">
        <v>529</v>
      </c>
      <c r="AJ15">
        <v>33</v>
      </c>
      <c r="AK15">
        <v>15</v>
      </c>
      <c r="AL15">
        <v>744</v>
      </c>
      <c r="AM15">
        <v>400</v>
      </c>
      <c r="AN15">
        <v>5</v>
      </c>
      <c r="AO15">
        <v>3</v>
      </c>
      <c r="AP15">
        <v>669</v>
      </c>
      <c r="AQ15">
        <v>364</v>
      </c>
      <c r="AR15">
        <v>1</v>
      </c>
      <c r="AS15">
        <v>0</v>
      </c>
      <c r="AT15">
        <v>504</v>
      </c>
      <c r="AU15">
        <v>277</v>
      </c>
      <c r="AV15">
        <v>15</v>
      </c>
      <c r="AW15">
        <v>7</v>
      </c>
    </row>
    <row r="16" spans="1:49" x14ac:dyDescent="0.25">
      <c r="A16" t="s">
        <v>295</v>
      </c>
      <c r="B16">
        <v>8162</v>
      </c>
      <c r="C16">
        <v>3768</v>
      </c>
      <c r="D16">
        <v>1255</v>
      </c>
      <c r="E16">
        <v>471</v>
      </c>
      <c r="F16">
        <v>7126</v>
      </c>
      <c r="G16">
        <v>3281</v>
      </c>
      <c r="H16">
        <v>750</v>
      </c>
      <c r="I16">
        <v>277</v>
      </c>
      <c r="J16">
        <v>6572</v>
      </c>
      <c r="K16">
        <v>3080</v>
      </c>
      <c r="L16">
        <v>532</v>
      </c>
      <c r="M16">
        <v>187</v>
      </c>
      <c r="N16">
        <v>5880</v>
      </c>
      <c r="O16">
        <v>2735</v>
      </c>
      <c r="P16">
        <v>386</v>
      </c>
      <c r="Q16">
        <v>139</v>
      </c>
      <c r="R16">
        <v>5386</v>
      </c>
      <c r="S16">
        <v>2702</v>
      </c>
      <c r="T16">
        <v>203</v>
      </c>
      <c r="U16">
        <v>85</v>
      </c>
      <c r="V16">
        <v>4916</v>
      </c>
      <c r="W16">
        <v>2514</v>
      </c>
      <c r="X16">
        <v>116</v>
      </c>
      <c r="Y16">
        <v>45</v>
      </c>
      <c r="Z16">
        <v>4239</v>
      </c>
      <c r="AA16">
        <v>2248</v>
      </c>
      <c r="AB16">
        <v>84</v>
      </c>
      <c r="AC16">
        <v>37</v>
      </c>
      <c r="AD16">
        <v>3564</v>
      </c>
      <c r="AE16">
        <v>1916</v>
      </c>
      <c r="AF16">
        <v>50</v>
      </c>
      <c r="AG16">
        <v>14</v>
      </c>
      <c r="AH16">
        <v>2938</v>
      </c>
      <c r="AI16">
        <v>1615</v>
      </c>
      <c r="AJ16">
        <v>53</v>
      </c>
      <c r="AK16">
        <v>14</v>
      </c>
      <c r="AL16">
        <v>2126</v>
      </c>
      <c r="AM16">
        <v>1087</v>
      </c>
      <c r="AN16">
        <v>41</v>
      </c>
      <c r="AO16">
        <v>15</v>
      </c>
      <c r="AP16">
        <v>1763</v>
      </c>
      <c r="AQ16">
        <v>938</v>
      </c>
      <c r="AR16">
        <v>19</v>
      </c>
      <c r="AS16">
        <v>10</v>
      </c>
      <c r="AT16">
        <v>1460</v>
      </c>
      <c r="AU16">
        <v>779</v>
      </c>
      <c r="AV16">
        <v>58</v>
      </c>
      <c r="AW16">
        <v>24</v>
      </c>
    </row>
    <row r="17" spans="1:49" x14ac:dyDescent="0.25">
      <c r="A17" t="s">
        <v>296</v>
      </c>
      <c r="B17">
        <v>2114</v>
      </c>
      <c r="C17">
        <v>1015</v>
      </c>
      <c r="D17">
        <v>341</v>
      </c>
      <c r="E17">
        <v>131</v>
      </c>
      <c r="F17">
        <v>1716</v>
      </c>
      <c r="G17">
        <v>811</v>
      </c>
      <c r="H17">
        <v>159</v>
      </c>
      <c r="I17">
        <v>66</v>
      </c>
      <c r="J17">
        <v>1705</v>
      </c>
      <c r="K17">
        <v>839</v>
      </c>
      <c r="L17">
        <v>138</v>
      </c>
      <c r="M17">
        <v>55</v>
      </c>
      <c r="N17">
        <v>1593</v>
      </c>
      <c r="O17">
        <v>774</v>
      </c>
      <c r="P17">
        <v>93</v>
      </c>
      <c r="Q17">
        <v>39</v>
      </c>
      <c r="R17">
        <v>1441</v>
      </c>
      <c r="S17">
        <v>737</v>
      </c>
      <c r="T17">
        <v>83</v>
      </c>
      <c r="U17">
        <v>31</v>
      </c>
      <c r="V17">
        <v>1312</v>
      </c>
      <c r="W17">
        <v>652</v>
      </c>
      <c r="X17">
        <v>18</v>
      </c>
      <c r="Y17">
        <v>10</v>
      </c>
      <c r="Z17">
        <v>1354</v>
      </c>
      <c r="AA17">
        <v>714</v>
      </c>
      <c r="AB17">
        <v>20</v>
      </c>
      <c r="AC17">
        <v>4</v>
      </c>
      <c r="AD17">
        <v>1203</v>
      </c>
      <c r="AE17">
        <v>631</v>
      </c>
      <c r="AF17">
        <v>9</v>
      </c>
      <c r="AG17">
        <v>2</v>
      </c>
      <c r="AH17">
        <v>1007</v>
      </c>
      <c r="AI17">
        <v>553</v>
      </c>
      <c r="AJ17">
        <v>47</v>
      </c>
      <c r="AK17">
        <v>21</v>
      </c>
      <c r="AL17">
        <v>696</v>
      </c>
      <c r="AM17">
        <v>417</v>
      </c>
      <c r="AN17">
        <v>15</v>
      </c>
      <c r="AO17">
        <v>5</v>
      </c>
      <c r="AP17">
        <v>649</v>
      </c>
      <c r="AQ17">
        <v>351</v>
      </c>
      <c r="AR17">
        <v>5</v>
      </c>
      <c r="AS17">
        <v>1</v>
      </c>
      <c r="AT17">
        <v>513</v>
      </c>
      <c r="AU17">
        <v>288</v>
      </c>
      <c r="AV17">
        <v>19</v>
      </c>
      <c r="AW17">
        <v>10</v>
      </c>
    </row>
    <row r="18" spans="1:49" x14ac:dyDescent="0.25">
      <c r="A18" t="s">
        <v>297</v>
      </c>
      <c r="B18">
        <v>27221</v>
      </c>
      <c r="C18">
        <v>12592</v>
      </c>
      <c r="D18">
        <v>2802</v>
      </c>
      <c r="E18">
        <v>1117</v>
      </c>
      <c r="F18">
        <v>23087</v>
      </c>
      <c r="G18">
        <v>11019</v>
      </c>
      <c r="H18">
        <v>1684</v>
      </c>
      <c r="I18">
        <v>665</v>
      </c>
      <c r="J18">
        <v>22053</v>
      </c>
      <c r="K18">
        <v>10201</v>
      </c>
      <c r="L18">
        <v>1287</v>
      </c>
      <c r="M18">
        <v>462</v>
      </c>
      <c r="N18">
        <v>22636</v>
      </c>
      <c r="O18">
        <v>10941</v>
      </c>
      <c r="P18">
        <v>931</v>
      </c>
      <c r="Q18">
        <v>356</v>
      </c>
      <c r="R18">
        <v>20740</v>
      </c>
      <c r="S18">
        <v>10032</v>
      </c>
      <c r="T18">
        <v>583</v>
      </c>
      <c r="U18">
        <v>199</v>
      </c>
      <c r="V18">
        <v>19818</v>
      </c>
      <c r="W18">
        <v>9527</v>
      </c>
      <c r="X18">
        <v>407</v>
      </c>
      <c r="Y18">
        <v>155</v>
      </c>
      <c r="Z18">
        <v>20889</v>
      </c>
      <c r="AA18">
        <v>10281</v>
      </c>
      <c r="AB18">
        <v>259</v>
      </c>
      <c r="AC18">
        <v>119</v>
      </c>
      <c r="AD18">
        <v>19952</v>
      </c>
      <c r="AE18">
        <v>9921</v>
      </c>
      <c r="AF18">
        <v>318</v>
      </c>
      <c r="AG18">
        <v>144</v>
      </c>
      <c r="AH18">
        <v>18114</v>
      </c>
      <c r="AI18">
        <v>9050</v>
      </c>
      <c r="AJ18">
        <v>488</v>
      </c>
      <c r="AK18">
        <v>176</v>
      </c>
      <c r="AL18">
        <v>13448</v>
      </c>
      <c r="AM18">
        <v>6896</v>
      </c>
      <c r="AN18">
        <v>30</v>
      </c>
      <c r="AO18">
        <v>15</v>
      </c>
      <c r="AP18">
        <v>13790</v>
      </c>
      <c r="AQ18">
        <v>6988</v>
      </c>
      <c r="AR18">
        <v>17</v>
      </c>
      <c r="AS18">
        <v>5</v>
      </c>
      <c r="AT18">
        <v>13865</v>
      </c>
      <c r="AU18">
        <v>6958</v>
      </c>
      <c r="AV18">
        <v>664</v>
      </c>
      <c r="AW18">
        <v>286</v>
      </c>
    </row>
    <row r="19" spans="1:49" x14ac:dyDescent="0.25">
      <c r="A19" t="s">
        <v>298</v>
      </c>
      <c r="B19">
        <v>6219</v>
      </c>
      <c r="C19">
        <v>2900</v>
      </c>
      <c r="D19">
        <v>941</v>
      </c>
      <c r="E19">
        <v>395</v>
      </c>
      <c r="F19">
        <v>5248</v>
      </c>
      <c r="G19">
        <v>2491</v>
      </c>
      <c r="H19">
        <v>590</v>
      </c>
      <c r="I19">
        <v>244</v>
      </c>
      <c r="J19">
        <v>4753</v>
      </c>
      <c r="K19">
        <v>2251</v>
      </c>
      <c r="L19">
        <v>355</v>
      </c>
      <c r="M19">
        <v>142</v>
      </c>
      <c r="N19">
        <v>4332</v>
      </c>
      <c r="O19">
        <v>2086</v>
      </c>
      <c r="P19">
        <v>258</v>
      </c>
      <c r="Q19">
        <v>85</v>
      </c>
      <c r="R19">
        <v>4032</v>
      </c>
      <c r="S19">
        <v>1981</v>
      </c>
      <c r="T19">
        <v>139</v>
      </c>
      <c r="U19">
        <v>32</v>
      </c>
      <c r="V19">
        <v>3656</v>
      </c>
      <c r="W19">
        <v>1817</v>
      </c>
      <c r="X19">
        <v>136</v>
      </c>
      <c r="Y19">
        <v>41</v>
      </c>
      <c r="Z19">
        <v>3587</v>
      </c>
      <c r="AA19">
        <v>1870</v>
      </c>
      <c r="AB19">
        <v>55</v>
      </c>
      <c r="AC19">
        <v>15</v>
      </c>
      <c r="AD19">
        <v>2979</v>
      </c>
      <c r="AE19">
        <v>1541</v>
      </c>
      <c r="AF19">
        <v>18</v>
      </c>
      <c r="AG19">
        <v>8</v>
      </c>
      <c r="AH19">
        <v>2652</v>
      </c>
      <c r="AI19">
        <v>1284</v>
      </c>
      <c r="AJ19">
        <v>81</v>
      </c>
      <c r="AK19">
        <v>31</v>
      </c>
      <c r="AL19">
        <v>1798</v>
      </c>
      <c r="AM19">
        <v>965</v>
      </c>
      <c r="AN19">
        <v>6</v>
      </c>
      <c r="AO19">
        <v>2</v>
      </c>
      <c r="AP19">
        <v>1651</v>
      </c>
      <c r="AQ19">
        <v>844</v>
      </c>
      <c r="AR19">
        <v>1</v>
      </c>
      <c r="AS19">
        <v>0</v>
      </c>
      <c r="AT19">
        <v>1372</v>
      </c>
      <c r="AU19">
        <v>741</v>
      </c>
      <c r="AV19">
        <v>12</v>
      </c>
      <c r="AW19">
        <v>3</v>
      </c>
    </row>
    <row r="20" spans="1:49" x14ac:dyDescent="0.25">
      <c r="A20" t="s">
        <v>299</v>
      </c>
      <c r="B20">
        <v>8149</v>
      </c>
      <c r="C20">
        <v>3908</v>
      </c>
      <c r="D20">
        <v>1792</v>
      </c>
      <c r="E20">
        <v>748</v>
      </c>
      <c r="F20">
        <v>7142</v>
      </c>
      <c r="G20">
        <v>3513</v>
      </c>
      <c r="H20">
        <v>957</v>
      </c>
      <c r="I20">
        <v>381</v>
      </c>
      <c r="J20">
        <v>6755</v>
      </c>
      <c r="K20">
        <v>3193</v>
      </c>
      <c r="L20">
        <v>684</v>
      </c>
      <c r="M20">
        <v>282</v>
      </c>
      <c r="N20">
        <v>5957</v>
      </c>
      <c r="O20">
        <v>3012</v>
      </c>
      <c r="P20">
        <v>441</v>
      </c>
      <c r="Q20">
        <v>158</v>
      </c>
      <c r="R20">
        <v>5198</v>
      </c>
      <c r="S20">
        <v>2650</v>
      </c>
      <c r="T20">
        <v>246</v>
      </c>
      <c r="U20">
        <v>98</v>
      </c>
      <c r="V20">
        <v>4704</v>
      </c>
      <c r="W20">
        <v>2466</v>
      </c>
      <c r="X20">
        <v>113</v>
      </c>
      <c r="Y20">
        <v>37</v>
      </c>
      <c r="Z20">
        <v>4110</v>
      </c>
      <c r="AA20">
        <v>2185</v>
      </c>
      <c r="AB20">
        <v>24</v>
      </c>
      <c r="AC20">
        <v>7</v>
      </c>
      <c r="AD20">
        <v>3480</v>
      </c>
      <c r="AE20">
        <v>1938</v>
      </c>
      <c r="AF20">
        <v>8</v>
      </c>
      <c r="AG20">
        <v>1</v>
      </c>
      <c r="AH20">
        <v>3081</v>
      </c>
      <c r="AI20">
        <v>1710</v>
      </c>
      <c r="AJ20">
        <v>18</v>
      </c>
      <c r="AK20">
        <v>9</v>
      </c>
      <c r="AL20">
        <v>2286</v>
      </c>
      <c r="AM20">
        <v>1296</v>
      </c>
      <c r="AN20">
        <v>13</v>
      </c>
      <c r="AO20">
        <v>9</v>
      </c>
      <c r="AP20">
        <v>1857</v>
      </c>
      <c r="AQ20">
        <v>1014</v>
      </c>
      <c r="AR20">
        <v>1</v>
      </c>
      <c r="AS20">
        <v>0</v>
      </c>
      <c r="AT20">
        <v>1561</v>
      </c>
      <c r="AU20">
        <v>861</v>
      </c>
      <c r="AV20">
        <v>14</v>
      </c>
      <c r="AW20">
        <v>7</v>
      </c>
    </row>
    <row r="21" spans="1:49" x14ac:dyDescent="0.25">
      <c r="A21" t="s">
        <v>300</v>
      </c>
      <c r="B21">
        <v>27569</v>
      </c>
      <c r="C21">
        <v>12717</v>
      </c>
      <c r="D21">
        <v>3678</v>
      </c>
      <c r="E21">
        <v>1440</v>
      </c>
      <c r="F21">
        <v>26244</v>
      </c>
      <c r="G21">
        <v>12069</v>
      </c>
      <c r="H21">
        <v>2346</v>
      </c>
      <c r="I21">
        <v>847</v>
      </c>
      <c r="J21">
        <v>24337</v>
      </c>
      <c r="K21">
        <v>11298</v>
      </c>
      <c r="L21">
        <v>2076</v>
      </c>
      <c r="M21">
        <v>693</v>
      </c>
      <c r="N21">
        <v>23802</v>
      </c>
      <c r="O21">
        <v>11119</v>
      </c>
      <c r="P21">
        <v>1579</v>
      </c>
      <c r="Q21">
        <v>534</v>
      </c>
      <c r="R21">
        <v>23661</v>
      </c>
      <c r="S21">
        <v>11070</v>
      </c>
      <c r="T21">
        <v>1261</v>
      </c>
      <c r="U21">
        <v>437</v>
      </c>
      <c r="V21">
        <v>23118</v>
      </c>
      <c r="W21">
        <v>11147</v>
      </c>
      <c r="X21">
        <v>959</v>
      </c>
      <c r="Y21">
        <v>303</v>
      </c>
      <c r="Z21">
        <v>19676</v>
      </c>
      <c r="AA21">
        <v>10175</v>
      </c>
      <c r="AB21">
        <v>35</v>
      </c>
      <c r="AC21">
        <v>16</v>
      </c>
      <c r="AD21">
        <v>16992</v>
      </c>
      <c r="AE21">
        <v>8931</v>
      </c>
      <c r="AF21">
        <v>17</v>
      </c>
      <c r="AG21">
        <v>8</v>
      </c>
      <c r="AH21">
        <v>14153</v>
      </c>
      <c r="AI21">
        <v>7425</v>
      </c>
      <c r="AJ21">
        <v>150</v>
      </c>
      <c r="AK21">
        <v>63</v>
      </c>
      <c r="AL21">
        <v>9818</v>
      </c>
      <c r="AM21">
        <v>5310</v>
      </c>
      <c r="AN21">
        <v>15</v>
      </c>
      <c r="AO21">
        <v>3</v>
      </c>
      <c r="AP21">
        <v>8395</v>
      </c>
      <c r="AQ21">
        <v>4498</v>
      </c>
      <c r="AR21">
        <v>15</v>
      </c>
      <c r="AS21">
        <v>10</v>
      </c>
      <c r="AT21">
        <v>7503</v>
      </c>
      <c r="AU21">
        <v>4135</v>
      </c>
      <c r="AV21">
        <v>201</v>
      </c>
      <c r="AW21">
        <v>85</v>
      </c>
    </row>
    <row r="22" spans="1:49" x14ac:dyDescent="0.25">
      <c r="A22" t="s">
        <v>301</v>
      </c>
      <c r="B22">
        <v>14645</v>
      </c>
      <c r="C22">
        <v>6862</v>
      </c>
      <c r="D22">
        <v>2586</v>
      </c>
      <c r="E22">
        <v>1074</v>
      </c>
      <c r="F22">
        <v>15203</v>
      </c>
      <c r="G22">
        <v>8279</v>
      </c>
      <c r="H22">
        <v>1408</v>
      </c>
      <c r="I22">
        <v>550</v>
      </c>
      <c r="J22">
        <v>11668</v>
      </c>
      <c r="K22">
        <v>5810</v>
      </c>
      <c r="L22">
        <v>1129</v>
      </c>
      <c r="M22">
        <v>452</v>
      </c>
      <c r="N22">
        <v>10882</v>
      </c>
      <c r="O22">
        <v>5956</v>
      </c>
      <c r="P22">
        <v>677</v>
      </c>
      <c r="Q22">
        <v>233</v>
      </c>
      <c r="R22">
        <v>10156</v>
      </c>
      <c r="S22">
        <v>6233</v>
      </c>
      <c r="T22">
        <v>491</v>
      </c>
      <c r="U22">
        <v>163</v>
      </c>
      <c r="V22">
        <v>9534</v>
      </c>
      <c r="W22">
        <v>4876</v>
      </c>
      <c r="X22">
        <v>322</v>
      </c>
      <c r="Y22">
        <v>99</v>
      </c>
      <c r="Z22">
        <v>7979</v>
      </c>
      <c r="AA22">
        <v>4304</v>
      </c>
      <c r="AB22">
        <v>12</v>
      </c>
      <c r="AC22">
        <v>5</v>
      </c>
      <c r="AD22">
        <v>6750</v>
      </c>
      <c r="AE22">
        <v>3663</v>
      </c>
      <c r="AF22">
        <v>12</v>
      </c>
      <c r="AG22">
        <v>4</v>
      </c>
      <c r="AH22">
        <v>5811</v>
      </c>
      <c r="AI22">
        <v>3068</v>
      </c>
      <c r="AJ22">
        <v>39</v>
      </c>
      <c r="AK22">
        <v>17</v>
      </c>
      <c r="AL22">
        <v>4157</v>
      </c>
      <c r="AM22">
        <v>2345</v>
      </c>
      <c r="AN22">
        <v>0</v>
      </c>
      <c r="AO22">
        <v>0</v>
      </c>
      <c r="AP22">
        <v>3601</v>
      </c>
      <c r="AQ22">
        <v>1926</v>
      </c>
      <c r="AR22">
        <v>0</v>
      </c>
      <c r="AS22">
        <v>0</v>
      </c>
      <c r="AT22">
        <v>3062</v>
      </c>
      <c r="AU22">
        <v>1678</v>
      </c>
      <c r="AV22">
        <v>111</v>
      </c>
      <c r="AW22">
        <v>49</v>
      </c>
    </row>
    <row r="23" spans="1:49" x14ac:dyDescent="0.25">
      <c r="A23" t="s">
        <v>302</v>
      </c>
      <c r="B23">
        <v>7631</v>
      </c>
      <c r="C23">
        <v>3713</v>
      </c>
      <c r="D23">
        <v>736</v>
      </c>
      <c r="E23">
        <v>321</v>
      </c>
      <c r="F23">
        <v>7369</v>
      </c>
      <c r="G23">
        <v>3474</v>
      </c>
      <c r="H23">
        <v>503</v>
      </c>
      <c r="I23">
        <v>207</v>
      </c>
      <c r="J23">
        <v>6939</v>
      </c>
      <c r="K23">
        <v>3327</v>
      </c>
      <c r="L23">
        <v>384</v>
      </c>
      <c r="M23">
        <v>141</v>
      </c>
      <c r="N23">
        <v>6513</v>
      </c>
      <c r="O23">
        <v>3188</v>
      </c>
      <c r="P23">
        <v>281</v>
      </c>
      <c r="Q23">
        <v>118</v>
      </c>
      <c r="R23">
        <v>6002</v>
      </c>
      <c r="S23">
        <v>3158</v>
      </c>
      <c r="T23">
        <v>174</v>
      </c>
      <c r="U23">
        <v>72</v>
      </c>
      <c r="V23">
        <v>5205</v>
      </c>
      <c r="W23">
        <v>2664</v>
      </c>
      <c r="X23">
        <v>116</v>
      </c>
      <c r="Y23">
        <v>40</v>
      </c>
      <c r="Z23">
        <v>3795</v>
      </c>
      <c r="AA23">
        <v>1912</v>
      </c>
      <c r="AB23">
        <v>5</v>
      </c>
      <c r="AC23">
        <v>1</v>
      </c>
      <c r="AD23">
        <v>3021</v>
      </c>
      <c r="AE23">
        <v>1657</v>
      </c>
      <c r="AF23">
        <v>1</v>
      </c>
      <c r="AG23">
        <v>1</v>
      </c>
      <c r="AH23">
        <v>2519</v>
      </c>
      <c r="AI23">
        <v>1276</v>
      </c>
      <c r="AJ23">
        <v>71</v>
      </c>
      <c r="AK23">
        <v>22</v>
      </c>
      <c r="AL23">
        <v>1789</v>
      </c>
      <c r="AM23">
        <v>889</v>
      </c>
      <c r="AN23">
        <v>6</v>
      </c>
      <c r="AO23">
        <v>4</v>
      </c>
      <c r="AP23">
        <v>1643</v>
      </c>
      <c r="AQ23">
        <v>825</v>
      </c>
      <c r="AR23">
        <v>0</v>
      </c>
      <c r="AS23">
        <v>0</v>
      </c>
      <c r="AT23">
        <v>1303</v>
      </c>
      <c r="AU23">
        <v>663</v>
      </c>
      <c r="AV23">
        <v>17</v>
      </c>
      <c r="AW23">
        <v>7</v>
      </c>
    </row>
    <row r="24" spans="1:49" x14ac:dyDescent="0.25">
      <c r="A24" t="s">
        <v>303</v>
      </c>
      <c r="B24">
        <v>34550</v>
      </c>
      <c r="C24">
        <v>16027</v>
      </c>
      <c r="D24">
        <v>6005</v>
      </c>
      <c r="E24">
        <v>2321</v>
      </c>
      <c r="F24">
        <v>30146</v>
      </c>
      <c r="G24">
        <v>15413</v>
      </c>
      <c r="H24">
        <v>3428</v>
      </c>
      <c r="I24">
        <v>1248</v>
      </c>
      <c r="J24">
        <v>27342</v>
      </c>
      <c r="K24">
        <v>12964</v>
      </c>
      <c r="L24">
        <v>2573</v>
      </c>
      <c r="M24">
        <v>853</v>
      </c>
      <c r="N24">
        <v>25934</v>
      </c>
      <c r="O24">
        <v>13054</v>
      </c>
      <c r="P24">
        <v>1714</v>
      </c>
      <c r="Q24">
        <v>537</v>
      </c>
      <c r="R24">
        <v>24001</v>
      </c>
      <c r="S24">
        <v>12472</v>
      </c>
      <c r="T24">
        <v>1400</v>
      </c>
      <c r="U24">
        <v>476</v>
      </c>
      <c r="V24">
        <v>23049</v>
      </c>
      <c r="W24">
        <v>11687</v>
      </c>
      <c r="X24">
        <v>874</v>
      </c>
      <c r="Y24">
        <v>271</v>
      </c>
      <c r="Z24">
        <v>20759</v>
      </c>
      <c r="AA24">
        <v>11164</v>
      </c>
      <c r="AB24">
        <v>525</v>
      </c>
      <c r="AC24">
        <v>167</v>
      </c>
      <c r="AD24">
        <v>17794</v>
      </c>
      <c r="AE24">
        <v>9855</v>
      </c>
      <c r="AF24">
        <v>348</v>
      </c>
      <c r="AG24">
        <v>141</v>
      </c>
      <c r="AH24">
        <v>15240</v>
      </c>
      <c r="AI24">
        <v>8442</v>
      </c>
      <c r="AJ24">
        <v>317</v>
      </c>
      <c r="AK24">
        <v>92</v>
      </c>
      <c r="AL24">
        <v>11788</v>
      </c>
      <c r="AM24">
        <v>6806</v>
      </c>
      <c r="AN24">
        <v>134</v>
      </c>
      <c r="AO24">
        <v>46</v>
      </c>
      <c r="AP24">
        <v>10630</v>
      </c>
      <c r="AQ24">
        <v>5949</v>
      </c>
      <c r="AR24">
        <v>87</v>
      </c>
      <c r="AS24">
        <v>33</v>
      </c>
      <c r="AT24">
        <v>9022</v>
      </c>
      <c r="AU24">
        <v>5271</v>
      </c>
      <c r="AV24">
        <v>165</v>
      </c>
      <c r="AW24">
        <v>102</v>
      </c>
    </row>
    <row r="25" spans="1:49" x14ac:dyDescent="0.25">
      <c r="A25" t="s">
        <v>304</v>
      </c>
      <c r="B25">
        <v>6482</v>
      </c>
      <c r="C25">
        <v>3103</v>
      </c>
      <c r="D25">
        <v>1469</v>
      </c>
      <c r="E25">
        <v>641</v>
      </c>
      <c r="F25">
        <v>5398</v>
      </c>
      <c r="G25">
        <v>2542</v>
      </c>
      <c r="H25">
        <v>806</v>
      </c>
      <c r="I25">
        <v>343</v>
      </c>
      <c r="J25">
        <v>4832</v>
      </c>
      <c r="K25">
        <v>2398</v>
      </c>
      <c r="L25">
        <v>522</v>
      </c>
      <c r="M25">
        <v>230</v>
      </c>
      <c r="N25">
        <v>4185</v>
      </c>
      <c r="O25">
        <v>2208</v>
      </c>
      <c r="P25">
        <v>361</v>
      </c>
      <c r="Q25">
        <v>144</v>
      </c>
      <c r="R25">
        <v>3701</v>
      </c>
      <c r="S25">
        <v>2059</v>
      </c>
      <c r="T25">
        <v>223</v>
      </c>
      <c r="U25">
        <v>89</v>
      </c>
      <c r="V25">
        <v>3283</v>
      </c>
      <c r="W25">
        <v>1729</v>
      </c>
      <c r="X25">
        <v>142</v>
      </c>
      <c r="Y25">
        <v>68</v>
      </c>
      <c r="Z25">
        <v>2371</v>
      </c>
      <c r="AA25">
        <v>1298</v>
      </c>
      <c r="AB25">
        <v>18</v>
      </c>
      <c r="AC25">
        <v>6</v>
      </c>
      <c r="AD25">
        <v>1939</v>
      </c>
      <c r="AE25">
        <v>1051</v>
      </c>
      <c r="AF25">
        <v>9</v>
      </c>
      <c r="AG25">
        <v>2</v>
      </c>
      <c r="AH25">
        <v>1594</v>
      </c>
      <c r="AI25">
        <v>804</v>
      </c>
      <c r="AJ25">
        <v>13</v>
      </c>
      <c r="AK25">
        <v>5</v>
      </c>
      <c r="AL25">
        <v>1055</v>
      </c>
      <c r="AM25">
        <v>572</v>
      </c>
      <c r="AN25">
        <v>1</v>
      </c>
      <c r="AO25">
        <v>1</v>
      </c>
      <c r="AP25">
        <v>1003</v>
      </c>
      <c r="AQ25">
        <v>567</v>
      </c>
      <c r="AR25">
        <v>1</v>
      </c>
      <c r="AS25">
        <v>0</v>
      </c>
      <c r="AT25">
        <v>801</v>
      </c>
      <c r="AU25">
        <v>423</v>
      </c>
      <c r="AV25">
        <v>11</v>
      </c>
      <c r="AW25">
        <v>3</v>
      </c>
    </row>
    <row r="26" spans="1:49" x14ac:dyDescent="0.25">
      <c r="A26" t="s">
        <v>305</v>
      </c>
      <c r="B26">
        <v>14565</v>
      </c>
      <c r="C26">
        <v>6866</v>
      </c>
      <c r="D26">
        <v>1664</v>
      </c>
      <c r="E26">
        <v>633</v>
      </c>
      <c r="F26">
        <v>14123</v>
      </c>
      <c r="G26">
        <v>6426</v>
      </c>
      <c r="H26">
        <v>868</v>
      </c>
      <c r="I26">
        <v>299</v>
      </c>
      <c r="J26">
        <v>12580</v>
      </c>
      <c r="K26">
        <v>6102</v>
      </c>
      <c r="L26">
        <v>639</v>
      </c>
      <c r="M26">
        <v>211</v>
      </c>
      <c r="N26">
        <v>11848</v>
      </c>
      <c r="O26">
        <v>5643</v>
      </c>
      <c r="P26">
        <v>545</v>
      </c>
      <c r="Q26">
        <v>175</v>
      </c>
      <c r="R26">
        <v>11257</v>
      </c>
      <c r="S26">
        <v>5458</v>
      </c>
      <c r="T26">
        <v>368</v>
      </c>
      <c r="U26">
        <v>112</v>
      </c>
      <c r="V26">
        <v>11069</v>
      </c>
      <c r="W26">
        <v>5433</v>
      </c>
      <c r="X26">
        <v>288</v>
      </c>
      <c r="Y26">
        <v>87</v>
      </c>
      <c r="Z26">
        <v>10601</v>
      </c>
      <c r="AA26">
        <v>5413</v>
      </c>
      <c r="AB26">
        <v>50</v>
      </c>
      <c r="AC26">
        <v>17</v>
      </c>
      <c r="AD26">
        <v>8648</v>
      </c>
      <c r="AE26">
        <v>4414</v>
      </c>
      <c r="AF26">
        <v>25</v>
      </c>
      <c r="AG26">
        <v>8</v>
      </c>
      <c r="AH26">
        <v>7091</v>
      </c>
      <c r="AI26">
        <v>3454</v>
      </c>
      <c r="AJ26">
        <v>65</v>
      </c>
      <c r="AK26">
        <v>16</v>
      </c>
      <c r="AL26">
        <v>4743</v>
      </c>
      <c r="AM26">
        <v>2492</v>
      </c>
      <c r="AN26">
        <v>1</v>
      </c>
      <c r="AO26">
        <v>0</v>
      </c>
      <c r="AP26">
        <v>4169</v>
      </c>
      <c r="AQ26">
        <v>2138</v>
      </c>
      <c r="AR26">
        <v>2</v>
      </c>
      <c r="AS26">
        <v>0</v>
      </c>
      <c r="AT26">
        <v>3740</v>
      </c>
      <c r="AU26">
        <v>1980</v>
      </c>
      <c r="AV26">
        <v>45</v>
      </c>
      <c r="AW26">
        <v>16</v>
      </c>
    </row>
    <row r="27" spans="1:49" x14ac:dyDescent="0.25">
      <c r="A27" t="s">
        <v>306</v>
      </c>
      <c r="B27">
        <v>21344</v>
      </c>
      <c r="C27">
        <v>9958</v>
      </c>
      <c r="D27">
        <v>2696</v>
      </c>
      <c r="E27">
        <v>1027</v>
      </c>
      <c r="F27">
        <v>20503</v>
      </c>
      <c r="G27">
        <v>9666</v>
      </c>
      <c r="H27">
        <v>1819</v>
      </c>
      <c r="I27">
        <v>634</v>
      </c>
      <c r="J27">
        <v>18695</v>
      </c>
      <c r="K27">
        <v>8914</v>
      </c>
      <c r="L27">
        <v>1507</v>
      </c>
      <c r="M27">
        <v>526</v>
      </c>
      <c r="N27">
        <v>18210</v>
      </c>
      <c r="O27">
        <v>8682</v>
      </c>
      <c r="P27">
        <v>1137</v>
      </c>
      <c r="Q27">
        <v>408</v>
      </c>
      <c r="R27">
        <v>17550</v>
      </c>
      <c r="S27">
        <v>8460</v>
      </c>
      <c r="T27">
        <v>941</v>
      </c>
      <c r="U27">
        <v>299</v>
      </c>
      <c r="V27">
        <v>17600</v>
      </c>
      <c r="W27">
        <v>8559</v>
      </c>
      <c r="X27">
        <v>791</v>
      </c>
      <c r="Y27">
        <v>216</v>
      </c>
      <c r="Z27">
        <v>16847</v>
      </c>
      <c r="AA27">
        <v>8623</v>
      </c>
      <c r="AB27">
        <v>208</v>
      </c>
      <c r="AC27">
        <v>95</v>
      </c>
      <c r="AD27">
        <v>15317</v>
      </c>
      <c r="AE27">
        <v>7900</v>
      </c>
      <c r="AF27">
        <v>289</v>
      </c>
      <c r="AG27">
        <v>131</v>
      </c>
      <c r="AH27">
        <v>13436</v>
      </c>
      <c r="AI27">
        <v>6869</v>
      </c>
      <c r="AJ27">
        <v>165</v>
      </c>
      <c r="AK27">
        <v>47</v>
      </c>
      <c r="AL27">
        <v>10057</v>
      </c>
      <c r="AM27">
        <v>5271</v>
      </c>
      <c r="AN27">
        <v>38</v>
      </c>
      <c r="AO27">
        <v>20</v>
      </c>
      <c r="AP27">
        <v>9788</v>
      </c>
      <c r="AQ27">
        <v>5090</v>
      </c>
      <c r="AR27">
        <v>29</v>
      </c>
      <c r="AS27">
        <v>18</v>
      </c>
      <c r="AT27">
        <v>8633</v>
      </c>
      <c r="AU27">
        <v>4623</v>
      </c>
      <c r="AV27">
        <v>188</v>
      </c>
      <c r="AW27">
        <v>101</v>
      </c>
    </row>
    <row r="28" spans="1:49" x14ac:dyDescent="0.25">
      <c r="A28" t="s">
        <v>307</v>
      </c>
      <c r="B28">
        <v>21338</v>
      </c>
      <c r="C28">
        <v>9970</v>
      </c>
      <c r="D28">
        <v>3249</v>
      </c>
      <c r="E28">
        <v>1301</v>
      </c>
      <c r="F28">
        <v>20082</v>
      </c>
      <c r="G28">
        <v>9583</v>
      </c>
      <c r="H28">
        <v>2116</v>
      </c>
      <c r="I28">
        <v>791</v>
      </c>
      <c r="J28">
        <v>18704</v>
      </c>
      <c r="K28">
        <v>8795</v>
      </c>
      <c r="L28">
        <v>1605</v>
      </c>
      <c r="M28">
        <v>597</v>
      </c>
      <c r="N28">
        <v>17816</v>
      </c>
      <c r="O28">
        <v>8643</v>
      </c>
      <c r="P28">
        <v>1119</v>
      </c>
      <c r="Q28">
        <v>403</v>
      </c>
      <c r="R28">
        <v>16536</v>
      </c>
      <c r="S28">
        <v>8241</v>
      </c>
      <c r="T28">
        <v>857</v>
      </c>
      <c r="U28">
        <v>314</v>
      </c>
      <c r="V28">
        <v>14992</v>
      </c>
      <c r="W28">
        <v>7449</v>
      </c>
      <c r="X28">
        <v>518</v>
      </c>
      <c r="Y28">
        <v>179</v>
      </c>
      <c r="Z28">
        <v>12657</v>
      </c>
      <c r="AA28">
        <v>6778</v>
      </c>
      <c r="AB28">
        <v>125</v>
      </c>
      <c r="AC28">
        <v>43</v>
      </c>
      <c r="AD28">
        <v>10489</v>
      </c>
      <c r="AE28">
        <v>5616</v>
      </c>
      <c r="AF28">
        <v>66</v>
      </c>
      <c r="AG28">
        <v>25</v>
      </c>
      <c r="AH28">
        <v>8828</v>
      </c>
      <c r="AI28">
        <v>4827</v>
      </c>
      <c r="AJ28">
        <v>245</v>
      </c>
      <c r="AK28">
        <v>100</v>
      </c>
      <c r="AL28">
        <v>5787</v>
      </c>
      <c r="AM28">
        <v>3264</v>
      </c>
      <c r="AN28">
        <v>31</v>
      </c>
      <c r="AO28">
        <v>12</v>
      </c>
      <c r="AP28">
        <v>5266</v>
      </c>
      <c r="AQ28">
        <v>2945</v>
      </c>
      <c r="AR28">
        <v>18</v>
      </c>
      <c r="AS28">
        <v>8</v>
      </c>
      <c r="AT28">
        <v>4370</v>
      </c>
      <c r="AU28">
        <v>2468</v>
      </c>
      <c r="AV28">
        <v>124</v>
      </c>
      <c r="AW28">
        <v>55</v>
      </c>
    </row>
    <row r="29" spans="1:49" x14ac:dyDescent="0.25">
      <c r="A29" t="s">
        <v>266</v>
      </c>
      <c r="B29">
        <v>400673</v>
      </c>
      <c r="C29">
        <v>187608</v>
      </c>
      <c r="D29">
        <v>57724</v>
      </c>
      <c r="E29">
        <v>22828</v>
      </c>
      <c r="F29">
        <v>382709</v>
      </c>
      <c r="G29">
        <v>183111</v>
      </c>
      <c r="H29">
        <v>35297</v>
      </c>
      <c r="I29">
        <v>13212</v>
      </c>
      <c r="J29">
        <v>338604</v>
      </c>
      <c r="K29">
        <v>162495</v>
      </c>
      <c r="L29">
        <v>27312</v>
      </c>
      <c r="M29">
        <v>9905</v>
      </c>
      <c r="N29">
        <v>323812</v>
      </c>
      <c r="O29">
        <v>163375</v>
      </c>
      <c r="P29">
        <v>19628</v>
      </c>
      <c r="Q29">
        <v>6932</v>
      </c>
      <c r="R29">
        <v>302764</v>
      </c>
      <c r="S29">
        <v>159001</v>
      </c>
      <c r="T29">
        <v>14322</v>
      </c>
      <c r="U29">
        <v>4897</v>
      </c>
      <c r="V29">
        <v>288004</v>
      </c>
      <c r="W29">
        <v>142826</v>
      </c>
      <c r="X29">
        <v>9917</v>
      </c>
      <c r="Y29">
        <v>3321</v>
      </c>
      <c r="Z29">
        <v>254642</v>
      </c>
      <c r="AA29">
        <v>133059</v>
      </c>
      <c r="AB29">
        <v>2486</v>
      </c>
      <c r="AC29">
        <v>937</v>
      </c>
      <c r="AD29">
        <v>219895</v>
      </c>
      <c r="AE29">
        <v>116757</v>
      </c>
      <c r="AF29">
        <v>1996</v>
      </c>
      <c r="AG29">
        <v>784</v>
      </c>
      <c r="AH29">
        <v>187569</v>
      </c>
      <c r="AI29">
        <v>98821</v>
      </c>
      <c r="AJ29">
        <v>3242</v>
      </c>
      <c r="AK29">
        <v>1096</v>
      </c>
      <c r="AL29">
        <v>133460</v>
      </c>
      <c r="AM29">
        <v>73039</v>
      </c>
      <c r="AN29">
        <v>651</v>
      </c>
      <c r="AO29">
        <v>262</v>
      </c>
      <c r="AP29">
        <v>120549</v>
      </c>
      <c r="AQ29">
        <v>64944</v>
      </c>
      <c r="AR29">
        <v>412</v>
      </c>
      <c r="AS29">
        <v>186</v>
      </c>
      <c r="AT29">
        <v>106608</v>
      </c>
      <c r="AU29">
        <v>58491</v>
      </c>
      <c r="AV29">
        <v>2731</v>
      </c>
      <c r="AW29">
        <v>1300</v>
      </c>
    </row>
    <row r="30" spans="1:49" x14ac:dyDescent="0.25">
      <c r="A30" t="s">
        <v>308</v>
      </c>
      <c r="B30">
        <v>72448</v>
      </c>
      <c r="C30">
        <v>33599</v>
      </c>
      <c r="D30">
        <v>10623</v>
      </c>
      <c r="E30">
        <v>4257</v>
      </c>
      <c r="F30">
        <v>62938</v>
      </c>
      <c r="G30">
        <v>30002</v>
      </c>
      <c r="H30">
        <v>5772</v>
      </c>
      <c r="I30">
        <v>2277</v>
      </c>
      <c r="J30">
        <v>56591</v>
      </c>
      <c r="K30">
        <v>26867</v>
      </c>
      <c r="L30">
        <v>4129</v>
      </c>
      <c r="M30">
        <v>1549</v>
      </c>
      <c r="N30">
        <v>55952</v>
      </c>
      <c r="O30">
        <v>27821</v>
      </c>
      <c r="P30">
        <v>2808</v>
      </c>
      <c r="Q30">
        <v>1003</v>
      </c>
      <c r="R30">
        <v>50997</v>
      </c>
      <c r="S30">
        <v>25739</v>
      </c>
      <c r="T30">
        <v>1810</v>
      </c>
      <c r="U30">
        <v>623</v>
      </c>
      <c r="V30">
        <v>48868</v>
      </c>
      <c r="W30">
        <v>23851</v>
      </c>
      <c r="X30">
        <v>1161</v>
      </c>
      <c r="Y30">
        <v>399</v>
      </c>
      <c r="Z30">
        <v>51066</v>
      </c>
      <c r="AA30">
        <v>25806</v>
      </c>
      <c r="AB30">
        <v>767</v>
      </c>
      <c r="AC30">
        <v>295</v>
      </c>
      <c r="AD30">
        <v>46652</v>
      </c>
      <c r="AE30">
        <v>23929</v>
      </c>
      <c r="AF30">
        <v>615</v>
      </c>
      <c r="AG30">
        <v>266</v>
      </c>
      <c r="AH30">
        <v>42576</v>
      </c>
      <c r="AI30">
        <v>21706</v>
      </c>
      <c r="AJ30">
        <v>1048</v>
      </c>
      <c r="AK30">
        <v>375</v>
      </c>
      <c r="AL30">
        <v>36365</v>
      </c>
      <c r="AM30">
        <v>19202</v>
      </c>
      <c r="AN30">
        <v>223</v>
      </c>
      <c r="AO30">
        <v>77</v>
      </c>
      <c r="AP30">
        <v>35666</v>
      </c>
      <c r="AQ30">
        <v>18711</v>
      </c>
      <c r="AR30">
        <v>117</v>
      </c>
      <c r="AS30">
        <v>50</v>
      </c>
      <c r="AT30">
        <v>34116</v>
      </c>
      <c r="AU30">
        <v>17999</v>
      </c>
      <c r="AV30">
        <v>1175</v>
      </c>
      <c r="AW30">
        <v>530</v>
      </c>
    </row>
    <row r="31" spans="1:49" x14ac:dyDescent="0.25">
      <c r="A31" t="s">
        <v>309</v>
      </c>
      <c r="B31">
        <v>328225</v>
      </c>
      <c r="C31">
        <v>154009</v>
      </c>
      <c r="D31">
        <v>47101</v>
      </c>
      <c r="E31">
        <v>18571</v>
      </c>
      <c r="F31">
        <v>319771</v>
      </c>
      <c r="G31">
        <v>153109</v>
      </c>
      <c r="H31">
        <v>29525</v>
      </c>
      <c r="I31">
        <v>10935</v>
      </c>
      <c r="J31">
        <v>282013</v>
      </c>
      <c r="K31">
        <v>135628</v>
      </c>
      <c r="L31">
        <v>23183</v>
      </c>
      <c r="M31">
        <v>8356</v>
      </c>
      <c r="N31">
        <v>267860</v>
      </c>
      <c r="O31">
        <v>135554</v>
      </c>
      <c r="P31">
        <v>16820</v>
      </c>
      <c r="Q31">
        <v>5929</v>
      </c>
      <c r="R31">
        <v>251767</v>
      </c>
      <c r="S31">
        <v>133262</v>
      </c>
      <c r="T31">
        <v>12512</v>
      </c>
      <c r="U31">
        <v>4274</v>
      </c>
      <c r="V31">
        <v>239136</v>
      </c>
      <c r="W31">
        <v>118975</v>
      </c>
      <c r="X31">
        <v>8756</v>
      </c>
      <c r="Y31">
        <v>2922</v>
      </c>
      <c r="Z31">
        <v>203576</v>
      </c>
      <c r="AA31">
        <v>107253</v>
      </c>
      <c r="AB31">
        <v>1719</v>
      </c>
      <c r="AC31">
        <v>642</v>
      </c>
      <c r="AD31">
        <v>173243</v>
      </c>
      <c r="AE31">
        <v>92828</v>
      </c>
      <c r="AF31">
        <v>1381</v>
      </c>
      <c r="AG31">
        <v>518</v>
      </c>
      <c r="AH31">
        <v>144993</v>
      </c>
      <c r="AI31">
        <v>77115</v>
      </c>
      <c r="AJ31">
        <v>2194</v>
      </c>
      <c r="AK31">
        <v>721</v>
      </c>
      <c r="AL31">
        <v>97095</v>
      </c>
      <c r="AM31">
        <v>53837</v>
      </c>
      <c r="AN31">
        <v>428</v>
      </c>
      <c r="AO31">
        <v>185</v>
      </c>
      <c r="AP31">
        <v>84883</v>
      </c>
      <c r="AQ31">
        <v>46233</v>
      </c>
      <c r="AR31">
        <v>295</v>
      </c>
      <c r="AS31">
        <v>136</v>
      </c>
      <c r="AT31">
        <v>72492</v>
      </c>
      <c r="AU31">
        <v>40492</v>
      </c>
      <c r="AV31">
        <v>1556</v>
      </c>
      <c r="AW31">
        <v>770</v>
      </c>
    </row>
  </sheetData>
  <mergeCells count="26">
    <mergeCell ref="J2:K2"/>
    <mergeCell ref="AR2:AS2"/>
    <mergeCell ref="AT2:AU2"/>
    <mergeCell ref="R2:S2"/>
    <mergeCell ref="A1:N1"/>
    <mergeCell ref="B2:C2"/>
    <mergeCell ref="D2:E2"/>
    <mergeCell ref="N2:O2"/>
    <mergeCell ref="AV2:AW2"/>
    <mergeCell ref="P2:Q2"/>
    <mergeCell ref="A2:A3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L2:M2"/>
    <mergeCell ref="V2:W2"/>
    <mergeCell ref="X2:Y2"/>
    <mergeCell ref="AJ2:AK2"/>
    <mergeCell ref="AL2:AM2"/>
    <mergeCell ref="AH2:AI2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tabColor rgb="FF5B9BD5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42578125" customWidth="1"/>
    <col min="5" max="5" width="8.85546875" customWidth="1"/>
    <col min="6" max="6" width="7.42578125" customWidth="1"/>
    <col min="11" max="11" width="8.85546875" customWidth="1"/>
    <col min="13" max="13" width="7.85546875" customWidth="1"/>
    <col min="14" max="14" width="8.5703125" customWidth="1"/>
  </cols>
  <sheetData>
    <row r="1" spans="1:15" x14ac:dyDescent="0.25">
      <c r="A1" s="29" t="s">
        <v>815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709</v>
      </c>
      <c r="B2" t="s">
        <v>254</v>
      </c>
      <c r="C2" s="29" t="s">
        <v>326</v>
      </c>
      <c r="D2" s="29"/>
      <c r="E2" s="29" t="s">
        <v>346</v>
      </c>
      <c r="F2" s="29"/>
      <c r="G2" s="29" t="s">
        <v>400</v>
      </c>
      <c r="H2" s="29"/>
      <c r="I2" s="29" t="s">
        <v>401</v>
      </c>
      <c r="J2" s="29"/>
      <c r="K2" s="29" t="s">
        <v>263</v>
      </c>
      <c r="L2" s="29"/>
      <c r="M2" s="29" t="s">
        <v>402</v>
      </c>
      <c r="N2" s="29"/>
    </row>
    <row r="3" spans="1:15" x14ac:dyDescent="0.25">
      <c r="A3" s="29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5" x14ac:dyDescent="0.25">
      <c r="A4" t="s">
        <v>283</v>
      </c>
      <c r="B4">
        <v>815</v>
      </c>
      <c r="C4">
        <v>17293</v>
      </c>
      <c r="D4">
        <v>8699</v>
      </c>
      <c r="E4">
        <v>98608</v>
      </c>
      <c r="F4">
        <v>47624</v>
      </c>
      <c r="G4">
        <v>29470</v>
      </c>
      <c r="H4">
        <v>15878</v>
      </c>
      <c r="I4">
        <v>14593</v>
      </c>
      <c r="J4">
        <v>8308</v>
      </c>
      <c r="K4">
        <v>159964</v>
      </c>
      <c r="L4">
        <v>80509</v>
      </c>
      <c r="M4">
        <v>48.3</v>
      </c>
      <c r="N4">
        <v>50.3</v>
      </c>
    </row>
    <row r="5" spans="1:15" x14ac:dyDescent="0.25">
      <c r="A5" t="s">
        <v>284</v>
      </c>
      <c r="B5">
        <v>1164</v>
      </c>
      <c r="C5">
        <v>18470</v>
      </c>
      <c r="D5">
        <v>9375</v>
      </c>
      <c r="E5">
        <v>165957</v>
      </c>
      <c r="F5">
        <v>79323</v>
      </c>
      <c r="G5">
        <v>47208</v>
      </c>
      <c r="H5">
        <v>25375</v>
      </c>
      <c r="I5">
        <v>23700</v>
      </c>
      <c r="J5">
        <v>13174</v>
      </c>
      <c r="K5">
        <v>255335</v>
      </c>
      <c r="L5">
        <v>127247</v>
      </c>
      <c r="M5">
        <v>47.8</v>
      </c>
      <c r="N5">
        <v>49.8</v>
      </c>
    </row>
    <row r="6" spans="1:15" x14ac:dyDescent="0.25">
      <c r="A6" t="s">
        <v>285</v>
      </c>
      <c r="B6">
        <v>821</v>
      </c>
      <c r="C6">
        <v>16370</v>
      </c>
      <c r="D6">
        <v>8105</v>
      </c>
      <c r="E6">
        <v>139013</v>
      </c>
      <c r="F6">
        <v>65929</v>
      </c>
      <c r="G6">
        <v>42206</v>
      </c>
      <c r="H6">
        <v>22810</v>
      </c>
      <c r="I6">
        <v>24768</v>
      </c>
      <c r="J6">
        <v>14078</v>
      </c>
      <c r="K6">
        <v>222357</v>
      </c>
      <c r="L6">
        <v>110922</v>
      </c>
      <c r="M6">
        <v>47.4</v>
      </c>
      <c r="N6">
        <v>49.9</v>
      </c>
    </row>
    <row r="7" spans="1:15" x14ac:dyDescent="0.25">
      <c r="A7" t="s">
        <v>286</v>
      </c>
      <c r="B7">
        <v>472</v>
      </c>
      <c r="C7">
        <v>6893</v>
      </c>
      <c r="D7">
        <v>3517</v>
      </c>
      <c r="E7">
        <v>73007</v>
      </c>
      <c r="F7">
        <v>35450</v>
      </c>
      <c r="G7">
        <v>24674</v>
      </c>
      <c r="H7">
        <v>13555</v>
      </c>
      <c r="I7">
        <v>12964</v>
      </c>
      <c r="J7">
        <v>7321</v>
      </c>
      <c r="K7">
        <v>117538</v>
      </c>
      <c r="L7">
        <v>59843</v>
      </c>
      <c r="M7">
        <v>48.6</v>
      </c>
      <c r="N7">
        <v>50.9</v>
      </c>
    </row>
    <row r="8" spans="1:15" x14ac:dyDescent="0.25">
      <c r="A8" t="s">
        <v>287</v>
      </c>
      <c r="B8">
        <v>625</v>
      </c>
      <c r="C8">
        <v>9691</v>
      </c>
      <c r="D8">
        <v>4853</v>
      </c>
      <c r="E8">
        <v>107169</v>
      </c>
      <c r="F8">
        <v>51622</v>
      </c>
      <c r="G8">
        <v>33888</v>
      </c>
      <c r="H8">
        <v>17983</v>
      </c>
      <c r="I8">
        <v>15595</v>
      </c>
      <c r="J8">
        <v>8307</v>
      </c>
      <c r="K8">
        <v>166343</v>
      </c>
      <c r="L8">
        <v>82765</v>
      </c>
      <c r="M8">
        <v>48.2</v>
      </c>
      <c r="N8">
        <v>49.8</v>
      </c>
    </row>
    <row r="9" spans="1:15" x14ac:dyDescent="0.25">
      <c r="A9" t="s">
        <v>288</v>
      </c>
      <c r="B9">
        <v>795</v>
      </c>
      <c r="C9">
        <v>10263</v>
      </c>
      <c r="D9">
        <v>5201</v>
      </c>
      <c r="E9">
        <v>98836</v>
      </c>
      <c r="F9">
        <v>48229</v>
      </c>
      <c r="G9">
        <v>30186</v>
      </c>
      <c r="H9">
        <v>16533</v>
      </c>
      <c r="I9">
        <v>16648</v>
      </c>
      <c r="J9">
        <v>9344</v>
      </c>
      <c r="K9">
        <v>155933</v>
      </c>
      <c r="L9">
        <v>79307</v>
      </c>
      <c r="M9">
        <v>48.8</v>
      </c>
      <c r="N9">
        <v>50.9</v>
      </c>
    </row>
    <row r="10" spans="1:15" x14ac:dyDescent="0.25">
      <c r="A10" t="s">
        <v>289</v>
      </c>
      <c r="B10">
        <v>612</v>
      </c>
      <c r="C10">
        <v>7680</v>
      </c>
      <c r="D10">
        <v>3730</v>
      </c>
      <c r="E10">
        <v>77244</v>
      </c>
      <c r="F10">
        <v>36512</v>
      </c>
      <c r="G10">
        <v>26772</v>
      </c>
      <c r="H10">
        <v>14091</v>
      </c>
      <c r="I10">
        <v>15922</v>
      </c>
      <c r="J10">
        <v>8410</v>
      </c>
      <c r="K10">
        <v>127618</v>
      </c>
      <c r="L10">
        <v>62743</v>
      </c>
      <c r="M10">
        <v>47.3</v>
      </c>
      <c r="N10">
        <v>49.2</v>
      </c>
    </row>
    <row r="11" spans="1:15" x14ac:dyDescent="0.25">
      <c r="A11" t="s">
        <v>290</v>
      </c>
      <c r="B11">
        <v>756</v>
      </c>
      <c r="C11">
        <v>16684</v>
      </c>
      <c r="D11">
        <v>8344</v>
      </c>
      <c r="E11">
        <v>159100</v>
      </c>
      <c r="F11">
        <v>75098</v>
      </c>
      <c r="G11">
        <v>52803</v>
      </c>
      <c r="H11">
        <v>27752</v>
      </c>
      <c r="I11">
        <v>29874</v>
      </c>
      <c r="J11">
        <v>16683</v>
      </c>
      <c r="K11">
        <v>258461</v>
      </c>
      <c r="L11">
        <v>127877</v>
      </c>
      <c r="M11">
        <v>47.2</v>
      </c>
      <c r="N11">
        <v>49.5</v>
      </c>
    </row>
    <row r="12" spans="1:15" x14ac:dyDescent="0.25">
      <c r="A12" t="s">
        <v>291</v>
      </c>
      <c r="B12">
        <v>50</v>
      </c>
      <c r="C12">
        <v>891</v>
      </c>
      <c r="D12">
        <v>458</v>
      </c>
      <c r="E12">
        <v>5489</v>
      </c>
      <c r="F12">
        <v>2668</v>
      </c>
      <c r="G12">
        <v>1577</v>
      </c>
      <c r="H12">
        <v>821</v>
      </c>
      <c r="I12">
        <v>1009</v>
      </c>
      <c r="J12">
        <v>531</v>
      </c>
      <c r="K12">
        <v>8966</v>
      </c>
      <c r="L12">
        <v>4478</v>
      </c>
      <c r="M12">
        <v>48.6</v>
      </c>
      <c r="N12">
        <v>49.9</v>
      </c>
    </row>
    <row r="13" spans="1:15" x14ac:dyDescent="0.25">
      <c r="A13" t="s">
        <v>292</v>
      </c>
      <c r="B13">
        <v>223</v>
      </c>
      <c r="C13">
        <v>2296</v>
      </c>
      <c r="D13">
        <v>1162</v>
      </c>
      <c r="E13">
        <v>16585</v>
      </c>
      <c r="F13">
        <v>7858</v>
      </c>
      <c r="G13">
        <v>5406</v>
      </c>
      <c r="H13">
        <v>2812</v>
      </c>
      <c r="I13">
        <v>2975</v>
      </c>
      <c r="J13">
        <v>1517</v>
      </c>
      <c r="K13">
        <v>27262</v>
      </c>
      <c r="L13">
        <v>13349</v>
      </c>
      <c r="M13">
        <v>47.4</v>
      </c>
      <c r="N13">
        <v>49</v>
      </c>
    </row>
    <row r="14" spans="1:15" x14ac:dyDescent="0.25">
      <c r="A14" t="s">
        <v>293</v>
      </c>
      <c r="B14">
        <v>443</v>
      </c>
      <c r="C14">
        <v>4908</v>
      </c>
      <c r="D14">
        <v>2536</v>
      </c>
      <c r="E14">
        <v>62931</v>
      </c>
      <c r="F14">
        <v>30434</v>
      </c>
      <c r="G14">
        <v>13685</v>
      </c>
      <c r="H14">
        <v>7384</v>
      </c>
      <c r="I14">
        <v>6484</v>
      </c>
      <c r="J14">
        <v>3610</v>
      </c>
      <c r="K14">
        <v>88008</v>
      </c>
      <c r="L14">
        <v>43964</v>
      </c>
      <c r="M14">
        <v>48.4</v>
      </c>
      <c r="N14">
        <v>50</v>
      </c>
    </row>
    <row r="15" spans="1:15" x14ac:dyDescent="0.25">
      <c r="A15" t="s">
        <v>294</v>
      </c>
      <c r="B15">
        <v>130</v>
      </c>
      <c r="C15">
        <v>1016</v>
      </c>
      <c r="D15">
        <v>509</v>
      </c>
      <c r="E15">
        <v>14689</v>
      </c>
      <c r="F15">
        <v>7397</v>
      </c>
      <c r="G15">
        <v>3411</v>
      </c>
      <c r="H15">
        <v>1825</v>
      </c>
      <c r="I15">
        <v>1706</v>
      </c>
      <c r="J15">
        <v>931</v>
      </c>
      <c r="K15">
        <v>20822</v>
      </c>
      <c r="L15">
        <v>10662</v>
      </c>
      <c r="M15">
        <v>50.4</v>
      </c>
      <c r="N15">
        <v>51.2</v>
      </c>
    </row>
    <row r="16" spans="1:15" x14ac:dyDescent="0.25">
      <c r="A16" t="s">
        <v>295</v>
      </c>
      <c r="B16">
        <v>364</v>
      </c>
      <c r="C16">
        <v>3894</v>
      </c>
      <c r="D16">
        <v>1965</v>
      </c>
      <c r="E16">
        <v>37041</v>
      </c>
      <c r="F16">
        <v>17683</v>
      </c>
      <c r="G16">
        <v>10301</v>
      </c>
      <c r="H16">
        <v>5469</v>
      </c>
      <c r="I16">
        <v>5106</v>
      </c>
      <c r="J16">
        <v>2706</v>
      </c>
      <c r="K16">
        <v>56342</v>
      </c>
      <c r="L16">
        <v>27823</v>
      </c>
      <c r="M16">
        <v>47.7</v>
      </c>
      <c r="N16">
        <v>49.4</v>
      </c>
    </row>
    <row r="17" spans="1:14" x14ac:dyDescent="0.25">
      <c r="A17" t="s">
        <v>296</v>
      </c>
      <c r="B17">
        <v>82</v>
      </c>
      <c r="C17">
        <v>973</v>
      </c>
      <c r="D17">
        <v>491</v>
      </c>
      <c r="E17">
        <v>9944</v>
      </c>
      <c r="F17">
        <v>4822</v>
      </c>
      <c r="G17">
        <v>3504</v>
      </c>
      <c r="H17">
        <v>1877</v>
      </c>
      <c r="I17">
        <v>1814</v>
      </c>
      <c r="J17">
        <v>985</v>
      </c>
      <c r="K17">
        <v>16235</v>
      </c>
      <c r="L17">
        <v>8175</v>
      </c>
      <c r="M17">
        <v>48.5</v>
      </c>
      <c r="N17">
        <v>50.4</v>
      </c>
    </row>
    <row r="18" spans="1:14" x14ac:dyDescent="0.25">
      <c r="A18" t="s">
        <v>297</v>
      </c>
      <c r="B18">
        <v>381</v>
      </c>
      <c r="C18">
        <v>11498</v>
      </c>
      <c r="D18">
        <v>5735</v>
      </c>
      <c r="E18">
        <v>136498</v>
      </c>
      <c r="F18">
        <v>64987</v>
      </c>
      <c r="G18">
        <v>55118</v>
      </c>
      <c r="H18">
        <v>27732</v>
      </c>
      <c r="I18">
        <v>39061</v>
      </c>
      <c r="J18">
        <v>19938</v>
      </c>
      <c r="K18">
        <v>242175</v>
      </c>
      <c r="L18">
        <v>118392</v>
      </c>
      <c r="M18">
        <v>47.6</v>
      </c>
      <c r="N18">
        <v>48.9</v>
      </c>
    </row>
    <row r="19" spans="1:14" x14ac:dyDescent="0.25">
      <c r="A19" t="s">
        <v>298</v>
      </c>
      <c r="B19">
        <v>158</v>
      </c>
      <c r="C19">
        <v>2522</v>
      </c>
      <c r="D19">
        <v>1294</v>
      </c>
      <c r="E19">
        <v>27447</v>
      </c>
      <c r="F19">
        <v>13406</v>
      </c>
      <c r="G19">
        <v>8482</v>
      </c>
      <c r="H19">
        <v>4331</v>
      </c>
      <c r="I19">
        <v>4520</v>
      </c>
      <c r="J19">
        <v>2383</v>
      </c>
      <c r="K19">
        <v>42971</v>
      </c>
      <c r="L19">
        <v>21414</v>
      </c>
      <c r="M19">
        <v>48.8</v>
      </c>
      <c r="N19">
        <v>49.8</v>
      </c>
    </row>
    <row r="20" spans="1:14" x14ac:dyDescent="0.25">
      <c r="A20" t="s">
        <v>299</v>
      </c>
      <c r="B20">
        <v>408</v>
      </c>
      <c r="C20">
        <v>4284</v>
      </c>
      <c r="D20">
        <v>2247</v>
      </c>
      <c r="E20">
        <v>37390</v>
      </c>
      <c r="F20">
        <v>18405</v>
      </c>
      <c r="G20">
        <v>10346</v>
      </c>
      <c r="H20">
        <v>5803</v>
      </c>
      <c r="I20">
        <v>5586</v>
      </c>
      <c r="J20">
        <v>3012</v>
      </c>
      <c r="K20">
        <v>57606</v>
      </c>
      <c r="L20">
        <v>29467</v>
      </c>
      <c r="M20">
        <v>49.2</v>
      </c>
      <c r="N20">
        <v>51.2</v>
      </c>
    </row>
    <row r="21" spans="1:14" x14ac:dyDescent="0.25">
      <c r="A21" t="s">
        <v>300</v>
      </c>
      <c r="B21">
        <v>1063</v>
      </c>
      <c r="C21">
        <v>17310</v>
      </c>
      <c r="D21">
        <v>8613</v>
      </c>
      <c r="E21">
        <v>148207</v>
      </c>
      <c r="F21">
        <v>69679</v>
      </c>
      <c r="G21">
        <v>48554</v>
      </c>
      <c r="H21">
        <v>25737</v>
      </c>
      <c r="I21">
        <v>25135</v>
      </c>
      <c r="J21">
        <v>13695</v>
      </c>
      <c r="K21">
        <v>239206</v>
      </c>
      <c r="L21">
        <v>117724</v>
      </c>
      <c r="M21">
        <v>47</v>
      </c>
      <c r="N21">
        <v>49.2</v>
      </c>
    </row>
    <row r="22" spans="1:14" x14ac:dyDescent="0.25">
      <c r="A22" t="s">
        <v>301</v>
      </c>
      <c r="B22">
        <v>548</v>
      </c>
      <c r="C22">
        <v>8542</v>
      </c>
      <c r="D22">
        <v>4247</v>
      </c>
      <c r="E22">
        <v>68226</v>
      </c>
      <c r="F22">
        <v>33122</v>
      </c>
      <c r="G22">
        <v>19380</v>
      </c>
      <c r="H22">
        <v>10404</v>
      </c>
      <c r="I22">
        <v>10343</v>
      </c>
      <c r="J22">
        <v>5754</v>
      </c>
      <c r="K22">
        <v>106491</v>
      </c>
      <c r="L22">
        <v>53527</v>
      </c>
      <c r="M22">
        <v>48.5</v>
      </c>
      <c r="N22">
        <v>50.3</v>
      </c>
    </row>
    <row r="23" spans="1:14" x14ac:dyDescent="0.25">
      <c r="A23" t="s">
        <v>302</v>
      </c>
      <c r="B23">
        <v>319</v>
      </c>
      <c r="C23">
        <v>2840</v>
      </c>
      <c r="D23">
        <v>1461</v>
      </c>
      <c r="E23">
        <v>39569</v>
      </c>
      <c r="F23">
        <v>19109</v>
      </c>
      <c r="G23">
        <v>8611</v>
      </c>
      <c r="H23">
        <v>4399</v>
      </c>
      <c r="I23">
        <v>4534</v>
      </c>
      <c r="J23">
        <v>2202</v>
      </c>
      <c r="K23">
        <v>55554</v>
      </c>
      <c r="L23">
        <v>27171</v>
      </c>
      <c r="M23">
        <v>48.3</v>
      </c>
      <c r="N23">
        <v>48.9</v>
      </c>
    </row>
    <row r="24" spans="1:14" x14ac:dyDescent="0.25">
      <c r="A24" t="s">
        <v>303</v>
      </c>
      <c r="B24">
        <v>1090</v>
      </c>
      <c r="C24">
        <v>28323</v>
      </c>
      <c r="D24">
        <v>14242</v>
      </c>
      <c r="E24">
        <v>163544</v>
      </c>
      <c r="F24">
        <v>78986</v>
      </c>
      <c r="G24">
        <v>51355</v>
      </c>
      <c r="H24">
        <v>28084</v>
      </c>
      <c r="I24">
        <v>29830</v>
      </c>
      <c r="J24">
        <v>16992</v>
      </c>
      <c r="K24">
        <v>273052</v>
      </c>
      <c r="L24">
        <v>138304</v>
      </c>
      <c r="M24">
        <v>48.3</v>
      </c>
      <c r="N24">
        <v>50.7</v>
      </c>
    </row>
    <row r="25" spans="1:14" x14ac:dyDescent="0.25">
      <c r="A25" t="s">
        <v>304</v>
      </c>
      <c r="B25">
        <v>253</v>
      </c>
      <c r="C25">
        <v>1375</v>
      </c>
      <c r="D25">
        <v>732</v>
      </c>
      <c r="E25">
        <v>26340</v>
      </c>
      <c r="F25">
        <v>12926</v>
      </c>
      <c r="G25">
        <v>5572</v>
      </c>
      <c r="H25">
        <v>2930</v>
      </c>
      <c r="I25">
        <v>2726</v>
      </c>
      <c r="J25">
        <v>1418</v>
      </c>
      <c r="K25">
        <v>36013</v>
      </c>
      <c r="L25">
        <v>18006</v>
      </c>
      <c r="M25">
        <v>49.1</v>
      </c>
      <c r="N25">
        <v>50</v>
      </c>
    </row>
    <row r="26" spans="1:14" x14ac:dyDescent="0.25">
      <c r="A26" t="s">
        <v>305</v>
      </c>
      <c r="B26">
        <v>509</v>
      </c>
      <c r="C26">
        <v>7701</v>
      </c>
      <c r="D26">
        <v>3848</v>
      </c>
      <c r="E26">
        <v>73501</v>
      </c>
      <c r="F26">
        <v>35382</v>
      </c>
      <c r="G26">
        <v>25481</v>
      </c>
      <c r="H26">
        <v>13164</v>
      </c>
      <c r="I26">
        <v>12957</v>
      </c>
      <c r="J26">
        <v>6877</v>
      </c>
      <c r="K26">
        <v>119640</v>
      </c>
      <c r="L26">
        <v>59271</v>
      </c>
      <c r="M26">
        <v>48.1</v>
      </c>
      <c r="N26">
        <v>49.5</v>
      </c>
    </row>
    <row r="27" spans="1:14" x14ac:dyDescent="0.25">
      <c r="A27" t="s">
        <v>306</v>
      </c>
      <c r="B27">
        <v>799</v>
      </c>
      <c r="C27">
        <v>13168</v>
      </c>
      <c r="D27">
        <v>6440</v>
      </c>
      <c r="E27">
        <v>113675</v>
      </c>
      <c r="F27">
        <v>54408</v>
      </c>
      <c r="G27">
        <v>44174</v>
      </c>
      <c r="H27">
        <v>22837</v>
      </c>
      <c r="I27">
        <v>28928</v>
      </c>
      <c r="J27">
        <v>15307</v>
      </c>
      <c r="K27">
        <v>199945</v>
      </c>
      <c r="L27">
        <v>98992</v>
      </c>
      <c r="M27">
        <v>47.9</v>
      </c>
      <c r="N27">
        <v>49.5</v>
      </c>
    </row>
    <row r="28" spans="1:14" x14ac:dyDescent="0.25">
      <c r="A28" t="s">
        <v>307</v>
      </c>
      <c r="B28">
        <v>717</v>
      </c>
      <c r="C28">
        <v>14207</v>
      </c>
      <c r="D28">
        <v>7170</v>
      </c>
      <c r="E28">
        <v>110276</v>
      </c>
      <c r="F28">
        <v>53093</v>
      </c>
      <c r="G28">
        <v>30139</v>
      </c>
      <c r="H28">
        <v>16386</v>
      </c>
      <c r="I28">
        <v>15016</v>
      </c>
      <c r="J28">
        <v>8490</v>
      </c>
      <c r="K28">
        <v>169638</v>
      </c>
      <c r="L28">
        <v>85139</v>
      </c>
      <c r="M28">
        <v>48.1</v>
      </c>
      <c r="N28">
        <v>50.2</v>
      </c>
    </row>
    <row r="29" spans="1:14" x14ac:dyDescent="0.25">
      <c r="A29" t="s">
        <v>266</v>
      </c>
      <c r="B29">
        <v>13597</v>
      </c>
      <c r="C29">
        <v>229092</v>
      </c>
      <c r="D29">
        <v>114974</v>
      </c>
      <c r="E29">
        <v>2010286</v>
      </c>
      <c r="F29">
        <v>964152</v>
      </c>
      <c r="G29">
        <v>632303</v>
      </c>
      <c r="H29">
        <v>335972</v>
      </c>
      <c r="I29">
        <v>351794</v>
      </c>
      <c r="J29">
        <v>191973</v>
      </c>
      <c r="K29">
        <v>3223475</v>
      </c>
      <c r="L29">
        <v>1607071</v>
      </c>
      <c r="M29">
        <v>48</v>
      </c>
      <c r="N29">
        <v>49.9</v>
      </c>
    </row>
    <row r="30" spans="1:14" x14ac:dyDescent="0.25">
      <c r="A30" t="s">
        <v>308</v>
      </c>
      <c r="B30">
        <v>1458</v>
      </c>
      <c r="C30">
        <v>40641</v>
      </c>
      <c r="D30">
        <v>20321</v>
      </c>
      <c r="E30">
        <v>345361</v>
      </c>
      <c r="F30">
        <v>165081</v>
      </c>
      <c r="G30">
        <v>131738</v>
      </c>
      <c r="H30">
        <v>67614</v>
      </c>
      <c r="I30">
        <v>103082</v>
      </c>
      <c r="J30">
        <v>54331</v>
      </c>
      <c r="K30">
        <v>620822</v>
      </c>
      <c r="L30">
        <v>307347</v>
      </c>
      <c r="M30">
        <v>47.8</v>
      </c>
      <c r="N30">
        <v>49.5</v>
      </c>
    </row>
    <row r="31" spans="1:14" x14ac:dyDescent="0.25">
      <c r="A31" t="s">
        <v>309</v>
      </c>
      <c r="B31">
        <v>12139</v>
      </c>
      <c r="C31">
        <v>188451</v>
      </c>
      <c r="D31">
        <v>94653</v>
      </c>
      <c r="E31">
        <v>1664925</v>
      </c>
      <c r="F31">
        <v>799071</v>
      </c>
      <c r="G31">
        <v>500565</v>
      </c>
      <c r="H31">
        <v>268358</v>
      </c>
      <c r="I31">
        <v>248712</v>
      </c>
      <c r="J31">
        <v>137642</v>
      </c>
      <c r="K31">
        <v>2602653</v>
      </c>
      <c r="L31">
        <v>1299724</v>
      </c>
      <c r="M31">
        <v>48</v>
      </c>
      <c r="N31">
        <v>49.9</v>
      </c>
    </row>
  </sheetData>
  <mergeCells count="8">
    <mergeCell ref="A1:O1"/>
    <mergeCell ref="A2:A3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5B9BD5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.7109375" customWidth="1"/>
    <col min="3" max="3" width="7.42578125" customWidth="1"/>
    <col min="5" max="5" width="8.85546875" customWidth="1"/>
    <col min="6" max="6" width="7.42578125" customWidth="1"/>
    <col min="11" max="11" width="8.85546875" customWidth="1"/>
    <col min="13" max="13" width="7.85546875" customWidth="1"/>
    <col min="14" max="14" width="8.5703125" customWidth="1"/>
  </cols>
  <sheetData>
    <row r="1" spans="1:15" x14ac:dyDescent="0.25">
      <c r="A1" s="29" t="s">
        <v>816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709</v>
      </c>
      <c r="B2" t="s">
        <v>254</v>
      </c>
      <c r="C2" s="29" t="s">
        <v>326</v>
      </c>
      <c r="D2" s="29"/>
      <c r="E2" s="29" t="s">
        <v>346</v>
      </c>
      <c r="F2" s="29"/>
      <c r="G2" s="29" t="s">
        <v>400</v>
      </c>
      <c r="H2" s="29"/>
      <c r="I2" s="29" t="s">
        <v>401</v>
      </c>
      <c r="J2" s="29"/>
      <c r="K2" s="29" t="s">
        <v>263</v>
      </c>
      <c r="L2" s="29"/>
      <c r="M2" s="29" t="s">
        <v>402</v>
      </c>
      <c r="N2" s="29"/>
    </row>
    <row r="3" spans="1:15" x14ac:dyDescent="0.25">
      <c r="A3" s="29"/>
      <c r="B3" t="s">
        <v>261</v>
      </c>
      <c r="C3" t="s">
        <v>263</v>
      </c>
      <c r="D3" t="s">
        <v>264</v>
      </c>
      <c r="E3" t="s">
        <v>263</v>
      </c>
      <c r="F3" t="s">
        <v>264</v>
      </c>
      <c r="G3" t="s">
        <v>263</v>
      </c>
      <c r="H3" t="s">
        <v>264</v>
      </c>
      <c r="I3" t="s">
        <v>263</v>
      </c>
      <c r="J3" t="s">
        <v>264</v>
      </c>
      <c r="K3" t="s">
        <v>263</v>
      </c>
      <c r="L3" t="s">
        <v>264</v>
      </c>
      <c r="M3" t="s">
        <v>346</v>
      </c>
      <c r="N3" t="s">
        <v>403</v>
      </c>
    </row>
    <row r="4" spans="1:15" x14ac:dyDescent="0.25">
      <c r="A4" t="s">
        <v>283</v>
      </c>
      <c r="B4">
        <v>822</v>
      </c>
      <c r="C4">
        <v>16738</v>
      </c>
      <c r="D4">
        <v>8453</v>
      </c>
      <c r="E4">
        <v>99947</v>
      </c>
      <c r="F4">
        <v>48195</v>
      </c>
      <c r="G4">
        <v>31716</v>
      </c>
      <c r="H4">
        <v>16861</v>
      </c>
      <c r="I4">
        <v>15758</v>
      </c>
      <c r="J4">
        <v>8987</v>
      </c>
      <c r="K4">
        <v>164159</v>
      </c>
      <c r="L4">
        <v>82496</v>
      </c>
      <c r="M4">
        <v>48.2</v>
      </c>
      <c r="N4">
        <v>50.3</v>
      </c>
    </row>
    <row r="5" spans="1:15" x14ac:dyDescent="0.25">
      <c r="A5" t="s">
        <v>284</v>
      </c>
      <c r="B5">
        <v>1170</v>
      </c>
      <c r="C5">
        <v>17777</v>
      </c>
      <c r="D5">
        <v>8958</v>
      </c>
      <c r="E5">
        <v>164335</v>
      </c>
      <c r="F5">
        <v>78804</v>
      </c>
      <c r="G5">
        <v>50036</v>
      </c>
      <c r="H5">
        <v>26673</v>
      </c>
      <c r="I5">
        <v>24968</v>
      </c>
      <c r="J5">
        <v>13877</v>
      </c>
      <c r="K5">
        <v>257116</v>
      </c>
      <c r="L5">
        <v>128312</v>
      </c>
      <c r="M5">
        <v>48</v>
      </c>
      <c r="N5">
        <v>49.9</v>
      </c>
    </row>
    <row r="6" spans="1:15" x14ac:dyDescent="0.25">
      <c r="A6" t="s">
        <v>285</v>
      </c>
      <c r="B6">
        <v>820</v>
      </c>
      <c r="C6">
        <v>15659</v>
      </c>
      <c r="D6">
        <v>7771</v>
      </c>
      <c r="E6">
        <v>138517</v>
      </c>
      <c r="F6">
        <v>72390</v>
      </c>
      <c r="G6">
        <v>43843</v>
      </c>
      <c r="H6">
        <v>23715</v>
      </c>
      <c r="I6">
        <v>25342</v>
      </c>
      <c r="J6">
        <v>14337</v>
      </c>
      <c r="K6">
        <v>223361</v>
      </c>
      <c r="L6">
        <v>118213</v>
      </c>
      <c r="M6">
        <v>52.3</v>
      </c>
      <c r="N6">
        <v>52.9</v>
      </c>
    </row>
    <row r="7" spans="1:15" x14ac:dyDescent="0.25">
      <c r="A7" t="s">
        <v>286</v>
      </c>
      <c r="B7">
        <v>472</v>
      </c>
      <c r="C7">
        <v>6560</v>
      </c>
      <c r="D7">
        <v>3271</v>
      </c>
      <c r="E7">
        <v>73750</v>
      </c>
      <c r="F7">
        <v>36879</v>
      </c>
      <c r="G7">
        <v>25320</v>
      </c>
      <c r="H7">
        <v>13762</v>
      </c>
      <c r="I7">
        <v>12753</v>
      </c>
      <c r="J7">
        <v>7178</v>
      </c>
      <c r="K7">
        <v>118383</v>
      </c>
      <c r="L7">
        <v>61090</v>
      </c>
      <c r="M7">
        <v>50</v>
      </c>
      <c r="N7">
        <v>51.6</v>
      </c>
    </row>
    <row r="8" spans="1:15" x14ac:dyDescent="0.25">
      <c r="A8" t="s">
        <v>287</v>
      </c>
      <c r="B8">
        <v>631</v>
      </c>
      <c r="C8">
        <v>9294</v>
      </c>
      <c r="D8">
        <v>4660</v>
      </c>
      <c r="E8">
        <v>106477</v>
      </c>
      <c r="F8">
        <v>51144</v>
      </c>
      <c r="G8">
        <v>34650</v>
      </c>
      <c r="H8">
        <v>18051</v>
      </c>
      <c r="I8">
        <v>15063</v>
      </c>
      <c r="J8">
        <v>7954</v>
      </c>
      <c r="K8">
        <v>165484</v>
      </c>
      <c r="L8">
        <v>81809</v>
      </c>
      <c r="M8">
        <v>48</v>
      </c>
      <c r="N8">
        <v>49.4</v>
      </c>
    </row>
    <row r="9" spans="1:15" x14ac:dyDescent="0.25">
      <c r="A9" t="s">
        <v>288</v>
      </c>
      <c r="B9">
        <v>800</v>
      </c>
      <c r="C9">
        <v>9931</v>
      </c>
      <c r="D9">
        <v>5077</v>
      </c>
      <c r="E9">
        <v>101294</v>
      </c>
      <c r="F9">
        <v>53157</v>
      </c>
      <c r="G9">
        <v>30322</v>
      </c>
      <c r="H9">
        <v>16323</v>
      </c>
      <c r="I9">
        <v>17148</v>
      </c>
      <c r="J9">
        <v>9683</v>
      </c>
      <c r="K9">
        <v>158695</v>
      </c>
      <c r="L9">
        <v>84240</v>
      </c>
      <c r="M9">
        <v>52.5</v>
      </c>
      <c r="N9">
        <v>53.1</v>
      </c>
    </row>
    <row r="10" spans="1:15" x14ac:dyDescent="0.25">
      <c r="A10" t="s">
        <v>289</v>
      </c>
      <c r="B10">
        <v>612</v>
      </c>
      <c r="C10">
        <v>7042</v>
      </c>
      <c r="D10">
        <v>3451</v>
      </c>
      <c r="E10">
        <v>75516</v>
      </c>
      <c r="F10">
        <v>35799</v>
      </c>
      <c r="G10">
        <v>27431</v>
      </c>
      <c r="H10">
        <v>14302</v>
      </c>
      <c r="I10">
        <v>15467</v>
      </c>
      <c r="J10">
        <v>8214</v>
      </c>
      <c r="K10">
        <v>125456</v>
      </c>
      <c r="L10">
        <v>61766</v>
      </c>
      <c r="M10">
        <v>47.4</v>
      </c>
      <c r="N10">
        <v>49.2</v>
      </c>
    </row>
    <row r="11" spans="1:15" x14ac:dyDescent="0.25">
      <c r="A11" t="s">
        <v>290</v>
      </c>
      <c r="B11">
        <v>761</v>
      </c>
      <c r="C11">
        <v>15822</v>
      </c>
      <c r="D11">
        <v>7875</v>
      </c>
      <c r="E11">
        <v>161700</v>
      </c>
      <c r="F11">
        <v>76703</v>
      </c>
      <c r="G11">
        <v>55791</v>
      </c>
      <c r="H11">
        <v>28974</v>
      </c>
      <c r="I11">
        <v>30473</v>
      </c>
      <c r="J11">
        <v>16804</v>
      </c>
      <c r="K11">
        <v>263786</v>
      </c>
      <c r="L11">
        <v>130356</v>
      </c>
      <c r="M11">
        <v>47.4</v>
      </c>
      <c r="N11">
        <v>49.4</v>
      </c>
    </row>
    <row r="12" spans="1:15" x14ac:dyDescent="0.25">
      <c r="A12" t="s">
        <v>291</v>
      </c>
      <c r="B12">
        <v>50</v>
      </c>
      <c r="C12">
        <v>817</v>
      </c>
      <c r="D12">
        <v>417</v>
      </c>
      <c r="E12">
        <v>5481</v>
      </c>
      <c r="F12">
        <v>2621</v>
      </c>
      <c r="G12">
        <v>1733</v>
      </c>
      <c r="H12">
        <v>918</v>
      </c>
      <c r="I12">
        <v>983</v>
      </c>
      <c r="J12">
        <v>521</v>
      </c>
      <c r="K12">
        <v>9014</v>
      </c>
      <c r="L12">
        <v>4477</v>
      </c>
      <c r="M12">
        <v>47.8</v>
      </c>
      <c r="N12">
        <v>49.7</v>
      </c>
    </row>
    <row r="13" spans="1:15" x14ac:dyDescent="0.25">
      <c r="A13" t="s">
        <v>292</v>
      </c>
      <c r="B13">
        <v>223</v>
      </c>
      <c r="C13">
        <v>2070</v>
      </c>
      <c r="D13">
        <v>1068</v>
      </c>
      <c r="E13">
        <v>17205</v>
      </c>
      <c r="F13">
        <v>8245</v>
      </c>
      <c r="G13">
        <v>5707</v>
      </c>
      <c r="H13">
        <v>2934</v>
      </c>
      <c r="I13">
        <v>3131</v>
      </c>
      <c r="J13">
        <v>1621</v>
      </c>
      <c r="K13">
        <v>28113</v>
      </c>
      <c r="L13">
        <v>13868</v>
      </c>
      <c r="M13">
        <v>47.9</v>
      </c>
      <c r="N13">
        <v>49.3</v>
      </c>
    </row>
    <row r="14" spans="1:15" x14ac:dyDescent="0.25">
      <c r="A14" t="s">
        <v>293</v>
      </c>
      <c r="B14">
        <v>446</v>
      </c>
      <c r="C14">
        <v>4507</v>
      </c>
      <c r="D14">
        <v>2316</v>
      </c>
      <c r="E14">
        <v>64004</v>
      </c>
      <c r="F14">
        <v>33208</v>
      </c>
      <c r="G14">
        <v>14380</v>
      </c>
      <c r="H14">
        <v>7787</v>
      </c>
      <c r="I14">
        <v>6656</v>
      </c>
      <c r="J14">
        <v>3706</v>
      </c>
      <c r="K14">
        <v>89547</v>
      </c>
      <c r="L14">
        <v>47017</v>
      </c>
      <c r="M14">
        <v>51.9</v>
      </c>
      <c r="N14">
        <v>52.5</v>
      </c>
    </row>
    <row r="15" spans="1:15" x14ac:dyDescent="0.25">
      <c r="A15" t="s">
        <v>294</v>
      </c>
      <c r="B15">
        <v>132</v>
      </c>
      <c r="C15">
        <v>1182</v>
      </c>
      <c r="D15">
        <v>604</v>
      </c>
      <c r="E15">
        <v>15225</v>
      </c>
      <c r="F15">
        <v>7859</v>
      </c>
      <c r="G15">
        <v>3721</v>
      </c>
      <c r="H15">
        <v>1961</v>
      </c>
      <c r="I15">
        <v>1917</v>
      </c>
      <c r="J15">
        <v>1041</v>
      </c>
      <c r="K15">
        <v>22045</v>
      </c>
      <c r="L15">
        <v>11465</v>
      </c>
      <c r="M15">
        <v>51.6</v>
      </c>
      <c r="N15">
        <v>52</v>
      </c>
    </row>
    <row r="16" spans="1:15" x14ac:dyDescent="0.25">
      <c r="A16" t="s">
        <v>295</v>
      </c>
      <c r="B16">
        <v>366</v>
      </c>
      <c r="C16">
        <v>3486</v>
      </c>
      <c r="D16">
        <v>1816</v>
      </c>
      <c r="E16">
        <v>38042</v>
      </c>
      <c r="F16">
        <v>18080</v>
      </c>
      <c r="G16">
        <v>10741</v>
      </c>
      <c r="H16">
        <v>5779</v>
      </c>
      <c r="I16">
        <v>5349</v>
      </c>
      <c r="J16">
        <v>2804</v>
      </c>
      <c r="K16">
        <v>57618</v>
      </c>
      <c r="L16">
        <v>28479</v>
      </c>
      <c r="M16">
        <v>47.5</v>
      </c>
      <c r="N16">
        <v>49.4</v>
      </c>
    </row>
    <row r="17" spans="1:14" x14ac:dyDescent="0.25">
      <c r="A17" t="s">
        <v>296</v>
      </c>
      <c r="B17">
        <v>82</v>
      </c>
      <c r="C17">
        <v>980</v>
      </c>
      <c r="D17">
        <v>496</v>
      </c>
      <c r="E17">
        <v>9881</v>
      </c>
      <c r="F17">
        <v>4828</v>
      </c>
      <c r="G17">
        <v>3564</v>
      </c>
      <c r="H17">
        <v>1898</v>
      </c>
      <c r="I17">
        <v>1858</v>
      </c>
      <c r="J17">
        <v>1056</v>
      </c>
      <c r="K17">
        <v>16283</v>
      </c>
      <c r="L17">
        <v>8278</v>
      </c>
      <c r="M17">
        <v>48.9</v>
      </c>
      <c r="N17">
        <v>50.8</v>
      </c>
    </row>
    <row r="18" spans="1:14" x14ac:dyDescent="0.25">
      <c r="A18" t="s">
        <v>297</v>
      </c>
      <c r="B18">
        <v>380</v>
      </c>
      <c r="C18">
        <v>9743</v>
      </c>
      <c r="D18">
        <v>4696</v>
      </c>
      <c r="E18">
        <v>135555</v>
      </c>
      <c r="F18">
        <v>64312</v>
      </c>
      <c r="G18">
        <v>58955</v>
      </c>
      <c r="H18">
        <v>29252</v>
      </c>
      <c r="I18">
        <v>41103</v>
      </c>
      <c r="J18">
        <v>20842</v>
      </c>
      <c r="K18">
        <v>245356</v>
      </c>
      <c r="L18">
        <v>119102</v>
      </c>
      <c r="M18">
        <v>47.4</v>
      </c>
      <c r="N18">
        <v>48.5</v>
      </c>
    </row>
    <row r="19" spans="1:14" x14ac:dyDescent="0.25">
      <c r="A19" t="s">
        <v>298</v>
      </c>
      <c r="B19">
        <v>159</v>
      </c>
      <c r="C19">
        <v>1983</v>
      </c>
      <c r="D19">
        <v>987</v>
      </c>
      <c r="E19">
        <v>28240</v>
      </c>
      <c r="F19">
        <v>13526</v>
      </c>
      <c r="G19">
        <v>9218</v>
      </c>
      <c r="H19">
        <v>4695</v>
      </c>
      <c r="I19">
        <v>4821</v>
      </c>
      <c r="J19">
        <v>2550</v>
      </c>
      <c r="K19">
        <v>44262</v>
      </c>
      <c r="L19">
        <v>21758</v>
      </c>
      <c r="M19">
        <v>47.9</v>
      </c>
      <c r="N19">
        <v>49.2</v>
      </c>
    </row>
    <row r="20" spans="1:14" x14ac:dyDescent="0.25">
      <c r="A20" t="s">
        <v>299</v>
      </c>
      <c r="B20">
        <v>411</v>
      </c>
      <c r="C20">
        <v>4169</v>
      </c>
      <c r="D20">
        <v>2092</v>
      </c>
      <c r="E20">
        <v>37905</v>
      </c>
      <c r="F20">
        <v>18742</v>
      </c>
      <c r="G20">
        <v>10671</v>
      </c>
      <c r="H20">
        <v>5833</v>
      </c>
      <c r="I20">
        <v>5704</v>
      </c>
      <c r="J20">
        <v>3171</v>
      </c>
      <c r="K20">
        <v>58449</v>
      </c>
      <c r="L20">
        <v>29838</v>
      </c>
      <c r="M20">
        <v>49.4</v>
      </c>
      <c r="N20">
        <v>51</v>
      </c>
    </row>
    <row r="21" spans="1:14" x14ac:dyDescent="0.25">
      <c r="A21" t="s">
        <v>300</v>
      </c>
      <c r="B21">
        <v>1071</v>
      </c>
      <c r="C21">
        <v>16663</v>
      </c>
      <c r="D21">
        <v>8228</v>
      </c>
      <c r="E21">
        <v>148731</v>
      </c>
      <c r="F21">
        <v>69420</v>
      </c>
      <c r="G21">
        <v>50821</v>
      </c>
      <c r="H21">
        <v>26531</v>
      </c>
      <c r="I21">
        <v>25716</v>
      </c>
      <c r="J21">
        <v>13943</v>
      </c>
      <c r="K21">
        <v>241931</v>
      </c>
      <c r="L21">
        <v>118122</v>
      </c>
      <c r="M21">
        <v>46.7</v>
      </c>
      <c r="N21">
        <v>48.8</v>
      </c>
    </row>
    <row r="22" spans="1:14" x14ac:dyDescent="0.25">
      <c r="A22" t="s">
        <v>301</v>
      </c>
      <c r="B22">
        <v>551</v>
      </c>
      <c r="C22">
        <v>7939</v>
      </c>
      <c r="D22">
        <v>3990</v>
      </c>
      <c r="E22">
        <v>72088</v>
      </c>
      <c r="F22">
        <v>38016</v>
      </c>
      <c r="G22">
        <v>20540</v>
      </c>
      <c r="H22">
        <v>11035</v>
      </c>
      <c r="I22">
        <v>10820</v>
      </c>
      <c r="J22">
        <v>5949</v>
      </c>
      <c r="K22">
        <v>111387</v>
      </c>
      <c r="L22">
        <v>58990</v>
      </c>
      <c r="M22">
        <v>52.7</v>
      </c>
      <c r="N22">
        <v>53</v>
      </c>
    </row>
    <row r="23" spans="1:14" x14ac:dyDescent="0.25">
      <c r="A23" t="s">
        <v>302</v>
      </c>
      <c r="B23">
        <v>328</v>
      </c>
      <c r="C23">
        <v>2617</v>
      </c>
      <c r="D23">
        <v>1364</v>
      </c>
      <c r="E23">
        <v>39659</v>
      </c>
      <c r="F23">
        <v>19524</v>
      </c>
      <c r="G23">
        <v>9335</v>
      </c>
      <c r="H23">
        <v>4845</v>
      </c>
      <c r="I23">
        <v>4735</v>
      </c>
      <c r="J23">
        <v>2377</v>
      </c>
      <c r="K23">
        <v>56346</v>
      </c>
      <c r="L23">
        <v>28110</v>
      </c>
      <c r="M23">
        <v>49.2</v>
      </c>
      <c r="N23">
        <v>49.9</v>
      </c>
    </row>
    <row r="24" spans="1:14" x14ac:dyDescent="0.25">
      <c r="A24" t="s">
        <v>303</v>
      </c>
      <c r="B24">
        <v>1109</v>
      </c>
      <c r="C24">
        <v>28489</v>
      </c>
      <c r="D24">
        <v>14344</v>
      </c>
      <c r="E24">
        <v>165022</v>
      </c>
      <c r="F24">
        <v>81617</v>
      </c>
      <c r="G24">
        <v>53793</v>
      </c>
      <c r="H24">
        <v>29461</v>
      </c>
      <c r="I24">
        <v>31440</v>
      </c>
      <c r="J24">
        <v>18026</v>
      </c>
      <c r="K24">
        <v>278744</v>
      </c>
      <c r="L24">
        <v>143448</v>
      </c>
      <c r="M24">
        <v>49.5</v>
      </c>
      <c r="N24">
        <v>51.5</v>
      </c>
    </row>
    <row r="25" spans="1:14" x14ac:dyDescent="0.25">
      <c r="A25" t="s">
        <v>304</v>
      </c>
      <c r="B25">
        <v>259</v>
      </c>
      <c r="C25">
        <v>1388</v>
      </c>
      <c r="D25">
        <v>754</v>
      </c>
      <c r="E25">
        <v>27881</v>
      </c>
      <c r="F25">
        <v>14039</v>
      </c>
      <c r="G25">
        <v>5904</v>
      </c>
      <c r="H25">
        <v>3153</v>
      </c>
      <c r="I25">
        <v>2859</v>
      </c>
      <c r="J25">
        <v>1562</v>
      </c>
      <c r="K25">
        <v>38032</v>
      </c>
      <c r="L25">
        <v>19508</v>
      </c>
      <c r="M25">
        <v>50.4</v>
      </c>
      <c r="N25">
        <v>51.3</v>
      </c>
    </row>
    <row r="26" spans="1:14" x14ac:dyDescent="0.25">
      <c r="A26" t="s">
        <v>305</v>
      </c>
      <c r="B26">
        <v>511</v>
      </c>
      <c r="C26">
        <v>6874</v>
      </c>
      <c r="D26">
        <v>3354</v>
      </c>
      <c r="E26">
        <v>75442</v>
      </c>
      <c r="F26">
        <v>35928</v>
      </c>
      <c r="G26">
        <v>26340</v>
      </c>
      <c r="H26">
        <v>13281</v>
      </c>
      <c r="I26">
        <v>12652</v>
      </c>
      <c r="J26">
        <v>6610</v>
      </c>
      <c r="K26">
        <v>121308</v>
      </c>
      <c r="L26">
        <v>59173</v>
      </c>
      <c r="M26">
        <v>47.6</v>
      </c>
      <c r="N26">
        <v>48.8</v>
      </c>
    </row>
    <row r="27" spans="1:14" x14ac:dyDescent="0.25">
      <c r="A27" t="s">
        <v>306</v>
      </c>
      <c r="B27">
        <v>802</v>
      </c>
      <c r="C27">
        <v>12424</v>
      </c>
      <c r="D27">
        <v>6103</v>
      </c>
      <c r="E27">
        <v>113902</v>
      </c>
      <c r="F27">
        <v>54239</v>
      </c>
      <c r="G27">
        <v>45600</v>
      </c>
      <c r="H27">
        <v>23392</v>
      </c>
      <c r="I27">
        <v>28478</v>
      </c>
      <c r="J27">
        <v>14984</v>
      </c>
      <c r="K27">
        <v>200404</v>
      </c>
      <c r="L27">
        <v>98718</v>
      </c>
      <c r="M27">
        <v>47.6</v>
      </c>
      <c r="N27">
        <v>49.3</v>
      </c>
    </row>
    <row r="28" spans="1:14" x14ac:dyDescent="0.25">
      <c r="A28" t="s">
        <v>307</v>
      </c>
      <c r="B28">
        <v>723</v>
      </c>
      <c r="C28">
        <v>13633</v>
      </c>
      <c r="D28">
        <v>6860</v>
      </c>
      <c r="E28">
        <v>109468</v>
      </c>
      <c r="F28">
        <v>52681</v>
      </c>
      <c r="G28">
        <v>31974</v>
      </c>
      <c r="H28">
        <v>17221</v>
      </c>
      <c r="I28">
        <v>15423</v>
      </c>
      <c r="J28">
        <v>8677</v>
      </c>
      <c r="K28">
        <v>170498</v>
      </c>
      <c r="L28">
        <v>85439</v>
      </c>
      <c r="M28">
        <v>48.1</v>
      </c>
      <c r="N28">
        <v>50.1</v>
      </c>
    </row>
    <row r="29" spans="1:14" x14ac:dyDescent="0.25">
      <c r="A29" t="s">
        <v>266</v>
      </c>
      <c r="B29">
        <v>13681</v>
      </c>
      <c r="C29">
        <v>217787</v>
      </c>
      <c r="D29">
        <v>109005</v>
      </c>
      <c r="E29">
        <v>2036566</v>
      </c>
      <c r="F29">
        <v>998416</v>
      </c>
      <c r="G29">
        <v>662106</v>
      </c>
      <c r="H29">
        <v>348637</v>
      </c>
      <c r="I29">
        <v>360617</v>
      </c>
      <c r="J29">
        <v>196474</v>
      </c>
      <c r="K29">
        <v>3277076</v>
      </c>
      <c r="L29">
        <v>1652532</v>
      </c>
      <c r="M29">
        <v>49</v>
      </c>
      <c r="N29">
        <v>50.4</v>
      </c>
    </row>
    <row r="30" spans="1:14" x14ac:dyDescent="0.25">
      <c r="A30" t="s">
        <v>308</v>
      </c>
      <c r="B30">
        <v>1464</v>
      </c>
      <c r="C30">
        <v>36865</v>
      </c>
      <c r="D30">
        <v>18425</v>
      </c>
      <c r="E30">
        <v>347794</v>
      </c>
      <c r="F30">
        <v>167879</v>
      </c>
      <c r="G30">
        <v>140294</v>
      </c>
      <c r="H30">
        <v>71441</v>
      </c>
      <c r="I30">
        <v>106147</v>
      </c>
      <c r="J30">
        <v>55912</v>
      </c>
      <c r="K30">
        <v>631100</v>
      </c>
      <c r="L30">
        <v>313657</v>
      </c>
      <c r="M30">
        <v>48.3</v>
      </c>
      <c r="N30">
        <v>49.7</v>
      </c>
    </row>
    <row r="31" spans="1:14" x14ac:dyDescent="0.25">
      <c r="A31" t="s">
        <v>309</v>
      </c>
      <c r="B31">
        <v>12217</v>
      </c>
      <c r="C31">
        <v>180922</v>
      </c>
      <c r="D31">
        <v>90580</v>
      </c>
      <c r="E31">
        <v>1688772</v>
      </c>
      <c r="F31">
        <v>830537</v>
      </c>
      <c r="G31">
        <v>521812</v>
      </c>
      <c r="H31">
        <v>277196</v>
      </c>
      <c r="I31">
        <v>254470</v>
      </c>
      <c r="J31">
        <v>140562</v>
      </c>
      <c r="K31">
        <v>2645976</v>
      </c>
      <c r="L31">
        <v>1338875</v>
      </c>
      <c r="M31">
        <v>49.2</v>
      </c>
      <c r="N31">
        <v>50.6</v>
      </c>
    </row>
  </sheetData>
  <mergeCells count="8">
    <mergeCell ref="A1:O1"/>
    <mergeCell ref="A2:A3"/>
    <mergeCell ref="M2:N2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tabColor rgb="FF5B9BD5"/>
  </sheetPr>
  <dimension ref="A1:Q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4" max="4" width="8.85546875" customWidth="1"/>
    <col min="5" max="5" width="7.7109375" customWidth="1"/>
    <col min="6" max="6" width="7.42578125" customWidth="1"/>
    <col min="7" max="7" width="8" customWidth="1"/>
    <col min="8" max="8" width="7.42578125" customWidth="1"/>
    <col min="9" max="9" width="7.7109375" customWidth="1"/>
    <col min="10" max="10" width="7.42578125" customWidth="1"/>
    <col min="11" max="11" width="8" customWidth="1"/>
    <col min="12" max="12" width="7.42578125" customWidth="1"/>
    <col min="13" max="13" width="7.7109375" customWidth="1"/>
    <col min="14" max="14" width="7.85546875" customWidth="1"/>
    <col min="15" max="15" width="6.85546875" customWidth="1"/>
    <col min="16" max="16" width="7.140625" customWidth="1"/>
  </cols>
  <sheetData>
    <row r="1" spans="1:17" x14ac:dyDescent="0.25">
      <c r="A1" s="29" t="s">
        <v>405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s="29" t="s">
        <v>406</v>
      </c>
      <c r="C2" s="29"/>
      <c r="D2" s="29" t="s">
        <v>407</v>
      </c>
      <c r="E2" s="29"/>
      <c r="F2" s="29" t="s">
        <v>408</v>
      </c>
      <c r="G2" s="29"/>
      <c r="H2" s="29" t="s">
        <v>409</v>
      </c>
      <c r="I2" s="29"/>
      <c r="J2" s="29" t="s">
        <v>410</v>
      </c>
      <c r="K2" s="29"/>
      <c r="L2" s="29" t="s">
        <v>411</v>
      </c>
      <c r="M2" s="29"/>
      <c r="N2" s="29" t="s">
        <v>412</v>
      </c>
      <c r="O2" s="29"/>
      <c r="P2" s="29"/>
    </row>
    <row r="3" spans="1:17" x14ac:dyDescent="0.25">
      <c r="A3" s="29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7" x14ac:dyDescent="0.25">
      <c r="A4" t="s">
        <v>283</v>
      </c>
      <c r="B4">
        <v>17257</v>
      </c>
      <c r="C4">
        <v>12191</v>
      </c>
      <c r="D4">
        <v>99947</v>
      </c>
      <c r="E4">
        <v>16233</v>
      </c>
      <c r="F4">
        <v>12281</v>
      </c>
      <c r="G4">
        <v>3262</v>
      </c>
      <c r="H4">
        <v>31716</v>
      </c>
      <c r="I4">
        <v>10002</v>
      </c>
      <c r="J4">
        <v>6018</v>
      </c>
      <c r="K4">
        <v>2216</v>
      </c>
      <c r="L4">
        <v>15758</v>
      </c>
      <c r="M4">
        <v>3698</v>
      </c>
      <c r="N4">
        <v>16.2</v>
      </c>
      <c r="O4">
        <v>31.5</v>
      </c>
      <c r="P4">
        <v>23.5</v>
      </c>
    </row>
    <row r="5" spans="1:17" x14ac:dyDescent="0.25">
      <c r="A5" t="s">
        <v>284</v>
      </c>
      <c r="B5">
        <v>28030</v>
      </c>
      <c r="C5">
        <v>19065</v>
      </c>
      <c r="D5">
        <v>175634</v>
      </c>
      <c r="E5">
        <v>59335</v>
      </c>
      <c r="F5">
        <v>19294</v>
      </c>
      <c r="G5">
        <v>4584</v>
      </c>
      <c r="H5">
        <v>50036</v>
      </c>
      <c r="I5">
        <v>17161</v>
      </c>
      <c r="J5">
        <v>9471</v>
      </c>
      <c r="K5">
        <v>3196</v>
      </c>
      <c r="L5">
        <v>24968</v>
      </c>
      <c r="M5">
        <v>7011</v>
      </c>
      <c r="N5">
        <v>33.799999999999997</v>
      </c>
      <c r="O5">
        <v>34.299999999999997</v>
      </c>
      <c r="P5">
        <v>28.1</v>
      </c>
    </row>
    <row r="6" spans="1:17" x14ac:dyDescent="0.25">
      <c r="A6" t="s">
        <v>285</v>
      </c>
      <c r="B6">
        <v>22497</v>
      </c>
      <c r="C6">
        <v>16920</v>
      </c>
      <c r="D6">
        <v>138517</v>
      </c>
      <c r="E6">
        <v>36758</v>
      </c>
      <c r="F6">
        <v>16703</v>
      </c>
      <c r="G6">
        <v>5275</v>
      </c>
      <c r="H6">
        <v>43843</v>
      </c>
      <c r="I6">
        <v>13700</v>
      </c>
      <c r="J6">
        <v>9355</v>
      </c>
      <c r="K6">
        <v>3668</v>
      </c>
      <c r="L6">
        <v>25342</v>
      </c>
      <c r="M6">
        <v>6215</v>
      </c>
      <c r="N6">
        <v>26.5</v>
      </c>
      <c r="O6">
        <v>31.2</v>
      </c>
      <c r="P6">
        <v>24.5</v>
      </c>
    </row>
    <row r="7" spans="1:17" x14ac:dyDescent="0.25">
      <c r="A7" t="s">
        <v>286</v>
      </c>
      <c r="B7">
        <v>12253</v>
      </c>
      <c r="C7">
        <v>10470</v>
      </c>
      <c r="D7">
        <v>73750</v>
      </c>
      <c r="E7">
        <v>15001</v>
      </c>
      <c r="F7">
        <v>9729</v>
      </c>
      <c r="G7">
        <v>2434</v>
      </c>
      <c r="H7">
        <v>25320</v>
      </c>
      <c r="I7">
        <v>8190</v>
      </c>
      <c r="J7">
        <v>4849</v>
      </c>
      <c r="K7">
        <v>1677</v>
      </c>
      <c r="L7">
        <v>12753</v>
      </c>
      <c r="M7">
        <v>3548</v>
      </c>
      <c r="N7">
        <v>20.3</v>
      </c>
      <c r="O7">
        <v>32.299999999999997</v>
      </c>
      <c r="P7">
        <v>27.8</v>
      </c>
    </row>
    <row r="8" spans="1:17" x14ac:dyDescent="0.25">
      <c r="A8" t="s">
        <v>287</v>
      </c>
      <c r="B8">
        <v>17150</v>
      </c>
      <c r="C8">
        <v>12957</v>
      </c>
      <c r="D8">
        <v>106477</v>
      </c>
      <c r="E8">
        <v>15859</v>
      </c>
      <c r="F8">
        <v>13967</v>
      </c>
      <c r="G8">
        <v>3811</v>
      </c>
      <c r="H8">
        <v>34650</v>
      </c>
      <c r="I8">
        <v>10373</v>
      </c>
      <c r="J8">
        <v>5864</v>
      </c>
      <c r="K8">
        <v>2286</v>
      </c>
      <c r="L8">
        <v>15063</v>
      </c>
      <c r="M8">
        <v>4073</v>
      </c>
      <c r="N8">
        <v>14.9</v>
      </c>
      <c r="O8">
        <v>29.9</v>
      </c>
      <c r="P8">
        <v>27</v>
      </c>
    </row>
    <row r="9" spans="1:17" x14ac:dyDescent="0.25">
      <c r="A9" t="s">
        <v>288</v>
      </c>
      <c r="B9">
        <v>17517</v>
      </c>
      <c r="C9">
        <v>13430</v>
      </c>
      <c r="D9">
        <v>101294</v>
      </c>
      <c r="E9">
        <v>23397</v>
      </c>
      <c r="F9">
        <v>11559</v>
      </c>
      <c r="G9">
        <v>2885</v>
      </c>
      <c r="H9">
        <v>30322</v>
      </c>
      <c r="I9">
        <v>10578</v>
      </c>
      <c r="J9">
        <v>6415</v>
      </c>
      <c r="K9">
        <v>2590</v>
      </c>
      <c r="L9">
        <v>17148</v>
      </c>
      <c r="M9">
        <v>4984</v>
      </c>
      <c r="N9">
        <v>23.1</v>
      </c>
      <c r="O9">
        <v>34.9</v>
      </c>
      <c r="P9">
        <v>29.1</v>
      </c>
    </row>
    <row r="10" spans="1:17" x14ac:dyDescent="0.25">
      <c r="A10" t="s">
        <v>289</v>
      </c>
      <c r="B10">
        <v>13225</v>
      </c>
      <c r="C10">
        <v>10196</v>
      </c>
      <c r="D10">
        <v>75516</v>
      </c>
      <c r="E10">
        <v>10212</v>
      </c>
      <c r="F10">
        <v>10249</v>
      </c>
      <c r="G10">
        <v>3206</v>
      </c>
      <c r="H10">
        <v>27431</v>
      </c>
      <c r="I10">
        <v>8617</v>
      </c>
      <c r="J10">
        <v>5483</v>
      </c>
      <c r="K10">
        <v>2456</v>
      </c>
      <c r="L10">
        <v>15467</v>
      </c>
      <c r="M10">
        <v>4219</v>
      </c>
      <c r="N10">
        <v>13.5</v>
      </c>
      <c r="O10">
        <v>31.4</v>
      </c>
      <c r="P10">
        <v>27.3</v>
      </c>
    </row>
    <row r="11" spans="1:17" x14ac:dyDescent="0.25">
      <c r="A11" t="s">
        <v>290</v>
      </c>
      <c r="B11">
        <v>26176</v>
      </c>
      <c r="C11">
        <v>21037</v>
      </c>
      <c r="D11">
        <v>161700</v>
      </c>
      <c r="E11">
        <v>23889</v>
      </c>
      <c r="F11">
        <v>20772</v>
      </c>
      <c r="G11">
        <v>6815</v>
      </c>
      <c r="H11">
        <v>55791</v>
      </c>
      <c r="I11">
        <v>16450</v>
      </c>
      <c r="J11">
        <v>11316</v>
      </c>
      <c r="K11">
        <v>4881</v>
      </c>
      <c r="L11">
        <v>30473</v>
      </c>
      <c r="M11">
        <v>6926</v>
      </c>
      <c r="N11">
        <v>14.8</v>
      </c>
      <c r="O11">
        <v>29.5</v>
      </c>
      <c r="P11">
        <v>22.7</v>
      </c>
    </row>
    <row r="12" spans="1:17" x14ac:dyDescent="0.25">
      <c r="A12" t="s">
        <v>291</v>
      </c>
      <c r="B12">
        <v>943</v>
      </c>
      <c r="C12">
        <v>642</v>
      </c>
      <c r="D12">
        <v>5481</v>
      </c>
      <c r="E12">
        <v>1028</v>
      </c>
      <c r="F12">
        <v>642</v>
      </c>
      <c r="G12">
        <v>97</v>
      </c>
      <c r="H12">
        <v>1733</v>
      </c>
      <c r="I12">
        <v>646</v>
      </c>
      <c r="J12">
        <v>329</v>
      </c>
      <c r="K12">
        <v>86</v>
      </c>
      <c r="L12">
        <v>983</v>
      </c>
      <c r="M12">
        <v>326</v>
      </c>
      <c r="N12">
        <v>18.8</v>
      </c>
      <c r="O12">
        <v>37.299999999999997</v>
      </c>
      <c r="P12">
        <v>33.200000000000003</v>
      </c>
    </row>
    <row r="13" spans="1:17" x14ac:dyDescent="0.25">
      <c r="A13" t="s">
        <v>292</v>
      </c>
      <c r="B13">
        <v>3224</v>
      </c>
      <c r="C13">
        <v>1809</v>
      </c>
      <c r="D13">
        <v>17205</v>
      </c>
      <c r="E13">
        <v>3577</v>
      </c>
      <c r="F13">
        <v>2123</v>
      </c>
      <c r="G13">
        <v>496</v>
      </c>
      <c r="H13">
        <v>5707</v>
      </c>
      <c r="I13">
        <v>2361</v>
      </c>
      <c r="J13">
        <v>1239</v>
      </c>
      <c r="K13">
        <v>350</v>
      </c>
      <c r="L13">
        <v>3131</v>
      </c>
      <c r="M13">
        <v>1010</v>
      </c>
      <c r="N13">
        <v>20.8</v>
      </c>
      <c r="O13">
        <v>41.4</v>
      </c>
      <c r="P13">
        <v>32.299999999999997</v>
      </c>
    </row>
    <row r="14" spans="1:17" x14ac:dyDescent="0.25">
      <c r="A14" t="s">
        <v>293</v>
      </c>
      <c r="B14">
        <v>11092</v>
      </c>
      <c r="C14">
        <v>7454</v>
      </c>
      <c r="D14">
        <v>64004</v>
      </c>
      <c r="E14">
        <v>19847</v>
      </c>
      <c r="F14">
        <v>5858</v>
      </c>
      <c r="G14">
        <v>1600</v>
      </c>
      <c r="H14">
        <v>14380</v>
      </c>
      <c r="I14">
        <v>5147</v>
      </c>
      <c r="J14">
        <v>2514</v>
      </c>
      <c r="K14">
        <v>916</v>
      </c>
      <c r="L14">
        <v>6656</v>
      </c>
      <c r="M14">
        <v>1959</v>
      </c>
      <c r="N14">
        <v>31</v>
      </c>
      <c r="O14">
        <v>35.799999999999997</v>
      </c>
      <c r="P14">
        <v>29.4</v>
      </c>
    </row>
    <row r="15" spans="1:17" x14ac:dyDescent="0.25">
      <c r="A15" t="s">
        <v>294</v>
      </c>
      <c r="B15">
        <v>2810</v>
      </c>
      <c r="C15">
        <v>1597</v>
      </c>
      <c r="D15">
        <v>15225</v>
      </c>
      <c r="E15">
        <v>4750</v>
      </c>
      <c r="F15">
        <v>1535</v>
      </c>
      <c r="G15">
        <v>264</v>
      </c>
      <c r="H15">
        <v>3721</v>
      </c>
      <c r="I15">
        <v>1713</v>
      </c>
      <c r="J15">
        <v>739</v>
      </c>
      <c r="K15">
        <v>163</v>
      </c>
      <c r="L15">
        <v>1917</v>
      </c>
      <c r="M15">
        <v>823</v>
      </c>
      <c r="N15">
        <v>31.2</v>
      </c>
      <c r="O15">
        <v>46</v>
      </c>
      <c r="P15">
        <v>42.9</v>
      </c>
    </row>
    <row r="16" spans="1:17" x14ac:dyDescent="0.25">
      <c r="A16" t="s">
        <v>295</v>
      </c>
      <c r="B16">
        <v>6907</v>
      </c>
      <c r="C16">
        <v>4956</v>
      </c>
      <c r="D16">
        <v>38042</v>
      </c>
      <c r="E16">
        <v>6977</v>
      </c>
      <c r="F16">
        <v>4155</v>
      </c>
      <c r="G16">
        <v>893</v>
      </c>
      <c r="H16">
        <v>10741</v>
      </c>
      <c r="I16">
        <v>4037</v>
      </c>
      <c r="J16">
        <v>2085</v>
      </c>
      <c r="K16">
        <v>632</v>
      </c>
      <c r="L16">
        <v>5349</v>
      </c>
      <c r="M16">
        <v>1883</v>
      </c>
      <c r="N16">
        <v>18.3</v>
      </c>
      <c r="O16">
        <v>37.6</v>
      </c>
      <c r="P16">
        <v>35.200000000000003</v>
      </c>
    </row>
    <row r="17" spans="1:16" x14ac:dyDescent="0.25">
      <c r="A17" t="s">
        <v>296</v>
      </c>
      <c r="B17">
        <v>1773</v>
      </c>
      <c r="C17">
        <v>1213</v>
      </c>
      <c r="D17">
        <v>9881</v>
      </c>
      <c r="E17">
        <v>2041</v>
      </c>
      <c r="F17">
        <v>1334</v>
      </c>
      <c r="G17">
        <v>441</v>
      </c>
      <c r="H17">
        <v>3564</v>
      </c>
      <c r="I17">
        <v>1192</v>
      </c>
      <c r="J17">
        <v>681</v>
      </c>
      <c r="K17">
        <v>415</v>
      </c>
      <c r="L17">
        <v>1858</v>
      </c>
      <c r="M17">
        <v>392</v>
      </c>
      <c r="N17">
        <v>20.7</v>
      </c>
      <c r="O17">
        <v>33.4</v>
      </c>
      <c r="P17">
        <v>21.1</v>
      </c>
    </row>
    <row r="18" spans="1:16" x14ac:dyDescent="0.25">
      <c r="A18" t="s">
        <v>297</v>
      </c>
      <c r="B18">
        <v>24419</v>
      </c>
      <c r="C18">
        <v>18704</v>
      </c>
      <c r="D18">
        <v>135555</v>
      </c>
      <c r="E18">
        <v>17634</v>
      </c>
      <c r="F18">
        <v>20630</v>
      </c>
      <c r="G18">
        <v>6240</v>
      </c>
      <c r="H18">
        <v>58955</v>
      </c>
      <c r="I18">
        <v>18368</v>
      </c>
      <c r="J18">
        <v>13418</v>
      </c>
      <c r="K18">
        <v>5131</v>
      </c>
      <c r="L18">
        <v>41103</v>
      </c>
      <c r="M18">
        <v>13460</v>
      </c>
      <c r="N18">
        <v>13</v>
      </c>
      <c r="O18">
        <v>31.2</v>
      </c>
      <c r="P18">
        <v>32.700000000000003</v>
      </c>
    </row>
    <row r="19" spans="1:16" x14ac:dyDescent="0.25">
      <c r="A19" t="s">
        <v>298</v>
      </c>
      <c r="B19">
        <v>5278</v>
      </c>
      <c r="C19">
        <v>2730</v>
      </c>
      <c r="D19">
        <v>28240</v>
      </c>
      <c r="E19">
        <v>5917</v>
      </c>
      <c r="F19">
        <v>3532</v>
      </c>
      <c r="G19">
        <v>657</v>
      </c>
      <c r="H19">
        <v>9218</v>
      </c>
      <c r="I19">
        <v>3319</v>
      </c>
      <c r="J19">
        <v>1792</v>
      </c>
      <c r="K19">
        <v>740</v>
      </c>
      <c r="L19">
        <v>4821</v>
      </c>
      <c r="M19">
        <v>1301</v>
      </c>
      <c r="N19">
        <v>21</v>
      </c>
      <c r="O19">
        <v>36</v>
      </c>
      <c r="P19">
        <v>27</v>
      </c>
    </row>
    <row r="20" spans="1:16" x14ac:dyDescent="0.25">
      <c r="A20" t="s">
        <v>299</v>
      </c>
      <c r="B20">
        <v>6357</v>
      </c>
      <c r="C20">
        <v>4746</v>
      </c>
      <c r="D20">
        <v>37905</v>
      </c>
      <c r="E20">
        <v>9066</v>
      </c>
      <c r="F20">
        <v>4086</v>
      </c>
      <c r="G20">
        <v>853</v>
      </c>
      <c r="H20">
        <v>10671</v>
      </c>
      <c r="I20">
        <v>4578</v>
      </c>
      <c r="J20">
        <v>2273</v>
      </c>
      <c r="K20">
        <v>673</v>
      </c>
      <c r="L20">
        <v>5704</v>
      </c>
      <c r="M20">
        <v>1869</v>
      </c>
      <c r="N20">
        <v>23.9</v>
      </c>
      <c r="O20">
        <v>42.9</v>
      </c>
      <c r="P20">
        <v>32.799999999999997</v>
      </c>
    </row>
    <row r="21" spans="1:16" x14ac:dyDescent="0.25">
      <c r="A21" t="s">
        <v>300</v>
      </c>
      <c r="B21">
        <v>23891</v>
      </c>
      <c r="C21">
        <v>18340</v>
      </c>
      <c r="D21">
        <v>148731</v>
      </c>
      <c r="E21">
        <v>29524</v>
      </c>
      <c r="F21">
        <v>19641</v>
      </c>
      <c r="G21">
        <v>7130</v>
      </c>
      <c r="H21">
        <v>50821</v>
      </c>
      <c r="I21">
        <v>13919</v>
      </c>
      <c r="J21">
        <v>9803</v>
      </c>
      <c r="K21">
        <v>4798</v>
      </c>
      <c r="L21">
        <v>25716</v>
      </c>
      <c r="M21">
        <v>5743</v>
      </c>
      <c r="N21">
        <v>19.899999999999999</v>
      </c>
      <c r="O21">
        <v>27.4</v>
      </c>
      <c r="P21">
        <v>22.3</v>
      </c>
    </row>
    <row r="22" spans="1:16" x14ac:dyDescent="0.25">
      <c r="A22" t="s">
        <v>301</v>
      </c>
      <c r="B22">
        <v>12059</v>
      </c>
      <c r="C22">
        <v>8331</v>
      </c>
      <c r="D22">
        <v>72088</v>
      </c>
      <c r="E22">
        <v>22849</v>
      </c>
      <c r="F22">
        <v>7967</v>
      </c>
      <c r="G22">
        <v>1951</v>
      </c>
      <c r="H22">
        <v>20540</v>
      </c>
      <c r="I22">
        <v>7852</v>
      </c>
      <c r="J22">
        <v>4157</v>
      </c>
      <c r="K22">
        <v>1394</v>
      </c>
      <c r="L22">
        <v>10820</v>
      </c>
      <c r="M22">
        <v>3473</v>
      </c>
      <c r="N22">
        <v>31.7</v>
      </c>
      <c r="O22">
        <v>38.200000000000003</v>
      </c>
      <c r="P22">
        <v>32.1</v>
      </c>
    </row>
    <row r="23" spans="1:16" x14ac:dyDescent="0.25">
      <c r="A23" t="s">
        <v>302</v>
      </c>
      <c r="B23">
        <v>6895</v>
      </c>
      <c r="C23">
        <v>3477</v>
      </c>
      <c r="D23">
        <v>39659</v>
      </c>
      <c r="E23">
        <v>13481</v>
      </c>
      <c r="F23">
        <v>3790</v>
      </c>
      <c r="G23">
        <v>661</v>
      </c>
      <c r="H23">
        <v>9335</v>
      </c>
      <c r="I23">
        <v>4834</v>
      </c>
      <c r="J23">
        <v>1783</v>
      </c>
      <c r="K23">
        <v>475</v>
      </c>
      <c r="L23">
        <v>4735</v>
      </c>
      <c r="M23">
        <v>2316</v>
      </c>
      <c r="N23">
        <v>34</v>
      </c>
      <c r="O23">
        <v>51.8</v>
      </c>
      <c r="P23">
        <v>48.9</v>
      </c>
    </row>
    <row r="24" spans="1:16" x14ac:dyDescent="0.25">
      <c r="A24" t="s">
        <v>303</v>
      </c>
      <c r="B24">
        <v>28545</v>
      </c>
      <c r="C24">
        <v>19960</v>
      </c>
      <c r="D24">
        <v>165022</v>
      </c>
      <c r="E24">
        <v>46557</v>
      </c>
      <c r="F24">
        <v>20234</v>
      </c>
      <c r="G24">
        <v>4208</v>
      </c>
      <c r="H24">
        <v>53793</v>
      </c>
      <c r="I24">
        <v>19997</v>
      </c>
      <c r="J24">
        <v>11654</v>
      </c>
      <c r="K24">
        <v>4054</v>
      </c>
      <c r="L24">
        <v>31440</v>
      </c>
      <c r="M24">
        <v>9676</v>
      </c>
      <c r="N24">
        <v>28.2</v>
      </c>
      <c r="O24">
        <v>37.200000000000003</v>
      </c>
      <c r="P24">
        <v>30.8</v>
      </c>
    </row>
    <row r="25" spans="1:16" x14ac:dyDescent="0.25">
      <c r="A25" t="s">
        <v>304</v>
      </c>
      <c r="B25">
        <v>5013</v>
      </c>
      <c r="C25">
        <v>3204</v>
      </c>
      <c r="D25">
        <v>27881</v>
      </c>
      <c r="E25">
        <v>7658</v>
      </c>
      <c r="F25">
        <v>2353</v>
      </c>
      <c r="G25">
        <v>561</v>
      </c>
      <c r="H25">
        <v>5904</v>
      </c>
      <c r="I25">
        <v>2635</v>
      </c>
      <c r="J25">
        <v>1054</v>
      </c>
      <c r="K25">
        <v>317</v>
      </c>
      <c r="L25">
        <v>2859</v>
      </c>
      <c r="M25">
        <v>1233</v>
      </c>
      <c r="N25">
        <v>27.5</v>
      </c>
      <c r="O25">
        <v>44.6</v>
      </c>
      <c r="P25">
        <v>43.1</v>
      </c>
    </row>
    <row r="26" spans="1:16" x14ac:dyDescent="0.25">
      <c r="A26" t="s">
        <v>305</v>
      </c>
      <c r="B26">
        <v>12901</v>
      </c>
      <c r="C26">
        <v>9947</v>
      </c>
      <c r="D26">
        <v>75442</v>
      </c>
      <c r="E26">
        <v>14607</v>
      </c>
      <c r="F26">
        <v>10551</v>
      </c>
      <c r="G26">
        <v>3707</v>
      </c>
      <c r="H26">
        <v>26340</v>
      </c>
      <c r="I26">
        <v>6784</v>
      </c>
      <c r="J26">
        <v>4742</v>
      </c>
      <c r="K26">
        <v>2232</v>
      </c>
      <c r="L26">
        <v>12652</v>
      </c>
      <c r="M26">
        <v>2772</v>
      </c>
      <c r="N26">
        <v>19.399999999999999</v>
      </c>
      <c r="O26">
        <v>25.8</v>
      </c>
      <c r="P26">
        <v>21.9</v>
      </c>
    </row>
    <row r="27" spans="1:16" x14ac:dyDescent="0.25">
      <c r="A27" t="s">
        <v>306</v>
      </c>
      <c r="B27">
        <v>18648</v>
      </c>
      <c r="C27">
        <v>17817</v>
      </c>
      <c r="D27">
        <v>113902</v>
      </c>
      <c r="E27">
        <v>13876</v>
      </c>
      <c r="F27">
        <v>16639</v>
      </c>
      <c r="G27">
        <v>6428</v>
      </c>
      <c r="H27">
        <v>45600</v>
      </c>
      <c r="I27">
        <v>12100</v>
      </c>
      <c r="J27">
        <v>10019</v>
      </c>
      <c r="K27">
        <v>4685</v>
      </c>
      <c r="L27">
        <v>28478</v>
      </c>
      <c r="M27">
        <v>7100</v>
      </c>
      <c r="N27">
        <v>12.2</v>
      </c>
      <c r="O27">
        <v>26.5</v>
      </c>
      <c r="P27">
        <v>24.9</v>
      </c>
    </row>
    <row r="28" spans="1:16" x14ac:dyDescent="0.25">
      <c r="A28" t="s">
        <v>307</v>
      </c>
      <c r="B28">
        <v>18089</v>
      </c>
      <c r="C28">
        <v>13279</v>
      </c>
      <c r="D28">
        <v>109468</v>
      </c>
      <c r="E28">
        <v>21292</v>
      </c>
      <c r="F28">
        <v>12532</v>
      </c>
      <c r="G28">
        <v>3375</v>
      </c>
      <c r="H28">
        <v>31974</v>
      </c>
      <c r="I28">
        <v>10933</v>
      </c>
      <c r="J28">
        <v>5756</v>
      </c>
      <c r="K28">
        <v>1466</v>
      </c>
      <c r="L28">
        <v>15423</v>
      </c>
      <c r="M28">
        <v>5829</v>
      </c>
      <c r="N28">
        <v>19.5</v>
      </c>
      <c r="O28">
        <v>34.200000000000003</v>
      </c>
      <c r="P28">
        <v>37.799999999999997</v>
      </c>
    </row>
    <row r="29" spans="1:16" x14ac:dyDescent="0.25">
      <c r="A29" t="s">
        <v>266</v>
      </c>
      <c r="B29">
        <v>342949</v>
      </c>
      <c r="C29">
        <v>254472</v>
      </c>
      <c r="D29">
        <v>2036566</v>
      </c>
      <c r="E29">
        <v>441365</v>
      </c>
      <c r="F29">
        <v>252156</v>
      </c>
      <c r="G29">
        <v>71834</v>
      </c>
      <c r="H29">
        <v>662106</v>
      </c>
      <c r="I29">
        <v>215486</v>
      </c>
      <c r="J29">
        <v>132809</v>
      </c>
      <c r="K29">
        <v>51497</v>
      </c>
      <c r="L29">
        <v>360617</v>
      </c>
      <c r="M29">
        <v>101839</v>
      </c>
      <c r="N29">
        <v>21.7</v>
      </c>
      <c r="O29">
        <v>32.5</v>
      </c>
      <c r="P29">
        <v>28.2</v>
      </c>
    </row>
    <row r="30" spans="1:16" x14ac:dyDescent="0.25">
      <c r="A30" t="s">
        <v>308</v>
      </c>
      <c r="B30">
        <v>61825</v>
      </c>
      <c r="C30">
        <v>45071</v>
      </c>
      <c r="D30">
        <v>347794</v>
      </c>
      <c r="E30">
        <v>65890</v>
      </c>
      <c r="F30">
        <v>50299</v>
      </c>
      <c r="G30">
        <v>15923</v>
      </c>
      <c r="H30">
        <v>140294</v>
      </c>
      <c r="I30">
        <v>43857</v>
      </c>
      <c r="J30">
        <v>36142</v>
      </c>
      <c r="K30">
        <v>14466</v>
      </c>
      <c r="L30">
        <v>106147</v>
      </c>
      <c r="M30">
        <v>31212</v>
      </c>
      <c r="N30">
        <v>18.899999999999999</v>
      </c>
      <c r="O30">
        <v>31.3</v>
      </c>
      <c r="P30">
        <v>29.4</v>
      </c>
    </row>
    <row r="31" spans="1:16" x14ac:dyDescent="0.25">
      <c r="A31" t="s">
        <v>309</v>
      </c>
      <c r="B31">
        <v>281124</v>
      </c>
      <c r="C31">
        <v>209401</v>
      </c>
      <c r="D31">
        <v>1688772</v>
      </c>
      <c r="E31">
        <v>375475</v>
      </c>
      <c r="F31">
        <v>201857</v>
      </c>
      <c r="G31">
        <v>55911</v>
      </c>
      <c r="H31">
        <v>521812</v>
      </c>
      <c r="I31">
        <v>171629</v>
      </c>
      <c r="J31">
        <v>96667</v>
      </c>
      <c r="K31">
        <v>37031</v>
      </c>
      <c r="L31">
        <v>254470</v>
      </c>
      <c r="M31">
        <v>70627</v>
      </c>
      <c r="N31">
        <v>22.2</v>
      </c>
      <c r="O31">
        <v>32.9</v>
      </c>
      <c r="P31">
        <v>27.8</v>
      </c>
    </row>
  </sheetData>
  <mergeCells count="9">
    <mergeCell ref="A2:A3"/>
    <mergeCell ref="A1:Q1"/>
    <mergeCell ref="L2:M2"/>
    <mergeCell ref="F2:G2"/>
    <mergeCell ref="B2:C2"/>
    <mergeCell ref="H2:I2"/>
    <mergeCell ref="N2:P2"/>
    <mergeCell ref="D2:E2"/>
    <mergeCell ref="J2:K2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rgb="FF5B9BD5"/>
  </sheetPr>
  <dimension ref="A1:Q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5" max="5" width="7.7109375" customWidth="1"/>
    <col min="6" max="6" width="7.42578125" customWidth="1"/>
    <col min="7" max="7" width="8" customWidth="1"/>
    <col min="8" max="8" width="7.42578125" customWidth="1"/>
    <col min="9" max="9" width="7.7109375" customWidth="1"/>
    <col min="10" max="10" width="6.42578125" customWidth="1"/>
    <col min="11" max="11" width="8" customWidth="1"/>
    <col min="12" max="12" width="7.42578125" customWidth="1"/>
    <col min="13" max="13" width="7.7109375" customWidth="1"/>
    <col min="14" max="14" width="7.85546875" customWidth="1"/>
    <col min="15" max="15" width="6.85546875" customWidth="1"/>
    <col min="16" max="16" width="7.140625" customWidth="1"/>
  </cols>
  <sheetData>
    <row r="1" spans="1:17" x14ac:dyDescent="0.25">
      <c r="A1" s="29" t="s">
        <v>421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709</v>
      </c>
      <c r="B2" s="29" t="s">
        <v>406</v>
      </c>
      <c r="C2" s="29"/>
      <c r="D2" s="29" t="s">
        <v>407</v>
      </c>
      <c r="E2" s="29"/>
      <c r="F2" s="29" t="s">
        <v>408</v>
      </c>
      <c r="G2" s="29"/>
      <c r="H2" s="29" t="s">
        <v>409</v>
      </c>
      <c r="I2" s="29"/>
      <c r="J2" s="29" t="s">
        <v>410</v>
      </c>
      <c r="K2" s="29"/>
      <c r="L2" s="29" t="s">
        <v>411</v>
      </c>
      <c r="M2" s="29"/>
      <c r="N2" s="29" t="s">
        <v>412</v>
      </c>
      <c r="O2" s="29"/>
      <c r="P2" s="29"/>
    </row>
    <row r="3" spans="1:17" x14ac:dyDescent="0.25">
      <c r="A3" s="29"/>
      <c r="B3" t="s">
        <v>263</v>
      </c>
      <c r="C3" t="s">
        <v>413</v>
      </c>
      <c r="D3" t="s">
        <v>263</v>
      </c>
      <c r="E3" t="s">
        <v>414</v>
      </c>
      <c r="F3" t="s">
        <v>263</v>
      </c>
      <c r="G3" t="s">
        <v>415</v>
      </c>
      <c r="H3" t="s">
        <v>263</v>
      </c>
      <c r="I3" t="s">
        <v>416</v>
      </c>
      <c r="J3" t="s">
        <v>263</v>
      </c>
      <c r="K3" t="s">
        <v>417</v>
      </c>
      <c r="L3" t="s">
        <v>263</v>
      </c>
      <c r="M3" t="s">
        <v>418</v>
      </c>
      <c r="N3" t="s">
        <v>346</v>
      </c>
      <c r="O3" t="s">
        <v>419</v>
      </c>
      <c r="P3" t="s">
        <v>420</v>
      </c>
    </row>
    <row r="4" spans="1:17" x14ac:dyDescent="0.25">
      <c r="A4" t="s">
        <v>283</v>
      </c>
      <c r="B4">
        <v>8252</v>
      </c>
      <c r="C4">
        <v>6001</v>
      </c>
      <c r="D4">
        <v>48195</v>
      </c>
      <c r="E4">
        <v>7197</v>
      </c>
      <c r="F4">
        <v>6435</v>
      </c>
      <c r="G4">
        <v>1868</v>
      </c>
      <c r="H4">
        <v>16861</v>
      </c>
      <c r="I4">
        <v>4946</v>
      </c>
      <c r="J4">
        <v>3426</v>
      </c>
      <c r="K4">
        <v>1375</v>
      </c>
      <c r="L4">
        <v>8987</v>
      </c>
      <c r="M4">
        <v>1891</v>
      </c>
      <c r="N4">
        <v>14.9</v>
      </c>
      <c r="O4">
        <v>29.3</v>
      </c>
      <c r="P4">
        <v>21</v>
      </c>
    </row>
    <row r="5" spans="1:17" x14ac:dyDescent="0.25">
      <c r="A5" t="s">
        <v>284</v>
      </c>
      <c r="B5">
        <v>13486</v>
      </c>
      <c r="C5">
        <v>9434</v>
      </c>
      <c r="D5">
        <v>87264</v>
      </c>
      <c r="E5">
        <v>28842</v>
      </c>
      <c r="F5">
        <v>10114</v>
      </c>
      <c r="G5">
        <v>2620</v>
      </c>
      <c r="H5">
        <v>26673</v>
      </c>
      <c r="I5">
        <v>8414</v>
      </c>
      <c r="J5">
        <v>5283</v>
      </c>
      <c r="K5">
        <v>1880</v>
      </c>
      <c r="L5">
        <v>13877</v>
      </c>
      <c r="M5">
        <v>3664</v>
      </c>
      <c r="N5">
        <v>33.1</v>
      </c>
      <c r="O5">
        <v>31.5</v>
      </c>
      <c r="P5">
        <v>26.4</v>
      </c>
    </row>
    <row r="6" spans="1:17" x14ac:dyDescent="0.25">
      <c r="A6" t="s">
        <v>285</v>
      </c>
      <c r="B6">
        <v>10766</v>
      </c>
      <c r="C6">
        <v>8401</v>
      </c>
      <c r="D6">
        <v>72390</v>
      </c>
      <c r="E6">
        <v>21901</v>
      </c>
      <c r="F6">
        <v>8919</v>
      </c>
      <c r="G6">
        <v>3071</v>
      </c>
      <c r="H6">
        <v>23715</v>
      </c>
      <c r="I6">
        <v>6813</v>
      </c>
      <c r="J6">
        <v>5287</v>
      </c>
      <c r="K6">
        <v>2196</v>
      </c>
      <c r="L6">
        <v>14337</v>
      </c>
      <c r="M6">
        <v>3215</v>
      </c>
      <c r="N6">
        <v>30.3</v>
      </c>
      <c r="O6">
        <v>28.7</v>
      </c>
      <c r="P6">
        <v>22.4</v>
      </c>
    </row>
    <row r="7" spans="1:17" x14ac:dyDescent="0.25">
      <c r="A7" t="s">
        <v>286</v>
      </c>
      <c r="B7">
        <v>6028</v>
      </c>
      <c r="C7">
        <v>5214</v>
      </c>
      <c r="D7">
        <v>36879</v>
      </c>
      <c r="E7">
        <v>7289</v>
      </c>
      <c r="F7">
        <v>5273</v>
      </c>
      <c r="G7">
        <v>1433</v>
      </c>
      <c r="H7">
        <v>13762</v>
      </c>
      <c r="I7">
        <v>4207</v>
      </c>
      <c r="J7">
        <v>2750</v>
      </c>
      <c r="K7">
        <v>1039</v>
      </c>
      <c r="L7">
        <v>7178</v>
      </c>
      <c r="M7">
        <v>1865</v>
      </c>
      <c r="N7">
        <v>19.8</v>
      </c>
      <c r="O7">
        <v>30.6</v>
      </c>
      <c r="P7">
        <v>26</v>
      </c>
    </row>
    <row r="8" spans="1:17" x14ac:dyDescent="0.25">
      <c r="A8" t="s">
        <v>287</v>
      </c>
      <c r="B8">
        <v>8167</v>
      </c>
      <c r="C8">
        <v>6234</v>
      </c>
      <c r="D8">
        <v>51144</v>
      </c>
      <c r="E8">
        <v>7081</v>
      </c>
      <c r="F8">
        <v>7336</v>
      </c>
      <c r="G8">
        <v>2140</v>
      </c>
      <c r="H8">
        <v>18051</v>
      </c>
      <c r="I8">
        <v>4940</v>
      </c>
      <c r="J8">
        <v>3090</v>
      </c>
      <c r="K8">
        <v>1278</v>
      </c>
      <c r="L8">
        <v>7954</v>
      </c>
      <c r="M8">
        <v>2043</v>
      </c>
      <c r="N8">
        <v>13.8</v>
      </c>
      <c r="O8">
        <v>27.4</v>
      </c>
      <c r="P8">
        <v>25.7</v>
      </c>
    </row>
    <row r="9" spans="1:17" x14ac:dyDescent="0.25">
      <c r="A9" t="s">
        <v>288</v>
      </c>
      <c r="B9">
        <v>8721</v>
      </c>
      <c r="C9">
        <v>6626</v>
      </c>
      <c r="D9">
        <v>53157</v>
      </c>
      <c r="E9">
        <v>13313</v>
      </c>
      <c r="F9">
        <v>6200</v>
      </c>
      <c r="G9">
        <v>1678</v>
      </c>
      <c r="H9">
        <v>16323</v>
      </c>
      <c r="I9">
        <v>5210</v>
      </c>
      <c r="J9">
        <v>3699</v>
      </c>
      <c r="K9">
        <v>1574</v>
      </c>
      <c r="L9">
        <v>9683</v>
      </c>
      <c r="M9">
        <v>2625</v>
      </c>
      <c r="N9">
        <v>25</v>
      </c>
      <c r="O9">
        <v>31.9</v>
      </c>
      <c r="P9">
        <v>27.1</v>
      </c>
    </row>
    <row r="10" spans="1:17" x14ac:dyDescent="0.25">
      <c r="A10" t="s">
        <v>289</v>
      </c>
      <c r="B10">
        <v>6229</v>
      </c>
      <c r="C10">
        <v>4866</v>
      </c>
      <c r="D10">
        <v>35799</v>
      </c>
      <c r="E10">
        <v>4364</v>
      </c>
      <c r="F10">
        <v>5275</v>
      </c>
      <c r="G10">
        <v>1768</v>
      </c>
      <c r="H10">
        <v>14302</v>
      </c>
      <c r="I10">
        <v>4104</v>
      </c>
      <c r="J10">
        <v>2936</v>
      </c>
      <c r="K10">
        <v>1423</v>
      </c>
      <c r="L10">
        <v>8214</v>
      </c>
      <c r="M10">
        <v>1974</v>
      </c>
      <c r="N10">
        <v>12.2</v>
      </c>
      <c r="O10">
        <v>28.7</v>
      </c>
      <c r="P10">
        <v>24</v>
      </c>
    </row>
    <row r="11" spans="1:17" x14ac:dyDescent="0.25">
      <c r="A11" t="s">
        <v>290</v>
      </c>
      <c r="B11">
        <v>12533</v>
      </c>
      <c r="C11">
        <v>10127</v>
      </c>
      <c r="D11">
        <v>76703</v>
      </c>
      <c r="E11">
        <v>9637</v>
      </c>
      <c r="F11">
        <v>10682</v>
      </c>
      <c r="G11">
        <v>3803</v>
      </c>
      <c r="H11">
        <v>28974</v>
      </c>
      <c r="I11">
        <v>7533</v>
      </c>
      <c r="J11">
        <v>6192</v>
      </c>
      <c r="K11">
        <v>2858</v>
      </c>
      <c r="L11">
        <v>16804</v>
      </c>
      <c r="M11">
        <v>3456</v>
      </c>
      <c r="N11">
        <v>12.6</v>
      </c>
      <c r="O11">
        <v>26</v>
      </c>
      <c r="P11">
        <v>20.6</v>
      </c>
    </row>
    <row r="12" spans="1:17" x14ac:dyDescent="0.25">
      <c r="A12" t="s">
        <v>291</v>
      </c>
      <c r="B12">
        <v>448</v>
      </c>
      <c r="C12">
        <v>307</v>
      </c>
      <c r="D12">
        <v>2621</v>
      </c>
      <c r="E12">
        <v>454</v>
      </c>
      <c r="F12">
        <v>366</v>
      </c>
      <c r="G12">
        <v>72</v>
      </c>
      <c r="H12">
        <v>918</v>
      </c>
      <c r="I12">
        <v>290</v>
      </c>
      <c r="J12">
        <v>184</v>
      </c>
      <c r="K12">
        <v>53</v>
      </c>
      <c r="L12">
        <v>521</v>
      </c>
      <c r="M12">
        <v>151</v>
      </c>
      <c r="N12">
        <v>17.3</v>
      </c>
      <c r="O12">
        <v>31.6</v>
      </c>
      <c r="P12">
        <v>29</v>
      </c>
    </row>
    <row r="13" spans="1:17" x14ac:dyDescent="0.25">
      <c r="A13" t="s">
        <v>292</v>
      </c>
      <c r="B13">
        <v>1609</v>
      </c>
      <c r="C13">
        <v>891</v>
      </c>
      <c r="D13">
        <v>8245</v>
      </c>
      <c r="E13">
        <v>1534</v>
      </c>
      <c r="F13">
        <v>1076</v>
      </c>
      <c r="G13">
        <v>288</v>
      </c>
      <c r="H13">
        <v>2934</v>
      </c>
      <c r="I13">
        <v>1070</v>
      </c>
      <c r="J13">
        <v>642</v>
      </c>
      <c r="K13">
        <v>193</v>
      </c>
      <c r="L13">
        <v>1621</v>
      </c>
      <c r="M13">
        <v>457</v>
      </c>
      <c r="N13">
        <v>18.600000000000001</v>
      </c>
      <c r="O13">
        <v>36.5</v>
      </c>
      <c r="P13">
        <v>28.2</v>
      </c>
    </row>
    <row r="14" spans="1:17" x14ac:dyDescent="0.25">
      <c r="A14" t="s">
        <v>293</v>
      </c>
      <c r="B14">
        <v>5398</v>
      </c>
      <c r="C14">
        <v>3444</v>
      </c>
      <c r="D14">
        <v>33208</v>
      </c>
      <c r="E14">
        <v>9468</v>
      </c>
      <c r="F14">
        <v>3223</v>
      </c>
      <c r="G14">
        <v>976</v>
      </c>
      <c r="H14">
        <v>7787</v>
      </c>
      <c r="I14">
        <v>2523</v>
      </c>
      <c r="J14">
        <v>1413</v>
      </c>
      <c r="K14">
        <v>566</v>
      </c>
      <c r="L14">
        <v>3706</v>
      </c>
      <c r="M14">
        <v>954</v>
      </c>
      <c r="N14">
        <v>28.5</v>
      </c>
      <c r="O14">
        <v>32.4</v>
      </c>
      <c r="P14">
        <v>25.7</v>
      </c>
    </row>
    <row r="15" spans="1:17" x14ac:dyDescent="0.25">
      <c r="A15" t="s">
        <v>294</v>
      </c>
      <c r="B15">
        <v>1364</v>
      </c>
      <c r="C15">
        <v>811</v>
      </c>
      <c r="D15">
        <v>7859</v>
      </c>
      <c r="E15">
        <v>2286</v>
      </c>
      <c r="F15">
        <v>790</v>
      </c>
      <c r="G15">
        <v>151</v>
      </c>
      <c r="H15">
        <v>1961</v>
      </c>
      <c r="I15">
        <v>829</v>
      </c>
      <c r="J15">
        <v>397</v>
      </c>
      <c r="K15">
        <v>97</v>
      </c>
      <c r="L15">
        <v>1041</v>
      </c>
      <c r="M15">
        <v>393</v>
      </c>
      <c r="N15">
        <v>29.1</v>
      </c>
      <c r="O15">
        <v>42.3</v>
      </c>
      <c r="P15">
        <v>37.799999999999997</v>
      </c>
    </row>
    <row r="16" spans="1:17" x14ac:dyDescent="0.25">
      <c r="A16" t="s">
        <v>295</v>
      </c>
      <c r="B16">
        <v>3297</v>
      </c>
      <c r="C16">
        <v>2391</v>
      </c>
      <c r="D16">
        <v>18080</v>
      </c>
      <c r="E16">
        <v>3129</v>
      </c>
      <c r="F16">
        <v>2211</v>
      </c>
      <c r="G16">
        <v>527</v>
      </c>
      <c r="H16">
        <v>5779</v>
      </c>
      <c r="I16">
        <v>2000</v>
      </c>
      <c r="J16">
        <v>1072</v>
      </c>
      <c r="K16">
        <v>380</v>
      </c>
      <c r="L16">
        <v>2804</v>
      </c>
      <c r="M16">
        <v>894</v>
      </c>
      <c r="N16">
        <v>17.3</v>
      </c>
      <c r="O16">
        <v>34.6</v>
      </c>
      <c r="P16">
        <v>31.9</v>
      </c>
    </row>
    <row r="17" spans="1:16" x14ac:dyDescent="0.25">
      <c r="A17" t="s">
        <v>296</v>
      </c>
      <c r="B17">
        <v>884</v>
      </c>
      <c r="C17">
        <v>628</v>
      </c>
      <c r="D17">
        <v>4828</v>
      </c>
      <c r="E17">
        <v>911</v>
      </c>
      <c r="F17">
        <v>710</v>
      </c>
      <c r="G17">
        <v>254</v>
      </c>
      <c r="H17">
        <v>1898</v>
      </c>
      <c r="I17">
        <v>555</v>
      </c>
      <c r="J17">
        <v>412</v>
      </c>
      <c r="K17">
        <v>271</v>
      </c>
      <c r="L17">
        <v>1056</v>
      </c>
      <c r="M17">
        <v>178</v>
      </c>
      <c r="N17">
        <v>18.899999999999999</v>
      </c>
      <c r="O17">
        <v>29.2</v>
      </c>
      <c r="P17">
        <v>16.899999999999999</v>
      </c>
    </row>
    <row r="18" spans="1:16" x14ac:dyDescent="0.25">
      <c r="A18" t="s">
        <v>297</v>
      </c>
      <c r="B18">
        <v>11475</v>
      </c>
      <c r="C18">
        <v>8985</v>
      </c>
      <c r="D18">
        <v>64312</v>
      </c>
      <c r="E18">
        <v>7342</v>
      </c>
      <c r="F18">
        <v>10162</v>
      </c>
      <c r="G18">
        <v>3172</v>
      </c>
      <c r="H18">
        <v>29252</v>
      </c>
      <c r="I18">
        <v>8361</v>
      </c>
      <c r="J18">
        <v>6881</v>
      </c>
      <c r="K18">
        <v>2762</v>
      </c>
      <c r="L18">
        <v>20842</v>
      </c>
      <c r="M18">
        <v>6413</v>
      </c>
      <c r="N18">
        <v>11.4</v>
      </c>
      <c r="O18">
        <v>28.6</v>
      </c>
      <c r="P18">
        <v>30.8</v>
      </c>
    </row>
    <row r="19" spans="1:16" x14ac:dyDescent="0.25">
      <c r="A19" t="s">
        <v>298</v>
      </c>
      <c r="B19">
        <v>2505</v>
      </c>
      <c r="C19">
        <v>1356</v>
      </c>
      <c r="D19">
        <v>13526</v>
      </c>
      <c r="E19">
        <v>2674</v>
      </c>
      <c r="F19">
        <v>1855</v>
      </c>
      <c r="G19">
        <v>385</v>
      </c>
      <c r="H19">
        <v>4695</v>
      </c>
      <c r="I19">
        <v>1450</v>
      </c>
      <c r="J19">
        <v>963</v>
      </c>
      <c r="K19">
        <v>436</v>
      </c>
      <c r="L19">
        <v>2550</v>
      </c>
      <c r="M19">
        <v>625</v>
      </c>
      <c r="N19">
        <v>19.8</v>
      </c>
      <c r="O19">
        <v>30.9</v>
      </c>
      <c r="P19">
        <v>24.5</v>
      </c>
    </row>
    <row r="20" spans="1:16" x14ac:dyDescent="0.25">
      <c r="A20" t="s">
        <v>299</v>
      </c>
      <c r="B20">
        <v>3160</v>
      </c>
      <c r="C20">
        <v>2438</v>
      </c>
      <c r="D20">
        <v>18742</v>
      </c>
      <c r="E20">
        <v>4865</v>
      </c>
      <c r="F20">
        <v>2178</v>
      </c>
      <c r="G20">
        <v>501</v>
      </c>
      <c r="H20">
        <v>5833</v>
      </c>
      <c r="I20">
        <v>2261</v>
      </c>
      <c r="J20">
        <v>1287</v>
      </c>
      <c r="K20">
        <v>420</v>
      </c>
      <c r="L20">
        <v>3171</v>
      </c>
      <c r="M20">
        <v>910</v>
      </c>
      <c r="N20">
        <v>26</v>
      </c>
      <c r="O20">
        <v>38.799999999999997</v>
      </c>
      <c r="P20">
        <v>28.7</v>
      </c>
    </row>
    <row r="21" spans="1:16" x14ac:dyDescent="0.25">
      <c r="A21" t="s">
        <v>300</v>
      </c>
      <c r="B21">
        <v>11277</v>
      </c>
      <c r="C21">
        <v>8703</v>
      </c>
      <c r="D21">
        <v>69420</v>
      </c>
      <c r="E21">
        <v>11806</v>
      </c>
      <c r="F21">
        <v>10159</v>
      </c>
      <c r="G21">
        <v>3958</v>
      </c>
      <c r="H21">
        <v>26531</v>
      </c>
      <c r="I21">
        <v>6744</v>
      </c>
      <c r="J21">
        <v>5307</v>
      </c>
      <c r="K21">
        <v>2729</v>
      </c>
      <c r="L21">
        <v>13943</v>
      </c>
      <c r="M21">
        <v>2892</v>
      </c>
      <c r="N21">
        <v>17</v>
      </c>
      <c r="O21">
        <v>25.4</v>
      </c>
      <c r="P21">
        <v>20.7</v>
      </c>
    </row>
    <row r="22" spans="1:16" x14ac:dyDescent="0.25">
      <c r="A22" t="s">
        <v>301</v>
      </c>
      <c r="B22">
        <v>5788</v>
      </c>
      <c r="C22">
        <v>4062</v>
      </c>
      <c r="D22">
        <v>38016</v>
      </c>
      <c r="E22">
        <v>11172</v>
      </c>
      <c r="F22">
        <v>4299</v>
      </c>
      <c r="G22">
        <v>1133</v>
      </c>
      <c r="H22">
        <v>11035</v>
      </c>
      <c r="I22">
        <v>3896</v>
      </c>
      <c r="J22">
        <v>2345</v>
      </c>
      <c r="K22">
        <v>835</v>
      </c>
      <c r="L22">
        <v>5949</v>
      </c>
      <c r="M22">
        <v>1725</v>
      </c>
      <c r="N22">
        <v>29.4</v>
      </c>
      <c r="O22">
        <v>35.299999999999997</v>
      </c>
      <c r="P22">
        <v>29</v>
      </c>
    </row>
    <row r="23" spans="1:16" x14ac:dyDescent="0.25">
      <c r="A23" t="s">
        <v>302</v>
      </c>
      <c r="B23">
        <v>3392</v>
      </c>
      <c r="C23">
        <v>1746</v>
      </c>
      <c r="D23">
        <v>19524</v>
      </c>
      <c r="E23">
        <v>6101</v>
      </c>
      <c r="F23">
        <v>1911</v>
      </c>
      <c r="G23">
        <v>364</v>
      </c>
      <c r="H23">
        <v>4845</v>
      </c>
      <c r="I23">
        <v>2320</v>
      </c>
      <c r="J23">
        <v>885</v>
      </c>
      <c r="K23">
        <v>261</v>
      </c>
      <c r="L23">
        <v>2377</v>
      </c>
      <c r="M23">
        <v>1048</v>
      </c>
      <c r="N23">
        <v>31.2</v>
      </c>
      <c r="O23">
        <v>47.9</v>
      </c>
      <c r="P23">
        <v>44.1</v>
      </c>
    </row>
    <row r="24" spans="1:16" x14ac:dyDescent="0.25">
      <c r="A24" t="s">
        <v>303</v>
      </c>
      <c r="B24">
        <v>13706</v>
      </c>
      <c r="C24">
        <v>9931</v>
      </c>
      <c r="D24">
        <v>81617</v>
      </c>
      <c r="E24">
        <v>22969</v>
      </c>
      <c r="F24">
        <v>10997</v>
      </c>
      <c r="G24">
        <v>2538</v>
      </c>
      <c r="H24">
        <v>29461</v>
      </c>
      <c r="I24">
        <v>10220</v>
      </c>
      <c r="J24">
        <v>6760</v>
      </c>
      <c r="K24">
        <v>2498</v>
      </c>
      <c r="L24">
        <v>18026</v>
      </c>
      <c r="M24">
        <v>5064</v>
      </c>
      <c r="N24">
        <v>28.1</v>
      </c>
      <c r="O24">
        <v>34.700000000000003</v>
      </c>
      <c r="P24">
        <v>28.1</v>
      </c>
    </row>
    <row r="25" spans="1:16" x14ac:dyDescent="0.25">
      <c r="A25" t="s">
        <v>304</v>
      </c>
      <c r="B25">
        <v>2462</v>
      </c>
      <c r="C25">
        <v>1524</v>
      </c>
      <c r="D25">
        <v>14039</v>
      </c>
      <c r="E25">
        <v>3486</v>
      </c>
      <c r="F25">
        <v>1292</v>
      </c>
      <c r="G25">
        <v>338</v>
      </c>
      <c r="H25">
        <v>3153</v>
      </c>
      <c r="I25">
        <v>1303</v>
      </c>
      <c r="J25">
        <v>571</v>
      </c>
      <c r="K25">
        <v>187</v>
      </c>
      <c r="L25">
        <v>1562</v>
      </c>
      <c r="M25">
        <v>591</v>
      </c>
      <c r="N25">
        <v>24.8</v>
      </c>
      <c r="O25">
        <v>41.3</v>
      </c>
      <c r="P25">
        <v>37.799999999999997</v>
      </c>
    </row>
    <row r="26" spans="1:16" x14ac:dyDescent="0.25">
      <c r="A26" t="s">
        <v>305</v>
      </c>
      <c r="B26">
        <v>6233</v>
      </c>
      <c r="C26">
        <v>4930</v>
      </c>
      <c r="D26">
        <v>35928</v>
      </c>
      <c r="E26">
        <v>5586</v>
      </c>
      <c r="F26">
        <v>5396</v>
      </c>
      <c r="G26">
        <v>2040</v>
      </c>
      <c r="H26">
        <v>13281</v>
      </c>
      <c r="I26">
        <v>2913</v>
      </c>
      <c r="J26">
        <v>2492</v>
      </c>
      <c r="K26">
        <v>1254</v>
      </c>
      <c r="L26">
        <v>6610</v>
      </c>
      <c r="M26">
        <v>1280</v>
      </c>
      <c r="N26">
        <v>15.5</v>
      </c>
      <c r="O26">
        <v>21.9</v>
      </c>
      <c r="P26">
        <v>19.399999999999999</v>
      </c>
    </row>
    <row r="27" spans="1:16" x14ac:dyDescent="0.25">
      <c r="A27" t="s">
        <v>306</v>
      </c>
      <c r="B27">
        <v>8931</v>
      </c>
      <c r="C27">
        <v>8551</v>
      </c>
      <c r="D27">
        <v>54239</v>
      </c>
      <c r="E27">
        <v>5946</v>
      </c>
      <c r="F27">
        <v>8528</v>
      </c>
      <c r="G27">
        <v>3555</v>
      </c>
      <c r="H27">
        <v>23392</v>
      </c>
      <c r="I27">
        <v>5570</v>
      </c>
      <c r="J27">
        <v>5251</v>
      </c>
      <c r="K27">
        <v>2556</v>
      </c>
      <c r="L27">
        <v>14984</v>
      </c>
      <c r="M27">
        <v>3481</v>
      </c>
      <c r="N27">
        <v>11</v>
      </c>
      <c r="O27">
        <v>23.8</v>
      </c>
      <c r="P27">
        <v>23.2</v>
      </c>
    </row>
    <row r="28" spans="1:16" x14ac:dyDescent="0.25">
      <c r="A28" t="s">
        <v>307</v>
      </c>
      <c r="B28">
        <v>8669</v>
      </c>
      <c r="C28">
        <v>6487</v>
      </c>
      <c r="D28">
        <v>52681</v>
      </c>
      <c r="E28">
        <v>10034</v>
      </c>
      <c r="F28">
        <v>6735</v>
      </c>
      <c r="G28">
        <v>1989</v>
      </c>
      <c r="H28">
        <v>17221</v>
      </c>
      <c r="I28">
        <v>5406</v>
      </c>
      <c r="J28">
        <v>3252</v>
      </c>
      <c r="K28">
        <v>873</v>
      </c>
      <c r="L28">
        <v>8677</v>
      </c>
      <c r="M28">
        <v>3055</v>
      </c>
      <c r="N28">
        <v>19</v>
      </c>
      <c r="O28">
        <v>31.4</v>
      </c>
      <c r="P28">
        <v>35.200000000000003</v>
      </c>
    </row>
    <row r="29" spans="1:16" x14ac:dyDescent="0.25">
      <c r="A29" t="s">
        <v>266</v>
      </c>
      <c r="B29">
        <v>164780</v>
      </c>
      <c r="C29">
        <v>124088</v>
      </c>
      <c r="D29">
        <v>998416</v>
      </c>
      <c r="E29">
        <v>209387</v>
      </c>
      <c r="F29">
        <v>132122</v>
      </c>
      <c r="G29">
        <v>40622</v>
      </c>
      <c r="H29">
        <v>348637</v>
      </c>
      <c r="I29">
        <v>103878</v>
      </c>
      <c r="J29">
        <v>72777</v>
      </c>
      <c r="K29">
        <v>29994</v>
      </c>
      <c r="L29">
        <v>196474</v>
      </c>
      <c r="M29">
        <v>50844</v>
      </c>
      <c r="N29">
        <v>21</v>
      </c>
      <c r="O29">
        <v>29.8</v>
      </c>
      <c r="P29">
        <v>25.9</v>
      </c>
    </row>
    <row r="30" spans="1:16" x14ac:dyDescent="0.25">
      <c r="A30" t="s">
        <v>308</v>
      </c>
      <c r="B30">
        <v>29342</v>
      </c>
      <c r="C30">
        <v>21833</v>
      </c>
      <c r="D30">
        <v>167879</v>
      </c>
      <c r="E30">
        <v>30802</v>
      </c>
      <c r="F30">
        <v>25511</v>
      </c>
      <c r="G30">
        <v>8614</v>
      </c>
      <c r="H30">
        <v>71441</v>
      </c>
      <c r="I30">
        <v>20184</v>
      </c>
      <c r="J30">
        <v>19125</v>
      </c>
      <c r="K30">
        <v>8124</v>
      </c>
      <c r="L30">
        <v>55912</v>
      </c>
      <c r="M30">
        <v>15171</v>
      </c>
      <c r="N30">
        <v>18.3</v>
      </c>
      <c r="O30">
        <v>28.3</v>
      </c>
      <c r="P30">
        <v>27.1</v>
      </c>
    </row>
    <row r="31" spans="1:16" x14ac:dyDescent="0.25">
      <c r="A31" t="s">
        <v>309</v>
      </c>
      <c r="B31">
        <v>135438</v>
      </c>
      <c r="C31">
        <v>102255</v>
      </c>
      <c r="D31">
        <v>830537</v>
      </c>
      <c r="E31">
        <v>178585</v>
      </c>
      <c r="F31">
        <v>106611</v>
      </c>
      <c r="G31">
        <v>32008</v>
      </c>
      <c r="H31">
        <v>277196</v>
      </c>
      <c r="I31">
        <v>83694</v>
      </c>
      <c r="J31">
        <v>53652</v>
      </c>
      <c r="K31">
        <v>21870</v>
      </c>
      <c r="L31">
        <v>140562</v>
      </c>
      <c r="M31">
        <v>35673</v>
      </c>
      <c r="N31">
        <v>21.5</v>
      </c>
      <c r="O31">
        <v>30.2</v>
      </c>
      <c r="P31">
        <v>25.4</v>
      </c>
    </row>
  </sheetData>
  <mergeCells count="9">
    <mergeCell ref="A2:A3"/>
    <mergeCell ref="A1:Q1"/>
    <mergeCell ref="L2:M2"/>
    <mergeCell ref="F2:G2"/>
    <mergeCell ref="B2:C2"/>
    <mergeCell ref="H2:I2"/>
    <mergeCell ref="N2:P2"/>
    <mergeCell ref="D2:E2"/>
    <mergeCell ref="J2:K2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tabColor rgb="FF5B9BD5"/>
  </sheetPr>
  <dimension ref="A1:L31"/>
  <sheetViews>
    <sheetView workbookViewId="0"/>
  </sheetViews>
  <sheetFormatPr defaultRowHeight="15" x14ac:dyDescent="0.25"/>
  <cols>
    <col min="1" max="1" width="14.5703125" customWidth="1"/>
    <col min="2" max="2" width="7.7109375" customWidth="1"/>
    <col min="3" max="3" width="6.7109375" customWidth="1"/>
    <col min="4" max="4" width="7.7109375" customWidth="1"/>
    <col min="6" max="6" width="8.7109375" customWidth="1"/>
    <col min="7" max="7" width="7.7109375" customWidth="1"/>
    <col min="10" max="10" width="8.7109375" customWidth="1"/>
  </cols>
  <sheetData>
    <row r="1" spans="1:12" x14ac:dyDescent="0.25">
      <c r="A1" s="29" t="s">
        <v>422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s="29" t="s">
        <v>423</v>
      </c>
      <c r="C2" s="29"/>
      <c r="D2" s="29" t="s">
        <v>424</v>
      </c>
      <c r="E2" s="29"/>
      <c r="F2" s="29" t="s">
        <v>425</v>
      </c>
      <c r="G2" s="29"/>
      <c r="H2" s="29" t="s">
        <v>373</v>
      </c>
      <c r="I2" s="29"/>
      <c r="J2" s="29" t="s">
        <v>426</v>
      </c>
      <c r="K2" s="29"/>
    </row>
    <row r="3" spans="1:12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2" x14ac:dyDescent="0.25">
      <c r="A4" t="s">
        <v>283</v>
      </c>
      <c r="B4">
        <v>1025</v>
      </c>
      <c r="C4">
        <v>520</v>
      </c>
      <c r="D4">
        <v>2988</v>
      </c>
      <c r="E4">
        <v>1540</v>
      </c>
      <c r="F4">
        <v>5911</v>
      </c>
      <c r="G4">
        <v>2944</v>
      </c>
      <c r="H4">
        <v>6814</v>
      </c>
      <c r="I4">
        <v>3449</v>
      </c>
      <c r="J4">
        <v>16738</v>
      </c>
      <c r="K4">
        <v>8453</v>
      </c>
    </row>
    <row r="5" spans="1:12" x14ac:dyDescent="0.25">
      <c r="A5" t="s">
        <v>284</v>
      </c>
      <c r="B5">
        <v>880</v>
      </c>
      <c r="C5">
        <v>442</v>
      </c>
      <c r="D5">
        <v>3853</v>
      </c>
      <c r="E5">
        <v>1987</v>
      </c>
      <c r="F5">
        <v>7852</v>
      </c>
      <c r="G5">
        <v>3867</v>
      </c>
      <c r="H5">
        <v>5192</v>
      </c>
      <c r="I5">
        <v>2662</v>
      </c>
      <c r="J5">
        <v>17777</v>
      </c>
      <c r="K5">
        <v>8958</v>
      </c>
    </row>
    <row r="6" spans="1:12" x14ac:dyDescent="0.25">
      <c r="A6" t="s">
        <v>285</v>
      </c>
      <c r="B6">
        <v>453</v>
      </c>
      <c r="C6">
        <v>269</v>
      </c>
      <c r="D6">
        <v>3301</v>
      </c>
      <c r="E6">
        <v>1628</v>
      </c>
      <c r="F6">
        <v>10760</v>
      </c>
      <c r="G6">
        <v>5313</v>
      </c>
      <c r="H6">
        <v>1145</v>
      </c>
      <c r="I6">
        <v>561</v>
      </c>
      <c r="J6">
        <v>15659</v>
      </c>
      <c r="K6">
        <v>7771</v>
      </c>
    </row>
    <row r="7" spans="1:12" x14ac:dyDescent="0.25">
      <c r="A7" t="s">
        <v>286</v>
      </c>
      <c r="B7">
        <v>504</v>
      </c>
      <c r="C7">
        <v>240</v>
      </c>
      <c r="D7">
        <v>1464</v>
      </c>
      <c r="E7">
        <v>723</v>
      </c>
      <c r="F7">
        <v>3446</v>
      </c>
      <c r="G7">
        <v>1726</v>
      </c>
      <c r="H7">
        <v>1146</v>
      </c>
      <c r="I7">
        <v>582</v>
      </c>
      <c r="J7">
        <v>6560</v>
      </c>
      <c r="K7">
        <v>3271</v>
      </c>
    </row>
    <row r="8" spans="1:12" x14ac:dyDescent="0.25">
      <c r="A8" t="s">
        <v>287</v>
      </c>
      <c r="B8">
        <v>218</v>
      </c>
      <c r="C8">
        <v>116</v>
      </c>
      <c r="D8">
        <v>947</v>
      </c>
      <c r="E8">
        <v>474</v>
      </c>
      <c r="F8">
        <v>5919</v>
      </c>
      <c r="G8">
        <v>2934</v>
      </c>
      <c r="H8">
        <v>2210</v>
      </c>
      <c r="I8">
        <v>1136</v>
      </c>
      <c r="J8">
        <v>9294</v>
      </c>
      <c r="K8">
        <v>4660</v>
      </c>
    </row>
    <row r="9" spans="1:12" x14ac:dyDescent="0.25">
      <c r="A9" t="s">
        <v>288</v>
      </c>
      <c r="B9">
        <v>522</v>
      </c>
      <c r="C9">
        <v>289</v>
      </c>
      <c r="D9">
        <v>1904</v>
      </c>
      <c r="E9">
        <v>1006</v>
      </c>
      <c r="F9">
        <v>4963</v>
      </c>
      <c r="G9">
        <v>2481</v>
      </c>
      <c r="H9">
        <v>2542</v>
      </c>
      <c r="I9">
        <v>1301</v>
      </c>
      <c r="J9">
        <v>9931</v>
      </c>
      <c r="K9">
        <v>5077</v>
      </c>
    </row>
    <row r="10" spans="1:12" x14ac:dyDescent="0.25">
      <c r="A10" t="s">
        <v>289</v>
      </c>
      <c r="B10">
        <v>151</v>
      </c>
      <c r="C10">
        <v>92</v>
      </c>
      <c r="D10">
        <v>752</v>
      </c>
      <c r="E10">
        <v>354</v>
      </c>
      <c r="F10">
        <v>5228</v>
      </c>
      <c r="G10">
        <v>2555</v>
      </c>
      <c r="H10">
        <v>911</v>
      </c>
      <c r="I10">
        <v>450</v>
      </c>
      <c r="J10">
        <v>7042</v>
      </c>
      <c r="K10">
        <v>3451</v>
      </c>
    </row>
    <row r="11" spans="1:12" x14ac:dyDescent="0.25">
      <c r="A11" t="s">
        <v>290</v>
      </c>
      <c r="B11">
        <v>800</v>
      </c>
      <c r="C11">
        <v>420</v>
      </c>
      <c r="D11">
        <v>3814</v>
      </c>
      <c r="E11">
        <v>1937</v>
      </c>
      <c r="F11">
        <v>10520</v>
      </c>
      <c r="G11">
        <v>5181</v>
      </c>
      <c r="H11">
        <v>688</v>
      </c>
      <c r="I11">
        <v>337</v>
      </c>
      <c r="J11">
        <v>15822</v>
      </c>
      <c r="K11">
        <v>7875</v>
      </c>
    </row>
    <row r="12" spans="1:12" x14ac:dyDescent="0.25">
      <c r="A12" t="s">
        <v>291</v>
      </c>
      <c r="B12">
        <v>24</v>
      </c>
      <c r="C12">
        <v>11</v>
      </c>
      <c r="D12">
        <v>217</v>
      </c>
      <c r="E12">
        <v>106</v>
      </c>
      <c r="F12">
        <v>350</v>
      </c>
      <c r="G12">
        <v>180</v>
      </c>
      <c r="H12">
        <v>226</v>
      </c>
      <c r="I12">
        <v>120</v>
      </c>
      <c r="J12">
        <v>817</v>
      </c>
      <c r="K12">
        <v>417</v>
      </c>
    </row>
    <row r="13" spans="1:12" x14ac:dyDescent="0.25">
      <c r="A13" t="s">
        <v>292</v>
      </c>
      <c r="B13">
        <v>161</v>
      </c>
      <c r="C13">
        <v>78</v>
      </c>
      <c r="D13">
        <v>279</v>
      </c>
      <c r="E13">
        <v>136</v>
      </c>
      <c r="F13">
        <v>485</v>
      </c>
      <c r="G13">
        <v>229</v>
      </c>
      <c r="H13">
        <v>1145</v>
      </c>
      <c r="I13">
        <v>625</v>
      </c>
      <c r="J13">
        <v>2070</v>
      </c>
      <c r="K13">
        <v>1068</v>
      </c>
    </row>
    <row r="14" spans="1:12" x14ac:dyDescent="0.25">
      <c r="A14" t="s">
        <v>293</v>
      </c>
      <c r="B14">
        <v>162</v>
      </c>
      <c r="C14">
        <v>89</v>
      </c>
      <c r="D14">
        <v>867</v>
      </c>
      <c r="E14">
        <v>440</v>
      </c>
      <c r="F14">
        <v>2635</v>
      </c>
      <c r="G14">
        <v>1344</v>
      </c>
      <c r="H14">
        <v>843</v>
      </c>
      <c r="I14">
        <v>443</v>
      </c>
      <c r="J14">
        <v>4507</v>
      </c>
      <c r="K14">
        <v>2316</v>
      </c>
    </row>
    <row r="15" spans="1:12" x14ac:dyDescent="0.25">
      <c r="A15" t="s">
        <v>294</v>
      </c>
      <c r="B15">
        <v>76</v>
      </c>
      <c r="C15">
        <v>38</v>
      </c>
      <c r="D15">
        <v>226</v>
      </c>
      <c r="E15">
        <v>107</v>
      </c>
      <c r="F15">
        <v>269</v>
      </c>
      <c r="G15">
        <v>129</v>
      </c>
      <c r="H15">
        <v>611</v>
      </c>
      <c r="I15">
        <v>330</v>
      </c>
      <c r="J15">
        <v>1182</v>
      </c>
      <c r="K15">
        <v>604</v>
      </c>
    </row>
    <row r="16" spans="1:12" x14ac:dyDescent="0.25">
      <c r="A16" t="s">
        <v>295</v>
      </c>
      <c r="B16">
        <v>65</v>
      </c>
      <c r="C16">
        <v>42</v>
      </c>
      <c r="D16">
        <v>349</v>
      </c>
      <c r="E16">
        <v>206</v>
      </c>
      <c r="F16">
        <v>1486</v>
      </c>
      <c r="G16">
        <v>739</v>
      </c>
      <c r="H16">
        <v>1586</v>
      </c>
      <c r="I16">
        <v>829</v>
      </c>
      <c r="J16">
        <v>3486</v>
      </c>
      <c r="K16">
        <v>1816</v>
      </c>
    </row>
    <row r="17" spans="1:11" x14ac:dyDescent="0.25">
      <c r="A17" t="s">
        <v>296</v>
      </c>
      <c r="B17">
        <v>46</v>
      </c>
      <c r="C17">
        <v>25</v>
      </c>
      <c r="D17">
        <v>243</v>
      </c>
      <c r="E17">
        <v>138</v>
      </c>
      <c r="F17">
        <v>348</v>
      </c>
      <c r="G17">
        <v>163</v>
      </c>
      <c r="H17">
        <v>343</v>
      </c>
      <c r="I17">
        <v>170</v>
      </c>
      <c r="J17">
        <v>980</v>
      </c>
      <c r="K17">
        <v>496</v>
      </c>
    </row>
    <row r="18" spans="1:11" x14ac:dyDescent="0.25">
      <c r="A18" t="s">
        <v>297</v>
      </c>
      <c r="B18">
        <v>427</v>
      </c>
      <c r="C18">
        <v>200</v>
      </c>
      <c r="D18">
        <v>914</v>
      </c>
      <c r="E18">
        <v>425</v>
      </c>
      <c r="F18">
        <v>8402</v>
      </c>
      <c r="G18">
        <v>4071</v>
      </c>
      <c r="H18">
        <v>0</v>
      </c>
      <c r="I18">
        <v>0</v>
      </c>
      <c r="J18">
        <v>9743</v>
      </c>
      <c r="K18">
        <v>4696</v>
      </c>
    </row>
    <row r="19" spans="1:11" x14ac:dyDescent="0.25">
      <c r="A19" t="s">
        <v>298</v>
      </c>
      <c r="B19">
        <v>47</v>
      </c>
      <c r="C19">
        <v>23</v>
      </c>
      <c r="D19">
        <v>162</v>
      </c>
      <c r="E19">
        <v>74</v>
      </c>
      <c r="F19">
        <v>843</v>
      </c>
      <c r="G19">
        <v>429</v>
      </c>
      <c r="H19">
        <v>931</v>
      </c>
      <c r="I19">
        <v>461</v>
      </c>
      <c r="J19">
        <v>1983</v>
      </c>
      <c r="K19">
        <v>987</v>
      </c>
    </row>
    <row r="20" spans="1:11" x14ac:dyDescent="0.25">
      <c r="A20" t="s">
        <v>299</v>
      </c>
      <c r="B20">
        <v>184</v>
      </c>
      <c r="C20">
        <v>92</v>
      </c>
      <c r="D20">
        <v>605</v>
      </c>
      <c r="E20">
        <v>308</v>
      </c>
      <c r="F20">
        <v>1249</v>
      </c>
      <c r="G20">
        <v>605</v>
      </c>
      <c r="H20">
        <v>2131</v>
      </c>
      <c r="I20">
        <v>1087</v>
      </c>
      <c r="J20">
        <v>4169</v>
      </c>
      <c r="K20">
        <v>2092</v>
      </c>
    </row>
    <row r="21" spans="1:11" x14ac:dyDescent="0.25">
      <c r="A21" t="s">
        <v>300</v>
      </c>
      <c r="B21">
        <v>381</v>
      </c>
      <c r="C21">
        <v>196</v>
      </c>
      <c r="D21">
        <v>3317</v>
      </c>
      <c r="E21">
        <v>1705</v>
      </c>
      <c r="F21">
        <v>12266</v>
      </c>
      <c r="G21">
        <v>6002</v>
      </c>
      <c r="H21">
        <v>699</v>
      </c>
      <c r="I21">
        <v>325</v>
      </c>
      <c r="J21">
        <v>16663</v>
      </c>
      <c r="K21">
        <v>8228</v>
      </c>
    </row>
    <row r="22" spans="1:11" x14ac:dyDescent="0.25">
      <c r="A22" t="s">
        <v>301</v>
      </c>
      <c r="B22">
        <v>489</v>
      </c>
      <c r="C22">
        <v>258</v>
      </c>
      <c r="D22">
        <v>1574</v>
      </c>
      <c r="E22">
        <v>816</v>
      </c>
      <c r="F22">
        <v>3600</v>
      </c>
      <c r="G22">
        <v>1793</v>
      </c>
      <c r="H22">
        <v>2276</v>
      </c>
      <c r="I22">
        <v>1123</v>
      </c>
      <c r="J22">
        <v>7939</v>
      </c>
      <c r="K22">
        <v>3990</v>
      </c>
    </row>
    <row r="23" spans="1:11" x14ac:dyDescent="0.25">
      <c r="A23" t="s">
        <v>302</v>
      </c>
      <c r="B23">
        <v>151</v>
      </c>
      <c r="C23">
        <v>78</v>
      </c>
      <c r="D23">
        <v>522</v>
      </c>
      <c r="E23">
        <v>262</v>
      </c>
      <c r="F23">
        <v>1061</v>
      </c>
      <c r="G23">
        <v>560</v>
      </c>
      <c r="H23">
        <v>883</v>
      </c>
      <c r="I23">
        <v>464</v>
      </c>
      <c r="J23">
        <v>2617</v>
      </c>
      <c r="K23">
        <v>1364</v>
      </c>
    </row>
    <row r="24" spans="1:11" x14ac:dyDescent="0.25">
      <c r="A24" t="s">
        <v>303</v>
      </c>
      <c r="B24">
        <v>2005</v>
      </c>
      <c r="C24">
        <v>1056</v>
      </c>
      <c r="D24">
        <v>6467</v>
      </c>
      <c r="E24">
        <v>3257</v>
      </c>
      <c r="F24">
        <v>14480</v>
      </c>
      <c r="G24">
        <v>7160</v>
      </c>
      <c r="H24">
        <v>5537</v>
      </c>
      <c r="I24">
        <v>2871</v>
      </c>
      <c r="J24">
        <v>28489</v>
      </c>
      <c r="K24">
        <v>14344</v>
      </c>
    </row>
    <row r="25" spans="1:11" x14ac:dyDescent="0.25">
      <c r="A25" t="s">
        <v>304</v>
      </c>
      <c r="B25">
        <v>71</v>
      </c>
      <c r="C25">
        <v>40</v>
      </c>
      <c r="D25">
        <v>152</v>
      </c>
      <c r="E25">
        <v>92</v>
      </c>
      <c r="F25">
        <v>667</v>
      </c>
      <c r="G25">
        <v>361</v>
      </c>
      <c r="H25">
        <v>498</v>
      </c>
      <c r="I25">
        <v>261</v>
      </c>
      <c r="J25">
        <v>1388</v>
      </c>
      <c r="K25">
        <v>754</v>
      </c>
    </row>
    <row r="26" spans="1:11" x14ac:dyDescent="0.25">
      <c r="A26" t="s">
        <v>305</v>
      </c>
      <c r="B26">
        <v>241</v>
      </c>
      <c r="C26">
        <v>138</v>
      </c>
      <c r="D26">
        <v>1208</v>
      </c>
      <c r="E26">
        <v>587</v>
      </c>
      <c r="F26">
        <v>2906</v>
      </c>
      <c r="G26">
        <v>1373</v>
      </c>
      <c r="H26">
        <v>2519</v>
      </c>
      <c r="I26">
        <v>1256</v>
      </c>
      <c r="J26">
        <v>6874</v>
      </c>
      <c r="K26">
        <v>3354</v>
      </c>
    </row>
    <row r="27" spans="1:11" x14ac:dyDescent="0.25">
      <c r="A27" t="s">
        <v>306</v>
      </c>
      <c r="B27">
        <v>374</v>
      </c>
      <c r="C27">
        <v>200</v>
      </c>
      <c r="D27">
        <v>2126</v>
      </c>
      <c r="E27">
        <v>1053</v>
      </c>
      <c r="F27">
        <v>8391</v>
      </c>
      <c r="G27">
        <v>4106</v>
      </c>
      <c r="H27">
        <v>1533</v>
      </c>
      <c r="I27">
        <v>744</v>
      </c>
      <c r="J27">
        <v>12424</v>
      </c>
      <c r="K27">
        <v>6103</v>
      </c>
    </row>
    <row r="28" spans="1:11" x14ac:dyDescent="0.25">
      <c r="A28" t="s">
        <v>307</v>
      </c>
      <c r="B28">
        <v>573</v>
      </c>
      <c r="C28">
        <v>302</v>
      </c>
      <c r="D28">
        <v>3740</v>
      </c>
      <c r="E28">
        <v>1864</v>
      </c>
      <c r="F28">
        <v>7091</v>
      </c>
      <c r="G28">
        <v>3548</v>
      </c>
      <c r="H28">
        <v>2229</v>
      </c>
      <c r="I28">
        <v>1146</v>
      </c>
      <c r="J28">
        <v>13633</v>
      </c>
      <c r="K28">
        <v>6860</v>
      </c>
    </row>
    <row r="29" spans="1:11" x14ac:dyDescent="0.25">
      <c r="A29" t="s">
        <v>266</v>
      </c>
      <c r="B29">
        <v>10030</v>
      </c>
      <c r="C29">
        <v>5254</v>
      </c>
      <c r="D29">
        <v>41991</v>
      </c>
      <c r="E29">
        <v>21225</v>
      </c>
      <c r="F29">
        <v>121128</v>
      </c>
      <c r="G29">
        <v>59793</v>
      </c>
      <c r="H29">
        <v>44638</v>
      </c>
      <c r="I29">
        <v>22733</v>
      </c>
      <c r="J29">
        <v>217787</v>
      </c>
      <c r="K29">
        <v>109005</v>
      </c>
    </row>
    <row r="30" spans="1:11" x14ac:dyDescent="0.25">
      <c r="A30" t="s">
        <v>308</v>
      </c>
      <c r="B30">
        <v>2806</v>
      </c>
      <c r="C30">
        <v>1409</v>
      </c>
      <c r="D30">
        <v>7754</v>
      </c>
      <c r="E30">
        <v>3947</v>
      </c>
      <c r="F30">
        <v>22325</v>
      </c>
      <c r="G30">
        <v>10979</v>
      </c>
      <c r="H30">
        <v>3980</v>
      </c>
      <c r="I30">
        <v>2090</v>
      </c>
      <c r="J30">
        <v>36865</v>
      </c>
      <c r="K30">
        <v>18425</v>
      </c>
    </row>
    <row r="31" spans="1:11" x14ac:dyDescent="0.25">
      <c r="A31" t="s">
        <v>309</v>
      </c>
      <c r="B31">
        <v>7224</v>
      </c>
      <c r="C31">
        <v>3845</v>
      </c>
      <c r="D31">
        <v>34237</v>
      </c>
      <c r="E31">
        <v>17278</v>
      </c>
      <c r="F31">
        <v>98803</v>
      </c>
      <c r="G31">
        <v>48814</v>
      </c>
      <c r="H31">
        <v>40658</v>
      </c>
      <c r="I31">
        <v>20643</v>
      </c>
      <c r="J31">
        <v>180922</v>
      </c>
      <c r="K31">
        <v>90580</v>
      </c>
    </row>
  </sheetData>
  <mergeCells count="7">
    <mergeCell ref="A1:L1"/>
    <mergeCell ref="A2:A3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tabColor rgb="FFFFC000"/>
  </sheetPr>
  <dimension ref="A1:M31"/>
  <sheetViews>
    <sheetView workbookViewId="0"/>
  </sheetViews>
  <sheetFormatPr defaultRowHeight="15" x14ac:dyDescent="0.25"/>
  <cols>
    <col min="1" max="1" width="14.5703125" customWidth="1"/>
    <col min="2" max="2" width="26.7109375" customWidth="1"/>
  </cols>
  <sheetData>
    <row r="1" spans="1:13" x14ac:dyDescent="0.25">
      <c r="A1" s="29" t="s">
        <v>427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t="s">
        <v>428</v>
      </c>
      <c r="C2" s="29" t="s">
        <v>429</v>
      </c>
      <c r="D2" s="29"/>
      <c r="E2" s="29" t="s">
        <v>430</v>
      </c>
      <c r="F2" s="29"/>
      <c r="G2" s="29" t="s">
        <v>431</v>
      </c>
      <c r="H2" s="29"/>
      <c r="I2" s="29" t="s">
        <v>432</v>
      </c>
      <c r="J2" s="29"/>
      <c r="K2" s="29" t="s">
        <v>260</v>
      </c>
      <c r="L2" s="29"/>
    </row>
    <row r="3" spans="1:13" x14ac:dyDescent="0.25">
      <c r="A3" s="29"/>
      <c r="B3" t="s">
        <v>433</v>
      </c>
      <c r="C3" t="s">
        <v>263</v>
      </c>
      <c r="D3" t="s">
        <v>265</v>
      </c>
      <c r="E3" t="s">
        <v>263</v>
      </c>
      <c r="F3" t="s">
        <v>265</v>
      </c>
      <c r="G3" t="s">
        <v>263</v>
      </c>
      <c r="H3" t="s">
        <v>265</v>
      </c>
      <c r="I3" t="s">
        <v>263</v>
      </c>
      <c r="J3" t="s">
        <v>265</v>
      </c>
      <c r="K3" t="s">
        <v>263</v>
      </c>
      <c r="L3" t="s">
        <v>265</v>
      </c>
    </row>
    <row r="4" spans="1:13" x14ac:dyDescent="0.25">
      <c r="A4" t="s">
        <v>283</v>
      </c>
      <c r="B4" t="s">
        <v>780</v>
      </c>
      <c r="C4">
        <v>95</v>
      </c>
      <c r="D4">
        <v>28</v>
      </c>
      <c r="E4">
        <v>116</v>
      </c>
      <c r="F4">
        <v>32</v>
      </c>
      <c r="G4">
        <v>4766</v>
      </c>
      <c r="H4">
        <v>2503</v>
      </c>
      <c r="I4">
        <v>938</v>
      </c>
      <c r="J4">
        <v>243</v>
      </c>
      <c r="K4">
        <v>5915</v>
      </c>
      <c r="L4">
        <v>2806</v>
      </c>
    </row>
    <row r="5" spans="1:13" x14ac:dyDescent="0.25">
      <c r="A5" t="s">
        <v>284</v>
      </c>
      <c r="B5" t="s">
        <v>781</v>
      </c>
      <c r="C5">
        <v>126</v>
      </c>
      <c r="D5">
        <v>36</v>
      </c>
      <c r="E5">
        <v>168</v>
      </c>
      <c r="F5">
        <v>47</v>
      </c>
      <c r="G5">
        <v>7099</v>
      </c>
      <c r="H5">
        <v>4290</v>
      </c>
      <c r="I5">
        <v>1758</v>
      </c>
      <c r="J5">
        <v>670</v>
      </c>
      <c r="K5">
        <v>9151</v>
      </c>
      <c r="L5">
        <v>5043</v>
      </c>
    </row>
    <row r="6" spans="1:13" x14ac:dyDescent="0.25">
      <c r="A6" t="s">
        <v>285</v>
      </c>
      <c r="B6" t="s">
        <v>436</v>
      </c>
      <c r="C6">
        <v>134</v>
      </c>
      <c r="D6">
        <v>52</v>
      </c>
      <c r="E6">
        <v>113</v>
      </c>
      <c r="F6">
        <v>39</v>
      </c>
      <c r="G6">
        <v>5840</v>
      </c>
      <c r="H6">
        <v>3411</v>
      </c>
      <c r="I6">
        <v>1779</v>
      </c>
      <c r="J6">
        <v>722</v>
      </c>
      <c r="K6">
        <v>7866</v>
      </c>
      <c r="L6">
        <v>4224</v>
      </c>
    </row>
    <row r="7" spans="1:13" x14ac:dyDescent="0.25">
      <c r="A7" t="s">
        <v>286</v>
      </c>
      <c r="B7" t="s">
        <v>782</v>
      </c>
      <c r="C7">
        <v>109</v>
      </c>
      <c r="D7">
        <v>31</v>
      </c>
      <c r="E7">
        <v>102</v>
      </c>
      <c r="F7">
        <v>25</v>
      </c>
      <c r="G7">
        <v>3586</v>
      </c>
      <c r="H7">
        <v>1776</v>
      </c>
      <c r="I7">
        <v>740</v>
      </c>
      <c r="J7">
        <v>213</v>
      </c>
      <c r="K7">
        <v>4537</v>
      </c>
      <c r="L7">
        <v>2045</v>
      </c>
    </row>
    <row r="8" spans="1:13" x14ac:dyDescent="0.25">
      <c r="A8" t="s">
        <v>287</v>
      </c>
      <c r="B8" t="s">
        <v>438</v>
      </c>
      <c r="C8">
        <v>96</v>
      </c>
      <c r="D8">
        <v>24</v>
      </c>
      <c r="E8">
        <v>96</v>
      </c>
      <c r="F8">
        <v>18</v>
      </c>
      <c r="G8">
        <v>4308</v>
      </c>
      <c r="H8">
        <v>1970</v>
      </c>
      <c r="I8">
        <v>871</v>
      </c>
      <c r="J8">
        <v>177</v>
      </c>
      <c r="K8">
        <v>5371</v>
      </c>
      <c r="L8">
        <v>2189</v>
      </c>
    </row>
    <row r="9" spans="1:13" x14ac:dyDescent="0.25">
      <c r="A9" t="s">
        <v>288</v>
      </c>
      <c r="B9" t="s">
        <v>783</v>
      </c>
      <c r="C9">
        <v>99</v>
      </c>
      <c r="D9">
        <v>21</v>
      </c>
      <c r="E9">
        <v>114</v>
      </c>
      <c r="F9">
        <v>26</v>
      </c>
      <c r="G9">
        <v>4463</v>
      </c>
      <c r="H9">
        <v>2526</v>
      </c>
      <c r="I9">
        <v>828</v>
      </c>
      <c r="J9">
        <v>218</v>
      </c>
      <c r="K9">
        <v>5504</v>
      </c>
      <c r="L9">
        <v>2791</v>
      </c>
    </row>
    <row r="10" spans="1:13" x14ac:dyDescent="0.25">
      <c r="A10" t="s">
        <v>289</v>
      </c>
      <c r="B10" t="s">
        <v>440</v>
      </c>
      <c r="C10">
        <v>108</v>
      </c>
      <c r="D10">
        <v>15</v>
      </c>
      <c r="E10">
        <v>109</v>
      </c>
      <c r="F10">
        <v>23</v>
      </c>
      <c r="G10">
        <v>4740</v>
      </c>
      <c r="H10">
        <v>2374</v>
      </c>
      <c r="I10">
        <v>998</v>
      </c>
      <c r="J10">
        <v>226</v>
      </c>
      <c r="K10">
        <v>5955</v>
      </c>
      <c r="L10">
        <v>2638</v>
      </c>
    </row>
    <row r="11" spans="1:13" x14ac:dyDescent="0.25">
      <c r="A11" t="s">
        <v>290</v>
      </c>
      <c r="B11" t="s">
        <v>441</v>
      </c>
      <c r="C11">
        <v>113</v>
      </c>
      <c r="D11">
        <v>39</v>
      </c>
      <c r="E11">
        <v>125</v>
      </c>
      <c r="F11">
        <v>36</v>
      </c>
      <c r="G11">
        <v>7299</v>
      </c>
      <c r="H11">
        <v>4114</v>
      </c>
      <c r="I11">
        <v>1516</v>
      </c>
      <c r="J11">
        <v>402</v>
      </c>
      <c r="K11">
        <v>9053</v>
      </c>
      <c r="L11">
        <v>4591</v>
      </c>
    </row>
    <row r="12" spans="1:13" x14ac:dyDescent="0.25">
      <c r="A12" t="s">
        <v>291</v>
      </c>
      <c r="B12" t="s">
        <v>442</v>
      </c>
      <c r="C12">
        <v>46</v>
      </c>
      <c r="D12">
        <v>14</v>
      </c>
      <c r="E12">
        <v>16</v>
      </c>
      <c r="F12">
        <v>6</v>
      </c>
      <c r="G12">
        <v>476</v>
      </c>
      <c r="H12">
        <v>258</v>
      </c>
      <c r="I12">
        <v>97</v>
      </c>
      <c r="J12">
        <v>19</v>
      </c>
      <c r="K12">
        <v>635</v>
      </c>
      <c r="L12">
        <v>297</v>
      </c>
    </row>
    <row r="13" spans="1:13" x14ac:dyDescent="0.25">
      <c r="A13" t="s">
        <v>292</v>
      </c>
      <c r="B13" t="s">
        <v>443</v>
      </c>
      <c r="C13">
        <v>74</v>
      </c>
      <c r="D13">
        <v>22</v>
      </c>
      <c r="E13">
        <v>66</v>
      </c>
      <c r="F13">
        <v>18</v>
      </c>
      <c r="G13">
        <v>1199</v>
      </c>
      <c r="H13">
        <v>578</v>
      </c>
      <c r="I13">
        <v>186</v>
      </c>
      <c r="J13">
        <v>53</v>
      </c>
      <c r="K13">
        <v>1525</v>
      </c>
      <c r="L13">
        <v>671</v>
      </c>
    </row>
    <row r="14" spans="1:13" x14ac:dyDescent="0.25">
      <c r="A14" t="s">
        <v>293</v>
      </c>
      <c r="B14" t="s">
        <v>444</v>
      </c>
      <c r="C14">
        <v>74</v>
      </c>
      <c r="D14">
        <v>23</v>
      </c>
      <c r="E14">
        <v>66</v>
      </c>
      <c r="F14">
        <v>18</v>
      </c>
      <c r="G14">
        <v>2696</v>
      </c>
      <c r="H14">
        <v>1706</v>
      </c>
      <c r="I14">
        <v>404</v>
      </c>
      <c r="J14">
        <v>144</v>
      </c>
      <c r="K14">
        <v>3240</v>
      </c>
      <c r="L14">
        <v>1891</v>
      </c>
    </row>
    <row r="15" spans="1:13" x14ac:dyDescent="0.25">
      <c r="A15" t="s">
        <v>294</v>
      </c>
      <c r="B15" t="s">
        <v>445</v>
      </c>
      <c r="C15">
        <v>39</v>
      </c>
      <c r="D15">
        <v>7</v>
      </c>
      <c r="E15">
        <v>17</v>
      </c>
      <c r="F15">
        <v>3</v>
      </c>
      <c r="G15">
        <v>937</v>
      </c>
      <c r="H15">
        <v>484</v>
      </c>
      <c r="I15">
        <v>68</v>
      </c>
      <c r="J15">
        <v>12</v>
      </c>
      <c r="K15">
        <v>1061</v>
      </c>
      <c r="L15">
        <v>506</v>
      </c>
    </row>
    <row r="16" spans="1:13" x14ac:dyDescent="0.25">
      <c r="A16" t="s">
        <v>295</v>
      </c>
      <c r="B16" t="s">
        <v>446</v>
      </c>
      <c r="C16">
        <v>53</v>
      </c>
      <c r="D16">
        <v>13</v>
      </c>
      <c r="E16">
        <v>57</v>
      </c>
      <c r="F16">
        <v>11</v>
      </c>
      <c r="G16">
        <v>1641</v>
      </c>
      <c r="H16">
        <v>767</v>
      </c>
      <c r="I16">
        <v>349</v>
      </c>
      <c r="J16">
        <v>87</v>
      </c>
      <c r="K16">
        <v>2100</v>
      </c>
      <c r="L16">
        <v>878</v>
      </c>
    </row>
    <row r="17" spans="1:12" x14ac:dyDescent="0.25">
      <c r="A17" t="s">
        <v>296</v>
      </c>
      <c r="B17" t="s">
        <v>447</v>
      </c>
      <c r="C17">
        <v>51</v>
      </c>
      <c r="D17">
        <v>14</v>
      </c>
      <c r="E17">
        <v>13</v>
      </c>
      <c r="F17">
        <v>3</v>
      </c>
      <c r="G17">
        <v>669</v>
      </c>
      <c r="H17">
        <v>355</v>
      </c>
      <c r="I17">
        <v>95</v>
      </c>
      <c r="J17">
        <v>30</v>
      </c>
      <c r="K17">
        <v>828</v>
      </c>
      <c r="L17">
        <v>402</v>
      </c>
    </row>
    <row r="18" spans="1:12" x14ac:dyDescent="0.25">
      <c r="A18" t="s">
        <v>297</v>
      </c>
      <c r="B18" t="s">
        <v>448</v>
      </c>
      <c r="C18">
        <v>125</v>
      </c>
      <c r="D18">
        <v>38</v>
      </c>
      <c r="E18">
        <v>124</v>
      </c>
      <c r="F18">
        <v>45</v>
      </c>
      <c r="G18">
        <v>9242</v>
      </c>
      <c r="H18">
        <v>5332</v>
      </c>
      <c r="I18">
        <v>1170</v>
      </c>
      <c r="J18">
        <v>453</v>
      </c>
      <c r="K18">
        <v>10661</v>
      </c>
      <c r="L18">
        <v>5868</v>
      </c>
    </row>
    <row r="19" spans="1:12" x14ac:dyDescent="0.25">
      <c r="A19" t="s">
        <v>298</v>
      </c>
      <c r="B19" t="s">
        <v>784</v>
      </c>
      <c r="C19">
        <v>60</v>
      </c>
      <c r="D19">
        <v>17</v>
      </c>
      <c r="E19">
        <v>45</v>
      </c>
      <c r="F19">
        <v>16</v>
      </c>
      <c r="G19">
        <v>1658</v>
      </c>
      <c r="H19">
        <v>856</v>
      </c>
      <c r="I19">
        <v>272</v>
      </c>
      <c r="J19">
        <v>81</v>
      </c>
      <c r="K19">
        <v>2035</v>
      </c>
      <c r="L19">
        <v>970</v>
      </c>
    </row>
    <row r="20" spans="1:12" x14ac:dyDescent="0.25">
      <c r="A20" t="s">
        <v>299</v>
      </c>
      <c r="B20" t="s">
        <v>450</v>
      </c>
      <c r="C20">
        <v>72</v>
      </c>
      <c r="D20">
        <v>14</v>
      </c>
      <c r="E20">
        <v>87</v>
      </c>
      <c r="F20">
        <v>23</v>
      </c>
      <c r="G20">
        <v>2178</v>
      </c>
      <c r="H20">
        <v>1139</v>
      </c>
      <c r="I20">
        <v>350</v>
      </c>
      <c r="J20">
        <v>109</v>
      </c>
      <c r="K20">
        <v>2687</v>
      </c>
      <c r="L20">
        <v>1285</v>
      </c>
    </row>
    <row r="21" spans="1:12" x14ac:dyDescent="0.25">
      <c r="A21" t="s">
        <v>300</v>
      </c>
      <c r="B21" t="s">
        <v>785</v>
      </c>
      <c r="C21">
        <v>101</v>
      </c>
      <c r="D21">
        <v>39</v>
      </c>
      <c r="E21">
        <v>139</v>
      </c>
      <c r="F21">
        <v>45</v>
      </c>
      <c r="G21">
        <v>5860</v>
      </c>
      <c r="H21">
        <v>2826</v>
      </c>
      <c r="I21">
        <v>1926</v>
      </c>
      <c r="J21">
        <v>504</v>
      </c>
      <c r="K21">
        <v>8026</v>
      </c>
      <c r="L21">
        <v>3414</v>
      </c>
    </row>
    <row r="22" spans="1:12" x14ac:dyDescent="0.25">
      <c r="A22" t="s">
        <v>301</v>
      </c>
      <c r="B22" t="s">
        <v>452</v>
      </c>
      <c r="C22">
        <v>93</v>
      </c>
      <c r="D22">
        <v>23</v>
      </c>
      <c r="E22">
        <v>109</v>
      </c>
      <c r="F22">
        <v>26</v>
      </c>
      <c r="G22">
        <v>3140</v>
      </c>
      <c r="H22">
        <v>1585</v>
      </c>
      <c r="I22">
        <v>735</v>
      </c>
      <c r="J22">
        <v>205</v>
      </c>
      <c r="K22">
        <v>4077</v>
      </c>
      <c r="L22">
        <v>1839</v>
      </c>
    </row>
    <row r="23" spans="1:12" x14ac:dyDescent="0.25">
      <c r="A23" t="s">
        <v>302</v>
      </c>
      <c r="B23" t="s">
        <v>453</v>
      </c>
      <c r="C23">
        <v>50</v>
      </c>
      <c r="D23">
        <v>13</v>
      </c>
      <c r="E23">
        <v>49</v>
      </c>
      <c r="F23">
        <v>1</v>
      </c>
      <c r="G23">
        <v>1430</v>
      </c>
      <c r="H23">
        <v>699</v>
      </c>
      <c r="I23">
        <v>142</v>
      </c>
      <c r="J23">
        <v>43</v>
      </c>
      <c r="K23">
        <v>1671</v>
      </c>
      <c r="L23">
        <v>756</v>
      </c>
    </row>
    <row r="24" spans="1:12" x14ac:dyDescent="0.25">
      <c r="A24" t="s">
        <v>303</v>
      </c>
      <c r="B24" t="s">
        <v>454</v>
      </c>
      <c r="C24">
        <v>139</v>
      </c>
      <c r="D24">
        <v>35</v>
      </c>
      <c r="E24">
        <v>156</v>
      </c>
      <c r="F24">
        <v>47</v>
      </c>
      <c r="G24">
        <v>5943</v>
      </c>
      <c r="H24">
        <v>3759</v>
      </c>
      <c r="I24">
        <v>1758</v>
      </c>
      <c r="J24">
        <v>734</v>
      </c>
      <c r="K24">
        <v>7996</v>
      </c>
      <c r="L24">
        <v>4575</v>
      </c>
    </row>
    <row r="25" spans="1:12" x14ac:dyDescent="0.25">
      <c r="A25" t="s">
        <v>304</v>
      </c>
      <c r="B25" t="s">
        <v>455</v>
      </c>
      <c r="C25">
        <v>65</v>
      </c>
      <c r="D25">
        <v>19</v>
      </c>
      <c r="E25">
        <v>64</v>
      </c>
      <c r="F25">
        <v>22</v>
      </c>
      <c r="G25">
        <v>1411</v>
      </c>
      <c r="H25">
        <v>787</v>
      </c>
      <c r="I25">
        <v>194</v>
      </c>
      <c r="J25">
        <v>57</v>
      </c>
      <c r="K25">
        <v>1734</v>
      </c>
      <c r="L25">
        <v>885</v>
      </c>
    </row>
    <row r="26" spans="1:12" x14ac:dyDescent="0.25">
      <c r="A26" t="s">
        <v>305</v>
      </c>
      <c r="B26" t="s">
        <v>456</v>
      </c>
      <c r="C26">
        <v>123</v>
      </c>
      <c r="D26">
        <v>20</v>
      </c>
      <c r="E26">
        <v>103</v>
      </c>
      <c r="F26">
        <v>24</v>
      </c>
      <c r="G26">
        <v>3747</v>
      </c>
      <c r="H26">
        <v>1499</v>
      </c>
      <c r="I26">
        <v>971</v>
      </c>
      <c r="J26">
        <v>221</v>
      </c>
      <c r="K26">
        <v>4944</v>
      </c>
      <c r="L26">
        <v>1764</v>
      </c>
    </row>
    <row r="27" spans="1:12" x14ac:dyDescent="0.25">
      <c r="A27" t="s">
        <v>306</v>
      </c>
      <c r="B27" t="s">
        <v>457</v>
      </c>
      <c r="C27">
        <v>155</v>
      </c>
      <c r="D27">
        <v>44</v>
      </c>
      <c r="E27">
        <v>119</v>
      </c>
      <c r="F27">
        <v>22</v>
      </c>
      <c r="G27">
        <v>6486</v>
      </c>
      <c r="H27">
        <v>2754</v>
      </c>
      <c r="I27">
        <v>1771</v>
      </c>
      <c r="J27">
        <v>393</v>
      </c>
      <c r="K27">
        <v>8531</v>
      </c>
      <c r="L27">
        <v>3213</v>
      </c>
    </row>
    <row r="28" spans="1:12" x14ac:dyDescent="0.25">
      <c r="A28" t="s">
        <v>307</v>
      </c>
      <c r="B28" t="s">
        <v>458</v>
      </c>
      <c r="C28">
        <v>87</v>
      </c>
      <c r="D28">
        <v>30</v>
      </c>
      <c r="E28">
        <v>72</v>
      </c>
      <c r="F28">
        <v>13</v>
      </c>
      <c r="G28">
        <v>3904</v>
      </c>
      <c r="H28">
        <v>2197</v>
      </c>
      <c r="I28">
        <v>915</v>
      </c>
      <c r="J28">
        <v>271</v>
      </c>
      <c r="K28">
        <v>4978</v>
      </c>
      <c r="L28">
        <v>2511</v>
      </c>
    </row>
    <row r="29" spans="1:12" x14ac:dyDescent="0.25">
      <c r="A29" t="s">
        <v>266</v>
      </c>
      <c r="C29">
        <v>2287</v>
      </c>
      <c r="D29">
        <v>631</v>
      </c>
      <c r="E29">
        <v>2245</v>
      </c>
      <c r="F29">
        <v>589</v>
      </c>
      <c r="G29">
        <v>94718</v>
      </c>
      <c r="H29">
        <v>50545</v>
      </c>
      <c r="I29">
        <v>20831</v>
      </c>
      <c r="J29">
        <v>6287</v>
      </c>
      <c r="K29">
        <v>120081</v>
      </c>
      <c r="L29">
        <v>58052</v>
      </c>
    </row>
    <row r="30" spans="1:12" x14ac:dyDescent="0.25">
      <c r="A30" t="s">
        <v>459</v>
      </c>
      <c r="C30">
        <v>2287</v>
      </c>
      <c r="D30">
        <v>631</v>
      </c>
      <c r="E30">
        <v>454</v>
      </c>
      <c r="F30">
        <v>174</v>
      </c>
      <c r="G30">
        <v>22625</v>
      </c>
      <c r="H30">
        <v>13158</v>
      </c>
      <c r="I30">
        <v>3777</v>
      </c>
      <c r="J30">
        <v>1515</v>
      </c>
      <c r="K30">
        <v>29143</v>
      </c>
      <c r="L30">
        <v>15478</v>
      </c>
    </row>
    <row r="31" spans="1:12" x14ac:dyDescent="0.25">
      <c r="A31" t="s">
        <v>460</v>
      </c>
      <c r="C31">
        <v>0</v>
      </c>
      <c r="D31">
        <v>0</v>
      </c>
      <c r="E31">
        <v>1791</v>
      </c>
      <c r="F31">
        <v>415</v>
      </c>
      <c r="G31">
        <v>72093</v>
      </c>
      <c r="H31">
        <v>37387</v>
      </c>
      <c r="I31">
        <v>17054</v>
      </c>
      <c r="J31">
        <v>4772</v>
      </c>
      <c r="K31">
        <v>90938</v>
      </c>
      <c r="L31">
        <v>42574</v>
      </c>
    </row>
  </sheetData>
  <mergeCells count="7">
    <mergeCell ref="A1:M1"/>
    <mergeCell ref="C2:D2"/>
    <mergeCell ref="G2:H2"/>
    <mergeCell ref="E2:F2"/>
    <mergeCell ref="K2:L2"/>
    <mergeCell ref="I2:J2"/>
    <mergeCell ref="A2:A3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tabColor rgb="FFFFC00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8.7109375" customWidth="1"/>
    <col min="3" max="3" width="8.42578125" customWidth="1"/>
    <col min="4" max="4" width="9.85546875" customWidth="1"/>
    <col min="5" max="5" width="6.7109375" customWidth="1"/>
    <col min="6" max="6" width="7" customWidth="1"/>
    <col min="7" max="7" width="8.140625" customWidth="1"/>
    <col min="8" max="8" width="6.7109375" customWidth="1"/>
    <col min="9" max="9" width="8.140625" customWidth="1"/>
    <col min="10" max="10" width="10" customWidth="1"/>
    <col min="11" max="11" width="7.85546875" customWidth="1"/>
    <col min="12" max="12" width="9.7109375" customWidth="1"/>
    <col min="13" max="13" width="9.85546875" customWidth="1"/>
  </cols>
  <sheetData>
    <row r="1" spans="1:14" x14ac:dyDescent="0.25">
      <c r="A1" s="29" t="s">
        <v>461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462</v>
      </c>
      <c r="C2" s="29"/>
      <c r="D2" s="29"/>
      <c r="E2" s="29"/>
      <c r="F2" s="29"/>
      <c r="G2" s="29"/>
      <c r="H2" s="29"/>
      <c r="I2" s="29"/>
      <c r="J2" s="29"/>
      <c r="K2" s="29"/>
      <c r="L2" t="s">
        <v>463</v>
      </c>
      <c r="M2" t="s">
        <v>464</v>
      </c>
    </row>
    <row r="3" spans="1:14" x14ac:dyDescent="0.25">
      <c r="A3" s="29"/>
      <c r="B3" t="s">
        <v>465</v>
      </c>
      <c r="C3" t="s">
        <v>466</v>
      </c>
      <c r="D3" t="s">
        <v>467</v>
      </c>
      <c r="E3" t="s">
        <v>468</v>
      </c>
      <c r="F3" t="s">
        <v>469</v>
      </c>
      <c r="G3" t="s">
        <v>470</v>
      </c>
      <c r="H3" t="s">
        <v>471</v>
      </c>
      <c r="I3" t="s">
        <v>472</v>
      </c>
      <c r="J3" t="s">
        <v>473</v>
      </c>
      <c r="K3" t="s">
        <v>474</v>
      </c>
      <c r="L3" t="s">
        <v>475</v>
      </c>
      <c r="M3" t="s">
        <v>475</v>
      </c>
    </row>
    <row r="4" spans="1:14" x14ac:dyDescent="0.25">
      <c r="A4" t="s">
        <v>283</v>
      </c>
      <c r="B4">
        <v>165</v>
      </c>
      <c r="C4">
        <v>224</v>
      </c>
      <c r="D4">
        <v>98</v>
      </c>
      <c r="E4">
        <v>43</v>
      </c>
      <c r="F4">
        <v>113</v>
      </c>
      <c r="G4">
        <v>20</v>
      </c>
      <c r="H4">
        <v>38</v>
      </c>
      <c r="I4">
        <v>48</v>
      </c>
      <c r="J4">
        <v>28</v>
      </c>
      <c r="K4">
        <v>855</v>
      </c>
      <c r="L4">
        <v>17</v>
      </c>
      <c r="M4">
        <v>0</v>
      </c>
    </row>
    <row r="5" spans="1:14" x14ac:dyDescent="0.25">
      <c r="A5" t="s">
        <v>284</v>
      </c>
      <c r="B5">
        <v>415</v>
      </c>
      <c r="C5">
        <v>352</v>
      </c>
      <c r="D5">
        <v>145</v>
      </c>
      <c r="E5">
        <v>65</v>
      </c>
      <c r="F5">
        <v>331</v>
      </c>
      <c r="G5">
        <v>28</v>
      </c>
      <c r="H5">
        <v>91</v>
      </c>
      <c r="I5">
        <v>157</v>
      </c>
      <c r="J5">
        <v>95</v>
      </c>
      <c r="K5">
        <v>1854</v>
      </c>
      <c r="L5">
        <v>33</v>
      </c>
      <c r="M5">
        <v>0</v>
      </c>
    </row>
    <row r="6" spans="1:14" x14ac:dyDescent="0.25">
      <c r="A6" t="s">
        <v>285</v>
      </c>
      <c r="B6">
        <v>333</v>
      </c>
      <c r="C6">
        <v>376</v>
      </c>
      <c r="D6">
        <v>119</v>
      </c>
      <c r="E6">
        <v>53</v>
      </c>
      <c r="F6">
        <v>175</v>
      </c>
      <c r="G6">
        <v>55</v>
      </c>
      <c r="H6">
        <v>69</v>
      </c>
      <c r="I6">
        <v>73</v>
      </c>
      <c r="J6">
        <v>57</v>
      </c>
      <c r="K6">
        <v>1378</v>
      </c>
      <c r="L6">
        <v>9</v>
      </c>
      <c r="M6">
        <v>0</v>
      </c>
    </row>
    <row r="7" spans="1:14" x14ac:dyDescent="0.25">
      <c r="A7" t="s">
        <v>286</v>
      </c>
      <c r="B7">
        <v>110</v>
      </c>
      <c r="C7">
        <v>146</v>
      </c>
      <c r="D7">
        <v>86</v>
      </c>
      <c r="E7">
        <v>51</v>
      </c>
      <c r="F7">
        <v>127</v>
      </c>
      <c r="G7">
        <v>13</v>
      </c>
      <c r="H7">
        <v>96</v>
      </c>
      <c r="I7">
        <v>87</v>
      </c>
      <c r="J7">
        <v>62</v>
      </c>
      <c r="K7">
        <v>796</v>
      </c>
      <c r="L7">
        <v>11</v>
      </c>
      <c r="M7">
        <v>0</v>
      </c>
    </row>
    <row r="8" spans="1:14" x14ac:dyDescent="0.25">
      <c r="A8" t="s">
        <v>287</v>
      </c>
      <c r="B8">
        <v>183</v>
      </c>
      <c r="C8">
        <v>245</v>
      </c>
      <c r="D8">
        <v>205</v>
      </c>
      <c r="E8">
        <v>79</v>
      </c>
      <c r="F8">
        <v>343</v>
      </c>
      <c r="G8">
        <v>12</v>
      </c>
      <c r="H8">
        <v>190</v>
      </c>
      <c r="I8">
        <v>88</v>
      </c>
      <c r="J8">
        <v>147</v>
      </c>
      <c r="K8">
        <v>1594</v>
      </c>
      <c r="L8">
        <v>0</v>
      </c>
      <c r="M8">
        <v>0</v>
      </c>
    </row>
    <row r="9" spans="1:14" x14ac:dyDescent="0.25">
      <c r="A9" t="s">
        <v>288</v>
      </c>
      <c r="B9">
        <v>124</v>
      </c>
      <c r="C9">
        <v>226</v>
      </c>
      <c r="D9">
        <v>93</v>
      </c>
      <c r="E9">
        <v>27</v>
      </c>
      <c r="F9">
        <v>122</v>
      </c>
      <c r="G9">
        <v>20</v>
      </c>
      <c r="H9">
        <v>44</v>
      </c>
      <c r="I9">
        <v>39</v>
      </c>
      <c r="J9">
        <v>37</v>
      </c>
      <c r="K9">
        <v>826</v>
      </c>
      <c r="L9">
        <v>2</v>
      </c>
      <c r="M9">
        <v>0</v>
      </c>
    </row>
    <row r="10" spans="1:14" x14ac:dyDescent="0.25">
      <c r="A10" t="s">
        <v>289</v>
      </c>
      <c r="B10">
        <v>235</v>
      </c>
      <c r="C10">
        <v>211</v>
      </c>
      <c r="D10">
        <v>189</v>
      </c>
      <c r="E10">
        <v>36</v>
      </c>
      <c r="F10">
        <v>157</v>
      </c>
      <c r="G10">
        <v>12</v>
      </c>
      <c r="H10">
        <v>79</v>
      </c>
      <c r="I10">
        <v>141</v>
      </c>
      <c r="J10">
        <v>121</v>
      </c>
      <c r="K10">
        <v>1215</v>
      </c>
      <c r="L10">
        <v>9</v>
      </c>
      <c r="M10">
        <v>0</v>
      </c>
    </row>
    <row r="11" spans="1:14" x14ac:dyDescent="0.25">
      <c r="A11" t="s">
        <v>290</v>
      </c>
      <c r="B11">
        <v>293</v>
      </c>
      <c r="C11">
        <v>379</v>
      </c>
      <c r="D11">
        <v>169</v>
      </c>
      <c r="E11">
        <v>71</v>
      </c>
      <c r="F11">
        <v>134</v>
      </c>
      <c r="G11">
        <v>67</v>
      </c>
      <c r="H11">
        <v>100</v>
      </c>
      <c r="I11">
        <v>96</v>
      </c>
      <c r="J11">
        <v>15</v>
      </c>
      <c r="K11">
        <v>1387</v>
      </c>
      <c r="L11">
        <v>41</v>
      </c>
      <c r="M11">
        <v>0</v>
      </c>
    </row>
    <row r="12" spans="1:14" x14ac:dyDescent="0.25">
      <c r="A12" t="s">
        <v>291</v>
      </c>
      <c r="B12">
        <v>25</v>
      </c>
      <c r="C12">
        <v>22</v>
      </c>
      <c r="D12">
        <v>15</v>
      </c>
      <c r="E12">
        <v>7</v>
      </c>
      <c r="F12">
        <v>17</v>
      </c>
      <c r="G12">
        <v>6</v>
      </c>
      <c r="H12">
        <v>4</v>
      </c>
      <c r="I12">
        <v>10</v>
      </c>
      <c r="J12">
        <v>7</v>
      </c>
      <c r="K12">
        <v>113</v>
      </c>
      <c r="L12">
        <v>0</v>
      </c>
      <c r="M12">
        <v>0</v>
      </c>
    </row>
    <row r="13" spans="1:14" x14ac:dyDescent="0.25">
      <c r="A13" t="s">
        <v>292</v>
      </c>
      <c r="B13">
        <v>66</v>
      </c>
      <c r="C13">
        <v>55</v>
      </c>
      <c r="D13">
        <v>28</v>
      </c>
      <c r="E13">
        <v>24</v>
      </c>
      <c r="F13">
        <v>53</v>
      </c>
      <c r="G13">
        <v>5</v>
      </c>
      <c r="H13">
        <v>24</v>
      </c>
      <c r="I13">
        <v>20</v>
      </c>
      <c r="J13">
        <v>29</v>
      </c>
      <c r="K13">
        <v>314</v>
      </c>
      <c r="L13">
        <v>3</v>
      </c>
      <c r="M13">
        <v>0</v>
      </c>
    </row>
    <row r="14" spans="1:14" x14ac:dyDescent="0.25">
      <c r="A14" t="s">
        <v>293</v>
      </c>
      <c r="B14">
        <v>86</v>
      </c>
      <c r="C14">
        <v>94</v>
      </c>
      <c r="D14">
        <v>63</v>
      </c>
      <c r="E14">
        <v>56</v>
      </c>
      <c r="F14">
        <v>115</v>
      </c>
      <c r="G14">
        <v>19</v>
      </c>
      <c r="H14">
        <v>51</v>
      </c>
      <c r="I14">
        <v>33</v>
      </c>
      <c r="J14">
        <v>35</v>
      </c>
      <c r="K14">
        <v>616</v>
      </c>
      <c r="L14">
        <v>0</v>
      </c>
      <c r="M14">
        <v>0</v>
      </c>
    </row>
    <row r="15" spans="1:14" x14ac:dyDescent="0.25">
      <c r="A15" t="s">
        <v>294</v>
      </c>
      <c r="B15">
        <v>15</v>
      </c>
      <c r="C15">
        <v>14</v>
      </c>
      <c r="D15">
        <v>19</v>
      </c>
      <c r="E15">
        <v>10</v>
      </c>
      <c r="F15">
        <v>29</v>
      </c>
      <c r="G15">
        <v>4</v>
      </c>
      <c r="H15">
        <v>11</v>
      </c>
      <c r="I15">
        <v>14</v>
      </c>
      <c r="J15">
        <v>36</v>
      </c>
      <c r="K15">
        <v>181</v>
      </c>
      <c r="L15">
        <v>1</v>
      </c>
      <c r="M15">
        <v>0</v>
      </c>
    </row>
    <row r="16" spans="1:14" x14ac:dyDescent="0.25">
      <c r="A16" t="s">
        <v>295</v>
      </c>
      <c r="B16">
        <v>124</v>
      </c>
      <c r="C16">
        <v>57</v>
      </c>
      <c r="D16">
        <v>43</v>
      </c>
      <c r="E16">
        <v>23</v>
      </c>
      <c r="F16">
        <v>74</v>
      </c>
      <c r="G16">
        <v>6</v>
      </c>
      <c r="H16">
        <v>25</v>
      </c>
      <c r="I16">
        <v>14</v>
      </c>
      <c r="J16">
        <v>50</v>
      </c>
      <c r="K16">
        <v>456</v>
      </c>
      <c r="L16">
        <v>3</v>
      </c>
      <c r="M16">
        <v>0</v>
      </c>
    </row>
    <row r="17" spans="1:13" x14ac:dyDescent="0.25">
      <c r="A17" t="s">
        <v>296</v>
      </c>
      <c r="B17">
        <v>17</v>
      </c>
      <c r="C17">
        <v>20</v>
      </c>
      <c r="D17">
        <v>17</v>
      </c>
      <c r="E17">
        <v>7</v>
      </c>
      <c r="F17">
        <v>16</v>
      </c>
      <c r="G17">
        <v>8</v>
      </c>
      <c r="H17">
        <v>9</v>
      </c>
      <c r="I17">
        <v>5</v>
      </c>
      <c r="J17">
        <v>6</v>
      </c>
      <c r="K17">
        <v>113</v>
      </c>
      <c r="L17">
        <v>0</v>
      </c>
      <c r="M17">
        <v>0</v>
      </c>
    </row>
    <row r="18" spans="1:13" x14ac:dyDescent="0.25">
      <c r="A18" t="s">
        <v>297</v>
      </c>
      <c r="B18">
        <v>167</v>
      </c>
      <c r="C18">
        <v>202</v>
      </c>
      <c r="D18">
        <v>219</v>
      </c>
      <c r="E18">
        <v>85</v>
      </c>
      <c r="F18">
        <v>150</v>
      </c>
      <c r="G18">
        <v>62</v>
      </c>
      <c r="H18">
        <v>117</v>
      </c>
      <c r="I18">
        <v>241</v>
      </c>
      <c r="J18">
        <v>70</v>
      </c>
      <c r="K18">
        <v>1324</v>
      </c>
      <c r="L18">
        <v>8</v>
      </c>
      <c r="M18">
        <v>3</v>
      </c>
    </row>
    <row r="19" spans="1:13" x14ac:dyDescent="0.25">
      <c r="A19" t="s">
        <v>298</v>
      </c>
      <c r="B19">
        <v>71</v>
      </c>
      <c r="C19">
        <v>61</v>
      </c>
      <c r="D19">
        <v>29</v>
      </c>
      <c r="E19">
        <v>51</v>
      </c>
      <c r="F19">
        <v>40</v>
      </c>
      <c r="G19">
        <v>8</v>
      </c>
      <c r="H19">
        <v>35</v>
      </c>
      <c r="I19">
        <v>11</v>
      </c>
      <c r="J19">
        <v>30</v>
      </c>
      <c r="K19">
        <v>335</v>
      </c>
      <c r="L19">
        <v>3</v>
      </c>
      <c r="M19">
        <v>1</v>
      </c>
    </row>
    <row r="20" spans="1:13" x14ac:dyDescent="0.25">
      <c r="A20" t="s">
        <v>299</v>
      </c>
      <c r="B20">
        <v>122</v>
      </c>
      <c r="C20">
        <v>65</v>
      </c>
      <c r="D20">
        <v>68</v>
      </c>
      <c r="E20">
        <v>39</v>
      </c>
      <c r="F20">
        <v>171</v>
      </c>
      <c r="G20">
        <v>13</v>
      </c>
      <c r="H20">
        <v>25</v>
      </c>
      <c r="I20">
        <v>42</v>
      </c>
      <c r="J20">
        <v>46</v>
      </c>
      <c r="K20">
        <v>646</v>
      </c>
      <c r="L20">
        <v>17</v>
      </c>
      <c r="M20">
        <v>0</v>
      </c>
    </row>
    <row r="21" spans="1:13" x14ac:dyDescent="0.25">
      <c r="A21" t="s">
        <v>300</v>
      </c>
      <c r="B21">
        <v>497</v>
      </c>
      <c r="C21">
        <v>362</v>
      </c>
      <c r="D21">
        <v>198</v>
      </c>
      <c r="E21">
        <v>96</v>
      </c>
      <c r="F21">
        <v>295</v>
      </c>
      <c r="G21">
        <v>43</v>
      </c>
      <c r="H21">
        <v>130</v>
      </c>
      <c r="I21">
        <v>133</v>
      </c>
      <c r="J21">
        <v>167</v>
      </c>
      <c r="K21">
        <v>2035</v>
      </c>
      <c r="L21">
        <v>18</v>
      </c>
      <c r="M21">
        <v>0</v>
      </c>
    </row>
    <row r="22" spans="1:13" x14ac:dyDescent="0.25">
      <c r="A22" t="s">
        <v>301</v>
      </c>
      <c r="B22">
        <v>106</v>
      </c>
      <c r="C22">
        <v>117</v>
      </c>
      <c r="D22">
        <v>97</v>
      </c>
      <c r="E22">
        <v>37</v>
      </c>
      <c r="F22">
        <v>194</v>
      </c>
      <c r="G22">
        <v>6</v>
      </c>
      <c r="H22">
        <v>79</v>
      </c>
      <c r="I22">
        <v>58</v>
      </c>
      <c r="J22">
        <v>73</v>
      </c>
      <c r="K22">
        <v>806</v>
      </c>
      <c r="L22">
        <v>17</v>
      </c>
      <c r="M22">
        <v>0</v>
      </c>
    </row>
    <row r="23" spans="1:13" x14ac:dyDescent="0.25">
      <c r="A23" t="s">
        <v>302</v>
      </c>
      <c r="B23">
        <v>34</v>
      </c>
      <c r="C23">
        <v>40</v>
      </c>
      <c r="D23">
        <v>26</v>
      </c>
      <c r="E23">
        <v>14</v>
      </c>
      <c r="F23">
        <v>33</v>
      </c>
      <c r="G23">
        <v>11</v>
      </c>
      <c r="H23">
        <v>18</v>
      </c>
      <c r="I23">
        <v>16</v>
      </c>
      <c r="J23">
        <v>13</v>
      </c>
      <c r="K23">
        <v>269</v>
      </c>
      <c r="L23">
        <v>34</v>
      </c>
      <c r="M23">
        <v>0</v>
      </c>
    </row>
    <row r="24" spans="1:13" x14ac:dyDescent="0.25">
      <c r="A24" t="s">
        <v>303</v>
      </c>
      <c r="B24">
        <v>307</v>
      </c>
      <c r="C24">
        <v>392</v>
      </c>
      <c r="D24">
        <v>131</v>
      </c>
      <c r="E24">
        <v>59</v>
      </c>
      <c r="F24">
        <v>193</v>
      </c>
      <c r="G24">
        <v>16</v>
      </c>
      <c r="H24">
        <v>75</v>
      </c>
      <c r="I24">
        <v>119</v>
      </c>
      <c r="J24">
        <v>88</v>
      </c>
      <c r="K24">
        <v>1552</v>
      </c>
      <c r="L24">
        <v>66</v>
      </c>
      <c r="M24">
        <v>1</v>
      </c>
    </row>
    <row r="25" spans="1:13" x14ac:dyDescent="0.25">
      <c r="A25" t="s">
        <v>304</v>
      </c>
      <c r="B25">
        <v>87</v>
      </c>
      <c r="C25">
        <v>33</v>
      </c>
      <c r="D25">
        <v>45</v>
      </c>
      <c r="E25">
        <v>19</v>
      </c>
      <c r="F25">
        <v>78</v>
      </c>
      <c r="G25">
        <v>10</v>
      </c>
      <c r="H25">
        <v>22</v>
      </c>
      <c r="I25">
        <v>34</v>
      </c>
      <c r="J25">
        <v>50</v>
      </c>
      <c r="K25">
        <v>381</v>
      </c>
      <c r="L25">
        <v>2</v>
      </c>
      <c r="M25">
        <v>0</v>
      </c>
    </row>
    <row r="26" spans="1:13" x14ac:dyDescent="0.25">
      <c r="A26" t="s">
        <v>305</v>
      </c>
      <c r="B26">
        <v>178</v>
      </c>
      <c r="C26">
        <v>182</v>
      </c>
      <c r="D26">
        <v>89</v>
      </c>
      <c r="E26">
        <v>63</v>
      </c>
      <c r="F26">
        <v>161</v>
      </c>
      <c r="G26">
        <v>27</v>
      </c>
      <c r="H26">
        <v>67</v>
      </c>
      <c r="I26">
        <v>86</v>
      </c>
      <c r="J26">
        <v>55</v>
      </c>
      <c r="K26">
        <v>1002</v>
      </c>
      <c r="L26">
        <v>15</v>
      </c>
      <c r="M26">
        <v>0</v>
      </c>
    </row>
    <row r="27" spans="1:13" x14ac:dyDescent="0.25">
      <c r="A27" t="s">
        <v>306</v>
      </c>
      <c r="B27">
        <v>332</v>
      </c>
      <c r="C27">
        <v>322</v>
      </c>
      <c r="D27">
        <v>232</v>
      </c>
      <c r="E27">
        <v>53</v>
      </c>
      <c r="F27">
        <v>212</v>
      </c>
      <c r="G27">
        <v>63</v>
      </c>
      <c r="H27">
        <v>98</v>
      </c>
      <c r="I27">
        <v>103</v>
      </c>
      <c r="J27">
        <v>121</v>
      </c>
      <c r="K27">
        <v>1675</v>
      </c>
      <c r="L27">
        <v>2</v>
      </c>
      <c r="M27">
        <v>0</v>
      </c>
    </row>
    <row r="28" spans="1:13" x14ac:dyDescent="0.25">
      <c r="A28" t="s">
        <v>307</v>
      </c>
      <c r="B28">
        <v>206</v>
      </c>
      <c r="C28">
        <v>201</v>
      </c>
      <c r="D28">
        <v>92</v>
      </c>
      <c r="E28">
        <v>44</v>
      </c>
      <c r="F28">
        <v>189</v>
      </c>
      <c r="G28">
        <v>25</v>
      </c>
      <c r="H28">
        <v>61</v>
      </c>
      <c r="I28">
        <v>60</v>
      </c>
      <c r="J28">
        <v>82</v>
      </c>
      <c r="K28">
        <v>1016</v>
      </c>
      <c r="L28">
        <v>2</v>
      </c>
      <c r="M28">
        <v>1</v>
      </c>
    </row>
    <row r="29" spans="1:13" x14ac:dyDescent="0.25">
      <c r="A29" t="s">
        <v>266</v>
      </c>
      <c r="B29">
        <v>4298</v>
      </c>
      <c r="C29">
        <v>4398</v>
      </c>
      <c r="D29">
        <v>2515</v>
      </c>
      <c r="E29">
        <v>1112</v>
      </c>
      <c r="F29">
        <v>3522</v>
      </c>
      <c r="G29">
        <v>559</v>
      </c>
      <c r="H29">
        <v>1558</v>
      </c>
      <c r="I29">
        <v>1728</v>
      </c>
      <c r="J29">
        <v>1520</v>
      </c>
      <c r="K29">
        <v>22739</v>
      </c>
      <c r="L29">
        <v>313</v>
      </c>
      <c r="M29">
        <v>6</v>
      </c>
    </row>
    <row r="30" spans="1:13" x14ac:dyDescent="0.25">
      <c r="A30" t="s">
        <v>308</v>
      </c>
      <c r="B30">
        <v>637</v>
      </c>
      <c r="C30">
        <v>756</v>
      </c>
      <c r="D30">
        <v>550</v>
      </c>
      <c r="E30">
        <v>268</v>
      </c>
      <c r="F30">
        <v>522</v>
      </c>
      <c r="G30">
        <v>210</v>
      </c>
      <c r="H30">
        <v>380</v>
      </c>
      <c r="I30">
        <v>486</v>
      </c>
      <c r="J30">
        <v>289</v>
      </c>
      <c r="K30">
        <v>4498</v>
      </c>
      <c r="L30">
        <v>35</v>
      </c>
      <c r="M30">
        <v>3</v>
      </c>
    </row>
    <row r="31" spans="1:13" x14ac:dyDescent="0.25">
      <c r="A31" t="s">
        <v>309</v>
      </c>
      <c r="B31">
        <v>3661</v>
      </c>
      <c r="C31">
        <v>3642</v>
      </c>
      <c r="D31">
        <v>1965</v>
      </c>
      <c r="E31">
        <v>844</v>
      </c>
      <c r="F31">
        <v>3000</v>
      </c>
      <c r="G31">
        <v>349</v>
      </c>
      <c r="H31">
        <v>1178</v>
      </c>
      <c r="I31">
        <v>1242</v>
      </c>
      <c r="J31">
        <v>1231</v>
      </c>
      <c r="K31">
        <v>18241</v>
      </c>
      <c r="L31">
        <v>278</v>
      </c>
      <c r="M31">
        <v>3</v>
      </c>
    </row>
  </sheetData>
  <mergeCells count="3">
    <mergeCell ref="B2:K2"/>
    <mergeCell ref="A2:A3"/>
    <mergeCell ref="A1:N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tabColor rgb="FFFFC000"/>
  </sheetPr>
  <dimension ref="A1:T31"/>
  <sheetViews>
    <sheetView workbookViewId="0"/>
  </sheetViews>
  <sheetFormatPr defaultRowHeight="15" x14ac:dyDescent="0.25"/>
  <cols>
    <col min="1" max="1" width="14.5703125" customWidth="1"/>
    <col min="2" max="2" width="6.7109375" customWidth="1"/>
    <col min="3" max="3" width="7.7109375" customWidth="1"/>
    <col min="5" max="5" width="7.28515625" customWidth="1"/>
    <col min="6" max="6" width="6.7109375" customWidth="1"/>
    <col min="7" max="7" width="5.42578125" customWidth="1"/>
    <col min="8" max="8" width="6.5703125" customWidth="1"/>
    <col min="9" max="9" width="6.7109375" customWidth="1"/>
    <col min="11" max="11" width="7.28515625" customWidth="1"/>
    <col min="13" max="13" width="5.42578125" customWidth="1"/>
    <col min="14" max="14" width="6.5703125" customWidth="1"/>
    <col min="15" max="15" width="6.42578125" customWidth="1"/>
    <col min="16" max="16" width="6.7109375" customWidth="1"/>
    <col min="17" max="17" width="7.28515625" customWidth="1"/>
    <col min="19" max="19" width="5.42578125" customWidth="1"/>
  </cols>
  <sheetData>
    <row r="1" spans="1:20" x14ac:dyDescent="0.25">
      <c r="A1" s="29" t="s">
        <v>476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 t="s">
        <v>709</v>
      </c>
      <c r="B2" s="29" t="s">
        <v>477</v>
      </c>
      <c r="C2" s="29"/>
      <c r="D2" s="29"/>
      <c r="E2" s="29"/>
      <c r="F2" s="29"/>
      <c r="G2" s="29"/>
      <c r="H2" s="29" t="s">
        <v>478</v>
      </c>
      <c r="I2" s="29"/>
      <c r="J2" s="29"/>
      <c r="K2" s="29"/>
      <c r="L2" s="29"/>
      <c r="M2" s="29"/>
      <c r="N2" s="29" t="s">
        <v>479</v>
      </c>
      <c r="O2" s="29"/>
      <c r="P2" s="29"/>
      <c r="Q2" s="29"/>
      <c r="R2" s="29"/>
      <c r="S2" s="29"/>
    </row>
    <row r="3" spans="1:20" x14ac:dyDescent="0.25">
      <c r="A3" s="29"/>
      <c r="B3" t="s">
        <v>346</v>
      </c>
      <c r="C3" t="s">
        <v>480</v>
      </c>
      <c r="D3" t="s">
        <v>481</v>
      </c>
      <c r="E3" t="s">
        <v>482</v>
      </c>
      <c r="F3" t="s">
        <v>483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485</v>
      </c>
      <c r="S3" t="s">
        <v>484</v>
      </c>
    </row>
    <row r="4" spans="1:20" x14ac:dyDescent="0.25">
      <c r="A4" t="s">
        <v>283</v>
      </c>
      <c r="B4">
        <v>106</v>
      </c>
      <c r="C4">
        <v>797</v>
      </c>
      <c r="D4">
        <v>2217</v>
      </c>
      <c r="E4">
        <v>1553</v>
      </c>
      <c r="F4">
        <v>93</v>
      </c>
      <c r="G4">
        <v>0</v>
      </c>
      <c r="H4">
        <v>39</v>
      </c>
      <c r="I4">
        <v>180</v>
      </c>
      <c r="J4">
        <v>357</v>
      </c>
      <c r="K4">
        <v>310</v>
      </c>
      <c r="L4">
        <v>52</v>
      </c>
      <c r="M4">
        <v>0</v>
      </c>
      <c r="N4">
        <v>3</v>
      </c>
      <c r="O4">
        <v>9</v>
      </c>
      <c r="P4">
        <v>32</v>
      </c>
      <c r="Q4">
        <v>43</v>
      </c>
      <c r="R4">
        <v>1</v>
      </c>
      <c r="S4">
        <v>0</v>
      </c>
    </row>
    <row r="5" spans="1:20" x14ac:dyDescent="0.25">
      <c r="A5" t="s">
        <v>284</v>
      </c>
      <c r="B5">
        <v>249</v>
      </c>
      <c r="C5">
        <v>913</v>
      </c>
      <c r="D5">
        <v>2704</v>
      </c>
      <c r="E5">
        <v>2942</v>
      </c>
      <c r="F5">
        <v>271</v>
      </c>
      <c r="G5">
        <v>20</v>
      </c>
      <c r="H5">
        <v>56</v>
      </c>
      <c r="I5">
        <v>242</v>
      </c>
      <c r="J5">
        <v>573</v>
      </c>
      <c r="K5">
        <v>726</v>
      </c>
      <c r="L5">
        <v>152</v>
      </c>
      <c r="M5">
        <v>9</v>
      </c>
      <c r="N5">
        <v>18</v>
      </c>
      <c r="O5">
        <v>26</v>
      </c>
      <c r="P5">
        <v>31</v>
      </c>
      <c r="Q5">
        <v>22</v>
      </c>
      <c r="R5">
        <v>3</v>
      </c>
      <c r="S5">
        <v>0</v>
      </c>
    </row>
    <row r="6" spans="1:20" x14ac:dyDescent="0.25">
      <c r="A6" t="s">
        <v>285</v>
      </c>
      <c r="B6">
        <v>175</v>
      </c>
      <c r="C6">
        <v>1385</v>
      </c>
      <c r="D6">
        <v>2441</v>
      </c>
      <c r="E6">
        <v>1728</v>
      </c>
      <c r="F6">
        <v>107</v>
      </c>
      <c r="G6">
        <v>4</v>
      </c>
      <c r="H6">
        <v>81</v>
      </c>
      <c r="I6">
        <v>506</v>
      </c>
      <c r="J6">
        <v>701</v>
      </c>
      <c r="K6">
        <v>423</v>
      </c>
      <c r="L6">
        <v>67</v>
      </c>
      <c r="M6">
        <v>1</v>
      </c>
      <c r="N6">
        <v>4</v>
      </c>
      <c r="O6">
        <v>23</v>
      </c>
      <c r="P6">
        <v>15</v>
      </c>
      <c r="Q6">
        <v>25</v>
      </c>
      <c r="R6">
        <v>9</v>
      </c>
      <c r="S6">
        <v>0</v>
      </c>
    </row>
    <row r="7" spans="1:20" x14ac:dyDescent="0.25">
      <c r="A7" t="s">
        <v>286</v>
      </c>
      <c r="B7">
        <v>54</v>
      </c>
      <c r="C7">
        <v>467</v>
      </c>
      <c r="D7">
        <v>1581</v>
      </c>
      <c r="E7">
        <v>1419</v>
      </c>
      <c r="F7">
        <v>64</v>
      </c>
      <c r="G7">
        <v>1</v>
      </c>
      <c r="H7">
        <v>10</v>
      </c>
      <c r="I7">
        <v>125</v>
      </c>
      <c r="J7">
        <v>274</v>
      </c>
      <c r="K7">
        <v>287</v>
      </c>
      <c r="L7">
        <v>44</v>
      </c>
      <c r="M7">
        <v>0</v>
      </c>
      <c r="N7">
        <v>0</v>
      </c>
      <c r="O7">
        <v>1</v>
      </c>
      <c r="P7">
        <v>27</v>
      </c>
      <c r="Q7">
        <v>32</v>
      </c>
      <c r="R7">
        <v>0</v>
      </c>
      <c r="S7">
        <v>0</v>
      </c>
    </row>
    <row r="8" spans="1:20" x14ac:dyDescent="0.25">
      <c r="A8" t="s">
        <v>287</v>
      </c>
      <c r="B8">
        <v>100</v>
      </c>
      <c r="C8">
        <v>846</v>
      </c>
      <c r="D8">
        <v>1772</v>
      </c>
      <c r="E8">
        <v>1494</v>
      </c>
      <c r="F8">
        <v>95</v>
      </c>
      <c r="G8">
        <v>1</v>
      </c>
      <c r="H8">
        <v>32</v>
      </c>
      <c r="I8">
        <v>181</v>
      </c>
      <c r="J8">
        <v>287</v>
      </c>
      <c r="K8">
        <v>311</v>
      </c>
      <c r="L8">
        <v>60</v>
      </c>
      <c r="M8">
        <v>0</v>
      </c>
      <c r="N8">
        <v>0</v>
      </c>
      <c r="O8">
        <v>12</v>
      </c>
      <c r="P8">
        <v>18</v>
      </c>
      <c r="Q8">
        <v>54</v>
      </c>
      <c r="R8">
        <v>5</v>
      </c>
      <c r="S8">
        <v>3</v>
      </c>
    </row>
    <row r="9" spans="1:20" x14ac:dyDescent="0.25">
      <c r="A9" t="s">
        <v>288</v>
      </c>
      <c r="B9">
        <v>129</v>
      </c>
      <c r="C9">
        <v>670</v>
      </c>
      <c r="D9">
        <v>1996</v>
      </c>
      <c r="E9">
        <v>1546</v>
      </c>
      <c r="F9">
        <v>122</v>
      </c>
      <c r="G9">
        <v>0</v>
      </c>
      <c r="H9">
        <v>29</v>
      </c>
      <c r="I9">
        <v>136</v>
      </c>
      <c r="J9">
        <v>285</v>
      </c>
      <c r="K9">
        <v>335</v>
      </c>
      <c r="L9">
        <v>43</v>
      </c>
      <c r="M9">
        <v>0</v>
      </c>
      <c r="N9">
        <v>0</v>
      </c>
      <c r="O9">
        <v>2</v>
      </c>
      <c r="P9">
        <v>13</v>
      </c>
      <c r="Q9">
        <v>29</v>
      </c>
      <c r="R9">
        <v>3</v>
      </c>
      <c r="S9">
        <v>0</v>
      </c>
    </row>
    <row r="10" spans="1:20" x14ac:dyDescent="0.25">
      <c r="A10" t="s">
        <v>289</v>
      </c>
      <c r="B10">
        <v>83</v>
      </c>
      <c r="C10">
        <v>799</v>
      </c>
      <c r="D10">
        <v>2303</v>
      </c>
      <c r="E10">
        <v>1482</v>
      </c>
      <c r="F10">
        <v>73</v>
      </c>
      <c r="G10">
        <v>0</v>
      </c>
      <c r="H10">
        <v>30</v>
      </c>
      <c r="I10">
        <v>161</v>
      </c>
      <c r="J10">
        <v>448</v>
      </c>
      <c r="K10">
        <v>309</v>
      </c>
      <c r="L10">
        <v>50</v>
      </c>
      <c r="M10">
        <v>0</v>
      </c>
      <c r="N10">
        <v>1</v>
      </c>
      <c r="O10">
        <v>3</v>
      </c>
      <c r="P10">
        <v>17</v>
      </c>
      <c r="Q10">
        <v>20</v>
      </c>
      <c r="R10">
        <v>3</v>
      </c>
      <c r="S10">
        <v>0</v>
      </c>
    </row>
    <row r="11" spans="1:20" x14ac:dyDescent="0.25">
      <c r="A11" t="s">
        <v>290</v>
      </c>
      <c r="B11">
        <v>274</v>
      </c>
      <c r="C11">
        <v>1343</v>
      </c>
      <c r="D11">
        <v>2870</v>
      </c>
      <c r="E11">
        <v>2611</v>
      </c>
      <c r="F11">
        <v>201</v>
      </c>
      <c r="G11">
        <v>0</v>
      </c>
      <c r="H11">
        <v>52</v>
      </c>
      <c r="I11">
        <v>318</v>
      </c>
      <c r="J11">
        <v>488</v>
      </c>
      <c r="K11">
        <v>548</v>
      </c>
      <c r="L11">
        <v>107</v>
      </c>
      <c r="M11">
        <v>3</v>
      </c>
      <c r="N11">
        <v>1</v>
      </c>
      <c r="O11">
        <v>5</v>
      </c>
      <c r="P11">
        <v>10</v>
      </c>
      <c r="Q11">
        <v>22</v>
      </c>
      <c r="R11">
        <v>2</v>
      </c>
      <c r="S11">
        <v>0</v>
      </c>
    </row>
    <row r="12" spans="1:20" x14ac:dyDescent="0.25">
      <c r="A12" t="s">
        <v>291</v>
      </c>
      <c r="B12">
        <v>0</v>
      </c>
      <c r="C12">
        <v>23</v>
      </c>
      <c r="D12">
        <v>266</v>
      </c>
      <c r="E12">
        <v>177</v>
      </c>
      <c r="F12">
        <v>10</v>
      </c>
      <c r="G12">
        <v>0</v>
      </c>
      <c r="H12">
        <v>1</v>
      </c>
      <c r="I12">
        <v>5</v>
      </c>
      <c r="J12">
        <v>43</v>
      </c>
      <c r="K12">
        <v>45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20" x14ac:dyDescent="0.25">
      <c r="A13" t="s">
        <v>292</v>
      </c>
      <c r="B13">
        <v>13</v>
      </c>
      <c r="C13">
        <v>186</v>
      </c>
      <c r="D13">
        <v>783</v>
      </c>
      <c r="E13">
        <v>215</v>
      </c>
      <c r="F13">
        <v>2</v>
      </c>
      <c r="G13">
        <v>0</v>
      </c>
      <c r="H13">
        <v>0</v>
      </c>
      <c r="I13">
        <v>41</v>
      </c>
      <c r="J13">
        <v>96</v>
      </c>
      <c r="K13">
        <v>42</v>
      </c>
      <c r="L13">
        <v>7</v>
      </c>
      <c r="M13">
        <v>0</v>
      </c>
      <c r="N13">
        <v>0</v>
      </c>
      <c r="O13">
        <v>3</v>
      </c>
      <c r="P13">
        <v>17</v>
      </c>
      <c r="Q13">
        <v>10</v>
      </c>
      <c r="R13">
        <v>0</v>
      </c>
      <c r="S13">
        <v>0</v>
      </c>
    </row>
    <row r="14" spans="1:20" x14ac:dyDescent="0.25">
      <c r="A14" t="s">
        <v>293</v>
      </c>
      <c r="B14">
        <v>36</v>
      </c>
      <c r="C14">
        <v>625</v>
      </c>
      <c r="D14">
        <v>1635</v>
      </c>
      <c r="E14">
        <v>376</v>
      </c>
      <c r="F14">
        <v>24</v>
      </c>
      <c r="G14">
        <v>0</v>
      </c>
      <c r="H14">
        <v>9</v>
      </c>
      <c r="I14">
        <v>119</v>
      </c>
      <c r="J14">
        <v>203</v>
      </c>
      <c r="K14">
        <v>60</v>
      </c>
      <c r="L14">
        <v>13</v>
      </c>
      <c r="M14">
        <v>0</v>
      </c>
      <c r="N14">
        <v>2</v>
      </c>
      <c r="O14">
        <v>1</v>
      </c>
      <c r="P14">
        <v>38</v>
      </c>
      <c r="Q14">
        <v>24</v>
      </c>
      <c r="R14">
        <v>3</v>
      </c>
      <c r="S14">
        <v>0</v>
      </c>
    </row>
    <row r="15" spans="1:20" x14ac:dyDescent="0.25">
      <c r="A15" t="s">
        <v>294</v>
      </c>
      <c r="B15">
        <v>59</v>
      </c>
      <c r="C15">
        <v>210</v>
      </c>
      <c r="D15">
        <v>577</v>
      </c>
      <c r="E15">
        <v>87</v>
      </c>
      <c r="F15">
        <v>4</v>
      </c>
      <c r="G15">
        <v>0</v>
      </c>
      <c r="H15">
        <v>11</v>
      </c>
      <c r="I15">
        <v>9</v>
      </c>
      <c r="J15">
        <v>27</v>
      </c>
      <c r="K15">
        <v>16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 x14ac:dyDescent="0.25">
      <c r="A16" t="s">
        <v>295</v>
      </c>
      <c r="B16">
        <v>111</v>
      </c>
      <c r="C16">
        <v>340</v>
      </c>
      <c r="D16">
        <v>903</v>
      </c>
      <c r="E16">
        <v>276</v>
      </c>
      <c r="F16">
        <v>11</v>
      </c>
      <c r="G16">
        <v>0</v>
      </c>
      <c r="H16">
        <v>30</v>
      </c>
      <c r="I16">
        <v>73</v>
      </c>
      <c r="J16">
        <v>187</v>
      </c>
      <c r="K16">
        <v>53</v>
      </c>
      <c r="L16">
        <v>6</v>
      </c>
      <c r="M16">
        <v>0</v>
      </c>
      <c r="N16">
        <v>5</v>
      </c>
      <c r="O16">
        <v>7</v>
      </c>
      <c r="P16">
        <v>7</v>
      </c>
      <c r="Q16">
        <v>7</v>
      </c>
      <c r="R16">
        <v>4</v>
      </c>
      <c r="S16">
        <v>0</v>
      </c>
    </row>
    <row r="17" spans="1:19" x14ac:dyDescent="0.25">
      <c r="A17" t="s">
        <v>296</v>
      </c>
      <c r="B17">
        <v>12</v>
      </c>
      <c r="C17">
        <v>75</v>
      </c>
      <c r="D17">
        <v>366</v>
      </c>
      <c r="E17">
        <v>210</v>
      </c>
      <c r="F17">
        <v>6</v>
      </c>
      <c r="G17">
        <v>0</v>
      </c>
      <c r="H17">
        <v>1</v>
      </c>
      <c r="I17">
        <v>7</v>
      </c>
      <c r="J17">
        <v>44</v>
      </c>
      <c r="K17">
        <v>39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297</v>
      </c>
      <c r="B18">
        <v>345</v>
      </c>
      <c r="C18">
        <v>1254</v>
      </c>
      <c r="D18">
        <v>3330</v>
      </c>
      <c r="E18">
        <v>3742</v>
      </c>
      <c r="F18">
        <v>563</v>
      </c>
      <c r="G18">
        <v>8</v>
      </c>
      <c r="H18">
        <v>53</v>
      </c>
      <c r="I18">
        <v>173</v>
      </c>
      <c r="J18">
        <v>349</v>
      </c>
      <c r="K18">
        <v>433</v>
      </c>
      <c r="L18">
        <v>159</v>
      </c>
      <c r="M18">
        <v>3</v>
      </c>
      <c r="N18">
        <v>11</v>
      </c>
      <c r="O18">
        <v>7</v>
      </c>
      <c r="P18">
        <v>18</v>
      </c>
      <c r="Q18">
        <v>13</v>
      </c>
      <c r="R18">
        <v>1</v>
      </c>
      <c r="S18">
        <v>0</v>
      </c>
    </row>
    <row r="19" spans="1:19" x14ac:dyDescent="0.25">
      <c r="A19" t="s">
        <v>298</v>
      </c>
      <c r="B19">
        <v>44</v>
      </c>
      <c r="C19">
        <v>179</v>
      </c>
      <c r="D19">
        <v>948</v>
      </c>
      <c r="E19">
        <v>449</v>
      </c>
      <c r="F19">
        <v>38</v>
      </c>
      <c r="G19">
        <v>0</v>
      </c>
      <c r="H19">
        <v>4</v>
      </c>
      <c r="I19">
        <v>21</v>
      </c>
      <c r="J19">
        <v>147</v>
      </c>
      <c r="K19">
        <v>89</v>
      </c>
      <c r="L19">
        <v>11</v>
      </c>
      <c r="M19">
        <v>0</v>
      </c>
      <c r="N19">
        <v>0</v>
      </c>
      <c r="O19">
        <v>1</v>
      </c>
      <c r="P19">
        <v>0</v>
      </c>
      <c r="Q19">
        <v>3</v>
      </c>
      <c r="R19">
        <v>0</v>
      </c>
      <c r="S19">
        <v>0</v>
      </c>
    </row>
    <row r="20" spans="1:19" x14ac:dyDescent="0.25">
      <c r="A20" t="s">
        <v>299</v>
      </c>
      <c r="B20">
        <v>96</v>
      </c>
      <c r="C20">
        <v>312</v>
      </c>
      <c r="D20">
        <v>1353</v>
      </c>
      <c r="E20">
        <v>384</v>
      </c>
      <c r="F20">
        <v>33</v>
      </c>
      <c r="G20">
        <v>0</v>
      </c>
      <c r="H20">
        <v>41</v>
      </c>
      <c r="I20">
        <v>88</v>
      </c>
      <c r="J20">
        <v>136</v>
      </c>
      <c r="K20">
        <v>73</v>
      </c>
      <c r="L20">
        <v>11</v>
      </c>
      <c r="M20">
        <v>1</v>
      </c>
      <c r="N20">
        <v>0</v>
      </c>
      <c r="O20">
        <v>1</v>
      </c>
      <c r="P20">
        <v>3</v>
      </c>
      <c r="Q20">
        <v>2</v>
      </c>
      <c r="R20">
        <v>0</v>
      </c>
      <c r="S20">
        <v>0</v>
      </c>
    </row>
    <row r="21" spans="1:19" x14ac:dyDescent="0.25">
      <c r="A21" t="s">
        <v>300</v>
      </c>
      <c r="B21">
        <v>252</v>
      </c>
      <c r="C21">
        <v>1338</v>
      </c>
      <c r="D21">
        <v>2028</v>
      </c>
      <c r="E21">
        <v>2138</v>
      </c>
      <c r="F21">
        <v>96</v>
      </c>
      <c r="G21">
        <v>1</v>
      </c>
      <c r="H21">
        <v>91</v>
      </c>
      <c r="I21">
        <v>513</v>
      </c>
      <c r="J21">
        <v>597</v>
      </c>
      <c r="K21">
        <v>649</v>
      </c>
      <c r="L21">
        <v>75</v>
      </c>
      <c r="M21">
        <v>2</v>
      </c>
      <c r="N21">
        <v>1</v>
      </c>
      <c r="O21">
        <v>6</v>
      </c>
      <c r="P21">
        <v>24</v>
      </c>
      <c r="Q21">
        <v>24</v>
      </c>
      <c r="R21">
        <v>2</v>
      </c>
      <c r="S21">
        <v>0</v>
      </c>
    </row>
    <row r="22" spans="1:19" x14ac:dyDescent="0.25">
      <c r="A22" t="s">
        <v>301</v>
      </c>
      <c r="B22">
        <v>62</v>
      </c>
      <c r="C22">
        <v>632</v>
      </c>
      <c r="D22">
        <v>1608</v>
      </c>
      <c r="E22">
        <v>782</v>
      </c>
      <c r="F22">
        <v>55</v>
      </c>
      <c r="G22">
        <v>1</v>
      </c>
      <c r="H22">
        <v>15</v>
      </c>
      <c r="I22">
        <v>206</v>
      </c>
      <c r="J22">
        <v>323</v>
      </c>
      <c r="K22">
        <v>150</v>
      </c>
      <c r="L22">
        <v>41</v>
      </c>
      <c r="M22">
        <v>0</v>
      </c>
      <c r="N22">
        <v>0</v>
      </c>
      <c r="O22">
        <v>3</v>
      </c>
      <c r="P22">
        <v>4</v>
      </c>
      <c r="Q22">
        <v>2</v>
      </c>
      <c r="R22">
        <v>0</v>
      </c>
      <c r="S22">
        <v>0</v>
      </c>
    </row>
    <row r="23" spans="1:19" x14ac:dyDescent="0.25">
      <c r="A23" t="s">
        <v>302</v>
      </c>
      <c r="B23">
        <v>69</v>
      </c>
      <c r="C23">
        <v>320</v>
      </c>
      <c r="D23">
        <v>774</v>
      </c>
      <c r="E23">
        <v>259</v>
      </c>
      <c r="F23">
        <v>8</v>
      </c>
      <c r="G23">
        <v>0</v>
      </c>
      <c r="H23">
        <v>16</v>
      </c>
      <c r="I23">
        <v>32</v>
      </c>
      <c r="J23">
        <v>51</v>
      </c>
      <c r="K23">
        <v>38</v>
      </c>
      <c r="L23">
        <v>5</v>
      </c>
      <c r="M23">
        <v>0</v>
      </c>
      <c r="N23">
        <v>1</v>
      </c>
      <c r="O23">
        <v>2</v>
      </c>
      <c r="P23">
        <v>16</v>
      </c>
      <c r="Q23">
        <v>6</v>
      </c>
      <c r="R23">
        <v>0</v>
      </c>
      <c r="S23">
        <v>0</v>
      </c>
    </row>
    <row r="24" spans="1:19" x14ac:dyDescent="0.25">
      <c r="A24" t="s">
        <v>303</v>
      </c>
      <c r="B24">
        <v>180</v>
      </c>
      <c r="C24">
        <v>737</v>
      </c>
      <c r="D24">
        <v>3136</v>
      </c>
      <c r="E24">
        <v>1736</v>
      </c>
      <c r="F24">
        <v>153</v>
      </c>
      <c r="G24">
        <v>1</v>
      </c>
      <c r="H24">
        <v>69</v>
      </c>
      <c r="I24">
        <v>255</v>
      </c>
      <c r="J24">
        <v>904</v>
      </c>
      <c r="K24">
        <v>445</v>
      </c>
      <c r="L24">
        <v>84</v>
      </c>
      <c r="M24">
        <v>1</v>
      </c>
      <c r="N24">
        <v>2</v>
      </c>
      <c r="O24">
        <v>9</v>
      </c>
      <c r="P24">
        <v>24</v>
      </c>
      <c r="Q24">
        <v>62</v>
      </c>
      <c r="R24">
        <v>14</v>
      </c>
      <c r="S24">
        <v>0</v>
      </c>
    </row>
    <row r="25" spans="1:19" x14ac:dyDescent="0.25">
      <c r="A25" t="s">
        <v>304</v>
      </c>
      <c r="B25">
        <v>62</v>
      </c>
      <c r="C25">
        <v>276</v>
      </c>
      <c r="D25">
        <v>901</v>
      </c>
      <c r="E25">
        <v>173</v>
      </c>
      <c r="F25">
        <v>4</v>
      </c>
      <c r="G25">
        <v>0</v>
      </c>
      <c r="H25">
        <v>11</v>
      </c>
      <c r="I25">
        <v>47</v>
      </c>
      <c r="J25">
        <v>96</v>
      </c>
      <c r="K25">
        <v>35</v>
      </c>
      <c r="L25">
        <v>5</v>
      </c>
      <c r="M25">
        <v>0</v>
      </c>
      <c r="N25">
        <v>0</v>
      </c>
      <c r="O25">
        <v>10</v>
      </c>
      <c r="P25">
        <v>34</v>
      </c>
      <c r="Q25">
        <v>5</v>
      </c>
      <c r="R25">
        <v>0</v>
      </c>
      <c r="S25">
        <v>0</v>
      </c>
    </row>
    <row r="26" spans="1:19" x14ac:dyDescent="0.25">
      <c r="A26" t="s">
        <v>305</v>
      </c>
      <c r="B26">
        <v>54</v>
      </c>
      <c r="C26">
        <v>479</v>
      </c>
      <c r="D26">
        <v>1865</v>
      </c>
      <c r="E26">
        <v>1290</v>
      </c>
      <c r="F26">
        <v>59</v>
      </c>
      <c r="G26">
        <v>0</v>
      </c>
      <c r="H26">
        <v>28</v>
      </c>
      <c r="I26">
        <v>157</v>
      </c>
      <c r="J26">
        <v>484</v>
      </c>
      <c r="K26">
        <v>283</v>
      </c>
      <c r="L26">
        <v>19</v>
      </c>
      <c r="M26">
        <v>0</v>
      </c>
      <c r="N26">
        <v>3</v>
      </c>
      <c r="O26">
        <v>4</v>
      </c>
      <c r="P26">
        <v>22</v>
      </c>
      <c r="Q26">
        <v>30</v>
      </c>
      <c r="R26">
        <v>0</v>
      </c>
      <c r="S26">
        <v>0</v>
      </c>
    </row>
    <row r="27" spans="1:19" x14ac:dyDescent="0.25">
      <c r="A27" t="s">
        <v>306</v>
      </c>
      <c r="B27">
        <v>122</v>
      </c>
      <c r="C27">
        <v>802</v>
      </c>
      <c r="D27">
        <v>3039</v>
      </c>
      <c r="E27">
        <v>2392</v>
      </c>
      <c r="F27">
        <v>130</v>
      </c>
      <c r="G27">
        <v>1</v>
      </c>
      <c r="H27">
        <v>32</v>
      </c>
      <c r="I27">
        <v>270</v>
      </c>
      <c r="J27">
        <v>863</v>
      </c>
      <c r="K27">
        <v>555</v>
      </c>
      <c r="L27">
        <v>51</v>
      </c>
      <c r="M27">
        <v>0</v>
      </c>
      <c r="N27">
        <v>3</v>
      </c>
      <c r="O27">
        <v>2</v>
      </c>
      <c r="P27">
        <v>27</v>
      </c>
      <c r="Q27">
        <v>21</v>
      </c>
      <c r="R27">
        <v>6</v>
      </c>
      <c r="S27">
        <v>0</v>
      </c>
    </row>
    <row r="28" spans="1:19" x14ac:dyDescent="0.25">
      <c r="A28" t="s">
        <v>307</v>
      </c>
      <c r="B28">
        <v>109</v>
      </c>
      <c r="C28">
        <v>586</v>
      </c>
      <c r="D28">
        <v>2039</v>
      </c>
      <c r="E28">
        <v>1107</v>
      </c>
      <c r="F28">
        <v>64</v>
      </c>
      <c r="G28">
        <v>0</v>
      </c>
      <c r="H28">
        <v>42</v>
      </c>
      <c r="I28">
        <v>181</v>
      </c>
      <c r="J28">
        <v>417</v>
      </c>
      <c r="K28">
        <v>231</v>
      </c>
      <c r="L28">
        <v>43</v>
      </c>
      <c r="M28">
        <v>0</v>
      </c>
      <c r="N28">
        <v>2</v>
      </c>
      <c r="O28">
        <v>37</v>
      </c>
      <c r="P28">
        <v>56</v>
      </c>
      <c r="Q28">
        <v>48</v>
      </c>
      <c r="R28">
        <v>0</v>
      </c>
      <c r="S28">
        <v>0</v>
      </c>
    </row>
    <row r="29" spans="1:19" x14ac:dyDescent="0.25">
      <c r="A29" t="s">
        <v>266</v>
      </c>
      <c r="B29">
        <v>2796</v>
      </c>
      <c r="C29">
        <v>15594</v>
      </c>
      <c r="D29">
        <v>43435</v>
      </c>
      <c r="E29">
        <v>30568</v>
      </c>
      <c r="F29">
        <v>2286</v>
      </c>
      <c r="G29">
        <v>38</v>
      </c>
      <c r="H29">
        <v>783</v>
      </c>
      <c r="I29">
        <v>4046</v>
      </c>
      <c r="J29">
        <v>8380</v>
      </c>
      <c r="K29">
        <v>6485</v>
      </c>
      <c r="L29">
        <v>1117</v>
      </c>
      <c r="M29">
        <v>20</v>
      </c>
      <c r="N29">
        <v>57</v>
      </c>
      <c r="O29">
        <v>174</v>
      </c>
      <c r="P29">
        <v>454</v>
      </c>
      <c r="Q29">
        <v>504</v>
      </c>
      <c r="R29">
        <v>56</v>
      </c>
      <c r="S29">
        <v>3</v>
      </c>
    </row>
    <row r="30" spans="1:19" x14ac:dyDescent="0.25">
      <c r="A30" t="s">
        <v>308</v>
      </c>
      <c r="B30">
        <v>631</v>
      </c>
      <c r="C30">
        <v>3098</v>
      </c>
      <c r="D30">
        <v>9077</v>
      </c>
      <c r="E30">
        <v>8698</v>
      </c>
      <c r="F30">
        <v>1108</v>
      </c>
      <c r="G30">
        <v>15</v>
      </c>
      <c r="H30">
        <v>145</v>
      </c>
      <c r="I30">
        <v>598</v>
      </c>
      <c r="J30">
        <v>1362</v>
      </c>
      <c r="K30">
        <v>1301</v>
      </c>
      <c r="L30">
        <v>362</v>
      </c>
      <c r="M30">
        <v>9</v>
      </c>
      <c r="N30">
        <v>16</v>
      </c>
      <c r="O30">
        <v>19</v>
      </c>
      <c r="P30">
        <v>44</v>
      </c>
      <c r="Q30">
        <v>27</v>
      </c>
      <c r="R30">
        <v>5</v>
      </c>
      <c r="S30">
        <v>0</v>
      </c>
    </row>
    <row r="31" spans="1:19" x14ac:dyDescent="0.25">
      <c r="A31" t="s">
        <v>309</v>
      </c>
      <c r="B31">
        <v>2165</v>
      </c>
      <c r="C31">
        <v>12496</v>
      </c>
      <c r="D31">
        <v>34358</v>
      </c>
      <c r="E31">
        <v>21870</v>
      </c>
      <c r="F31">
        <v>1178</v>
      </c>
      <c r="G31">
        <v>23</v>
      </c>
      <c r="H31">
        <v>638</v>
      </c>
      <c r="I31">
        <v>3448</v>
      </c>
      <c r="J31">
        <v>7018</v>
      </c>
      <c r="K31">
        <v>5184</v>
      </c>
      <c r="L31">
        <v>755</v>
      </c>
      <c r="M31">
        <v>11</v>
      </c>
      <c r="N31">
        <v>41</v>
      </c>
      <c r="O31">
        <v>155</v>
      </c>
      <c r="P31">
        <v>410</v>
      </c>
      <c r="Q31">
        <v>477</v>
      </c>
      <c r="R31">
        <v>51</v>
      </c>
      <c r="S31">
        <v>3</v>
      </c>
    </row>
  </sheetData>
  <mergeCells count="5">
    <mergeCell ref="A1:T1"/>
    <mergeCell ref="B2:G2"/>
    <mergeCell ref="N2:S2"/>
    <mergeCell ref="A2:A3"/>
    <mergeCell ref="H2:M2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tabColor rgb="FFFFC000"/>
  </sheetPr>
  <dimension ref="A1:U31"/>
  <sheetViews>
    <sheetView workbookViewId="0"/>
  </sheetViews>
  <sheetFormatPr defaultRowHeight="15" x14ac:dyDescent="0.25"/>
  <cols>
    <col min="1" max="1" width="14.5703125" customWidth="1"/>
    <col min="2" max="2" width="6.5703125" customWidth="1"/>
    <col min="3" max="3" width="6.7109375" customWidth="1"/>
    <col min="5" max="5" width="7.28515625" customWidth="1"/>
    <col min="7" max="7" width="5.42578125" customWidth="1"/>
    <col min="8" max="8" width="6.5703125" customWidth="1"/>
    <col min="9" max="9" width="6.7109375" customWidth="1"/>
    <col min="11" max="11" width="7.28515625" customWidth="1"/>
    <col min="13" max="13" width="5.42578125" customWidth="1"/>
    <col min="14" max="14" width="6.5703125" customWidth="1"/>
    <col min="15" max="15" width="5.5703125" customWidth="1"/>
    <col min="16" max="16" width="7.7109375" customWidth="1"/>
    <col min="17" max="17" width="7.28515625" customWidth="1"/>
    <col min="18" max="18" width="6.7109375" customWidth="1"/>
    <col min="19" max="19" width="5.42578125" customWidth="1"/>
    <col min="20" max="20" width="8.42578125" customWidth="1"/>
  </cols>
  <sheetData>
    <row r="1" spans="1:21" x14ac:dyDescent="0.25">
      <c r="A1" s="29" t="s">
        <v>486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x14ac:dyDescent="0.25">
      <c r="A2" s="29" t="s">
        <v>709</v>
      </c>
      <c r="B2" s="29" t="s">
        <v>487</v>
      </c>
      <c r="C2" s="29"/>
      <c r="D2" s="29"/>
      <c r="E2" s="29"/>
      <c r="F2" s="29"/>
      <c r="G2" s="29"/>
      <c r="H2" s="29" t="s">
        <v>488</v>
      </c>
      <c r="I2" s="29"/>
      <c r="J2" s="29"/>
      <c r="K2" s="29"/>
      <c r="L2" s="29"/>
      <c r="M2" s="29"/>
      <c r="N2" s="29" t="s">
        <v>489</v>
      </c>
      <c r="O2" s="29"/>
      <c r="P2" s="29"/>
      <c r="Q2" s="29"/>
      <c r="R2" s="29"/>
      <c r="S2" s="29"/>
      <c r="T2" t="s">
        <v>490</v>
      </c>
    </row>
    <row r="3" spans="1:21" x14ac:dyDescent="0.25">
      <c r="A3" s="29"/>
      <c r="B3" t="s">
        <v>346</v>
      </c>
      <c r="C3" t="s">
        <v>480</v>
      </c>
      <c r="D3" t="s">
        <v>481</v>
      </c>
      <c r="E3" t="s">
        <v>482</v>
      </c>
      <c r="F3" t="s">
        <v>485</v>
      </c>
      <c r="G3" t="s">
        <v>484</v>
      </c>
      <c r="H3" t="s">
        <v>346</v>
      </c>
      <c r="I3" t="s">
        <v>480</v>
      </c>
      <c r="J3" t="s">
        <v>481</v>
      </c>
      <c r="K3" t="s">
        <v>482</v>
      </c>
      <c r="L3" t="s">
        <v>485</v>
      </c>
      <c r="M3" t="s">
        <v>484</v>
      </c>
      <c r="N3" t="s">
        <v>346</v>
      </c>
      <c r="O3" t="s">
        <v>480</v>
      </c>
      <c r="P3" t="s">
        <v>481</v>
      </c>
      <c r="Q3" t="s">
        <v>482</v>
      </c>
      <c r="R3" t="s">
        <v>817</v>
      </c>
      <c r="S3" t="s">
        <v>484</v>
      </c>
      <c r="T3" t="s">
        <v>491</v>
      </c>
    </row>
    <row r="4" spans="1:21" x14ac:dyDescent="0.25">
      <c r="A4" t="s">
        <v>283</v>
      </c>
      <c r="B4">
        <v>0</v>
      </c>
      <c r="C4">
        <v>22</v>
      </c>
      <c r="D4">
        <v>54</v>
      </c>
      <c r="E4">
        <v>15</v>
      </c>
      <c r="F4">
        <v>0</v>
      </c>
      <c r="G4">
        <v>0</v>
      </c>
      <c r="H4">
        <v>63</v>
      </c>
      <c r="I4">
        <v>639</v>
      </c>
      <c r="J4">
        <v>1531</v>
      </c>
      <c r="K4">
        <v>558</v>
      </c>
      <c r="L4">
        <v>24</v>
      </c>
      <c r="M4">
        <v>0</v>
      </c>
      <c r="N4">
        <v>43</v>
      </c>
      <c r="O4">
        <v>136</v>
      </c>
      <c r="P4">
        <v>632</v>
      </c>
      <c r="Q4">
        <v>980</v>
      </c>
      <c r="R4">
        <v>69</v>
      </c>
      <c r="S4">
        <v>0</v>
      </c>
      <c r="T4">
        <v>87</v>
      </c>
    </row>
    <row r="5" spans="1:21" x14ac:dyDescent="0.25">
      <c r="A5" t="s">
        <v>284</v>
      </c>
      <c r="B5">
        <v>17</v>
      </c>
      <c r="C5">
        <v>108</v>
      </c>
      <c r="D5">
        <v>276</v>
      </c>
      <c r="E5">
        <v>190</v>
      </c>
      <c r="F5">
        <v>13</v>
      </c>
      <c r="G5">
        <v>2</v>
      </c>
      <c r="H5">
        <v>109</v>
      </c>
      <c r="I5">
        <v>591</v>
      </c>
      <c r="J5">
        <v>1635</v>
      </c>
      <c r="K5">
        <v>1290</v>
      </c>
      <c r="L5">
        <v>94</v>
      </c>
      <c r="M5">
        <v>4</v>
      </c>
      <c r="N5">
        <v>123</v>
      </c>
      <c r="O5">
        <v>214</v>
      </c>
      <c r="P5">
        <v>793</v>
      </c>
      <c r="Q5">
        <v>1462</v>
      </c>
      <c r="R5">
        <v>164</v>
      </c>
      <c r="S5">
        <v>14</v>
      </c>
      <c r="T5">
        <v>97</v>
      </c>
    </row>
    <row r="6" spans="1:21" x14ac:dyDescent="0.25">
      <c r="A6" t="s">
        <v>285</v>
      </c>
      <c r="B6">
        <v>20</v>
      </c>
      <c r="C6">
        <v>90</v>
      </c>
      <c r="D6">
        <v>163</v>
      </c>
      <c r="E6">
        <v>60</v>
      </c>
      <c r="F6">
        <v>2</v>
      </c>
      <c r="G6">
        <v>0</v>
      </c>
      <c r="H6">
        <v>92</v>
      </c>
      <c r="I6">
        <v>768</v>
      </c>
      <c r="J6">
        <v>1189</v>
      </c>
      <c r="K6">
        <v>480</v>
      </c>
      <c r="L6">
        <v>12</v>
      </c>
      <c r="M6">
        <v>4</v>
      </c>
      <c r="N6">
        <v>63</v>
      </c>
      <c r="O6">
        <v>527</v>
      </c>
      <c r="P6">
        <v>1089</v>
      </c>
      <c r="Q6">
        <v>1188</v>
      </c>
      <c r="R6">
        <v>93</v>
      </c>
      <c r="S6">
        <v>0</v>
      </c>
      <c r="T6">
        <v>67</v>
      </c>
    </row>
    <row r="7" spans="1:21" x14ac:dyDescent="0.25">
      <c r="A7" t="s">
        <v>286</v>
      </c>
      <c r="B7">
        <v>4</v>
      </c>
      <c r="C7">
        <v>59</v>
      </c>
      <c r="D7">
        <v>89</v>
      </c>
      <c r="E7">
        <v>22</v>
      </c>
      <c r="F7">
        <v>1</v>
      </c>
      <c r="G7">
        <v>0</v>
      </c>
      <c r="H7">
        <v>49</v>
      </c>
      <c r="I7">
        <v>255</v>
      </c>
      <c r="J7">
        <v>999</v>
      </c>
      <c r="K7">
        <v>461</v>
      </c>
      <c r="L7">
        <v>12</v>
      </c>
      <c r="M7">
        <v>0</v>
      </c>
      <c r="N7">
        <v>1</v>
      </c>
      <c r="O7">
        <v>153</v>
      </c>
      <c r="P7">
        <v>493</v>
      </c>
      <c r="Q7">
        <v>936</v>
      </c>
      <c r="R7">
        <v>51</v>
      </c>
      <c r="S7">
        <v>1</v>
      </c>
      <c r="T7">
        <v>60</v>
      </c>
    </row>
    <row r="8" spans="1:21" x14ac:dyDescent="0.25">
      <c r="A8" t="s">
        <v>287</v>
      </c>
      <c r="B8">
        <v>9</v>
      </c>
      <c r="C8">
        <v>73</v>
      </c>
      <c r="D8">
        <v>122</v>
      </c>
      <c r="E8">
        <v>30</v>
      </c>
      <c r="F8">
        <v>1</v>
      </c>
      <c r="G8">
        <v>0</v>
      </c>
      <c r="H8">
        <v>52</v>
      </c>
      <c r="I8">
        <v>515</v>
      </c>
      <c r="J8">
        <v>1121</v>
      </c>
      <c r="K8">
        <v>416</v>
      </c>
      <c r="L8">
        <v>20</v>
      </c>
      <c r="M8">
        <v>0</v>
      </c>
      <c r="N8">
        <v>39</v>
      </c>
      <c r="O8">
        <v>258</v>
      </c>
      <c r="P8">
        <v>529</v>
      </c>
      <c r="Q8">
        <v>1048</v>
      </c>
      <c r="R8">
        <v>74</v>
      </c>
      <c r="S8">
        <v>1</v>
      </c>
      <c r="T8">
        <v>87</v>
      </c>
    </row>
    <row r="9" spans="1:21" x14ac:dyDescent="0.25">
      <c r="A9" t="s">
        <v>288</v>
      </c>
      <c r="B9">
        <v>13</v>
      </c>
      <c r="C9">
        <v>49</v>
      </c>
      <c r="D9">
        <v>178</v>
      </c>
      <c r="E9">
        <v>34</v>
      </c>
      <c r="F9">
        <v>0</v>
      </c>
      <c r="G9">
        <v>0</v>
      </c>
      <c r="H9">
        <v>94</v>
      </c>
      <c r="I9">
        <v>434</v>
      </c>
      <c r="J9">
        <v>1261</v>
      </c>
      <c r="K9">
        <v>614</v>
      </c>
      <c r="L9">
        <v>22</v>
      </c>
      <c r="M9">
        <v>0</v>
      </c>
      <c r="N9">
        <v>22</v>
      </c>
      <c r="O9">
        <v>187</v>
      </c>
      <c r="P9">
        <v>557</v>
      </c>
      <c r="Q9">
        <v>898</v>
      </c>
      <c r="R9">
        <v>100</v>
      </c>
      <c r="S9">
        <v>0</v>
      </c>
      <c r="T9">
        <v>44</v>
      </c>
    </row>
    <row r="10" spans="1:21" x14ac:dyDescent="0.25">
      <c r="A10" t="s">
        <v>289</v>
      </c>
      <c r="B10">
        <v>12</v>
      </c>
      <c r="C10">
        <v>57</v>
      </c>
      <c r="D10">
        <v>175</v>
      </c>
      <c r="E10">
        <v>22</v>
      </c>
      <c r="F10">
        <v>0</v>
      </c>
      <c r="G10">
        <v>0</v>
      </c>
      <c r="H10">
        <v>39</v>
      </c>
      <c r="I10">
        <v>400</v>
      </c>
      <c r="J10">
        <v>1275</v>
      </c>
      <c r="K10">
        <v>510</v>
      </c>
      <c r="L10">
        <v>8</v>
      </c>
      <c r="M10">
        <v>0</v>
      </c>
      <c r="N10">
        <v>32</v>
      </c>
      <c r="O10">
        <v>342</v>
      </c>
      <c r="P10">
        <v>853</v>
      </c>
      <c r="Q10">
        <v>950</v>
      </c>
      <c r="R10">
        <v>65</v>
      </c>
      <c r="S10">
        <v>0</v>
      </c>
      <c r="T10">
        <v>41</v>
      </c>
    </row>
    <row r="11" spans="1:21" x14ac:dyDescent="0.25">
      <c r="A11" t="s">
        <v>290</v>
      </c>
      <c r="B11">
        <v>26</v>
      </c>
      <c r="C11">
        <v>186</v>
      </c>
      <c r="D11">
        <v>231</v>
      </c>
      <c r="E11">
        <v>63</v>
      </c>
      <c r="F11">
        <v>1</v>
      </c>
      <c r="G11">
        <v>0</v>
      </c>
      <c r="H11">
        <v>69</v>
      </c>
      <c r="I11">
        <v>702</v>
      </c>
      <c r="J11">
        <v>1246</v>
      </c>
      <c r="K11">
        <v>387</v>
      </c>
      <c r="L11">
        <v>21</v>
      </c>
      <c r="M11">
        <v>0</v>
      </c>
      <c r="N11">
        <v>179</v>
      </c>
      <c r="O11">
        <v>455</v>
      </c>
      <c r="P11">
        <v>1393</v>
      </c>
      <c r="Q11">
        <v>2161</v>
      </c>
      <c r="R11">
        <v>179</v>
      </c>
      <c r="S11">
        <v>0</v>
      </c>
      <c r="T11">
        <v>38</v>
      </c>
    </row>
    <row r="12" spans="1:21" x14ac:dyDescent="0.25">
      <c r="A12" t="s">
        <v>291</v>
      </c>
      <c r="B12">
        <v>0</v>
      </c>
      <c r="C12">
        <v>7</v>
      </c>
      <c r="D12">
        <v>28</v>
      </c>
      <c r="E12">
        <v>3</v>
      </c>
      <c r="F12">
        <v>0</v>
      </c>
      <c r="G12">
        <v>0</v>
      </c>
      <c r="H12">
        <v>0</v>
      </c>
      <c r="I12">
        <v>10</v>
      </c>
      <c r="J12">
        <v>130</v>
      </c>
      <c r="K12">
        <v>58</v>
      </c>
      <c r="L12">
        <v>1</v>
      </c>
      <c r="M12">
        <v>0</v>
      </c>
      <c r="N12">
        <v>0</v>
      </c>
      <c r="O12">
        <v>6</v>
      </c>
      <c r="P12">
        <v>108</v>
      </c>
      <c r="Q12">
        <v>116</v>
      </c>
      <c r="R12">
        <v>9</v>
      </c>
      <c r="S12">
        <v>0</v>
      </c>
      <c r="T12">
        <v>1</v>
      </c>
    </row>
    <row r="13" spans="1:21" x14ac:dyDescent="0.25">
      <c r="A13" t="s">
        <v>292</v>
      </c>
      <c r="B13">
        <v>4</v>
      </c>
      <c r="C13">
        <v>11</v>
      </c>
      <c r="D13">
        <v>49</v>
      </c>
      <c r="E13">
        <v>3</v>
      </c>
      <c r="F13">
        <v>0</v>
      </c>
      <c r="G13">
        <v>0</v>
      </c>
      <c r="H13">
        <v>9</v>
      </c>
      <c r="I13">
        <v>101</v>
      </c>
      <c r="J13">
        <v>519</v>
      </c>
      <c r="K13">
        <v>38</v>
      </c>
      <c r="L13">
        <v>0</v>
      </c>
      <c r="M13">
        <v>0</v>
      </c>
      <c r="N13">
        <v>0</v>
      </c>
      <c r="O13">
        <v>74</v>
      </c>
      <c r="P13">
        <v>215</v>
      </c>
      <c r="Q13">
        <v>174</v>
      </c>
      <c r="R13">
        <v>2</v>
      </c>
      <c r="S13">
        <v>0</v>
      </c>
      <c r="T13">
        <v>30</v>
      </c>
    </row>
    <row r="14" spans="1:21" x14ac:dyDescent="0.25">
      <c r="A14" t="s">
        <v>293</v>
      </c>
      <c r="B14">
        <v>6</v>
      </c>
      <c r="C14">
        <v>52</v>
      </c>
      <c r="D14">
        <v>92</v>
      </c>
      <c r="E14">
        <v>3</v>
      </c>
      <c r="F14">
        <v>0</v>
      </c>
      <c r="G14">
        <v>0</v>
      </c>
      <c r="H14">
        <v>29</v>
      </c>
      <c r="I14">
        <v>404</v>
      </c>
      <c r="J14">
        <v>1042</v>
      </c>
      <c r="K14">
        <v>67</v>
      </c>
      <c r="L14">
        <v>3</v>
      </c>
      <c r="M14">
        <v>0</v>
      </c>
      <c r="N14">
        <v>1</v>
      </c>
      <c r="O14">
        <v>169</v>
      </c>
      <c r="P14">
        <v>501</v>
      </c>
      <c r="Q14">
        <v>306</v>
      </c>
      <c r="R14">
        <v>21</v>
      </c>
      <c r="S14">
        <v>0</v>
      </c>
      <c r="T14">
        <v>65</v>
      </c>
    </row>
    <row r="15" spans="1:21" x14ac:dyDescent="0.25">
      <c r="A15" t="s">
        <v>294</v>
      </c>
      <c r="B15">
        <v>3</v>
      </c>
      <c r="C15">
        <v>4</v>
      </c>
      <c r="D15">
        <v>35</v>
      </c>
      <c r="E15">
        <v>0</v>
      </c>
      <c r="F15">
        <v>0</v>
      </c>
      <c r="G15">
        <v>0</v>
      </c>
      <c r="H15">
        <v>56</v>
      </c>
      <c r="I15">
        <v>187</v>
      </c>
      <c r="J15">
        <v>381</v>
      </c>
      <c r="K15">
        <v>6</v>
      </c>
      <c r="L15">
        <v>1</v>
      </c>
      <c r="M15">
        <v>0</v>
      </c>
      <c r="N15">
        <v>0</v>
      </c>
      <c r="O15">
        <v>19</v>
      </c>
      <c r="P15">
        <v>161</v>
      </c>
      <c r="Q15">
        <v>81</v>
      </c>
      <c r="R15">
        <v>3</v>
      </c>
      <c r="S15">
        <v>0</v>
      </c>
      <c r="T15">
        <v>0</v>
      </c>
    </row>
    <row r="16" spans="1:21" x14ac:dyDescent="0.25">
      <c r="A16" t="s">
        <v>295</v>
      </c>
      <c r="B16">
        <v>13</v>
      </c>
      <c r="C16">
        <v>13</v>
      </c>
      <c r="D16">
        <v>81</v>
      </c>
      <c r="E16">
        <v>1</v>
      </c>
      <c r="F16">
        <v>0</v>
      </c>
      <c r="G16">
        <v>0</v>
      </c>
      <c r="H16">
        <v>90</v>
      </c>
      <c r="I16">
        <v>247</v>
      </c>
      <c r="J16">
        <v>592</v>
      </c>
      <c r="K16">
        <v>55</v>
      </c>
      <c r="L16">
        <v>3</v>
      </c>
      <c r="M16">
        <v>0</v>
      </c>
      <c r="N16">
        <v>8</v>
      </c>
      <c r="O16">
        <v>80</v>
      </c>
      <c r="P16">
        <v>230</v>
      </c>
      <c r="Q16">
        <v>220</v>
      </c>
      <c r="R16">
        <v>8</v>
      </c>
      <c r="S16">
        <v>0</v>
      </c>
      <c r="T16">
        <v>26</v>
      </c>
    </row>
    <row r="17" spans="1:20" x14ac:dyDescent="0.25">
      <c r="A17" t="s">
        <v>296</v>
      </c>
      <c r="B17">
        <v>1</v>
      </c>
      <c r="C17">
        <v>4</v>
      </c>
      <c r="D17">
        <v>28</v>
      </c>
      <c r="E17">
        <v>3</v>
      </c>
      <c r="F17">
        <v>0</v>
      </c>
      <c r="G17">
        <v>0</v>
      </c>
      <c r="H17">
        <v>11</v>
      </c>
      <c r="I17">
        <v>70</v>
      </c>
      <c r="J17">
        <v>153</v>
      </c>
      <c r="K17">
        <v>60</v>
      </c>
      <c r="L17">
        <v>5</v>
      </c>
      <c r="M17">
        <v>0</v>
      </c>
      <c r="N17">
        <v>0</v>
      </c>
      <c r="O17">
        <v>1</v>
      </c>
      <c r="P17">
        <v>185</v>
      </c>
      <c r="Q17">
        <v>147</v>
      </c>
      <c r="R17">
        <v>1</v>
      </c>
      <c r="S17">
        <v>0</v>
      </c>
      <c r="T17">
        <v>0</v>
      </c>
    </row>
    <row r="18" spans="1:20" x14ac:dyDescent="0.25">
      <c r="A18" t="s">
        <v>297</v>
      </c>
      <c r="B18">
        <v>22</v>
      </c>
      <c r="C18">
        <v>114</v>
      </c>
      <c r="D18">
        <v>114</v>
      </c>
      <c r="E18">
        <v>35</v>
      </c>
      <c r="F18">
        <v>6</v>
      </c>
      <c r="G18">
        <v>1</v>
      </c>
      <c r="H18">
        <v>153</v>
      </c>
      <c r="I18">
        <v>649</v>
      </c>
      <c r="J18">
        <v>1669</v>
      </c>
      <c r="K18">
        <v>666</v>
      </c>
      <c r="L18">
        <v>70</v>
      </c>
      <c r="M18">
        <v>0</v>
      </c>
      <c r="N18">
        <v>170</v>
      </c>
      <c r="O18">
        <v>491</v>
      </c>
      <c r="P18">
        <v>1547</v>
      </c>
      <c r="Q18">
        <v>3041</v>
      </c>
      <c r="R18">
        <v>487</v>
      </c>
      <c r="S18">
        <v>7</v>
      </c>
      <c r="T18">
        <v>49</v>
      </c>
    </row>
    <row r="19" spans="1:20" x14ac:dyDescent="0.25">
      <c r="A19" t="s">
        <v>298</v>
      </c>
      <c r="B19">
        <v>5</v>
      </c>
      <c r="C19">
        <v>28</v>
      </c>
      <c r="D19">
        <v>49</v>
      </c>
      <c r="E19">
        <v>7</v>
      </c>
      <c r="F19">
        <v>0</v>
      </c>
      <c r="G19">
        <v>0</v>
      </c>
      <c r="H19">
        <v>25</v>
      </c>
      <c r="I19">
        <v>143</v>
      </c>
      <c r="J19">
        <v>511</v>
      </c>
      <c r="K19">
        <v>142</v>
      </c>
      <c r="L19">
        <v>7</v>
      </c>
      <c r="M19">
        <v>0</v>
      </c>
      <c r="N19">
        <v>14</v>
      </c>
      <c r="O19">
        <v>8</v>
      </c>
      <c r="P19">
        <v>388</v>
      </c>
      <c r="Q19">
        <v>300</v>
      </c>
      <c r="R19">
        <v>31</v>
      </c>
      <c r="S19">
        <v>0</v>
      </c>
      <c r="T19">
        <v>4</v>
      </c>
    </row>
    <row r="20" spans="1:20" x14ac:dyDescent="0.25">
      <c r="A20" t="s">
        <v>299</v>
      </c>
      <c r="B20">
        <v>12</v>
      </c>
      <c r="C20">
        <v>29</v>
      </c>
      <c r="D20">
        <v>55</v>
      </c>
      <c r="E20">
        <v>4</v>
      </c>
      <c r="F20">
        <v>0</v>
      </c>
      <c r="G20">
        <v>0</v>
      </c>
      <c r="H20">
        <v>79</v>
      </c>
      <c r="I20">
        <v>230</v>
      </c>
      <c r="J20">
        <v>881</v>
      </c>
      <c r="K20">
        <v>77</v>
      </c>
      <c r="L20">
        <v>2</v>
      </c>
      <c r="M20">
        <v>0</v>
      </c>
      <c r="N20">
        <v>5</v>
      </c>
      <c r="O20">
        <v>53</v>
      </c>
      <c r="P20">
        <v>417</v>
      </c>
      <c r="Q20">
        <v>303</v>
      </c>
      <c r="R20">
        <v>31</v>
      </c>
      <c r="S20">
        <v>0</v>
      </c>
      <c r="T20">
        <v>6</v>
      </c>
    </row>
    <row r="21" spans="1:20" x14ac:dyDescent="0.25">
      <c r="A21" t="s">
        <v>300</v>
      </c>
      <c r="B21">
        <v>35</v>
      </c>
      <c r="C21">
        <v>133</v>
      </c>
      <c r="D21">
        <v>188</v>
      </c>
      <c r="E21">
        <v>113</v>
      </c>
      <c r="F21">
        <v>2</v>
      </c>
      <c r="G21">
        <v>0</v>
      </c>
      <c r="H21">
        <v>144</v>
      </c>
      <c r="I21">
        <v>794</v>
      </c>
      <c r="J21">
        <v>1020</v>
      </c>
      <c r="K21">
        <v>797</v>
      </c>
      <c r="L21">
        <v>12</v>
      </c>
      <c r="M21">
        <v>0</v>
      </c>
      <c r="N21">
        <v>73</v>
      </c>
      <c r="O21">
        <v>411</v>
      </c>
      <c r="P21">
        <v>820</v>
      </c>
      <c r="Q21">
        <v>1228</v>
      </c>
      <c r="R21">
        <v>82</v>
      </c>
      <c r="S21">
        <v>1</v>
      </c>
      <c r="T21">
        <v>55</v>
      </c>
    </row>
    <row r="22" spans="1:20" x14ac:dyDescent="0.25">
      <c r="A22" t="s">
        <v>301</v>
      </c>
      <c r="B22">
        <v>10</v>
      </c>
      <c r="C22">
        <v>54</v>
      </c>
      <c r="D22">
        <v>124</v>
      </c>
      <c r="E22">
        <v>10</v>
      </c>
      <c r="F22">
        <v>1</v>
      </c>
      <c r="G22">
        <v>0</v>
      </c>
      <c r="H22">
        <v>48</v>
      </c>
      <c r="I22">
        <v>341</v>
      </c>
      <c r="J22">
        <v>896</v>
      </c>
      <c r="K22">
        <v>192</v>
      </c>
      <c r="L22">
        <v>5</v>
      </c>
      <c r="M22">
        <v>1</v>
      </c>
      <c r="N22">
        <v>4</v>
      </c>
      <c r="O22">
        <v>237</v>
      </c>
      <c r="P22">
        <v>588</v>
      </c>
      <c r="Q22">
        <v>580</v>
      </c>
      <c r="R22">
        <v>49</v>
      </c>
      <c r="S22">
        <v>0</v>
      </c>
      <c r="T22">
        <v>9</v>
      </c>
    </row>
    <row r="23" spans="1:20" x14ac:dyDescent="0.25">
      <c r="A23" t="s">
        <v>302</v>
      </c>
      <c r="B23">
        <v>6</v>
      </c>
      <c r="C23">
        <v>29</v>
      </c>
      <c r="D23">
        <v>46</v>
      </c>
      <c r="E23">
        <v>3</v>
      </c>
      <c r="F23">
        <v>0</v>
      </c>
      <c r="G23">
        <v>0</v>
      </c>
      <c r="H23">
        <v>62</v>
      </c>
      <c r="I23">
        <v>259</v>
      </c>
      <c r="J23">
        <v>500</v>
      </c>
      <c r="K23">
        <v>36</v>
      </c>
      <c r="L23">
        <v>1</v>
      </c>
      <c r="M23">
        <v>0</v>
      </c>
      <c r="N23">
        <v>1</v>
      </c>
      <c r="O23">
        <v>32</v>
      </c>
      <c r="P23">
        <v>228</v>
      </c>
      <c r="Q23">
        <v>220</v>
      </c>
      <c r="R23">
        <v>7</v>
      </c>
      <c r="S23">
        <v>0</v>
      </c>
      <c r="T23">
        <v>25</v>
      </c>
    </row>
    <row r="24" spans="1:20" x14ac:dyDescent="0.25">
      <c r="A24" t="s">
        <v>303</v>
      </c>
      <c r="B24">
        <v>12</v>
      </c>
      <c r="C24">
        <v>81</v>
      </c>
      <c r="D24">
        <v>354</v>
      </c>
      <c r="E24">
        <v>38</v>
      </c>
      <c r="F24">
        <v>0</v>
      </c>
      <c r="G24">
        <v>0</v>
      </c>
      <c r="H24">
        <v>134</v>
      </c>
      <c r="I24">
        <v>438</v>
      </c>
      <c r="J24">
        <v>2007</v>
      </c>
      <c r="K24">
        <v>392</v>
      </c>
      <c r="L24">
        <v>28</v>
      </c>
      <c r="M24">
        <v>0</v>
      </c>
      <c r="N24">
        <v>34</v>
      </c>
      <c r="O24">
        <v>218</v>
      </c>
      <c r="P24">
        <v>775</v>
      </c>
      <c r="Q24">
        <v>1306</v>
      </c>
      <c r="R24">
        <v>125</v>
      </c>
      <c r="S24">
        <v>1</v>
      </c>
      <c r="T24">
        <v>97</v>
      </c>
    </row>
    <row r="25" spans="1:20" x14ac:dyDescent="0.25">
      <c r="A25" t="s">
        <v>304</v>
      </c>
      <c r="B25">
        <v>10</v>
      </c>
      <c r="C25">
        <v>9</v>
      </c>
      <c r="D25">
        <v>38</v>
      </c>
      <c r="E25">
        <v>1</v>
      </c>
      <c r="F25">
        <v>0</v>
      </c>
      <c r="G25">
        <v>0</v>
      </c>
      <c r="H25">
        <v>50</v>
      </c>
      <c r="I25">
        <v>199</v>
      </c>
      <c r="J25">
        <v>551</v>
      </c>
      <c r="K25">
        <v>34</v>
      </c>
      <c r="L25">
        <v>1</v>
      </c>
      <c r="M25">
        <v>0</v>
      </c>
      <c r="N25">
        <v>2</v>
      </c>
      <c r="O25">
        <v>68</v>
      </c>
      <c r="P25">
        <v>312</v>
      </c>
      <c r="Q25">
        <v>138</v>
      </c>
      <c r="R25">
        <v>3</v>
      </c>
      <c r="S25">
        <v>0</v>
      </c>
      <c r="T25">
        <v>49</v>
      </c>
    </row>
    <row r="26" spans="1:20" x14ac:dyDescent="0.25">
      <c r="A26" t="s">
        <v>305</v>
      </c>
      <c r="B26">
        <v>16</v>
      </c>
      <c r="C26">
        <v>68</v>
      </c>
      <c r="D26">
        <v>119</v>
      </c>
      <c r="E26">
        <v>38</v>
      </c>
      <c r="F26">
        <v>0</v>
      </c>
      <c r="G26">
        <v>0</v>
      </c>
      <c r="H26">
        <v>12</v>
      </c>
      <c r="I26">
        <v>227</v>
      </c>
      <c r="J26">
        <v>1065</v>
      </c>
      <c r="K26">
        <v>314</v>
      </c>
      <c r="L26">
        <v>1</v>
      </c>
      <c r="M26">
        <v>0</v>
      </c>
      <c r="N26">
        <v>26</v>
      </c>
      <c r="O26">
        <v>184</v>
      </c>
      <c r="P26">
        <v>681</v>
      </c>
      <c r="Q26">
        <v>938</v>
      </c>
      <c r="R26">
        <v>58</v>
      </c>
      <c r="S26">
        <v>0</v>
      </c>
      <c r="T26">
        <v>59</v>
      </c>
    </row>
    <row r="27" spans="1:20" x14ac:dyDescent="0.25">
      <c r="A27" t="s">
        <v>306</v>
      </c>
      <c r="B27">
        <v>20</v>
      </c>
      <c r="C27">
        <v>106</v>
      </c>
      <c r="D27">
        <v>239</v>
      </c>
      <c r="E27">
        <v>60</v>
      </c>
      <c r="F27">
        <v>0</v>
      </c>
      <c r="G27">
        <v>0</v>
      </c>
      <c r="H27">
        <v>62</v>
      </c>
      <c r="I27">
        <v>454</v>
      </c>
      <c r="J27">
        <v>1556</v>
      </c>
      <c r="K27">
        <v>696</v>
      </c>
      <c r="L27">
        <v>9</v>
      </c>
      <c r="M27">
        <v>0</v>
      </c>
      <c r="N27">
        <v>40</v>
      </c>
      <c r="O27">
        <v>242</v>
      </c>
      <c r="P27">
        <v>1244</v>
      </c>
      <c r="Q27">
        <v>1636</v>
      </c>
      <c r="R27">
        <v>121</v>
      </c>
      <c r="S27">
        <v>1</v>
      </c>
      <c r="T27">
        <v>53</v>
      </c>
    </row>
    <row r="28" spans="1:20" x14ac:dyDescent="0.25">
      <c r="A28" t="s">
        <v>307</v>
      </c>
      <c r="B28">
        <v>8</v>
      </c>
      <c r="C28">
        <v>56</v>
      </c>
      <c r="D28">
        <v>147</v>
      </c>
      <c r="E28">
        <v>37</v>
      </c>
      <c r="F28">
        <v>1</v>
      </c>
      <c r="G28">
        <v>0</v>
      </c>
      <c r="H28">
        <v>82</v>
      </c>
      <c r="I28">
        <v>360</v>
      </c>
      <c r="J28">
        <v>1198</v>
      </c>
      <c r="K28">
        <v>454</v>
      </c>
      <c r="L28">
        <v>12</v>
      </c>
      <c r="M28">
        <v>0</v>
      </c>
      <c r="N28">
        <v>19</v>
      </c>
      <c r="O28">
        <v>170</v>
      </c>
      <c r="P28">
        <v>694</v>
      </c>
      <c r="Q28">
        <v>616</v>
      </c>
      <c r="R28">
        <v>51</v>
      </c>
      <c r="S28">
        <v>0</v>
      </c>
      <c r="T28">
        <v>143</v>
      </c>
    </row>
    <row r="29" spans="1:20" x14ac:dyDescent="0.25">
      <c r="A29" t="s">
        <v>266</v>
      </c>
      <c r="B29">
        <v>284</v>
      </c>
      <c r="C29">
        <v>1442</v>
      </c>
      <c r="D29">
        <v>3074</v>
      </c>
      <c r="E29">
        <v>795</v>
      </c>
      <c r="F29">
        <v>28</v>
      </c>
      <c r="G29">
        <v>3</v>
      </c>
      <c r="H29">
        <v>1613</v>
      </c>
      <c r="I29">
        <v>9417</v>
      </c>
      <c r="J29">
        <v>24928</v>
      </c>
      <c r="K29">
        <v>8800</v>
      </c>
      <c r="L29">
        <v>374</v>
      </c>
      <c r="M29">
        <v>9</v>
      </c>
      <c r="N29">
        <v>899</v>
      </c>
      <c r="O29">
        <v>4735</v>
      </c>
      <c r="P29">
        <v>15433</v>
      </c>
      <c r="Q29">
        <v>20973</v>
      </c>
      <c r="R29">
        <v>1884</v>
      </c>
      <c r="S29">
        <v>26</v>
      </c>
      <c r="T29">
        <v>1192</v>
      </c>
    </row>
    <row r="30" spans="1:20" x14ac:dyDescent="0.25">
      <c r="A30" t="s">
        <v>308</v>
      </c>
      <c r="B30">
        <v>44</v>
      </c>
      <c r="C30">
        <v>286</v>
      </c>
      <c r="D30">
        <v>535</v>
      </c>
      <c r="E30">
        <v>147</v>
      </c>
      <c r="F30">
        <v>10</v>
      </c>
      <c r="G30">
        <v>1</v>
      </c>
      <c r="H30">
        <v>345</v>
      </c>
      <c r="I30">
        <v>1663</v>
      </c>
      <c r="J30">
        <v>4710</v>
      </c>
      <c r="K30">
        <v>1971</v>
      </c>
      <c r="L30">
        <v>159</v>
      </c>
      <c r="M30">
        <v>2</v>
      </c>
      <c r="N30">
        <v>242</v>
      </c>
      <c r="O30">
        <v>1149</v>
      </c>
      <c r="P30">
        <v>3832</v>
      </c>
      <c r="Q30">
        <v>6580</v>
      </c>
      <c r="R30">
        <v>939</v>
      </c>
      <c r="S30">
        <v>12</v>
      </c>
      <c r="T30">
        <v>106</v>
      </c>
    </row>
    <row r="31" spans="1:20" x14ac:dyDescent="0.25">
      <c r="A31" t="s">
        <v>309</v>
      </c>
      <c r="B31">
        <v>240</v>
      </c>
      <c r="C31">
        <v>1156</v>
      </c>
      <c r="D31">
        <v>2539</v>
      </c>
      <c r="E31">
        <v>648</v>
      </c>
      <c r="F31">
        <v>18</v>
      </c>
      <c r="G31">
        <v>2</v>
      </c>
      <c r="H31">
        <v>1268</v>
      </c>
      <c r="I31">
        <v>7754</v>
      </c>
      <c r="J31">
        <v>20218</v>
      </c>
      <c r="K31">
        <v>6829</v>
      </c>
      <c r="L31">
        <v>215</v>
      </c>
      <c r="M31">
        <v>7</v>
      </c>
      <c r="N31">
        <v>657</v>
      </c>
      <c r="O31">
        <v>3586</v>
      </c>
      <c r="P31">
        <v>11601</v>
      </c>
      <c r="Q31">
        <v>14393</v>
      </c>
      <c r="R31">
        <v>945</v>
      </c>
      <c r="S31">
        <v>14</v>
      </c>
      <c r="T31">
        <v>1086</v>
      </c>
    </row>
  </sheetData>
  <mergeCells count="5">
    <mergeCell ref="B2:G2"/>
    <mergeCell ref="N2:S2"/>
    <mergeCell ref="A2:A3"/>
    <mergeCell ref="A1:U1"/>
    <mergeCell ref="H2:M2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tabColor rgb="FFA9D18E"/>
  </sheetPr>
  <dimension ref="A1:K31"/>
  <sheetViews>
    <sheetView workbookViewId="0"/>
  </sheetViews>
  <sheetFormatPr defaultRowHeight="15" x14ac:dyDescent="0.25"/>
  <cols>
    <col min="1" max="1" width="14.5703125" customWidth="1"/>
    <col min="2" max="2" width="11.5703125" customWidth="1"/>
    <col min="3" max="3" width="10.140625" customWidth="1"/>
    <col min="4" max="4" width="12.140625" customWidth="1"/>
    <col min="5" max="5" width="12.42578125" customWidth="1"/>
    <col min="6" max="6" width="12" customWidth="1"/>
    <col min="9" max="9" width="14.5703125" customWidth="1"/>
    <col min="11" max="11" width="26" customWidth="1"/>
  </cols>
  <sheetData>
    <row r="1" spans="1:11" x14ac:dyDescent="0.25">
      <c r="A1" s="29" t="s">
        <v>492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254</v>
      </c>
      <c r="C2" s="29" t="s">
        <v>493</v>
      </c>
      <c r="D2" s="29"/>
      <c r="E2" s="29"/>
      <c r="F2" s="29" t="s">
        <v>494</v>
      </c>
      <c r="G2" s="29"/>
      <c r="H2" s="29"/>
      <c r="I2" s="29" t="s">
        <v>495</v>
      </c>
      <c r="J2" s="29"/>
    </row>
    <row r="3" spans="1:11" x14ac:dyDescent="0.25">
      <c r="A3" s="29"/>
      <c r="B3" t="s">
        <v>313</v>
      </c>
      <c r="C3" t="s">
        <v>262</v>
      </c>
      <c r="D3" t="s">
        <v>496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  <c r="J3" t="s">
        <v>502</v>
      </c>
    </row>
    <row r="4" spans="1:11" x14ac:dyDescent="0.25">
      <c r="A4" t="s">
        <v>283</v>
      </c>
      <c r="B4">
        <v>3976</v>
      </c>
      <c r="C4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144</v>
      </c>
      <c r="J4">
        <v>164</v>
      </c>
    </row>
    <row r="5" spans="1:11" x14ac:dyDescent="0.25">
      <c r="A5" t="s">
        <v>284</v>
      </c>
      <c r="B5">
        <v>5777</v>
      </c>
      <c r="C5">
        <v>63</v>
      </c>
      <c r="D5">
        <v>0</v>
      </c>
      <c r="E5">
        <v>0</v>
      </c>
      <c r="F5">
        <v>0</v>
      </c>
      <c r="G5">
        <v>0</v>
      </c>
      <c r="H5">
        <v>0</v>
      </c>
      <c r="I5">
        <v>203</v>
      </c>
      <c r="J5">
        <v>154</v>
      </c>
    </row>
    <row r="6" spans="1:11" x14ac:dyDescent="0.25">
      <c r="A6" t="s">
        <v>285</v>
      </c>
      <c r="B6">
        <v>4846</v>
      </c>
      <c r="C6">
        <v>146</v>
      </c>
      <c r="D6">
        <v>0</v>
      </c>
      <c r="E6">
        <v>0</v>
      </c>
      <c r="F6">
        <v>0</v>
      </c>
      <c r="G6">
        <v>0</v>
      </c>
      <c r="H6">
        <v>0</v>
      </c>
      <c r="I6">
        <v>132</v>
      </c>
      <c r="J6">
        <v>161</v>
      </c>
    </row>
    <row r="7" spans="1:11" x14ac:dyDescent="0.25">
      <c r="A7" t="s">
        <v>286</v>
      </c>
      <c r="B7">
        <v>2554</v>
      </c>
      <c r="C7">
        <v>23</v>
      </c>
      <c r="D7">
        <v>0</v>
      </c>
      <c r="E7">
        <v>0</v>
      </c>
      <c r="F7">
        <v>0</v>
      </c>
      <c r="G7">
        <v>0</v>
      </c>
      <c r="H7">
        <v>0</v>
      </c>
      <c r="I7">
        <v>85</v>
      </c>
      <c r="J7">
        <v>85</v>
      </c>
    </row>
    <row r="8" spans="1:11" x14ac:dyDescent="0.25">
      <c r="A8" t="s">
        <v>287</v>
      </c>
      <c r="B8">
        <v>3409</v>
      </c>
      <c r="C8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123</v>
      </c>
    </row>
    <row r="9" spans="1:11" x14ac:dyDescent="0.25">
      <c r="A9" t="s">
        <v>288</v>
      </c>
      <c r="B9">
        <v>3857</v>
      </c>
      <c r="C9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117</v>
      </c>
      <c r="J9">
        <v>146</v>
      </c>
    </row>
    <row r="10" spans="1:11" x14ac:dyDescent="0.25">
      <c r="A10" t="s">
        <v>289</v>
      </c>
      <c r="B10">
        <v>3216</v>
      </c>
      <c r="C10">
        <v>79</v>
      </c>
      <c r="D10">
        <v>0</v>
      </c>
      <c r="E10">
        <v>0</v>
      </c>
      <c r="F10">
        <v>0</v>
      </c>
      <c r="G10">
        <v>0</v>
      </c>
      <c r="H10">
        <v>0</v>
      </c>
      <c r="I10">
        <v>121</v>
      </c>
      <c r="J10">
        <v>87</v>
      </c>
    </row>
    <row r="11" spans="1:11" x14ac:dyDescent="0.25">
      <c r="A11" t="s">
        <v>290</v>
      </c>
      <c r="B11">
        <v>5590</v>
      </c>
      <c r="C11">
        <v>175</v>
      </c>
      <c r="D11">
        <v>0</v>
      </c>
      <c r="E11">
        <v>0</v>
      </c>
      <c r="F11">
        <v>0</v>
      </c>
      <c r="G11">
        <v>0</v>
      </c>
      <c r="H11">
        <v>0</v>
      </c>
      <c r="I11">
        <v>147</v>
      </c>
      <c r="J11">
        <v>116</v>
      </c>
    </row>
    <row r="12" spans="1:11" x14ac:dyDescent="0.25">
      <c r="A12" t="s">
        <v>291</v>
      </c>
      <c r="B12">
        <v>262</v>
      </c>
      <c r="C12">
        <v>9</v>
      </c>
      <c r="D12">
        <v>0</v>
      </c>
      <c r="E12">
        <v>0</v>
      </c>
      <c r="F12">
        <v>0</v>
      </c>
      <c r="G12">
        <v>0</v>
      </c>
      <c r="H12">
        <v>0</v>
      </c>
      <c r="I12">
        <v>9</v>
      </c>
      <c r="J12">
        <v>9</v>
      </c>
    </row>
    <row r="13" spans="1:11" x14ac:dyDescent="0.25">
      <c r="A13" t="s">
        <v>292</v>
      </c>
      <c r="B13">
        <v>869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37</v>
      </c>
      <c r="J13">
        <v>27</v>
      </c>
    </row>
    <row r="14" spans="1:11" x14ac:dyDescent="0.25">
      <c r="A14" t="s">
        <v>293</v>
      </c>
      <c r="B14">
        <v>2091</v>
      </c>
      <c r="C14">
        <v>71</v>
      </c>
      <c r="D14">
        <v>0</v>
      </c>
      <c r="E14">
        <v>0</v>
      </c>
      <c r="F14">
        <v>0</v>
      </c>
      <c r="G14">
        <v>0</v>
      </c>
      <c r="H14">
        <v>0</v>
      </c>
      <c r="I14">
        <v>91</v>
      </c>
      <c r="J14">
        <v>80</v>
      </c>
    </row>
    <row r="15" spans="1:11" x14ac:dyDescent="0.25">
      <c r="A15" t="s">
        <v>294</v>
      </c>
      <c r="B15">
        <v>653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9</v>
      </c>
      <c r="J15">
        <v>7</v>
      </c>
    </row>
    <row r="16" spans="1:11" x14ac:dyDescent="0.25">
      <c r="A16" t="s">
        <v>295</v>
      </c>
      <c r="B16">
        <v>1561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63</v>
      </c>
      <c r="J16">
        <v>23</v>
      </c>
    </row>
    <row r="17" spans="1:10" x14ac:dyDescent="0.25">
      <c r="A17" t="s">
        <v>296</v>
      </c>
      <c r="B17">
        <v>426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26</v>
      </c>
      <c r="J17">
        <v>21</v>
      </c>
    </row>
    <row r="18" spans="1:10" x14ac:dyDescent="0.25">
      <c r="A18" t="s">
        <v>297</v>
      </c>
      <c r="B18">
        <v>4051</v>
      </c>
      <c r="C18">
        <v>115</v>
      </c>
      <c r="D18">
        <v>0</v>
      </c>
      <c r="E18">
        <v>0</v>
      </c>
      <c r="F18">
        <v>0</v>
      </c>
      <c r="G18">
        <v>0</v>
      </c>
      <c r="H18">
        <v>0</v>
      </c>
      <c r="I18">
        <v>97</v>
      </c>
      <c r="J18">
        <v>95</v>
      </c>
    </row>
    <row r="19" spans="1:10" x14ac:dyDescent="0.25">
      <c r="A19" t="s">
        <v>298</v>
      </c>
      <c r="B19">
        <v>1087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25</v>
      </c>
    </row>
    <row r="20" spans="1:10" x14ac:dyDescent="0.25">
      <c r="A20" t="s">
        <v>299</v>
      </c>
      <c r="B20">
        <v>1820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50</v>
      </c>
      <c r="J20">
        <v>48</v>
      </c>
    </row>
    <row r="21" spans="1:10" x14ac:dyDescent="0.25">
      <c r="A21" t="s">
        <v>300</v>
      </c>
      <c r="B21">
        <v>5738</v>
      </c>
      <c r="C21">
        <v>163</v>
      </c>
      <c r="D21">
        <v>0</v>
      </c>
      <c r="E21">
        <v>0</v>
      </c>
      <c r="F21">
        <v>0</v>
      </c>
      <c r="G21">
        <v>0</v>
      </c>
      <c r="H21">
        <v>0</v>
      </c>
      <c r="I21">
        <v>206</v>
      </c>
      <c r="J21">
        <v>209</v>
      </c>
    </row>
    <row r="22" spans="1:10" x14ac:dyDescent="0.25">
      <c r="A22" t="s">
        <v>301</v>
      </c>
      <c r="B22">
        <v>2583</v>
      </c>
      <c r="C22">
        <v>50</v>
      </c>
      <c r="D22">
        <v>0</v>
      </c>
      <c r="E22">
        <v>0</v>
      </c>
      <c r="F22">
        <v>0</v>
      </c>
      <c r="G22">
        <v>0</v>
      </c>
      <c r="H22">
        <v>0</v>
      </c>
      <c r="I22">
        <v>91</v>
      </c>
      <c r="J22">
        <v>59</v>
      </c>
    </row>
    <row r="23" spans="1:10" x14ac:dyDescent="0.25">
      <c r="A23" t="s">
        <v>302</v>
      </c>
      <c r="B23">
        <v>1302</v>
      </c>
      <c r="C23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30</v>
      </c>
      <c r="J23">
        <v>34</v>
      </c>
    </row>
    <row r="24" spans="1:10" x14ac:dyDescent="0.25">
      <c r="A24" t="s">
        <v>303</v>
      </c>
      <c r="B24">
        <v>5611</v>
      </c>
      <c r="C24">
        <v>91</v>
      </c>
      <c r="D24">
        <v>0</v>
      </c>
      <c r="E24">
        <v>0</v>
      </c>
      <c r="F24">
        <v>0</v>
      </c>
      <c r="G24">
        <v>0</v>
      </c>
      <c r="H24">
        <v>0</v>
      </c>
      <c r="I24">
        <v>207</v>
      </c>
      <c r="J24">
        <v>250</v>
      </c>
    </row>
    <row r="25" spans="1:10" x14ac:dyDescent="0.25">
      <c r="A25" t="s">
        <v>304</v>
      </c>
      <c r="B25">
        <v>1077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26</v>
      </c>
      <c r="J25">
        <v>18</v>
      </c>
    </row>
    <row r="26" spans="1:10" x14ac:dyDescent="0.25">
      <c r="A26" t="s">
        <v>305</v>
      </c>
      <c r="B26">
        <v>3085</v>
      </c>
      <c r="C26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101</v>
      </c>
      <c r="J26">
        <v>96</v>
      </c>
    </row>
    <row r="27" spans="1:10" x14ac:dyDescent="0.25">
      <c r="A27" t="s">
        <v>306</v>
      </c>
      <c r="B27">
        <v>5423</v>
      </c>
      <c r="C27">
        <v>154</v>
      </c>
      <c r="D27">
        <v>0</v>
      </c>
      <c r="E27">
        <v>0</v>
      </c>
      <c r="F27">
        <v>0</v>
      </c>
      <c r="G27">
        <v>0</v>
      </c>
      <c r="H27">
        <v>0</v>
      </c>
      <c r="I27">
        <v>174</v>
      </c>
      <c r="J27">
        <v>175</v>
      </c>
    </row>
    <row r="28" spans="1:10" x14ac:dyDescent="0.25">
      <c r="A28" t="s">
        <v>307</v>
      </c>
      <c r="B28">
        <v>3764</v>
      </c>
      <c r="C28">
        <v>51</v>
      </c>
      <c r="D28">
        <v>0</v>
      </c>
      <c r="E28">
        <v>0</v>
      </c>
      <c r="F28">
        <v>0</v>
      </c>
      <c r="G28">
        <v>0</v>
      </c>
      <c r="H28">
        <v>0</v>
      </c>
      <c r="I28">
        <v>113</v>
      </c>
      <c r="J28">
        <v>112</v>
      </c>
    </row>
    <row r="29" spans="1:10" x14ac:dyDescent="0.25">
      <c r="A29" t="s">
        <v>266</v>
      </c>
      <c r="B29">
        <v>74628</v>
      </c>
      <c r="C29">
        <v>1393</v>
      </c>
      <c r="D29">
        <v>0</v>
      </c>
      <c r="E29">
        <v>0</v>
      </c>
      <c r="F29">
        <v>0</v>
      </c>
      <c r="G29">
        <v>0</v>
      </c>
      <c r="H29">
        <v>0</v>
      </c>
      <c r="I29">
        <v>2414</v>
      </c>
      <c r="J29">
        <v>2324</v>
      </c>
    </row>
    <row r="30" spans="1:10" x14ac:dyDescent="0.25">
      <c r="A30" t="s">
        <v>308</v>
      </c>
      <c r="B30">
        <v>12495</v>
      </c>
      <c r="C30">
        <v>230</v>
      </c>
      <c r="D30">
        <v>0</v>
      </c>
      <c r="E30">
        <v>0</v>
      </c>
      <c r="F30">
        <v>0</v>
      </c>
      <c r="G30">
        <v>0</v>
      </c>
      <c r="H30">
        <v>0</v>
      </c>
      <c r="I30">
        <v>382</v>
      </c>
      <c r="J30">
        <v>364</v>
      </c>
    </row>
    <row r="31" spans="1:10" x14ac:dyDescent="0.25">
      <c r="A31" t="s">
        <v>309</v>
      </c>
      <c r="B31">
        <v>62133</v>
      </c>
      <c r="C31">
        <v>1163</v>
      </c>
      <c r="D31">
        <v>0</v>
      </c>
      <c r="E31">
        <v>0</v>
      </c>
      <c r="F31">
        <v>0</v>
      </c>
      <c r="G31">
        <v>0</v>
      </c>
      <c r="H31">
        <v>0</v>
      </c>
      <c r="I31">
        <v>2032</v>
      </c>
      <c r="J31">
        <v>1960</v>
      </c>
    </row>
  </sheetData>
  <mergeCells count="5">
    <mergeCell ref="C2:E2"/>
    <mergeCell ref="I2:J2"/>
    <mergeCell ref="F2:H2"/>
    <mergeCell ref="A2:A3"/>
    <mergeCell ref="A1:K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tabColor rgb="FFA9D18E"/>
  </sheetPr>
  <dimension ref="A1:O31"/>
  <sheetViews>
    <sheetView workbookViewId="0"/>
  </sheetViews>
  <sheetFormatPr defaultRowHeight="15" x14ac:dyDescent="0.25"/>
  <cols>
    <col min="1" max="1" width="14.5703125" customWidth="1"/>
    <col min="2" max="2" width="9" customWidth="1"/>
    <col min="4" max="4" width="7.28515625" customWidth="1"/>
    <col min="5" max="5" width="7.140625" customWidth="1"/>
    <col min="6" max="6" width="8.42578125" customWidth="1"/>
    <col min="8" max="8" width="10.28515625" customWidth="1"/>
    <col min="9" max="9" width="9.85546875" customWidth="1"/>
    <col min="10" max="10" width="9.28515625" customWidth="1"/>
    <col min="12" max="12" width="12.85546875" customWidth="1"/>
    <col min="13" max="13" width="7.42578125" customWidth="1"/>
    <col min="14" max="14" width="8.5703125" customWidth="1"/>
  </cols>
  <sheetData>
    <row r="1" spans="1:15" x14ac:dyDescent="0.25">
      <c r="A1" s="29" t="s">
        <v>503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709</v>
      </c>
      <c r="B2" s="29" t="s">
        <v>504</v>
      </c>
      <c r="C2" s="29"/>
      <c r="D2" s="29"/>
      <c r="E2" s="29"/>
      <c r="F2" t="s">
        <v>505</v>
      </c>
      <c r="G2" t="s">
        <v>506</v>
      </c>
      <c r="H2" s="29" t="s">
        <v>507</v>
      </c>
      <c r="I2" s="29"/>
      <c r="J2" s="29" t="s">
        <v>508</v>
      </c>
      <c r="K2" s="29"/>
      <c r="L2" s="29"/>
      <c r="M2" s="29"/>
      <c r="N2" s="29"/>
    </row>
    <row r="3" spans="1:15" x14ac:dyDescent="0.25">
      <c r="A3" s="29"/>
      <c r="B3" t="s">
        <v>509</v>
      </c>
      <c r="C3" t="s">
        <v>510</v>
      </c>
      <c r="D3" t="s">
        <v>263</v>
      </c>
      <c r="E3" t="s">
        <v>265</v>
      </c>
      <c r="F3" t="s">
        <v>475</v>
      </c>
      <c r="G3" t="s">
        <v>511</v>
      </c>
      <c r="H3" t="s">
        <v>512</v>
      </c>
      <c r="I3" t="s">
        <v>513</v>
      </c>
      <c r="J3" t="s">
        <v>514</v>
      </c>
      <c r="K3" t="s">
        <v>515</v>
      </c>
      <c r="L3" t="s">
        <v>516</v>
      </c>
      <c r="M3" t="s">
        <v>517</v>
      </c>
      <c r="N3" t="s">
        <v>518</v>
      </c>
    </row>
    <row r="4" spans="1:15" x14ac:dyDescent="0.25">
      <c r="A4" t="s">
        <v>283</v>
      </c>
      <c r="B4">
        <v>679</v>
      </c>
      <c r="C4">
        <v>645</v>
      </c>
      <c r="D4">
        <v>6</v>
      </c>
      <c r="E4">
        <v>2</v>
      </c>
      <c r="F4">
        <v>7</v>
      </c>
      <c r="G4">
        <v>2</v>
      </c>
      <c r="H4">
        <v>54531</v>
      </c>
      <c r="I4">
        <v>10708094</v>
      </c>
      <c r="J4">
        <v>111</v>
      </c>
      <c r="K4">
        <v>30</v>
      </c>
      <c r="L4">
        <v>24</v>
      </c>
      <c r="M4">
        <v>169</v>
      </c>
      <c r="N4">
        <v>23</v>
      </c>
    </row>
    <row r="5" spans="1:15" x14ac:dyDescent="0.25">
      <c r="A5" t="s">
        <v>284</v>
      </c>
      <c r="B5">
        <v>1146</v>
      </c>
      <c r="C5">
        <v>1107</v>
      </c>
      <c r="D5">
        <v>6</v>
      </c>
      <c r="E5">
        <v>2</v>
      </c>
      <c r="F5">
        <v>4</v>
      </c>
      <c r="G5">
        <v>8</v>
      </c>
      <c r="H5">
        <v>57855</v>
      </c>
      <c r="I5">
        <v>11941720</v>
      </c>
      <c r="J5">
        <v>119</v>
      </c>
      <c r="K5">
        <v>49</v>
      </c>
      <c r="L5">
        <v>58</v>
      </c>
      <c r="M5">
        <v>452</v>
      </c>
      <c r="N5">
        <v>24</v>
      </c>
    </row>
    <row r="6" spans="1:15" x14ac:dyDescent="0.25">
      <c r="A6" t="s">
        <v>285</v>
      </c>
      <c r="B6">
        <v>708</v>
      </c>
      <c r="C6">
        <v>671</v>
      </c>
      <c r="D6">
        <v>7</v>
      </c>
      <c r="E6">
        <v>2</v>
      </c>
      <c r="F6">
        <v>18</v>
      </c>
      <c r="G6">
        <v>0</v>
      </c>
      <c r="H6">
        <v>102781</v>
      </c>
      <c r="I6">
        <v>26856795</v>
      </c>
      <c r="J6">
        <v>61</v>
      </c>
      <c r="K6">
        <v>28</v>
      </c>
      <c r="L6">
        <v>33</v>
      </c>
      <c r="M6">
        <v>447</v>
      </c>
      <c r="N6">
        <v>11</v>
      </c>
    </row>
    <row r="7" spans="1:15" x14ac:dyDescent="0.25">
      <c r="A7" t="s">
        <v>286</v>
      </c>
      <c r="B7">
        <v>446</v>
      </c>
      <c r="C7">
        <v>428</v>
      </c>
      <c r="D7">
        <v>7</v>
      </c>
      <c r="E7">
        <v>2</v>
      </c>
      <c r="F7">
        <v>14</v>
      </c>
      <c r="G7">
        <v>0</v>
      </c>
      <c r="H7">
        <v>56805</v>
      </c>
      <c r="I7">
        <v>13849282</v>
      </c>
      <c r="J7">
        <v>66</v>
      </c>
      <c r="K7">
        <v>36</v>
      </c>
      <c r="L7">
        <v>13</v>
      </c>
      <c r="M7">
        <v>220</v>
      </c>
      <c r="N7">
        <v>23</v>
      </c>
    </row>
    <row r="8" spans="1:15" x14ac:dyDescent="0.25">
      <c r="A8" t="s">
        <v>287</v>
      </c>
      <c r="B8">
        <v>591</v>
      </c>
      <c r="C8">
        <v>568</v>
      </c>
      <c r="D8">
        <v>7</v>
      </c>
      <c r="E8">
        <v>1</v>
      </c>
      <c r="F8">
        <v>3</v>
      </c>
      <c r="G8">
        <v>0</v>
      </c>
      <c r="H8">
        <v>46762</v>
      </c>
      <c r="I8">
        <v>12081357</v>
      </c>
      <c r="J8">
        <v>127</v>
      </c>
      <c r="K8">
        <v>47</v>
      </c>
      <c r="L8">
        <v>21</v>
      </c>
      <c r="M8">
        <v>313</v>
      </c>
      <c r="N8">
        <v>20</v>
      </c>
    </row>
    <row r="9" spans="1:15" x14ac:dyDescent="0.25">
      <c r="A9" t="s">
        <v>288</v>
      </c>
      <c r="B9">
        <v>752</v>
      </c>
      <c r="C9">
        <v>708</v>
      </c>
      <c r="D9">
        <v>7</v>
      </c>
      <c r="E9">
        <v>2</v>
      </c>
      <c r="F9">
        <v>16</v>
      </c>
      <c r="G9">
        <v>2</v>
      </c>
      <c r="H9">
        <v>56449</v>
      </c>
      <c r="I9">
        <v>10947376</v>
      </c>
      <c r="J9">
        <v>149</v>
      </c>
      <c r="K9">
        <v>38</v>
      </c>
      <c r="L9">
        <v>28</v>
      </c>
      <c r="M9">
        <v>370</v>
      </c>
      <c r="N9">
        <v>48</v>
      </c>
    </row>
    <row r="10" spans="1:15" x14ac:dyDescent="0.25">
      <c r="A10" t="s">
        <v>289</v>
      </c>
      <c r="B10">
        <v>556</v>
      </c>
      <c r="C10">
        <v>540</v>
      </c>
      <c r="D10">
        <v>7</v>
      </c>
      <c r="E10">
        <v>2</v>
      </c>
      <c r="F10">
        <v>3</v>
      </c>
      <c r="G10">
        <v>0</v>
      </c>
      <c r="H10">
        <v>54838</v>
      </c>
      <c r="I10">
        <v>11038603</v>
      </c>
      <c r="J10">
        <v>32</v>
      </c>
      <c r="K10">
        <v>7</v>
      </c>
      <c r="L10">
        <v>15</v>
      </c>
      <c r="M10">
        <v>255</v>
      </c>
      <c r="N10">
        <v>12</v>
      </c>
    </row>
    <row r="11" spans="1:15" x14ac:dyDescent="0.25">
      <c r="A11" t="s">
        <v>290</v>
      </c>
      <c r="B11">
        <v>702</v>
      </c>
      <c r="C11">
        <v>658</v>
      </c>
      <c r="D11">
        <v>7</v>
      </c>
      <c r="E11">
        <v>2</v>
      </c>
      <c r="F11">
        <v>18</v>
      </c>
      <c r="G11">
        <v>10</v>
      </c>
      <c r="H11">
        <v>42889</v>
      </c>
      <c r="I11">
        <v>15734624</v>
      </c>
      <c r="J11">
        <v>24</v>
      </c>
      <c r="K11">
        <v>13</v>
      </c>
      <c r="L11">
        <v>16</v>
      </c>
      <c r="M11">
        <v>291</v>
      </c>
      <c r="N11">
        <v>8</v>
      </c>
    </row>
    <row r="12" spans="1:15" x14ac:dyDescent="0.25">
      <c r="A12" t="s">
        <v>291</v>
      </c>
      <c r="B12">
        <v>35</v>
      </c>
      <c r="C12">
        <v>34</v>
      </c>
      <c r="D12">
        <v>7</v>
      </c>
      <c r="E12">
        <v>2</v>
      </c>
      <c r="F12">
        <v>0</v>
      </c>
      <c r="G12">
        <v>0</v>
      </c>
      <c r="H12">
        <v>66392</v>
      </c>
      <c r="I12">
        <v>10941171</v>
      </c>
      <c r="J12">
        <v>1</v>
      </c>
      <c r="K12">
        <v>0</v>
      </c>
      <c r="L12">
        <v>0</v>
      </c>
      <c r="M12">
        <v>28</v>
      </c>
      <c r="N12">
        <v>0</v>
      </c>
    </row>
    <row r="13" spans="1:15" x14ac:dyDescent="0.25">
      <c r="A13" t="s">
        <v>292</v>
      </c>
      <c r="B13">
        <v>197</v>
      </c>
      <c r="C13">
        <v>186</v>
      </c>
      <c r="D13">
        <v>6</v>
      </c>
      <c r="E13">
        <v>2</v>
      </c>
      <c r="F13">
        <v>7</v>
      </c>
      <c r="G13">
        <v>0</v>
      </c>
      <c r="H13">
        <v>570032</v>
      </c>
      <c r="I13">
        <v>70449073</v>
      </c>
      <c r="J13">
        <v>30</v>
      </c>
      <c r="K13">
        <v>3</v>
      </c>
      <c r="L13">
        <v>24</v>
      </c>
      <c r="M13">
        <v>100</v>
      </c>
      <c r="N13">
        <v>0</v>
      </c>
    </row>
    <row r="14" spans="1:15" x14ac:dyDescent="0.25">
      <c r="A14" t="s">
        <v>293</v>
      </c>
      <c r="B14">
        <v>422</v>
      </c>
      <c r="C14">
        <v>405</v>
      </c>
      <c r="D14">
        <v>7</v>
      </c>
      <c r="E14">
        <v>2</v>
      </c>
      <c r="F14">
        <v>7</v>
      </c>
      <c r="G14">
        <v>0</v>
      </c>
      <c r="H14">
        <v>57461</v>
      </c>
      <c r="I14">
        <v>11499434</v>
      </c>
      <c r="J14">
        <v>42</v>
      </c>
      <c r="K14">
        <v>22</v>
      </c>
      <c r="L14">
        <v>11</v>
      </c>
      <c r="M14">
        <v>204</v>
      </c>
      <c r="N14">
        <v>6</v>
      </c>
    </row>
    <row r="15" spans="1:15" x14ac:dyDescent="0.25">
      <c r="A15" t="s">
        <v>294</v>
      </c>
      <c r="B15">
        <v>116</v>
      </c>
      <c r="C15">
        <v>107</v>
      </c>
      <c r="D15">
        <v>6</v>
      </c>
      <c r="E15">
        <v>2</v>
      </c>
      <c r="F15">
        <v>0</v>
      </c>
      <c r="G15">
        <v>0</v>
      </c>
      <c r="H15">
        <v>66419</v>
      </c>
      <c r="I15">
        <v>11620402</v>
      </c>
      <c r="J15">
        <v>14</v>
      </c>
      <c r="K15">
        <v>5</v>
      </c>
      <c r="L15">
        <v>12</v>
      </c>
      <c r="M15">
        <v>66</v>
      </c>
      <c r="N15">
        <v>1</v>
      </c>
    </row>
    <row r="16" spans="1:15" x14ac:dyDescent="0.25">
      <c r="A16" t="s">
        <v>295</v>
      </c>
      <c r="B16">
        <v>332</v>
      </c>
      <c r="C16">
        <v>316</v>
      </c>
      <c r="D16">
        <v>5</v>
      </c>
      <c r="E16">
        <v>1</v>
      </c>
      <c r="F16">
        <v>2</v>
      </c>
      <c r="G16">
        <v>1</v>
      </c>
      <c r="H16">
        <v>69574</v>
      </c>
      <c r="I16">
        <v>10455374</v>
      </c>
      <c r="J16">
        <v>39</v>
      </c>
      <c r="K16">
        <v>41</v>
      </c>
      <c r="L16">
        <v>13</v>
      </c>
      <c r="M16">
        <v>102</v>
      </c>
      <c r="N16">
        <v>3</v>
      </c>
    </row>
    <row r="17" spans="1:14" x14ac:dyDescent="0.25">
      <c r="A17" t="s">
        <v>296</v>
      </c>
      <c r="B17">
        <v>72</v>
      </c>
      <c r="C17">
        <v>69</v>
      </c>
      <c r="D17">
        <v>5</v>
      </c>
      <c r="E17">
        <v>2</v>
      </c>
      <c r="F17">
        <v>0</v>
      </c>
      <c r="G17">
        <v>0</v>
      </c>
      <c r="H17">
        <v>63926</v>
      </c>
      <c r="I17">
        <v>12026426</v>
      </c>
      <c r="J17">
        <v>4</v>
      </c>
      <c r="K17">
        <v>1</v>
      </c>
      <c r="L17">
        <v>5</v>
      </c>
      <c r="M17">
        <v>10</v>
      </c>
      <c r="N17">
        <v>0</v>
      </c>
    </row>
    <row r="18" spans="1:14" x14ac:dyDescent="0.25">
      <c r="A18" t="s">
        <v>297</v>
      </c>
      <c r="B18">
        <v>360</v>
      </c>
      <c r="C18">
        <v>340</v>
      </c>
      <c r="D18">
        <v>9</v>
      </c>
      <c r="E18">
        <v>4</v>
      </c>
      <c r="F18">
        <v>1</v>
      </c>
      <c r="G18">
        <v>0</v>
      </c>
      <c r="H18">
        <v>35642</v>
      </c>
      <c r="I18">
        <v>21811142</v>
      </c>
      <c r="J18">
        <v>78</v>
      </c>
      <c r="K18">
        <v>15</v>
      </c>
      <c r="L18">
        <v>16</v>
      </c>
      <c r="M18">
        <v>90</v>
      </c>
      <c r="N18">
        <v>6</v>
      </c>
    </row>
    <row r="19" spans="1:14" x14ac:dyDescent="0.25">
      <c r="A19" t="s">
        <v>298</v>
      </c>
      <c r="B19">
        <v>144</v>
      </c>
      <c r="C19">
        <v>130</v>
      </c>
      <c r="D19">
        <v>7</v>
      </c>
      <c r="E19">
        <v>3</v>
      </c>
      <c r="F19">
        <v>2</v>
      </c>
      <c r="G19">
        <v>0</v>
      </c>
      <c r="H19">
        <v>47900</v>
      </c>
      <c r="I19">
        <v>14100375</v>
      </c>
      <c r="J19">
        <v>16</v>
      </c>
      <c r="K19">
        <v>3</v>
      </c>
      <c r="L19">
        <v>1</v>
      </c>
      <c r="M19">
        <v>12</v>
      </c>
      <c r="N19">
        <v>1</v>
      </c>
    </row>
    <row r="20" spans="1:14" x14ac:dyDescent="0.25">
      <c r="A20" t="s">
        <v>299</v>
      </c>
      <c r="B20">
        <v>349</v>
      </c>
      <c r="C20">
        <v>344</v>
      </c>
      <c r="D20">
        <v>8</v>
      </c>
      <c r="E20">
        <v>3</v>
      </c>
      <c r="F20">
        <v>2</v>
      </c>
      <c r="G20">
        <v>-1</v>
      </c>
      <c r="H20">
        <v>71370</v>
      </c>
      <c r="I20">
        <v>9705553</v>
      </c>
      <c r="J20">
        <v>39</v>
      </c>
      <c r="K20">
        <v>18</v>
      </c>
      <c r="L20">
        <v>14</v>
      </c>
      <c r="M20">
        <v>152</v>
      </c>
      <c r="N20">
        <v>5</v>
      </c>
    </row>
    <row r="21" spans="1:14" x14ac:dyDescent="0.25">
      <c r="A21" t="s">
        <v>300</v>
      </c>
      <c r="B21">
        <v>970</v>
      </c>
      <c r="C21">
        <v>915</v>
      </c>
      <c r="D21">
        <v>7</v>
      </c>
      <c r="E21">
        <v>2</v>
      </c>
      <c r="F21">
        <v>1</v>
      </c>
      <c r="G21">
        <v>1</v>
      </c>
      <c r="H21">
        <v>48146</v>
      </c>
      <c r="I21">
        <v>10388864</v>
      </c>
      <c r="J21">
        <v>204</v>
      </c>
      <c r="K21">
        <v>38</v>
      </c>
      <c r="L21">
        <v>47</v>
      </c>
      <c r="M21">
        <v>476</v>
      </c>
      <c r="N21">
        <v>58</v>
      </c>
    </row>
    <row r="22" spans="1:14" x14ac:dyDescent="0.25">
      <c r="A22" t="s">
        <v>301</v>
      </c>
      <c r="B22">
        <v>478</v>
      </c>
      <c r="C22">
        <v>468</v>
      </c>
      <c r="D22">
        <v>6</v>
      </c>
      <c r="E22">
        <v>2</v>
      </c>
      <c r="F22">
        <v>5</v>
      </c>
      <c r="G22">
        <v>2</v>
      </c>
      <c r="H22">
        <v>53958</v>
      </c>
      <c r="I22">
        <v>9990529</v>
      </c>
      <c r="J22">
        <v>77</v>
      </c>
      <c r="K22">
        <v>22</v>
      </c>
      <c r="L22">
        <v>34</v>
      </c>
      <c r="M22">
        <v>253</v>
      </c>
      <c r="N22">
        <v>8</v>
      </c>
    </row>
    <row r="23" spans="1:14" x14ac:dyDescent="0.25">
      <c r="A23" t="s">
        <v>302</v>
      </c>
      <c r="B23">
        <v>308</v>
      </c>
      <c r="C23">
        <v>298</v>
      </c>
      <c r="D23">
        <v>6</v>
      </c>
      <c r="E23">
        <v>2</v>
      </c>
      <c r="F23">
        <v>27</v>
      </c>
      <c r="G23">
        <v>0</v>
      </c>
      <c r="H23">
        <v>73928</v>
      </c>
      <c r="I23">
        <v>12728947</v>
      </c>
      <c r="J23">
        <v>13</v>
      </c>
      <c r="K23">
        <v>20</v>
      </c>
      <c r="L23">
        <v>23</v>
      </c>
      <c r="M23">
        <v>130</v>
      </c>
      <c r="N23">
        <v>0</v>
      </c>
    </row>
    <row r="24" spans="1:14" x14ac:dyDescent="0.25">
      <c r="A24" t="s">
        <v>303</v>
      </c>
      <c r="B24">
        <v>945</v>
      </c>
      <c r="C24">
        <v>919</v>
      </c>
      <c r="D24">
        <v>8</v>
      </c>
      <c r="E24">
        <v>3</v>
      </c>
      <c r="F24">
        <v>11</v>
      </c>
      <c r="G24">
        <v>29</v>
      </c>
      <c r="H24">
        <v>57282</v>
      </c>
      <c r="I24">
        <v>13180032</v>
      </c>
      <c r="J24">
        <v>128</v>
      </c>
      <c r="K24">
        <v>42</v>
      </c>
      <c r="L24">
        <v>33</v>
      </c>
      <c r="M24">
        <v>399</v>
      </c>
      <c r="N24">
        <v>19</v>
      </c>
    </row>
    <row r="25" spans="1:14" x14ac:dyDescent="0.25">
      <c r="A25" t="s">
        <v>304</v>
      </c>
      <c r="B25">
        <v>234</v>
      </c>
      <c r="C25">
        <v>234</v>
      </c>
      <c r="D25">
        <v>6</v>
      </c>
      <c r="E25">
        <v>2</v>
      </c>
      <c r="F25">
        <v>23</v>
      </c>
      <c r="G25">
        <v>0</v>
      </c>
      <c r="H25">
        <v>76671</v>
      </c>
      <c r="I25">
        <v>11112503</v>
      </c>
      <c r="J25">
        <v>17</v>
      </c>
      <c r="K25">
        <v>11</v>
      </c>
      <c r="L25">
        <v>8</v>
      </c>
      <c r="M25">
        <v>138</v>
      </c>
      <c r="N25">
        <v>0</v>
      </c>
    </row>
    <row r="26" spans="1:14" x14ac:dyDescent="0.25">
      <c r="A26" t="s">
        <v>305</v>
      </c>
      <c r="B26">
        <v>439</v>
      </c>
      <c r="C26">
        <v>429</v>
      </c>
      <c r="D26">
        <v>10</v>
      </c>
      <c r="E26">
        <v>2</v>
      </c>
      <c r="F26">
        <v>12</v>
      </c>
      <c r="G26">
        <v>0</v>
      </c>
      <c r="H26">
        <v>49730</v>
      </c>
      <c r="I26">
        <v>11448052</v>
      </c>
      <c r="J26">
        <v>130</v>
      </c>
      <c r="K26">
        <v>18</v>
      </c>
      <c r="L26">
        <v>31</v>
      </c>
      <c r="M26">
        <v>240</v>
      </c>
      <c r="N26">
        <v>72</v>
      </c>
    </row>
    <row r="27" spans="1:14" x14ac:dyDescent="0.25">
      <c r="A27" t="s">
        <v>306</v>
      </c>
      <c r="B27">
        <v>732</v>
      </c>
      <c r="C27">
        <v>705</v>
      </c>
      <c r="D27">
        <v>10</v>
      </c>
      <c r="E27">
        <v>2</v>
      </c>
      <c r="F27">
        <v>9</v>
      </c>
      <c r="G27">
        <v>0</v>
      </c>
      <c r="H27">
        <v>49695</v>
      </c>
      <c r="I27">
        <v>11823126</v>
      </c>
      <c r="J27">
        <v>89</v>
      </c>
      <c r="K27">
        <v>25</v>
      </c>
      <c r="L27">
        <v>17</v>
      </c>
      <c r="M27">
        <v>271</v>
      </c>
      <c r="N27">
        <v>18</v>
      </c>
    </row>
    <row r="28" spans="1:14" x14ac:dyDescent="0.25">
      <c r="A28" t="s">
        <v>307</v>
      </c>
      <c r="B28">
        <v>664</v>
      </c>
      <c r="C28">
        <v>639</v>
      </c>
      <c r="D28">
        <v>6</v>
      </c>
      <c r="E28">
        <v>2</v>
      </c>
      <c r="F28">
        <v>16</v>
      </c>
      <c r="G28">
        <v>0</v>
      </c>
      <c r="H28">
        <v>47517</v>
      </c>
      <c r="I28">
        <v>10705143</v>
      </c>
      <c r="J28">
        <v>57</v>
      </c>
      <c r="K28">
        <v>20</v>
      </c>
      <c r="L28">
        <v>43</v>
      </c>
      <c r="M28">
        <v>306</v>
      </c>
      <c r="N28">
        <v>4</v>
      </c>
    </row>
    <row r="29" spans="1:14" x14ac:dyDescent="0.25">
      <c r="A29" t="s">
        <v>266</v>
      </c>
      <c r="B29">
        <v>12377</v>
      </c>
      <c r="C29">
        <v>11863</v>
      </c>
      <c r="D29">
        <v>7</v>
      </c>
      <c r="E29">
        <v>2</v>
      </c>
      <c r="F29">
        <v>208</v>
      </c>
      <c r="G29">
        <v>54</v>
      </c>
      <c r="H29">
        <v>60151</v>
      </c>
      <c r="I29">
        <v>13874789</v>
      </c>
      <c r="J29">
        <v>1667</v>
      </c>
      <c r="K29">
        <v>552</v>
      </c>
      <c r="L29">
        <v>540</v>
      </c>
      <c r="M29">
        <v>5494</v>
      </c>
      <c r="N29">
        <v>370</v>
      </c>
    </row>
    <row r="30" spans="1:14" x14ac:dyDescent="0.25">
      <c r="A30" t="s">
        <v>308</v>
      </c>
      <c r="B30">
        <v>1330</v>
      </c>
      <c r="C30">
        <v>1266</v>
      </c>
      <c r="D30">
        <v>8</v>
      </c>
      <c r="E30">
        <v>3</v>
      </c>
      <c r="F30">
        <v>18</v>
      </c>
      <c r="G30">
        <v>34</v>
      </c>
      <c r="H30">
        <v>41666</v>
      </c>
      <c r="I30">
        <v>17020180</v>
      </c>
      <c r="J30">
        <v>178</v>
      </c>
      <c r="K30">
        <v>70</v>
      </c>
      <c r="L30">
        <v>50</v>
      </c>
      <c r="M30">
        <v>472</v>
      </c>
      <c r="N30">
        <v>20</v>
      </c>
    </row>
    <row r="31" spans="1:14" x14ac:dyDescent="0.25">
      <c r="A31" t="s">
        <v>309</v>
      </c>
      <c r="B31">
        <v>11047</v>
      </c>
      <c r="C31">
        <v>10597</v>
      </c>
      <c r="D31">
        <v>7</v>
      </c>
      <c r="E31">
        <v>2</v>
      </c>
      <c r="F31">
        <v>190</v>
      </c>
      <c r="G31">
        <v>20</v>
      </c>
      <c r="H31">
        <v>64537</v>
      </c>
      <c r="I31">
        <v>13492794</v>
      </c>
      <c r="J31">
        <v>1489</v>
      </c>
      <c r="K31">
        <v>482</v>
      </c>
      <c r="L31">
        <v>490</v>
      </c>
      <c r="M31">
        <v>5022</v>
      </c>
      <c r="N31">
        <v>350</v>
      </c>
    </row>
  </sheetData>
  <mergeCells count="5">
    <mergeCell ref="H2:I2"/>
    <mergeCell ref="J2:N2"/>
    <mergeCell ref="A1:O1"/>
    <mergeCell ref="A2:A3"/>
    <mergeCell ref="B2:E2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tabColor rgb="FFA9D18E"/>
  </sheetPr>
  <dimension ref="A1:O31"/>
  <sheetViews>
    <sheetView workbookViewId="0"/>
  </sheetViews>
  <sheetFormatPr defaultRowHeight="15" x14ac:dyDescent="0.25"/>
  <cols>
    <col min="1" max="1" width="14.5703125" customWidth="1"/>
    <col min="2" max="2" width="8.7109375" customWidth="1"/>
    <col min="3" max="3" width="8.42578125" customWidth="1"/>
    <col min="4" max="4" width="8.7109375" customWidth="1"/>
    <col min="5" max="5" width="8.42578125" customWidth="1"/>
    <col min="6" max="6" width="8.7109375" customWidth="1"/>
    <col min="7" max="7" width="8.42578125" customWidth="1"/>
    <col min="8" max="8" width="8.7109375" customWidth="1"/>
    <col min="9" max="9" width="8.42578125" customWidth="1"/>
    <col min="11" max="11" width="9.42578125" customWidth="1"/>
    <col min="12" max="12" width="7.7109375" customWidth="1"/>
  </cols>
  <sheetData>
    <row r="1" spans="1:15" x14ac:dyDescent="0.25">
      <c r="A1" s="29" t="s">
        <v>519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x14ac:dyDescent="0.25">
      <c r="A2" s="29" t="s">
        <v>709</v>
      </c>
      <c r="B2" s="29" t="s">
        <v>520</v>
      </c>
      <c r="C2" s="29"/>
      <c r="D2" s="29" t="s">
        <v>521</v>
      </c>
      <c r="E2" s="29"/>
      <c r="F2" s="29" t="s">
        <v>522</v>
      </c>
      <c r="G2" s="29"/>
      <c r="H2" s="29" t="s">
        <v>523</v>
      </c>
      <c r="I2" s="29"/>
      <c r="J2" s="29" t="s">
        <v>524</v>
      </c>
      <c r="K2" s="29"/>
      <c r="L2" s="29" t="s">
        <v>525</v>
      </c>
      <c r="M2" s="29"/>
      <c r="N2" s="29"/>
    </row>
    <row r="3" spans="1:15" x14ac:dyDescent="0.25">
      <c r="A3" s="29"/>
      <c r="B3" t="s">
        <v>526</v>
      </c>
      <c r="C3" t="s">
        <v>527</v>
      </c>
      <c r="D3" t="s">
        <v>526</v>
      </c>
      <c r="E3" t="s">
        <v>527</v>
      </c>
      <c r="F3" t="s">
        <v>526</v>
      </c>
      <c r="G3" t="s">
        <v>527</v>
      </c>
      <c r="H3" t="s">
        <v>526</v>
      </c>
      <c r="I3" t="s">
        <v>527</v>
      </c>
      <c r="J3" t="s">
        <v>528</v>
      </c>
      <c r="K3" t="s">
        <v>529</v>
      </c>
      <c r="L3" t="s">
        <v>498</v>
      </c>
      <c r="M3" t="s">
        <v>499</v>
      </c>
      <c r="N3" t="s">
        <v>500</v>
      </c>
    </row>
    <row r="4" spans="1:15" x14ac:dyDescent="0.25">
      <c r="A4" t="s">
        <v>283</v>
      </c>
      <c r="B4">
        <v>1192</v>
      </c>
      <c r="C4">
        <v>5347</v>
      </c>
      <c r="D4">
        <v>993</v>
      </c>
      <c r="E4">
        <v>4749</v>
      </c>
      <c r="F4">
        <v>199</v>
      </c>
      <c r="G4">
        <v>598</v>
      </c>
      <c r="H4">
        <v>0</v>
      </c>
      <c r="I4">
        <v>0</v>
      </c>
      <c r="J4">
        <v>2120</v>
      </c>
      <c r="K4">
        <v>2151</v>
      </c>
      <c r="L4">
        <v>1382</v>
      </c>
      <c r="M4">
        <v>1271</v>
      </c>
      <c r="N4">
        <v>1213</v>
      </c>
    </row>
    <row r="5" spans="1:15" x14ac:dyDescent="0.25">
      <c r="A5" t="s">
        <v>284</v>
      </c>
      <c r="B5">
        <v>1722</v>
      </c>
      <c r="C5">
        <v>7364</v>
      </c>
      <c r="D5">
        <v>1423</v>
      </c>
      <c r="E5">
        <v>6442</v>
      </c>
      <c r="F5">
        <v>299</v>
      </c>
      <c r="G5">
        <v>922</v>
      </c>
      <c r="H5">
        <v>0</v>
      </c>
      <c r="I5">
        <v>0</v>
      </c>
      <c r="J5">
        <v>3166</v>
      </c>
      <c r="K5">
        <v>3142</v>
      </c>
      <c r="L5">
        <v>1667</v>
      </c>
      <c r="M5">
        <v>1471</v>
      </c>
      <c r="N5">
        <v>1440</v>
      </c>
    </row>
    <row r="6" spans="1:15" x14ac:dyDescent="0.25">
      <c r="A6" t="s">
        <v>285</v>
      </c>
      <c r="B6">
        <v>1435</v>
      </c>
      <c r="C6">
        <v>7003</v>
      </c>
      <c r="D6">
        <v>1379</v>
      </c>
      <c r="E6">
        <v>6830</v>
      </c>
      <c r="F6">
        <v>56</v>
      </c>
      <c r="G6">
        <v>173</v>
      </c>
      <c r="H6">
        <v>0</v>
      </c>
      <c r="I6">
        <v>0</v>
      </c>
      <c r="J6">
        <v>2640</v>
      </c>
      <c r="K6">
        <v>2707</v>
      </c>
      <c r="L6">
        <v>1729</v>
      </c>
      <c r="M6">
        <v>1801</v>
      </c>
      <c r="N6">
        <v>1702</v>
      </c>
    </row>
    <row r="7" spans="1:15" x14ac:dyDescent="0.25">
      <c r="A7" t="s">
        <v>286</v>
      </c>
      <c r="B7">
        <v>842</v>
      </c>
      <c r="C7">
        <v>3888</v>
      </c>
      <c r="D7">
        <v>794</v>
      </c>
      <c r="E7">
        <v>3762</v>
      </c>
      <c r="F7">
        <v>48</v>
      </c>
      <c r="G7">
        <v>126</v>
      </c>
      <c r="H7">
        <v>0</v>
      </c>
      <c r="I7">
        <v>0</v>
      </c>
      <c r="J7">
        <v>1645</v>
      </c>
      <c r="K7">
        <v>1619</v>
      </c>
      <c r="L7">
        <v>602</v>
      </c>
      <c r="M7">
        <v>481</v>
      </c>
      <c r="N7">
        <v>444</v>
      </c>
    </row>
    <row r="8" spans="1:15" x14ac:dyDescent="0.25">
      <c r="A8" t="s">
        <v>287</v>
      </c>
      <c r="B8">
        <v>1092</v>
      </c>
      <c r="C8">
        <v>4605</v>
      </c>
      <c r="D8">
        <v>1041</v>
      </c>
      <c r="E8">
        <v>4454</v>
      </c>
      <c r="F8">
        <v>51</v>
      </c>
      <c r="G8">
        <v>151</v>
      </c>
      <c r="H8">
        <v>0</v>
      </c>
      <c r="I8">
        <v>0</v>
      </c>
      <c r="J8">
        <v>2074</v>
      </c>
      <c r="K8">
        <v>2131</v>
      </c>
      <c r="L8">
        <v>1068</v>
      </c>
      <c r="M8">
        <v>1115</v>
      </c>
      <c r="N8">
        <v>869</v>
      </c>
    </row>
    <row r="9" spans="1:15" x14ac:dyDescent="0.25">
      <c r="A9" t="s">
        <v>288</v>
      </c>
      <c r="B9">
        <v>1198</v>
      </c>
      <c r="C9">
        <v>4756</v>
      </c>
      <c r="D9">
        <v>1108</v>
      </c>
      <c r="E9">
        <v>4555</v>
      </c>
      <c r="F9">
        <v>90</v>
      </c>
      <c r="G9">
        <v>201</v>
      </c>
      <c r="H9">
        <v>0</v>
      </c>
      <c r="I9">
        <v>0</v>
      </c>
      <c r="J9">
        <v>2124</v>
      </c>
      <c r="K9">
        <v>2221</v>
      </c>
      <c r="L9">
        <v>1012</v>
      </c>
      <c r="M9">
        <v>863</v>
      </c>
      <c r="N9">
        <v>706</v>
      </c>
    </row>
    <row r="10" spans="1:15" x14ac:dyDescent="0.25">
      <c r="A10" t="s">
        <v>289</v>
      </c>
      <c r="B10">
        <v>917</v>
      </c>
      <c r="C10">
        <v>4274</v>
      </c>
      <c r="D10">
        <v>886</v>
      </c>
      <c r="E10">
        <v>4185</v>
      </c>
      <c r="F10">
        <v>31</v>
      </c>
      <c r="G10">
        <v>89</v>
      </c>
      <c r="H10">
        <v>0</v>
      </c>
      <c r="I10">
        <v>0</v>
      </c>
      <c r="J10">
        <v>1721</v>
      </c>
      <c r="K10">
        <v>1749</v>
      </c>
      <c r="L10">
        <v>1054</v>
      </c>
      <c r="M10">
        <v>1019</v>
      </c>
      <c r="N10">
        <v>849</v>
      </c>
    </row>
    <row r="11" spans="1:15" x14ac:dyDescent="0.25">
      <c r="A11" t="s">
        <v>290</v>
      </c>
      <c r="B11">
        <v>1511</v>
      </c>
      <c r="C11">
        <v>6924</v>
      </c>
      <c r="D11">
        <v>1488</v>
      </c>
      <c r="E11">
        <v>6866</v>
      </c>
      <c r="F11">
        <v>23</v>
      </c>
      <c r="G11">
        <v>58</v>
      </c>
      <c r="H11">
        <v>0</v>
      </c>
      <c r="I11">
        <v>0</v>
      </c>
      <c r="J11">
        <v>2516</v>
      </c>
      <c r="K11">
        <v>2593</v>
      </c>
      <c r="L11">
        <v>1440</v>
      </c>
      <c r="M11">
        <v>1324</v>
      </c>
      <c r="N11">
        <v>1106</v>
      </c>
    </row>
    <row r="12" spans="1:15" x14ac:dyDescent="0.25">
      <c r="A12" t="s">
        <v>291</v>
      </c>
      <c r="B12">
        <v>91</v>
      </c>
      <c r="C12">
        <v>521</v>
      </c>
      <c r="D12">
        <v>91</v>
      </c>
      <c r="E12">
        <v>521</v>
      </c>
      <c r="F12">
        <v>0</v>
      </c>
      <c r="G12">
        <v>0</v>
      </c>
      <c r="H12">
        <v>0</v>
      </c>
      <c r="I12">
        <v>0</v>
      </c>
      <c r="J12">
        <v>202</v>
      </c>
      <c r="K12">
        <v>205</v>
      </c>
      <c r="L12">
        <v>36</v>
      </c>
      <c r="M12">
        <v>50</v>
      </c>
      <c r="N12">
        <v>43</v>
      </c>
    </row>
    <row r="13" spans="1:15" x14ac:dyDescent="0.25">
      <c r="A13" t="s">
        <v>292</v>
      </c>
      <c r="B13">
        <v>288</v>
      </c>
      <c r="C13">
        <v>1261</v>
      </c>
      <c r="D13">
        <v>233</v>
      </c>
      <c r="E13">
        <v>1131</v>
      </c>
      <c r="F13">
        <v>55</v>
      </c>
      <c r="G13">
        <v>130</v>
      </c>
      <c r="H13">
        <v>0</v>
      </c>
      <c r="I13">
        <v>0</v>
      </c>
      <c r="J13">
        <v>535</v>
      </c>
      <c r="K13">
        <v>547</v>
      </c>
      <c r="L13">
        <v>259</v>
      </c>
      <c r="M13">
        <v>287</v>
      </c>
      <c r="N13">
        <v>243</v>
      </c>
    </row>
    <row r="14" spans="1:15" x14ac:dyDescent="0.25">
      <c r="A14" t="s">
        <v>293</v>
      </c>
      <c r="B14">
        <v>732</v>
      </c>
      <c r="C14">
        <v>2783</v>
      </c>
      <c r="D14">
        <v>510</v>
      </c>
      <c r="E14">
        <v>2296</v>
      </c>
      <c r="F14">
        <v>222</v>
      </c>
      <c r="G14">
        <v>487</v>
      </c>
      <c r="H14">
        <v>0</v>
      </c>
      <c r="I14">
        <v>0</v>
      </c>
      <c r="J14">
        <v>1314</v>
      </c>
      <c r="K14">
        <v>1349</v>
      </c>
      <c r="L14">
        <v>678</v>
      </c>
      <c r="M14">
        <v>625</v>
      </c>
      <c r="N14">
        <v>619</v>
      </c>
    </row>
    <row r="15" spans="1:15" x14ac:dyDescent="0.25">
      <c r="A15" t="s">
        <v>294</v>
      </c>
      <c r="B15">
        <v>216</v>
      </c>
      <c r="C15">
        <v>844</v>
      </c>
      <c r="D15">
        <v>109</v>
      </c>
      <c r="E15">
        <v>578</v>
      </c>
      <c r="F15">
        <v>107</v>
      </c>
      <c r="G15">
        <v>266</v>
      </c>
      <c r="H15">
        <v>0</v>
      </c>
      <c r="I15">
        <v>0</v>
      </c>
      <c r="J15">
        <v>390</v>
      </c>
      <c r="K15">
        <v>393</v>
      </c>
      <c r="L15">
        <v>93</v>
      </c>
      <c r="M15">
        <v>55</v>
      </c>
      <c r="N15">
        <v>49</v>
      </c>
    </row>
    <row r="16" spans="1:15" x14ac:dyDescent="0.25">
      <c r="A16" t="s">
        <v>295</v>
      </c>
      <c r="B16">
        <v>431</v>
      </c>
      <c r="C16">
        <v>2058</v>
      </c>
      <c r="D16">
        <v>346</v>
      </c>
      <c r="E16">
        <v>1846</v>
      </c>
      <c r="F16">
        <v>85</v>
      </c>
      <c r="G16">
        <v>212</v>
      </c>
      <c r="H16">
        <v>0</v>
      </c>
      <c r="I16">
        <v>0</v>
      </c>
      <c r="J16">
        <v>819</v>
      </c>
      <c r="K16">
        <v>814</v>
      </c>
      <c r="L16">
        <v>344</v>
      </c>
      <c r="M16">
        <v>287</v>
      </c>
      <c r="N16">
        <v>271</v>
      </c>
    </row>
    <row r="17" spans="1:14" x14ac:dyDescent="0.25">
      <c r="A17" t="s">
        <v>296</v>
      </c>
      <c r="B17">
        <v>132</v>
      </c>
      <c r="C17">
        <v>723</v>
      </c>
      <c r="D17">
        <v>122</v>
      </c>
      <c r="E17">
        <v>706</v>
      </c>
      <c r="F17">
        <v>10</v>
      </c>
      <c r="G17">
        <v>17</v>
      </c>
      <c r="H17">
        <v>0</v>
      </c>
      <c r="I17">
        <v>0</v>
      </c>
      <c r="J17">
        <v>252</v>
      </c>
      <c r="K17">
        <v>247</v>
      </c>
      <c r="L17">
        <v>158</v>
      </c>
      <c r="M17">
        <v>130</v>
      </c>
      <c r="N17">
        <v>97</v>
      </c>
    </row>
    <row r="18" spans="1:14" x14ac:dyDescent="0.25">
      <c r="A18" t="s">
        <v>297</v>
      </c>
      <c r="B18">
        <v>868</v>
      </c>
      <c r="C18">
        <v>5398</v>
      </c>
      <c r="D18">
        <v>852</v>
      </c>
      <c r="E18">
        <v>5339</v>
      </c>
      <c r="F18">
        <v>16</v>
      </c>
      <c r="G18">
        <v>59</v>
      </c>
      <c r="H18">
        <v>0</v>
      </c>
      <c r="I18">
        <v>0</v>
      </c>
      <c r="J18">
        <v>1513</v>
      </c>
      <c r="K18">
        <v>1550</v>
      </c>
      <c r="L18">
        <v>1177</v>
      </c>
      <c r="M18">
        <v>1282</v>
      </c>
      <c r="N18">
        <v>1050</v>
      </c>
    </row>
    <row r="19" spans="1:14" x14ac:dyDescent="0.25">
      <c r="A19" t="s">
        <v>298</v>
      </c>
      <c r="B19">
        <v>214</v>
      </c>
      <c r="C19">
        <v>1616</v>
      </c>
      <c r="D19">
        <v>206</v>
      </c>
      <c r="E19">
        <v>1595</v>
      </c>
      <c r="F19">
        <v>7</v>
      </c>
      <c r="G19">
        <v>16</v>
      </c>
      <c r="H19">
        <v>1</v>
      </c>
      <c r="I19">
        <v>5</v>
      </c>
      <c r="J19">
        <v>380</v>
      </c>
      <c r="K19">
        <v>377</v>
      </c>
      <c r="L19">
        <v>137</v>
      </c>
      <c r="M19">
        <v>145</v>
      </c>
      <c r="N19">
        <v>116</v>
      </c>
    </row>
    <row r="20" spans="1:14" x14ac:dyDescent="0.25">
      <c r="A20" t="s">
        <v>299</v>
      </c>
      <c r="B20">
        <v>529</v>
      </c>
      <c r="C20">
        <v>2387</v>
      </c>
      <c r="D20">
        <v>357</v>
      </c>
      <c r="E20">
        <v>1974</v>
      </c>
      <c r="F20">
        <v>172</v>
      </c>
      <c r="G20">
        <v>413</v>
      </c>
      <c r="H20">
        <v>0</v>
      </c>
      <c r="I20">
        <v>0</v>
      </c>
      <c r="J20">
        <v>1109</v>
      </c>
      <c r="K20">
        <v>1119</v>
      </c>
      <c r="L20">
        <v>507</v>
      </c>
      <c r="M20">
        <v>475</v>
      </c>
      <c r="N20">
        <v>377</v>
      </c>
    </row>
    <row r="21" spans="1:14" x14ac:dyDescent="0.25">
      <c r="A21" t="s">
        <v>300</v>
      </c>
      <c r="B21">
        <v>1702</v>
      </c>
      <c r="C21">
        <v>7548</v>
      </c>
      <c r="D21">
        <v>1629</v>
      </c>
      <c r="E21">
        <v>7339</v>
      </c>
      <c r="F21">
        <v>73</v>
      </c>
      <c r="G21">
        <v>209</v>
      </c>
      <c r="H21">
        <v>0</v>
      </c>
      <c r="I21">
        <v>0</v>
      </c>
      <c r="J21">
        <v>3115</v>
      </c>
      <c r="K21">
        <v>3144</v>
      </c>
      <c r="L21">
        <v>1756</v>
      </c>
      <c r="M21">
        <v>1639</v>
      </c>
      <c r="N21">
        <v>1527</v>
      </c>
    </row>
    <row r="22" spans="1:14" x14ac:dyDescent="0.25">
      <c r="A22" t="s">
        <v>301</v>
      </c>
      <c r="B22">
        <v>829</v>
      </c>
      <c r="C22">
        <v>3483</v>
      </c>
      <c r="D22">
        <v>649</v>
      </c>
      <c r="E22">
        <v>3044</v>
      </c>
      <c r="F22">
        <v>180</v>
      </c>
      <c r="G22">
        <v>439</v>
      </c>
      <c r="H22">
        <v>0</v>
      </c>
      <c r="I22">
        <v>0</v>
      </c>
      <c r="J22">
        <v>1504</v>
      </c>
      <c r="K22">
        <v>1536</v>
      </c>
      <c r="L22">
        <v>443</v>
      </c>
      <c r="M22">
        <v>357</v>
      </c>
      <c r="N22">
        <v>363</v>
      </c>
    </row>
    <row r="23" spans="1:14" x14ac:dyDescent="0.25">
      <c r="A23" t="s">
        <v>302</v>
      </c>
      <c r="B23">
        <v>480</v>
      </c>
      <c r="C23">
        <v>1727</v>
      </c>
      <c r="D23">
        <v>290</v>
      </c>
      <c r="E23">
        <v>1209</v>
      </c>
      <c r="F23">
        <v>190</v>
      </c>
      <c r="G23">
        <v>518</v>
      </c>
      <c r="H23">
        <v>0</v>
      </c>
      <c r="I23">
        <v>0</v>
      </c>
      <c r="J23">
        <v>959</v>
      </c>
      <c r="K23">
        <v>933</v>
      </c>
      <c r="L23">
        <v>466</v>
      </c>
      <c r="M23">
        <v>430</v>
      </c>
      <c r="N23">
        <v>357</v>
      </c>
    </row>
    <row r="24" spans="1:14" x14ac:dyDescent="0.25">
      <c r="A24" t="s">
        <v>303</v>
      </c>
      <c r="B24">
        <v>1857</v>
      </c>
      <c r="C24">
        <v>7023</v>
      </c>
      <c r="D24">
        <v>1698</v>
      </c>
      <c r="E24">
        <v>6631</v>
      </c>
      <c r="F24">
        <v>156</v>
      </c>
      <c r="G24">
        <v>385</v>
      </c>
      <c r="H24">
        <v>3</v>
      </c>
      <c r="I24">
        <v>7</v>
      </c>
      <c r="J24">
        <v>3816</v>
      </c>
      <c r="K24">
        <v>3840</v>
      </c>
      <c r="L24">
        <v>1345</v>
      </c>
      <c r="M24">
        <v>1199</v>
      </c>
      <c r="N24">
        <v>959</v>
      </c>
    </row>
    <row r="25" spans="1:14" x14ac:dyDescent="0.25">
      <c r="A25" t="s">
        <v>304</v>
      </c>
      <c r="B25">
        <v>354</v>
      </c>
      <c r="C25">
        <v>1305</v>
      </c>
      <c r="D25">
        <v>209</v>
      </c>
      <c r="E25">
        <v>889</v>
      </c>
      <c r="F25">
        <v>145</v>
      </c>
      <c r="G25">
        <v>416</v>
      </c>
      <c r="H25">
        <v>0</v>
      </c>
      <c r="I25">
        <v>0</v>
      </c>
      <c r="J25">
        <v>627</v>
      </c>
      <c r="K25">
        <v>635</v>
      </c>
      <c r="L25">
        <v>255</v>
      </c>
      <c r="M25">
        <v>253</v>
      </c>
      <c r="N25">
        <v>231</v>
      </c>
    </row>
    <row r="26" spans="1:14" x14ac:dyDescent="0.25">
      <c r="A26" t="s">
        <v>305</v>
      </c>
      <c r="B26">
        <v>940</v>
      </c>
      <c r="C26">
        <v>4066</v>
      </c>
      <c r="D26">
        <v>918</v>
      </c>
      <c r="E26">
        <v>4009</v>
      </c>
      <c r="F26">
        <v>22</v>
      </c>
      <c r="G26">
        <v>57</v>
      </c>
      <c r="H26">
        <v>0</v>
      </c>
      <c r="I26">
        <v>0</v>
      </c>
      <c r="J26">
        <v>1698</v>
      </c>
      <c r="K26">
        <v>1718</v>
      </c>
      <c r="L26">
        <v>928</v>
      </c>
      <c r="M26">
        <v>798</v>
      </c>
      <c r="N26">
        <v>791</v>
      </c>
    </row>
    <row r="27" spans="1:14" x14ac:dyDescent="0.25">
      <c r="A27" t="s">
        <v>306</v>
      </c>
      <c r="B27">
        <v>1636</v>
      </c>
      <c r="C27">
        <v>7486</v>
      </c>
      <c r="D27">
        <v>1607</v>
      </c>
      <c r="E27">
        <v>7389</v>
      </c>
      <c r="F27">
        <v>29</v>
      </c>
      <c r="G27">
        <v>97</v>
      </c>
      <c r="H27">
        <v>0</v>
      </c>
      <c r="I27">
        <v>0</v>
      </c>
      <c r="J27">
        <v>2926</v>
      </c>
      <c r="K27">
        <v>3040</v>
      </c>
      <c r="L27">
        <v>1980</v>
      </c>
      <c r="M27">
        <v>1953</v>
      </c>
      <c r="N27">
        <v>1651</v>
      </c>
    </row>
    <row r="28" spans="1:14" x14ac:dyDescent="0.25">
      <c r="A28" t="s">
        <v>307</v>
      </c>
      <c r="B28">
        <v>1063</v>
      </c>
      <c r="C28">
        <v>4821</v>
      </c>
      <c r="D28">
        <v>1027</v>
      </c>
      <c r="E28">
        <v>4725</v>
      </c>
      <c r="F28">
        <v>35</v>
      </c>
      <c r="G28">
        <v>96</v>
      </c>
      <c r="H28">
        <v>1</v>
      </c>
      <c r="I28">
        <v>0</v>
      </c>
      <c r="J28">
        <v>1887</v>
      </c>
      <c r="K28">
        <v>1914</v>
      </c>
      <c r="L28">
        <v>1027</v>
      </c>
      <c r="M28">
        <v>992</v>
      </c>
      <c r="N28">
        <v>784</v>
      </c>
    </row>
    <row r="29" spans="1:14" x14ac:dyDescent="0.25">
      <c r="A29" t="s">
        <v>266</v>
      </c>
      <c r="B29">
        <v>22271</v>
      </c>
      <c r="C29">
        <v>99211</v>
      </c>
      <c r="D29">
        <v>19965</v>
      </c>
      <c r="E29">
        <v>93064</v>
      </c>
      <c r="F29">
        <v>2301</v>
      </c>
      <c r="G29">
        <v>6135</v>
      </c>
      <c r="H29">
        <v>5</v>
      </c>
      <c r="I29">
        <v>12</v>
      </c>
      <c r="J29">
        <v>41052</v>
      </c>
      <c r="K29">
        <v>41674</v>
      </c>
      <c r="L29">
        <v>21543</v>
      </c>
      <c r="M29">
        <v>20302</v>
      </c>
      <c r="N29">
        <v>17857</v>
      </c>
    </row>
    <row r="30" spans="1:14" x14ac:dyDescent="0.25">
      <c r="A30" t="s">
        <v>308</v>
      </c>
      <c r="B30">
        <v>3195</v>
      </c>
      <c r="C30">
        <v>17047</v>
      </c>
      <c r="D30">
        <v>2996</v>
      </c>
      <c r="E30">
        <v>16467</v>
      </c>
      <c r="F30">
        <v>198</v>
      </c>
      <c r="G30">
        <v>575</v>
      </c>
      <c r="H30">
        <v>1</v>
      </c>
      <c r="I30">
        <v>5</v>
      </c>
      <c r="J30">
        <v>5655</v>
      </c>
      <c r="K30">
        <v>5742</v>
      </c>
      <c r="L30">
        <v>3449</v>
      </c>
      <c r="M30">
        <v>3367</v>
      </c>
      <c r="N30">
        <v>2847</v>
      </c>
    </row>
    <row r="31" spans="1:14" x14ac:dyDescent="0.25">
      <c r="A31" t="s">
        <v>309</v>
      </c>
      <c r="B31">
        <v>19076</v>
      </c>
      <c r="C31">
        <v>82164</v>
      </c>
      <c r="D31">
        <v>16969</v>
      </c>
      <c r="E31">
        <v>76597</v>
      </c>
      <c r="F31">
        <v>2103</v>
      </c>
      <c r="G31">
        <v>5560</v>
      </c>
      <c r="H31">
        <v>4</v>
      </c>
      <c r="I31">
        <v>7</v>
      </c>
      <c r="J31">
        <v>35397</v>
      </c>
      <c r="K31">
        <v>35932</v>
      </c>
      <c r="L31">
        <v>18094</v>
      </c>
      <c r="M31">
        <v>16935</v>
      </c>
      <c r="N31">
        <v>15010</v>
      </c>
    </row>
  </sheetData>
  <mergeCells count="8">
    <mergeCell ref="A1:O1"/>
    <mergeCell ref="A2:A3"/>
    <mergeCell ref="L2:N2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tabColor rgb="FFA9D18E"/>
  </sheetPr>
  <dimension ref="A1:N31"/>
  <sheetViews>
    <sheetView workbookViewId="0"/>
  </sheetViews>
  <sheetFormatPr defaultRowHeight="15" x14ac:dyDescent="0.25"/>
  <cols>
    <col min="1" max="1" width="14.5703125" customWidth="1"/>
    <col min="2" max="2" width="6.42578125" customWidth="1"/>
    <col min="3" max="3" width="10.140625" customWidth="1"/>
    <col min="4" max="4" width="10.28515625" customWidth="1"/>
    <col min="5" max="5" width="12" customWidth="1"/>
    <col min="6" max="6" width="9.28515625" customWidth="1"/>
    <col min="7" max="7" width="8" customWidth="1"/>
    <col min="8" max="8" width="9.42578125" customWidth="1"/>
    <col min="9" max="9" width="10" customWidth="1"/>
    <col min="10" max="10" width="9.140625" customWidth="1"/>
    <col min="11" max="11" width="9.85546875" customWidth="1"/>
    <col min="12" max="12" width="10" customWidth="1"/>
    <col min="13" max="13" width="8" customWidth="1"/>
  </cols>
  <sheetData>
    <row r="1" spans="1:14" x14ac:dyDescent="0.25">
      <c r="A1" s="29" t="s">
        <v>530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531</v>
      </c>
      <c r="C2" s="29"/>
      <c r="D2" t="s">
        <v>532</v>
      </c>
      <c r="E2" t="s">
        <v>533</v>
      </c>
      <c r="F2" s="29" t="s">
        <v>534</v>
      </c>
      <c r="G2" s="29"/>
      <c r="H2" s="29"/>
      <c r="I2" s="29"/>
      <c r="J2" s="29"/>
      <c r="K2" s="29"/>
      <c r="L2" s="29"/>
      <c r="M2" s="29"/>
    </row>
    <row r="3" spans="1:14" x14ac:dyDescent="0.25">
      <c r="A3" s="29"/>
      <c r="B3" t="s">
        <v>535</v>
      </c>
      <c r="C3" t="s">
        <v>536</v>
      </c>
      <c r="D3" t="s">
        <v>512</v>
      </c>
      <c r="E3" t="s">
        <v>537</v>
      </c>
      <c r="F3" t="s">
        <v>538</v>
      </c>
      <c r="G3" t="s">
        <v>539</v>
      </c>
      <c r="H3" t="s">
        <v>540</v>
      </c>
      <c r="I3" t="s">
        <v>541</v>
      </c>
      <c r="J3" t="s">
        <v>542</v>
      </c>
      <c r="K3" t="s">
        <v>543</v>
      </c>
      <c r="L3" t="s">
        <v>544</v>
      </c>
      <c r="M3" t="s">
        <v>545</v>
      </c>
    </row>
    <row r="4" spans="1:14" x14ac:dyDescent="0.25">
      <c r="A4" t="s">
        <v>283</v>
      </c>
      <c r="B4">
        <v>38262</v>
      </c>
      <c r="C4">
        <v>11108</v>
      </c>
      <c r="D4">
        <v>1.38</v>
      </c>
      <c r="E4">
        <v>159</v>
      </c>
      <c r="F4">
        <v>141</v>
      </c>
      <c r="G4">
        <v>167</v>
      </c>
      <c r="H4">
        <v>23</v>
      </c>
      <c r="I4">
        <v>26</v>
      </c>
      <c r="J4">
        <v>43</v>
      </c>
      <c r="K4">
        <v>81</v>
      </c>
      <c r="L4">
        <v>67</v>
      </c>
      <c r="M4">
        <v>73</v>
      </c>
    </row>
    <row r="5" spans="1:14" x14ac:dyDescent="0.25">
      <c r="A5" t="s">
        <v>284</v>
      </c>
      <c r="B5">
        <v>49856</v>
      </c>
      <c r="C5">
        <v>5843</v>
      </c>
      <c r="D5">
        <v>1.24</v>
      </c>
      <c r="E5">
        <v>209</v>
      </c>
      <c r="F5">
        <v>167</v>
      </c>
      <c r="G5">
        <v>152</v>
      </c>
      <c r="H5">
        <v>25</v>
      </c>
      <c r="I5">
        <v>43</v>
      </c>
      <c r="J5">
        <v>63</v>
      </c>
      <c r="K5">
        <v>90</v>
      </c>
      <c r="L5">
        <v>80</v>
      </c>
      <c r="M5">
        <v>111</v>
      </c>
    </row>
    <row r="6" spans="1:14" x14ac:dyDescent="0.25">
      <c r="A6" t="s">
        <v>285</v>
      </c>
      <c r="B6">
        <v>18721</v>
      </c>
      <c r="C6">
        <v>8885</v>
      </c>
      <c r="D6">
        <v>1.25</v>
      </c>
      <c r="E6">
        <v>110</v>
      </c>
      <c r="F6">
        <v>118</v>
      </c>
      <c r="G6">
        <v>34</v>
      </c>
      <c r="H6">
        <v>12</v>
      </c>
      <c r="I6">
        <v>21</v>
      </c>
      <c r="J6">
        <v>35</v>
      </c>
      <c r="K6">
        <v>42</v>
      </c>
      <c r="L6">
        <v>44</v>
      </c>
      <c r="M6">
        <v>46</v>
      </c>
    </row>
    <row r="7" spans="1:14" x14ac:dyDescent="0.25">
      <c r="A7" t="s">
        <v>286</v>
      </c>
      <c r="B7">
        <v>24193</v>
      </c>
      <c r="C7">
        <v>67839</v>
      </c>
      <c r="D7">
        <v>1.21</v>
      </c>
      <c r="E7">
        <v>45</v>
      </c>
      <c r="F7">
        <v>119</v>
      </c>
      <c r="G7">
        <v>84</v>
      </c>
      <c r="H7">
        <v>22</v>
      </c>
      <c r="I7">
        <v>37</v>
      </c>
      <c r="J7">
        <v>53</v>
      </c>
      <c r="K7">
        <v>114</v>
      </c>
      <c r="L7">
        <v>111</v>
      </c>
      <c r="M7">
        <v>111</v>
      </c>
    </row>
    <row r="8" spans="1:14" x14ac:dyDescent="0.25">
      <c r="A8" t="s">
        <v>287</v>
      </c>
      <c r="B8">
        <v>27613</v>
      </c>
      <c r="C8">
        <v>16225</v>
      </c>
      <c r="D8">
        <v>1.35</v>
      </c>
      <c r="E8">
        <v>113</v>
      </c>
      <c r="F8">
        <v>259</v>
      </c>
      <c r="G8">
        <v>219</v>
      </c>
      <c r="H8">
        <v>34</v>
      </c>
      <c r="I8">
        <v>38</v>
      </c>
      <c r="J8">
        <v>62</v>
      </c>
      <c r="K8">
        <v>207</v>
      </c>
      <c r="L8">
        <v>196</v>
      </c>
      <c r="M8">
        <v>182</v>
      </c>
    </row>
    <row r="9" spans="1:14" x14ac:dyDescent="0.25">
      <c r="A9" t="s">
        <v>288</v>
      </c>
      <c r="B9">
        <v>46279</v>
      </c>
      <c r="C9">
        <v>11758</v>
      </c>
      <c r="D9">
        <v>1.59</v>
      </c>
      <c r="E9">
        <v>94</v>
      </c>
      <c r="F9">
        <v>121</v>
      </c>
      <c r="G9">
        <v>91</v>
      </c>
      <c r="H9">
        <v>10</v>
      </c>
      <c r="I9">
        <v>10</v>
      </c>
      <c r="J9">
        <v>48</v>
      </c>
      <c r="K9">
        <v>121</v>
      </c>
      <c r="L9">
        <v>105</v>
      </c>
      <c r="M9">
        <v>108</v>
      </c>
    </row>
    <row r="10" spans="1:14" x14ac:dyDescent="0.25">
      <c r="A10" t="s">
        <v>289</v>
      </c>
      <c r="B10">
        <v>10370</v>
      </c>
      <c r="C10">
        <v>5138</v>
      </c>
      <c r="D10">
        <v>1.49</v>
      </c>
      <c r="E10">
        <v>54</v>
      </c>
      <c r="F10">
        <v>171</v>
      </c>
      <c r="G10">
        <v>84</v>
      </c>
      <c r="H10">
        <v>22</v>
      </c>
      <c r="I10">
        <v>46</v>
      </c>
      <c r="J10">
        <v>108</v>
      </c>
      <c r="K10">
        <v>172</v>
      </c>
      <c r="L10">
        <v>159</v>
      </c>
      <c r="M10">
        <v>158</v>
      </c>
    </row>
    <row r="11" spans="1:14" x14ac:dyDescent="0.25">
      <c r="A11" t="s">
        <v>290</v>
      </c>
      <c r="B11">
        <v>50102</v>
      </c>
      <c r="C11">
        <v>12238</v>
      </c>
      <c r="D11">
        <v>1.36</v>
      </c>
      <c r="E11">
        <v>126</v>
      </c>
      <c r="F11">
        <v>173</v>
      </c>
      <c r="G11">
        <v>99</v>
      </c>
      <c r="H11">
        <v>40</v>
      </c>
      <c r="I11">
        <v>78</v>
      </c>
      <c r="J11">
        <v>94</v>
      </c>
      <c r="K11">
        <v>181</v>
      </c>
      <c r="L11">
        <v>164</v>
      </c>
      <c r="M11">
        <v>177</v>
      </c>
    </row>
    <row r="12" spans="1:14" x14ac:dyDescent="0.25">
      <c r="A12" t="s">
        <v>291</v>
      </c>
      <c r="B12">
        <v>13701</v>
      </c>
      <c r="C12">
        <v>1898</v>
      </c>
      <c r="D12">
        <v>1.73</v>
      </c>
      <c r="E12">
        <v>3</v>
      </c>
      <c r="F12">
        <v>13</v>
      </c>
      <c r="G12">
        <v>8</v>
      </c>
      <c r="H12">
        <v>0</v>
      </c>
      <c r="I12">
        <v>0</v>
      </c>
      <c r="J12">
        <v>12</v>
      </c>
      <c r="K12">
        <v>20</v>
      </c>
      <c r="L12">
        <v>18</v>
      </c>
      <c r="M12">
        <v>18</v>
      </c>
    </row>
    <row r="13" spans="1:14" x14ac:dyDescent="0.25">
      <c r="A13" t="s">
        <v>292</v>
      </c>
      <c r="B13">
        <v>15453</v>
      </c>
      <c r="C13">
        <v>9466</v>
      </c>
      <c r="D13">
        <v>1.87</v>
      </c>
      <c r="E13">
        <v>24</v>
      </c>
      <c r="F13">
        <v>26</v>
      </c>
      <c r="G13">
        <v>25</v>
      </c>
      <c r="H13">
        <v>5</v>
      </c>
      <c r="I13">
        <v>3</v>
      </c>
      <c r="J13">
        <v>4</v>
      </c>
      <c r="K13">
        <v>9</v>
      </c>
      <c r="L13">
        <v>10</v>
      </c>
      <c r="M13">
        <v>12</v>
      </c>
    </row>
    <row r="14" spans="1:14" x14ac:dyDescent="0.25">
      <c r="A14" t="s">
        <v>293</v>
      </c>
      <c r="B14">
        <v>88054</v>
      </c>
      <c r="C14">
        <v>17137</v>
      </c>
      <c r="D14">
        <v>1.35</v>
      </c>
      <c r="E14">
        <v>68</v>
      </c>
      <c r="F14">
        <v>95</v>
      </c>
      <c r="G14">
        <v>73</v>
      </c>
      <c r="H14">
        <v>18</v>
      </c>
      <c r="I14">
        <v>19</v>
      </c>
      <c r="J14">
        <v>46</v>
      </c>
      <c r="K14">
        <v>98</v>
      </c>
      <c r="L14">
        <v>94</v>
      </c>
      <c r="M14">
        <v>93</v>
      </c>
    </row>
    <row r="15" spans="1:14" x14ac:dyDescent="0.25">
      <c r="A15" t="s">
        <v>294</v>
      </c>
      <c r="B15">
        <v>18812</v>
      </c>
      <c r="C15">
        <v>5357</v>
      </c>
      <c r="D15">
        <v>1.88</v>
      </c>
      <c r="E15">
        <v>8</v>
      </c>
      <c r="F15">
        <v>33</v>
      </c>
      <c r="G15">
        <v>26</v>
      </c>
      <c r="H15">
        <v>2</v>
      </c>
      <c r="I15">
        <v>2</v>
      </c>
      <c r="J15">
        <v>6</v>
      </c>
      <c r="K15">
        <v>6</v>
      </c>
      <c r="L15">
        <v>6</v>
      </c>
      <c r="M15">
        <v>4</v>
      </c>
    </row>
    <row r="16" spans="1:14" x14ac:dyDescent="0.25">
      <c r="A16" t="s">
        <v>295</v>
      </c>
      <c r="B16">
        <v>21988</v>
      </c>
      <c r="C16">
        <v>8615</v>
      </c>
      <c r="D16">
        <v>1.78</v>
      </c>
      <c r="E16">
        <v>50</v>
      </c>
      <c r="F16">
        <v>96</v>
      </c>
      <c r="G16">
        <v>93</v>
      </c>
      <c r="H16">
        <v>11</v>
      </c>
      <c r="I16">
        <v>13</v>
      </c>
      <c r="J16">
        <v>34</v>
      </c>
      <c r="K16">
        <v>50</v>
      </c>
      <c r="L16">
        <v>46</v>
      </c>
      <c r="M16">
        <v>45</v>
      </c>
    </row>
    <row r="17" spans="1:13" x14ac:dyDescent="0.25">
      <c r="A17" t="s">
        <v>296</v>
      </c>
      <c r="B17">
        <v>20589</v>
      </c>
      <c r="C17">
        <v>4782</v>
      </c>
      <c r="D17">
        <v>1.63</v>
      </c>
      <c r="E17">
        <v>10</v>
      </c>
      <c r="F17">
        <v>16</v>
      </c>
      <c r="G17">
        <v>18</v>
      </c>
      <c r="H17">
        <v>7</v>
      </c>
      <c r="I17">
        <v>3</v>
      </c>
      <c r="J17">
        <v>10</v>
      </c>
      <c r="K17">
        <v>18</v>
      </c>
      <c r="L17">
        <v>19</v>
      </c>
      <c r="M17">
        <v>15</v>
      </c>
    </row>
    <row r="18" spans="1:13" x14ac:dyDescent="0.25">
      <c r="A18" t="s">
        <v>297</v>
      </c>
      <c r="B18">
        <v>61702</v>
      </c>
      <c r="C18">
        <v>16502</v>
      </c>
      <c r="D18">
        <v>1.02</v>
      </c>
      <c r="E18">
        <v>91</v>
      </c>
      <c r="F18">
        <v>84</v>
      </c>
      <c r="G18">
        <v>56</v>
      </c>
      <c r="H18">
        <v>30</v>
      </c>
      <c r="I18">
        <v>22</v>
      </c>
      <c r="J18">
        <v>39</v>
      </c>
      <c r="K18">
        <v>90</v>
      </c>
      <c r="L18">
        <v>85</v>
      </c>
      <c r="M18">
        <v>89</v>
      </c>
    </row>
    <row r="19" spans="1:13" x14ac:dyDescent="0.25">
      <c r="A19" t="s">
        <v>298</v>
      </c>
      <c r="B19">
        <v>24816</v>
      </c>
      <c r="C19">
        <v>14552</v>
      </c>
      <c r="D19">
        <v>1.48</v>
      </c>
      <c r="E19">
        <v>16</v>
      </c>
      <c r="F19">
        <v>34</v>
      </c>
      <c r="G19">
        <v>22</v>
      </c>
      <c r="H19">
        <v>12</v>
      </c>
      <c r="I19">
        <v>4</v>
      </c>
      <c r="J19">
        <v>11</v>
      </c>
      <c r="K19">
        <v>19</v>
      </c>
      <c r="L19">
        <v>18</v>
      </c>
      <c r="M19">
        <v>17</v>
      </c>
    </row>
    <row r="20" spans="1:13" x14ac:dyDescent="0.25">
      <c r="A20" t="s">
        <v>299</v>
      </c>
      <c r="B20">
        <v>29921</v>
      </c>
      <c r="C20">
        <v>13101</v>
      </c>
      <c r="D20">
        <v>1.77</v>
      </c>
      <c r="E20">
        <v>33</v>
      </c>
      <c r="F20">
        <v>82</v>
      </c>
      <c r="G20">
        <v>80</v>
      </c>
      <c r="H20">
        <v>12</v>
      </c>
      <c r="I20">
        <v>13</v>
      </c>
      <c r="J20">
        <v>32</v>
      </c>
      <c r="K20">
        <v>38</v>
      </c>
      <c r="L20">
        <v>37</v>
      </c>
      <c r="M20">
        <v>36</v>
      </c>
    </row>
    <row r="21" spans="1:13" x14ac:dyDescent="0.25">
      <c r="A21" t="s">
        <v>300</v>
      </c>
      <c r="B21">
        <v>14208</v>
      </c>
      <c r="C21">
        <v>5611</v>
      </c>
      <c r="D21">
        <v>1.41</v>
      </c>
      <c r="E21">
        <v>142</v>
      </c>
      <c r="F21">
        <v>278</v>
      </c>
      <c r="G21">
        <v>195</v>
      </c>
      <c r="H21">
        <v>23</v>
      </c>
      <c r="I21">
        <v>38</v>
      </c>
      <c r="J21">
        <v>81</v>
      </c>
      <c r="K21">
        <v>128</v>
      </c>
      <c r="L21">
        <v>114</v>
      </c>
      <c r="M21">
        <v>130</v>
      </c>
    </row>
    <row r="22" spans="1:13" x14ac:dyDescent="0.25">
      <c r="A22" t="s">
        <v>301</v>
      </c>
      <c r="B22">
        <v>36462</v>
      </c>
      <c r="C22">
        <v>9185</v>
      </c>
      <c r="D22">
        <v>1.32</v>
      </c>
      <c r="E22">
        <v>70</v>
      </c>
      <c r="F22">
        <v>143</v>
      </c>
      <c r="G22">
        <v>80</v>
      </c>
      <c r="H22">
        <v>16</v>
      </c>
      <c r="I22">
        <v>16</v>
      </c>
      <c r="J22">
        <v>33</v>
      </c>
      <c r="K22">
        <v>76</v>
      </c>
      <c r="L22">
        <v>75</v>
      </c>
      <c r="M22">
        <v>85</v>
      </c>
    </row>
    <row r="23" spans="1:13" x14ac:dyDescent="0.25">
      <c r="A23" t="s">
        <v>302</v>
      </c>
      <c r="B23">
        <v>27114</v>
      </c>
      <c r="C23">
        <v>4593</v>
      </c>
      <c r="D23">
        <v>1.44</v>
      </c>
      <c r="E23">
        <v>32</v>
      </c>
      <c r="F23">
        <v>99</v>
      </c>
      <c r="G23">
        <v>88</v>
      </c>
      <c r="H23">
        <v>13</v>
      </c>
      <c r="I23">
        <v>12</v>
      </c>
      <c r="J23">
        <v>29</v>
      </c>
      <c r="K23">
        <v>53</v>
      </c>
      <c r="L23">
        <v>52</v>
      </c>
      <c r="M23">
        <v>40</v>
      </c>
    </row>
    <row r="24" spans="1:13" x14ac:dyDescent="0.25">
      <c r="A24" t="s">
        <v>303</v>
      </c>
      <c r="B24">
        <v>21936</v>
      </c>
      <c r="C24">
        <v>7467</v>
      </c>
      <c r="D24">
        <v>1.18</v>
      </c>
      <c r="E24">
        <v>203</v>
      </c>
      <c r="F24">
        <v>134</v>
      </c>
      <c r="G24">
        <v>133</v>
      </c>
      <c r="H24">
        <v>27</v>
      </c>
      <c r="I24">
        <v>13</v>
      </c>
      <c r="J24">
        <v>40</v>
      </c>
      <c r="K24">
        <v>53</v>
      </c>
      <c r="L24">
        <v>61</v>
      </c>
      <c r="M24">
        <v>68</v>
      </c>
    </row>
    <row r="25" spans="1:13" x14ac:dyDescent="0.25">
      <c r="A25" t="s">
        <v>304</v>
      </c>
      <c r="B25">
        <v>18435</v>
      </c>
      <c r="C25">
        <v>5527</v>
      </c>
      <c r="D25">
        <v>1.73</v>
      </c>
      <c r="E25">
        <v>25</v>
      </c>
      <c r="F25">
        <v>69</v>
      </c>
      <c r="G25">
        <v>62</v>
      </c>
      <c r="H25">
        <v>4</v>
      </c>
      <c r="I25">
        <v>7</v>
      </c>
      <c r="J25">
        <v>21</v>
      </c>
      <c r="K25">
        <v>47</v>
      </c>
      <c r="L25">
        <v>42</v>
      </c>
      <c r="M25">
        <v>36</v>
      </c>
    </row>
    <row r="26" spans="1:13" x14ac:dyDescent="0.25">
      <c r="A26" t="s">
        <v>305</v>
      </c>
      <c r="B26">
        <v>31286</v>
      </c>
      <c r="C26">
        <v>9210</v>
      </c>
      <c r="D26">
        <v>1.47</v>
      </c>
      <c r="E26">
        <v>76</v>
      </c>
      <c r="F26">
        <v>113</v>
      </c>
      <c r="G26">
        <v>88</v>
      </c>
      <c r="H26">
        <v>18</v>
      </c>
      <c r="I26">
        <v>29</v>
      </c>
      <c r="J26">
        <v>32</v>
      </c>
      <c r="K26">
        <v>65</v>
      </c>
      <c r="L26">
        <v>56</v>
      </c>
      <c r="M26">
        <v>69</v>
      </c>
    </row>
    <row r="27" spans="1:13" x14ac:dyDescent="0.25">
      <c r="A27" t="s">
        <v>306</v>
      </c>
      <c r="B27">
        <v>30165</v>
      </c>
      <c r="C27">
        <v>47268</v>
      </c>
      <c r="D27">
        <v>1.79</v>
      </c>
      <c r="E27">
        <v>161</v>
      </c>
      <c r="F27">
        <v>299</v>
      </c>
      <c r="G27">
        <v>119</v>
      </c>
      <c r="H27">
        <v>30</v>
      </c>
      <c r="I27">
        <v>77</v>
      </c>
      <c r="J27">
        <v>86</v>
      </c>
      <c r="K27">
        <v>226</v>
      </c>
      <c r="L27">
        <v>221</v>
      </c>
      <c r="M27">
        <v>246</v>
      </c>
    </row>
    <row r="28" spans="1:13" x14ac:dyDescent="0.25">
      <c r="A28" t="s">
        <v>307</v>
      </c>
      <c r="B28">
        <v>27543</v>
      </c>
      <c r="C28">
        <v>10073</v>
      </c>
      <c r="D28">
        <v>1.28</v>
      </c>
      <c r="E28">
        <v>107</v>
      </c>
      <c r="F28">
        <v>101</v>
      </c>
      <c r="G28">
        <v>71</v>
      </c>
      <c r="H28">
        <v>14</v>
      </c>
      <c r="I28">
        <v>18</v>
      </c>
      <c r="J28">
        <v>23</v>
      </c>
      <c r="K28">
        <v>34</v>
      </c>
      <c r="L28">
        <v>36</v>
      </c>
      <c r="M28">
        <v>38</v>
      </c>
    </row>
    <row r="29" spans="1:13" x14ac:dyDescent="0.25">
      <c r="A29" t="s">
        <v>266</v>
      </c>
      <c r="B29">
        <v>33069</v>
      </c>
      <c r="C29">
        <v>13856</v>
      </c>
      <c r="D29">
        <v>1.37</v>
      </c>
      <c r="E29">
        <v>2029</v>
      </c>
      <c r="F29">
        <v>2984</v>
      </c>
      <c r="G29">
        <v>2167</v>
      </c>
      <c r="H29">
        <v>430</v>
      </c>
      <c r="I29">
        <v>588</v>
      </c>
      <c r="J29">
        <v>1045</v>
      </c>
      <c r="K29">
        <v>2038</v>
      </c>
      <c r="L29">
        <v>1916</v>
      </c>
      <c r="M29">
        <v>2007</v>
      </c>
    </row>
    <row r="30" spans="1:13" x14ac:dyDescent="0.25">
      <c r="A30" t="s">
        <v>308</v>
      </c>
      <c r="B30">
        <v>40758</v>
      </c>
      <c r="C30">
        <v>10747</v>
      </c>
      <c r="D30">
        <v>1.2</v>
      </c>
      <c r="E30">
        <v>300</v>
      </c>
      <c r="F30">
        <v>281</v>
      </c>
      <c r="G30">
        <v>226</v>
      </c>
      <c r="H30">
        <v>115</v>
      </c>
      <c r="I30">
        <v>73</v>
      </c>
      <c r="J30">
        <v>152</v>
      </c>
      <c r="K30">
        <v>273</v>
      </c>
      <c r="L30">
        <v>262</v>
      </c>
      <c r="M30">
        <v>272</v>
      </c>
    </row>
    <row r="31" spans="1:13" x14ac:dyDescent="0.25">
      <c r="A31" t="s">
        <v>309</v>
      </c>
      <c r="B31">
        <v>32128</v>
      </c>
      <c r="C31">
        <v>14234</v>
      </c>
      <c r="D31">
        <v>1.42</v>
      </c>
      <c r="E31">
        <v>1729</v>
      </c>
      <c r="F31">
        <v>2703</v>
      </c>
      <c r="G31">
        <v>1941</v>
      </c>
      <c r="H31">
        <v>315</v>
      </c>
      <c r="I31">
        <v>515</v>
      </c>
      <c r="J31">
        <v>893</v>
      </c>
      <c r="K31">
        <v>1765</v>
      </c>
      <c r="L31">
        <v>1654</v>
      </c>
      <c r="M31">
        <v>1735</v>
      </c>
    </row>
  </sheetData>
  <mergeCells count="4">
    <mergeCell ref="F2:M2"/>
    <mergeCell ref="B2:C2"/>
    <mergeCell ref="A2:A3"/>
    <mergeCell ref="A1:N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tabColor rgb="FF7030A0"/>
  </sheetPr>
  <dimension ref="A1:K31"/>
  <sheetViews>
    <sheetView workbookViewId="0"/>
  </sheetViews>
  <sheetFormatPr defaultRowHeight="15" x14ac:dyDescent="0.25"/>
  <cols>
    <col min="1" max="1" width="14.5703125" customWidth="1"/>
    <col min="2" max="2" width="13.140625" customWidth="1"/>
    <col min="3" max="3" width="11.42578125" customWidth="1"/>
    <col min="4" max="4" width="12.42578125" customWidth="1"/>
    <col min="5" max="5" width="14.42578125" customWidth="1"/>
    <col min="6" max="6" width="13.28515625" customWidth="1"/>
    <col min="7" max="7" width="9.140625" customWidth="1"/>
    <col min="8" max="8" width="9" customWidth="1"/>
    <col min="9" max="9" width="9.28515625" customWidth="1"/>
    <col min="10" max="10" width="12.85546875" customWidth="1"/>
  </cols>
  <sheetData>
    <row r="1" spans="1:11" x14ac:dyDescent="0.25">
      <c r="A1" s="29" t="s">
        <v>546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547</v>
      </c>
      <c r="C2" t="s">
        <v>548</v>
      </c>
      <c r="D2" t="s">
        <v>549</v>
      </c>
      <c r="E2" t="s">
        <v>550</v>
      </c>
      <c r="F2" t="s">
        <v>550</v>
      </c>
      <c r="G2" s="29" t="s">
        <v>551</v>
      </c>
      <c r="H2" s="29"/>
      <c r="I2" s="29"/>
      <c r="J2" t="s">
        <v>552</v>
      </c>
    </row>
    <row r="3" spans="1:11" x14ac:dyDescent="0.25">
      <c r="A3" s="29"/>
      <c r="B3" t="s">
        <v>553</v>
      </c>
      <c r="C3" t="s">
        <v>553</v>
      </c>
      <c r="D3" t="s">
        <v>554</v>
      </c>
      <c r="E3" t="s">
        <v>818</v>
      </c>
      <c r="F3" t="s">
        <v>819</v>
      </c>
      <c r="G3" t="s">
        <v>346</v>
      </c>
      <c r="H3" t="s">
        <v>480</v>
      </c>
      <c r="I3" t="s">
        <v>481</v>
      </c>
      <c r="J3" t="s">
        <v>346</v>
      </c>
    </row>
    <row r="4" spans="1:11" x14ac:dyDescent="0.25">
      <c r="A4" t="s">
        <v>283</v>
      </c>
      <c r="B4">
        <v>97.4</v>
      </c>
      <c r="C4">
        <v>66.900000000000006</v>
      </c>
      <c r="D4">
        <v>31.3</v>
      </c>
      <c r="E4">
        <v>80.400000000000006</v>
      </c>
      <c r="F4">
        <v>77.5</v>
      </c>
      <c r="G4">
        <v>97.4</v>
      </c>
      <c r="H4">
        <v>50.1</v>
      </c>
      <c r="I4">
        <v>23.9</v>
      </c>
      <c r="J4">
        <v>80.400000000000006</v>
      </c>
    </row>
    <row r="5" spans="1:11" x14ac:dyDescent="0.25">
      <c r="A5" t="s">
        <v>284</v>
      </c>
      <c r="B5">
        <v>137.19999999999999</v>
      </c>
      <c r="C5">
        <v>90.9</v>
      </c>
      <c r="D5">
        <v>33.799999999999997</v>
      </c>
      <c r="E5">
        <v>77</v>
      </c>
      <c r="F5">
        <v>75.099999999999994</v>
      </c>
      <c r="G5">
        <v>145.19999999999999</v>
      </c>
      <c r="H5">
        <v>68.7</v>
      </c>
      <c r="I5">
        <v>34.1</v>
      </c>
      <c r="J5">
        <v>95.1</v>
      </c>
    </row>
    <row r="6" spans="1:11" x14ac:dyDescent="0.25">
      <c r="A6" t="s">
        <v>285</v>
      </c>
      <c r="B6">
        <v>125.8</v>
      </c>
      <c r="C6">
        <v>91.4</v>
      </c>
      <c r="D6">
        <v>27.4</v>
      </c>
      <c r="E6">
        <v>78.099999999999994</v>
      </c>
      <c r="F6">
        <v>77.099999999999994</v>
      </c>
      <c r="G6">
        <v>123.5</v>
      </c>
      <c r="H6">
        <v>67.3</v>
      </c>
      <c r="I6">
        <v>38.5</v>
      </c>
      <c r="J6">
        <v>95.8</v>
      </c>
    </row>
    <row r="7" spans="1:11" x14ac:dyDescent="0.25">
      <c r="A7" t="s">
        <v>286</v>
      </c>
      <c r="B7">
        <v>114.2</v>
      </c>
      <c r="C7">
        <v>96.4</v>
      </c>
      <c r="D7">
        <v>15.6</v>
      </c>
      <c r="E7">
        <v>81.3</v>
      </c>
      <c r="F7">
        <v>71.8</v>
      </c>
      <c r="G7">
        <v>117.8</v>
      </c>
      <c r="H7">
        <v>66.099999999999994</v>
      </c>
      <c r="I7">
        <v>33.299999999999997</v>
      </c>
      <c r="J7">
        <v>93.2</v>
      </c>
    </row>
    <row r="8" spans="1:11" x14ac:dyDescent="0.25">
      <c r="A8" t="s">
        <v>287</v>
      </c>
      <c r="B8">
        <v>97.8</v>
      </c>
      <c r="C8">
        <v>73.2</v>
      </c>
      <c r="D8">
        <v>25.2</v>
      </c>
      <c r="E8">
        <v>78.099999999999994</v>
      </c>
      <c r="F8">
        <v>69.3</v>
      </c>
      <c r="G8">
        <v>104.9</v>
      </c>
      <c r="H8">
        <v>56.3</v>
      </c>
      <c r="I8">
        <v>25.2</v>
      </c>
      <c r="J8">
        <v>88.2</v>
      </c>
    </row>
    <row r="9" spans="1:11" x14ac:dyDescent="0.25">
      <c r="A9" t="s">
        <v>288</v>
      </c>
      <c r="B9">
        <v>123.1</v>
      </c>
      <c r="C9">
        <v>95.2</v>
      </c>
      <c r="D9">
        <v>22.6</v>
      </c>
      <c r="E9">
        <v>82.7</v>
      </c>
      <c r="F9">
        <v>76.8</v>
      </c>
      <c r="G9">
        <v>117.3</v>
      </c>
      <c r="H9">
        <v>61.1</v>
      </c>
      <c r="I9">
        <v>34</v>
      </c>
      <c r="J9">
        <v>92.8</v>
      </c>
    </row>
    <row r="10" spans="1:11" x14ac:dyDescent="0.25">
      <c r="A10" t="s">
        <v>289</v>
      </c>
      <c r="B10">
        <v>112.5</v>
      </c>
      <c r="C10">
        <v>85.7</v>
      </c>
      <c r="D10">
        <v>23.8</v>
      </c>
      <c r="E10">
        <v>86.8</v>
      </c>
      <c r="F10">
        <v>74.2</v>
      </c>
      <c r="G10">
        <v>111.3</v>
      </c>
      <c r="H10">
        <v>65.8</v>
      </c>
      <c r="I10">
        <v>38</v>
      </c>
      <c r="J10">
        <v>94.9</v>
      </c>
    </row>
    <row r="11" spans="1:11" x14ac:dyDescent="0.25">
      <c r="A11" t="s">
        <v>290</v>
      </c>
      <c r="B11">
        <v>108.5</v>
      </c>
      <c r="C11">
        <v>86.8</v>
      </c>
      <c r="D11">
        <v>20</v>
      </c>
      <c r="E11">
        <v>82.2</v>
      </c>
      <c r="F11">
        <v>77.599999999999994</v>
      </c>
      <c r="G11">
        <v>117.8</v>
      </c>
      <c r="H11">
        <v>66.5</v>
      </c>
      <c r="I11">
        <v>35.4</v>
      </c>
      <c r="J11">
        <v>98</v>
      </c>
    </row>
    <row r="12" spans="1:11" x14ac:dyDescent="0.25">
      <c r="A12" t="s">
        <v>291</v>
      </c>
      <c r="B12">
        <v>108.7</v>
      </c>
      <c r="C12">
        <v>73.599999999999994</v>
      </c>
      <c r="D12">
        <v>32.299999999999997</v>
      </c>
      <c r="E12">
        <v>82.4</v>
      </c>
      <c r="F12">
        <v>77.099999999999994</v>
      </c>
      <c r="G12">
        <v>109.4</v>
      </c>
      <c r="H12">
        <v>55.8</v>
      </c>
      <c r="I12">
        <v>33.1</v>
      </c>
      <c r="J12">
        <v>87.5</v>
      </c>
    </row>
    <row r="13" spans="1:11" x14ac:dyDescent="0.25">
      <c r="A13" t="s">
        <v>292</v>
      </c>
      <c r="B13">
        <v>117.8</v>
      </c>
      <c r="C13">
        <v>66.900000000000006</v>
      </c>
      <c r="D13">
        <v>43.2</v>
      </c>
      <c r="E13">
        <v>83.6</v>
      </c>
      <c r="F13">
        <v>83.4</v>
      </c>
      <c r="G13">
        <v>113.8</v>
      </c>
      <c r="H13">
        <v>63</v>
      </c>
      <c r="I13">
        <v>35.9</v>
      </c>
      <c r="J13">
        <v>87.9</v>
      </c>
    </row>
    <row r="14" spans="1:11" x14ac:dyDescent="0.25">
      <c r="A14" t="s">
        <v>293</v>
      </c>
      <c r="B14">
        <v>141.1</v>
      </c>
      <c r="C14">
        <v>99.4</v>
      </c>
      <c r="D14">
        <v>29.6</v>
      </c>
      <c r="E14">
        <v>70.3</v>
      </c>
      <c r="F14">
        <v>70.900000000000006</v>
      </c>
      <c r="G14">
        <v>132.9</v>
      </c>
      <c r="H14">
        <v>50.9</v>
      </c>
      <c r="I14">
        <v>23.8</v>
      </c>
      <c r="J14">
        <v>88.1</v>
      </c>
    </row>
    <row r="15" spans="1:11" x14ac:dyDescent="0.25">
      <c r="A15" t="s">
        <v>294</v>
      </c>
      <c r="B15">
        <v>141.6</v>
      </c>
      <c r="C15">
        <v>77</v>
      </c>
      <c r="D15">
        <v>45.6</v>
      </c>
      <c r="E15">
        <v>82</v>
      </c>
      <c r="F15">
        <v>78.099999999999994</v>
      </c>
      <c r="G15">
        <v>125.6</v>
      </c>
      <c r="H15">
        <v>53.7</v>
      </c>
      <c r="I15">
        <v>28</v>
      </c>
      <c r="J15">
        <v>83.6</v>
      </c>
    </row>
    <row r="16" spans="1:11" x14ac:dyDescent="0.25">
      <c r="A16" t="s">
        <v>295</v>
      </c>
      <c r="B16">
        <v>119.8</v>
      </c>
      <c r="C16">
        <v>85.1</v>
      </c>
      <c r="D16">
        <v>28.9</v>
      </c>
      <c r="E16">
        <v>80.599999999999994</v>
      </c>
      <c r="F16">
        <v>77.3</v>
      </c>
      <c r="G16">
        <v>115.4</v>
      </c>
      <c r="H16">
        <v>51.3</v>
      </c>
      <c r="I16">
        <v>27.5</v>
      </c>
      <c r="J16">
        <v>93.2</v>
      </c>
    </row>
    <row r="17" spans="1:10" x14ac:dyDescent="0.25">
      <c r="A17" t="s">
        <v>296</v>
      </c>
      <c r="B17">
        <v>108</v>
      </c>
      <c r="C17">
        <v>71</v>
      </c>
      <c r="D17">
        <v>34.200000000000003</v>
      </c>
      <c r="E17">
        <v>98.4</v>
      </c>
      <c r="F17">
        <v>65.8</v>
      </c>
      <c r="G17">
        <v>106.9</v>
      </c>
      <c r="H17">
        <v>63.1</v>
      </c>
      <c r="I17">
        <v>31.7</v>
      </c>
      <c r="J17">
        <v>83</v>
      </c>
    </row>
    <row r="18" spans="1:10" x14ac:dyDescent="0.25">
      <c r="A18" t="s">
        <v>297</v>
      </c>
      <c r="B18">
        <v>54.2</v>
      </c>
      <c r="C18">
        <v>40.700000000000003</v>
      </c>
      <c r="D18">
        <v>24.9</v>
      </c>
      <c r="E18">
        <v>93</v>
      </c>
      <c r="F18">
        <v>84.4</v>
      </c>
      <c r="G18">
        <v>51.9</v>
      </c>
      <c r="H18">
        <v>38.700000000000003</v>
      </c>
      <c r="I18">
        <v>27.6</v>
      </c>
      <c r="J18">
        <v>44.4</v>
      </c>
    </row>
    <row r="19" spans="1:10" x14ac:dyDescent="0.25">
      <c r="A19" t="s">
        <v>298</v>
      </c>
      <c r="B19">
        <v>79.5</v>
      </c>
      <c r="C19">
        <v>39.4</v>
      </c>
      <c r="D19">
        <v>50.5</v>
      </c>
      <c r="E19">
        <v>88.5</v>
      </c>
      <c r="F19">
        <v>79</v>
      </c>
      <c r="G19">
        <v>73.400000000000006</v>
      </c>
      <c r="H19">
        <v>40.4</v>
      </c>
      <c r="I19">
        <v>21.2</v>
      </c>
      <c r="J19">
        <v>57.2</v>
      </c>
    </row>
    <row r="20" spans="1:10" x14ac:dyDescent="0.25">
      <c r="A20" t="s">
        <v>299</v>
      </c>
      <c r="B20">
        <v>115.2</v>
      </c>
      <c r="C20">
        <v>83.1</v>
      </c>
      <c r="D20">
        <v>27.8</v>
      </c>
      <c r="E20">
        <v>87.4</v>
      </c>
      <c r="F20">
        <v>83.3</v>
      </c>
      <c r="G20">
        <v>120.2</v>
      </c>
      <c r="H20">
        <v>54.3</v>
      </c>
      <c r="I20">
        <v>29.7</v>
      </c>
      <c r="J20">
        <v>93.9</v>
      </c>
    </row>
    <row r="21" spans="1:10" x14ac:dyDescent="0.25">
      <c r="A21" t="s">
        <v>300</v>
      </c>
      <c r="B21">
        <v>117</v>
      </c>
      <c r="C21">
        <v>89.4</v>
      </c>
      <c r="D21">
        <v>23.6</v>
      </c>
      <c r="E21">
        <v>77.400000000000006</v>
      </c>
      <c r="F21">
        <v>73.7</v>
      </c>
      <c r="G21">
        <v>128.19999999999999</v>
      </c>
      <c r="H21">
        <v>70.2</v>
      </c>
      <c r="I21">
        <v>35.6</v>
      </c>
      <c r="J21">
        <v>99.5</v>
      </c>
    </row>
    <row r="22" spans="1:10" x14ac:dyDescent="0.25">
      <c r="A22" t="s">
        <v>301</v>
      </c>
      <c r="B22">
        <v>142.1</v>
      </c>
      <c r="C22">
        <v>96.7</v>
      </c>
      <c r="D22">
        <v>31.9</v>
      </c>
      <c r="E22">
        <v>83</v>
      </c>
      <c r="F22">
        <v>81.900000000000006</v>
      </c>
      <c r="G22">
        <v>134.5</v>
      </c>
      <c r="H22">
        <v>67.099999999999994</v>
      </c>
      <c r="I22">
        <v>36</v>
      </c>
      <c r="J22">
        <v>88.4</v>
      </c>
    </row>
    <row r="23" spans="1:10" x14ac:dyDescent="0.25">
      <c r="A23" t="s">
        <v>302</v>
      </c>
      <c r="B23">
        <v>147.4</v>
      </c>
      <c r="C23">
        <v>72.8</v>
      </c>
      <c r="D23">
        <v>50.6</v>
      </c>
      <c r="E23">
        <v>75.7</v>
      </c>
      <c r="F23">
        <v>74.2</v>
      </c>
      <c r="G23">
        <v>147.5</v>
      </c>
      <c r="H23">
        <v>58.9</v>
      </c>
      <c r="I23">
        <v>32.299999999999997</v>
      </c>
      <c r="J23">
        <v>93.5</v>
      </c>
    </row>
    <row r="24" spans="1:10" x14ac:dyDescent="0.25">
      <c r="A24" t="s">
        <v>303</v>
      </c>
      <c r="B24">
        <v>138</v>
      </c>
      <c r="C24">
        <v>93.3</v>
      </c>
      <c r="D24">
        <v>32.4</v>
      </c>
      <c r="E24">
        <v>80.3</v>
      </c>
      <c r="F24">
        <v>80.3</v>
      </c>
      <c r="G24">
        <v>135.1</v>
      </c>
      <c r="H24">
        <v>70.5</v>
      </c>
      <c r="I24">
        <v>40.700000000000003</v>
      </c>
      <c r="J24">
        <v>96.9</v>
      </c>
    </row>
    <row r="25" spans="1:10" x14ac:dyDescent="0.25">
      <c r="A25" t="s">
        <v>304</v>
      </c>
      <c r="B25">
        <v>139.9</v>
      </c>
      <c r="C25">
        <v>92.1</v>
      </c>
      <c r="D25">
        <v>34.1</v>
      </c>
      <c r="E25">
        <v>74.099999999999994</v>
      </c>
      <c r="F25">
        <v>77</v>
      </c>
      <c r="G25">
        <v>132.19999999999999</v>
      </c>
      <c r="H25">
        <v>47</v>
      </c>
      <c r="I25">
        <v>23.2</v>
      </c>
      <c r="J25">
        <v>92.3</v>
      </c>
    </row>
    <row r="26" spans="1:10" x14ac:dyDescent="0.25">
      <c r="A26" t="s">
        <v>305</v>
      </c>
      <c r="B26">
        <v>123.6</v>
      </c>
      <c r="C26">
        <v>93</v>
      </c>
      <c r="D26">
        <v>24.8</v>
      </c>
      <c r="E26">
        <v>87.1</v>
      </c>
      <c r="F26">
        <v>70.2</v>
      </c>
      <c r="G26">
        <v>127.6</v>
      </c>
      <c r="H26">
        <v>75.400000000000006</v>
      </c>
      <c r="I26">
        <v>36.5</v>
      </c>
      <c r="J26">
        <v>98.5</v>
      </c>
    </row>
    <row r="27" spans="1:10" x14ac:dyDescent="0.25">
      <c r="A27" t="s">
        <v>306</v>
      </c>
      <c r="B27">
        <v>104.2</v>
      </c>
      <c r="C27">
        <v>99.4</v>
      </c>
      <c r="D27">
        <v>4.5999999999999996</v>
      </c>
      <c r="E27">
        <v>85.9</v>
      </c>
      <c r="F27">
        <v>76.2</v>
      </c>
      <c r="G27">
        <v>111.5</v>
      </c>
      <c r="H27">
        <v>74.3</v>
      </c>
      <c r="I27">
        <v>47.2</v>
      </c>
      <c r="J27">
        <v>96.7</v>
      </c>
    </row>
    <row r="28" spans="1:10" x14ac:dyDescent="0.25">
      <c r="A28" t="s">
        <v>307</v>
      </c>
      <c r="B28">
        <v>115.3</v>
      </c>
      <c r="C28">
        <v>83.1</v>
      </c>
      <c r="D28">
        <v>27.9</v>
      </c>
      <c r="E28">
        <v>74.3</v>
      </c>
      <c r="F28">
        <v>72.099999999999994</v>
      </c>
      <c r="G28">
        <v>121</v>
      </c>
      <c r="H28">
        <v>56.3</v>
      </c>
      <c r="I28">
        <v>26.9</v>
      </c>
      <c r="J28">
        <v>97</v>
      </c>
    </row>
    <row r="29" spans="1:10" x14ac:dyDescent="0.25">
      <c r="A29" t="s">
        <v>266</v>
      </c>
      <c r="B29">
        <v>108.9</v>
      </c>
      <c r="C29">
        <v>79.7</v>
      </c>
      <c r="D29">
        <v>26.8</v>
      </c>
      <c r="E29">
        <v>81.400000000000006</v>
      </c>
      <c r="F29">
        <v>76.5</v>
      </c>
      <c r="G29">
        <v>110.5</v>
      </c>
      <c r="H29">
        <v>59.7</v>
      </c>
      <c r="I29">
        <v>32.700000000000003</v>
      </c>
      <c r="J29">
        <v>85.8</v>
      </c>
    </row>
    <row r="30" spans="1:10" x14ac:dyDescent="0.25">
      <c r="A30" t="s">
        <v>459</v>
      </c>
      <c r="B30">
        <v>74.099999999999994</v>
      </c>
      <c r="C30">
        <v>53</v>
      </c>
      <c r="D30">
        <v>28.5</v>
      </c>
      <c r="E30">
        <v>94.1</v>
      </c>
      <c r="F30">
        <v>93.8</v>
      </c>
      <c r="G30">
        <v>71.5</v>
      </c>
      <c r="H30">
        <v>48.9</v>
      </c>
      <c r="I30">
        <v>37.299999999999997</v>
      </c>
      <c r="J30">
        <v>57.5</v>
      </c>
    </row>
    <row r="31" spans="1:10" x14ac:dyDescent="0.25">
      <c r="A31" t="s">
        <v>460</v>
      </c>
      <c r="B31">
        <v>121.6</v>
      </c>
      <c r="C31">
        <v>89.4</v>
      </c>
      <c r="D31">
        <v>26.5</v>
      </c>
      <c r="E31">
        <v>78.599999999999994</v>
      </c>
      <c r="F31">
        <v>71.3</v>
      </c>
      <c r="G31">
        <v>124.8</v>
      </c>
      <c r="H31">
        <v>63.6</v>
      </c>
      <c r="I31">
        <v>31</v>
      </c>
      <c r="J31">
        <v>96.1</v>
      </c>
    </row>
  </sheetData>
  <mergeCells count="3">
    <mergeCell ref="G2:I2"/>
    <mergeCell ref="A1:K1"/>
    <mergeCell ref="A2:A3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tabColor rgb="FF7030A0"/>
  </sheetPr>
  <dimension ref="A1:L31"/>
  <sheetViews>
    <sheetView workbookViewId="0"/>
  </sheetViews>
  <sheetFormatPr defaultRowHeight="15" x14ac:dyDescent="0.25"/>
  <cols>
    <col min="1" max="1" width="14.5703125" customWidth="1"/>
    <col min="2" max="2" width="8.5703125" customWidth="1"/>
    <col min="4" max="4" width="7.7109375" customWidth="1"/>
    <col min="6" max="7" width="5.7109375" customWidth="1"/>
    <col min="8" max="8" width="13.5703125" customWidth="1"/>
  </cols>
  <sheetData>
    <row r="1" spans="1:12" x14ac:dyDescent="0.25">
      <c r="A1" s="29" t="s">
        <v>557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s="29" t="s">
        <v>558</v>
      </c>
      <c r="C2" s="29"/>
      <c r="D2" s="29" t="s">
        <v>559</v>
      </c>
      <c r="E2" s="29"/>
      <c r="F2" s="29" t="s">
        <v>560</v>
      </c>
      <c r="G2" s="29"/>
      <c r="H2" s="29" t="s">
        <v>820</v>
      </c>
      <c r="I2" s="29"/>
      <c r="J2" s="29" t="s">
        <v>821</v>
      </c>
      <c r="K2" s="29"/>
    </row>
    <row r="3" spans="1:12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263</v>
      </c>
      <c r="K3" t="s">
        <v>264</v>
      </c>
    </row>
    <row r="4" spans="1:12" x14ac:dyDescent="0.25">
      <c r="A4" t="s">
        <v>283</v>
      </c>
      <c r="B4">
        <v>97.3</v>
      </c>
      <c r="C4">
        <v>97.3</v>
      </c>
      <c r="D4">
        <v>68.8</v>
      </c>
      <c r="E4">
        <v>70.8</v>
      </c>
      <c r="F4">
        <v>29.4</v>
      </c>
      <c r="G4">
        <v>27.3</v>
      </c>
      <c r="H4">
        <v>84</v>
      </c>
      <c r="I4">
        <v>87.6</v>
      </c>
      <c r="J4">
        <v>79.5</v>
      </c>
      <c r="K4">
        <v>81.099999999999994</v>
      </c>
    </row>
    <row r="5" spans="1:12" x14ac:dyDescent="0.25">
      <c r="A5" t="s">
        <v>284</v>
      </c>
      <c r="B5">
        <v>136.69999999999999</v>
      </c>
      <c r="C5">
        <v>136.1</v>
      </c>
      <c r="D5">
        <v>93</v>
      </c>
      <c r="E5">
        <v>95.2</v>
      </c>
      <c r="F5">
        <v>32</v>
      </c>
      <c r="G5">
        <v>30</v>
      </c>
      <c r="H5">
        <v>81.099999999999994</v>
      </c>
      <c r="I5">
        <v>85.2</v>
      </c>
      <c r="J5">
        <v>77.099999999999994</v>
      </c>
      <c r="K5">
        <v>78.8</v>
      </c>
    </row>
    <row r="6" spans="1:12" x14ac:dyDescent="0.25">
      <c r="A6" t="s">
        <v>285</v>
      </c>
      <c r="B6">
        <v>121.6</v>
      </c>
      <c r="C6">
        <v>117.2</v>
      </c>
      <c r="D6">
        <v>91.4</v>
      </c>
      <c r="E6">
        <v>91.5</v>
      </c>
      <c r="F6">
        <v>24.8</v>
      </c>
      <c r="G6">
        <v>22</v>
      </c>
      <c r="H6">
        <v>83</v>
      </c>
      <c r="I6">
        <v>87.7</v>
      </c>
      <c r="J6">
        <v>80.5</v>
      </c>
      <c r="K6">
        <v>83.3</v>
      </c>
    </row>
    <row r="7" spans="1:12" x14ac:dyDescent="0.25">
      <c r="A7" t="s">
        <v>286</v>
      </c>
      <c r="B7">
        <v>113</v>
      </c>
      <c r="C7">
        <v>111.9</v>
      </c>
      <c r="D7">
        <v>96.6</v>
      </c>
      <c r="E7">
        <v>96.8</v>
      </c>
      <c r="F7">
        <v>14.6</v>
      </c>
      <c r="G7">
        <v>13.5</v>
      </c>
      <c r="H7">
        <v>85.9</v>
      </c>
      <c r="I7">
        <v>90.1</v>
      </c>
      <c r="J7">
        <v>72.400000000000006</v>
      </c>
      <c r="K7">
        <v>72.900000000000006</v>
      </c>
    </row>
    <row r="8" spans="1:12" x14ac:dyDescent="0.25">
      <c r="A8" t="s">
        <v>287</v>
      </c>
      <c r="B8">
        <v>95</v>
      </c>
      <c r="C8">
        <v>92.2</v>
      </c>
      <c r="D8">
        <v>71.8</v>
      </c>
      <c r="E8">
        <v>70.400000000000006</v>
      </c>
      <c r="F8">
        <v>24.4</v>
      </c>
      <c r="G8">
        <v>23.7</v>
      </c>
      <c r="H8">
        <v>81.400000000000006</v>
      </c>
      <c r="I8">
        <v>84.6</v>
      </c>
      <c r="J8">
        <v>69.2</v>
      </c>
      <c r="K8">
        <v>69.2</v>
      </c>
    </row>
    <row r="9" spans="1:12" x14ac:dyDescent="0.25">
      <c r="A9" t="s">
        <v>288</v>
      </c>
      <c r="B9">
        <v>125</v>
      </c>
      <c r="C9">
        <v>126.9</v>
      </c>
      <c r="D9">
        <v>95.8</v>
      </c>
      <c r="E9">
        <v>96.4</v>
      </c>
      <c r="F9">
        <v>23.3</v>
      </c>
      <c r="G9">
        <v>24</v>
      </c>
      <c r="H9">
        <v>85.8</v>
      </c>
      <c r="I9">
        <v>88.8</v>
      </c>
      <c r="J9">
        <v>78.400000000000006</v>
      </c>
      <c r="K9">
        <v>79.7</v>
      </c>
    </row>
    <row r="10" spans="1:12" x14ac:dyDescent="0.25">
      <c r="A10" t="s">
        <v>289</v>
      </c>
      <c r="B10">
        <v>108.3</v>
      </c>
      <c r="C10">
        <v>103.9</v>
      </c>
      <c r="D10">
        <v>83.5</v>
      </c>
      <c r="E10">
        <v>81.099999999999994</v>
      </c>
      <c r="F10">
        <v>22.9</v>
      </c>
      <c r="G10">
        <v>21.9</v>
      </c>
      <c r="H10">
        <v>91</v>
      </c>
      <c r="I10">
        <v>95.3</v>
      </c>
      <c r="J10">
        <v>75.099999999999994</v>
      </c>
      <c r="K10">
        <v>75.8</v>
      </c>
    </row>
    <row r="11" spans="1:12" x14ac:dyDescent="0.25">
      <c r="A11" t="s">
        <v>290</v>
      </c>
      <c r="B11">
        <v>105.9</v>
      </c>
      <c r="C11">
        <v>103.2</v>
      </c>
      <c r="D11">
        <v>85.1</v>
      </c>
      <c r="E11">
        <v>83.4</v>
      </c>
      <c r="F11">
        <v>19.600000000000001</v>
      </c>
      <c r="G11">
        <v>19.2</v>
      </c>
      <c r="H11">
        <v>86.6</v>
      </c>
      <c r="I11">
        <v>91.2</v>
      </c>
      <c r="J11">
        <v>80.099999999999994</v>
      </c>
      <c r="K11">
        <v>82.3</v>
      </c>
    </row>
    <row r="12" spans="1:12" x14ac:dyDescent="0.25">
      <c r="A12" t="s">
        <v>291</v>
      </c>
      <c r="B12">
        <v>107.5</v>
      </c>
      <c r="C12">
        <v>106.1</v>
      </c>
      <c r="D12">
        <v>73.2</v>
      </c>
      <c r="E12">
        <v>72.7</v>
      </c>
      <c r="F12">
        <v>31.9</v>
      </c>
      <c r="G12">
        <v>31.5</v>
      </c>
      <c r="H12">
        <v>88.7</v>
      </c>
      <c r="I12">
        <v>94.1</v>
      </c>
      <c r="J12">
        <v>80.8</v>
      </c>
      <c r="K12">
        <v>84</v>
      </c>
    </row>
    <row r="13" spans="1:12" x14ac:dyDescent="0.25">
      <c r="A13" t="s">
        <v>292</v>
      </c>
      <c r="B13">
        <v>124.5</v>
      </c>
      <c r="C13">
        <v>132.1</v>
      </c>
      <c r="D13">
        <v>69.900000000000006</v>
      </c>
      <c r="E13">
        <v>73.099999999999994</v>
      </c>
      <c r="F13">
        <v>43.9</v>
      </c>
      <c r="G13">
        <v>44.6</v>
      </c>
      <c r="H13">
        <v>86.5</v>
      </c>
      <c r="I13">
        <v>89.4</v>
      </c>
      <c r="J13">
        <v>84.6</v>
      </c>
      <c r="K13">
        <v>85.8</v>
      </c>
    </row>
    <row r="14" spans="1:12" x14ac:dyDescent="0.25">
      <c r="A14" t="s">
        <v>293</v>
      </c>
      <c r="B14">
        <v>143.9</v>
      </c>
      <c r="C14">
        <v>146.9</v>
      </c>
      <c r="D14">
        <v>96.7</v>
      </c>
      <c r="E14">
        <v>93.7</v>
      </c>
      <c r="F14">
        <v>32.799999999999997</v>
      </c>
      <c r="G14">
        <v>36.200000000000003</v>
      </c>
      <c r="H14">
        <v>73.599999999999994</v>
      </c>
      <c r="I14">
        <v>76.400000000000006</v>
      </c>
      <c r="J14">
        <v>73</v>
      </c>
      <c r="K14">
        <v>74.7</v>
      </c>
    </row>
    <row r="15" spans="1:12" x14ac:dyDescent="0.25">
      <c r="A15" t="s">
        <v>294</v>
      </c>
      <c r="B15">
        <v>148.1</v>
      </c>
      <c r="C15">
        <v>155.80000000000001</v>
      </c>
      <c r="D15">
        <v>84.2</v>
      </c>
      <c r="E15">
        <v>92.6</v>
      </c>
      <c r="F15">
        <v>43.2</v>
      </c>
      <c r="G15">
        <v>40.5</v>
      </c>
      <c r="H15">
        <v>83.6</v>
      </c>
      <c r="I15">
        <v>85</v>
      </c>
      <c r="J15">
        <v>79.3</v>
      </c>
      <c r="K15">
        <v>80.400000000000006</v>
      </c>
    </row>
    <row r="16" spans="1:12" x14ac:dyDescent="0.25">
      <c r="A16" t="s">
        <v>295</v>
      </c>
      <c r="B16">
        <v>121.7</v>
      </c>
      <c r="C16">
        <v>123.7</v>
      </c>
      <c r="D16">
        <v>87.3</v>
      </c>
      <c r="E16">
        <v>89.7</v>
      </c>
      <c r="F16">
        <v>28.2</v>
      </c>
      <c r="G16">
        <v>27.5</v>
      </c>
      <c r="H16">
        <v>84.3</v>
      </c>
      <c r="I16">
        <v>87.9</v>
      </c>
      <c r="J16">
        <v>77.099999999999994</v>
      </c>
      <c r="K16">
        <v>76.900000000000006</v>
      </c>
    </row>
    <row r="17" spans="1:11" x14ac:dyDescent="0.25">
      <c r="A17" t="s">
        <v>296</v>
      </c>
      <c r="B17">
        <v>114.8</v>
      </c>
      <c r="C17">
        <v>122.5</v>
      </c>
      <c r="D17">
        <v>78.5</v>
      </c>
      <c r="E17">
        <v>87</v>
      </c>
      <c r="F17">
        <v>31.6</v>
      </c>
      <c r="G17">
        <v>29</v>
      </c>
      <c r="H17">
        <v>99.2</v>
      </c>
      <c r="I17">
        <v>99.9</v>
      </c>
      <c r="J17">
        <v>73.5</v>
      </c>
      <c r="K17">
        <v>79.7</v>
      </c>
    </row>
    <row r="18" spans="1:11" x14ac:dyDescent="0.25">
      <c r="A18" t="s">
        <v>297</v>
      </c>
      <c r="B18">
        <v>52</v>
      </c>
      <c r="C18">
        <v>49.8</v>
      </c>
      <c r="D18">
        <v>39.9</v>
      </c>
      <c r="E18">
        <v>39</v>
      </c>
      <c r="F18">
        <v>23.4</v>
      </c>
      <c r="G18">
        <v>21.7</v>
      </c>
      <c r="H18">
        <v>93.2</v>
      </c>
      <c r="I18">
        <v>93.5</v>
      </c>
      <c r="J18">
        <v>85.6</v>
      </c>
      <c r="K18">
        <v>86.7</v>
      </c>
    </row>
    <row r="19" spans="1:11" x14ac:dyDescent="0.25">
      <c r="A19" t="s">
        <v>298</v>
      </c>
      <c r="B19">
        <v>82.8</v>
      </c>
      <c r="C19">
        <v>86.7</v>
      </c>
      <c r="D19">
        <v>42.8</v>
      </c>
      <c r="E19">
        <v>46.9</v>
      </c>
      <c r="F19">
        <v>48.3</v>
      </c>
      <c r="G19">
        <v>45.9</v>
      </c>
      <c r="H19">
        <v>89.3</v>
      </c>
      <c r="I19">
        <v>90</v>
      </c>
      <c r="J19">
        <v>81.2</v>
      </c>
      <c r="K19">
        <v>83.1</v>
      </c>
    </row>
    <row r="20" spans="1:11" x14ac:dyDescent="0.25">
      <c r="A20" t="s">
        <v>299</v>
      </c>
      <c r="B20">
        <v>121.3</v>
      </c>
      <c r="C20">
        <v>128.19999999999999</v>
      </c>
      <c r="D20">
        <v>90.5</v>
      </c>
      <c r="E20">
        <v>98.9</v>
      </c>
      <c r="F20">
        <v>25.3</v>
      </c>
      <c r="G20">
        <v>22.8</v>
      </c>
      <c r="H20">
        <v>87.9</v>
      </c>
      <c r="I20">
        <v>88.2</v>
      </c>
      <c r="J20">
        <v>81.400000000000006</v>
      </c>
      <c r="K20">
        <v>80</v>
      </c>
    </row>
    <row r="21" spans="1:11" x14ac:dyDescent="0.25">
      <c r="A21" t="s">
        <v>300</v>
      </c>
      <c r="B21">
        <v>109.8</v>
      </c>
      <c r="C21">
        <v>102.8</v>
      </c>
      <c r="D21">
        <v>84.3</v>
      </c>
      <c r="E21">
        <v>79.3</v>
      </c>
      <c r="F21">
        <v>23.2</v>
      </c>
      <c r="G21">
        <v>22.8</v>
      </c>
      <c r="H21">
        <v>82.8</v>
      </c>
      <c r="I21">
        <v>88.6</v>
      </c>
      <c r="J21">
        <v>74.400000000000006</v>
      </c>
      <c r="K21">
        <v>75.099999999999994</v>
      </c>
    </row>
    <row r="22" spans="1:11" x14ac:dyDescent="0.25">
      <c r="A22" t="s">
        <v>301</v>
      </c>
      <c r="B22">
        <v>139.6</v>
      </c>
      <c r="C22">
        <v>137</v>
      </c>
      <c r="D22">
        <v>96.5</v>
      </c>
      <c r="E22">
        <v>96.2</v>
      </c>
      <c r="F22">
        <v>30.9</v>
      </c>
      <c r="G22">
        <v>29.8</v>
      </c>
      <c r="H22">
        <v>86.6</v>
      </c>
      <c r="I22">
        <v>90</v>
      </c>
      <c r="J22">
        <v>82.9</v>
      </c>
      <c r="K22">
        <v>83.7</v>
      </c>
    </row>
    <row r="23" spans="1:11" x14ac:dyDescent="0.25">
      <c r="A23" t="s">
        <v>302</v>
      </c>
      <c r="B23">
        <v>154.19999999999999</v>
      </c>
      <c r="C23">
        <v>161.9</v>
      </c>
      <c r="D23">
        <v>77.7</v>
      </c>
      <c r="E23">
        <v>83.3</v>
      </c>
      <c r="F23">
        <v>49.6</v>
      </c>
      <c r="G23">
        <v>48.5</v>
      </c>
      <c r="H23">
        <v>78.099999999999994</v>
      </c>
      <c r="I23">
        <v>80.7</v>
      </c>
      <c r="J23">
        <v>77</v>
      </c>
      <c r="K23">
        <v>80.099999999999994</v>
      </c>
    </row>
    <row r="24" spans="1:11" x14ac:dyDescent="0.25">
      <c r="A24" t="s">
        <v>303</v>
      </c>
      <c r="B24">
        <v>136.80000000000001</v>
      </c>
      <c r="C24">
        <v>135.6</v>
      </c>
      <c r="D24">
        <v>95.7</v>
      </c>
      <c r="E24">
        <v>98.2</v>
      </c>
      <c r="F24">
        <v>30.1</v>
      </c>
      <c r="G24">
        <v>27.5</v>
      </c>
      <c r="H24">
        <v>85</v>
      </c>
      <c r="I24">
        <v>89.3</v>
      </c>
      <c r="J24">
        <v>84.3</v>
      </c>
      <c r="K24">
        <v>87.5</v>
      </c>
    </row>
    <row r="25" spans="1:11" x14ac:dyDescent="0.25">
      <c r="A25" t="s">
        <v>304</v>
      </c>
      <c r="B25">
        <v>147.1</v>
      </c>
      <c r="C25">
        <v>155.4</v>
      </c>
      <c r="D25">
        <v>94</v>
      </c>
      <c r="E25">
        <v>96.2</v>
      </c>
      <c r="F25">
        <v>36.1</v>
      </c>
      <c r="G25">
        <v>38.1</v>
      </c>
      <c r="H25">
        <v>75.400000000000006</v>
      </c>
      <c r="I25">
        <v>76.599999999999994</v>
      </c>
      <c r="J25">
        <v>76.7</v>
      </c>
      <c r="K25">
        <v>76.400000000000006</v>
      </c>
    </row>
    <row r="26" spans="1:11" x14ac:dyDescent="0.25">
      <c r="A26" t="s">
        <v>305</v>
      </c>
      <c r="B26">
        <v>119.4</v>
      </c>
      <c r="C26">
        <v>115.1</v>
      </c>
      <c r="D26">
        <v>92</v>
      </c>
      <c r="E26">
        <v>91.1</v>
      </c>
      <c r="F26">
        <v>22.9</v>
      </c>
      <c r="G26">
        <v>20.9</v>
      </c>
      <c r="H26">
        <v>89.5</v>
      </c>
      <c r="I26">
        <v>91.9</v>
      </c>
      <c r="J26">
        <v>70.2</v>
      </c>
      <c r="K26">
        <v>70.2</v>
      </c>
    </row>
    <row r="27" spans="1:11" x14ac:dyDescent="0.25">
      <c r="A27" t="s">
        <v>306</v>
      </c>
      <c r="B27">
        <v>100.6</v>
      </c>
      <c r="C27">
        <v>97</v>
      </c>
      <c r="D27">
        <v>96.2</v>
      </c>
      <c r="E27">
        <v>92.9</v>
      </c>
      <c r="F27">
        <v>4.5</v>
      </c>
      <c r="G27">
        <v>4.3</v>
      </c>
      <c r="H27">
        <v>89.1</v>
      </c>
      <c r="I27">
        <v>92.3</v>
      </c>
      <c r="J27">
        <v>77.900000000000006</v>
      </c>
      <c r="K27">
        <v>79.400000000000006</v>
      </c>
    </row>
    <row r="28" spans="1:11" x14ac:dyDescent="0.25">
      <c r="A28" t="s">
        <v>307</v>
      </c>
      <c r="B28">
        <v>113.2</v>
      </c>
      <c r="C28">
        <v>111.1</v>
      </c>
      <c r="D28">
        <v>83.1</v>
      </c>
      <c r="E28">
        <v>83.1</v>
      </c>
      <c r="F28">
        <v>26.6</v>
      </c>
      <c r="G28">
        <v>25.2</v>
      </c>
      <c r="H28">
        <v>78.8</v>
      </c>
      <c r="I28">
        <v>83.1</v>
      </c>
      <c r="J28">
        <v>74.400000000000006</v>
      </c>
      <c r="K28">
        <v>76.3</v>
      </c>
    </row>
    <row r="29" spans="1:11" x14ac:dyDescent="0.25">
      <c r="A29" t="s">
        <v>266</v>
      </c>
      <c r="B29">
        <v>107.2</v>
      </c>
      <c r="C29">
        <v>105.5</v>
      </c>
      <c r="D29">
        <v>79.599999999999994</v>
      </c>
      <c r="E29">
        <v>79.400000000000006</v>
      </c>
      <c r="F29">
        <v>25.8</v>
      </c>
      <c r="G29">
        <v>24.7</v>
      </c>
      <c r="H29">
        <v>85</v>
      </c>
      <c r="I29">
        <v>88.5</v>
      </c>
      <c r="J29">
        <v>78.2</v>
      </c>
      <c r="K29">
        <v>79.599999999999994</v>
      </c>
    </row>
    <row r="30" spans="1:11" x14ac:dyDescent="0.25">
      <c r="A30" t="s">
        <v>459</v>
      </c>
      <c r="B30">
        <v>72.2</v>
      </c>
      <c r="C30">
        <v>70.2</v>
      </c>
      <c r="D30">
        <v>52.6</v>
      </c>
      <c r="E30">
        <v>52.3</v>
      </c>
      <c r="F30">
        <v>27.1</v>
      </c>
      <c r="G30">
        <v>25.6</v>
      </c>
      <c r="H30">
        <v>95.6</v>
      </c>
      <c r="I30">
        <v>97</v>
      </c>
      <c r="J30">
        <v>96.4</v>
      </c>
      <c r="K30">
        <v>98.8</v>
      </c>
    </row>
    <row r="31" spans="1:11" x14ac:dyDescent="0.25">
      <c r="A31" t="s">
        <v>460</v>
      </c>
      <c r="B31">
        <v>120</v>
      </c>
      <c r="C31">
        <v>118.4</v>
      </c>
      <c r="D31">
        <v>89.4</v>
      </c>
      <c r="E31">
        <v>89.4</v>
      </c>
      <c r="F31">
        <v>25.5</v>
      </c>
      <c r="G31">
        <v>24.5</v>
      </c>
      <c r="H31">
        <v>82.7</v>
      </c>
      <c r="I31">
        <v>86.7</v>
      </c>
      <c r="J31">
        <v>73</v>
      </c>
      <c r="K31">
        <v>74.5</v>
      </c>
    </row>
  </sheetData>
  <mergeCells count="7">
    <mergeCell ref="A1:L1"/>
    <mergeCell ref="A2:A3"/>
    <mergeCell ref="F2:G2"/>
    <mergeCell ref="B2:C2"/>
    <mergeCell ref="H2:I2"/>
    <mergeCell ref="D2:E2"/>
    <mergeCell ref="J2:K2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85546875" customWidth="1"/>
    <col min="3" max="3" width="7.7109375" customWidth="1"/>
    <col min="4" max="4" width="8" customWidth="1"/>
    <col min="5" max="5" width="7.855468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  <col min="11" max="11" width="7.85546875" customWidth="1"/>
    <col min="12" max="12" width="7.7109375" customWidth="1"/>
    <col min="13" max="13" width="8" customWidth="1"/>
  </cols>
  <sheetData>
    <row r="1" spans="1:14" x14ac:dyDescent="0.25">
      <c r="A1" s="29" t="s">
        <v>563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564</v>
      </c>
      <c r="C2" s="29"/>
      <c r="D2" s="29"/>
      <c r="E2" s="29" t="s">
        <v>565</v>
      </c>
      <c r="F2" s="29"/>
      <c r="G2" s="29"/>
      <c r="H2" s="29" t="s">
        <v>566</v>
      </c>
      <c r="I2" s="29"/>
      <c r="J2" s="29"/>
      <c r="K2" s="29" t="s">
        <v>567</v>
      </c>
      <c r="L2" s="29"/>
      <c r="M2" s="29"/>
    </row>
    <row r="3" spans="1:14" x14ac:dyDescent="0.25">
      <c r="A3" s="29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5</v>
      </c>
      <c r="C4">
        <v>0.8</v>
      </c>
      <c r="D4">
        <v>0.7</v>
      </c>
      <c r="E4">
        <v>16.2</v>
      </c>
      <c r="F4">
        <v>31.5</v>
      </c>
      <c r="G4">
        <v>23.5</v>
      </c>
      <c r="H4">
        <v>3.8</v>
      </c>
      <c r="I4">
        <v>0.5</v>
      </c>
      <c r="J4">
        <v>0.7</v>
      </c>
      <c r="K4">
        <v>14.9</v>
      </c>
      <c r="L4">
        <v>29.3</v>
      </c>
      <c r="M4">
        <v>21</v>
      </c>
    </row>
    <row r="5" spans="1:14" x14ac:dyDescent="0.25">
      <c r="A5" t="s">
        <v>284</v>
      </c>
      <c r="B5">
        <v>7</v>
      </c>
      <c r="C5">
        <v>1.1000000000000001</v>
      </c>
      <c r="D5">
        <v>1.3</v>
      </c>
      <c r="E5">
        <v>33.799999999999997</v>
      </c>
      <c r="F5">
        <v>34.299999999999997</v>
      </c>
      <c r="G5">
        <v>28.1</v>
      </c>
      <c r="H5">
        <v>5.4</v>
      </c>
      <c r="I5">
        <v>0.8</v>
      </c>
      <c r="J5">
        <v>1.2</v>
      </c>
      <c r="K5">
        <v>33.1</v>
      </c>
      <c r="L5">
        <v>31.5</v>
      </c>
      <c r="M5">
        <v>26.4</v>
      </c>
    </row>
    <row r="6" spans="1:14" x14ac:dyDescent="0.25">
      <c r="A6" t="s">
        <v>285</v>
      </c>
      <c r="B6">
        <v>9.9</v>
      </c>
      <c r="C6">
        <v>1.2</v>
      </c>
      <c r="D6">
        <v>1.3</v>
      </c>
      <c r="E6">
        <v>26.5</v>
      </c>
      <c r="F6">
        <v>31.2</v>
      </c>
      <c r="G6">
        <v>24.5</v>
      </c>
      <c r="H6">
        <v>6.9</v>
      </c>
      <c r="I6">
        <v>0.9</v>
      </c>
      <c r="J6">
        <v>1.3</v>
      </c>
      <c r="K6">
        <v>30.3</v>
      </c>
      <c r="L6">
        <v>28.7</v>
      </c>
      <c r="M6">
        <v>22.4</v>
      </c>
    </row>
    <row r="7" spans="1:14" x14ac:dyDescent="0.25">
      <c r="A7" t="s">
        <v>286</v>
      </c>
      <c r="B7">
        <v>8.4</v>
      </c>
      <c r="C7">
        <v>0.7</v>
      </c>
      <c r="D7">
        <v>1.1000000000000001</v>
      </c>
      <c r="E7">
        <v>20.3</v>
      </c>
      <c r="F7">
        <v>32.299999999999997</v>
      </c>
      <c r="G7">
        <v>27.8</v>
      </c>
      <c r="H7">
        <v>5.6</v>
      </c>
      <c r="I7">
        <v>0.5</v>
      </c>
      <c r="J7">
        <v>1</v>
      </c>
      <c r="K7">
        <v>19.8</v>
      </c>
      <c r="L7">
        <v>30.6</v>
      </c>
      <c r="M7">
        <v>26</v>
      </c>
    </row>
    <row r="8" spans="1:14" x14ac:dyDescent="0.25">
      <c r="A8" t="s">
        <v>287</v>
      </c>
      <c r="B8">
        <v>5.9</v>
      </c>
      <c r="C8">
        <v>0.7</v>
      </c>
      <c r="D8">
        <v>0.7</v>
      </c>
      <c r="E8">
        <v>14.9</v>
      </c>
      <c r="F8">
        <v>29.9</v>
      </c>
      <c r="G8">
        <v>27</v>
      </c>
      <c r="H8">
        <v>4.9000000000000004</v>
      </c>
      <c r="I8">
        <v>0.4</v>
      </c>
      <c r="J8">
        <v>0.6</v>
      </c>
      <c r="K8">
        <v>13.8</v>
      </c>
      <c r="L8">
        <v>27.4</v>
      </c>
      <c r="M8">
        <v>25.7</v>
      </c>
    </row>
    <row r="9" spans="1:14" x14ac:dyDescent="0.25">
      <c r="A9" t="s">
        <v>288</v>
      </c>
      <c r="B9">
        <v>7.8</v>
      </c>
      <c r="C9">
        <v>0.8</v>
      </c>
      <c r="D9">
        <v>0.7</v>
      </c>
      <c r="E9">
        <v>23.1</v>
      </c>
      <c r="F9">
        <v>34.9</v>
      </c>
      <c r="G9">
        <v>29.1</v>
      </c>
      <c r="H9">
        <v>5.6</v>
      </c>
      <c r="I9">
        <v>0.5</v>
      </c>
      <c r="J9">
        <v>0.4</v>
      </c>
      <c r="K9">
        <v>25</v>
      </c>
      <c r="L9">
        <v>31.9</v>
      </c>
      <c r="M9">
        <v>27.1</v>
      </c>
    </row>
    <row r="10" spans="1:14" x14ac:dyDescent="0.25">
      <c r="A10" t="s">
        <v>289</v>
      </c>
      <c r="B10">
        <v>5.3</v>
      </c>
      <c r="C10">
        <v>1.5</v>
      </c>
      <c r="D10">
        <v>1.2</v>
      </c>
      <c r="E10">
        <v>13.5</v>
      </c>
      <c r="F10">
        <v>31.4</v>
      </c>
      <c r="G10">
        <v>27.3</v>
      </c>
      <c r="H10">
        <v>3.9</v>
      </c>
      <c r="I10">
        <v>1</v>
      </c>
      <c r="J10">
        <v>1</v>
      </c>
      <c r="K10">
        <v>12.2</v>
      </c>
      <c r="L10">
        <v>28.7</v>
      </c>
      <c r="M10">
        <v>24</v>
      </c>
    </row>
    <row r="11" spans="1:14" x14ac:dyDescent="0.25">
      <c r="A11" t="s">
        <v>290</v>
      </c>
      <c r="B11">
        <v>11.6</v>
      </c>
      <c r="C11">
        <v>1</v>
      </c>
      <c r="D11">
        <v>0.9</v>
      </c>
      <c r="E11">
        <v>14.8</v>
      </c>
      <c r="F11">
        <v>29.5</v>
      </c>
      <c r="G11">
        <v>22.7</v>
      </c>
      <c r="H11">
        <v>9.1</v>
      </c>
      <c r="I11">
        <v>0.7</v>
      </c>
      <c r="J11">
        <v>0.6</v>
      </c>
      <c r="K11">
        <v>12.6</v>
      </c>
      <c r="L11">
        <v>26</v>
      </c>
      <c r="M11">
        <v>20.6</v>
      </c>
    </row>
    <row r="12" spans="1:14" x14ac:dyDescent="0.25">
      <c r="A12" t="s">
        <v>291</v>
      </c>
      <c r="B12">
        <v>5.6</v>
      </c>
      <c r="C12">
        <v>2.5</v>
      </c>
      <c r="D12">
        <v>0.1</v>
      </c>
      <c r="E12">
        <v>18.8</v>
      </c>
      <c r="F12">
        <v>37.299999999999997</v>
      </c>
      <c r="G12">
        <v>33.200000000000003</v>
      </c>
      <c r="H12">
        <v>3.8</v>
      </c>
      <c r="I12">
        <v>1.2</v>
      </c>
      <c r="J12">
        <v>0.2</v>
      </c>
      <c r="K12">
        <v>17.3</v>
      </c>
      <c r="L12">
        <v>31.6</v>
      </c>
      <c r="M12">
        <v>29</v>
      </c>
    </row>
    <row r="13" spans="1:14" x14ac:dyDescent="0.25">
      <c r="A13" t="s">
        <v>292</v>
      </c>
      <c r="B13">
        <v>5.2</v>
      </c>
      <c r="C13">
        <v>1.6</v>
      </c>
      <c r="D13">
        <v>0.5</v>
      </c>
      <c r="E13">
        <v>20.8</v>
      </c>
      <c r="F13">
        <v>41.4</v>
      </c>
      <c r="G13">
        <v>32.299999999999997</v>
      </c>
      <c r="H13">
        <v>4.0999999999999996</v>
      </c>
      <c r="I13">
        <v>1</v>
      </c>
      <c r="J13">
        <v>0.4</v>
      </c>
      <c r="K13">
        <v>18.600000000000001</v>
      </c>
      <c r="L13">
        <v>36.5</v>
      </c>
      <c r="M13">
        <v>28.2</v>
      </c>
    </row>
    <row r="14" spans="1:14" x14ac:dyDescent="0.25">
      <c r="A14" t="s">
        <v>293</v>
      </c>
      <c r="B14">
        <v>10</v>
      </c>
      <c r="C14">
        <v>1.2</v>
      </c>
      <c r="D14">
        <v>0.4</v>
      </c>
      <c r="E14">
        <v>31</v>
      </c>
      <c r="F14">
        <v>35.799999999999997</v>
      </c>
      <c r="G14">
        <v>29.4</v>
      </c>
      <c r="H14">
        <v>7.6</v>
      </c>
      <c r="I14">
        <v>0.6</v>
      </c>
      <c r="J14">
        <v>0.4</v>
      </c>
      <c r="K14">
        <v>28.5</v>
      </c>
      <c r="L14">
        <v>32.4</v>
      </c>
      <c r="M14">
        <v>25.7</v>
      </c>
    </row>
    <row r="15" spans="1:14" x14ac:dyDescent="0.25">
      <c r="A15" t="s">
        <v>294</v>
      </c>
      <c r="B15">
        <v>7</v>
      </c>
      <c r="C15">
        <v>2.1</v>
      </c>
      <c r="D15">
        <v>1.1000000000000001</v>
      </c>
      <c r="E15">
        <v>31.2</v>
      </c>
      <c r="F15">
        <v>46</v>
      </c>
      <c r="G15">
        <v>42.9</v>
      </c>
      <c r="H15">
        <v>5.2</v>
      </c>
      <c r="I15">
        <v>1</v>
      </c>
      <c r="J15">
        <v>1</v>
      </c>
      <c r="K15">
        <v>29.1</v>
      </c>
      <c r="L15">
        <v>42.3</v>
      </c>
      <c r="M15">
        <v>37.799999999999997</v>
      </c>
    </row>
    <row r="16" spans="1:14" x14ac:dyDescent="0.25">
      <c r="A16" t="s">
        <v>295</v>
      </c>
      <c r="B16">
        <v>8.5</v>
      </c>
      <c r="C16">
        <v>1.7</v>
      </c>
      <c r="D16">
        <v>2.2000000000000002</v>
      </c>
      <c r="E16">
        <v>18.3</v>
      </c>
      <c r="F16">
        <v>37.6</v>
      </c>
      <c r="G16">
        <v>35.200000000000003</v>
      </c>
      <c r="H16">
        <v>6.7</v>
      </c>
      <c r="I16">
        <v>1.1000000000000001</v>
      </c>
      <c r="J16">
        <v>1.7</v>
      </c>
      <c r="K16">
        <v>17.3</v>
      </c>
      <c r="L16">
        <v>34.6</v>
      </c>
      <c r="M16">
        <v>31.9</v>
      </c>
    </row>
    <row r="17" spans="1:13" x14ac:dyDescent="0.25">
      <c r="A17" t="s">
        <v>296</v>
      </c>
      <c r="B17">
        <v>8.4</v>
      </c>
      <c r="C17">
        <v>2.1</v>
      </c>
      <c r="D17">
        <v>2.1</v>
      </c>
      <c r="E17">
        <v>20.7</v>
      </c>
      <c r="F17">
        <v>33.4</v>
      </c>
      <c r="G17">
        <v>21.1</v>
      </c>
      <c r="H17">
        <v>6.9</v>
      </c>
      <c r="I17">
        <v>1.4</v>
      </c>
      <c r="J17">
        <v>1.5</v>
      </c>
      <c r="K17">
        <v>18.899999999999999</v>
      </c>
      <c r="L17">
        <v>29.2</v>
      </c>
      <c r="M17">
        <v>16.899999999999999</v>
      </c>
    </row>
    <row r="18" spans="1:13" x14ac:dyDescent="0.25">
      <c r="A18" t="s">
        <v>297</v>
      </c>
      <c r="B18">
        <v>5.7</v>
      </c>
      <c r="C18">
        <v>1.8</v>
      </c>
      <c r="D18">
        <v>1.7</v>
      </c>
      <c r="E18">
        <v>13</v>
      </c>
      <c r="F18">
        <v>31.2</v>
      </c>
      <c r="G18">
        <v>32.700000000000003</v>
      </c>
      <c r="H18">
        <v>4.5999999999999996</v>
      </c>
      <c r="I18">
        <v>1.5</v>
      </c>
      <c r="J18">
        <v>1.5</v>
      </c>
      <c r="K18">
        <v>11.4</v>
      </c>
      <c r="L18">
        <v>28.6</v>
      </c>
      <c r="M18">
        <v>30.8</v>
      </c>
    </row>
    <row r="19" spans="1:13" x14ac:dyDescent="0.25">
      <c r="A19" t="s">
        <v>298</v>
      </c>
      <c r="B19">
        <v>8.6</v>
      </c>
      <c r="C19">
        <v>1.7</v>
      </c>
      <c r="D19">
        <v>0.4</v>
      </c>
      <c r="E19">
        <v>21</v>
      </c>
      <c r="F19">
        <v>36</v>
      </c>
      <c r="G19">
        <v>27</v>
      </c>
      <c r="H19">
        <v>6.9</v>
      </c>
      <c r="I19">
        <v>1.2</v>
      </c>
      <c r="J19">
        <v>0.2</v>
      </c>
      <c r="K19">
        <v>19.8</v>
      </c>
      <c r="L19">
        <v>30.9</v>
      </c>
      <c r="M19">
        <v>24.5</v>
      </c>
    </row>
    <row r="20" spans="1:13" x14ac:dyDescent="0.25">
      <c r="A20" t="s">
        <v>299</v>
      </c>
      <c r="B20">
        <v>11.2</v>
      </c>
      <c r="C20">
        <v>0.5</v>
      </c>
      <c r="D20">
        <v>0.5</v>
      </c>
      <c r="E20">
        <v>23.9</v>
      </c>
      <c r="F20">
        <v>42.9</v>
      </c>
      <c r="G20">
        <v>32.799999999999997</v>
      </c>
      <c r="H20">
        <v>9.1</v>
      </c>
      <c r="I20">
        <v>0.3</v>
      </c>
      <c r="J20">
        <v>0.5</v>
      </c>
      <c r="K20">
        <v>26</v>
      </c>
      <c r="L20">
        <v>38.799999999999997</v>
      </c>
      <c r="M20">
        <v>28.7</v>
      </c>
    </row>
    <row r="21" spans="1:13" x14ac:dyDescent="0.25">
      <c r="A21" t="s">
        <v>300</v>
      </c>
      <c r="B21">
        <v>8</v>
      </c>
      <c r="C21">
        <v>0.4</v>
      </c>
      <c r="D21">
        <v>0.9</v>
      </c>
      <c r="E21">
        <v>19.899999999999999</v>
      </c>
      <c r="F21">
        <v>27.4</v>
      </c>
      <c r="G21">
        <v>22.3</v>
      </c>
      <c r="H21">
        <v>6.1</v>
      </c>
      <c r="I21">
        <v>0.3</v>
      </c>
      <c r="J21">
        <v>0.7</v>
      </c>
      <c r="K21">
        <v>17</v>
      </c>
      <c r="L21">
        <v>25.4</v>
      </c>
      <c r="M21">
        <v>20.7</v>
      </c>
    </row>
    <row r="22" spans="1:13" x14ac:dyDescent="0.25">
      <c r="A22" t="s">
        <v>301</v>
      </c>
      <c r="B22">
        <v>9.1999999999999993</v>
      </c>
      <c r="C22">
        <v>0.3</v>
      </c>
      <c r="D22">
        <v>1</v>
      </c>
      <c r="E22">
        <v>31.7</v>
      </c>
      <c r="F22">
        <v>38.200000000000003</v>
      </c>
      <c r="G22">
        <v>32.1</v>
      </c>
      <c r="H22">
        <v>6.8</v>
      </c>
      <c r="I22">
        <v>0.2</v>
      </c>
      <c r="J22">
        <v>0.8</v>
      </c>
      <c r="K22">
        <v>29.4</v>
      </c>
      <c r="L22">
        <v>35.299999999999997</v>
      </c>
      <c r="M22">
        <v>29</v>
      </c>
    </row>
    <row r="23" spans="1:13" x14ac:dyDescent="0.25">
      <c r="A23" t="s">
        <v>302</v>
      </c>
      <c r="B23">
        <v>5.5</v>
      </c>
      <c r="C23">
        <v>0.8</v>
      </c>
      <c r="D23">
        <v>0.5</v>
      </c>
      <c r="E23">
        <v>34</v>
      </c>
      <c r="F23">
        <v>51.8</v>
      </c>
      <c r="G23">
        <v>48.9</v>
      </c>
      <c r="H23">
        <v>4.5999999999999996</v>
      </c>
      <c r="I23">
        <v>0.5</v>
      </c>
      <c r="J23">
        <v>0.5</v>
      </c>
      <c r="K23">
        <v>31.2</v>
      </c>
      <c r="L23">
        <v>47.9</v>
      </c>
      <c r="M23">
        <v>44.1</v>
      </c>
    </row>
    <row r="24" spans="1:13" x14ac:dyDescent="0.25">
      <c r="A24" t="s">
        <v>303</v>
      </c>
      <c r="B24">
        <v>9.6999999999999993</v>
      </c>
      <c r="C24">
        <v>2.2000000000000002</v>
      </c>
      <c r="D24">
        <v>1.2</v>
      </c>
      <c r="E24">
        <v>28.2</v>
      </c>
      <c r="F24">
        <v>37.200000000000003</v>
      </c>
      <c r="G24">
        <v>30.8</v>
      </c>
      <c r="H24">
        <v>7</v>
      </c>
      <c r="I24">
        <v>1.4</v>
      </c>
      <c r="J24">
        <v>1</v>
      </c>
      <c r="K24">
        <v>28.1</v>
      </c>
      <c r="L24">
        <v>34.700000000000003</v>
      </c>
      <c r="M24">
        <v>28.1</v>
      </c>
    </row>
    <row r="25" spans="1:13" x14ac:dyDescent="0.25">
      <c r="A25" t="s">
        <v>304</v>
      </c>
      <c r="B25">
        <v>12.6</v>
      </c>
      <c r="C25">
        <v>0.7</v>
      </c>
      <c r="D25">
        <v>0.5</v>
      </c>
      <c r="E25">
        <v>27.5</v>
      </c>
      <c r="F25">
        <v>44.6</v>
      </c>
      <c r="G25">
        <v>43.1</v>
      </c>
      <c r="H25">
        <v>10.8</v>
      </c>
      <c r="I25">
        <v>0.4</v>
      </c>
      <c r="J25">
        <v>0.3</v>
      </c>
      <c r="K25">
        <v>24.8</v>
      </c>
      <c r="L25">
        <v>41.3</v>
      </c>
      <c r="M25">
        <v>37.799999999999997</v>
      </c>
    </row>
    <row r="26" spans="1:13" x14ac:dyDescent="0.25">
      <c r="A26" t="s">
        <v>305</v>
      </c>
      <c r="B26">
        <v>5.8</v>
      </c>
      <c r="C26">
        <v>0.5</v>
      </c>
      <c r="D26">
        <v>0.4</v>
      </c>
      <c r="E26">
        <v>19.399999999999999</v>
      </c>
      <c r="F26">
        <v>25.8</v>
      </c>
      <c r="G26">
        <v>21.9</v>
      </c>
      <c r="H26">
        <v>4.2</v>
      </c>
      <c r="I26">
        <v>0.3</v>
      </c>
      <c r="J26">
        <v>0.2</v>
      </c>
      <c r="K26">
        <v>15.5</v>
      </c>
      <c r="L26">
        <v>21.9</v>
      </c>
      <c r="M26">
        <v>19.399999999999999</v>
      </c>
    </row>
    <row r="27" spans="1:13" x14ac:dyDescent="0.25">
      <c r="A27" t="s">
        <v>306</v>
      </c>
      <c r="B27">
        <v>7.8</v>
      </c>
      <c r="C27">
        <v>1.5</v>
      </c>
      <c r="D27">
        <v>0.9</v>
      </c>
      <c r="E27">
        <v>12.2</v>
      </c>
      <c r="F27">
        <v>26.5</v>
      </c>
      <c r="G27">
        <v>24.9</v>
      </c>
      <c r="H27">
        <v>5.7</v>
      </c>
      <c r="I27">
        <v>1.2</v>
      </c>
      <c r="J27">
        <v>0.9</v>
      </c>
      <c r="K27">
        <v>11</v>
      </c>
      <c r="L27">
        <v>23.8</v>
      </c>
      <c r="M27">
        <v>23.2</v>
      </c>
    </row>
    <row r="28" spans="1:13" x14ac:dyDescent="0.25">
      <c r="A28" t="s">
        <v>307</v>
      </c>
      <c r="B28">
        <v>8.6</v>
      </c>
      <c r="C28">
        <v>1.4</v>
      </c>
      <c r="D28">
        <v>1.1000000000000001</v>
      </c>
      <c r="E28">
        <v>19.5</v>
      </c>
      <c r="F28">
        <v>34.200000000000003</v>
      </c>
      <c r="G28">
        <v>37.799999999999997</v>
      </c>
      <c r="H28">
        <v>6.8</v>
      </c>
      <c r="I28">
        <v>1</v>
      </c>
      <c r="J28">
        <v>0.9</v>
      </c>
      <c r="K28">
        <v>19</v>
      </c>
      <c r="L28">
        <v>31.4</v>
      </c>
      <c r="M28">
        <v>35.200000000000003</v>
      </c>
    </row>
    <row r="29" spans="1:13" x14ac:dyDescent="0.25">
      <c r="A29" t="s">
        <v>266</v>
      </c>
      <c r="B29">
        <v>8.1</v>
      </c>
      <c r="C29">
        <v>1.2</v>
      </c>
      <c r="D29">
        <v>1.1000000000000001</v>
      </c>
      <c r="E29">
        <v>21.7</v>
      </c>
      <c r="F29">
        <v>32.5</v>
      </c>
      <c r="G29">
        <v>28.2</v>
      </c>
      <c r="H29">
        <v>6.1</v>
      </c>
      <c r="I29">
        <v>0.8</v>
      </c>
      <c r="J29">
        <v>0.9</v>
      </c>
      <c r="K29">
        <v>21</v>
      </c>
      <c r="L29">
        <v>29.8</v>
      </c>
      <c r="M29">
        <v>25.9</v>
      </c>
    </row>
    <row r="30" spans="1:13" x14ac:dyDescent="0.25">
      <c r="A30" t="s">
        <v>459</v>
      </c>
      <c r="B30">
        <v>7.6</v>
      </c>
      <c r="C30">
        <v>1.7</v>
      </c>
      <c r="D30">
        <v>1.4</v>
      </c>
      <c r="E30">
        <v>18.899999999999999</v>
      </c>
      <c r="F30">
        <v>31.3</v>
      </c>
      <c r="G30">
        <v>29.4</v>
      </c>
      <c r="H30">
        <v>6</v>
      </c>
      <c r="I30">
        <v>1.3</v>
      </c>
      <c r="J30">
        <v>1.2</v>
      </c>
      <c r="K30">
        <v>18.3</v>
      </c>
      <c r="L30">
        <v>28.3</v>
      </c>
      <c r="M30">
        <v>27.1</v>
      </c>
    </row>
    <row r="31" spans="1:13" x14ac:dyDescent="0.25">
      <c r="A31" t="s">
        <v>460</v>
      </c>
      <c r="B31">
        <v>8.1999999999999993</v>
      </c>
      <c r="C31">
        <v>1</v>
      </c>
      <c r="D31">
        <v>0.9</v>
      </c>
      <c r="E31">
        <v>22.2</v>
      </c>
      <c r="F31">
        <v>32.9</v>
      </c>
      <c r="G31">
        <v>27.8</v>
      </c>
      <c r="H31">
        <v>6.1</v>
      </c>
      <c r="I31">
        <v>0.7</v>
      </c>
      <c r="J31">
        <v>0.8</v>
      </c>
      <c r="K31">
        <v>21.5</v>
      </c>
      <c r="L31">
        <v>30.2</v>
      </c>
      <c r="M31">
        <v>25.4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85546875" customWidth="1"/>
    <col min="3" max="3" width="7.7109375" customWidth="1"/>
    <col min="4" max="4" width="8" customWidth="1"/>
    <col min="5" max="5" width="7.855468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  <col min="11" max="11" width="7.85546875" customWidth="1"/>
    <col min="12" max="12" width="7.7109375" customWidth="1"/>
    <col min="13" max="13" width="8" customWidth="1"/>
  </cols>
  <sheetData>
    <row r="1" spans="1:14" x14ac:dyDescent="0.25">
      <c r="A1" s="29" t="s">
        <v>568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569</v>
      </c>
      <c r="C2" s="29"/>
      <c r="D2" s="29"/>
      <c r="E2" s="29" t="s">
        <v>570</v>
      </c>
      <c r="F2" s="29"/>
      <c r="G2" s="29"/>
      <c r="H2" s="29" t="s">
        <v>571</v>
      </c>
      <c r="I2" s="29"/>
      <c r="J2" s="29"/>
      <c r="K2" s="29" t="s">
        <v>572</v>
      </c>
      <c r="L2" s="29"/>
      <c r="M2" s="29"/>
    </row>
    <row r="3" spans="1:14" x14ac:dyDescent="0.25">
      <c r="A3" s="29"/>
      <c r="B3" t="s">
        <v>346</v>
      </c>
      <c r="C3" t="s">
        <v>480</v>
      </c>
      <c r="D3" t="s">
        <v>481</v>
      </c>
      <c r="E3" t="s">
        <v>346</v>
      </c>
      <c r="F3" t="s">
        <v>480</v>
      </c>
      <c r="G3" t="s">
        <v>481</v>
      </c>
      <c r="H3" t="s">
        <v>346</v>
      </c>
      <c r="I3" t="s">
        <v>480</v>
      </c>
      <c r="J3" t="s">
        <v>481</v>
      </c>
      <c r="K3" t="s">
        <v>346</v>
      </c>
      <c r="L3" t="s">
        <v>480</v>
      </c>
      <c r="M3" t="s">
        <v>481</v>
      </c>
    </row>
    <row r="4" spans="1:14" x14ac:dyDescent="0.25">
      <c r="A4" t="s">
        <v>283</v>
      </c>
      <c r="B4">
        <v>98.2</v>
      </c>
      <c r="C4">
        <v>55.8</v>
      </c>
      <c r="D4">
        <v>28.9</v>
      </c>
      <c r="E4">
        <v>82.2</v>
      </c>
      <c r="F4">
        <v>38.200000000000003</v>
      </c>
      <c r="G4">
        <v>22.1</v>
      </c>
      <c r="H4">
        <v>99</v>
      </c>
      <c r="I4">
        <v>62.1</v>
      </c>
      <c r="J4">
        <v>34.299999999999997</v>
      </c>
      <c r="K4">
        <v>84.2</v>
      </c>
      <c r="L4">
        <v>43.9</v>
      </c>
      <c r="M4">
        <v>27.1</v>
      </c>
    </row>
    <row r="5" spans="1:14" x14ac:dyDescent="0.25">
      <c r="A5" t="s">
        <v>284</v>
      </c>
      <c r="B5">
        <v>149.1</v>
      </c>
      <c r="C5">
        <v>76.099999999999994</v>
      </c>
      <c r="D5">
        <v>39.5</v>
      </c>
      <c r="E5">
        <v>98.7</v>
      </c>
      <c r="F5">
        <v>50</v>
      </c>
      <c r="G5">
        <v>28.4</v>
      </c>
      <c r="H5">
        <v>153.30000000000001</v>
      </c>
      <c r="I5">
        <v>84</v>
      </c>
      <c r="J5">
        <v>45.3</v>
      </c>
      <c r="K5">
        <v>102.6</v>
      </c>
      <c r="L5">
        <v>57.5</v>
      </c>
      <c r="M5">
        <v>33.299999999999997</v>
      </c>
    </row>
    <row r="6" spans="1:14" x14ac:dyDescent="0.25">
      <c r="A6" t="s">
        <v>285</v>
      </c>
      <c r="B6">
        <v>130.30000000000001</v>
      </c>
      <c r="C6">
        <v>73.900000000000006</v>
      </c>
      <c r="D6">
        <v>44.5</v>
      </c>
      <c r="E6">
        <v>95.7</v>
      </c>
      <c r="F6">
        <v>50.8</v>
      </c>
      <c r="G6">
        <v>33.6</v>
      </c>
      <c r="H6">
        <v>137.19999999999999</v>
      </c>
      <c r="I6">
        <v>80.599999999999994</v>
      </c>
      <c r="J6">
        <v>50.5</v>
      </c>
      <c r="K6">
        <v>95.7</v>
      </c>
      <c r="L6">
        <v>57.5</v>
      </c>
      <c r="M6">
        <v>39.200000000000003</v>
      </c>
    </row>
    <row r="7" spans="1:14" x14ac:dyDescent="0.25">
      <c r="A7" t="s">
        <v>286</v>
      </c>
      <c r="B7">
        <v>118.5</v>
      </c>
      <c r="C7">
        <v>72.900000000000006</v>
      </c>
      <c r="D7">
        <v>38.200000000000003</v>
      </c>
      <c r="E7">
        <v>94.4</v>
      </c>
      <c r="F7">
        <v>49.3</v>
      </c>
      <c r="G7">
        <v>27.6</v>
      </c>
      <c r="H7">
        <v>119.1</v>
      </c>
      <c r="I7">
        <v>79.7</v>
      </c>
      <c r="J7">
        <v>43.1</v>
      </c>
      <c r="K7">
        <v>95.6</v>
      </c>
      <c r="L7">
        <v>55.4</v>
      </c>
      <c r="M7">
        <v>31.9</v>
      </c>
    </row>
    <row r="8" spans="1:14" x14ac:dyDescent="0.25">
      <c r="A8" t="s">
        <v>287</v>
      </c>
      <c r="B8">
        <v>102.7</v>
      </c>
      <c r="C8">
        <v>59.9</v>
      </c>
      <c r="D8">
        <v>27.1</v>
      </c>
      <c r="E8">
        <v>87.4</v>
      </c>
      <c r="F8">
        <v>42</v>
      </c>
      <c r="G8">
        <v>19.8</v>
      </c>
      <c r="H8">
        <v>100.5</v>
      </c>
      <c r="I8">
        <v>63.6</v>
      </c>
      <c r="J8">
        <v>29</v>
      </c>
      <c r="K8">
        <v>86.6</v>
      </c>
      <c r="L8">
        <v>46.2</v>
      </c>
      <c r="M8">
        <v>21.6</v>
      </c>
    </row>
    <row r="9" spans="1:14" x14ac:dyDescent="0.25">
      <c r="A9" t="s">
        <v>288</v>
      </c>
      <c r="B9">
        <v>125.8</v>
      </c>
      <c r="C9">
        <v>67.5</v>
      </c>
      <c r="D9">
        <v>39.700000000000003</v>
      </c>
      <c r="E9">
        <v>96.8</v>
      </c>
      <c r="F9">
        <v>43.9</v>
      </c>
      <c r="G9">
        <v>28.2</v>
      </c>
      <c r="H9">
        <v>134.6</v>
      </c>
      <c r="I9">
        <v>74.099999999999994</v>
      </c>
      <c r="J9">
        <v>45.6</v>
      </c>
      <c r="K9">
        <v>100.9</v>
      </c>
      <c r="L9">
        <v>50.5</v>
      </c>
      <c r="M9">
        <v>33.200000000000003</v>
      </c>
    </row>
    <row r="10" spans="1:14" x14ac:dyDescent="0.25">
      <c r="A10" t="s">
        <v>289</v>
      </c>
      <c r="B10">
        <v>107.7</v>
      </c>
      <c r="C10">
        <v>70.099999999999994</v>
      </c>
      <c r="D10">
        <v>41.1</v>
      </c>
      <c r="E10">
        <v>93.1</v>
      </c>
      <c r="F10">
        <v>48</v>
      </c>
      <c r="G10">
        <v>29.9</v>
      </c>
      <c r="H10">
        <v>103.9</v>
      </c>
      <c r="I10">
        <v>74.400000000000006</v>
      </c>
      <c r="J10">
        <v>44.3</v>
      </c>
      <c r="K10">
        <v>91.2</v>
      </c>
      <c r="L10">
        <v>53.1</v>
      </c>
      <c r="M10">
        <v>33.700000000000003</v>
      </c>
    </row>
    <row r="11" spans="1:14" x14ac:dyDescent="0.25">
      <c r="A11" t="s">
        <v>290</v>
      </c>
      <c r="B11">
        <v>113.9</v>
      </c>
      <c r="C11">
        <v>70.400000000000006</v>
      </c>
      <c r="D11">
        <v>40</v>
      </c>
      <c r="E11">
        <v>97.1</v>
      </c>
      <c r="F11">
        <v>49.7</v>
      </c>
      <c r="G11">
        <v>30.9</v>
      </c>
      <c r="H11">
        <v>109.9</v>
      </c>
      <c r="I11">
        <v>74.5</v>
      </c>
      <c r="J11">
        <v>44.8</v>
      </c>
      <c r="K11">
        <v>96.1</v>
      </c>
      <c r="L11">
        <v>55.1</v>
      </c>
      <c r="M11">
        <v>35.6</v>
      </c>
    </row>
    <row r="12" spans="1:14" x14ac:dyDescent="0.25">
      <c r="A12" t="s">
        <v>291</v>
      </c>
      <c r="B12">
        <v>108.8</v>
      </c>
      <c r="C12">
        <v>61.6</v>
      </c>
      <c r="D12">
        <v>36.4</v>
      </c>
      <c r="E12">
        <v>88.4</v>
      </c>
      <c r="F12">
        <v>38.6</v>
      </c>
      <c r="G12">
        <v>24.3</v>
      </c>
      <c r="H12">
        <v>108</v>
      </c>
      <c r="I12">
        <v>67.900000000000006</v>
      </c>
      <c r="J12">
        <v>39.9</v>
      </c>
      <c r="K12">
        <v>89.3</v>
      </c>
      <c r="L12">
        <v>46.4</v>
      </c>
      <c r="M12">
        <v>28.3</v>
      </c>
    </row>
    <row r="13" spans="1:14" x14ac:dyDescent="0.25">
      <c r="A13" t="s">
        <v>292</v>
      </c>
      <c r="B13">
        <v>115.7</v>
      </c>
      <c r="C13">
        <v>68.7</v>
      </c>
      <c r="D13">
        <v>39.299999999999997</v>
      </c>
      <c r="E13">
        <v>91.6</v>
      </c>
      <c r="F13">
        <v>40.299999999999997</v>
      </c>
      <c r="G13">
        <v>26.6</v>
      </c>
      <c r="H13">
        <v>117.8</v>
      </c>
      <c r="I13">
        <v>75.2</v>
      </c>
      <c r="J13">
        <v>43</v>
      </c>
      <c r="K13">
        <v>95.9</v>
      </c>
      <c r="L13">
        <v>47.8</v>
      </c>
      <c r="M13">
        <v>30.9</v>
      </c>
    </row>
    <row r="14" spans="1:14" x14ac:dyDescent="0.25">
      <c r="A14" t="s">
        <v>293</v>
      </c>
      <c r="B14">
        <v>144.6</v>
      </c>
      <c r="C14">
        <v>58.2</v>
      </c>
      <c r="D14">
        <v>28</v>
      </c>
      <c r="E14">
        <v>99.7</v>
      </c>
      <c r="F14">
        <v>37.4</v>
      </c>
      <c r="G14">
        <v>19.8</v>
      </c>
      <c r="H14">
        <v>157.30000000000001</v>
      </c>
      <c r="I14">
        <v>66.2</v>
      </c>
      <c r="J14">
        <v>32.6</v>
      </c>
      <c r="K14">
        <v>112.5</v>
      </c>
      <c r="L14">
        <v>44.7</v>
      </c>
      <c r="M14">
        <v>24.2</v>
      </c>
    </row>
    <row r="15" spans="1:14" x14ac:dyDescent="0.25">
      <c r="A15" t="s">
        <v>294</v>
      </c>
      <c r="B15">
        <v>139.80000000000001</v>
      </c>
      <c r="C15">
        <v>61.2</v>
      </c>
      <c r="D15">
        <v>32.799999999999997</v>
      </c>
      <c r="E15">
        <v>96.2</v>
      </c>
      <c r="F15">
        <v>33</v>
      </c>
      <c r="G15">
        <v>18.7</v>
      </c>
      <c r="H15">
        <v>156.19999999999999</v>
      </c>
      <c r="I15">
        <v>69.900000000000006</v>
      </c>
      <c r="J15">
        <v>38.4</v>
      </c>
      <c r="K15">
        <v>110.8</v>
      </c>
      <c r="L15">
        <v>40.4</v>
      </c>
      <c r="M15">
        <v>23.9</v>
      </c>
    </row>
    <row r="16" spans="1:14" x14ac:dyDescent="0.25">
      <c r="A16" t="s">
        <v>295</v>
      </c>
      <c r="B16">
        <v>116.7</v>
      </c>
      <c r="C16">
        <v>59</v>
      </c>
      <c r="D16">
        <v>30.6</v>
      </c>
      <c r="E16">
        <v>95.3</v>
      </c>
      <c r="F16">
        <v>36.799999999999997</v>
      </c>
      <c r="G16">
        <v>19.8</v>
      </c>
      <c r="H16">
        <v>118.1</v>
      </c>
      <c r="I16">
        <v>67.7</v>
      </c>
      <c r="J16">
        <v>34</v>
      </c>
      <c r="K16">
        <v>97.6</v>
      </c>
      <c r="L16">
        <v>44.3</v>
      </c>
      <c r="M16">
        <v>23.2</v>
      </c>
    </row>
    <row r="17" spans="1:13" x14ac:dyDescent="0.25">
      <c r="A17" t="s">
        <v>296</v>
      </c>
      <c r="B17">
        <v>111.4</v>
      </c>
      <c r="C17">
        <v>72</v>
      </c>
      <c r="D17">
        <v>39</v>
      </c>
      <c r="E17">
        <v>88.4</v>
      </c>
      <c r="F17">
        <v>47.9</v>
      </c>
      <c r="G17">
        <v>30.8</v>
      </c>
      <c r="H17">
        <v>116.5</v>
      </c>
      <c r="I17">
        <v>82.1</v>
      </c>
      <c r="J17">
        <v>47.3</v>
      </c>
      <c r="K17">
        <v>94.5</v>
      </c>
      <c r="L17">
        <v>58.1</v>
      </c>
      <c r="M17">
        <v>39.299999999999997</v>
      </c>
    </row>
    <row r="18" spans="1:13" x14ac:dyDescent="0.25">
      <c r="A18" t="s">
        <v>297</v>
      </c>
      <c r="B18">
        <v>50.3</v>
      </c>
      <c r="C18">
        <v>39.200000000000003</v>
      </c>
      <c r="D18">
        <v>28.4</v>
      </c>
      <c r="E18">
        <v>43.7</v>
      </c>
      <c r="F18">
        <v>27</v>
      </c>
      <c r="G18">
        <v>19.100000000000001</v>
      </c>
      <c r="H18">
        <v>48.6</v>
      </c>
      <c r="I18">
        <v>39.6</v>
      </c>
      <c r="J18">
        <v>29.3</v>
      </c>
      <c r="K18">
        <v>43</v>
      </c>
      <c r="L18">
        <v>28.3</v>
      </c>
      <c r="M18">
        <v>20.3</v>
      </c>
    </row>
    <row r="19" spans="1:13" x14ac:dyDescent="0.25">
      <c r="A19" t="s">
        <v>298</v>
      </c>
      <c r="B19">
        <v>77.099999999999994</v>
      </c>
      <c r="C19">
        <v>45.1</v>
      </c>
      <c r="D19">
        <v>24.5</v>
      </c>
      <c r="E19">
        <v>60.9</v>
      </c>
      <c r="F19">
        <v>28.8</v>
      </c>
      <c r="G19">
        <v>17.899999999999999</v>
      </c>
      <c r="H19">
        <v>81.5</v>
      </c>
      <c r="I19">
        <v>50.7</v>
      </c>
      <c r="J19">
        <v>28.5</v>
      </c>
      <c r="K19">
        <v>65.400000000000006</v>
      </c>
      <c r="L19">
        <v>35.1</v>
      </c>
      <c r="M19">
        <v>21.5</v>
      </c>
    </row>
    <row r="20" spans="1:13" x14ac:dyDescent="0.25">
      <c r="A20" t="s">
        <v>299</v>
      </c>
      <c r="B20">
        <v>125.9</v>
      </c>
      <c r="C20">
        <v>63.5</v>
      </c>
      <c r="D20">
        <v>35.299999999999997</v>
      </c>
      <c r="E20">
        <v>95.8</v>
      </c>
      <c r="F20">
        <v>36.299999999999997</v>
      </c>
      <c r="G20">
        <v>23.8</v>
      </c>
      <c r="H20">
        <v>132.30000000000001</v>
      </c>
      <c r="I20">
        <v>73.900000000000006</v>
      </c>
      <c r="J20">
        <v>41.6</v>
      </c>
      <c r="K20">
        <v>98</v>
      </c>
      <c r="L20">
        <v>45.2</v>
      </c>
      <c r="M20">
        <v>29.7</v>
      </c>
    </row>
    <row r="21" spans="1:13" x14ac:dyDescent="0.25">
      <c r="A21" t="s">
        <v>300</v>
      </c>
      <c r="B21">
        <v>119</v>
      </c>
      <c r="C21">
        <v>72.900000000000006</v>
      </c>
      <c r="D21">
        <v>38.4</v>
      </c>
      <c r="E21">
        <v>95.4</v>
      </c>
      <c r="F21">
        <v>52.9</v>
      </c>
      <c r="G21">
        <v>29.8</v>
      </c>
      <c r="H21">
        <v>110.1</v>
      </c>
      <c r="I21">
        <v>75.5</v>
      </c>
      <c r="J21">
        <v>41.1</v>
      </c>
      <c r="K21">
        <v>91.4</v>
      </c>
      <c r="L21">
        <v>56.3</v>
      </c>
      <c r="M21">
        <v>32.6</v>
      </c>
    </row>
    <row r="22" spans="1:13" x14ac:dyDescent="0.25">
      <c r="A22" t="s">
        <v>301</v>
      </c>
      <c r="B22">
        <v>145.30000000000001</v>
      </c>
      <c r="C22">
        <v>74.2</v>
      </c>
      <c r="D22">
        <v>40.700000000000003</v>
      </c>
      <c r="E22">
        <v>99.3</v>
      </c>
      <c r="F22">
        <v>45.8</v>
      </c>
      <c r="G22">
        <v>27.6</v>
      </c>
      <c r="H22">
        <v>156.6</v>
      </c>
      <c r="I22">
        <v>81.5</v>
      </c>
      <c r="J22">
        <v>45.5</v>
      </c>
      <c r="K22">
        <v>110.6</v>
      </c>
      <c r="L22">
        <v>52.8</v>
      </c>
      <c r="M22">
        <v>32.299999999999997</v>
      </c>
    </row>
    <row r="23" spans="1:13" x14ac:dyDescent="0.25">
      <c r="A23" t="s">
        <v>302</v>
      </c>
      <c r="B23">
        <v>154.4</v>
      </c>
      <c r="C23">
        <v>65.099999999999994</v>
      </c>
      <c r="D23">
        <v>34.4</v>
      </c>
      <c r="E23">
        <v>101.9</v>
      </c>
      <c r="F23">
        <v>31.4</v>
      </c>
      <c r="G23">
        <v>17.600000000000001</v>
      </c>
      <c r="H23">
        <v>162.19999999999999</v>
      </c>
      <c r="I23">
        <v>72.2</v>
      </c>
      <c r="J23">
        <v>36.700000000000003</v>
      </c>
      <c r="K23">
        <v>111.5</v>
      </c>
      <c r="L23">
        <v>37.6</v>
      </c>
      <c r="M23">
        <v>20.5</v>
      </c>
    </row>
    <row r="24" spans="1:13" x14ac:dyDescent="0.25">
      <c r="A24" t="s">
        <v>303</v>
      </c>
      <c r="B24">
        <v>137.69999999999999</v>
      </c>
      <c r="C24">
        <v>80.400000000000006</v>
      </c>
      <c r="D24">
        <v>48.9</v>
      </c>
      <c r="E24">
        <v>98.9</v>
      </c>
      <c r="F24">
        <v>50.5</v>
      </c>
      <c r="G24">
        <v>33.9</v>
      </c>
      <c r="H24">
        <v>140.5</v>
      </c>
      <c r="I24">
        <v>91</v>
      </c>
      <c r="J24">
        <v>57.7</v>
      </c>
      <c r="K24">
        <v>101</v>
      </c>
      <c r="L24">
        <v>59.4</v>
      </c>
      <c r="M24">
        <v>41.5</v>
      </c>
    </row>
    <row r="25" spans="1:13" x14ac:dyDescent="0.25">
      <c r="A25" t="s">
        <v>304</v>
      </c>
      <c r="B25">
        <v>142.4</v>
      </c>
      <c r="C25">
        <v>54</v>
      </c>
      <c r="D25">
        <v>27.2</v>
      </c>
      <c r="E25">
        <v>103.3</v>
      </c>
      <c r="F25">
        <v>29.9</v>
      </c>
      <c r="G25">
        <v>15.5</v>
      </c>
      <c r="H25">
        <v>154.19999999999999</v>
      </c>
      <c r="I25">
        <v>62.1</v>
      </c>
      <c r="J25">
        <v>31.9</v>
      </c>
      <c r="K25">
        <v>115.9</v>
      </c>
      <c r="L25">
        <v>36.5</v>
      </c>
      <c r="M25">
        <v>19.8</v>
      </c>
    </row>
    <row r="26" spans="1:13" x14ac:dyDescent="0.25">
      <c r="A26" t="s">
        <v>305</v>
      </c>
      <c r="B26">
        <v>121.5</v>
      </c>
      <c r="C26">
        <v>76</v>
      </c>
      <c r="D26">
        <v>38</v>
      </c>
      <c r="E26">
        <v>98</v>
      </c>
      <c r="F26">
        <v>56.4</v>
      </c>
      <c r="G26">
        <v>29.7</v>
      </c>
      <c r="H26">
        <v>115.5</v>
      </c>
      <c r="I26">
        <v>76.599999999999994</v>
      </c>
      <c r="J26">
        <v>39.5</v>
      </c>
      <c r="K26">
        <v>97.6</v>
      </c>
      <c r="L26">
        <v>59.8</v>
      </c>
      <c r="M26">
        <v>31.9</v>
      </c>
    </row>
    <row r="27" spans="1:13" x14ac:dyDescent="0.25">
      <c r="A27" t="s">
        <v>306</v>
      </c>
      <c r="B27">
        <v>107</v>
      </c>
      <c r="C27">
        <v>76.8</v>
      </c>
      <c r="D27">
        <v>49.9</v>
      </c>
      <c r="E27">
        <v>94</v>
      </c>
      <c r="F27">
        <v>56.4</v>
      </c>
      <c r="G27">
        <v>37.5</v>
      </c>
      <c r="H27">
        <v>102.5</v>
      </c>
      <c r="I27">
        <v>79.3</v>
      </c>
      <c r="J27">
        <v>52.6</v>
      </c>
      <c r="K27">
        <v>91.3</v>
      </c>
      <c r="L27">
        <v>60.4</v>
      </c>
      <c r="M27">
        <v>40.4</v>
      </c>
    </row>
    <row r="28" spans="1:13" x14ac:dyDescent="0.25">
      <c r="A28" t="s">
        <v>307</v>
      </c>
      <c r="B28">
        <v>119.3</v>
      </c>
      <c r="C28">
        <v>62.4</v>
      </c>
      <c r="D28">
        <v>31.3</v>
      </c>
      <c r="E28">
        <v>96.1</v>
      </c>
      <c r="F28">
        <v>41.1</v>
      </c>
      <c r="G28">
        <v>19.5</v>
      </c>
      <c r="H28">
        <v>117.5</v>
      </c>
      <c r="I28">
        <v>68.900000000000006</v>
      </c>
      <c r="J28">
        <v>36</v>
      </c>
      <c r="K28">
        <v>95.1</v>
      </c>
      <c r="L28">
        <v>47.3</v>
      </c>
      <c r="M28">
        <v>23.3</v>
      </c>
    </row>
    <row r="29" spans="1:13" x14ac:dyDescent="0.25">
      <c r="A29" t="s">
        <v>266</v>
      </c>
      <c r="B29">
        <v>110.9</v>
      </c>
      <c r="C29">
        <v>64.599999999999994</v>
      </c>
      <c r="D29">
        <v>36.6</v>
      </c>
      <c r="E29">
        <v>86.8</v>
      </c>
      <c r="F29">
        <v>43.6</v>
      </c>
      <c r="G29">
        <v>26.3</v>
      </c>
      <c r="H29">
        <v>111.3</v>
      </c>
      <c r="I29">
        <v>69.7</v>
      </c>
      <c r="J29">
        <v>40.700000000000003</v>
      </c>
      <c r="K29">
        <v>87.9</v>
      </c>
      <c r="L29">
        <v>48.9</v>
      </c>
      <c r="M29">
        <v>30.2</v>
      </c>
    </row>
    <row r="30" spans="1:13" x14ac:dyDescent="0.25">
      <c r="A30" t="s">
        <v>459</v>
      </c>
      <c r="B30">
        <v>70.7</v>
      </c>
      <c r="C30">
        <v>51.1</v>
      </c>
      <c r="D30">
        <v>40.200000000000003</v>
      </c>
      <c r="E30">
        <v>57.3</v>
      </c>
      <c r="F30">
        <v>35.1</v>
      </c>
      <c r="G30">
        <v>28.4</v>
      </c>
      <c r="H30">
        <v>70</v>
      </c>
      <c r="I30">
        <v>53.4</v>
      </c>
      <c r="J30">
        <v>43.3</v>
      </c>
      <c r="K30">
        <v>57.1</v>
      </c>
      <c r="L30">
        <v>38.299999999999997</v>
      </c>
      <c r="M30">
        <v>31.5</v>
      </c>
    </row>
    <row r="31" spans="1:13" x14ac:dyDescent="0.25">
      <c r="A31" t="s">
        <v>460</v>
      </c>
      <c r="B31">
        <v>125.5</v>
      </c>
      <c r="C31">
        <v>69.5</v>
      </c>
      <c r="D31">
        <v>35.299999999999997</v>
      </c>
      <c r="E31">
        <v>97.6</v>
      </c>
      <c r="F31">
        <v>46.6</v>
      </c>
      <c r="G31">
        <v>25.5</v>
      </c>
      <c r="H31">
        <v>126.3</v>
      </c>
      <c r="I31">
        <v>75.599999999999994</v>
      </c>
      <c r="J31">
        <v>39.700000000000003</v>
      </c>
      <c r="K31">
        <v>99.2</v>
      </c>
      <c r="L31">
        <v>52.8</v>
      </c>
      <c r="M31">
        <v>29.6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tabColor rgb="FF7030A0"/>
  </sheetPr>
  <dimension ref="A1:N37"/>
  <sheetViews>
    <sheetView workbookViewId="0"/>
  </sheetViews>
  <sheetFormatPr defaultRowHeight="15" x14ac:dyDescent="0.25"/>
  <cols>
    <col min="1" max="1" width="14.5703125" customWidth="1"/>
    <col min="2" max="2" width="8.140625" customWidth="1"/>
    <col min="3" max="3" width="9.7109375" customWidth="1"/>
    <col min="4" max="4" width="8.140625" customWidth="1"/>
    <col min="5" max="5" width="8.7109375" customWidth="1"/>
    <col min="6" max="6" width="8.42578125" customWidth="1"/>
    <col min="7" max="7" width="10.28515625" customWidth="1"/>
    <col min="8" max="8" width="8.7109375" customWidth="1"/>
    <col min="9" max="9" width="9" customWidth="1"/>
    <col min="10" max="10" width="8.85546875" customWidth="1"/>
    <col min="11" max="11" width="9.42578125" customWidth="1"/>
    <col min="12" max="12" width="10.140625" customWidth="1"/>
  </cols>
  <sheetData>
    <row r="1" spans="1:12" x14ac:dyDescent="0.25">
      <c r="A1" s="29" t="s">
        <v>573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243.8</v>
      </c>
      <c r="C5">
        <v>6.9</v>
      </c>
      <c r="D5">
        <v>8.3000000000000007</v>
      </c>
      <c r="E5">
        <v>2.2000000000000002</v>
      </c>
      <c r="F5">
        <v>8.5</v>
      </c>
      <c r="G5">
        <v>5.9</v>
      </c>
      <c r="H5">
        <v>8</v>
      </c>
      <c r="I5">
        <v>56.8</v>
      </c>
      <c r="J5">
        <v>2.4</v>
      </c>
      <c r="K5">
        <v>55.9</v>
      </c>
      <c r="L5">
        <v>26.3</v>
      </c>
    </row>
    <row r="6" spans="1:12" x14ac:dyDescent="0.25">
      <c r="A6" t="s">
        <v>284</v>
      </c>
      <c r="B6">
        <v>268.60000000000002</v>
      </c>
      <c r="C6">
        <v>5.7</v>
      </c>
      <c r="D6">
        <v>7.5</v>
      </c>
      <c r="E6">
        <v>2</v>
      </c>
      <c r="F6">
        <v>7.8</v>
      </c>
      <c r="G6">
        <v>5.6</v>
      </c>
      <c r="H6">
        <v>8.5</v>
      </c>
      <c r="I6">
        <v>83.8</v>
      </c>
      <c r="J6">
        <v>4.4000000000000004</v>
      </c>
      <c r="K6">
        <v>67</v>
      </c>
      <c r="L6">
        <v>22</v>
      </c>
    </row>
    <row r="7" spans="1:12" x14ac:dyDescent="0.25">
      <c r="A7" t="s">
        <v>285</v>
      </c>
      <c r="B7">
        <v>340.3</v>
      </c>
      <c r="C7">
        <v>6.3</v>
      </c>
      <c r="D7">
        <v>8.9</v>
      </c>
      <c r="E7">
        <v>2.6</v>
      </c>
      <c r="F7">
        <v>11.2</v>
      </c>
      <c r="G7">
        <v>7.2</v>
      </c>
      <c r="H7">
        <v>9.8000000000000007</v>
      </c>
      <c r="I7">
        <v>68.8</v>
      </c>
      <c r="J7">
        <v>20.100000000000001</v>
      </c>
      <c r="K7">
        <v>41.5</v>
      </c>
      <c r="L7">
        <v>22.6</v>
      </c>
    </row>
    <row r="8" spans="1:12" x14ac:dyDescent="0.25">
      <c r="A8" t="s">
        <v>286</v>
      </c>
      <c r="B8">
        <v>264.3</v>
      </c>
      <c r="C8">
        <v>6.4</v>
      </c>
      <c r="D8">
        <v>7.9</v>
      </c>
      <c r="E8">
        <v>2.2000000000000002</v>
      </c>
      <c r="F8">
        <v>8.6</v>
      </c>
      <c r="G8">
        <v>5.5</v>
      </c>
      <c r="H8">
        <v>8.1</v>
      </c>
      <c r="I8">
        <v>61.6</v>
      </c>
      <c r="J8">
        <v>9.6999999999999993</v>
      </c>
      <c r="K8">
        <v>58.8</v>
      </c>
      <c r="L8">
        <v>7.5</v>
      </c>
    </row>
    <row r="9" spans="1:12" x14ac:dyDescent="0.25">
      <c r="A9" t="s">
        <v>287</v>
      </c>
      <c r="B9">
        <v>337</v>
      </c>
      <c r="C9">
        <v>6.7</v>
      </c>
      <c r="D9">
        <v>8.5</v>
      </c>
      <c r="E9">
        <v>2.5</v>
      </c>
      <c r="F9">
        <v>10.1</v>
      </c>
      <c r="G9">
        <v>7</v>
      </c>
      <c r="H9">
        <v>9</v>
      </c>
      <c r="I9">
        <v>60.8</v>
      </c>
      <c r="J9">
        <v>8.9</v>
      </c>
      <c r="K9">
        <v>51.3</v>
      </c>
      <c r="L9">
        <v>23.4</v>
      </c>
    </row>
    <row r="10" spans="1:12" x14ac:dyDescent="0.25">
      <c r="A10" t="s">
        <v>288</v>
      </c>
      <c r="B10">
        <v>205</v>
      </c>
      <c r="C10">
        <v>4.9000000000000004</v>
      </c>
      <c r="D10">
        <v>5.9</v>
      </c>
      <c r="E10">
        <v>1.9</v>
      </c>
      <c r="F10">
        <v>6.9</v>
      </c>
      <c r="G10">
        <v>5.0999999999999996</v>
      </c>
      <c r="H10">
        <v>7</v>
      </c>
      <c r="I10">
        <v>59.7</v>
      </c>
      <c r="J10">
        <v>9.5</v>
      </c>
      <c r="K10">
        <v>60.7</v>
      </c>
      <c r="L10">
        <v>18</v>
      </c>
    </row>
    <row r="11" spans="1:12" x14ac:dyDescent="0.25">
      <c r="A11" t="s">
        <v>289</v>
      </c>
      <c r="B11">
        <v>251.7</v>
      </c>
      <c r="C11">
        <v>7.4</v>
      </c>
      <c r="D11">
        <v>9.1999999999999993</v>
      </c>
      <c r="E11">
        <v>2.2000000000000002</v>
      </c>
      <c r="F11">
        <v>9.4</v>
      </c>
      <c r="G11">
        <v>6.5</v>
      </c>
      <c r="H11">
        <v>8</v>
      </c>
      <c r="I11">
        <v>51.7</v>
      </c>
      <c r="J11">
        <v>51</v>
      </c>
      <c r="K11">
        <v>66.3</v>
      </c>
      <c r="L11">
        <v>25</v>
      </c>
    </row>
    <row r="12" spans="1:12" x14ac:dyDescent="0.25">
      <c r="A12" t="s">
        <v>290</v>
      </c>
      <c r="B12">
        <v>433.5</v>
      </c>
      <c r="C12">
        <v>6.5</v>
      </c>
      <c r="D12">
        <v>8.6999999999999993</v>
      </c>
      <c r="E12">
        <v>2.7</v>
      </c>
      <c r="F12">
        <v>11.6</v>
      </c>
      <c r="G12">
        <v>8.8000000000000007</v>
      </c>
      <c r="H12">
        <v>11.6</v>
      </c>
      <c r="I12">
        <v>74.5</v>
      </c>
      <c r="J12">
        <v>30.6</v>
      </c>
      <c r="K12">
        <v>35.9</v>
      </c>
      <c r="L12">
        <v>20.6</v>
      </c>
    </row>
    <row r="13" spans="1:12" x14ac:dyDescent="0.25">
      <c r="A13" t="s">
        <v>291</v>
      </c>
      <c r="B13">
        <v>249.1</v>
      </c>
      <c r="C13">
        <v>9</v>
      </c>
      <c r="D13">
        <v>11.9</v>
      </c>
      <c r="E13">
        <v>2.9</v>
      </c>
      <c r="F13">
        <v>11.6</v>
      </c>
      <c r="G13">
        <v>6.6</v>
      </c>
      <c r="H13">
        <v>8.3000000000000007</v>
      </c>
      <c r="I13">
        <v>45.5</v>
      </c>
      <c r="J13">
        <v>22.7</v>
      </c>
      <c r="K13">
        <v>50</v>
      </c>
      <c r="L13">
        <v>22.7</v>
      </c>
    </row>
    <row r="14" spans="1:12" x14ac:dyDescent="0.25">
      <c r="A14" t="s">
        <v>292</v>
      </c>
      <c r="B14">
        <v>142.19999999999999</v>
      </c>
      <c r="C14">
        <v>5.5</v>
      </c>
      <c r="D14">
        <v>6.4</v>
      </c>
      <c r="E14">
        <v>1.8</v>
      </c>
      <c r="F14">
        <v>6.9</v>
      </c>
      <c r="G14">
        <v>4.5999999999999996</v>
      </c>
      <c r="H14">
        <v>6.8</v>
      </c>
      <c r="I14">
        <v>49.6</v>
      </c>
      <c r="J14">
        <v>2.5</v>
      </c>
      <c r="K14">
        <v>66.099999999999994</v>
      </c>
      <c r="L14">
        <v>26.4</v>
      </c>
    </row>
    <row r="15" spans="1:12" x14ac:dyDescent="0.25">
      <c r="A15" t="s">
        <v>293</v>
      </c>
      <c r="B15">
        <v>224.6</v>
      </c>
      <c r="C15">
        <v>5.4</v>
      </c>
      <c r="D15">
        <v>6.3</v>
      </c>
      <c r="E15">
        <v>2.1</v>
      </c>
      <c r="F15">
        <v>7.1</v>
      </c>
      <c r="G15">
        <v>5.0999999999999996</v>
      </c>
      <c r="H15">
        <v>8</v>
      </c>
      <c r="I15">
        <v>69.5</v>
      </c>
      <c r="J15">
        <v>9.5</v>
      </c>
      <c r="K15">
        <v>62.1</v>
      </c>
      <c r="L15">
        <v>26.3</v>
      </c>
    </row>
    <row r="16" spans="1:12" x14ac:dyDescent="0.25">
      <c r="A16" t="s">
        <v>294</v>
      </c>
      <c r="B16">
        <v>173</v>
      </c>
      <c r="C16">
        <v>7.2</v>
      </c>
      <c r="D16">
        <v>7.7</v>
      </c>
      <c r="E16">
        <v>2</v>
      </c>
      <c r="F16">
        <v>6.4</v>
      </c>
      <c r="G16">
        <v>5.5</v>
      </c>
      <c r="H16">
        <v>7.8</v>
      </c>
      <c r="I16">
        <v>48.9</v>
      </c>
      <c r="J16">
        <v>1.1000000000000001</v>
      </c>
      <c r="K16">
        <v>84.1</v>
      </c>
      <c r="L16">
        <v>28.4</v>
      </c>
    </row>
    <row r="17" spans="1:12" x14ac:dyDescent="0.25">
      <c r="A17" t="s">
        <v>295</v>
      </c>
      <c r="B17">
        <v>173.7</v>
      </c>
      <c r="C17">
        <v>4.5</v>
      </c>
      <c r="D17">
        <v>5.7</v>
      </c>
      <c r="E17">
        <v>1.5</v>
      </c>
      <c r="F17">
        <v>6.4</v>
      </c>
      <c r="G17">
        <v>4.9000000000000004</v>
      </c>
      <c r="H17">
        <v>7.2</v>
      </c>
      <c r="I17">
        <v>37.4</v>
      </c>
      <c r="J17">
        <v>0.5</v>
      </c>
      <c r="K17">
        <v>56.2</v>
      </c>
      <c r="L17">
        <v>28.3</v>
      </c>
    </row>
    <row r="18" spans="1:12" x14ac:dyDescent="0.25">
      <c r="A18" t="s">
        <v>296</v>
      </c>
      <c r="B18">
        <v>205.9</v>
      </c>
      <c r="C18">
        <v>6.2</v>
      </c>
      <c r="D18">
        <v>7.2</v>
      </c>
      <c r="E18">
        <v>2</v>
      </c>
      <c r="F18">
        <v>8.1999999999999993</v>
      </c>
      <c r="G18">
        <v>5.4</v>
      </c>
      <c r="H18">
        <v>7.6</v>
      </c>
      <c r="I18">
        <v>56.3</v>
      </c>
      <c r="J18">
        <v>2.1</v>
      </c>
      <c r="K18">
        <v>81.3</v>
      </c>
      <c r="L18">
        <v>27.1</v>
      </c>
    </row>
    <row r="19" spans="1:12" x14ac:dyDescent="0.25">
      <c r="A19" t="s">
        <v>297</v>
      </c>
      <c r="B19">
        <v>826.6</v>
      </c>
      <c r="C19">
        <v>19.600000000000001</v>
      </c>
      <c r="D19">
        <v>22.9</v>
      </c>
      <c r="E19">
        <v>3.5</v>
      </c>
      <c r="F19">
        <v>19</v>
      </c>
      <c r="G19">
        <v>13.8</v>
      </c>
      <c r="H19">
        <v>19.100000000000001</v>
      </c>
      <c r="I19">
        <v>70.099999999999994</v>
      </c>
      <c r="J19">
        <v>26.8</v>
      </c>
      <c r="K19">
        <v>28</v>
      </c>
      <c r="L19">
        <v>32.9</v>
      </c>
    </row>
    <row r="20" spans="1:12" x14ac:dyDescent="0.25">
      <c r="A20" t="s">
        <v>298</v>
      </c>
      <c r="B20">
        <v>392.2</v>
      </c>
      <c r="C20">
        <v>11.5</v>
      </c>
      <c r="D20">
        <v>13.8</v>
      </c>
      <c r="E20">
        <v>2.1</v>
      </c>
      <c r="F20">
        <v>12.9</v>
      </c>
      <c r="G20">
        <v>9.1999999999999993</v>
      </c>
      <c r="H20">
        <v>11.4</v>
      </c>
      <c r="I20">
        <v>70.8</v>
      </c>
      <c r="J20">
        <v>8.3000000000000007</v>
      </c>
      <c r="K20">
        <v>48.6</v>
      </c>
      <c r="L20">
        <v>19.399999999999999</v>
      </c>
    </row>
    <row r="21" spans="1:12" x14ac:dyDescent="0.25">
      <c r="A21" t="s">
        <v>299</v>
      </c>
      <c r="B21">
        <v>165.5</v>
      </c>
      <c r="C21">
        <v>5.5</v>
      </c>
      <c r="D21">
        <v>6.7</v>
      </c>
      <c r="E21">
        <v>1.8</v>
      </c>
      <c r="F21">
        <v>6.5</v>
      </c>
      <c r="G21">
        <v>5.3</v>
      </c>
      <c r="H21">
        <v>7.1</v>
      </c>
      <c r="I21">
        <v>18.8</v>
      </c>
      <c r="J21">
        <v>0.9</v>
      </c>
      <c r="K21">
        <v>65.900000000000006</v>
      </c>
      <c r="L21">
        <v>19.2</v>
      </c>
    </row>
    <row r="22" spans="1:12" x14ac:dyDescent="0.25">
      <c r="A22" t="s">
        <v>300</v>
      </c>
      <c r="B22">
        <v>271.89999999999998</v>
      </c>
      <c r="C22">
        <v>5.0999999999999996</v>
      </c>
      <c r="D22">
        <v>7.4</v>
      </c>
      <c r="E22">
        <v>2.4</v>
      </c>
      <c r="F22">
        <v>9.6999999999999993</v>
      </c>
      <c r="G22">
        <v>6.5</v>
      </c>
      <c r="H22">
        <v>8.4</v>
      </c>
      <c r="I22">
        <v>78.8</v>
      </c>
      <c r="J22">
        <v>25</v>
      </c>
      <c r="K22">
        <v>56.5</v>
      </c>
      <c r="L22">
        <v>24.5</v>
      </c>
    </row>
    <row r="23" spans="1:12" x14ac:dyDescent="0.25">
      <c r="A23" t="s">
        <v>301</v>
      </c>
      <c r="B23">
        <v>235.6</v>
      </c>
      <c r="C23">
        <v>4.8</v>
      </c>
      <c r="D23">
        <v>6.4</v>
      </c>
      <c r="E23">
        <v>2</v>
      </c>
      <c r="F23">
        <v>7.7</v>
      </c>
      <c r="G23">
        <v>5.4</v>
      </c>
      <c r="H23">
        <v>7.7</v>
      </c>
      <c r="I23">
        <v>62.7</v>
      </c>
      <c r="J23">
        <v>1.6</v>
      </c>
      <c r="K23">
        <v>77.5</v>
      </c>
      <c r="L23">
        <v>11.4</v>
      </c>
    </row>
    <row r="24" spans="1:12" x14ac:dyDescent="0.25">
      <c r="A24" t="s">
        <v>302</v>
      </c>
      <c r="B24">
        <v>175.5</v>
      </c>
      <c r="C24">
        <v>3.8</v>
      </c>
      <c r="D24">
        <v>4.2</v>
      </c>
      <c r="E24">
        <v>1.7</v>
      </c>
      <c r="F24">
        <v>5.5</v>
      </c>
      <c r="G24">
        <v>4.0999999999999996</v>
      </c>
      <c r="H24">
        <v>6.5</v>
      </c>
      <c r="I24">
        <v>54.9</v>
      </c>
      <c r="J24">
        <v>1.8</v>
      </c>
      <c r="K24">
        <v>61.5</v>
      </c>
      <c r="L24">
        <v>27.4</v>
      </c>
    </row>
    <row r="25" spans="1:12" x14ac:dyDescent="0.25">
      <c r="A25" t="s">
        <v>303</v>
      </c>
      <c r="B25">
        <v>316.10000000000002</v>
      </c>
      <c r="C25">
        <v>5.7</v>
      </c>
      <c r="D25">
        <v>8.1</v>
      </c>
      <c r="E25">
        <v>2.7</v>
      </c>
      <c r="F25">
        <v>9</v>
      </c>
      <c r="G25">
        <v>6.2</v>
      </c>
      <c r="H25">
        <v>9</v>
      </c>
      <c r="I25">
        <v>60.9</v>
      </c>
      <c r="J25">
        <v>4</v>
      </c>
      <c r="K25">
        <v>52.1</v>
      </c>
      <c r="L25">
        <v>26.8</v>
      </c>
    </row>
    <row r="26" spans="1:12" x14ac:dyDescent="0.25">
      <c r="A26" t="s">
        <v>304</v>
      </c>
      <c r="B26">
        <v>160.19999999999999</v>
      </c>
      <c r="C26">
        <v>4.8</v>
      </c>
      <c r="D26">
        <v>5.5</v>
      </c>
      <c r="E26">
        <v>1.6</v>
      </c>
      <c r="F26">
        <v>5.5</v>
      </c>
      <c r="G26">
        <v>4.5999999999999996</v>
      </c>
      <c r="H26">
        <v>8.5</v>
      </c>
      <c r="I26">
        <v>63.2</v>
      </c>
      <c r="J26">
        <v>0.6</v>
      </c>
      <c r="K26">
        <v>79.900000000000006</v>
      </c>
      <c r="L26">
        <v>28.2</v>
      </c>
    </row>
    <row r="27" spans="1:12" x14ac:dyDescent="0.25">
      <c r="A27" t="s">
        <v>305</v>
      </c>
      <c r="B27">
        <v>287.89999999999998</v>
      </c>
      <c r="C27">
        <v>6.2</v>
      </c>
      <c r="D27">
        <v>8.4</v>
      </c>
      <c r="E27">
        <v>2.6</v>
      </c>
      <c r="F27">
        <v>10.1</v>
      </c>
      <c r="G27">
        <v>7.1</v>
      </c>
      <c r="H27">
        <v>8.6999999999999993</v>
      </c>
      <c r="I27">
        <v>52.3</v>
      </c>
      <c r="J27">
        <v>23.3</v>
      </c>
      <c r="K27">
        <v>68.3</v>
      </c>
      <c r="L27">
        <v>13</v>
      </c>
    </row>
    <row r="28" spans="1:12" x14ac:dyDescent="0.25">
      <c r="A28" t="s">
        <v>306</v>
      </c>
      <c r="B28">
        <v>298.2</v>
      </c>
      <c r="C28">
        <v>7.3</v>
      </c>
      <c r="D28">
        <v>9.9</v>
      </c>
      <c r="E28">
        <v>3</v>
      </c>
      <c r="F28">
        <v>12.7</v>
      </c>
      <c r="G28">
        <v>8.1</v>
      </c>
      <c r="H28">
        <v>9.1999999999999993</v>
      </c>
      <c r="I28">
        <v>44.5</v>
      </c>
      <c r="J28">
        <v>30.6</v>
      </c>
      <c r="K28">
        <v>55.8</v>
      </c>
      <c r="L28">
        <v>26.7</v>
      </c>
    </row>
    <row r="29" spans="1:12" x14ac:dyDescent="0.25">
      <c r="A29" t="s">
        <v>307</v>
      </c>
      <c r="B29">
        <v>269.60000000000002</v>
      </c>
      <c r="C29">
        <v>5.2</v>
      </c>
      <c r="D29">
        <v>6.8</v>
      </c>
      <c r="E29">
        <v>2</v>
      </c>
      <c r="F29">
        <v>8.1999999999999993</v>
      </c>
      <c r="G29">
        <v>5.9</v>
      </c>
      <c r="H29">
        <v>8.1</v>
      </c>
      <c r="I29">
        <v>65</v>
      </c>
      <c r="J29">
        <v>11.3</v>
      </c>
      <c r="K29">
        <v>49</v>
      </c>
      <c r="L29">
        <v>20</v>
      </c>
    </row>
    <row r="30" spans="1:12" x14ac:dyDescent="0.25">
      <c r="A30" t="s">
        <v>266</v>
      </c>
      <c r="B30">
        <v>278.8</v>
      </c>
      <c r="C30">
        <v>6.2</v>
      </c>
      <c r="D30">
        <v>7.9</v>
      </c>
      <c r="E30">
        <v>2.2999999999999998</v>
      </c>
      <c r="F30">
        <v>9</v>
      </c>
      <c r="G30">
        <v>6.3</v>
      </c>
      <c r="H30">
        <v>8.6999999999999993</v>
      </c>
      <c r="I30">
        <v>62</v>
      </c>
      <c r="J30">
        <v>13.3</v>
      </c>
      <c r="K30">
        <v>57.7</v>
      </c>
      <c r="L30">
        <v>22.5</v>
      </c>
    </row>
    <row r="31" spans="1:12" x14ac:dyDescent="0.25">
      <c r="A31" t="s">
        <v>308</v>
      </c>
      <c r="B31">
        <v>508.5</v>
      </c>
      <c r="C31">
        <v>12.9</v>
      </c>
      <c r="D31">
        <v>15.7</v>
      </c>
      <c r="E31">
        <v>3</v>
      </c>
      <c r="F31">
        <v>13.7</v>
      </c>
      <c r="G31">
        <v>9.9</v>
      </c>
      <c r="H31">
        <v>13.3</v>
      </c>
      <c r="I31">
        <v>58.6</v>
      </c>
      <c r="J31">
        <v>13.6</v>
      </c>
      <c r="K31">
        <v>39</v>
      </c>
      <c r="L31">
        <v>24.6</v>
      </c>
    </row>
    <row r="32" spans="1:12" x14ac:dyDescent="0.25">
      <c r="A32" t="s">
        <v>309</v>
      </c>
      <c r="B32">
        <v>255</v>
      </c>
      <c r="C32">
        <v>5.5</v>
      </c>
      <c r="D32">
        <v>7.1</v>
      </c>
      <c r="E32">
        <v>2.2000000000000002</v>
      </c>
      <c r="F32">
        <v>8.5</v>
      </c>
      <c r="G32">
        <v>6</v>
      </c>
      <c r="H32">
        <v>8.1999999999999993</v>
      </c>
      <c r="I32">
        <v>62.3</v>
      </c>
      <c r="J32">
        <v>13.3</v>
      </c>
      <c r="K32">
        <v>59.7</v>
      </c>
      <c r="L32">
        <v>22.2</v>
      </c>
    </row>
    <row r="37" spans="14:14" x14ac:dyDescent="0.25">
      <c r="N37" t="s">
        <v>822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tabColor rgb="FF7030A0"/>
  </sheetPr>
  <dimension ref="A1:L18"/>
  <sheetViews>
    <sheetView workbookViewId="0"/>
  </sheetViews>
  <sheetFormatPr defaultRowHeight="15" x14ac:dyDescent="0.25"/>
  <cols>
    <col min="1" max="1" width="16.42578125" customWidth="1"/>
    <col min="2" max="2" width="8.140625" customWidth="1"/>
    <col min="3" max="3" width="8.42578125" customWidth="1"/>
    <col min="4" max="4" width="8.140625" customWidth="1"/>
    <col min="5" max="5" width="8.7109375" customWidth="1"/>
    <col min="6" max="6" width="8.42578125" customWidth="1"/>
    <col min="7" max="7" width="9" customWidth="1"/>
    <col min="8" max="8" width="8.7109375" customWidth="1"/>
    <col min="9" max="9" width="7.7109375" customWidth="1"/>
    <col min="10" max="10" width="8.85546875" customWidth="1"/>
    <col min="11" max="11" width="9.42578125" customWidth="1"/>
    <col min="12" max="12" width="8.85546875" customWidth="1"/>
  </cols>
  <sheetData>
    <row r="1" spans="1:12" x14ac:dyDescent="0.25">
      <c r="A1" s="29" t="s">
        <v>580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253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266</v>
      </c>
      <c r="B5">
        <v>239.5</v>
      </c>
      <c r="C5">
        <v>6.9</v>
      </c>
      <c r="D5">
        <v>8.4</v>
      </c>
      <c r="E5">
        <v>1.6</v>
      </c>
      <c r="F5">
        <v>7.3</v>
      </c>
      <c r="G5">
        <v>5.5</v>
      </c>
      <c r="H5">
        <v>7</v>
      </c>
      <c r="I5">
        <v>36.5</v>
      </c>
      <c r="J5">
        <v>12.6</v>
      </c>
      <c r="K5">
        <v>58.7</v>
      </c>
      <c r="L5">
        <v>36</v>
      </c>
    </row>
    <row r="6" spans="1:12" x14ac:dyDescent="0.25">
      <c r="A6" t="s">
        <v>267</v>
      </c>
      <c r="B6">
        <v>431.1</v>
      </c>
      <c r="C6">
        <v>15.5</v>
      </c>
      <c r="D6">
        <v>18</v>
      </c>
      <c r="E6">
        <v>2.2000000000000002</v>
      </c>
      <c r="F6">
        <v>11.6</v>
      </c>
      <c r="G6">
        <v>8.5</v>
      </c>
      <c r="H6">
        <v>11</v>
      </c>
      <c r="I6">
        <v>33.799999999999997</v>
      </c>
      <c r="J6">
        <v>11.7</v>
      </c>
      <c r="K6">
        <v>39.200000000000003</v>
      </c>
      <c r="L6">
        <v>34.1</v>
      </c>
    </row>
    <row r="7" spans="1:12" x14ac:dyDescent="0.25">
      <c r="A7" t="s">
        <v>268</v>
      </c>
      <c r="B7">
        <v>216.6</v>
      </c>
      <c r="C7">
        <v>5.9</v>
      </c>
      <c r="D7">
        <v>7.3</v>
      </c>
      <c r="E7">
        <v>1.6</v>
      </c>
      <c r="F7">
        <v>6.7</v>
      </c>
      <c r="G7">
        <v>5.0999999999999996</v>
      </c>
      <c r="H7">
        <v>6.5</v>
      </c>
      <c r="I7">
        <v>36.799999999999997</v>
      </c>
      <c r="J7">
        <v>12.7</v>
      </c>
      <c r="K7">
        <v>61</v>
      </c>
      <c r="L7">
        <v>36.299999999999997</v>
      </c>
    </row>
    <row r="8" spans="1:12" x14ac:dyDescent="0.25">
      <c r="A8" t="s">
        <v>269</v>
      </c>
      <c r="B8">
        <v>47.7</v>
      </c>
      <c r="C8">
        <v>1.2</v>
      </c>
      <c r="D8">
        <v>1.3</v>
      </c>
      <c r="E8">
        <v>0.1</v>
      </c>
      <c r="F8">
        <v>0.2</v>
      </c>
      <c r="G8">
        <v>1.6</v>
      </c>
      <c r="H8">
        <v>1.9</v>
      </c>
      <c r="I8">
        <v>0</v>
      </c>
      <c r="J8">
        <v>13.6</v>
      </c>
      <c r="K8">
        <v>63.4</v>
      </c>
      <c r="L8">
        <v>66.3</v>
      </c>
    </row>
    <row r="9" spans="1:12" x14ac:dyDescent="0.25">
      <c r="A9" t="s">
        <v>270</v>
      </c>
      <c r="B9">
        <v>278.8</v>
      </c>
      <c r="C9">
        <v>6.2</v>
      </c>
      <c r="D9">
        <v>7.9</v>
      </c>
      <c r="E9">
        <v>2.2999999999999998</v>
      </c>
      <c r="F9">
        <v>9</v>
      </c>
      <c r="G9">
        <v>6.3</v>
      </c>
      <c r="H9">
        <v>8.6999999999999993</v>
      </c>
      <c r="I9">
        <v>62</v>
      </c>
      <c r="J9">
        <v>13.3</v>
      </c>
      <c r="K9">
        <v>57.7</v>
      </c>
      <c r="L9">
        <v>22.5</v>
      </c>
    </row>
    <row r="10" spans="1:12" x14ac:dyDescent="0.25">
      <c r="A10" t="s">
        <v>581</v>
      </c>
      <c r="B10">
        <v>272.89999999999998</v>
      </c>
      <c r="C10">
        <v>11.7</v>
      </c>
      <c r="D10">
        <v>14.1</v>
      </c>
      <c r="E10">
        <v>1.9</v>
      </c>
      <c r="F10">
        <v>9</v>
      </c>
      <c r="G10">
        <v>5.9</v>
      </c>
      <c r="H10">
        <v>6.3</v>
      </c>
      <c r="I10">
        <v>19.8</v>
      </c>
      <c r="J10">
        <v>9.4</v>
      </c>
      <c r="K10">
        <v>56.8</v>
      </c>
      <c r="L10">
        <v>15.5</v>
      </c>
    </row>
    <row r="11" spans="1:12" x14ac:dyDescent="0.25">
      <c r="A11" t="s">
        <v>582</v>
      </c>
      <c r="B11">
        <v>1217.9000000000001</v>
      </c>
      <c r="C11">
        <v>52.3</v>
      </c>
      <c r="D11">
        <v>60.6</v>
      </c>
      <c r="E11">
        <v>5.5</v>
      </c>
      <c r="F11">
        <v>38.1</v>
      </c>
      <c r="G11">
        <v>24.9</v>
      </c>
      <c r="H11">
        <v>29</v>
      </c>
      <c r="I11">
        <v>38.299999999999997</v>
      </c>
      <c r="J11">
        <v>2.9</v>
      </c>
      <c r="K11">
        <v>37.200000000000003</v>
      </c>
      <c r="L11">
        <v>12.9</v>
      </c>
    </row>
    <row r="12" spans="1:12" x14ac:dyDescent="0.25">
      <c r="A12" t="s">
        <v>583</v>
      </c>
      <c r="B12">
        <v>372.6</v>
      </c>
      <c r="C12">
        <v>15.9</v>
      </c>
      <c r="D12">
        <v>18.8</v>
      </c>
      <c r="E12">
        <v>1.3</v>
      </c>
      <c r="F12">
        <v>6.4</v>
      </c>
      <c r="G12">
        <v>7.7</v>
      </c>
      <c r="H12">
        <v>8.6</v>
      </c>
      <c r="I12">
        <v>14</v>
      </c>
      <c r="J12">
        <v>6.6</v>
      </c>
      <c r="K12">
        <v>69.599999999999994</v>
      </c>
      <c r="L12">
        <v>40.4</v>
      </c>
    </row>
    <row r="13" spans="1:12" x14ac:dyDescent="0.25">
      <c r="A13" t="s">
        <v>584</v>
      </c>
      <c r="B13">
        <v>645.1</v>
      </c>
      <c r="C13">
        <v>28.1</v>
      </c>
      <c r="D13">
        <v>32.5</v>
      </c>
      <c r="E13">
        <v>5.5</v>
      </c>
      <c r="F13">
        <v>38.1</v>
      </c>
      <c r="G13">
        <v>13.6</v>
      </c>
      <c r="H13">
        <v>15.8</v>
      </c>
      <c r="I13">
        <v>38.299999999999997</v>
      </c>
      <c r="J13">
        <v>2.9</v>
      </c>
      <c r="K13">
        <v>37.200000000000003</v>
      </c>
      <c r="L13">
        <v>12.9</v>
      </c>
    </row>
    <row r="14" spans="1:12" x14ac:dyDescent="0.25">
      <c r="A14" t="s">
        <v>276</v>
      </c>
      <c r="B14">
        <v>487.1</v>
      </c>
      <c r="C14">
        <v>10.5</v>
      </c>
      <c r="D14">
        <v>13.6</v>
      </c>
      <c r="E14">
        <v>3.2</v>
      </c>
      <c r="F14">
        <v>14</v>
      </c>
      <c r="G14">
        <v>9.6999999999999993</v>
      </c>
      <c r="H14">
        <v>12.8</v>
      </c>
      <c r="I14">
        <v>68.8</v>
      </c>
      <c r="J14">
        <v>12.9</v>
      </c>
      <c r="K14">
        <v>47</v>
      </c>
      <c r="L14">
        <v>22.4</v>
      </c>
    </row>
    <row r="15" spans="1:12" x14ac:dyDescent="0.25">
      <c r="A15" t="s">
        <v>277</v>
      </c>
      <c r="B15">
        <v>231.9</v>
      </c>
      <c r="C15">
        <v>5.2</v>
      </c>
      <c r="D15">
        <v>6.7</v>
      </c>
      <c r="E15">
        <v>2</v>
      </c>
      <c r="F15">
        <v>7.8</v>
      </c>
      <c r="G15">
        <v>5.6</v>
      </c>
      <c r="H15">
        <v>7.7</v>
      </c>
      <c r="I15">
        <v>60.4</v>
      </c>
      <c r="J15">
        <v>13.4</v>
      </c>
      <c r="K15">
        <v>60.1</v>
      </c>
      <c r="L15">
        <v>22.5</v>
      </c>
    </row>
    <row r="16" spans="1:12" x14ac:dyDescent="0.25">
      <c r="A16" t="s">
        <v>279</v>
      </c>
      <c r="B16">
        <v>209.7</v>
      </c>
      <c r="C16">
        <v>4.9000000000000004</v>
      </c>
      <c r="D16">
        <v>6.1</v>
      </c>
      <c r="E16">
        <v>2</v>
      </c>
      <c r="F16">
        <v>7.6</v>
      </c>
      <c r="G16">
        <v>5.4</v>
      </c>
      <c r="H16">
        <v>7.2</v>
      </c>
      <c r="I16">
        <v>50.9</v>
      </c>
      <c r="J16">
        <v>14.6</v>
      </c>
      <c r="K16">
        <v>60.6</v>
      </c>
      <c r="L16">
        <v>23</v>
      </c>
    </row>
    <row r="17" spans="1:12" x14ac:dyDescent="0.25">
      <c r="A17" t="s">
        <v>280</v>
      </c>
      <c r="B17">
        <v>292</v>
      </c>
      <c r="C17">
        <v>6.5</v>
      </c>
      <c r="D17">
        <v>8.6</v>
      </c>
      <c r="E17">
        <v>2.4</v>
      </c>
      <c r="F17">
        <v>9.9</v>
      </c>
      <c r="G17">
        <v>6.8</v>
      </c>
      <c r="H17">
        <v>8.6</v>
      </c>
      <c r="I17">
        <v>61.1</v>
      </c>
      <c r="J17">
        <v>100</v>
      </c>
      <c r="K17">
        <v>55.9</v>
      </c>
      <c r="L17">
        <v>24</v>
      </c>
    </row>
    <row r="18" spans="1:12" x14ac:dyDescent="0.25">
      <c r="A18" t="s">
        <v>281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rgb="FF7030A0"/>
  </sheetPr>
  <dimension ref="A1:L32"/>
  <sheetViews>
    <sheetView workbookViewId="0"/>
  </sheetViews>
  <sheetFormatPr defaultRowHeight="15" x14ac:dyDescent="0.25"/>
  <sheetData>
    <row r="1" spans="1:12" x14ac:dyDescent="0.25">
      <c r="A1" s="29" t="s">
        <v>585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586</v>
      </c>
    </row>
    <row r="5" spans="1:12" x14ac:dyDescent="0.25">
      <c r="A5" t="s">
        <v>283</v>
      </c>
      <c r="B5">
        <v>199.7</v>
      </c>
      <c r="C5">
        <v>5.8</v>
      </c>
      <c r="D5">
        <v>6.9</v>
      </c>
      <c r="E5">
        <v>1.5</v>
      </c>
      <c r="F5">
        <v>6.5</v>
      </c>
      <c r="G5">
        <v>4.8</v>
      </c>
      <c r="H5">
        <v>5.9</v>
      </c>
      <c r="I5">
        <v>31</v>
      </c>
      <c r="J5">
        <v>2.1</v>
      </c>
      <c r="K5">
        <v>63.3</v>
      </c>
      <c r="L5">
        <v>44.5</v>
      </c>
    </row>
    <row r="6" spans="1:12" x14ac:dyDescent="0.25">
      <c r="A6" t="s">
        <v>284</v>
      </c>
      <c r="B6">
        <v>229.4</v>
      </c>
      <c r="C6">
        <v>6.1</v>
      </c>
      <c r="D6">
        <v>7.6</v>
      </c>
      <c r="E6">
        <v>1.5</v>
      </c>
      <c r="F6">
        <v>6.3</v>
      </c>
      <c r="G6">
        <v>4.9000000000000004</v>
      </c>
      <c r="H6">
        <v>6.7</v>
      </c>
      <c r="I6">
        <v>48.8</v>
      </c>
      <c r="J6">
        <v>4.7</v>
      </c>
      <c r="K6">
        <v>67.3</v>
      </c>
      <c r="L6">
        <v>31.9</v>
      </c>
    </row>
    <row r="7" spans="1:12" x14ac:dyDescent="0.25">
      <c r="A7" t="s">
        <v>285</v>
      </c>
      <c r="B7">
        <v>272.39999999999998</v>
      </c>
      <c r="C7">
        <v>7.1</v>
      </c>
      <c r="D7">
        <v>9.3000000000000007</v>
      </c>
      <c r="E7">
        <v>1.8</v>
      </c>
      <c r="F7">
        <v>8.5</v>
      </c>
      <c r="G7">
        <v>5.9</v>
      </c>
      <c r="H7">
        <v>7.5</v>
      </c>
      <c r="I7">
        <v>38.200000000000003</v>
      </c>
      <c r="J7">
        <v>16.600000000000001</v>
      </c>
      <c r="K7">
        <v>46.2</v>
      </c>
      <c r="L7">
        <v>42.6</v>
      </c>
    </row>
    <row r="8" spans="1:12" x14ac:dyDescent="0.25">
      <c r="A8" t="s">
        <v>286</v>
      </c>
      <c r="B8">
        <v>250.8</v>
      </c>
      <c r="C8">
        <v>7.6</v>
      </c>
      <c r="D8">
        <v>9.1999999999999993</v>
      </c>
      <c r="E8">
        <v>1.8</v>
      </c>
      <c r="F8">
        <v>8.1999999999999993</v>
      </c>
      <c r="G8">
        <v>5.4</v>
      </c>
      <c r="H8">
        <v>7</v>
      </c>
      <c r="I8">
        <v>39.200000000000003</v>
      </c>
      <c r="J8">
        <v>9.1</v>
      </c>
      <c r="K8">
        <v>63.1</v>
      </c>
      <c r="L8">
        <v>20.6</v>
      </c>
    </row>
    <row r="9" spans="1:12" x14ac:dyDescent="0.25">
      <c r="A9" t="s">
        <v>287</v>
      </c>
      <c r="B9">
        <v>262.3</v>
      </c>
      <c r="C9">
        <v>6.8</v>
      </c>
      <c r="D9">
        <v>8.1999999999999993</v>
      </c>
      <c r="E9">
        <v>1.7</v>
      </c>
      <c r="F9">
        <v>7.3</v>
      </c>
      <c r="G9">
        <v>5.4</v>
      </c>
      <c r="H9">
        <v>6.6</v>
      </c>
      <c r="I9">
        <v>36.799999999999997</v>
      </c>
      <c r="J9">
        <v>7.1</v>
      </c>
      <c r="K9">
        <v>50.4</v>
      </c>
      <c r="L9">
        <v>34.700000000000003</v>
      </c>
    </row>
    <row r="10" spans="1:12" x14ac:dyDescent="0.25">
      <c r="A10" t="s">
        <v>288</v>
      </c>
      <c r="B10">
        <v>198.4</v>
      </c>
      <c r="C10">
        <v>5.6</v>
      </c>
      <c r="D10">
        <v>6.6</v>
      </c>
      <c r="E10">
        <v>1.5</v>
      </c>
      <c r="F10">
        <v>5.9</v>
      </c>
      <c r="G10">
        <v>4.8</v>
      </c>
      <c r="H10">
        <v>6.2</v>
      </c>
      <c r="I10">
        <v>39.4</v>
      </c>
      <c r="J10">
        <v>8.9</v>
      </c>
      <c r="K10">
        <v>60.6</v>
      </c>
      <c r="L10">
        <v>29.6</v>
      </c>
    </row>
    <row r="11" spans="1:12" x14ac:dyDescent="0.25">
      <c r="A11" t="s">
        <v>289</v>
      </c>
      <c r="B11">
        <v>208.4</v>
      </c>
      <c r="C11">
        <v>7.9</v>
      </c>
      <c r="D11">
        <v>9.5</v>
      </c>
      <c r="E11">
        <v>1.5</v>
      </c>
      <c r="F11">
        <v>7.1</v>
      </c>
      <c r="G11">
        <v>5.3</v>
      </c>
      <c r="H11">
        <v>7.8</v>
      </c>
      <c r="I11">
        <v>28.4</v>
      </c>
      <c r="J11">
        <v>49.2</v>
      </c>
      <c r="K11">
        <v>67.400000000000006</v>
      </c>
      <c r="L11">
        <v>32.200000000000003</v>
      </c>
    </row>
    <row r="12" spans="1:12" x14ac:dyDescent="0.25">
      <c r="A12" t="s">
        <v>290</v>
      </c>
      <c r="B12">
        <v>346.6</v>
      </c>
      <c r="C12">
        <v>9.6</v>
      </c>
      <c r="D12">
        <v>11.6</v>
      </c>
      <c r="E12">
        <v>2</v>
      </c>
      <c r="F12">
        <v>9.1</v>
      </c>
      <c r="G12">
        <v>7.3</v>
      </c>
      <c r="H12">
        <v>8.9</v>
      </c>
      <c r="I12">
        <v>40.6</v>
      </c>
      <c r="J12">
        <v>26.9</v>
      </c>
      <c r="K12">
        <v>36.700000000000003</v>
      </c>
      <c r="L12">
        <v>30.6</v>
      </c>
    </row>
    <row r="13" spans="1:12" x14ac:dyDescent="0.25">
      <c r="A13" t="s">
        <v>291</v>
      </c>
      <c r="B13">
        <v>180.3</v>
      </c>
      <c r="C13">
        <v>9.5</v>
      </c>
      <c r="D13">
        <v>11.5</v>
      </c>
      <c r="E13">
        <v>1.8</v>
      </c>
      <c r="F13">
        <v>10.4</v>
      </c>
      <c r="G13">
        <v>5.2</v>
      </c>
      <c r="H13">
        <v>6</v>
      </c>
      <c r="I13">
        <v>20</v>
      </c>
      <c r="J13">
        <v>20</v>
      </c>
      <c r="K13">
        <v>58</v>
      </c>
      <c r="L13">
        <v>44</v>
      </c>
    </row>
    <row r="14" spans="1:12" x14ac:dyDescent="0.25">
      <c r="A14" t="s">
        <v>292</v>
      </c>
      <c r="B14">
        <v>126.1</v>
      </c>
      <c r="C14">
        <v>5.4</v>
      </c>
      <c r="D14">
        <v>6.2</v>
      </c>
      <c r="E14">
        <v>1.3</v>
      </c>
      <c r="F14">
        <v>5.7</v>
      </c>
      <c r="G14">
        <v>3.9</v>
      </c>
      <c r="H14">
        <v>5.4</v>
      </c>
      <c r="I14">
        <v>31.8</v>
      </c>
      <c r="J14">
        <v>2.2000000000000002</v>
      </c>
      <c r="K14">
        <v>69.099999999999994</v>
      </c>
      <c r="L14">
        <v>42.2</v>
      </c>
    </row>
    <row r="15" spans="1:12" x14ac:dyDescent="0.25">
      <c r="A15" t="s">
        <v>293</v>
      </c>
      <c r="B15">
        <v>200.8</v>
      </c>
      <c r="C15">
        <v>6</v>
      </c>
      <c r="D15">
        <v>7</v>
      </c>
      <c r="E15">
        <v>1.6</v>
      </c>
      <c r="F15">
        <v>6.2</v>
      </c>
      <c r="G15">
        <v>4.7</v>
      </c>
      <c r="H15">
        <v>6.7</v>
      </c>
      <c r="I15">
        <v>46</v>
      </c>
      <c r="J15">
        <v>10.8</v>
      </c>
      <c r="K15">
        <v>61.4</v>
      </c>
      <c r="L15">
        <v>35.200000000000003</v>
      </c>
    </row>
    <row r="16" spans="1:12" x14ac:dyDescent="0.25">
      <c r="A16" t="s">
        <v>294</v>
      </c>
      <c r="B16">
        <v>167</v>
      </c>
      <c r="C16">
        <v>7.1</v>
      </c>
      <c r="D16">
        <v>7.6</v>
      </c>
      <c r="E16">
        <v>1.6</v>
      </c>
      <c r="F16">
        <v>6.4</v>
      </c>
      <c r="G16">
        <v>4.9000000000000004</v>
      </c>
      <c r="H16">
        <v>6.5</v>
      </c>
      <c r="I16">
        <v>37.1</v>
      </c>
      <c r="J16">
        <v>1.5</v>
      </c>
      <c r="K16">
        <v>82.6</v>
      </c>
      <c r="L16">
        <v>23.5</v>
      </c>
    </row>
    <row r="17" spans="1:12" x14ac:dyDescent="0.25">
      <c r="A17" t="s">
        <v>295</v>
      </c>
      <c r="B17">
        <v>157.4</v>
      </c>
      <c r="C17">
        <v>4.5</v>
      </c>
      <c r="D17">
        <v>5.4</v>
      </c>
      <c r="E17">
        <v>1.2</v>
      </c>
      <c r="F17">
        <v>5.6</v>
      </c>
      <c r="G17">
        <v>4.3</v>
      </c>
      <c r="H17">
        <v>5.7</v>
      </c>
      <c r="I17">
        <v>24.9</v>
      </c>
      <c r="J17">
        <v>1.1000000000000001</v>
      </c>
      <c r="K17">
        <v>57.9</v>
      </c>
      <c r="L17">
        <v>36.299999999999997</v>
      </c>
    </row>
    <row r="18" spans="1:12" x14ac:dyDescent="0.25">
      <c r="A18" t="s">
        <v>296</v>
      </c>
      <c r="B18">
        <v>198.6</v>
      </c>
      <c r="C18">
        <v>8.1999999999999993</v>
      </c>
      <c r="D18">
        <v>9.3000000000000007</v>
      </c>
      <c r="E18">
        <v>1.6</v>
      </c>
      <c r="F18">
        <v>8.8000000000000007</v>
      </c>
      <c r="G18">
        <v>5.2</v>
      </c>
      <c r="H18">
        <v>6.6</v>
      </c>
      <c r="I18">
        <v>35.4</v>
      </c>
      <c r="J18">
        <v>2.4</v>
      </c>
      <c r="K18">
        <v>73.2</v>
      </c>
      <c r="L18">
        <v>36.6</v>
      </c>
    </row>
    <row r="19" spans="1:12" x14ac:dyDescent="0.25">
      <c r="A19" t="s">
        <v>297</v>
      </c>
      <c r="B19">
        <v>645.70000000000005</v>
      </c>
      <c r="C19">
        <v>24.3</v>
      </c>
      <c r="D19">
        <v>27.4</v>
      </c>
      <c r="E19">
        <v>2.2999999999999998</v>
      </c>
      <c r="F19">
        <v>14.2</v>
      </c>
      <c r="G19">
        <v>10.7</v>
      </c>
      <c r="H19">
        <v>15</v>
      </c>
      <c r="I19">
        <v>41.6</v>
      </c>
      <c r="J19">
        <v>21.3</v>
      </c>
      <c r="K19">
        <v>27.1</v>
      </c>
      <c r="L19">
        <v>36.1</v>
      </c>
    </row>
    <row r="20" spans="1:12" x14ac:dyDescent="0.25">
      <c r="A20" t="s">
        <v>298</v>
      </c>
      <c r="B20">
        <v>278.39999999999998</v>
      </c>
      <c r="C20">
        <v>10.4</v>
      </c>
      <c r="D20">
        <v>12.1</v>
      </c>
      <c r="E20">
        <v>1.3</v>
      </c>
      <c r="F20">
        <v>10.199999999999999</v>
      </c>
      <c r="G20">
        <v>6.8</v>
      </c>
      <c r="H20">
        <v>7.9</v>
      </c>
      <c r="I20">
        <v>37.700000000000003</v>
      </c>
      <c r="J20">
        <v>9.4</v>
      </c>
      <c r="K20">
        <v>50.9</v>
      </c>
      <c r="L20">
        <v>34</v>
      </c>
    </row>
    <row r="21" spans="1:12" x14ac:dyDescent="0.25">
      <c r="A21" t="s">
        <v>299</v>
      </c>
      <c r="B21">
        <v>142.19999999999999</v>
      </c>
      <c r="C21">
        <v>5.3</v>
      </c>
      <c r="D21">
        <v>6.2</v>
      </c>
      <c r="E21">
        <v>1.3</v>
      </c>
      <c r="F21">
        <v>5.8</v>
      </c>
      <c r="G21">
        <v>4.4000000000000004</v>
      </c>
      <c r="H21">
        <v>5.4</v>
      </c>
      <c r="I21">
        <v>12.4</v>
      </c>
      <c r="J21">
        <v>0.5</v>
      </c>
      <c r="K21">
        <v>64.7</v>
      </c>
      <c r="L21">
        <v>36.299999999999997</v>
      </c>
    </row>
    <row r="22" spans="1:12" x14ac:dyDescent="0.25">
      <c r="A22" t="s">
        <v>300</v>
      </c>
      <c r="B22">
        <v>225.9</v>
      </c>
      <c r="C22">
        <v>5.5</v>
      </c>
      <c r="D22">
        <v>7.3</v>
      </c>
      <c r="E22">
        <v>1.6</v>
      </c>
      <c r="F22">
        <v>7</v>
      </c>
      <c r="G22">
        <v>5.4</v>
      </c>
      <c r="H22">
        <v>6.4</v>
      </c>
      <c r="I22">
        <v>42.3</v>
      </c>
      <c r="J22">
        <v>23.1</v>
      </c>
      <c r="K22">
        <v>58.6</v>
      </c>
      <c r="L22">
        <v>39.6</v>
      </c>
    </row>
    <row r="23" spans="1:12" x14ac:dyDescent="0.25">
      <c r="A23" t="s">
        <v>301</v>
      </c>
      <c r="B23">
        <v>202.2</v>
      </c>
      <c r="C23">
        <v>5.7</v>
      </c>
      <c r="D23">
        <v>7</v>
      </c>
      <c r="E23">
        <v>1.5</v>
      </c>
      <c r="F23">
        <v>6.3</v>
      </c>
      <c r="G23">
        <v>4.7</v>
      </c>
      <c r="H23">
        <v>6.1</v>
      </c>
      <c r="I23">
        <v>37.700000000000003</v>
      </c>
      <c r="J23">
        <v>1.8</v>
      </c>
      <c r="K23">
        <v>76</v>
      </c>
      <c r="L23">
        <v>32.1</v>
      </c>
    </row>
    <row r="24" spans="1:12" x14ac:dyDescent="0.25">
      <c r="A24" t="s">
        <v>302</v>
      </c>
      <c r="B24">
        <v>171.8</v>
      </c>
      <c r="C24">
        <v>4.4000000000000004</v>
      </c>
      <c r="D24">
        <v>4.8</v>
      </c>
      <c r="E24">
        <v>1.5</v>
      </c>
      <c r="F24">
        <v>5.3</v>
      </c>
      <c r="G24">
        <v>4</v>
      </c>
      <c r="H24">
        <v>6</v>
      </c>
      <c r="I24">
        <v>40.200000000000003</v>
      </c>
      <c r="J24">
        <v>1.8</v>
      </c>
      <c r="K24">
        <v>59.5</v>
      </c>
      <c r="L24">
        <v>32.299999999999997</v>
      </c>
    </row>
    <row r="25" spans="1:12" x14ac:dyDescent="0.25">
      <c r="A25" t="s">
        <v>303</v>
      </c>
      <c r="B25">
        <v>251.3</v>
      </c>
      <c r="C25">
        <v>5.4</v>
      </c>
      <c r="D25">
        <v>6.9</v>
      </c>
      <c r="E25">
        <v>1.7</v>
      </c>
      <c r="F25">
        <v>6.3</v>
      </c>
      <c r="G25">
        <v>5.0999999999999996</v>
      </c>
      <c r="H25">
        <v>6.9</v>
      </c>
      <c r="I25">
        <v>34.200000000000003</v>
      </c>
      <c r="J25">
        <v>3.7</v>
      </c>
      <c r="K25">
        <v>59.8</v>
      </c>
      <c r="L25">
        <v>46.8</v>
      </c>
    </row>
    <row r="26" spans="1:12" x14ac:dyDescent="0.25">
      <c r="A26" t="s">
        <v>304</v>
      </c>
      <c r="B26">
        <v>146.80000000000001</v>
      </c>
      <c r="C26">
        <v>5.4</v>
      </c>
      <c r="D26">
        <v>6.2</v>
      </c>
      <c r="E26">
        <v>1.4</v>
      </c>
      <c r="F26">
        <v>5</v>
      </c>
      <c r="G26">
        <v>4.2</v>
      </c>
      <c r="H26">
        <v>6.9</v>
      </c>
      <c r="I26">
        <v>45.2</v>
      </c>
      <c r="J26">
        <v>0.8</v>
      </c>
      <c r="K26">
        <v>71.8</v>
      </c>
      <c r="L26">
        <v>31.7</v>
      </c>
    </row>
    <row r="27" spans="1:12" x14ac:dyDescent="0.25">
      <c r="A27" t="s">
        <v>305</v>
      </c>
      <c r="B27">
        <v>237.4</v>
      </c>
      <c r="C27">
        <v>7.3</v>
      </c>
      <c r="D27">
        <v>9.1999999999999993</v>
      </c>
      <c r="E27">
        <v>1.8</v>
      </c>
      <c r="F27">
        <v>8</v>
      </c>
      <c r="G27">
        <v>6</v>
      </c>
      <c r="H27">
        <v>7</v>
      </c>
      <c r="I27">
        <v>30.5</v>
      </c>
      <c r="J27">
        <v>17.399999999999999</v>
      </c>
      <c r="K27">
        <v>69.7</v>
      </c>
      <c r="L27">
        <v>42.1</v>
      </c>
    </row>
    <row r="28" spans="1:12" x14ac:dyDescent="0.25">
      <c r="A28" t="s">
        <v>306</v>
      </c>
      <c r="B28">
        <v>249.9</v>
      </c>
      <c r="C28">
        <v>8.1</v>
      </c>
      <c r="D28">
        <v>10.3</v>
      </c>
      <c r="E28">
        <v>2</v>
      </c>
      <c r="F28">
        <v>9.3000000000000007</v>
      </c>
      <c r="G28">
        <v>6.8</v>
      </c>
      <c r="H28">
        <v>7.4</v>
      </c>
      <c r="I28">
        <v>23.1</v>
      </c>
      <c r="J28">
        <v>27.1</v>
      </c>
      <c r="K28">
        <v>55.5</v>
      </c>
      <c r="L28">
        <v>36</v>
      </c>
    </row>
    <row r="29" spans="1:12" x14ac:dyDescent="0.25">
      <c r="A29" t="s">
        <v>307</v>
      </c>
      <c r="B29">
        <v>235.8</v>
      </c>
      <c r="C29">
        <v>5.4</v>
      </c>
      <c r="D29">
        <v>6.7</v>
      </c>
      <c r="E29">
        <v>1.5</v>
      </c>
      <c r="F29">
        <v>6.7</v>
      </c>
      <c r="G29">
        <v>5.2</v>
      </c>
      <c r="H29">
        <v>6.8</v>
      </c>
      <c r="I29">
        <v>39.6</v>
      </c>
      <c r="J29">
        <v>10.5</v>
      </c>
      <c r="K29">
        <v>52.1</v>
      </c>
      <c r="L29">
        <v>33.700000000000003</v>
      </c>
    </row>
    <row r="30" spans="1:12" x14ac:dyDescent="0.25">
      <c r="A30" t="s">
        <v>266</v>
      </c>
      <c r="B30">
        <v>239.5</v>
      </c>
      <c r="C30">
        <v>6.9</v>
      </c>
      <c r="D30">
        <v>8.4</v>
      </c>
      <c r="E30">
        <v>1.6</v>
      </c>
      <c r="F30">
        <v>7.3</v>
      </c>
      <c r="G30">
        <v>5.5</v>
      </c>
      <c r="H30">
        <v>7</v>
      </c>
      <c r="I30">
        <v>36.5</v>
      </c>
      <c r="J30">
        <v>12.6</v>
      </c>
      <c r="K30">
        <v>58.7</v>
      </c>
      <c r="L30">
        <v>36</v>
      </c>
    </row>
    <row r="31" spans="1:12" x14ac:dyDescent="0.25">
      <c r="A31" t="s">
        <v>308</v>
      </c>
      <c r="B31">
        <v>431.1</v>
      </c>
      <c r="C31">
        <v>15.5</v>
      </c>
      <c r="D31">
        <v>18</v>
      </c>
      <c r="E31">
        <v>2.2000000000000002</v>
      </c>
      <c r="F31">
        <v>11.6</v>
      </c>
      <c r="G31">
        <v>8.5</v>
      </c>
      <c r="H31">
        <v>11</v>
      </c>
      <c r="I31">
        <v>33.799999999999997</v>
      </c>
      <c r="J31">
        <v>11.7</v>
      </c>
      <c r="K31">
        <v>39.200000000000003</v>
      </c>
      <c r="L31">
        <v>34.1</v>
      </c>
    </row>
    <row r="32" spans="1:12" x14ac:dyDescent="0.25">
      <c r="A32" t="s">
        <v>309</v>
      </c>
      <c r="B32">
        <v>216.6</v>
      </c>
      <c r="C32">
        <v>5.9</v>
      </c>
      <c r="D32">
        <v>7.3</v>
      </c>
      <c r="E32">
        <v>1.6</v>
      </c>
      <c r="F32">
        <v>6.7</v>
      </c>
      <c r="G32">
        <v>5.0999999999999996</v>
      </c>
      <c r="H32">
        <v>6.5</v>
      </c>
      <c r="I32">
        <v>36.799999999999997</v>
      </c>
      <c r="J32">
        <v>12.7</v>
      </c>
      <c r="K32">
        <v>61</v>
      </c>
      <c r="L32">
        <v>36.299999999999997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rgb="FF7030A0"/>
  </sheetPr>
  <dimension ref="A1:L32"/>
  <sheetViews>
    <sheetView workbookViewId="0"/>
  </sheetViews>
  <sheetFormatPr defaultRowHeight="15" x14ac:dyDescent="0.25"/>
  <cols>
    <col min="1" max="1" width="14.5703125" customWidth="1"/>
    <col min="2" max="2" width="8.140625" customWidth="1"/>
    <col min="3" max="3" width="9.7109375" customWidth="1"/>
    <col min="4" max="4" width="8.140625" customWidth="1"/>
    <col min="5" max="5" width="8.7109375" customWidth="1"/>
    <col min="6" max="6" width="8.42578125" customWidth="1"/>
    <col min="7" max="7" width="10.28515625" customWidth="1"/>
    <col min="8" max="8" width="8.7109375" customWidth="1"/>
    <col min="9" max="9" width="9" customWidth="1"/>
    <col min="10" max="10" width="8.85546875" customWidth="1"/>
    <col min="11" max="11" width="9.42578125" customWidth="1"/>
    <col min="12" max="12" width="10.140625" customWidth="1"/>
  </cols>
  <sheetData>
    <row r="1" spans="1:12" x14ac:dyDescent="0.25">
      <c r="A1" s="29" t="s">
        <v>587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x14ac:dyDescent="0.25">
      <c r="A2" s="29" t="s">
        <v>709</v>
      </c>
      <c r="B2" t="s">
        <v>574</v>
      </c>
      <c r="C2" t="s">
        <v>475</v>
      </c>
      <c r="D2" t="s">
        <v>115</v>
      </c>
      <c r="E2" t="s">
        <v>526</v>
      </c>
      <c r="F2" t="s">
        <v>527</v>
      </c>
      <c r="G2" t="s">
        <v>313</v>
      </c>
      <c r="H2" t="s">
        <v>256</v>
      </c>
      <c r="I2" s="29" t="s">
        <v>575</v>
      </c>
      <c r="J2" s="29"/>
      <c r="K2" s="29"/>
      <c r="L2" s="29"/>
    </row>
    <row r="3" spans="1:12" x14ac:dyDescent="0.25">
      <c r="A3" s="29"/>
      <c r="B3" t="s">
        <v>576</v>
      </c>
      <c r="C3" t="s">
        <v>576</v>
      </c>
      <c r="D3" t="s">
        <v>576</v>
      </c>
      <c r="E3" t="s">
        <v>576</v>
      </c>
      <c r="F3" t="s">
        <v>576</v>
      </c>
      <c r="G3" t="s">
        <v>576</v>
      </c>
      <c r="H3" t="s">
        <v>576</v>
      </c>
      <c r="I3" s="29"/>
      <c r="J3" s="29"/>
      <c r="K3" s="29"/>
      <c r="L3" s="29"/>
    </row>
    <row r="4" spans="1:12" x14ac:dyDescent="0.25">
      <c r="A4" s="29"/>
      <c r="B4" t="s">
        <v>312</v>
      </c>
      <c r="C4" t="s">
        <v>312</v>
      </c>
      <c r="D4" t="s">
        <v>312</v>
      </c>
      <c r="E4" t="s">
        <v>312</v>
      </c>
      <c r="F4" t="s">
        <v>312</v>
      </c>
      <c r="G4" t="s">
        <v>312</v>
      </c>
      <c r="H4" t="s">
        <v>312</v>
      </c>
      <c r="I4" t="s">
        <v>577</v>
      </c>
      <c r="J4" t="s">
        <v>262</v>
      </c>
      <c r="K4" t="s">
        <v>578</v>
      </c>
      <c r="L4" t="s">
        <v>579</v>
      </c>
    </row>
    <row r="5" spans="1:12" x14ac:dyDescent="0.25">
      <c r="A5" t="s">
        <v>283</v>
      </c>
      <c r="B5">
        <v>565.20000000000005</v>
      </c>
      <c r="C5">
        <v>22.1</v>
      </c>
      <c r="D5">
        <v>26.1</v>
      </c>
      <c r="E5">
        <v>3.2</v>
      </c>
      <c r="F5">
        <v>21.1</v>
      </c>
      <c r="G5">
        <v>12</v>
      </c>
      <c r="H5">
        <v>12.3</v>
      </c>
      <c r="I5">
        <v>26.2</v>
      </c>
      <c r="J5">
        <v>1.2</v>
      </c>
      <c r="K5">
        <v>52.4</v>
      </c>
      <c r="L5">
        <v>19</v>
      </c>
    </row>
    <row r="6" spans="1:12" x14ac:dyDescent="0.25">
      <c r="A6" t="s">
        <v>284</v>
      </c>
      <c r="B6">
        <v>590.6</v>
      </c>
      <c r="C6">
        <v>21.8</v>
      </c>
      <c r="D6">
        <v>25.9</v>
      </c>
      <c r="E6">
        <v>3</v>
      </c>
      <c r="F6">
        <v>17.399999999999999</v>
      </c>
      <c r="G6">
        <v>11.7</v>
      </c>
      <c r="H6">
        <v>12.4</v>
      </c>
      <c r="I6">
        <v>18.100000000000001</v>
      </c>
      <c r="J6">
        <v>2.4</v>
      </c>
      <c r="K6">
        <v>63.8</v>
      </c>
      <c r="L6">
        <v>12.6</v>
      </c>
    </row>
    <row r="7" spans="1:12" x14ac:dyDescent="0.25">
      <c r="A7" t="s">
        <v>285</v>
      </c>
      <c r="B7">
        <v>557.9</v>
      </c>
      <c r="C7">
        <v>23.9</v>
      </c>
      <c r="D7">
        <v>29.3</v>
      </c>
      <c r="E7">
        <v>3.1</v>
      </c>
      <c r="F7">
        <v>19.5</v>
      </c>
      <c r="G7">
        <v>11.8</v>
      </c>
      <c r="H7">
        <v>12.7</v>
      </c>
      <c r="I7">
        <v>26.6</v>
      </c>
      <c r="J7">
        <v>5.6</v>
      </c>
      <c r="K7">
        <v>38.700000000000003</v>
      </c>
      <c r="L7">
        <v>18.5</v>
      </c>
    </row>
    <row r="8" spans="1:12" x14ac:dyDescent="0.25">
      <c r="A8" t="s">
        <v>286</v>
      </c>
      <c r="B8">
        <v>488.1</v>
      </c>
      <c r="C8">
        <v>21</v>
      </c>
      <c r="D8">
        <v>24.7</v>
      </c>
      <c r="E8">
        <v>2.7</v>
      </c>
      <c r="F8">
        <v>18.2</v>
      </c>
      <c r="G8">
        <v>10.1</v>
      </c>
      <c r="H8">
        <v>10.6</v>
      </c>
      <c r="I8">
        <v>16.7</v>
      </c>
      <c r="J8">
        <v>9</v>
      </c>
      <c r="K8">
        <v>64.099999999999994</v>
      </c>
      <c r="L8">
        <v>3.8</v>
      </c>
    </row>
    <row r="9" spans="1:12" x14ac:dyDescent="0.25">
      <c r="A9" t="s">
        <v>287</v>
      </c>
      <c r="B9">
        <v>512.5</v>
      </c>
      <c r="C9">
        <v>20.100000000000001</v>
      </c>
      <c r="D9">
        <v>23.3</v>
      </c>
      <c r="E9">
        <v>2.9</v>
      </c>
      <c r="F9">
        <v>14.3</v>
      </c>
      <c r="G9">
        <v>9.3000000000000007</v>
      </c>
      <c r="H9">
        <v>10.4</v>
      </c>
      <c r="I9">
        <v>41.2</v>
      </c>
      <c r="J9">
        <v>2.1</v>
      </c>
      <c r="K9">
        <v>38.1</v>
      </c>
      <c r="L9">
        <v>12.4</v>
      </c>
    </row>
    <row r="10" spans="1:12" x14ac:dyDescent="0.25">
      <c r="A10" t="s">
        <v>288</v>
      </c>
      <c r="B10">
        <v>516</v>
      </c>
      <c r="C10">
        <v>19.2</v>
      </c>
      <c r="D10">
        <v>22.9</v>
      </c>
      <c r="E10">
        <v>2.7</v>
      </c>
      <c r="F10">
        <v>14.9</v>
      </c>
      <c r="G10">
        <v>11.5</v>
      </c>
      <c r="H10">
        <v>12.3</v>
      </c>
      <c r="I10">
        <v>21.7</v>
      </c>
      <c r="J10">
        <v>0</v>
      </c>
      <c r="K10">
        <v>55.4</v>
      </c>
      <c r="L10">
        <v>15.2</v>
      </c>
    </row>
    <row r="11" spans="1:12" x14ac:dyDescent="0.25">
      <c r="A11" t="s">
        <v>289</v>
      </c>
      <c r="B11">
        <v>429</v>
      </c>
      <c r="C11">
        <v>22.4</v>
      </c>
      <c r="D11">
        <v>27.1</v>
      </c>
      <c r="E11">
        <v>2.6</v>
      </c>
      <c r="F11">
        <v>14.4</v>
      </c>
      <c r="G11">
        <v>10.199999999999999</v>
      </c>
      <c r="H11">
        <v>20.5</v>
      </c>
      <c r="I11">
        <v>16</v>
      </c>
      <c r="J11">
        <v>36</v>
      </c>
      <c r="K11">
        <v>60</v>
      </c>
      <c r="L11">
        <v>21</v>
      </c>
    </row>
    <row r="12" spans="1:12" x14ac:dyDescent="0.25">
      <c r="A12" t="s">
        <v>290</v>
      </c>
      <c r="B12">
        <v>616.20000000000005</v>
      </c>
      <c r="C12">
        <v>31.2</v>
      </c>
      <c r="D12">
        <v>36</v>
      </c>
      <c r="E12">
        <v>3.3</v>
      </c>
      <c r="F12">
        <v>17.7</v>
      </c>
      <c r="G12">
        <v>12.9</v>
      </c>
      <c r="H12">
        <v>14.1</v>
      </c>
      <c r="I12">
        <v>21.4</v>
      </c>
      <c r="J12">
        <v>15.7</v>
      </c>
      <c r="K12">
        <v>35.700000000000003</v>
      </c>
      <c r="L12">
        <v>10.7</v>
      </c>
    </row>
    <row r="13" spans="1:12" x14ac:dyDescent="0.25">
      <c r="A13" t="s">
        <v>291</v>
      </c>
      <c r="B13">
        <v>452.7</v>
      </c>
      <c r="C13">
        <v>39.799999999999997</v>
      </c>
      <c r="D13">
        <v>45.7</v>
      </c>
      <c r="E13">
        <v>4.5</v>
      </c>
      <c r="F13">
        <v>44.3</v>
      </c>
      <c r="G13">
        <v>13</v>
      </c>
      <c r="H13">
        <v>13</v>
      </c>
      <c r="I13">
        <v>0</v>
      </c>
      <c r="J13">
        <v>0</v>
      </c>
      <c r="K13">
        <v>33.299999999999997</v>
      </c>
      <c r="L13">
        <v>33.299999999999997</v>
      </c>
    </row>
    <row r="14" spans="1:12" x14ac:dyDescent="0.25">
      <c r="A14" t="s">
        <v>292</v>
      </c>
      <c r="B14">
        <v>285.10000000000002</v>
      </c>
      <c r="C14">
        <v>15</v>
      </c>
      <c r="D14">
        <v>17.2</v>
      </c>
      <c r="E14">
        <v>2.4</v>
      </c>
      <c r="F14">
        <v>13.9</v>
      </c>
      <c r="G14">
        <v>7.3</v>
      </c>
      <c r="H14">
        <v>8.4</v>
      </c>
      <c r="I14">
        <v>35.5</v>
      </c>
      <c r="J14">
        <v>0</v>
      </c>
      <c r="K14">
        <v>54.8</v>
      </c>
      <c r="L14">
        <v>22.6</v>
      </c>
    </row>
    <row r="15" spans="1:12" x14ac:dyDescent="0.25">
      <c r="A15" t="s">
        <v>293</v>
      </c>
      <c r="B15">
        <v>382.5</v>
      </c>
      <c r="C15">
        <v>18.100000000000001</v>
      </c>
      <c r="D15">
        <v>20.6</v>
      </c>
      <c r="E15">
        <v>2.5</v>
      </c>
      <c r="F15">
        <v>12.9</v>
      </c>
      <c r="G15">
        <v>8.5</v>
      </c>
      <c r="H15">
        <v>8.6999999999999993</v>
      </c>
      <c r="I15">
        <v>12.7</v>
      </c>
      <c r="J15">
        <v>9.1</v>
      </c>
      <c r="K15">
        <v>58.2</v>
      </c>
      <c r="L15">
        <v>14.5</v>
      </c>
    </row>
    <row r="16" spans="1:12" x14ac:dyDescent="0.25">
      <c r="A16" t="s">
        <v>294</v>
      </c>
      <c r="B16">
        <v>402.7</v>
      </c>
      <c r="C16">
        <v>18.899999999999999</v>
      </c>
      <c r="D16">
        <v>20.5</v>
      </c>
      <c r="E16">
        <v>2.8</v>
      </c>
      <c r="F16">
        <v>18.8</v>
      </c>
      <c r="G16">
        <v>8.9</v>
      </c>
      <c r="H16">
        <v>9.6</v>
      </c>
      <c r="I16">
        <v>42.9</v>
      </c>
      <c r="J16">
        <v>0</v>
      </c>
      <c r="K16">
        <v>78.599999999999994</v>
      </c>
      <c r="L16">
        <v>7.1</v>
      </c>
    </row>
    <row r="17" spans="1:12" x14ac:dyDescent="0.25">
      <c r="A17" t="s">
        <v>295</v>
      </c>
      <c r="B17">
        <v>412.6</v>
      </c>
      <c r="C17">
        <v>14</v>
      </c>
      <c r="D17">
        <v>15.9</v>
      </c>
      <c r="E17">
        <v>2.6</v>
      </c>
      <c r="F17">
        <v>17</v>
      </c>
      <c r="G17">
        <v>8.9</v>
      </c>
      <c r="H17">
        <v>9.4</v>
      </c>
      <c r="I17">
        <v>23.1</v>
      </c>
      <c r="J17">
        <v>0</v>
      </c>
      <c r="K17">
        <v>53.8</v>
      </c>
      <c r="L17">
        <v>15.4</v>
      </c>
    </row>
    <row r="18" spans="1:12" x14ac:dyDescent="0.25">
      <c r="A18" t="s">
        <v>296</v>
      </c>
      <c r="B18">
        <v>602.4</v>
      </c>
      <c r="C18">
        <v>37.1</v>
      </c>
      <c r="D18">
        <v>42.1</v>
      </c>
      <c r="E18">
        <v>3.8</v>
      </c>
      <c r="F18">
        <v>35.6</v>
      </c>
      <c r="G18">
        <v>14.1</v>
      </c>
      <c r="H18">
        <v>14.7</v>
      </c>
      <c r="I18">
        <v>22.2</v>
      </c>
      <c r="J18">
        <v>0</v>
      </c>
      <c r="K18">
        <v>33.299999999999997</v>
      </c>
      <c r="L18">
        <v>11.1</v>
      </c>
    </row>
    <row r="19" spans="1:12" x14ac:dyDescent="0.25">
      <c r="A19" t="s">
        <v>297</v>
      </c>
      <c r="B19">
        <v>1471.4</v>
      </c>
      <c r="C19">
        <v>84.5</v>
      </c>
      <c r="D19">
        <v>93.3</v>
      </c>
      <c r="E19">
        <v>4</v>
      </c>
      <c r="F19">
        <v>31.9</v>
      </c>
      <c r="G19">
        <v>22.6</v>
      </c>
      <c r="H19">
        <v>31.2</v>
      </c>
      <c r="I19">
        <v>63.2</v>
      </c>
      <c r="J19">
        <v>7.4</v>
      </c>
      <c r="K19">
        <v>27.9</v>
      </c>
      <c r="L19">
        <v>16.2</v>
      </c>
    </row>
    <row r="20" spans="1:12" x14ac:dyDescent="0.25">
      <c r="A20" t="s">
        <v>298</v>
      </c>
      <c r="B20">
        <v>520</v>
      </c>
      <c r="C20">
        <v>27.4</v>
      </c>
      <c r="D20">
        <v>31.1</v>
      </c>
      <c r="E20">
        <v>2.2999999999999998</v>
      </c>
      <c r="F20">
        <v>25.1</v>
      </c>
      <c r="G20">
        <v>12.5</v>
      </c>
      <c r="H20">
        <v>12.7</v>
      </c>
      <c r="I20">
        <v>33.299999999999997</v>
      </c>
      <c r="J20">
        <v>7.4</v>
      </c>
      <c r="K20">
        <v>33.299999999999997</v>
      </c>
      <c r="L20">
        <v>14.8</v>
      </c>
    </row>
    <row r="21" spans="1:12" x14ac:dyDescent="0.25">
      <c r="A21" t="s">
        <v>299</v>
      </c>
      <c r="B21">
        <v>248.1</v>
      </c>
      <c r="C21">
        <v>12.3</v>
      </c>
      <c r="D21">
        <v>13.4</v>
      </c>
      <c r="E21">
        <v>1.8</v>
      </c>
      <c r="F21">
        <v>13.4</v>
      </c>
      <c r="G21">
        <v>6.8</v>
      </c>
      <c r="H21">
        <v>6.8</v>
      </c>
      <c r="I21">
        <v>12.1</v>
      </c>
      <c r="J21">
        <v>0</v>
      </c>
      <c r="K21">
        <v>54.5</v>
      </c>
      <c r="L21">
        <v>10.6</v>
      </c>
    </row>
    <row r="22" spans="1:12" x14ac:dyDescent="0.25">
      <c r="A22" t="s">
        <v>300</v>
      </c>
      <c r="B22">
        <v>612.29999999999995</v>
      </c>
      <c r="C22">
        <v>20.9</v>
      </c>
      <c r="D22">
        <v>25.8</v>
      </c>
      <c r="E22">
        <v>3</v>
      </c>
      <c r="F22">
        <v>17.600000000000001</v>
      </c>
      <c r="G22">
        <v>12.7</v>
      </c>
      <c r="H22">
        <v>13.6</v>
      </c>
      <c r="I22">
        <v>17.600000000000001</v>
      </c>
      <c r="J22">
        <v>11.2</v>
      </c>
      <c r="K22">
        <v>44.8</v>
      </c>
      <c r="L22">
        <v>15.2</v>
      </c>
    </row>
    <row r="23" spans="1:12" x14ac:dyDescent="0.25">
      <c r="A23" t="s">
        <v>301</v>
      </c>
      <c r="B23">
        <v>522.70000000000005</v>
      </c>
      <c r="C23">
        <v>24.3</v>
      </c>
      <c r="D23">
        <v>28.5</v>
      </c>
      <c r="E23">
        <v>3.2</v>
      </c>
      <c r="F23">
        <v>17.7</v>
      </c>
      <c r="G23">
        <v>11.2</v>
      </c>
      <c r="H23">
        <v>11.9</v>
      </c>
      <c r="I23">
        <v>26.7</v>
      </c>
      <c r="J23">
        <v>1.7</v>
      </c>
      <c r="K23">
        <v>61.7</v>
      </c>
      <c r="L23">
        <v>6.7</v>
      </c>
    </row>
    <row r="24" spans="1:12" x14ac:dyDescent="0.25">
      <c r="A24" t="s">
        <v>302</v>
      </c>
      <c r="B24">
        <v>413.8</v>
      </c>
      <c r="C24">
        <v>14.4</v>
      </c>
      <c r="D24">
        <v>15.8</v>
      </c>
      <c r="E24">
        <v>2.6</v>
      </c>
      <c r="F24">
        <v>14.1</v>
      </c>
      <c r="G24">
        <v>8</v>
      </c>
      <c r="H24">
        <v>8.8000000000000007</v>
      </c>
      <c r="I24">
        <v>23.5</v>
      </c>
      <c r="J24">
        <v>2.9</v>
      </c>
      <c r="K24">
        <v>47.1</v>
      </c>
      <c r="L24">
        <v>14.7</v>
      </c>
    </row>
    <row r="25" spans="1:12" x14ac:dyDescent="0.25">
      <c r="A25" t="s">
        <v>303</v>
      </c>
      <c r="B25">
        <v>687.4</v>
      </c>
      <c r="C25">
        <v>19.8</v>
      </c>
      <c r="D25">
        <v>23.7</v>
      </c>
      <c r="E25">
        <v>3.2</v>
      </c>
      <c r="F25">
        <v>17.399999999999999</v>
      </c>
      <c r="G25">
        <v>12.3</v>
      </c>
      <c r="H25">
        <v>13.7</v>
      </c>
      <c r="I25">
        <v>49.2</v>
      </c>
      <c r="J25">
        <v>1.6</v>
      </c>
      <c r="K25">
        <v>58.9</v>
      </c>
      <c r="L25">
        <v>16.100000000000001</v>
      </c>
    </row>
    <row r="26" spans="1:12" x14ac:dyDescent="0.25">
      <c r="A26" t="s">
        <v>304</v>
      </c>
      <c r="B26">
        <v>224.7</v>
      </c>
      <c r="C26">
        <v>13.4</v>
      </c>
      <c r="D26">
        <v>15.1</v>
      </c>
      <c r="E26">
        <v>1.7</v>
      </c>
      <c r="F26">
        <v>8.9</v>
      </c>
      <c r="G26">
        <v>5.8</v>
      </c>
      <c r="H26">
        <v>6</v>
      </c>
      <c r="I26">
        <v>17.899999999999999</v>
      </c>
      <c r="J26">
        <v>0</v>
      </c>
      <c r="K26">
        <v>53.8</v>
      </c>
      <c r="L26">
        <v>17.899999999999999</v>
      </c>
    </row>
    <row r="27" spans="1:12" x14ac:dyDescent="0.25">
      <c r="A27" t="s">
        <v>305</v>
      </c>
      <c r="B27">
        <v>526.9</v>
      </c>
      <c r="C27">
        <v>25.5</v>
      </c>
      <c r="D27">
        <v>30.5</v>
      </c>
      <c r="E27">
        <v>3.3</v>
      </c>
      <c r="F27">
        <v>18.8</v>
      </c>
      <c r="G27">
        <v>13.1</v>
      </c>
      <c r="H27">
        <v>13.5</v>
      </c>
      <c r="I27">
        <v>25.7</v>
      </c>
      <c r="J27">
        <v>1.4</v>
      </c>
      <c r="K27">
        <v>67.599999999999994</v>
      </c>
      <c r="L27">
        <v>16.2</v>
      </c>
    </row>
    <row r="28" spans="1:12" x14ac:dyDescent="0.25">
      <c r="A28" t="s">
        <v>306</v>
      </c>
      <c r="B28">
        <v>622.5</v>
      </c>
      <c r="C28">
        <v>27.6</v>
      </c>
      <c r="D28">
        <v>34</v>
      </c>
      <c r="E28">
        <v>4.2</v>
      </c>
      <c r="F28">
        <v>22</v>
      </c>
      <c r="G28">
        <v>15.7</v>
      </c>
      <c r="H28">
        <v>16.2</v>
      </c>
      <c r="I28">
        <v>12.6</v>
      </c>
      <c r="J28">
        <v>16.8</v>
      </c>
      <c r="K28">
        <v>50.4</v>
      </c>
      <c r="L28">
        <v>16.8</v>
      </c>
    </row>
    <row r="29" spans="1:12" x14ac:dyDescent="0.25">
      <c r="A29" t="s">
        <v>307</v>
      </c>
      <c r="B29">
        <v>592.5</v>
      </c>
      <c r="C29">
        <v>19.399999999999999</v>
      </c>
      <c r="D29">
        <v>22.8</v>
      </c>
      <c r="E29">
        <v>3</v>
      </c>
      <c r="F29">
        <v>18.5</v>
      </c>
      <c r="G29">
        <v>12.4</v>
      </c>
      <c r="H29">
        <v>13.5</v>
      </c>
      <c r="I29">
        <v>27.5</v>
      </c>
      <c r="J29">
        <v>6.3</v>
      </c>
      <c r="K29">
        <v>45</v>
      </c>
      <c r="L29">
        <v>15</v>
      </c>
    </row>
    <row r="30" spans="1:12" x14ac:dyDescent="0.25">
      <c r="A30" t="s">
        <v>266</v>
      </c>
      <c r="B30">
        <v>564.4</v>
      </c>
      <c r="C30">
        <v>24.3</v>
      </c>
      <c r="D30">
        <v>28.5</v>
      </c>
      <c r="E30">
        <v>3</v>
      </c>
      <c r="F30">
        <v>18</v>
      </c>
      <c r="G30">
        <v>11.8</v>
      </c>
      <c r="H30">
        <v>13.3</v>
      </c>
      <c r="I30">
        <v>25.5</v>
      </c>
      <c r="J30">
        <v>7.4</v>
      </c>
      <c r="K30">
        <v>50.8</v>
      </c>
      <c r="L30">
        <v>14.7</v>
      </c>
    </row>
    <row r="31" spans="1:12" x14ac:dyDescent="0.25">
      <c r="A31" t="s">
        <v>308</v>
      </c>
      <c r="B31">
        <v>1010</v>
      </c>
      <c r="C31">
        <v>52.3</v>
      </c>
      <c r="D31">
        <v>59.5</v>
      </c>
      <c r="E31">
        <v>4</v>
      </c>
      <c r="F31">
        <v>29.7</v>
      </c>
      <c r="G31">
        <v>19.2</v>
      </c>
      <c r="H31">
        <v>22.5</v>
      </c>
      <c r="I31">
        <v>38.5</v>
      </c>
      <c r="J31">
        <v>4.5</v>
      </c>
      <c r="K31">
        <v>32.799999999999997</v>
      </c>
      <c r="L31">
        <v>11.1</v>
      </c>
    </row>
    <row r="32" spans="1:12" x14ac:dyDescent="0.25">
      <c r="A32" t="s">
        <v>309</v>
      </c>
      <c r="B32">
        <v>495.1</v>
      </c>
      <c r="C32">
        <v>19.899999999999999</v>
      </c>
      <c r="D32">
        <v>23.6</v>
      </c>
      <c r="E32">
        <v>2.9</v>
      </c>
      <c r="F32">
        <v>16.2</v>
      </c>
      <c r="G32">
        <v>10.6</v>
      </c>
      <c r="H32">
        <v>11.9</v>
      </c>
      <c r="I32">
        <v>23.5</v>
      </c>
      <c r="J32">
        <v>7.8</v>
      </c>
      <c r="K32">
        <v>53.6</v>
      </c>
      <c r="L32">
        <v>15.2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tabColor rgb="FF7030A0"/>
  </sheetPr>
  <dimension ref="A1:K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8.5703125" customWidth="1"/>
    <col min="5" max="5" width="10.8554687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29" t="s">
        <v>588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35.5</v>
      </c>
      <c r="C5">
        <v>29.4</v>
      </c>
      <c r="D5">
        <v>30.4</v>
      </c>
      <c r="E5">
        <v>41.2</v>
      </c>
      <c r="F5">
        <v>1.4</v>
      </c>
      <c r="G5">
        <v>1.4</v>
      </c>
      <c r="H5">
        <v>17.2</v>
      </c>
      <c r="I5">
        <v>52</v>
      </c>
      <c r="J5">
        <v>58.5</v>
      </c>
      <c r="K5">
        <v>21.1</v>
      </c>
    </row>
    <row r="6" spans="1:11" x14ac:dyDescent="0.25">
      <c r="A6" t="s">
        <v>284</v>
      </c>
      <c r="B6">
        <v>47.2</v>
      </c>
      <c r="C6">
        <v>35.6</v>
      </c>
      <c r="D6">
        <v>31.4</v>
      </c>
      <c r="E6">
        <v>47.6</v>
      </c>
      <c r="F6">
        <v>1.5</v>
      </c>
      <c r="G6">
        <v>1.2</v>
      </c>
      <c r="H6">
        <v>24.6</v>
      </c>
      <c r="I6">
        <v>58.4</v>
      </c>
      <c r="J6">
        <v>64.8</v>
      </c>
      <c r="K6">
        <v>38.700000000000003</v>
      </c>
    </row>
    <row r="7" spans="1:11" x14ac:dyDescent="0.25">
      <c r="A7" t="s">
        <v>285</v>
      </c>
      <c r="B7">
        <v>54.4</v>
      </c>
      <c r="C7">
        <v>38.1</v>
      </c>
      <c r="D7">
        <v>34.6</v>
      </c>
      <c r="E7">
        <v>47</v>
      </c>
      <c r="F7">
        <v>1.4</v>
      </c>
      <c r="G7">
        <v>1.2</v>
      </c>
      <c r="H7">
        <v>30</v>
      </c>
      <c r="I7">
        <v>58.4</v>
      </c>
      <c r="J7">
        <v>65.8</v>
      </c>
      <c r="K7">
        <v>41.2</v>
      </c>
    </row>
    <row r="8" spans="1:11" x14ac:dyDescent="0.25">
      <c r="A8" t="s">
        <v>286</v>
      </c>
      <c r="B8">
        <v>41.5</v>
      </c>
      <c r="C8">
        <v>33.4</v>
      </c>
      <c r="D8">
        <v>32.700000000000003</v>
      </c>
      <c r="E8">
        <v>47.8</v>
      </c>
      <c r="F8">
        <v>1.5</v>
      </c>
      <c r="G8">
        <v>1.2</v>
      </c>
      <c r="H8">
        <v>19.600000000000001</v>
      </c>
      <c r="I8">
        <v>46.8</v>
      </c>
      <c r="J8">
        <v>51.6</v>
      </c>
      <c r="K8">
        <v>27.1</v>
      </c>
    </row>
    <row r="9" spans="1:11" x14ac:dyDescent="0.25">
      <c r="A9" t="s">
        <v>287</v>
      </c>
      <c r="B9">
        <v>50.1</v>
      </c>
      <c r="C9">
        <v>39.799999999999997</v>
      </c>
      <c r="D9">
        <v>37.6</v>
      </c>
      <c r="E9">
        <v>48.3</v>
      </c>
      <c r="F9">
        <v>1.3</v>
      </c>
      <c r="G9">
        <v>1.3</v>
      </c>
      <c r="H9">
        <v>20.5</v>
      </c>
      <c r="I9">
        <v>43</v>
      </c>
      <c r="J9">
        <v>48.6</v>
      </c>
      <c r="K9">
        <v>21.5</v>
      </c>
    </row>
    <row r="10" spans="1:11" x14ac:dyDescent="0.25">
      <c r="A10" t="s">
        <v>288</v>
      </c>
      <c r="B10">
        <v>41.8</v>
      </c>
      <c r="C10">
        <v>34.9</v>
      </c>
      <c r="D10">
        <v>29.4</v>
      </c>
      <c r="E10">
        <v>40.299999999999997</v>
      </c>
      <c r="F10">
        <v>1.4</v>
      </c>
      <c r="G10">
        <v>1.5</v>
      </c>
      <c r="H10">
        <v>16.5</v>
      </c>
      <c r="I10">
        <v>54</v>
      </c>
      <c r="J10">
        <v>58.8</v>
      </c>
      <c r="K10">
        <v>29.3</v>
      </c>
    </row>
    <row r="11" spans="1:11" x14ac:dyDescent="0.25">
      <c r="A11" t="s">
        <v>289</v>
      </c>
      <c r="B11">
        <v>33.799999999999997</v>
      </c>
      <c r="C11">
        <v>27.4</v>
      </c>
      <c r="D11">
        <v>31.6</v>
      </c>
      <c r="E11">
        <v>38.9</v>
      </c>
      <c r="F11">
        <v>1.2</v>
      </c>
      <c r="G11">
        <v>1.5</v>
      </c>
      <c r="H11">
        <v>19.2</v>
      </c>
      <c r="I11">
        <v>46.9</v>
      </c>
      <c r="J11">
        <v>53.2</v>
      </c>
      <c r="K11">
        <v>20.2</v>
      </c>
    </row>
    <row r="12" spans="1:11" x14ac:dyDescent="0.25">
      <c r="A12" t="s">
        <v>290</v>
      </c>
      <c r="B12">
        <v>66.7</v>
      </c>
      <c r="C12">
        <v>49.9</v>
      </c>
      <c r="D12">
        <v>37.4</v>
      </c>
      <c r="E12">
        <v>49.2</v>
      </c>
      <c r="F12">
        <v>1.3</v>
      </c>
      <c r="G12">
        <v>1.3</v>
      </c>
      <c r="H12">
        <v>25.2</v>
      </c>
      <c r="I12">
        <v>55.8</v>
      </c>
      <c r="J12">
        <v>65.3</v>
      </c>
      <c r="K12">
        <v>27.7</v>
      </c>
    </row>
    <row r="13" spans="1:11" x14ac:dyDescent="0.25">
      <c r="A13" t="s">
        <v>291</v>
      </c>
      <c r="B13">
        <v>27.5</v>
      </c>
      <c r="C13">
        <v>21</v>
      </c>
      <c r="D13">
        <v>30</v>
      </c>
      <c r="E13">
        <v>37.5</v>
      </c>
      <c r="F13">
        <v>1.3</v>
      </c>
      <c r="G13">
        <v>1.6</v>
      </c>
      <c r="H13">
        <v>23.8</v>
      </c>
      <c r="I13">
        <v>48.7</v>
      </c>
      <c r="J13">
        <v>58.8</v>
      </c>
      <c r="K13">
        <v>16.100000000000001</v>
      </c>
    </row>
    <row r="14" spans="1:11" x14ac:dyDescent="0.25">
      <c r="A14" t="s">
        <v>292</v>
      </c>
      <c r="B14">
        <v>25.8</v>
      </c>
      <c r="C14">
        <v>22.1</v>
      </c>
      <c r="D14">
        <v>20.9</v>
      </c>
      <c r="E14">
        <v>31.1</v>
      </c>
      <c r="F14">
        <v>1.5</v>
      </c>
      <c r="G14">
        <v>1.9</v>
      </c>
      <c r="H14">
        <v>14.4</v>
      </c>
      <c r="I14">
        <v>48.9</v>
      </c>
      <c r="J14">
        <v>52.5</v>
      </c>
      <c r="K14">
        <v>27.7</v>
      </c>
    </row>
    <row r="15" spans="1:11" x14ac:dyDescent="0.25">
      <c r="A15" t="s">
        <v>293</v>
      </c>
      <c r="B15">
        <v>41.4</v>
      </c>
      <c r="C15">
        <v>35.5</v>
      </c>
      <c r="D15">
        <v>28.2</v>
      </c>
      <c r="E15">
        <v>43.7</v>
      </c>
      <c r="F15">
        <v>1.6</v>
      </c>
      <c r="G15">
        <v>1.3</v>
      </c>
      <c r="H15">
        <v>14.3</v>
      </c>
      <c r="I15">
        <v>63.3</v>
      </c>
      <c r="J15">
        <v>67.8</v>
      </c>
      <c r="K15">
        <v>36.200000000000003</v>
      </c>
    </row>
    <row r="16" spans="1:11" x14ac:dyDescent="0.25">
      <c r="A16" t="s">
        <v>294</v>
      </c>
      <c r="B16">
        <v>24.1</v>
      </c>
      <c r="C16">
        <v>22.5</v>
      </c>
      <c r="D16">
        <v>22.2</v>
      </c>
      <c r="E16">
        <v>31.3</v>
      </c>
      <c r="F16">
        <v>1.4</v>
      </c>
      <c r="G16">
        <v>2</v>
      </c>
      <c r="H16">
        <v>6.7</v>
      </c>
      <c r="I16">
        <v>51</v>
      </c>
      <c r="J16">
        <v>53.2</v>
      </c>
      <c r="K16">
        <v>20</v>
      </c>
    </row>
    <row r="17" spans="1:11" x14ac:dyDescent="0.25">
      <c r="A17" t="s">
        <v>295</v>
      </c>
      <c r="B17">
        <v>38.5</v>
      </c>
      <c r="C17">
        <v>30.3</v>
      </c>
      <c r="D17">
        <v>24.2</v>
      </c>
      <c r="E17">
        <v>35.200000000000003</v>
      </c>
      <c r="F17">
        <v>1.5</v>
      </c>
      <c r="G17">
        <v>1.6</v>
      </c>
      <c r="H17">
        <v>21.5</v>
      </c>
      <c r="I17">
        <v>43.6</v>
      </c>
      <c r="J17">
        <v>48.2</v>
      </c>
      <c r="K17">
        <v>26.7</v>
      </c>
    </row>
    <row r="18" spans="1:11" x14ac:dyDescent="0.25">
      <c r="A18" t="s">
        <v>296</v>
      </c>
      <c r="B18">
        <v>33</v>
      </c>
      <c r="C18">
        <v>28.6</v>
      </c>
      <c r="D18">
        <v>27.1</v>
      </c>
      <c r="E18">
        <v>38.200000000000003</v>
      </c>
      <c r="F18">
        <v>1.4</v>
      </c>
      <c r="G18">
        <v>1.6</v>
      </c>
      <c r="H18">
        <v>13.3</v>
      </c>
      <c r="I18">
        <v>54.8</v>
      </c>
      <c r="J18">
        <v>57.2</v>
      </c>
      <c r="K18">
        <v>39.1</v>
      </c>
    </row>
    <row r="19" spans="1:11" x14ac:dyDescent="0.25">
      <c r="A19" t="s">
        <v>297</v>
      </c>
      <c r="B19">
        <v>42.3</v>
      </c>
      <c r="C19">
        <v>36.200000000000003</v>
      </c>
      <c r="D19">
        <v>43.3</v>
      </c>
      <c r="E19">
        <v>60</v>
      </c>
      <c r="F19">
        <v>1.4</v>
      </c>
      <c r="G19">
        <v>1</v>
      </c>
      <c r="H19">
        <v>14.5</v>
      </c>
      <c r="I19">
        <v>70.599999999999994</v>
      </c>
      <c r="J19">
        <v>75.099999999999994</v>
      </c>
      <c r="K19">
        <v>43.4</v>
      </c>
    </row>
    <row r="20" spans="1:11" x14ac:dyDescent="0.25">
      <c r="A20" t="s">
        <v>298</v>
      </c>
      <c r="B20">
        <v>34.1</v>
      </c>
      <c r="C20">
        <v>28.3</v>
      </c>
      <c r="D20">
        <v>34.4</v>
      </c>
      <c r="E20">
        <v>42.5</v>
      </c>
      <c r="F20">
        <v>1.2</v>
      </c>
      <c r="G20">
        <v>1.3</v>
      </c>
      <c r="H20">
        <v>17</v>
      </c>
      <c r="I20">
        <v>54.7</v>
      </c>
      <c r="J20">
        <v>58.9</v>
      </c>
      <c r="K20">
        <v>33.700000000000003</v>
      </c>
    </row>
    <row r="21" spans="1:11" x14ac:dyDescent="0.25">
      <c r="A21" t="s">
        <v>299</v>
      </c>
      <c r="B21">
        <v>29.9</v>
      </c>
      <c r="C21">
        <v>24.7</v>
      </c>
      <c r="D21">
        <v>23.4</v>
      </c>
      <c r="E21">
        <v>31.2</v>
      </c>
      <c r="F21">
        <v>1.3</v>
      </c>
      <c r="G21">
        <v>1.8</v>
      </c>
      <c r="H21">
        <v>17.399999999999999</v>
      </c>
      <c r="I21">
        <v>50.9</v>
      </c>
      <c r="J21">
        <v>55.6</v>
      </c>
      <c r="K21">
        <v>28.7</v>
      </c>
    </row>
    <row r="22" spans="1:11" x14ac:dyDescent="0.25">
      <c r="A22" t="s">
        <v>300</v>
      </c>
      <c r="B22">
        <v>53.6</v>
      </c>
      <c r="C22">
        <v>36.6</v>
      </c>
      <c r="D22">
        <v>32.5</v>
      </c>
      <c r="E22">
        <v>41.9</v>
      </c>
      <c r="F22">
        <v>1.3</v>
      </c>
      <c r="G22">
        <v>1.4</v>
      </c>
      <c r="H22">
        <v>31.7</v>
      </c>
      <c r="I22">
        <v>43.6</v>
      </c>
      <c r="J22">
        <v>51.1</v>
      </c>
      <c r="K22">
        <v>27.4</v>
      </c>
    </row>
    <row r="23" spans="1:11" x14ac:dyDescent="0.25">
      <c r="A23" t="s">
        <v>301</v>
      </c>
      <c r="B23">
        <v>48.6</v>
      </c>
      <c r="C23">
        <v>37</v>
      </c>
      <c r="D23">
        <v>30.7</v>
      </c>
      <c r="E23">
        <v>43.8</v>
      </c>
      <c r="F23">
        <v>1.4</v>
      </c>
      <c r="G23">
        <v>1.3</v>
      </c>
      <c r="H23">
        <v>23.9</v>
      </c>
      <c r="I23">
        <v>49.6</v>
      </c>
      <c r="J23">
        <v>56.1</v>
      </c>
      <c r="K23">
        <v>28.9</v>
      </c>
    </row>
    <row r="24" spans="1:11" x14ac:dyDescent="0.25">
      <c r="A24" t="s">
        <v>302</v>
      </c>
      <c r="B24">
        <v>46.2</v>
      </c>
      <c r="C24">
        <v>41.8</v>
      </c>
      <c r="D24">
        <v>27</v>
      </c>
      <c r="E24">
        <v>42.5</v>
      </c>
      <c r="F24">
        <v>1.6</v>
      </c>
      <c r="G24">
        <v>1.4</v>
      </c>
      <c r="H24">
        <v>9.6</v>
      </c>
      <c r="I24">
        <v>46.7</v>
      </c>
      <c r="J24">
        <v>49</v>
      </c>
      <c r="K24">
        <v>25.3</v>
      </c>
    </row>
    <row r="25" spans="1:11" x14ac:dyDescent="0.25">
      <c r="A25" t="s">
        <v>303</v>
      </c>
      <c r="B25">
        <v>55</v>
      </c>
      <c r="C25">
        <v>38.799999999999997</v>
      </c>
      <c r="D25">
        <v>35.1</v>
      </c>
      <c r="E25">
        <v>50.6</v>
      </c>
      <c r="F25">
        <v>1.4</v>
      </c>
      <c r="G25">
        <v>1.1000000000000001</v>
      </c>
      <c r="H25">
        <v>29.4</v>
      </c>
      <c r="I25">
        <v>62.5</v>
      </c>
      <c r="J25">
        <v>70.599999999999994</v>
      </c>
      <c r="K25">
        <v>43.2</v>
      </c>
    </row>
    <row r="26" spans="1:11" x14ac:dyDescent="0.25">
      <c r="A26" t="s">
        <v>304</v>
      </c>
      <c r="B26">
        <v>33.4</v>
      </c>
      <c r="C26">
        <v>29</v>
      </c>
      <c r="D26">
        <v>18.8</v>
      </c>
      <c r="E26">
        <v>35.1</v>
      </c>
      <c r="F26">
        <v>1.9</v>
      </c>
      <c r="G26">
        <v>1.6</v>
      </c>
      <c r="H26">
        <v>13.1</v>
      </c>
      <c r="I26">
        <v>58.4</v>
      </c>
      <c r="J26">
        <v>63.1</v>
      </c>
      <c r="K26">
        <v>27</v>
      </c>
    </row>
    <row r="27" spans="1:11" x14ac:dyDescent="0.25">
      <c r="A27" t="s">
        <v>305</v>
      </c>
      <c r="B27">
        <v>46.6</v>
      </c>
      <c r="C27">
        <v>34.5</v>
      </c>
      <c r="D27">
        <v>33.200000000000003</v>
      </c>
      <c r="E27">
        <v>40.6</v>
      </c>
      <c r="F27">
        <v>1.2</v>
      </c>
      <c r="G27">
        <v>1.4</v>
      </c>
      <c r="H27">
        <v>26</v>
      </c>
      <c r="I27">
        <v>38.1</v>
      </c>
      <c r="J27">
        <v>44</v>
      </c>
      <c r="K27">
        <v>21.4</v>
      </c>
    </row>
    <row r="28" spans="1:11" x14ac:dyDescent="0.25">
      <c r="A28" t="s">
        <v>306</v>
      </c>
      <c r="B28">
        <v>41</v>
      </c>
      <c r="C28">
        <v>30.1</v>
      </c>
      <c r="D28">
        <v>32.4</v>
      </c>
      <c r="E28">
        <v>36.700000000000003</v>
      </c>
      <c r="F28">
        <v>1.1000000000000001</v>
      </c>
      <c r="G28">
        <v>1.7</v>
      </c>
      <c r="H28">
        <v>26.5</v>
      </c>
      <c r="I28">
        <v>39.700000000000003</v>
      </c>
      <c r="J28">
        <v>45.9</v>
      </c>
      <c r="K28">
        <v>22.3</v>
      </c>
    </row>
    <row r="29" spans="1:11" x14ac:dyDescent="0.25">
      <c r="A29" t="s">
        <v>307</v>
      </c>
      <c r="B29">
        <v>52</v>
      </c>
      <c r="C29">
        <v>39.9</v>
      </c>
      <c r="D29">
        <v>33.200000000000003</v>
      </c>
      <c r="E29">
        <v>46</v>
      </c>
      <c r="F29">
        <v>1.4</v>
      </c>
      <c r="G29">
        <v>1.2</v>
      </c>
      <c r="H29">
        <v>23.2</v>
      </c>
      <c r="I29">
        <v>55</v>
      </c>
      <c r="J29">
        <v>62.1</v>
      </c>
      <c r="K29">
        <v>31.8</v>
      </c>
    </row>
    <row r="30" spans="1:11" x14ac:dyDescent="0.25">
      <c r="A30" t="s">
        <v>266</v>
      </c>
      <c r="B30">
        <v>45.1</v>
      </c>
      <c r="C30">
        <v>35.1</v>
      </c>
      <c r="D30">
        <v>32.200000000000003</v>
      </c>
      <c r="E30">
        <v>44.1</v>
      </c>
      <c r="F30">
        <v>1.4</v>
      </c>
      <c r="G30">
        <v>1.3</v>
      </c>
      <c r="H30">
        <v>22.2</v>
      </c>
      <c r="I30">
        <v>52.7</v>
      </c>
      <c r="J30">
        <v>58.9</v>
      </c>
      <c r="K30">
        <v>30.9</v>
      </c>
    </row>
    <row r="31" spans="1:11" x14ac:dyDescent="0.25">
      <c r="A31" t="s">
        <v>308</v>
      </c>
      <c r="B31">
        <v>39.299999999999997</v>
      </c>
      <c r="C31">
        <v>32.299999999999997</v>
      </c>
      <c r="D31">
        <v>38.200000000000003</v>
      </c>
      <c r="E31">
        <v>51.4</v>
      </c>
      <c r="F31">
        <v>1.3</v>
      </c>
      <c r="G31">
        <v>1.1000000000000001</v>
      </c>
      <c r="H31">
        <v>17.7</v>
      </c>
      <c r="I31">
        <v>65.900000000000006</v>
      </c>
      <c r="J31">
        <v>71.099999999999994</v>
      </c>
      <c r="K31">
        <v>41.7</v>
      </c>
    </row>
    <row r="32" spans="1:11" x14ac:dyDescent="0.25">
      <c r="A32" t="s">
        <v>309</v>
      </c>
      <c r="B32">
        <v>46.5</v>
      </c>
      <c r="C32">
        <v>35.700000000000003</v>
      </c>
      <c r="D32">
        <v>31.2</v>
      </c>
      <c r="E32">
        <v>42.8</v>
      </c>
      <c r="F32">
        <v>1.4</v>
      </c>
      <c r="G32">
        <v>1.4</v>
      </c>
      <c r="H32">
        <v>23.2</v>
      </c>
      <c r="I32">
        <v>49.7</v>
      </c>
      <c r="J32">
        <v>55.9</v>
      </c>
      <c r="K32">
        <v>29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tabColor rgb="FF7030A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7.42578125" customWidth="1"/>
    <col min="4" max="4" width="8.85546875" customWidth="1"/>
    <col min="5" max="5" width="7.42578125" customWidth="1"/>
    <col min="6" max="6" width="8.85546875" customWidth="1"/>
    <col min="7" max="7" width="7.42578125" customWidth="1"/>
    <col min="10" max="10" width="7.140625" customWidth="1"/>
    <col min="11" max="11" width="6.7109375" customWidth="1"/>
    <col min="12" max="12" width="7.5703125" customWidth="1"/>
  </cols>
  <sheetData>
    <row r="1" spans="1:14" x14ac:dyDescent="0.25">
      <c r="A1" s="29" t="s">
        <v>599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413</v>
      </c>
      <c r="C2" s="29"/>
      <c r="D2" s="29" t="s">
        <v>600</v>
      </c>
      <c r="E2" s="29"/>
      <c r="F2" s="29" t="s">
        <v>601</v>
      </c>
      <c r="G2" s="29"/>
      <c r="H2" s="29" t="s">
        <v>602</v>
      </c>
      <c r="I2" s="29"/>
      <c r="J2" s="29" t="s">
        <v>603</v>
      </c>
      <c r="K2" s="29"/>
      <c r="L2" s="29"/>
      <c r="M2" s="29"/>
    </row>
    <row r="3" spans="1:14" x14ac:dyDescent="0.25">
      <c r="A3" s="29"/>
      <c r="B3" t="s">
        <v>263</v>
      </c>
      <c r="C3" t="s">
        <v>264</v>
      </c>
      <c r="D3" t="s">
        <v>263</v>
      </c>
      <c r="E3" t="s">
        <v>264</v>
      </c>
      <c r="F3" t="s">
        <v>263</v>
      </c>
      <c r="G3" t="s">
        <v>264</v>
      </c>
      <c r="H3" t="s">
        <v>263</v>
      </c>
      <c r="I3" t="s">
        <v>264</v>
      </c>
      <c r="J3" t="s">
        <v>413</v>
      </c>
      <c r="K3" t="s">
        <v>604</v>
      </c>
      <c r="L3" t="s">
        <v>605</v>
      </c>
      <c r="M3" t="s">
        <v>606</v>
      </c>
    </row>
    <row r="4" spans="1:14" x14ac:dyDescent="0.25">
      <c r="A4" t="s">
        <v>283</v>
      </c>
      <c r="B4">
        <v>17727</v>
      </c>
      <c r="C4">
        <v>8478</v>
      </c>
      <c r="D4">
        <v>101813</v>
      </c>
      <c r="E4">
        <v>48706</v>
      </c>
      <c r="F4">
        <v>56835</v>
      </c>
      <c r="G4">
        <v>27156</v>
      </c>
      <c r="H4">
        <v>54605</v>
      </c>
      <c r="I4">
        <v>26216</v>
      </c>
      <c r="J4">
        <v>109.1</v>
      </c>
      <c r="K4">
        <v>109</v>
      </c>
      <c r="L4">
        <v>109.3</v>
      </c>
      <c r="M4">
        <v>108.3</v>
      </c>
    </row>
    <row r="5" spans="1:14" x14ac:dyDescent="0.25">
      <c r="A5" t="s">
        <v>284</v>
      </c>
      <c r="B5">
        <v>20510</v>
      </c>
      <c r="C5">
        <v>9910</v>
      </c>
      <c r="D5">
        <v>117792</v>
      </c>
      <c r="E5">
        <v>56932</v>
      </c>
      <c r="F5">
        <v>65755</v>
      </c>
      <c r="G5">
        <v>31743</v>
      </c>
      <c r="H5">
        <v>63174</v>
      </c>
      <c r="I5">
        <v>30642</v>
      </c>
      <c r="J5">
        <v>107</v>
      </c>
      <c r="K5">
        <v>106.9</v>
      </c>
      <c r="L5">
        <v>107.1</v>
      </c>
      <c r="M5">
        <v>106.2</v>
      </c>
    </row>
    <row r="6" spans="1:14" x14ac:dyDescent="0.25">
      <c r="A6" t="s">
        <v>285</v>
      </c>
      <c r="B6">
        <v>18506</v>
      </c>
      <c r="C6">
        <v>9183</v>
      </c>
      <c r="D6">
        <v>106284</v>
      </c>
      <c r="E6">
        <v>52758</v>
      </c>
      <c r="F6">
        <v>59331</v>
      </c>
      <c r="G6">
        <v>29418</v>
      </c>
      <c r="H6">
        <v>57003</v>
      </c>
      <c r="I6">
        <v>28390</v>
      </c>
      <c r="J6">
        <v>101.5</v>
      </c>
      <c r="K6">
        <v>101.5</v>
      </c>
      <c r="L6">
        <v>101.7</v>
      </c>
      <c r="M6">
        <v>100.8</v>
      </c>
    </row>
    <row r="7" spans="1:14" x14ac:dyDescent="0.25">
      <c r="A7" t="s">
        <v>286</v>
      </c>
      <c r="B7">
        <v>10839</v>
      </c>
      <c r="C7">
        <v>5389</v>
      </c>
      <c r="D7">
        <v>62253</v>
      </c>
      <c r="E7">
        <v>30957</v>
      </c>
      <c r="F7">
        <v>34752</v>
      </c>
      <c r="G7">
        <v>17262</v>
      </c>
      <c r="H7">
        <v>33388</v>
      </c>
      <c r="I7">
        <v>16659</v>
      </c>
      <c r="J7">
        <v>101.2</v>
      </c>
      <c r="K7">
        <v>101.1</v>
      </c>
      <c r="L7">
        <v>101.3</v>
      </c>
      <c r="M7">
        <v>100.4</v>
      </c>
    </row>
    <row r="8" spans="1:14" x14ac:dyDescent="0.25">
      <c r="A8" t="s">
        <v>287</v>
      </c>
      <c r="B8">
        <v>18048</v>
      </c>
      <c r="C8">
        <v>8860</v>
      </c>
      <c r="D8">
        <v>103656</v>
      </c>
      <c r="E8">
        <v>50902</v>
      </c>
      <c r="F8">
        <v>57864</v>
      </c>
      <c r="G8">
        <v>28382</v>
      </c>
      <c r="H8">
        <v>55593</v>
      </c>
      <c r="I8">
        <v>27393</v>
      </c>
      <c r="J8">
        <v>103.7</v>
      </c>
      <c r="K8">
        <v>103.6</v>
      </c>
      <c r="L8">
        <v>103.9</v>
      </c>
      <c r="M8">
        <v>102.9</v>
      </c>
    </row>
    <row r="9" spans="1:14" x14ac:dyDescent="0.25">
      <c r="A9" t="s">
        <v>288</v>
      </c>
      <c r="B9">
        <v>14018</v>
      </c>
      <c r="C9">
        <v>6872</v>
      </c>
      <c r="D9">
        <v>80507</v>
      </c>
      <c r="E9">
        <v>39480</v>
      </c>
      <c r="F9">
        <v>44942</v>
      </c>
      <c r="G9">
        <v>22014</v>
      </c>
      <c r="H9">
        <v>43178</v>
      </c>
      <c r="I9">
        <v>21247</v>
      </c>
      <c r="J9">
        <v>104</v>
      </c>
      <c r="K9">
        <v>103.9</v>
      </c>
      <c r="L9">
        <v>104.2</v>
      </c>
      <c r="M9">
        <v>103.2</v>
      </c>
    </row>
    <row r="10" spans="1:14" x14ac:dyDescent="0.25">
      <c r="A10" t="s">
        <v>289</v>
      </c>
      <c r="B10">
        <v>12213</v>
      </c>
      <c r="C10">
        <v>5997</v>
      </c>
      <c r="D10">
        <v>70145</v>
      </c>
      <c r="E10">
        <v>34456</v>
      </c>
      <c r="F10">
        <v>39157</v>
      </c>
      <c r="G10">
        <v>19212</v>
      </c>
      <c r="H10">
        <v>37620</v>
      </c>
      <c r="I10">
        <v>18543</v>
      </c>
      <c r="J10">
        <v>103.6</v>
      </c>
      <c r="K10">
        <v>103.6</v>
      </c>
      <c r="L10">
        <v>103.8</v>
      </c>
      <c r="M10">
        <v>102.9</v>
      </c>
    </row>
    <row r="11" spans="1:14" x14ac:dyDescent="0.25">
      <c r="A11" t="s">
        <v>290</v>
      </c>
      <c r="B11">
        <v>24713</v>
      </c>
      <c r="C11">
        <v>12143</v>
      </c>
      <c r="D11">
        <v>141934</v>
      </c>
      <c r="E11">
        <v>69764</v>
      </c>
      <c r="F11">
        <v>79233</v>
      </c>
      <c r="G11">
        <v>38900</v>
      </c>
      <c r="H11">
        <v>76123</v>
      </c>
      <c r="I11">
        <v>37544</v>
      </c>
      <c r="J11">
        <v>103.5</v>
      </c>
      <c r="K11">
        <v>103.4</v>
      </c>
      <c r="L11">
        <v>103.7</v>
      </c>
      <c r="M11">
        <v>102.8</v>
      </c>
    </row>
    <row r="12" spans="1:14" x14ac:dyDescent="0.25">
      <c r="A12" t="s">
        <v>291</v>
      </c>
      <c r="B12">
        <v>878</v>
      </c>
      <c r="C12">
        <v>422</v>
      </c>
      <c r="D12">
        <v>5040</v>
      </c>
      <c r="E12">
        <v>2426</v>
      </c>
      <c r="F12">
        <v>2813</v>
      </c>
      <c r="G12">
        <v>1353</v>
      </c>
      <c r="H12">
        <v>2703</v>
      </c>
      <c r="I12">
        <v>1306</v>
      </c>
      <c r="J12">
        <v>107.8</v>
      </c>
      <c r="K12">
        <v>107.8</v>
      </c>
      <c r="L12">
        <v>108</v>
      </c>
      <c r="M12">
        <v>107</v>
      </c>
    </row>
    <row r="13" spans="1:14" x14ac:dyDescent="0.25">
      <c r="A13" t="s">
        <v>292</v>
      </c>
      <c r="B13">
        <v>2590</v>
      </c>
      <c r="C13">
        <v>1218</v>
      </c>
      <c r="D13">
        <v>14873</v>
      </c>
      <c r="E13">
        <v>7000</v>
      </c>
      <c r="F13">
        <v>8303</v>
      </c>
      <c r="G13">
        <v>3903</v>
      </c>
      <c r="H13">
        <v>7977</v>
      </c>
      <c r="I13">
        <v>3768</v>
      </c>
      <c r="J13">
        <v>112.5</v>
      </c>
      <c r="K13">
        <v>112.5</v>
      </c>
      <c r="L13">
        <v>112.7</v>
      </c>
      <c r="M13">
        <v>111.7</v>
      </c>
    </row>
    <row r="14" spans="1:14" x14ac:dyDescent="0.25">
      <c r="A14" t="s">
        <v>293</v>
      </c>
      <c r="B14">
        <v>7708</v>
      </c>
      <c r="C14">
        <v>3674</v>
      </c>
      <c r="D14">
        <v>44269</v>
      </c>
      <c r="E14">
        <v>21106</v>
      </c>
      <c r="F14">
        <v>24713</v>
      </c>
      <c r="G14">
        <v>11768</v>
      </c>
      <c r="H14">
        <v>23743</v>
      </c>
      <c r="I14">
        <v>11361</v>
      </c>
      <c r="J14">
        <v>109.8</v>
      </c>
      <c r="K14">
        <v>109.8</v>
      </c>
      <c r="L14">
        <v>110</v>
      </c>
      <c r="M14">
        <v>109</v>
      </c>
    </row>
    <row r="15" spans="1:14" x14ac:dyDescent="0.25">
      <c r="A15" t="s">
        <v>294</v>
      </c>
      <c r="B15">
        <v>1897</v>
      </c>
      <c r="C15">
        <v>876</v>
      </c>
      <c r="D15">
        <v>10894</v>
      </c>
      <c r="E15">
        <v>5031</v>
      </c>
      <c r="F15">
        <v>6081</v>
      </c>
      <c r="G15">
        <v>2805</v>
      </c>
      <c r="H15">
        <v>5842</v>
      </c>
      <c r="I15">
        <v>2709</v>
      </c>
      <c r="J15">
        <v>116.6</v>
      </c>
      <c r="K15">
        <v>116.5</v>
      </c>
      <c r="L15">
        <v>116.8</v>
      </c>
      <c r="M15">
        <v>115.7</v>
      </c>
    </row>
    <row r="16" spans="1:14" x14ac:dyDescent="0.25">
      <c r="A16" t="s">
        <v>295</v>
      </c>
      <c r="B16">
        <v>5678</v>
      </c>
      <c r="C16">
        <v>2665</v>
      </c>
      <c r="D16">
        <v>32609</v>
      </c>
      <c r="E16">
        <v>15313</v>
      </c>
      <c r="F16">
        <v>18203</v>
      </c>
      <c r="G16">
        <v>8537</v>
      </c>
      <c r="H16">
        <v>17489</v>
      </c>
      <c r="I16">
        <v>8243</v>
      </c>
      <c r="J16">
        <v>113</v>
      </c>
      <c r="K16">
        <v>113</v>
      </c>
      <c r="L16">
        <v>113.2</v>
      </c>
      <c r="M16">
        <v>112.2</v>
      </c>
    </row>
    <row r="17" spans="1:13" x14ac:dyDescent="0.25">
      <c r="A17" t="s">
        <v>296</v>
      </c>
      <c r="B17">
        <v>1545</v>
      </c>
      <c r="C17">
        <v>721</v>
      </c>
      <c r="D17">
        <v>8873</v>
      </c>
      <c r="E17">
        <v>4145</v>
      </c>
      <c r="F17">
        <v>4953</v>
      </c>
      <c r="G17">
        <v>2311</v>
      </c>
      <c r="H17">
        <v>4759</v>
      </c>
      <c r="I17">
        <v>2232</v>
      </c>
      <c r="J17">
        <v>114.1</v>
      </c>
      <c r="K17">
        <v>114.1</v>
      </c>
      <c r="L17">
        <v>114.3</v>
      </c>
      <c r="M17">
        <v>113.3</v>
      </c>
    </row>
    <row r="18" spans="1:13" x14ac:dyDescent="0.25">
      <c r="A18" t="s">
        <v>297</v>
      </c>
      <c r="B18">
        <v>46933</v>
      </c>
      <c r="C18">
        <v>23036</v>
      </c>
      <c r="D18">
        <v>269551</v>
      </c>
      <c r="E18">
        <v>132341</v>
      </c>
      <c r="F18">
        <v>150473</v>
      </c>
      <c r="G18">
        <v>73792</v>
      </c>
      <c r="H18">
        <v>144566</v>
      </c>
      <c r="I18">
        <v>71221</v>
      </c>
      <c r="J18">
        <v>103.7</v>
      </c>
      <c r="K18">
        <v>103.7</v>
      </c>
      <c r="L18">
        <v>103.9</v>
      </c>
      <c r="M18">
        <v>103</v>
      </c>
    </row>
    <row r="19" spans="1:13" x14ac:dyDescent="0.25">
      <c r="A19" t="s">
        <v>298</v>
      </c>
      <c r="B19">
        <v>6378</v>
      </c>
      <c r="C19">
        <v>2888</v>
      </c>
      <c r="D19">
        <v>36632</v>
      </c>
      <c r="E19">
        <v>16595</v>
      </c>
      <c r="F19">
        <v>20449</v>
      </c>
      <c r="G19">
        <v>9251</v>
      </c>
      <c r="H19">
        <v>19646</v>
      </c>
      <c r="I19">
        <v>8936</v>
      </c>
      <c r="J19">
        <v>120.8</v>
      </c>
      <c r="K19">
        <v>120.7</v>
      </c>
      <c r="L19">
        <v>121</v>
      </c>
      <c r="M19">
        <v>119.9</v>
      </c>
    </row>
    <row r="20" spans="1:13" x14ac:dyDescent="0.25">
      <c r="A20" t="s">
        <v>299</v>
      </c>
      <c r="B20">
        <v>5241</v>
      </c>
      <c r="C20">
        <v>2465</v>
      </c>
      <c r="D20">
        <v>30103</v>
      </c>
      <c r="E20">
        <v>14165</v>
      </c>
      <c r="F20">
        <v>16805</v>
      </c>
      <c r="G20">
        <v>7897</v>
      </c>
      <c r="H20">
        <v>16145</v>
      </c>
      <c r="I20">
        <v>7625</v>
      </c>
      <c r="J20">
        <v>112.6</v>
      </c>
      <c r="K20">
        <v>112.5</v>
      </c>
      <c r="L20">
        <v>112.8</v>
      </c>
      <c r="M20">
        <v>111.7</v>
      </c>
    </row>
    <row r="21" spans="1:13" x14ac:dyDescent="0.25">
      <c r="A21" t="s">
        <v>300</v>
      </c>
      <c r="B21">
        <v>21753</v>
      </c>
      <c r="C21">
        <v>10974</v>
      </c>
      <c r="D21">
        <v>124935</v>
      </c>
      <c r="E21">
        <v>63047</v>
      </c>
      <c r="F21">
        <v>69743</v>
      </c>
      <c r="G21">
        <v>35156</v>
      </c>
      <c r="H21">
        <v>67006</v>
      </c>
      <c r="I21">
        <v>33923</v>
      </c>
      <c r="J21">
        <v>98.2</v>
      </c>
      <c r="K21">
        <v>98.2</v>
      </c>
      <c r="L21">
        <v>98.4</v>
      </c>
      <c r="M21">
        <v>97.5</v>
      </c>
    </row>
    <row r="22" spans="1:13" x14ac:dyDescent="0.25">
      <c r="A22" t="s">
        <v>301</v>
      </c>
      <c r="B22">
        <v>8637</v>
      </c>
      <c r="C22">
        <v>4224</v>
      </c>
      <c r="D22">
        <v>49606</v>
      </c>
      <c r="E22">
        <v>24269</v>
      </c>
      <c r="F22">
        <v>27692</v>
      </c>
      <c r="G22">
        <v>13532</v>
      </c>
      <c r="H22">
        <v>26605</v>
      </c>
      <c r="I22">
        <v>13061</v>
      </c>
      <c r="J22">
        <v>104.5</v>
      </c>
      <c r="K22">
        <v>104.4</v>
      </c>
      <c r="L22">
        <v>104.6</v>
      </c>
      <c r="M22">
        <v>103.7</v>
      </c>
    </row>
    <row r="23" spans="1:13" x14ac:dyDescent="0.25">
      <c r="A23" t="s">
        <v>302</v>
      </c>
      <c r="B23">
        <v>4473</v>
      </c>
      <c r="C23">
        <v>2096</v>
      </c>
      <c r="D23">
        <v>25688</v>
      </c>
      <c r="E23">
        <v>12040</v>
      </c>
      <c r="F23">
        <v>14340</v>
      </c>
      <c r="G23">
        <v>6713</v>
      </c>
      <c r="H23">
        <v>13777</v>
      </c>
      <c r="I23">
        <v>6482</v>
      </c>
      <c r="J23">
        <v>113.4</v>
      </c>
      <c r="K23">
        <v>113.4</v>
      </c>
      <c r="L23">
        <v>113.6</v>
      </c>
      <c r="M23">
        <v>112.6</v>
      </c>
    </row>
    <row r="24" spans="1:13" x14ac:dyDescent="0.25">
      <c r="A24" t="s">
        <v>303</v>
      </c>
      <c r="B24">
        <v>20860</v>
      </c>
      <c r="C24">
        <v>10109</v>
      </c>
      <c r="D24">
        <v>119807</v>
      </c>
      <c r="E24">
        <v>58075</v>
      </c>
      <c r="F24">
        <v>66880</v>
      </c>
      <c r="G24">
        <v>32381</v>
      </c>
      <c r="H24">
        <v>64255</v>
      </c>
      <c r="I24">
        <v>31257</v>
      </c>
      <c r="J24">
        <v>106.4</v>
      </c>
      <c r="K24">
        <v>106.3</v>
      </c>
      <c r="L24">
        <v>106.5</v>
      </c>
      <c r="M24">
        <v>105.6</v>
      </c>
    </row>
    <row r="25" spans="1:13" x14ac:dyDescent="0.25">
      <c r="A25" t="s">
        <v>304</v>
      </c>
      <c r="B25">
        <v>3409</v>
      </c>
      <c r="C25">
        <v>1584</v>
      </c>
      <c r="D25">
        <v>19576</v>
      </c>
      <c r="E25">
        <v>9103</v>
      </c>
      <c r="F25">
        <v>10928</v>
      </c>
      <c r="G25">
        <v>5075</v>
      </c>
      <c r="H25">
        <v>10499</v>
      </c>
      <c r="I25">
        <v>4901</v>
      </c>
      <c r="J25">
        <v>115.1</v>
      </c>
      <c r="K25">
        <v>115</v>
      </c>
      <c r="L25">
        <v>115.3</v>
      </c>
      <c r="M25">
        <v>114.2</v>
      </c>
    </row>
    <row r="26" spans="1:13" x14ac:dyDescent="0.25">
      <c r="A26" t="s">
        <v>305</v>
      </c>
      <c r="B26">
        <v>10808</v>
      </c>
      <c r="C26">
        <v>5413</v>
      </c>
      <c r="D26">
        <v>62071</v>
      </c>
      <c r="E26">
        <v>31099</v>
      </c>
      <c r="F26">
        <v>34650</v>
      </c>
      <c r="G26">
        <v>17341</v>
      </c>
      <c r="H26">
        <v>33290</v>
      </c>
      <c r="I26">
        <v>16734</v>
      </c>
      <c r="J26">
        <v>99.7</v>
      </c>
      <c r="K26">
        <v>99.6</v>
      </c>
      <c r="L26">
        <v>99.8</v>
      </c>
      <c r="M26">
        <v>98.9</v>
      </c>
    </row>
    <row r="27" spans="1:13" x14ac:dyDescent="0.25">
      <c r="A27" t="s">
        <v>306</v>
      </c>
      <c r="B27">
        <v>18529</v>
      </c>
      <c r="C27">
        <v>9208</v>
      </c>
      <c r="D27">
        <v>106416</v>
      </c>
      <c r="E27">
        <v>52898</v>
      </c>
      <c r="F27">
        <v>59405</v>
      </c>
      <c r="G27">
        <v>29496</v>
      </c>
      <c r="H27">
        <v>57074</v>
      </c>
      <c r="I27">
        <v>28465</v>
      </c>
      <c r="J27">
        <v>101.2</v>
      </c>
      <c r="K27">
        <v>101.2</v>
      </c>
      <c r="L27">
        <v>101.4</v>
      </c>
      <c r="M27">
        <v>100.5</v>
      </c>
    </row>
    <row r="28" spans="1:13" x14ac:dyDescent="0.25">
      <c r="A28" t="s">
        <v>307</v>
      </c>
      <c r="B28">
        <v>15978</v>
      </c>
      <c r="C28">
        <v>7806</v>
      </c>
      <c r="D28">
        <v>91764</v>
      </c>
      <c r="E28">
        <v>44844</v>
      </c>
      <c r="F28">
        <v>51226</v>
      </c>
      <c r="G28">
        <v>25004</v>
      </c>
      <c r="H28">
        <v>49215</v>
      </c>
      <c r="I28">
        <v>24134</v>
      </c>
      <c r="J28">
        <v>104.7</v>
      </c>
      <c r="K28">
        <v>104.6</v>
      </c>
      <c r="L28">
        <v>104.9</v>
      </c>
      <c r="M28">
        <v>103.9</v>
      </c>
    </row>
    <row r="29" spans="1:13" x14ac:dyDescent="0.25">
      <c r="A29" t="s">
        <v>266</v>
      </c>
      <c r="B29">
        <v>319868</v>
      </c>
      <c r="C29">
        <v>156212</v>
      </c>
      <c r="D29">
        <v>1837090</v>
      </c>
      <c r="E29">
        <v>897450</v>
      </c>
      <c r="F29">
        <v>1025527</v>
      </c>
      <c r="G29">
        <v>500403</v>
      </c>
      <c r="H29">
        <v>985274</v>
      </c>
      <c r="I29">
        <v>482990</v>
      </c>
      <c r="J29">
        <v>104.8</v>
      </c>
      <c r="K29">
        <v>104.7</v>
      </c>
      <c r="L29">
        <v>104.9</v>
      </c>
      <c r="M29">
        <v>104</v>
      </c>
    </row>
    <row r="30" spans="1:13" x14ac:dyDescent="0.25">
      <c r="A30" t="s">
        <v>459</v>
      </c>
      <c r="B30">
        <v>85630</v>
      </c>
      <c r="C30">
        <v>41775</v>
      </c>
      <c r="D30">
        <v>491799</v>
      </c>
      <c r="E30">
        <v>239998</v>
      </c>
      <c r="F30">
        <v>274539</v>
      </c>
      <c r="G30">
        <v>133819</v>
      </c>
      <c r="H30">
        <v>263763</v>
      </c>
      <c r="I30">
        <v>129163</v>
      </c>
      <c r="J30">
        <v>105</v>
      </c>
      <c r="K30">
        <v>104.9</v>
      </c>
      <c r="L30">
        <v>105.2</v>
      </c>
      <c r="M30">
        <v>104.2</v>
      </c>
    </row>
    <row r="31" spans="1:13" x14ac:dyDescent="0.25">
      <c r="A31" t="s">
        <v>460</v>
      </c>
      <c r="B31">
        <v>234238</v>
      </c>
      <c r="C31">
        <v>114437</v>
      </c>
      <c r="D31">
        <v>1345291</v>
      </c>
      <c r="E31">
        <v>657452</v>
      </c>
      <c r="F31">
        <v>750988</v>
      </c>
      <c r="G31">
        <v>366584</v>
      </c>
      <c r="H31">
        <v>721511</v>
      </c>
      <c r="I31">
        <v>353827</v>
      </c>
      <c r="J31">
        <v>104.7</v>
      </c>
      <c r="K31">
        <v>104.6</v>
      </c>
      <c r="L31">
        <v>104.9</v>
      </c>
      <c r="M31">
        <v>103.9</v>
      </c>
    </row>
  </sheetData>
  <mergeCells count="7">
    <mergeCell ref="J2:M2"/>
    <mergeCell ref="A1:N1"/>
    <mergeCell ref="F2:G2"/>
    <mergeCell ref="B2:C2"/>
    <mergeCell ref="H2:I2"/>
    <mergeCell ref="D2:E2"/>
    <mergeCell ref="A2:A3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tabColor rgb="FF7030A0"/>
  </sheetPr>
  <dimension ref="A1:K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8.5703125" customWidth="1"/>
    <col min="5" max="5" width="10.8554687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29" t="s">
        <v>607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283</v>
      </c>
      <c r="B5">
        <v>25.5</v>
      </c>
      <c r="C5">
        <v>21.7</v>
      </c>
      <c r="D5">
        <v>46.1</v>
      </c>
      <c r="E5">
        <v>47</v>
      </c>
      <c r="F5">
        <v>1</v>
      </c>
      <c r="G5">
        <v>1.2</v>
      </c>
      <c r="H5">
        <v>15.1</v>
      </c>
      <c r="I5">
        <v>39.4</v>
      </c>
      <c r="J5">
        <v>41.2</v>
      </c>
      <c r="K5">
        <v>29.5</v>
      </c>
    </row>
    <row r="6" spans="1:11" x14ac:dyDescent="0.25">
      <c r="A6" t="s">
        <v>284</v>
      </c>
      <c r="B6">
        <v>27.1</v>
      </c>
      <c r="C6">
        <v>22.8</v>
      </c>
      <c r="D6">
        <v>47.7</v>
      </c>
      <c r="E6">
        <v>50.7</v>
      </c>
      <c r="F6">
        <v>1.1000000000000001</v>
      </c>
      <c r="G6">
        <v>1.1000000000000001</v>
      </c>
      <c r="H6">
        <v>15.7</v>
      </c>
      <c r="I6">
        <v>44.9</v>
      </c>
      <c r="J6">
        <v>47.1</v>
      </c>
      <c r="K6">
        <v>33.5</v>
      </c>
    </row>
    <row r="7" spans="1:11" x14ac:dyDescent="0.25">
      <c r="A7" t="s">
        <v>285</v>
      </c>
      <c r="B7">
        <v>23.4</v>
      </c>
      <c r="C7">
        <v>19</v>
      </c>
      <c r="D7">
        <v>43.9</v>
      </c>
      <c r="E7">
        <v>47.4</v>
      </c>
      <c r="F7">
        <v>1.1000000000000001</v>
      </c>
      <c r="G7">
        <v>1.2</v>
      </c>
      <c r="H7">
        <v>18.600000000000001</v>
      </c>
      <c r="I7">
        <v>46.1</v>
      </c>
      <c r="J7">
        <v>47.8</v>
      </c>
      <c r="K7">
        <v>38.6</v>
      </c>
    </row>
    <row r="8" spans="1:11" x14ac:dyDescent="0.25">
      <c r="A8" t="s">
        <v>286</v>
      </c>
      <c r="B8">
        <v>23.3</v>
      </c>
      <c r="C8">
        <v>19.8</v>
      </c>
      <c r="D8">
        <v>46</v>
      </c>
      <c r="E8">
        <v>48.1</v>
      </c>
      <c r="F8">
        <v>1</v>
      </c>
      <c r="G8">
        <v>1.2</v>
      </c>
      <c r="H8">
        <v>15.1</v>
      </c>
      <c r="I8">
        <v>39.700000000000003</v>
      </c>
      <c r="J8">
        <v>42</v>
      </c>
      <c r="K8">
        <v>27.1</v>
      </c>
    </row>
    <row r="9" spans="1:11" x14ac:dyDescent="0.25">
      <c r="A9" t="s">
        <v>287</v>
      </c>
      <c r="B9">
        <v>25.5</v>
      </c>
      <c r="C9">
        <v>22</v>
      </c>
      <c r="D9">
        <v>49.5</v>
      </c>
      <c r="E9">
        <v>55.1</v>
      </c>
      <c r="F9">
        <v>1.1000000000000001</v>
      </c>
      <c r="G9">
        <v>1.1000000000000001</v>
      </c>
      <c r="H9">
        <v>13.6</v>
      </c>
      <c r="I9">
        <v>33.9</v>
      </c>
      <c r="J9">
        <v>36.799999999999997</v>
      </c>
      <c r="K9">
        <v>15.3</v>
      </c>
    </row>
    <row r="10" spans="1:11" x14ac:dyDescent="0.25">
      <c r="A10" t="s">
        <v>288</v>
      </c>
      <c r="B10">
        <v>26.9</v>
      </c>
      <c r="C10">
        <v>22.5</v>
      </c>
      <c r="D10">
        <v>42.1</v>
      </c>
      <c r="E10">
        <v>44.8</v>
      </c>
      <c r="F10">
        <v>1.1000000000000001</v>
      </c>
      <c r="G10">
        <v>1.4</v>
      </c>
      <c r="H10">
        <v>16.3</v>
      </c>
      <c r="I10">
        <v>42.8</v>
      </c>
      <c r="J10">
        <v>47.1</v>
      </c>
      <c r="K10">
        <v>20.7</v>
      </c>
    </row>
    <row r="11" spans="1:11" x14ac:dyDescent="0.25">
      <c r="A11" t="s">
        <v>289</v>
      </c>
      <c r="B11">
        <v>19.100000000000001</v>
      </c>
      <c r="C11">
        <v>15.8</v>
      </c>
      <c r="D11">
        <v>20.9</v>
      </c>
      <c r="E11">
        <v>42.2</v>
      </c>
      <c r="F11">
        <v>2</v>
      </c>
      <c r="G11">
        <v>1.3</v>
      </c>
      <c r="H11">
        <v>17.2</v>
      </c>
      <c r="I11">
        <v>38.6</v>
      </c>
      <c r="J11">
        <v>41.5</v>
      </c>
      <c r="K11">
        <v>25.1</v>
      </c>
    </row>
    <row r="12" spans="1:11" x14ac:dyDescent="0.25">
      <c r="A12" t="s">
        <v>290</v>
      </c>
      <c r="B12">
        <v>19.8</v>
      </c>
      <c r="C12">
        <v>17.100000000000001</v>
      </c>
      <c r="D12">
        <v>43.8</v>
      </c>
      <c r="E12">
        <v>48</v>
      </c>
      <c r="F12">
        <v>1.1000000000000001</v>
      </c>
      <c r="G12">
        <v>1.3</v>
      </c>
      <c r="H12">
        <v>13.5</v>
      </c>
      <c r="I12">
        <v>43.7</v>
      </c>
      <c r="J12">
        <v>47</v>
      </c>
      <c r="K12">
        <v>23</v>
      </c>
    </row>
    <row r="13" spans="1:11" x14ac:dyDescent="0.25">
      <c r="A13" t="s">
        <v>291</v>
      </c>
      <c r="B13">
        <v>11.4</v>
      </c>
      <c r="C13">
        <v>9.9</v>
      </c>
      <c r="D13">
        <v>34.799999999999997</v>
      </c>
      <c r="E13">
        <v>34.799999999999997</v>
      </c>
      <c r="F13">
        <v>1</v>
      </c>
      <c r="G13">
        <v>1.8</v>
      </c>
      <c r="H13">
        <v>12.8</v>
      </c>
      <c r="I13">
        <v>41.2</v>
      </c>
      <c r="J13">
        <v>43.5</v>
      </c>
      <c r="K13">
        <v>25.7</v>
      </c>
    </row>
    <row r="14" spans="1:11" x14ac:dyDescent="0.25">
      <c r="A14" t="s">
        <v>292</v>
      </c>
      <c r="B14">
        <v>19</v>
      </c>
      <c r="C14">
        <v>16.600000000000001</v>
      </c>
      <c r="D14">
        <v>34.1</v>
      </c>
      <c r="E14">
        <v>39.299999999999997</v>
      </c>
      <c r="F14">
        <v>1.2</v>
      </c>
      <c r="G14">
        <v>1.5</v>
      </c>
      <c r="H14">
        <v>12.8</v>
      </c>
      <c r="I14">
        <v>35.1</v>
      </c>
      <c r="J14">
        <v>35.9</v>
      </c>
      <c r="K14">
        <v>29.4</v>
      </c>
    </row>
    <row r="15" spans="1:11" x14ac:dyDescent="0.25">
      <c r="A15" t="s">
        <v>293</v>
      </c>
      <c r="B15">
        <v>21.1</v>
      </c>
      <c r="C15">
        <v>18.600000000000001</v>
      </c>
      <c r="D15">
        <v>44.1</v>
      </c>
      <c r="E15">
        <v>45.2</v>
      </c>
      <c r="F15">
        <v>1</v>
      </c>
      <c r="G15">
        <v>1.3</v>
      </c>
      <c r="H15">
        <v>11.9</v>
      </c>
      <c r="I15">
        <v>48.3</v>
      </c>
      <c r="J15">
        <v>50.9</v>
      </c>
      <c r="K15">
        <v>28.9</v>
      </c>
    </row>
    <row r="16" spans="1:11" x14ac:dyDescent="0.25">
      <c r="A16" t="s">
        <v>294</v>
      </c>
      <c r="B16">
        <v>21.4</v>
      </c>
      <c r="C16">
        <v>19.600000000000001</v>
      </c>
      <c r="D16">
        <v>41.8</v>
      </c>
      <c r="E16">
        <v>45.5</v>
      </c>
      <c r="F16">
        <v>1.1000000000000001</v>
      </c>
      <c r="G16">
        <v>1.4</v>
      </c>
      <c r="H16">
        <v>8</v>
      </c>
      <c r="I16">
        <v>38.700000000000003</v>
      </c>
      <c r="J16">
        <v>40.9</v>
      </c>
      <c r="K16">
        <v>13</v>
      </c>
    </row>
    <row r="17" spans="1:11" x14ac:dyDescent="0.25">
      <c r="A17" t="s">
        <v>295</v>
      </c>
      <c r="B17">
        <v>29.5</v>
      </c>
      <c r="C17">
        <v>25.9</v>
      </c>
      <c r="D17">
        <v>44.1</v>
      </c>
      <c r="E17">
        <v>46.2</v>
      </c>
      <c r="F17">
        <v>1</v>
      </c>
      <c r="G17">
        <v>1.2</v>
      </c>
      <c r="H17">
        <v>12.2</v>
      </c>
      <c r="I17">
        <v>33.9</v>
      </c>
      <c r="J17">
        <v>35.9</v>
      </c>
      <c r="K17">
        <v>19.7</v>
      </c>
    </row>
    <row r="18" spans="1:11" x14ac:dyDescent="0.25">
      <c r="A18" t="s">
        <v>296</v>
      </c>
      <c r="B18">
        <v>16.2</v>
      </c>
      <c r="C18">
        <v>14.3</v>
      </c>
      <c r="D18">
        <v>41.1</v>
      </c>
      <c r="E18">
        <v>42.7</v>
      </c>
      <c r="F18">
        <v>1</v>
      </c>
      <c r="G18">
        <v>1.5</v>
      </c>
      <c r="H18">
        <v>11.9</v>
      </c>
      <c r="I18">
        <v>41.2</v>
      </c>
      <c r="J18">
        <v>44.3</v>
      </c>
      <c r="K18">
        <v>17.8</v>
      </c>
    </row>
    <row r="19" spans="1:11" x14ac:dyDescent="0.25">
      <c r="A19" t="s">
        <v>297</v>
      </c>
      <c r="B19">
        <v>17.399999999999999</v>
      </c>
      <c r="C19">
        <v>15.8</v>
      </c>
      <c r="D19">
        <v>47.2</v>
      </c>
      <c r="E19">
        <v>65.099999999999994</v>
      </c>
      <c r="F19">
        <v>1.4</v>
      </c>
      <c r="G19">
        <v>0.9</v>
      </c>
      <c r="H19">
        <v>9.4</v>
      </c>
      <c r="I19">
        <v>44.5</v>
      </c>
      <c r="J19">
        <v>45.8</v>
      </c>
      <c r="K19">
        <v>31.8</v>
      </c>
    </row>
    <row r="20" spans="1:11" x14ac:dyDescent="0.25">
      <c r="A20" t="s">
        <v>298</v>
      </c>
      <c r="B20">
        <v>18.899999999999999</v>
      </c>
      <c r="C20">
        <v>16.7</v>
      </c>
      <c r="D20">
        <v>40.9</v>
      </c>
      <c r="E20">
        <v>41.7</v>
      </c>
      <c r="F20">
        <v>1</v>
      </c>
      <c r="G20">
        <v>1.4</v>
      </c>
      <c r="H20">
        <v>11.9</v>
      </c>
      <c r="I20">
        <v>35.9</v>
      </c>
      <c r="J20">
        <v>37.9</v>
      </c>
      <c r="K20">
        <v>21</v>
      </c>
    </row>
    <row r="21" spans="1:11" x14ac:dyDescent="0.25">
      <c r="A21" t="s">
        <v>299</v>
      </c>
      <c r="B21">
        <v>20.2</v>
      </c>
      <c r="C21">
        <v>18.5</v>
      </c>
      <c r="D21">
        <v>36.700000000000003</v>
      </c>
      <c r="E21">
        <v>36.700000000000003</v>
      </c>
      <c r="F21">
        <v>1</v>
      </c>
      <c r="G21">
        <v>1.6</v>
      </c>
      <c r="H21">
        <v>8.5</v>
      </c>
      <c r="I21">
        <v>41</v>
      </c>
      <c r="J21">
        <v>41.7</v>
      </c>
      <c r="K21">
        <v>33.299999999999997</v>
      </c>
    </row>
    <row r="22" spans="1:11" x14ac:dyDescent="0.25">
      <c r="A22" t="s">
        <v>300</v>
      </c>
      <c r="B22">
        <v>29.3</v>
      </c>
      <c r="C22">
        <v>23.7</v>
      </c>
      <c r="D22">
        <v>45.1</v>
      </c>
      <c r="E22">
        <v>48.2</v>
      </c>
      <c r="F22">
        <v>1.1000000000000001</v>
      </c>
      <c r="G22">
        <v>1.2</v>
      </c>
      <c r="H22">
        <v>19</v>
      </c>
      <c r="I22">
        <v>34.200000000000003</v>
      </c>
      <c r="J22">
        <v>37.1</v>
      </c>
      <c r="K22">
        <v>21.9</v>
      </c>
    </row>
    <row r="23" spans="1:11" x14ac:dyDescent="0.25">
      <c r="A23" t="s">
        <v>301</v>
      </c>
      <c r="B23">
        <v>21.5</v>
      </c>
      <c r="C23">
        <v>18.399999999999999</v>
      </c>
      <c r="D23">
        <v>44.1</v>
      </c>
      <c r="E23">
        <v>46.9</v>
      </c>
      <c r="F23">
        <v>1.1000000000000001</v>
      </c>
      <c r="G23">
        <v>1.2</v>
      </c>
      <c r="H23">
        <v>14.6</v>
      </c>
      <c r="I23">
        <v>36.200000000000003</v>
      </c>
      <c r="J23">
        <v>38.799999999999997</v>
      </c>
      <c r="K23">
        <v>21.2</v>
      </c>
    </row>
    <row r="24" spans="1:11" x14ac:dyDescent="0.25">
      <c r="A24" t="s">
        <v>302</v>
      </c>
      <c r="B24">
        <v>28.8</v>
      </c>
      <c r="C24">
        <v>26.3</v>
      </c>
      <c r="D24">
        <v>47.1</v>
      </c>
      <c r="E24">
        <v>51.5</v>
      </c>
      <c r="F24">
        <v>1.1000000000000001</v>
      </c>
      <c r="G24">
        <v>1.2</v>
      </c>
      <c r="H24">
        <v>9</v>
      </c>
      <c r="I24">
        <v>41</v>
      </c>
      <c r="J24">
        <v>41.4</v>
      </c>
      <c r="K24">
        <v>37.5</v>
      </c>
    </row>
    <row r="25" spans="1:11" x14ac:dyDescent="0.25">
      <c r="A25" t="s">
        <v>303</v>
      </c>
      <c r="B25">
        <v>34.700000000000003</v>
      </c>
      <c r="C25">
        <v>29</v>
      </c>
      <c r="D25">
        <v>50.1</v>
      </c>
      <c r="E25">
        <v>55.8</v>
      </c>
      <c r="F25">
        <v>1.1000000000000001</v>
      </c>
      <c r="G25">
        <v>1</v>
      </c>
      <c r="H25">
        <v>16.3</v>
      </c>
      <c r="I25">
        <v>45.5</v>
      </c>
      <c r="J25">
        <v>47.5</v>
      </c>
      <c r="K25">
        <v>34.9</v>
      </c>
    </row>
    <row r="26" spans="1:11" x14ac:dyDescent="0.25">
      <c r="A26" t="s">
        <v>304</v>
      </c>
      <c r="B26">
        <v>16.8</v>
      </c>
      <c r="C26">
        <v>14.9</v>
      </c>
      <c r="D26">
        <v>37.299999999999997</v>
      </c>
      <c r="E26">
        <v>38.9</v>
      </c>
      <c r="F26">
        <v>1</v>
      </c>
      <c r="G26">
        <v>1.5</v>
      </c>
      <c r="H26">
        <v>11.4</v>
      </c>
      <c r="I26">
        <v>39</v>
      </c>
      <c r="J26">
        <v>39.799999999999997</v>
      </c>
      <c r="K26">
        <v>32.799999999999997</v>
      </c>
    </row>
    <row r="27" spans="1:11" x14ac:dyDescent="0.25">
      <c r="A27" t="s">
        <v>305</v>
      </c>
      <c r="B27">
        <v>20.7</v>
      </c>
      <c r="C27">
        <v>17.3</v>
      </c>
      <c r="D27">
        <v>39.1</v>
      </c>
      <c r="E27">
        <v>40.299999999999997</v>
      </c>
      <c r="F27">
        <v>1</v>
      </c>
      <c r="G27">
        <v>1.4</v>
      </c>
      <c r="H27">
        <v>16.399999999999999</v>
      </c>
      <c r="I27">
        <v>29.4</v>
      </c>
      <c r="J27">
        <v>30.8</v>
      </c>
      <c r="K27">
        <v>22.4</v>
      </c>
    </row>
    <row r="28" spans="1:11" x14ac:dyDescent="0.25">
      <c r="A28" t="s">
        <v>306</v>
      </c>
      <c r="B28">
        <v>22.6</v>
      </c>
      <c r="C28">
        <v>18.3</v>
      </c>
      <c r="D28">
        <v>38.4</v>
      </c>
      <c r="E28">
        <v>39.700000000000003</v>
      </c>
      <c r="F28">
        <v>1</v>
      </c>
      <c r="G28">
        <v>1.6</v>
      </c>
      <c r="H28">
        <v>18.8</v>
      </c>
      <c r="I28">
        <v>30.9</v>
      </c>
      <c r="J28">
        <v>33</v>
      </c>
      <c r="K28">
        <v>21.9</v>
      </c>
    </row>
    <row r="29" spans="1:11" x14ac:dyDescent="0.25">
      <c r="A29" t="s">
        <v>307</v>
      </c>
      <c r="B29">
        <v>30.6</v>
      </c>
      <c r="C29">
        <v>26</v>
      </c>
      <c r="D29">
        <v>43.8</v>
      </c>
      <c r="E29">
        <v>47.7</v>
      </c>
      <c r="F29">
        <v>1.1000000000000001</v>
      </c>
      <c r="G29">
        <v>1.2</v>
      </c>
      <c r="H29">
        <v>15</v>
      </c>
      <c r="I29">
        <v>39.700000000000003</v>
      </c>
      <c r="J29">
        <v>42.5</v>
      </c>
      <c r="K29">
        <v>23.7</v>
      </c>
    </row>
    <row r="30" spans="1:11" x14ac:dyDescent="0.25">
      <c r="A30" t="s">
        <v>266</v>
      </c>
      <c r="B30">
        <v>23.3</v>
      </c>
      <c r="C30">
        <v>19.8</v>
      </c>
      <c r="D30">
        <v>42.3</v>
      </c>
      <c r="E30">
        <v>48</v>
      </c>
      <c r="F30">
        <v>1.1000000000000001</v>
      </c>
      <c r="G30">
        <v>1.2</v>
      </c>
      <c r="H30">
        <v>14.8</v>
      </c>
      <c r="I30">
        <v>40.1</v>
      </c>
      <c r="J30">
        <v>42.4</v>
      </c>
      <c r="K30">
        <v>26.8</v>
      </c>
    </row>
    <row r="31" spans="1:11" x14ac:dyDescent="0.25">
      <c r="A31" t="s">
        <v>308</v>
      </c>
      <c r="B31">
        <v>19.3</v>
      </c>
      <c r="C31">
        <v>17</v>
      </c>
      <c r="D31">
        <v>45</v>
      </c>
      <c r="E31">
        <v>52.5</v>
      </c>
      <c r="F31">
        <v>1.2</v>
      </c>
      <c r="G31">
        <v>1.1000000000000001</v>
      </c>
      <c r="H31">
        <v>12.1</v>
      </c>
      <c r="I31">
        <v>44.6</v>
      </c>
      <c r="J31">
        <v>45.9</v>
      </c>
      <c r="K31">
        <v>34.9</v>
      </c>
    </row>
    <row r="32" spans="1:11" x14ac:dyDescent="0.25">
      <c r="A32" t="s">
        <v>309</v>
      </c>
      <c r="B32">
        <v>24.9</v>
      </c>
      <c r="C32">
        <v>20.9</v>
      </c>
      <c r="D32">
        <v>41.6</v>
      </c>
      <c r="E32">
        <v>46.7</v>
      </c>
      <c r="F32">
        <v>1.1000000000000001</v>
      </c>
      <c r="G32">
        <v>1.3</v>
      </c>
      <c r="H32">
        <v>15.8</v>
      </c>
      <c r="I32">
        <v>38.299999999999997</v>
      </c>
      <c r="J32">
        <v>40.9</v>
      </c>
      <c r="K32">
        <v>24.3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7030A0"/>
  </sheetPr>
  <dimension ref="A1:K18"/>
  <sheetViews>
    <sheetView workbookViewId="0"/>
  </sheetViews>
  <sheetFormatPr defaultRowHeight="15" x14ac:dyDescent="0.25"/>
  <cols>
    <col min="1" max="1" width="18" customWidth="1"/>
    <col min="2" max="2" width="9" customWidth="1"/>
    <col min="3" max="3" width="8.5703125" customWidth="1"/>
    <col min="5" max="5" width="9.5703125" customWidth="1"/>
    <col min="7" max="7" width="10.5703125" customWidth="1"/>
    <col min="8" max="8" width="11.42578125" customWidth="1"/>
    <col min="9" max="9" width="8.42578125" customWidth="1"/>
    <col min="10" max="10" width="9.7109375" customWidth="1"/>
    <col min="11" max="11" width="11.42578125" customWidth="1"/>
  </cols>
  <sheetData>
    <row r="1" spans="1:11" x14ac:dyDescent="0.25">
      <c r="A1" s="29" t="s">
        <v>608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29" t="s">
        <v>253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591</v>
      </c>
      <c r="I2" s="29"/>
      <c r="J2" s="29" t="s">
        <v>592</v>
      </c>
      <c r="K2" s="29"/>
    </row>
    <row r="3" spans="1:11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t="s">
        <v>596</v>
      </c>
      <c r="I3" t="s">
        <v>265</v>
      </c>
      <c r="J3" t="s">
        <v>506</v>
      </c>
      <c r="K3" t="s">
        <v>596</v>
      </c>
    </row>
    <row r="4" spans="1:11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t="s">
        <v>115</v>
      </c>
      <c r="I4" t="s">
        <v>115</v>
      </c>
      <c r="J4" t="s">
        <v>115</v>
      </c>
      <c r="K4" t="s">
        <v>115</v>
      </c>
    </row>
    <row r="5" spans="1:11" x14ac:dyDescent="0.25">
      <c r="A5" t="s">
        <v>266</v>
      </c>
      <c r="B5">
        <v>34.6</v>
      </c>
      <c r="C5">
        <v>28.4</v>
      </c>
      <c r="D5">
        <v>34.200000000000003</v>
      </c>
      <c r="E5">
        <v>43.9</v>
      </c>
      <c r="F5">
        <v>1.3</v>
      </c>
      <c r="G5">
        <v>1.4</v>
      </c>
      <c r="H5">
        <v>18</v>
      </c>
      <c r="I5">
        <v>49.2</v>
      </c>
      <c r="J5">
        <v>53.4</v>
      </c>
      <c r="K5">
        <v>30.2</v>
      </c>
    </row>
    <row r="6" spans="1:11" x14ac:dyDescent="0.25">
      <c r="A6" t="s">
        <v>267</v>
      </c>
      <c r="B6">
        <v>27.9</v>
      </c>
      <c r="C6">
        <v>23.9</v>
      </c>
      <c r="D6">
        <v>39</v>
      </c>
      <c r="E6">
        <v>50.5</v>
      </c>
      <c r="F6">
        <v>1.3</v>
      </c>
      <c r="G6">
        <v>1.2</v>
      </c>
      <c r="H6">
        <v>14.3</v>
      </c>
      <c r="I6">
        <v>55.6</v>
      </c>
      <c r="J6">
        <v>58.2</v>
      </c>
      <c r="K6">
        <v>40.1</v>
      </c>
    </row>
    <row r="7" spans="1:11" x14ac:dyDescent="0.25">
      <c r="A7" t="s">
        <v>268</v>
      </c>
      <c r="B7">
        <v>36.700000000000003</v>
      </c>
      <c r="C7">
        <v>29.7</v>
      </c>
      <c r="D7">
        <v>33.200000000000003</v>
      </c>
      <c r="E7">
        <v>42.6</v>
      </c>
      <c r="F7">
        <v>1.3</v>
      </c>
      <c r="G7">
        <v>1.4</v>
      </c>
      <c r="H7">
        <v>19.100000000000001</v>
      </c>
      <c r="I7">
        <v>47.3</v>
      </c>
      <c r="J7">
        <v>51.9</v>
      </c>
      <c r="K7">
        <v>28</v>
      </c>
    </row>
    <row r="8" spans="1:11" x14ac:dyDescent="0.25">
      <c r="A8" t="s">
        <v>269</v>
      </c>
      <c r="B8">
        <v>38.700000000000003</v>
      </c>
      <c r="C8">
        <v>36.700000000000003</v>
      </c>
      <c r="D8">
        <v>25.7</v>
      </c>
      <c r="E8">
        <v>30.6</v>
      </c>
      <c r="F8">
        <v>1.2</v>
      </c>
      <c r="G8">
        <v>3</v>
      </c>
      <c r="H8">
        <v>5.3</v>
      </c>
      <c r="I8">
        <v>94.4</v>
      </c>
      <c r="J8">
        <v>94.9</v>
      </c>
      <c r="K8">
        <v>84.3</v>
      </c>
    </row>
    <row r="9" spans="1:11" x14ac:dyDescent="0.25">
      <c r="A9" t="s">
        <v>270</v>
      </c>
      <c r="B9">
        <v>45.1</v>
      </c>
      <c r="C9">
        <v>35.1</v>
      </c>
      <c r="D9">
        <v>32.200000000000003</v>
      </c>
      <c r="E9">
        <v>44.1</v>
      </c>
      <c r="F9">
        <v>1.4</v>
      </c>
      <c r="G9">
        <v>1.3</v>
      </c>
      <c r="H9">
        <v>22.2</v>
      </c>
      <c r="I9">
        <v>52.7</v>
      </c>
      <c r="J9">
        <v>58.9</v>
      </c>
      <c r="K9">
        <v>30.9</v>
      </c>
    </row>
    <row r="10" spans="1:11" x14ac:dyDescent="0.25">
      <c r="A10" t="s">
        <v>581</v>
      </c>
      <c r="B10">
        <v>23.3</v>
      </c>
      <c r="C10">
        <v>19.3</v>
      </c>
      <c r="D10">
        <v>43.1</v>
      </c>
      <c r="E10">
        <v>46.2</v>
      </c>
      <c r="F10">
        <v>1.1000000000000001</v>
      </c>
      <c r="G10">
        <v>1.3</v>
      </c>
      <c r="H10">
        <v>16.899999999999999</v>
      </c>
      <c r="I10">
        <v>41.7</v>
      </c>
      <c r="J10">
        <v>45.3</v>
      </c>
      <c r="K10">
        <v>23.7</v>
      </c>
    </row>
    <row r="11" spans="1:11" x14ac:dyDescent="0.25">
      <c r="A11" t="s">
        <v>582</v>
      </c>
      <c r="B11">
        <v>23.3</v>
      </c>
      <c r="C11">
        <v>20.100000000000001</v>
      </c>
      <c r="D11">
        <v>42</v>
      </c>
      <c r="E11">
        <v>48.9</v>
      </c>
      <c r="F11">
        <v>1.2</v>
      </c>
      <c r="G11">
        <v>1.2</v>
      </c>
      <c r="H11">
        <v>13.7</v>
      </c>
      <c r="I11">
        <v>39.200000000000003</v>
      </c>
      <c r="J11">
        <v>40.9</v>
      </c>
      <c r="K11">
        <v>28.7</v>
      </c>
    </row>
    <row r="12" spans="1:11" x14ac:dyDescent="0.25">
      <c r="A12" t="s">
        <v>583</v>
      </c>
      <c r="B12">
        <v>23.4</v>
      </c>
      <c r="C12">
        <v>19.8</v>
      </c>
      <c r="D12">
        <v>43.3</v>
      </c>
      <c r="E12">
        <v>48.3</v>
      </c>
      <c r="F12">
        <v>1.1000000000000001</v>
      </c>
      <c r="G12">
        <v>1.3</v>
      </c>
      <c r="H12">
        <v>15.4</v>
      </c>
      <c r="I12">
        <v>42.7</v>
      </c>
      <c r="J12">
        <v>45.8</v>
      </c>
      <c r="K12">
        <v>25.9</v>
      </c>
    </row>
    <row r="13" spans="1:11" x14ac:dyDescent="0.25">
      <c r="A13" t="s">
        <v>584</v>
      </c>
      <c r="B13">
        <v>23</v>
      </c>
      <c r="C13">
        <v>19.8</v>
      </c>
      <c r="D13">
        <v>40.700000000000003</v>
      </c>
      <c r="E13">
        <v>47.4</v>
      </c>
      <c r="F13">
        <v>1.2</v>
      </c>
      <c r="G13">
        <v>1.2</v>
      </c>
      <c r="H13">
        <v>13.6</v>
      </c>
      <c r="I13">
        <v>35.200000000000003</v>
      </c>
      <c r="J13">
        <v>36.299999999999997</v>
      </c>
      <c r="K13">
        <v>28.6</v>
      </c>
    </row>
    <row r="14" spans="1:11" x14ac:dyDescent="0.25">
      <c r="A14" t="s">
        <v>276</v>
      </c>
      <c r="B14">
        <v>46.4</v>
      </c>
      <c r="C14">
        <v>35.799999999999997</v>
      </c>
      <c r="D14">
        <v>38</v>
      </c>
      <c r="E14">
        <v>50</v>
      </c>
      <c r="F14">
        <v>1.3</v>
      </c>
      <c r="G14">
        <v>1.2</v>
      </c>
      <c r="H14">
        <v>22.8</v>
      </c>
      <c r="I14">
        <v>58.3</v>
      </c>
      <c r="J14">
        <v>65.7</v>
      </c>
      <c r="K14">
        <v>33.6</v>
      </c>
    </row>
    <row r="15" spans="1:11" x14ac:dyDescent="0.25">
      <c r="A15" t="s">
        <v>277</v>
      </c>
      <c r="B15">
        <v>44.5</v>
      </c>
      <c r="C15">
        <v>34.799999999999997</v>
      </c>
      <c r="D15">
        <v>30</v>
      </c>
      <c r="E15">
        <v>41.7</v>
      </c>
      <c r="F15">
        <v>1.4</v>
      </c>
      <c r="G15">
        <v>1.4</v>
      </c>
      <c r="H15">
        <v>21.9</v>
      </c>
      <c r="I15">
        <v>50.1</v>
      </c>
      <c r="J15">
        <v>55.8</v>
      </c>
      <c r="K15">
        <v>29.6</v>
      </c>
    </row>
    <row r="16" spans="1:11" x14ac:dyDescent="0.25">
      <c r="A16" t="s">
        <v>279</v>
      </c>
      <c r="B16">
        <v>43</v>
      </c>
      <c r="C16">
        <v>34.200000000000003</v>
      </c>
      <c r="D16">
        <v>29.1</v>
      </c>
      <c r="E16">
        <v>38.9</v>
      </c>
      <c r="F16">
        <v>1.3</v>
      </c>
      <c r="G16">
        <v>1.5</v>
      </c>
      <c r="H16">
        <v>20.5</v>
      </c>
      <c r="I16">
        <v>50.3</v>
      </c>
      <c r="J16">
        <v>54.6</v>
      </c>
      <c r="K16">
        <v>33.4</v>
      </c>
    </row>
    <row r="17" spans="1:11" x14ac:dyDescent="0.25">
      <c r="A17" t="s">
        <v>280</v>
      </c>
      <c r="B17">
        <v>44.8</v>
      </c>
      <c r="C17">
        <v>33.9</v>
      </c>
      <c r="D17">
        <v>33.799999999999997</v>
      </c>
      <c r="E17">
        <v>42.9</v>
      </c>
      <c r="F17">
        <v>1.3</v>
      </c>
      <c r="G17">
        <v>1.4</v>
      </c>
      <c r="H17">
        <v>24.3</v>
      </c>
      <c r="I17">
        <v>50.4</v>
      </c>
      <c r="J17">
        <v>57</v>
      </c>
      <c r="K17">
        <v>29.9</v>
      </c>
    </row>
    <row r="18" spans="1:11" x14ac:dyDescent="0.25">
      <c r="A18" t="s">
        <v>281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7030A0"/>
  </sheetPr>
  <dimension ref="A1:M32"/>
  <sheetViews>
    <sheetView workbookViewId="0"/>
  </sheetViews>
  <sheetFormatPr defaultRowHeight="15" x14ac:dyDescent="0.25"/>
  <cols>
    <col min="1" max="1" width="14.5703125" customWidth="1"/>
    <col min="2" max="2" width="9" customWidth="1"/>
    <col min="3" max="3" width="7.28515625" customWidth="1"/>
    <col min="5" max="5" width="9.5703125" customWidth="1"/>
    <col min="9" max="9" width="9.140625" customWidth="1"/>
    <col min="10" max="10" width="9.42578125" customWidth="1"/>
    <col min="12" max="12" width="10" customWidth="1"/>
    <col min="13" max="13" width="8.42578125" customWidth="1"/>
  </cols>
  <sheetData>
    <row r="1" spans="1:13" x14ac:dyDescent="0.25">
      <c r="A1" s="29" t="s">
        <v>609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t="s">
        <v>589</v>
      </c>
      <c r="C2" t="s">
        <v>589</v>
      </c>
      <c r="D2" t="s">
        <v>589</v>
      </c>
      <c r="E2" t="s">
        <v>589</v>
      </c>
      <c r="F2" t="s">
        <v>256</v>
      </c>
      <c r="G2" t="s">
        <v>590</v>
      </c>
      <c r="H2" s="29" t="s">
        <v>610</v>
      </c>
      <c r="I2" s="29"/>
      <c r="J2" s="29"/>
      <c r="K2" s="29"/>
      <c r="L2" s="29" t="s">
        <v>591</v>
      </c>
      <c r="M2" s="29"/>
    </row>
    <row r="3" spans="1:13" x14ac:dyDescent="0.25">
      <c r="A3" s="29"/>
      <c r="B3" t="s">
        <v>593</v>
      </c>
      <c r="C3" t="s">
        <v>115</v>
      </c>
      <c r="D3" t="s">
        <v>594</v>
      </c>
      <c r="E3" t="s">
        <v>590</v>
      </c>
      <c r="F3" t="s">
        <v>576</v>
      </c>
      <c r="G3" t="s">
        <v>595</v>
      </c>
      <c r="H3" s="29" t="s">
        <v>326</v>
      </c>
      <c r="I3" s="29" t="s">
        <v>346</v>
      </c>
      <c r="J3" t="s">
        <v>611</v>
      </c>
      <c r="K3" t="s">
        <v>612</v>
      </c>
      <c r="L3" t="s">
        <v>613</v>
      </c>
      <c r="M3" t="s">
        <v>265</v>
      </c>
    </row>
    <row r="4" spans="1:13" x14ac:dyDescent="0.25">
      <c r="A4" s="29"/>
      <c r="B4" t="s">
        <v>597</v>
      </c>
      <c r="C4" t="s">
        <v>597</v>
      </c>
      <c r="D4" t="s">
        <v>597</v>
      </c>
      <c r="E4" t="s">
        <v>597</v>
      </c>
      <c r="F4" t="s">
        <v>590</v>
      </c>
      <c r="G4" t="s">
        <v>598</v>
      </c>
      <c r="H4" s="29"/>
      <c r="I4" s="29"/>
      <c r="J4" t="s">
        <v>614</v>
      </c>
      <c r="K4" t="s">
        <v>614</v>
      </c>
      <c r="L4" t="s">
        <v>115</v>
      </c>
      <c r="M4" t="s">
        <v>115</v>
      </c>
    </row>
    <row r="5" spans="1:13" x14ac:dyDescent="0.25">
      <c r="A5" t="s">
        <v>283</v>
      </c>
      <c r="B5">
        <v>34.4</v>
      </c>
      <c r="C5">
        <v>28.8</v>
      </c>
      <c r="D5">
        <v>33.6</v>
      </c>
      <c r="E5">
        <v>41.3</v>
      </c>
      <c r="F5">
        <v>1.2</v>
      </c>
      <c r="G5">
        <v>1.4</v>
      </c>
      <c r="H5">
        <v>10.199999999999999</v>
      </c>
      <c r="I5">
        <v>60.9</v>
      </c>
      <c r="J5">
        <v>19.3</v>
      </c>
      <c r="K5">
        <v>9.6</v>
      </c>
      <c r="L5">
        <v>16.399999999999999</v>
      </c>
      <c r="M5">
        <v>48.1</v>
      </c>
    </row>
    <row r="6" spans="1:13" x14ac:dyDescent="0.25">
      <c r="A6" t="s">
        <v>284</v>
      </c>
      <c r="B6">
        <v>37.799999999999997</v>
      </c>
      <c r="C6">
        <v>30.3</v>
      </c>
      <c r="D6">
        <v>34.299999999999997</v>
      </c>
      <c r="E6">
        <v>46.5</v>
      </c>
      <c r="F6">
        <v>1.4</v>
      </c>
      <c r="G6">
        <v>1.2</v>
      </c>
      <c r="H6">
        <v>6.6</v>
      </c>
      <c r="I6">
        <v>65.400000000000006</v>
      </c>
      <c r="J6">
        <v>18.600000000000001</v>
      </c>
      <c r="K6">
        <v>9.3000000000000007</v>
      </c>
      <c r="L6">
        <v>19.8</v>
      </c>
      <c r="M6">
        <v>56</v>
      </c>
    </row>
    <row r="7" spans="1:13" x14ac:dyDescent="0.25">
      <c r="A7" t="s">
        <v>285</v>
      </c>
      <c r="B7">
        <v>38.200000000000003</v>
      </c>
      <c r="C7">
        <v>29.3</v>
      </c>
      <c r="D7">
        <v>36.5</v>
      </c>
      <c r="E7">
        <v>46.1</v>
      </c>
      <c r="F7">
        <v>1.3</v>
      </c>
      <c r="G7">
        <v>1.3</v>
      </c>
      <c r="H7">
        <v>7</v>
      </c>
      <c r="I7">
        <v>62</v>
      </c>
      <c r="J7">
        <v>19.600000000000001</v>
      </c>
      <c r="K7">
        <v>11.3</v>
      </c>
      <c r="L7">
        <v>23.3</v>
      </c>
      <c r="M7">
        <v>54.2</v>
      </c>
    </row>
    <row r="8" spans="1:13" x14ac:dyDescent="0.25">
      <c r="A8" t="s">
        <v>286</v>
      </c>
      <c r="B8">
        <v>33</v>
      </c>
      <c r="C8">
        <v>27.4</v>
      </c>
      <c r="D8">
        <v>35.799999999999997</v>
      </c>
      <c r="E8">
        <v>46.4</v>
      </c>
      <c r="F8">
        <v>1.3</v>
      </c>
      <c r="G8">
        <v>1.2</v>
      </c>
      <c r="H8">
        <v>5.5</v>
      </c>
      <c r="I8">
        <v>62.3</v>
      </c>
      <c r="J8">
        <v>21.4</v>
      </c>
      <c r="K8">
        <v>10.8</v>
      </c>
      <c r="L8">
        <v>17.100000000000001</v>
      </c>
      <c r="M8">
        <v>46</v>
      </c>
    </row>
    <row r="9" spans="1:13" x14ac:dyDescent="0.25">
      <c r="A9" t="s">
        <v>287</v>
      </c>
      <c r="B9">
        <v>38.4</v>
      </c>
      <c r="C9">
        <v>32</v>
      </c>
      <c r="D9">
        <v>39.6</v>
      </c>
      <c r="E9">
        <v>48.5</v>
      </c>
      <c r="F9">
        <v>1.2</v>
      </c>
      <c r="G9">
        <v>1.3</v>
      </c>
      <c r="H9">
        <v>5.6</v>
      </c>
      <c r="I9">
        <v>64.3</v>
      </c>
      <c r="J9">
        <v>20.9</v>
      </c>
      <c r="K9">
        <v>9.1</v>
      </c>
      <c r="L9">
        <v>16.8</v>
      </c>
      <c r="M9">
        <v>41.5</v>
      </c>
    </row>
    <row r="10" spans="1:13" x14ac:dyDescent="0.25">
      <c r="A10" t="s">
        <v>288</v>
      </c>
      <c r="B10">
        <v>35.6</v>
      </c>
      <c r="C10">
        <v>30</v>
      </c>
      <c r="D10">
        <v>32.299999999999997</v>
      </c>
      <c r="E10">
        <v>41.1</v>
      </c>
      <c r="F10">
        <v>1.3</v>
      </c>
      <c r="G10">
        <v>1.6</v>
      </c>
      <c r="H10">
        <v>6.3</v>
      </c>
      <c r="I10">
        <v>63.8</v>
      </c>
      <c r="J10">
        <v>19.100000000000001</v>
      </c>
      <c r="K10">
        <v>10.8</v>
      </c>
      <c r="L10">
        <v>15.6</v>
      </c>
      <c r="M10">
        <v>51.9</v>
      </c>
    </row>
    <row r="11" spans="1:13" x14ac:dyDescent="0.25">
      <c r="A11" t="s">
        <v>289</v>
      </c>
      <c r="B11">
        <v>26.5</v>
      </c>
      <c r="C11">
        <v>21.9</v>
      </c>
      <c r="D11">
        <v>26.6</v>
      </c>
      <c r="E11">
        <v>39</v>
      </c>
      <c r="F11">
        <v>1.5</v>
      </c>
      <c r="G11">
        <v>1.5</v>
      </c>
      <c r="H11">
        <v>5.6</v>
      </c>
      <c r="I11">
        <v>60.2</v>
      </c>
      <c r="J11">
        <v>21.9</v>
      </c>
      <c r="K11">
        <v>12.3</v>
      </c>
      <c r="L11">
        <v>17.399999999999999</v>
      </c>
      <c r="M11">
        <v>45.3</v>
      </c>
    </row>
    <row r="12" spans="1:13" x14ac:dyDescent="0.25">
      <c r="A12" t="s">
        <v>290</v>
      </c>
      <c r="B12">
        <v>36.1</v>
      </c>
      <c r="C12">
        <v>29.9</v>
      </c>
      <c r="D12">
        <v>38.700000000000003</v>
      </c>
      <c r="E12">
        <v>47.2</v>
      </c>
      <c r="F12">
        <v>1.2</v>
      </c>
      <c r="G12">
        <v>1.4</v>
      </c>
      <c r="H12">
        <v>6</v>
      </c>
      <c r="I12">
        <v>61.3</v>
      </c>
      <c r="J12">
        <v>21.2</v>
      </c>
      <c r="K12">
        <v>11.6</v>
      </c>
      <c r="L12">
        <v>17.2</v>
      </c>
      <c r="M12">
        <v>51.2</v>
      </c>
    </row>
    <row r="13" spans="1:13" x14ac:dyDescent="0.25">
      <c r="A13" t="s">
        <v>291</v>
      </c>
      <c r="B13">
        <v>18.899999999999999</v>
      </c>
      <c r="C13">
        <v>15.7</v>
      </c>
      <c r="D13">
        <v>30</v>
      </c>
      <c r="E13">
        <v>34.4</v>
      </c>
      <c r="F13">
        <v>1.1000000000000001</v>
      </c>
      <c r="G13">
        <v>1.7</v>
      </c>
      <c r="H13">
        <v>9.1</v>
      </c>
      <c r="I13">
        <v>60.8</v>
      </c>
      <c r="J13">
        <v>19.2</v>
      </c>
      <c r="K13">
        <v>10.9</v>
      </c>
      <c r="L13">
        <v>16.899999999999999</v>
      </c>
      <c r="M13">
        <v>48.3</v>
      </c>
    </row>
    <row r="14" spans="1:13" x14ac:dyDescent="0.25">
      <c r="A14" t="s">
        <v>292</v>
      </c>
      <c r="B14">
        <v>23.4</v>
      </c>
      <c r="C14">
        <v>20.3</v>
      </c>
      <c r="D14">
        <v>23.3</v>
      </c>
      <c r="E14">
        <v>32.4</v>
      </c>
      <c r="F14">
        <v>1.4</v>
      </c>
      <c r="G14">
        <v>1.9</v>
      </c>
      <c r="H14">
        <v>7.4</v>
      </c>
      <c r="I14">
        <v>61.2</v>
      </c>
      <c r="J14">
        <v>20.3</v>
      </c>
      <c r="K14">
        <v>11.1</v>
      </c>
      <c r="L14">
        <v>13.4</v>
      </c>
      <c r="M14">
        <v>45.6</v>
      </c>
    </row>
    <row r="15" spans="1:13" x14ac:dyDescent="0.25">
      <c r="A15" t="s">
        <v>293</v>
      </c>
      <c r="B15">
        <v>33.200000000000003</v>
      </c>
      <c r="C15">
        <v>28.9</v>
      </c>
      <c r="D15">
        <v>29.9</v>
      </c>
      <c r="E15">
        <v>42.8</v>
      </c>
      <c r="F15">
        <v>1.4</v>
      </c>
      <c r="G15">
        <v>1.3</v>
      </c>
      <c r="H15">
        <v>5</v>
      </c>
      <c r="I15">
        <v>71.5</v>
      </c>
      <c r="J15">
        <v>16.100000000000001</v>
      </c>
      <c r="K15">
        <v>7.4</v>
      </c>
      <c r="L15">
        <v>13</v>
      </c>
      <c r="M15">
        <v>59.7</v>
      </c>
    </row>
    <row r="16" spans="1:13" x14ac:dyDescent="0.25">
      <c r="A16" t="s">
        <v>294</v>
      </c>
      <c r="B16">
        <v>23.5</v>
      </c>
      <c r="C16">
        <v>21.9</v>
      </c>
      <c r="D16">
        <v>25.6</v>
      </c>
      <c r="E16">
        <v>33.799999999999997</v>
      </c>
      <c r="F16">
        <v>1.3</v>
      </c>
      <c r="G16">
        <v>1.9</v>
      </c>
      <c r="H16">
        <v>5.4</v>
      </c>
      <c r="I16">
        <v>69.099999999999994</v>
      </c>
      <c r="J16">
        <v>16.899999999999999</v>
      </c>
      <c r="K16">
        <v>8.6999999999999993</v>
      </c>
      <c r="L16">
        <v>6.8</v>
      </c>
      <c r="M16">
        <v>49.4</v>
      </c>
    </row>
    <row r="17" spans="1:13" x14ac:dyDescent="0.25">
      <c r="A17" t="s">
        <v>295</v>
      </c>
      <c r="B17">
        <v>35.1</v>
      </c>
      <c r="C17">
        <v>29</v>
      </c>
      <c r="D17">
        <v>27.6</v>
      </c>
      <c r="E17">
        <v>36.9</v>
      </c>
      <c r="F17">
        <v>1.3</v>
      </c>
      <c r="G17">
        <v>1.8</v>
      </c>
      <c r="H17">
        <v>6.1</v>
      </c>
      <c r="I17">
        <v>66</v>
      </c>
      <c r="J17">
        <v>18.600000000000001</v>
      </c>
      <c r="K17">
        <v>9.3000000000000007</v>
      </c>
      <c r="L17">
        <v>17.5</v>
      </c>
      <c r="M17">
        <v>42.9</v>
      </c>
    </row>
    <row r="18" spans="1:13" x14ac:dyDescent="0.25">
      <c r="A18" t="s">
        <v>296</v>
      </c>
      <c r="B18">
        <v>24.3</v>
      </c>
      <c r="C18">
        <v>21.3</v>
      </c>
      <c r="D18">
        <v>30.2</v>
      </c>
      <c r="E18">
        <v>38.200000000000003</v>
      </c>
      <c r="F18">
        <v>1.3</v>
      </c>
      <c r="G18">
        <v>1.6</v>
      </c>
      <c r="H18">
        <v>6</v>
      </c>
      <c r="I18">
        <v>60.7</v>
      </c>
      <c r="J18">
        <v>21.9</v>
      </c>
      <c r="K18">
        <v>11.4</v>
      </c>
      <c r="L18">
        <v>12.4</v>
      </c>
      <c r="M18">
        <v>50.4</v>
      </c>
    </row>
    <row r="19" spans="1:13" x14ac:dyDescent="0.25">
      <c r="A19" t="s">
        <v>297</v>
      </c>
      <c r="B19">
        <v>26.5</v>
      </c>
      <c r="C19">
        <v>23.6</v>
      </c>
      <c r="D19">
        <v>43</v>
      </c>
      <c r="E19">
        <v>60.6</v>
      </c>
      <c r="F19">
        <v>1.4</v>
      </c>
      <c r="G19">
        <v>1</v>
      </c>
      <c r="H19">
        <v>4</v>
      </c>
      <c r="I19">
        <v>55.2</v>
      </c>
      <c r="J19">
        <v>24</v>
      </c>
      <c r="K19">
        <v>16.8</v>
      </c>
      <c r="L19">
        <v>11.2</v>
      </c>
      <c r="M19">
        <v>55.6</v>
      </c>
    </row>
    <row r="20" spans="1:13" x14ac:dyDescent="0.25">
      <c r="A20" t="s">
        <v>298</v>
      </c>
      <c r="B20">
        <v>26.7</v>
      </c>
      <c r="C20">
        <v>22.9</v>
      </c>
      <c r="D20">
        <v>35.4</v>
      </c>
      <c r="E20">
        <v>40.700000000000003</v>
      </c>
      <c r="F20">
        <v>1.2</v>
      </c>
      <c r="G20">
        <v>1.5</v>
      </c>
      <c r="H20">
        <v>4.5</v>
      </c>
      <c r="I20">
        <v>63.8</v>
      </c>
      <c r="J20">
        <v>20.8</v>
      </c>
      <c r="K20">
        <v>10.9</v>
      </c>
      <c r="L20">
        <v>14.1</v>
      </c>
      <c r="M20">
        <v>48.5</v>
      </c>
    </row>
    <row r="21" spans="1:13" x14ac:dyDescent="0.25">
      <c r="A21" t="s">
        <v>299</v>
      </c>
      <c r="B21">
        <v>26.8</v>
      </c>
      <c r="C21">
        <v>23.1</v>
      </c>
      <c r="D21">
        <v>26.2</v>
      </c>
      <c r="E21">
        <v>32.1</v>
      </c>
      <c r="F21">
        <v>1.2</v>
      </c>
      <c r="G21">
        <v>1.8</v>
      </c>
      <c r="H21">
        <v>7.1</v>
      </c>
      <c r="I21">
        <v>64.900000000000006</v>
      </c>
      <c r="J21">
        <v>18.3</v>
      </c>
      <c r="K21">
        <v>9.8000000000000007</v>
      </c>
      <c r="L21">
        <v>13.8</v>
      </c>
      <c r="M21">
        <v>49.4</v>
      </c>
    </row>
    <row r="22" spans="1:13" x14ac:dyDescent="0.25">
      <c r="A22" t="s">
        <v>300</v>
      </c>
      <c r="B22">
        <v>41.3</v>
      </c>
      <c r="C22">
        <v>31.1</v>
      </c>
      <c r="D22">
        <v>35.1</v>
      </c>
      <c r="E22">
        <v>42.2</v>
      </c>
      <c r="F22">
        <v>1.2</v>
      </c>
      <c r="G22">
        <v>1.4</v>
      </c>
      <c r="H22">
        <v>6.9</v>
      </c>
      <c r="I22">
        <v>61.5</v>
      </c>
      <c r="J22">
        <v>21</v>
      </c>
      <c r="K22">
        <v>10.6</v>
      </c>
      <c r="L22">
        <v>24.7</v>
      </c>
      <c r="M22">
        <v>42.8</v>
      </c>
    </row>
    <row r="23" spans="1:13" x14ac:dyDescent="0.25">
      <c r="A23" t="s">
        <v>301</v>
      </c>
      <c r="B23">
        <v>35.5</v>
      </c>
      <c r="C23">
        <v>28.7</v>
      </c>
      <c r="D23">
        <v>33.200000000000003</v>
      </c>
      <c r="E23">
        <v>43.1</v>
      </c>
      <c r="F23">
        <v>1.3</v>
      </c>
      <c r="G23">
        <v>1.3</v>
      </c>
      <c r="H23">
        <v>7.1</v>
      </c>
      <c r="I23">
        <v>64.7</v>
      </c>
      <c r="J23">
        <v>18.399999999999999</v>
      </c>
      <c r="K23">
        <v>9.6999999999999993</v>
      </c>
      <c r="L23">
        <v>19</v>
      </c>
      <c r="M23">
        <v>46.2</v>
      </c>
    </row>
    <row r="24" spans="1:13" x14ac:dyDescent="0.25">
      <c r="A24" t="s">
        <v>302</v>
      </c>
      <c r="B24">
        <v>39.4</v>
      </c>
      <c r="C24">
        <v>35.799999999999997</v>
      </c>
      <c r="D24">
        <v>28.6</v>
      </c>
      <c r="E24">
        <v>43.3</v>
      </c>
      <c r="F24">
        <v>1.5</v>
      </c>
      <c r="G24">
        <v>1.4</v>
      </c>
      <c r="H24">
        <v>4.5999999999999996</v>
      </c>
      <c r="I24">
        <v>70.400000000000006</v>
      </c>
      <c r="J24">
        <v>16.600000000000001</v>
      </c>
      <c r="K24">
        <v>8.4</v>
      </c>
      <c r="L24">
        <v>9</v>
      </c>
      <c r="M24">
        <v>47.2</v>
      </c>
    </row>
    <row r="25" spans="1:13" x14ac:dyDescent="0.25">
      <c r="A25" t="s">
        <v>303</v>
      </c>
      <c r="B25">
        <v>46.9</v>
      </c>
      <c r="C25">
        <v>36.200000000000003</v>
      </c>
      <c r="D25">
        <v>36.6</v>
      </c>
      <c r="E25">
        <v>49.7</v>
      </c>
      <c r="F25">
        <v>1.4</v>
      </c>
      <c r="G25">
        <v>1.2</v>
      </c>
      <c r="H25">
        <v>10.199999999999999</v>
      </c>
      <c r="I25">
        <v>59.2</v>
      </c>
      <c r="J25">
        <v>19.3</v>
      </c>
      <c r="K25">
        <v>11.3</v>
      </c>
      <c r="L25">
        <v>22.8</v>
      </c>
      <c r="M25">
        <v>58.3</v>
      </c>
    </row>
    <row r="26" spans="1:13" x14ac:dyDescent="0.25">
      <c r="A26" t="s">
        <v>304</v>
      </c>
      <c r="B26">
        <v>27</v>
      </c>
      <c r="C26">
        <v>23.7</v>
      </c>
      <c r="D26">
        <v>21.3</v>
      </c>
      <c r="E26">
        <v>35.299999999999997</v>
      </c>
      <c r="F26">
        <v>1.7</v>
      </c>
      <c r="G26">
        <v>1.7</v>
      </c>
      <c r="H26">
        <v>3.6</v>
      </c>
      <c r="I26">
        <v>73.3</v>
      </c>
      <c r="J26">
        <v>15.5</v>
      </c>
      <c r="K26">
        <v>7.5</v>
      </c>
      <c r="L26">
        <v>12.1</v>
      </c>
      <c r="M26">
        <v>52.6</v>
      </c>
    </row>
    <row r="27" spans="1:13" x14ac:dyDescent="0.25">
      <c r="A27" t="s">
        <v>305</v>
      </c>
      <c r="B27">
        <v>32.4</v>
      </c>
      <c r="C27">
        <v>25.7</v>
      </c>
      <c r="D27">
        <v>34</v>
      </c>
      <c r="E27">
        <v>39.299999999999997</v>
      </c>
      <c r="F27">
        <v>1.2</v>
      </c>
      <c r="G27">
        <v>1.5</v>
      </c>
      <c r="H27">
        <v>5.7</v>
      </c>
      <c r="I27">
        <v>62.2</v>
      </c>
      <c r="J27">
        <v>21.7</v>
      </c>
      <c r="K27">
        <v>10.4</v>
      </c>
      <c r="L27">
        <v>20.6</v>
      </c>
      <c r="M27">
        <v>36.5</v>
      </c>
    </row>
    <row r="28" spans="1:13" x14ac:dyDescent="0.25">
      <c r="A28" t="s">
        <v>306</v>
      </c>
      <c r="B28">
        <v>30.9</v>
      </c>
      <c r="C28">
        <v>24.3</v>
      </c>
      <c r="D28">
        <v>33.9</v>
      </c>
      <c r="E28">
        <v>37</v>
      </c>
      <c r="F28">
        <v>1.1000000000000001</v>
      </c>
      <c r="G28">
        <v>1.8</v>
      </c>
      <c r="H28">
        <v>6.2</v>
      </c>
      <c r="I28">
        <v>56.8</v>
      </c>
      <c r="J28">
        <v>22.8</v>
      </c>
      <c r="K28">
        <v>14.2</v>
      </c>
      <c r="L28">
        <v>21.4</v>
      </c>
      <c r="M28">
        <v>38.1</v>
      </c>
    </row>
    <row r="29" spans="1:13" x14ac:dyDescent="0.25">
      <c r="A29" t="s">
        <v>307</v>
      </c>
      <c r="B29">
        <v>43.7</v>
      </c>
      <c r="C29">
        <v>35.4</v>
      </c>
      <c r="D29">
        <v>34.9</v>
      </c>
      <c r="E29">
        <v>45.3</v>
      </c>
      <c r="F29">
        <v>1.3</v>
      </c>
      <c r="G29">
        <v>1.3</v>
      </c>
      <c r="H29">
        <v>8</v>
      </c>
      <c r="I29">
        <v>64.2</v>
      </c>
      <c r="J29">
        <v>18.8</v>
      </c>
      <c r="K29">
        <v>9</v>
      </c>
      <c r="L29">
        <v>19</v>
      </c>
      <c r="M29">
        <v>51.2</v>
      </c>
    </row>
    <row r="30" spans="1:13" x14ac:dyDescent="0.25">
      <c r="A30" t="s">
        <v>266</v>
      </c>
      <c r="B30">
        <v>34.6</v>
      </c>
      <c r="C30">
        <v>28.4</v>
      </c>
      <c r="D30">
        <v>34.200000000000003</v>
      </c>
      <c r="E30">
        <v>43.9</v>
      </c>
      <c r="F30">
        <v>1.3</v>
      </c>
      <c r="G30">
        <v>1.4</v>
      </c>
      <c r="H30">
        <v>6.6</v>
      </c>
      <c r="I30">
        <v>62.1</v>
      </c>
      <c r="J30">
        <v>20.2</v>
      </c>
      <c r="K30">
        <v>11</v>
      </c>
      <c r="L30">
        <v>18</v>
      </c>
      <c r="M30">
        <v>49.2</v>
      </c>
    </row>
    <row r="31" spans="1:13" x14ac:dyDescent="0.25">
      <c r="A31" t="s">
        <v>308</v>
      </c>
      <c r="B31">
        <v>27.9</v>
      </c>
      <c r="C31">
        <v>23.9</v>
      </c>
      <c r="D31">
        <v>39</v>
      </c>
      <c r="E31">
        <v>50.5</v>
      </c>
      <c r="F31">
        <v>1.3</v>
      </c>
      <c r="G31">
        <v>1.2</v>
      </c>
      <c r="H31">
        <v>5.8</v>
      </c>
      <c r="I31">
        <v>55.1</v>
      </c>
      <c r="J31">
        <v>22.2</v>
      </c>
      <c r="K31">
        <v>16.8</v>
      </c>
      <c r="L31">
        <v>14.3</v>
      </c>
      <c r="M31">
        <v>55.6</v>
      </c>
    </row>
    <row r="32" spans="1:13" x14ac:dyDescent="0.25">
      <c r="A32" t="s">
        <v>309</v>
      </c>
      <c r="B32">
        <v>36.700000000000003</v>
      </c>
      <c r="C32">
        <v>29.7</v>
      </c>
      <c r="D32">
        <v>33.200000000000003</v>
      </c>
      <c r="E32">
        <v>42.6</v>
      </c>
      <c r="F32">
        <v>1.3</v>
      </c>
      <c r="G32">
        <v>1.4</v>
      </c>
      <c r="H32">
        <v>6.8</v>
      </c>
      <c r="I32">
        <v>63.8</v>
      </c>
      <c r="J32">
        <v>19.7</v>
      </c>
      <c r="K32">
        <v>9.6</v>
      </c>
      <c r="L32">
        <v>19.100000000000001</v>
      </c>
      <c r="M32">
        <v>47.3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4" max="4" width="8.28515625" customWidth="1"/>
    <col min="5" max="5" width="9.5703125" customWidth="1"/>
    <col min="7" max="7" width="8.28515625" customWidth="1"/>
    <col min="8" max="8" width="9.5703125" customWidth="1"/>
    <col min="10" max="10" width="8.28515625" customWidth="1"/>
    <col min="11" max="11" width="9" customWidth="1"/>
    <col min="13" max="13" width="8.5703125" customWidth="1"/>
  </cols>
  <sheetData>
    <row r="1" spans="1:14" x14ac:dyDescent="0.25">
      <c r="A1" s="29" t="s">
        <v>823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4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89.5</v>
      </c>
      <c r="C4">
        <v>4.9000000000000004</v>
      </c>
      <c r="D4">
        <v>5.5</v>
      </c>
      <c r="E4">
        <v>87.1</v>
      </c>
      <c r="F4">
        <v>0.9</v>
      </c>
      <c r="G4">
        <v>12.1</v>
      </c>
      <c r="H4">
        <v>85.5</v>
      </c>
      <c r="I4">
        <v>0.8</v>
      </c>
      <c r="J4">
        <v>13.8</v>
      </c>
      <c r="K4">
        <v>13425</v>
      </c>
      <c r="L4">
        <v>6483</v>
      </c>
      <c r="M4">
        <v>2846</v>
      </c>
    </row>
    <row r="5" spans="1:14" x14ac:dyDescent="0.25">
      <c r="A5" t="s">
        <v>284</v>
      </c>
      <c r="B5">
        <v>85.1</v>
      </c>
      <c r="C5">
        <v>6.9</v>
      </c>
      <c r="D5">
        <v>8</v>
      </c>
      <c r="E5">
        <v>82.1</v>
      </c>
      <c r="F5">
        <v>1.2</v>
      </c>
      <c r="G5">
        <v>16.7</v>
      </c>
      <c r="H5">
        <v>79.5</v>
      </c>
      <c r="I5">
        <v>1.3</v>
      </c>
      <c r="J5">
        <v>19.100000000000001</v>
      </c>
      <c r="K5">
        <v>17707</v>
      </c>
      <c r="L5">
        <v>8854</v>
      </c>
      <c r="M5">
        <v>3670</v>
      </c>
    </row>
    <row r="6" spans="1:14" x14ac:dyDescent="0.25">
      <c r="A6" t="s">
        <v>285</v>
      </c>
      <c r="B6">
        <v>80.900000000000006</v>
      </c>
      <c r="C6">
        <v>9.6999999999999993</v>
      </c>
      <c r="D6">
        <v>9.4</v>
      </c>
      <c r="E6">
        <v>80.099999999999994</v>
      </c>
      <c r="F6">
        <v>1.2</v>
      </c>
      <c r="G6">
        <v>18.7</v>
      </c>
      <c r="H6">
        <v>78.900000000000006</v>
      </c>
      <c r="I6">
        <v>1.3</v>
      </c>
      <c r="J6">
        <v>19.8</v>
      </c>
      <c r="K6">
        <v>12191</v>
      </c>
      <c r="L6">
        <v>7169</v>
      </c>
      <c r="M6">
        <v>3875</v>
      </c>
    </row>
    <row r="7" spans="1:14" x14ac:dyDescent="0.25">
      <c r="A7" t="s">
        <v>286</v>
      </c>
      <c r="B7">
        <v>87.7</v>
      </c>
      <c r="C7">
        <v>8.3000000000000007</v>
      </c>
      <c r="D7">
        <v>4</v>
      </c>
      <c r="E7">
        <v>81</v>
      </c>
      <c r="F7">
        <v>0.7</v>
      </c>
      <c r="G7">
        <v>18.3</v>
      </c>
      <c r="H7">
        <v>74</v>
      </c>
      <c r="I7">
        <v>1.1000000000000001</v>
      </c>
      <c r="J7">
        <v>24.9</v>
      </c>
      <c r="K7">
        <v>9809</v>
      </c>
      <c r="L7">
        <v>4566</v>
      </c>
      <c r="M7">
        <v>1835</v>
      </c>
    </row>
    <row r="8" spans="1:14" x14ac:dyDescent="0.25">
      <c r="A8" t="s">
        <v>287</v>
      </c>
      <c r="B8">
        <v>86.1</v>
      </c>
      <c r="C8">
        <v>5.7</v>
      </c>
      <c r="D8">
        <v>8.1999999999999993</v>
      </c>
      <c r="E8">
        <v>71.599999999999994</v>
      </c>
      <c r="F8">
        <v>0.7</v>
      </c>
      <c r="G8">
        <v>27.7</v>
      </c>
      <c r="H8">
        <v>68.5</v>
      </c>
      <c r="I8">
        <v>0.7</v>
      </c>
      <c r="J8">
        <v>30.8</v>
      </c>
      <c r="K8">
        <v>11387</v>
      </c>
      <c r="L8">
        <v>3827</v>
      </c>
      <c r="M8">
        <v>1599</v>
      </c>
    </row>
    <row r="9" spans="1:14" x14ac:dyDescent="0.25">
      <c r="A9" t="s">
        <v>288</v>
      </c>
      <c r="B9">
        <v>83.3</v>
      </c>
      <c r="C9">
        <v>7.7</v>
      </c>
      <c r="D9">
        <v>9</v>
      </c>
      <c r="E9">
        <v>81.2</v>
      </c>
      <c r="F9">
        <v>0.8</v>
      </c>
      <c r="G9">
        <v>18</v>
      </c>
      <c r="H9">
        <v>80.099999999999994</v>
      </c>
      <c r="I9">
        <v>0.8</v>
      </c>
      <c r="J9">
        <v>19.2</v>
      </c>
      <c r="K9">
        <v>8944</v>
      </c>
      <c r="L9">
        <v>5990</v>
      </c>
      <c r="M9">
        <v>2725</v>
      </c>
    </row>
    <row r="10" spans="1:14" x14ac:dyDescent="0.25">
      <c r="A10" t="s">
        <v>289</v>
      </c>
      <c r="B10">
        <v>88.3</v>
      </c>
      <c r="C10">
        <v>5.3</v>
      </c>
      <c r="D10">
        <v>6.4</v>
      </c>
      <c r="E10">
        <v>82.6</v>
      </c>
      <c r="F10">
        <v>1.5</v>
      </c>
      <c r="G10">
        <v>15.8</v>
      </c>
      <c r="H10">
        <v>79.5</v>
      </c>
      <c r="I10">
        <v>1.1000000000000001</v>
      </c>
      <c r="J10">
        <v>19.399999999999999</v>
      </c>
      <c r="K10">
        <v>9182</v>
      </c>
      <c r="L10">
        <v>5349</v>
      </c>
      <c r="M10">
        <v>2852</v>
      </c>
    </row>
    <row r="11" spans="1:14" x14ac:dyDescent="0.25">
      <c r="A11" t="s">
        <v>290</v>
      </c>
      <c r="B11">
        <v>84.9</v>
      </c>
      <c r="C11">
        <v>11.5</v>
      </c>
      <c r="D11">
        <v>3.6</v>
      </c>
      <c r="E11">
        <v>87.7</v>
      </c>
      <c r="F11">
        <v>1.1000000000000001</v>
      </c>
      <c r="G11">
        <v>11.2</v>
      </c>
      <c r="H11">
        <v>81.3</v>
      </c>
      <c r="I11">
        <v>0.9</v>
      </c>
      <c r="J11">
        <v>17.8</v>
      </c>
      <c r="K11">
        <v>21715</v>
      </c>
      <c r="L11">
        <v>11868</v>
      </c>
      <c r="M11">
        <v>5397</v>
      </c>
    </row>
    <row r="12" spans="1:14" x14ac:dyDescent="0.25">
      <c r="A12" t="s">
        <v>291</v>
      </c>
      <c r="B12">
        <v>87.4</v>
      </c>
      <c r="C12">
        <v>5.5</v>
      </c>
      <c r="D12">
        <v>7.1</v>
      </c>
      <c r="E12">
        <v>86.9</v>
      </c>
      <c r="F12">
        <v>2.8</v>
      </c>
      <c r="G12">
        <v>10.3</v>
      </c>
      <c r="H12">
        <v>90.4</v>
      </c>
      <c r="I12">
        <v>0.1</v>
      </c>
      <c r="J12">
        <v>9.5</v>
      </c>
      <c r="K12">
        <v>605</v>
      </c>
      <c r="L12">
        <v>324</v>
      </c>
      <c r="M12">
        <v>259</v>
      </c>
    </row>
    <row r="13" spans="1:14" x14ac:dyDescent="0.25">
      <c r="A13" t="s">
        <v>292</v>
      </c>
      <c r="B13">
        <v>84.2</v>
      </c>
      <c r="C13">
        <v>5.0999999999999996</v>
      </c>
      <c r="D13">
        <v>10.7</v>
      </c>
      <c r="E13">
        <v>83.4</v>
      </c>
      <c r="F13">
        <v>1.7</v>
      </c>
      <c r="G13">
        <v>14.9</v>
      </c>
      <c r="H13">
        <v>80.8</v>
      </c>
      <c r="I13">
        <v>0.5</v>
      </c>
      <c r="J13">
        <v>18.7</v>
      </c>
      <c r="K13">
        <v>1639</v>
      </c>
      <c r="L13">
        <v>1018</v>
      </c>
      <c r="M13">
        <v>527</v>
      </c>
    </row>
    <row r="14" spans="1:14" x14ac:dyDescent="0.25">
      <c r="A14" t="s">
        <v>293</v>
      </c>
      <c r="B14">
        <v>80</v>
      </c>
      <c r="C14">
        <v>9.8000000000000007</v>
      </c>
      <c r="D14">
        <v>10.199999999999999</v>
      </c>
      <c r="E14">
        <v>78.599999999999994</v>
      </c>
      <c r="F14">
        <v>1.3</v>
      </c>
      <c r="G14">
        <v>20.100000000000001</v>
      </c>
      <c r="H14">
        <v>83.1</v>
      </c>
      <c r="I14">
        <v>0.4</v>
      </c>
      <c r="J14">
        <v>16.5</v>
      </c>
      <c r="K14">
        <v>5259</v>
      </c>
      <c r="L14">
        <v>2410</v>
      </c>
      <c r="M14">
        <v>1273</v>
      </c>
    </row>
    <row r="15" spans="1:14" x14ac:dyDescent="0.25">
      <c r="A15" t="s">
        <v>294</v>
      </c>
      <c r="B15">
        <v>85</v>
      </c>
      <c r="C15">
        <v>7</v>
      </c>
      <c r="D15">
        <v>7.9</v>
      </c>
      <c r="E15">
        <v>84.8</v>
      </c>
      <c r="F15">
        <v>2.2999999999999998</v>
      </c>
      <c r="G15">
        <v>12.9</v>
      </c>
      <c r="H15">
        <v>88.9</v>
      </c>
      <c r="I15">
        <v>1.2</v>
      </c>
      <c r="J15">
        <v>9.9</v>
      </c>
      <c r="K15">
        <v>1503</v>
      </c>
      <c r="L15">
        <v>785</v>
      </c>
      <c r="M15">
        <v>359</v>
      </c>
    </row>
    <row r="16" spans="1:14" x14ac:dyDescent="0.25">
      <c r="A16" t="s">
        <v>295</v>
      </c>
      <c r="B16">
        <v>80.900000000000006</v>
      </c>
      <c r="C16">
        <v>8.5</v>
      </c>
      <c r="D16">
        <v>10.7</v>
      </c>
      <c r="E16">
        <v>81.400000000000006</v>
      </c>
      <c r="F16">
        <v>1.8</v>
      </c>
      <c r="G16">
        <v>16.8</v>
      </c>
      <c r="H16">
        <v>85.2</v>
      </c>
      <c r="I16">
        <v>2.2999999999999998</v>
      </c>
      <c r="J16">
        <v>12.5</v>
      </c>
      <c r="K16">
        <v>3048</v>
      </c>
      <c r="L16">
        <v>1989</v>
      </c>
      <c r="M16">
        <v>1203</v>
      </c>
    </row>
    <row r="17" spans="1:13" x14ac:dyDescent="0.25">
      <c r="A17" t="s">
        <v>296</v>
      </c>
      <c r="B17">
        <v>80.2</v>
      </c>
      <c r="C17">
        <v>8.1999999999999993</v>
      </c>
      <c r="D17">
        <v>11.6</v>
      </c>
      <c r="E17">
        <v>80.400000000000006</v>
      </c>
      <c r="F17">
        <v>2.2000000000000002</v>
      </c>
      <c r="G17">
        <v>17.399999999999999</v>
      </c>
      <c r="H17">
        <v>82.3</v>
      </c>
      <c r="I17">
        <v>2.1</v>
      </c>
      <c r="J17">
        <v>15.5</v>
      </c>
      <c r="K17">
        <v>882</v>
      </c>
      <c r="L17">
        <v>663</v>
      </c>
      <c r="M17">
        <v>355</v>
      </c>
    </row>
    <row r="18" spans="1:13" x14ac:dyDescent="0.25">
      <c r="A18" t="s">
        <v>297</v>
      </c>
      <c r="B18">
        <v>84.3</v>
      </c>
      <c r="C18">
        <v>5.5</v>
      </c>
      <c r="D18">
        <v>10.199999999999999</v>
      </c>
      <c r="E18">
        <v>85.8</v>
      </c>
      <c r="F18">
        <v>1.9</v>
      </c>
      <c r="G18">
        <v>12.3</v>
      </c>
      <c r="H18">
        <v>84.6</v>
      </c>
      <c r="I18">
        <v>1.8</v>
      </c>
      <c r="J18">
        <v>13.6</v>
      </c>
      <c r="K18">
        <v>14464</v>
      </c>
      <c r="L18">
        <v>10056</v>
      </c>
      <c r="M18">
        <v>6080</v>
      </c>
    </row>
    <row r="19" spans="1:13" x14ac:dyDescent="0.25">
      <c r="A19" t="s">
        <v>298</v>
      </c>
      <c r="B19">
        <v>82.9</v>
      </c>
      <c r="C19">
        <v>8.5</v>
      </c>
      <c r="D19">
        <v>8.6</v>
      </c>
      <c r="E19">
        <v>85.1</v>
      </c>
      <c r="F19">
        <v>1.8</v>
      </c>
      <c r="G19">
        <v>13.1</v>
      </c>
      <c r="H19">
        <v>86.2</v>
      </c>
      <c r="I19">
        <v>0.4</v>
      </c>
      <c r="J19">
        <v>13.4</v>
      </c>
      <c r="K19">
        <v>3011</v>
      </c>
      <c r="L19">
        <v>1682</v>
      </c>
      <c r="M19">
        <v>886</v>
      </c>
    </row>
    <row r="20" spans="1:13" x14ac:dyDescent="0.25">
      <c r="A20" t="s">
        <v>299</v>
      </c>
      <c r="B20">
        <v>80.7</v>
      </c>
      <c r="C20">
        <v>11</v>
      </c>
      <c r="D20">
        <v>8.3000000000000007</v>
      </c>
      <c r="E20">
        <v>85.1</v>
      </c>
      <c r="F20">
        <v>0.5</v>
      </c>
      <c r="G20">
        <v>14.4</v>
      </c>
      <c r="H20">
        <v>76.900000000000006</v>
      </c>
      <c r="I20">
        <v>0.5</v>
      </c>
      <c r="J20">
        <v>22.6</v>
      </c>
      <c r="K20">
        <v>3674</v>
      </c>
      <c r="L20">
        <v>2274</v>
      </c>
      <c r="M20">
        <v>893</v>
      </c>
    </row>
    <row r="21" spans="1:13" x14ac:dyDescent="0.25">
      <c r="A21" t="s">
        <v>300</v>
      </c>
      <c r="B21">
        <v>86</v>
      </c>
      <c r="C21">
        <v>7.8</v>
      </c>
      <c r="D21">
        <v>6.2</v>
      </c>
      <c r="E21">
        <v>81.099999999999994</v>
      </c>
      <c r="F21">
        <v>0.4</v>
      </c>
      <c r="G21">
        <v>18.5</v>
      </c>
      <c r="H21">
        <v>78.5</v>
      </c>
      <c r="I21">
        <v>0.9</v>
      </c>
      <c r="J21">
        <v>20.6</v>
      </c>
      <c r="K21">
        <v>17432</v>
      </c>
      <c r="L21">
        <v>8411</v>
      </c>
      <c r="M21">
        <v>4049</v>
      </c>
    </row>
    <row r="22" spans="1:13" x14ac:dyDescent="0.25">
      <c r="A22" t="s">
        <v>301</v>
      </c>
      <c r="B22">
        <v>83.7</v>
      </c>
      <c r="C22">
        <v>9.1999999999999993</v>
      </c>
      <c r="D22">
        <v>7.2</v>
      </c>
      <c r="E22">
        <v>85.2</v>
      </c>
      <c r="F22">
        <v>0.3</v>
      </c>
      <c r="G22">
        <v>14.5</v>
      </c>
      <c r="H22">
        <v>82.6</v>
      </c>
      <c r="I22">
        <v>1.1000000000000001</v>
      </c>
      <c r="J22">
        <v>16.3</v>
      </c>
      <c r="K22">
        <v>6976</v>
      </c>
      <c r="L22">
        <v>4001</v>
      </c>
      <c r="M22">
        <v>1990</v>
      </c>
    </row>
    <row r="23" spans="1:13" x14ac:dyDescent="0.25">
      <c r="A23" t="s">
        <v>302</v>
      </c>
      <c r="B23">
        <v>82.5</v>
      </c>
      <c r="C23">
        <v>5.4</v>
      </c>
      <c r="D23">
        <v>12.2</v>
      </c>
      <c r="E23">
        <v>79.3</v>
      </c>
      <c r="F23">
        <v>0.9</v>
      </c>
      <c r="G23">
        <v>19.8</v>
      </c>
      <c r="H23">
        <v>83.7</v>
      </c>
      <c r="I23">
        <v>0.5</v>
      </c>
      <c r="J23">
        <v>15.8</v>
      </c>
      <c r="K23">
        <v>3240</v>
      </c>
      <c r="L23">
        <v>1364</v>
      </c>
      <c r="M23">
        <v>864</v>
      </c>
    </row>
    <row r="24" spans="1:13" x14ac:dyDescent="0.25">
      <c r="A24" t="s">
        <v>303</v>
      </c>
      <c r="B24">
        <v>81.400000000000006</v>
      </c>
      <c r="C24">
        <v>9.5</v>
      </c>
      <c r="D24">
        <v>9.1</v>
      </c>
      <c r="E24">
        <v>81.5</v>
      </c>
      <c r="F24">
        <v>2.2999999999999998</v>
      </c>
      <c r="G24">
        <v>16.2</v>
      </c>
      <c r="H24">
        <v>82.2</v>
      </c>
      <c r="I24">
        <v>1.3</v>
      </c>
      <c r="J24">
        <v>16.5</v>
      </c>
      <c r="K24">
        <v>16030</v>
      </c>
      <c r="L24">
        <v>9484</v>
      </c>
      <c r="M24">
        <v>5108</v>
      </c>
    </row>
    <row r="25" spans="1:13" x14ac:dyDescent="0.25">
      <c r="A25" t="s">
        <v>304</v>
      </c>
      <c r="B25">
        <v>75.3</v>
      </c>
      <c r="C25">
        <v>12.8</v>
      </c>
      <c r="D25">
        <v>11.9</v>
      </c>
      <c r="E25">
        <v>78.400000000000006</v>
      </c>
      <c r="F25">
        <v>0.7</v>
      </c>
      <c r="G25">
        <v>20.9</v>
      </c>
      <c r="H25">
        <v>89.3</v>
      </c>
      <c r="I25">
        <v>0.5</v>
      </c>
      <c r="J25">
        <v>10.3</v>
      </c>
      <c r="K25">
        <v>1450</v>
      </c>
      <c r="L25">
        <v>904</v>
      </c>
      <c r="M25">
        <v>641</v>
      </c>
    </row>
    <row r="26" spans="1:13" x14ac:dyDescent="0.25">
      <c r="A26" t="s">
        <v>305</v>
      </c>
      <c r="B26">
        <v>88</v>
      </c>
      <c r="C26">
        <v>5.7</v>
      </c>
      <c r="D26">
        <v>6.3</v>
      </c>
      <c r="E26">
        <v>77.2</v>
      </c>
      <c r="F26">
        <v>0.5</v>
      </c>
      <c r="G26">
        <v>22.2</v>
      </c>
      <c r="H26">
        <v>74.8</v>
      </c>
      <c r="I26">
        <v>0.4</v>
      </c>
      <c r="J26">
        <v>24.8</v>
      </c>
      <c r="K26">
        <v>8772</v>
      </c>
      <c r="L26">
        <v>4028</v>
      </c>
      <c r="M26">
        <v>1835</v>
      </c>
    </row>
    <row r="27" spans="1:13" x14ac:dyDescent="0.25">
      <c r="A27" t="s">
        <v>306</v>
      </c>
      <c r="B27">
        <v>88.4</v>
      </c>
      <c r="C27">
        <v>7.7</v>
      </c>
      <c r="D27">
        <v>4</v>
      </c>
      <c r="E27">
        <v>86.7</v>
      </c>
      <c r="F27">
        <v>1.5</v>
      </c>
      <c r="G27">
        <v>11.8</v>
      </c>
      <c r="H27">
        <v>82.2</v>
      </c>
      <c r="I27">
        <v>0.9</v>
      </c>
      <c r="J27">
        <v>16.899999999999999</v>
      </c>
      <c r="K27">
        <v>15952</v>
      </c>
      <c r="L27">
        <v>10013</v>
      </c>
      <c r="M27">
        <v>5576</v>
      </c>
    </row>
    <row r="28" spans="1:13" x14ac:dyDescent="0.25">
      <c r="A28" t="s">
        <v>307</v>
      </c>
      <c r="B28">
        <v>80.900000000000006</v>
      </c>
      <c r="C28">
        <v>8.4</v>
      </c>
      <c r="D28">
        <v>10.8</v>
      </c>
      <c r="E28">
        <v>77.3</v>
      </c>
      <c r="F28">
        <v>1.4</v>
      </c>
      <c r="G28">
        <v>21.2</v>
      </c>
      <c r="H28">
        <v>77.900000000000006</v>
      </c>
      <c r="I28">
        <v>1.2</v>
      </c>
      <c r="J28">
        <v>20.9</v>
      </c>
      <c r="K28">
        <v>9422</v>
      </c>
      <c r="L28">
        <v>4303</v>
      </c>
      <c r="M28">
        <v>2207</v>
      </c>
    </row>
    <row r="29" spans="1:13" x14ac:dyDescent="0.25">
      <c r="A29" t="s">
        <v>266</v>
      </c>
      <c r="B29">
        <v>84.9</v>
      </c>
      <c r="C29">
        <v>8</v>
      </c>
      <c r="D29">
        <v>7.2</v>
      </c>
      <c r="E29">
        <v>82.2</v>
      </c>
      <c r="F29">
        <v>1.2</v>
      </c>
      <c r="G29">
        <v>16.600000000000001</v>
      </c>
      <c r="H29">
        <v>80.400000000000006</v>
      </c>
      <c r="I29">
        <v>1.1000000000000001</v>
      </c>
      <c r="J29">
        <v>18.5</v>
      </c>
      <c r="K29">
        <v>217719</v>
      </c>
      <c r="L29">
        <v>117815</v>
      </c>
      <c r="M29">
        <v>58904</v>
      </c>
    </row>
    <row r="30" spans="1:13" x14ac:dyDescent="0.25">
      <c r="A30" t="s">
        <v>459</v>
      </c>
      <c r="B30">
        <v>83.5</v>
      </c>
      <c r="C30">
        <v>7.4</v>
      </c>
      <c r="D30">
        <v>9</v>
      </c>
      <c r="E30">
        <v>86.2</v>
      </c>
      <c r="F30">
        <v>1.8</v>
      </c>
      <c r="G30">
        <v>11.9</v>
      </c>
      <c r="H30">
        <v>82.7</v>
      </c>
      <c r="I30">
        <v>1.5</v>
      </c>
      <c r="J30">
        <v>15.8</v>
      </c>
      <c r="K30">
        <v>36392</v>
      </c>
      <c r="L30">
        <v>26854</v>
      </c>
      <c r="M30">
        <v>17035</v>
      </c>
    </row>
    <row r="31" spans="1:13" x14ac:dyDescent="0.25">
      <c r="A31" t="s">
        <v>460</v>
      </c>
      <c r="B31">
        <v>84.5</v>
      </c>
      <c r="C31">
        <v>8</v>
      </c>
      <c r="D31">
        <v>7.4</v>
      </c>
      <c r="E31">
        <v>81.099999999999994</v>
      </c>
      <c r="F31">
        <v>1.1000000000000001</v>
      </c>
      <c r="G31">
        <v>17.8</v>
      </c>
      <c r="H31">
        <v>79.5</v>
      </c>
      <c r="I31">
        <v>0.9</v>
      </c>
      <c r="J31">
        <v>19.600000000000001</v>
      </c>
      <c r="K31">
        <v>181327</v>
      </c>
      <c r="L31">
        <v>90961</v>
      </c>
      <c r="M31">
        <v>41869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4" max="4" width="8.28515625" customWidth="1"/>
    <col min="5" max="5" width="9.5703125" customWidth="1"/>
    <col min="7" max="7" width="8.28515625" customWidth="1"/>
    <col min="8" max="8" width="9.5703125" customWidth="1"/>
    <col min="10" max="10" width="8.28515625" customWidth="1"/>
    <col min="11" max="11" width="9" customWidth="1"/>
    <col min="13" max="13" width="8.5703125" customWidth="1"/>
  </cols>
  <sheetData>
    <row r="1" spans="1:14" x14ac:dyDescent="0.25">
      <c r="A1" s="29" t="s">
        <v>824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4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90.7</v>
      </c>
      <c r="C4">
        <v>3.7</v>
      </c>
      <c r="D4">
        <v>5.7</v>
      </c>
      <c r="E4">
        <v>88.4</v>
      </c>
      <c r="F4">
        <v>0.5</v>
      </c>
      <c r="G4">
        <v>11.1</v>
      </c>
      <c r="H4">
        <v>88.2</v>
      </c>
      <c r="I4">
        <v>0.7</v>
      </c>
      <c r="J4">
        <v>11.1</v>
      </c>
      <c r="K4">
        <v>6887</v>
      </c>
      <c r="L4">
        <v>3695</v>
      </c>
      <c r="M4">
        <v>1828</v>
      </c>
    </row>
    <row r="5" spans="1:14" x14ac:dyDescent="0.25">
      <c r="A5" t="s">
        <v>284</v>
      </c>
      <c r="B5">
        <v>87.7</v>
      </c>
      <c r="C5">
        <v>5.3</v>
      </c>
      <c r="D5">
        <v>7.1</v>
      </c>
      <c r="E5">
        <v>83.3</v>
      </c>
      <c r="F5">
        <v>0.9</v>
      </c>
      <c r="G5">
        <v>15.8</v>
      </c>
      <c r="H5">
        <v>79.3</v>
      </c>
      <c r="I5">
        <v>1.3</v>
      </c>
      <c r="J5">
        <v>19.399999999999999</v>
      </c>
      <c r="K5">
        <v>9136</v>
      </c>
      <c r="L5">
        <v>4942</v>
      </c>
      <c r="M5">
        <v>2021</v>
      </c>
    </row>
    <row r="6" spans="1:14" x14ac:dyDescent="0.25">
      <c r="A6" t="s">
        <v>285</v>
      </c>
      <c r="B6">
        <v>86</v>
      </c>
      <c r="C6">
        <v>6.8</v>
      </c>
      <c r="D6">
        <v>7.3</v>
      </c>
      <c r="E6">
        <v>81.8</v>
      </c>
      <c r="F6">
        <v>0.9</v>
      </c>
      <c r="G6">
        <v>17.3</v>
      </c>
      <c r="H6">
        <v>79.599999999999994</v>
      </c>
      <c r="I6">
        <v>1.3</v>
      </c>
      <c r="J6">
        <v>19.100000000000001</v>
      </c>
      <c r="K6">
        <v>7119</v>
      </c>
      <c r="L6">
        <v>4070</v>
      </c>
      <c r="M6">
        <v>2335</v>
      </c>
    </row>
    <row r="7" spans="1:14" x14ac:dyDescent="0.25">
      <c r="A7" t="s">
        <v>286</v>
      </c>
      <c r="B7">
        <v>90.9</v>
      </c>
      <c r="C7">
        <v>5.5</v>
      </c>
      <c r="D7">
        <v>3.6</v>
      </c>
      <c r="E7">
        <v>81</v>
      </c>
      <c r="F7">
        <v>0.5</v>
      </c>
      <c r="G7">
        <v>18.5</v>
      </c>
      <c r="H7">
        <v>74.599999999999994</v>
      </c>
      <c r="I7">
        <v>1</v>
      </c>
      <c r="J7">
        <v>24.4</v>
      </c>
      <c r="K7">
        <v>5213</v>
      </c>
      <c r="L7">
        <v>2555</v>
      </c>
      <c r="M7">
        <v>1110</v>
      </c>
    </row>
    <row r="8" spans="1:14" x14ac:dyDescent="0.25">
      <c r="A8" t="s">
        <v>287</v>
      </c>
      <c r="B8">
        <v>86.3</v>
      </c>
      <c r="C8">
        <v>4.7</v>
      </c>
      <c r="D8">
        <v>9</v>
      </c>
      <c r="E8">
        <v>70.900000000000006</v>
      </c>
      <c r="F8">
        <v>0.4</v>
      </c>
      <c r="G8">
        <v>28.7</v>
      </c>
      <c r="H8">
        <v>69.3</v>
      </c>
      <c r="I8">
        <v>0.6</v>
      </c>
      <c r="J8">
        <v>30.1</v>
      </c>
      <c r="K8">
        <v>5753</v>
      </c>
      <c r="L8">
        <v>2106</v>
      </c>
      <c r="M8">
        <v>940</v>
      </c>
    </row>
    <row r="9" spans="1:14" x14ac:dyDescent="0.25">
      <c r="A9" t="s">
        <v>288</v>
      </c>
      <c r="B9">
        <v>86.4</v>
      </c>
      <c r="C9">
        <v>5.5</v>
      </c>
      <c r="D9">
        <v>8.1</v>
      </c>
      <c r="E9">
        <v>81.8</v>
      </c>
      <c r="F9">
        <v>0.5</v>
      </c>
      <c r="G9">
        <v>17.7</v>
      </c>
      <c r="H9">
        <v>80.8</v>
      </c>
      <c r="I9">
        <v>0.4</v>
      </c>
      <c r="J9">
        <v>18.8</v>
      </c>
      <c r="K9">
        <v>4790</v>
      </c>
      <c r="L9">
        <v>3480</v>
      </c>
      <c r="M9">
        <v>1606</v>
      </c>
    </row>
    <row r="10" spans="1:14" x14ac:dyDescent="0.25">
      <c r="A10" t="s">
        <v>289</v>
      </c>
      <c r="B10">
        <v>90.3</v>
      </c>
      <c r="C10">
        <v>3.9</v>
      </c>
      <c r="D10">
        <v>5.8</v>
      </c>
      <c r="E10">
        <v>83.4</v>
      </c>
      <c r="F10">
        <v>1</v>
      </c>
      <c r="G10">
        <v>15.6</v>
      </c>
      <c r="H10">
        <v>80.8</v>
      </c>
      <c r="I10">
        <v>0.9</v>
      </c>
      <c r="J10">
        <v>18.3</v>
      </c>
      <c r="K10">
        <v>4841</v>
      </c>
      <c r="L10">
        <v>2864</v>
      </c>
      <c r="M10">
        <v>1594</v>
      </c>
    </row>
    <row r="11" spans="1:14" x14ac:dyDescent="0.25">
      <c r="A11" t="s">
        <v>290</v>
      </c>
      <c r="B11">
        <v>87.7</v>
      </c>
      <c r="C11">
        <v>9</v>
      </c>
      <c r="D11">
        <v>3.4</v>
      </c>
      <c r="E11">
        <v>88.6</v>
      </c>
      <c r="F11">
        <v>0.7</v>
      </c>
      <c r="G11">
        <v>10.6</v>
      </c>
      <c r="H11">
        <v>83.1</v>
      </c>
      <c r="I11">
        <v>0.6</v>
      </c>
      <c r="J11">
        <v>16.2</v>
      </c>
      <c r="K11">
        <v>10900</v>
      </c>
      <c r="L11">
        <v>6506</v>
      </c>
      <c r="M11">
        <v>3362</v>
      </c>
    </row>
    <row r="12" spans="1:14" x14ac:dyDescent="0.25">
      <c r="A12" t="s">
        <v>291</v>
      </c>
      <c r="B12">
        <v>88.8</v>
      </c>
      <c r="C12">
        <v>3.6</v>
      </c>
      <c r="D12">
        <v>7.5</v>
      </c>
      <c r="E12">
        <v>88.8</v>
      </c>
      <c r="F12">
        <v>1.3</v>
      </c>
      <c r="G12">
        <v>9.9</v>
      </c>
      <c r="H12">
        <v>89.8</v>
      </c>
      <c r="I12">
        <v>0.2</v>
      </c>
      <c r="J12">
        <v>10</v>
      </c>
      <c r="K12">
        <v>338</v>
      </c>
      <c r="L12">
        <v>188</v>
      </c>
      <c r="M12">
        <v>141</v>
      </c>
    </row>
    <row r="13" spans="1:14" x14ac:dyDescent="0.25">
      <c r="A13" t="s">
        <v>292</v>
      </c>
      <c r="B13">
        <v>84.3</v>
      </c>
      <c r="C13">
        <v>4</v>
      </c>
      <c r="D13">
        <v>11.7</v>
      </c>
      <c r="E13">
        <v>83.9</v>
      </c>
      <c r="F13">
        <v>1</v>
      </c>
      <c r="G13">
        <v>15.1</v>
      </c>
      <c r="H13">
        <v>83.1</v>
      </c>
      <c r="I13">
        <v>0.5</v>
      </c>
      <c r="J13">
        <v>16.399999999999999</v>
      </c>
      <c r="K13">
        <v>802</v>
      </c>
      <c r="L13">
        <v>528</v>
      </c>
      <c r="M13">
        <v>289</v>
      </c>
    </row>
    <row r="14" spans="1:14" x14ac:dyDescent="0.25">
      <c r="A14" t="s">
        <v>293</v>
      </c>
      <c r="B14">
        <v>83.5</v>
      </c>
      <c r="C14">
        <v>7.5</v>
      </c>
      <c r="D14">
        <v>9</v>
      </c>
      <c r="E14">
        <v>79.599999999999994</v>
      </c>
      <c r="F14">
        <v>0.6</v>
      </c>
      <c r="G14">
        <v>19.8</v>
      </c>
      <c r="H14">
        <v>84.3</v>
      </c>
      <c r="I14">
        <v>0.4</v>
      </c>
      <c r="J14">
        <v>15.3</v>
      </c>
      <c r="K14">
        <v>2866</v>
      </c>
      <c r="L14">
        <v>1359</v>
      </c>
      <c r="M14">
        <v>764</v>
      </c>
    </row>
    <row r="15" spans="1:14" x14ac:dyDescent="0.25">
      <c r="A15" t="s">
        <v>294</v>
      </c>
      <c r="B15">
        <v>86.7</v>
      </c>
      <c r="C15">
        <v>5.2</v>
      </c>
      <c r="D15">
        <v>8.1</v>
      </c>
      <c r="E15">
        <v>82.6</v>
      </c>
      <c r="F15">
        <v>1.1000000000000001</v>
      </c>
      <c r="G15">
        <v>16.3</v>
      </c>
      <c r="H15">
        <v>89.2</v>
      </c>
      <c r="I15">
        <v>1.1000000000000001</v>
      </c>
      <c r="J15">
        <v>9.8000000000000007</v>
      </c>
      <c r="K15">
        <v>800</v>
      </c>
      <c r="L15">
        <v>356</v>
      </c>
      <c r="M15">
        <v>196</v>
      </c>
    </row>
    <row r="16" spans="1:14" x14ac:dyDescent="0.25">
      <c r="A16" t="s">
        <v>295</v>
      </c>
      <c r="B16">
        <v>82.2</v>
      </c>
      <c r="C16">
        <v>6.5</v>
      </c>
      <c r="D16">
        <v>11.3</v>
      </c>
      <c r="E16">
        <v>83</v>
      </c>
      <c r="F16">
        <v>1.2</v>
      </c>
      <c r="G16">
        <v>15.8</v>
      </c>
      <c r="H16">
        <v>86.7</v>
      </c>
      <c r="I16">
        <v>1.8</v>
      </c>
      <c r="J16">
        <v>11.5</v>
      </c>
      <c r="K16">
        <v>1608</v>
      </c>
      <c r="L16">
        <v>1036</v>
      </c>
      <c r="M16">
        <v>663</v>
      </c>
    </row>
    <row r="17" spans="1:13" x14ac:dyDescent="0.25">
      <c r="A17" t="s">
        <v>296</v>
      </c>
      <c r="B17">
        <v>81.599999999999994</v>
      </c>
      <c r="C17">
        <v>6.7</v>
      </c>
      <c r="D17">
        <v>11.7</v>
      </c>
      <c r="E17">
        <v>83.2</v>
      </c>
      <c r="F17">
        <v>1.4</v>
      </c>
      <c r="G17">
        <v>15.4</v>
      </c>
      <c r="H17">
        <v>84.5</v>
      </c>
      <c r="I17">
        <v>1.6</v>
      </c>
      <c r="J17">
        <v>13.9</v>
      </c>
      <c r="K17">
        <v>463</v>
      </c>
      <c r="L17">
        <v>400</v>
      </c>
      <c r="M17">
        <v>204</v>
      </c>
    </row>
    <row r="18" spans="1:13" x14ac:dyDescent="0.25">
      <c r="A18" t="s">
        <v>297</v>
      </c>
      <c r="B18">
        <v>85.4</v>
      </c>
      <c r="C18">
        <v>4.4000000000000004</v>
      </c>
      <c r="D18">
        <v>10.199999999999999</v>
      </c>
      <c r="E18">
        <v>85.8</v>
      </c>
      <c r="F18">
        <v>1.6</v>
      </c>
      <c r="G18">
        <v>12.6</v>
      </c>
      <c r="H18">
        <v>85.1</v>
      </c>
      <c r="I18">
        <v>1.5</v>
      </c>
      <c r="J18">
        <v>13.4</v>
      </c>
      <c r="K18">
        <v>7249</v>
      </c>
      <c r="L18">
        <v>5153</v>
      </c>
      <c r="M18">
        <v>3312</v>
      </c>
    </row>
    <row r="19" spans="1:13" x14ac:dyDescent="0.25">
      <c r="A19" t="s">
        <v>298</v>
      </c>
      <c r="B19">
        <v>84</v>
      </c>
      <c r="C19">
        <v>6.8</v>
      </c>
      <c r="D19">
        <v>9.3000000000000007</v>
      </c>
      <c r="E19">
        <v>85.2</v>
      </c>
      <c r="F19">
        <v>1.2</v>
      </c>
      <c r="G19">
        <v>13.6</v>
      </c>
      <c r="H19">
        <v>87.2</v>
      </c>
      <c r="I19">
        <v>0.2</v>
      </c>
      <c r="J19">
        <v>12.6</v>
      </c>
      <c r="K19">
        <v>1598</v>
      </c>
      <c r="L19">
        <v>902</v>
      </c>
      <c r="M19">
        <v>495</v>
      </c>
    </row>
    <row r="20" spans="1:13" x14ac:dyDescent="0.25">
      <c r="A20" t="s">
        <v>299</v>
      </c>
      <c r="B20">
        <v>82.6</v>
      </c>
      <c r="C20">
        <v>8.9</v>
      </c>
      <c r="D20">
        <v>8.6</v>
      </c>
      <c r="E20">
        <v>85.4</v>
      </c>
      <c r="F20">
        <v>0.3</v>
      </c>
      <c r="G20">
        <v>14.4</v>
      </c>
      <c r="H20">
        <v>78.900000000000006</v>
      </c>
      <c r="I20">
        <v>0.5</v>
      </c>
      <c r="J20">
        <v>20.6</v>
      </c>
      <c r="K20">
        <v>1978</v>
      </c>
      <c r="L20">
        <v>1315</v>
      </c>
      <c r="M20">
        <v>509</v>
      </c>
    </row>
    <row r="21" spans="1:13" x14ac:dyDescent="0.25">
      <c r="A21" t="s">
        <v>300</v>
      </c>
      <c r="B21">
        <v>87.3</v>
      </c>
      <c r="C21">
        <v>5.9</v>
      </c>
      <c r="D21">
        <v>6.8</v>
      </c>
      <c r="E21">
        <v>81.3</v>
      </c>
      <c r="F21">
        <v>0.3</v>
      </c>
      <c r="G21">
        <v>18.399999999999999</v>
      </c>
      <c r="H21">
        <v>80.5</v>
      </c>
      <c r="I21">
        <v>0.7</v>
      </c>
      <c r="J21">
        <v>18.8</v>
      </c>
      <c r="K21">
        <v>8724</v>
      </c>
      <c r="L21">
        <v>4636</v>
      </c>
      <c r="M21">
        <v>2482</v>
      </c>
    </row>
    <row r="22" spans="1:13" x14ac:dyDescent="0.25">
      <c r="A22" t="s">
        <v>301</v>
      </c>
      <c r="B22">
        <v>86.8</v>
      </c>
      <c r="C22">
        <v>6.7</v>
      </c>
      <c r="D22">
        <v>6.5</v>
      </c>
      <c r="E22">
        <v>86</v>
      </c>
      <c r="F22">
        <v>0.2</v>
      </c>
      <c r="G22">
        <v>13.7</v>
      </c>
      <c r="H22">
        <v>82.3</v>
      </c>
      <c r="I22">
        <v>0.9</v>
      </c>
      <c r="J22">
        <v>16.899999999999999</v>
      </c>
      <c r="K22">
        <v>3716</v>
      </c>
      <c r="L22">
        <v>2242</v>
      </c>
      <c r="M22">
        <v>1180</v>
      </c>
    </row>
    <row r="23" spans="1:13" x14ac:dyDescent="0.25">
      <c r="A23" t="s">
        <v>302</v>
      </c>
      <c r="B23">
        <v>82.6</v>
      </c>
      <c r="C23">
        <v>4.4000000000000004</v>
      </c>
      <c r="D23">
        <v>13</v>
      </c>
      <c r="E23">
        <v>81.400000000000006</v>
      </c>
      <c r="F23">
        <v>0.5</v>
      </c>
      <c r="G23">
        <v>18</v>
      </c>
      <c r="H23">
        <v>85.8</v>
      </c>
      <c r="I23">
        <v>0.5</v>
      </c>
      <c r="J23">
        <v>13.7</v>
      </c>
      <c r="K23">
        <v>1620</v>
      </c>
      <c r="L23">
        <v>672</v>
      </c>
      <c r="M23">
        <v>408</v>
      </c>
    </row>
    <row r="24" spans="1:13" x14ac:dyDescent="0.25">
      <c r="A24" t="s">
        <v>303</v>
      </c>
      <c r="B24">
        <v>84.4</v>
      </c>
      <c r="C24">
        <v>6.8</v>
      </c>
      <c r="D24">
        <v>8.8000000000000007</v>
      </c>
      <c r="E24">
        <v>84.2</v>
      </c>
      <c r="F24">
        <v>1.4</v>
      </c>
      <c r="G24">
        <v>14.4</v>
      </c>
      <c r="H24">
        <v>81.400000000000006</v>
      </c>
      <c r="I24">
        <v>1.1000000000000001</v>
      </c>
      <c r="J24">
        <v>17.600000000000001</v>
      </c>
      <c r="K24">
        <v>8679</v>
      </c>
      <c r="L24">
        <v>5580</v>
      </c>
      <c r="M24">
        <v>2739</v>
      </c>
    </row>
    <row r="25" spans="1:13" x14ac:dyDescent="0.25">
      <c r="A25" t="s">
        <v>304</v>
      </c>
      <c r="B25">
        <v>77.099999999999994</v>
      </c>
      <c r="C25">
        <v>10.8</v>
      </c>
      <c r="D25">
        <v>12.2</v>
      </c>
      <c r="E25">
        <v>79.3</v>
      </c>
      <c r="F25">
        <v>0.4</v>
      </c>
      <c r="G25">
        <v>20.3</v>
      </c>
      <c r="H25">
        <v>94.1</v>
      </c>
      <c r="I25">
        <v>0.3</v>
      </c>
      <c r="J25">
        <v>5.6</v>
      </c>
      <c r="K25">
        <v>793</v>
      </c>
      <c r="L25">
        <v>497</v>
      </c>
      <c r="M25">
        <v>347</v>
      </c>
    </row>
    <row r="26" spans="1:13" x14ac:dyDescent="0.25">
      <c r="A26" t="s">
        <v>305</v>
      </c>
      <c r="B26">
        <v>89</v>
      </c>
      <c r="C26">
        <v>4.0999999999999996</v>
      </c>
      <c r="D26">
        <v>6.9</v>
      </c>
      <c r="E26">
        <v>75.7</v>
      </c>
      <c r="F26">
        <v>0.3</v>
      </c>
      <c r="G26">
        <v>24</v>
      </c>
      <c r="H26">
        <v>74.3</v>
      </c>
      <c r="I26">
        <v>0.2</v>
      </c>
      <c r="J26">
        <v>25.4</v>
      </c>
      <c r="K26">
        <v>4404</v>
      </c>
      <c r="L26">
        <v>2115</v>
      </c>
      <c r="M26">
        <v>1010</v>
      </c>
    </row>
    <row r="27" spans="1:13" x14ac:dyDescent="0.25">
      <c r="A27" t="s">
        <v>306</v>
      </c>
      <c r="B27">
        <v>90.1</v>
      </c>
      <c r="C27">
        <v>5.6</v>
      </c>
      <c r="D27">
        <v>4.3</v>
      </c>
      <c r="E27">
        <v>86.5</v>
      </c>
      <c r="F27">
        <v>1.2</v>
      </c>
      <c r="G27">
        <v>12.4</v>
      </c>
      <c r="H27">
        <v>82.9</v>
      </c>
      <c r="I27">
        <v>0.9</v>
      </c>
      <c r="J27">
        <v>16.2</v>
      </c>
      <c r="K27">
        <v>8130</v>
      </c>
      <c r="L27">
        <v>5152</v>
      </c>
      <c r="M27">
        <v>3098</v>
      </c>
    </row>
    <row r="28" spans="1:13" x14ac:dyDescent="0.25">
      <c r="A28" t="s">
        <v>307</v>
      </c>
      <c r="B28">
        <v>82.4</v>
      </c>
      <c r="C28">
        <v>6.5</v>
      </c>
      <c r="D28">
        <v>11.1</v>
      </c>
      <c r="E28">
        <v>78.2</v>
      </c>
      <c r="F28">
        <v>1</v>
      </c>
      <c r="G28">
        <v>20.8</v>
      </c>
      <c r="H28">
        <v>78.400000000000006</v>
      </c>
      <c r="I28">
        <v>0.9</v>
      </c>
      <c r="J28">
        <v>20.7</v>
      </c>
      <c r="K28">
        <v>4938</v>
      </c>
      <c r="L28">
        <v>2496</v>
      </c>
      <c r="M28">
        <v>1307</v>
      </c>
    </row>
    <row r="29" spans="1:13" x14ac:dyDescent="0.25">
      <c r="A29" t="s">
        <v>266</v>
      </c>
      <c r="B29">
        <v>88.2</v>
      </c>
      <c r="C29">
        <v>6.1</v>
      </c>
      <c r="D29">
        <v>5.7</v>
      </c>
      <c r="E29">
        <v>82.9</v>
      </c>
      <c r="F29">
        <v>0.8</v>
      </c>
      <c r="G29">
        <v>16.3</v>
      </c>
      <c r="H29">
        <v>81.2</v>
      </c>
      <c r="I29">
        <v>0.9</v>
      </c>
      <c r="J29">
        <v>17.899999999999999</v>
      </c>
      <c r="K29">
        <v>113345</v>
      </c>
      <c r="L29">
        <v>64845</v>
      </c>
      <c r="M29">
        <v>33940</v>
      </c>
    </row>
    <row r="30" spans="1:13" x14ac:dyDescent="0.25">
      <c r="A30" t="s">
        <v>459</v>
      </c>
      <c r="B30">
        <v>85.3</v>
      </c>
      <c r="C30">
        <v>5.9</v>
      </c>
      <c r="D30">
        <v>8.8000000000000007</v>
      </c>
      <c r="E30">
        <v>86.9</v>
      </c>
      <c r="F30">
        <v>1.4</v>
      </c>
      <c r="G30">
        <v>11.8</v>
      </c>
      <c r="H30">
        <v>83.4</v>
      </c>
      <c r="I30">
        <v>1.2</v>
      </c>
      <c r="J30">
        <v>15.4</v>
      </c>
      <c r="K30">
        <v>18570</v>
      </c>
      <c r="L30">
        <v>14149</v>
      </c>
      <c r="M30">
        <v>9315</v>
      </c>
    </row>
    <row r="31" spans="1:13" x14ac:dyDescent="0.25">
      <c r="A31" t="s">
        <v>460</v>
      </c>
      <c r="B31">
        <v>86.7</v>
      </c>
      <c r="C31">
        <v>6</v>
      </c>
      <c r="D31">
        <v>7.3</v>
      </c>
      <c r="E31">
        <v>81.8</v>
      </c>
      <c r="F31">
        <v>0.7</v>
      </c>
      <c r="G31">
        <v>17.5</v>
      </c>
      <c r="H31">
        <v>80.3</v>
      </c>
      <c r="I31">
        <v>0.8</v>
      </c>
      <c r="J31">
        <v>18.899999999999999</v>
      </c>
      <c r="K31">
        <v>94775</v>
      </c>
      <c r="L31">
        <v>50696</v>
      </c>
      <c r="M31">
        <v>24625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tabColor rgb="FF00B0F0"/>
  </sheetPr>
  <dimension ref="A1:N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10" max="10" width="8.28515625" customWidth="1"/>
    <col min="11" max="11" width="7.7109375" customWidth="1"/>
    <col min="13" max="13" width="8.5703125" customWidth="1"/>
  </cols>
  <sheetData>
    <row r="1" spans="1:14" x14ac:dyDescent="0.25">
      <c r="A1" s="29" t="s">
        <v>825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29" t="s">
        <v>709</v>
      </c>
      <c r="B2" s="29" t="s">
        <v>620</v>
      </c>
      <c r="C2" s="29"/>
      <c r="D2" s="29"/>
      <c r="E2" s="29" t="s">
        <v>621</v>
      </c>
      <c r="F2" s="29"/>
      <c r="G2" s="29"/>
      <c r="H2" s="29" t="s">
        <v>622</v>
      </c>
      <c r="I2" s="29"/>
      <c r="J2" s="29"/>
      <c r="K2" s="29" t="s">
        <v>623</v>
      </c>
      <c r="L2" s="29"/>
      <c r="M2" s="29"/>
    </row>
    <row r="3" spans="1:14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339</v>
      </c>
      <c r="L3" t="s">
        <v>342</v>
      </c>
      <c r="M3" t="s">
        <v>345</v>
      </c>
    </row>
    <row r="4" spans="1:14" x14ac:dyDescent="0.25">
      <c r="A4" t="s">
        <v>283</v>
      </c>
      <c r="B4">
        <v>88.4</v>
      </c>
      <c r="C4">
        <v>6.2</v>
      </c>
      <c r="D4">
        <v>5.4</v>
      </c>
      <c r="E4">
        <v>85.6</v>
      </c>
      <c r="F4">
        <v>1.2</v>
      </c>
      <c r="G4">
        <v>13.2</v>
      </c>
      <c r="H4">
        <v>81.900000000000006</v>
      </c>
      <c r="I4">
        <v>0.8</v>
      </c>
      <c r="J4">
        <v>17.3</v>
      </c>
      <c r="K4">
        <v>6538</v>
      </c>
      <c r="L4">
        <v>2788</v>
      </c>
      <c r="M4">
        <v>1018</v>
      </c>
    </row>
    <row r="5" spans="1:14" x14ac:dyDescent="0.25">
      <c r="A5" t="s">
        <v>284</v>
      </c>
      <c r="B5">
        <v>82.6</v>
      </c>
      <c r="C5">
        <v>8.5</v>
      </c>
      <c r="D5">
        <v>8.9</v>
      </c>
      <c r="E5">
        <v>80.7</v>
      </c>
      <c r="F5">
        <v>1.5</v>
      </c>
      <c r="G5">
        <v>17.8</v>
      </c>
      <c r="H5">
        <v>79.8</v>
      </c>
      <c r="I5">
        <v>1.4</v>
      </c>
      <c r="J5">
        <v>18.8</v>
      </c>
      <c r="K5">
        <v>8571</v>
      </c>
      <c r="L5">
        <v>3912</v>
      </c>
      <c r="M5">
        <v>1649</v>
      </c>
    </row>
    <row r="6" spans="1:14" x14ac:dyDescent="0.25">
      <c r="A6" t="s">
        <v>285</v>
      </c>
      <c r="B6">
        <v>75.400000000000006</v>
      </c>
      <c r="C6">
        <v>12.9</v>
      </c>
      <c r="D6">
        <v>11.7</v>
      </c>
      <c r="E6">
        <v>78</v>
      </c>
      <c r="F6">
        <v>1.6</v>
      </c>
      <c r="G6">
        <v>20.399999999999999</v>
      </c>
      <c r="H6">
        <v>78</v>
      </c>
      <c r="I6">
        <v>1.3</v>
      </c>
      <c r="J6">
        <v>20.7</v>
      </c>
      <c r="K6">
        <v>5072</v>
      </c>
      <c r="L6">
        <v>3099</v>
      </c>
      <c r="M6">
        <v>1540</v>
      </c>
    </row>
    <row r="7" spans="1:14" x14ac:dyDescent="0.25">
      <c r="A7" t="s">
        <v>286</v>
      </c>
      <c r="B7">
        <v>84.4</v>
      </c>
      <c r="C7">
        <v>11.1</v>
      </c>
      <c r="D7">
        <v>4.5</v>
      </c>
      <c r="E7">
        <v>81</v>
      </c>
      <c r="F7">
        <v>0.9</v>
      </c>
      <c r="G7">
        <v>18</v>
      </c>
      <c r="H7">
        <v>73.2</v>
      </c>
      <c r="I7">
        <v>1.3</v>
      </c>
      <c r="J7">
        <v>25.6</v>
      </c>
      <c r="K7">
        <v>4596</v>
      </c>
      <c r="L7">
        <v>2011</v>
      </c>
      <c r="M7">
        <v>725</v>
      </c>
    </row>
    <row r="8" spans="1:14" x14ac:dyDescent="0.25">
      <c r="A8" t="s">
        <v>287</v>
      </c>
      <c r="B8">
        <v>85.9</v>
      </c>
      <c r="C8">
        <v>6.7</v>
      </c>
      <c r="D8">
        <v>7.4</v>
      </c>
      <c r="E8">
        <v>72.3</v>
      </c>
      <c r="F8">
        <v>1.2</v>
      </c>
      <c r="G8">
        <v>26.5</v>
      </c>
      <c r="H8">
        <v>67.7</v>
      </c>
      <c r="I8">
        <v>0.9</v>
      </c>
      <c r="J8">
        <v>31.5</v>
      </c>
      <c r="K8">
        <v>5634</v>
      </c>
      <c r="L8">
        <v>1721</v>
      </c>
      <c r="M8">
        <v>659</v>
      </c>
    </row>
    <row r="9" spans="1:14" x14ac:dyDescent="0.25">
      <c r="A9" t="s">
        <v>288</v>
      </c>
      <c r="B9">
        <v>79.8</v>
      </c>
      <c r="C9">
        <v>10.1</v>
      </c>
      <c r="D9">
        <v>10</v>
      </c>
      <c r="E9">
        <v>80.5</v>
      </c>
      <c r="F9">
        <v>1.2</v>
      </c>
      <c r="G9">
        <v>18.3</v>
      </c>
      <c r="H9">
        <v>79.099999999999994</v>
      </c>
      <c r="I9">
        <v>1.2</v>
      </c>
      <c r="J9">
        <v>19.7</v>
      </c>
      <c r="K9">
        <v>4154</v>
      </c>
      <c r="L9">
        <v>2510</v>
      </c>
      <c r="M9">
        <v>1119</v>
      </c>
    </row>
    <row r="10" spans="1:14" x14ac:dyDescent="0.25">
      <c r="A10" t="s">
        <v>289</v>
      </c>
      <c r="B10">
        <v>86.5</v>
      </c>
      <c r="C10">
        <v>6.6</v>
      </c>
      <c r="D10">
        <v>6.9</v>
      </c>
      <c r="E10">
        <v>81.7</v>
      </c>
      <c r="F10">
        <v>2.2000000000000002</v>
      </c>
      <c r="G10">
        <v>16.100000000000001</v>
      </c>
      <c r="H10">
        <v>78.099999999999994</v>
      </c>
      <c r="I10">
        <v>1.3</v>
      </c>
      <c r="J10">
        <v>20.6</v>
      </c>
      <c r="K10">
        <v>4341</v>
      </c>
      <c r="L10">
        <v>2485</v>
      </c>
      <c r="M10">
        <v>1258</v>
      </c>
    </row>
    <row r="11" spans="1:14" x14ac:dyDescent="0.25">
      <c r="A11" t="s">
        <v>290</v>
      </c>
      <c r="B11">
        <v>82.4</v>
      </c>
      <c r="C11">
        <v>13.9</v>
      </c>
      <c r="D11">
        <v>3.7</v>
      </c>
      <c r="E11">
        <v>86.7</v>
      </c>
      <c r="F11">
        <v>1.5</v>
      </c>
      <c r="G11">
        <v>11.8</v>
      </c>
      <c r="H11">
        <v>78.900000000000006</v>
      </c>
      <c r="I11">
        <v>1.3</v>
      </c>
      <c r="J11">
        <v>19.8</v>
      </c>
      <c r="K11">
        <v>10815</v>
      </c>
      <c r="L11">
        <v>5362</v>
      </c>
      <c r="M11">
        <v>2035</v>
      </c>
    </row>
    <row r="12" spans="1:14" x14ac:dyDescent="0.25">
      <c r="A12" t="s">
        <v>291</v>
      </c>
      <c r="B12">
        <v>85.9</v>
      </c>
      <c r="C12">
        <v>7.3</v>
      </c>
      <c r="D12">
        <v>6.8</v>
      </c>
      <c r="E12">
        <v>84.9</v>
      </c>
      <c r="F12">
        <v>4.4000000000000004</v>
      </c>
      <c r="G12">
        <v>10.7</v>
      </c>
      <c r="H12">
        <v>91</v>
      </c>
      <c r="I12">
        <v>0</v>
      </c>
      <c r="J12">
        <v>9</v>
      </c>
      <c r="K12">
        <v>267</v>
      </c>
      <c r="L12">
        <v>136</v>
      </c>
      <c r="M12">
        <v>118</v>
      </c>
    </row>
    <row r="13" spans="1:14" x14ac:dyDescent="0.25">
      <c r="A13" t="s">
        <v>292</v>
      </c>
      <c r="B13">
        <v>84.1</v>
      </c>
      <c r="C13">
        <v>6</v>
      </c>
      <c r="D13">
        <v>9.8000000000000007</v>
      </c>
      <c r="E13">
        <v>83</v>
      </c>
      <c r="F13">
        <v>2.5</v>
      </c>
      <c r="G13">
        <v>14.6</v>
      </c>
      <c r="H13">
        <v>78.3</v>
      </c>
      <c r="I13">
        <v>0.6</v>
      </c>
      <c r="J13">
        <v>21.1</v>
      </c>
      <c r="K13">
        <v>837</v>
      </c>
      <c r="L13">
        <v>490</v>
      </c>
      <c r="M13">
        <v>238</v>
      </c>
    </row>
    <row r="14" spans="1:14" x14ac:dyDescent="0.25">
      <c r="A14" t="s">
        <v>293</v>
      </c>
      <c r="B14">
        <v>76.2</v>
      </c>
      <c r="C14">
        <v>12.4</v>
      </c>
      <c r="D14">
        <v>11.4</v>
      </c>
      <c r="E14">
        <v>77.400000000000006</v>
      </c>
      <c r="F14">
        <v>2.1</v>
      </c>
      <c r="G14">
        <v>20.5</v>
      </c>
      <c r="H14">
        <v>81.599999999999994</v>
      </c>
      <c r="I14">
        <v>0.4</v>
      </c>
      <c r="J14">
        <v>18</v>
      </c>
      <c r="K14">
        <v>2393</v>
      </c>
      <c r="L14">
        <v>1051</v>
      </c>
      <c r="M14">
        <v>509</v>
      </c>
    </row>
    <row r="15" spans="1:14" x14ac:dyDescent="0.25">
      <c r="A15" t="s">
        <v>294</v>
      </c>
      <c r="B15">
        <v>83.2</v>
      </c>
      <c r="C15">
        <v>9.1</v>
      </c>
      <c r="D15">
        <v>7.7</v>
      </c>
      <c r="E15">
        <v>87.3</v>
      </c>
      <c r="F15">
        <v>3.7</v>
      </c>
      <c r="G15">
        <v>9</v>
      </c>
      <c r="H15">
        <v>88.5</v>
      </c>
      <c r="I15">
        <v>1.4</v>
      </c>
      <c r="J15">
        <v>10.1</v>
      </c>
      <c r="K15">
        <v>703</v>
      </c>
      <c r="L15">
        <v>429</v>
      </c>
      <c r="M15">
        <v>163</v>
      </c>
    </row>
    <row r="16" spans="1:14" x14ac:dyDescent="0.25">
      <c r="A16" t="s">
        <v>295</v>
      </c>
      <c r="B16">
        <v>79.599999999999994</v>
      </c>
      <c r="C16">
        <v>10.3</v>
      </c>
      <c r="D16">
        <v>10.1</v>
      </c>
      <c r="E16">
        <v>79.7</v>
      </c>
      <c r="F16">
        <v>2.5</v>
      </c>
      <c r="G16">
        <v>17.8</v>
      </c>
      <c r="H16">
        <v>83.5</v>
      </c>
      <c r="I16">
        <v>2.9</v>
      </c>
      <c r="J16">
        <v>13.7</v>
      </c>
      <c r="K16">
        <v>1440</v>
      </c>
      <c r="L16">
        <v>953</v>
      </c>
      <c r="M16">
        <v>540</v>
      </c>
    </row>
    <row r="17" spans="1:13" x14ac:dyDescent="0.25">
      <c r="A17" t="s">
        <v>296</v>
      </c>
      <c r="B17">
        <v>78.900000000000006</v>
      </c>
      <c r="C17">
        <v>9.6999999999999993</v>
      </c>
      <c r="D17">
        <v>11.4</v>
      </c>
      <c r="E17">
        <v>77.2</v>
      </c>
      <c r="F17">
        <v>3</v>
      </c>
      <c r="G17">
        <v>19.8</v>
      </c>
      <c r="H17">
        <v>79.7</v>
      </c>
      <c r="I17">
        <v>2.8</v>
      </c>
      <c r="J17">
        <v>17.5</v>
      </c>
      <c r="K17">
        <v>419</v>
      </c>
      <c r="L17">
        <v>263</v>
      </c>
      <c r="M17">
        <v>151</v>
      </c>
    </row>
    <row r="18" spans="1:13" x14ac:dyDescent="0.25">
      <c r="A18" t="s">
        <v>297</v>
      </c>
      <c r="B18">
        <v>83.4</v>
      </c>
      <c r="C18">
        <v>6.5</v>
      </c>
      <c r="D18">
        <v>10.1</v>
      </c>
      <c r="E18">
        <v>85.7</v>
      </c>
      <c r="F18">
        <v>2.2999999999999998</v>
      </c>
      <c r="G18">
        <v>12</v>
      </c>
      <c r="H18">
        <v>84.1</v>
      </c>
      <c r="I18">
        <v>2.1</v>
      </c>
      <c r="J18">
        <v>13.8</v>
      </c>
      <c r="K18">
        <v>7215</v>
      </c>
      <c r="L18">
        <v>4903</v>
      </c>
      <c r="M18">
        <v>2768</v>
      </c>
    </row>
    <row r="19" spans="1:13" x14ac:dyDescent="0.25">
      <c r="A19" t="s">
        <v>298</v>
      </c>
      <c r="B19">
        <v>81.900000000000006</v>
      </c>
      <c r="C19">
        <v>10.199999999999999</v>
      </c>
      <c r="D19">
        <v>7.9</v>
      </c>
      <c r="E19">
        <v>84.9</v>
      </c>
      <c r="F19">
        <v>2.4</v>
      </c>
      <c r="G19">
        <v>12.6</v>
      </c>
      <c r="H19">
        <v>85.1</v>
      </c>
      <c r="I19">
        <v>0.7</v>
      </c>
      <c r="J19">
        <v>14.2</v>
      </c>
      <c r="K19">
        <v>1413</v>
      </c>
      <c r="L19">
        <v>780</v>
      </c>
      <c r="M19">
        <v>391</v>
      </c>
    </row>
    <row r="20" spans="1:13" x14ac:dyDescent="0.25">
      <c r="A20" t="s">
        <v>299</v>
      </c>
      <c r="B20">
        <v>78.7</v>
      </c>
      <c r="C20">
        <v>13.2</v>
      </c>
      <c r="D20">
        <v>8.1</v>
      </c>
      <c r="E20">
        <v>84.9</v>
      </c>
      <c r="F20">
        <v>0.7</v>
      </c>
      <c r="G20">
        <v>14.4</v>
      </c>
      <c r="H20">
        <v>74.599999999999994</v>
      </c>
      <c r="I20">
        <v>0.5</v>
      </c>
      <c r="J20">
        <v>25</v>
      </c>
      <c r="K20">
        <v>1696</v>
      </c>
      <c r="L20">
        <v>959</v>
      </c>
      <c r="M20">
        <v>384</v>
      </c>
    </row>
    <row r="21" spans="1:13" x14ac:dyDescent="0.25">
      <c r="A21" t="s">
        <v>300</v>
      </c>
      <c r="B21">
        <v>84.8</v>
      </c>
      <c r="C21">
        <v>9.6</v>
      </c>
      <c r="D21">
        <v>5.7</v>
      </c>
      <c r="E21">
        <v>80.900000000000006</v>
      </c>
      <c r="F21">
        <v>0.5</v>
      </c>
      <c r="G21">
        <v>18.600000000000001</v>
      </c>
      <c r="H21">
        <v>76.099999999999994</v>
      </c>
      <c r="I21">
        <v>1.2</v>
      </c>
      <c r="J21">
        <v>22.7</v>
      </c>
      <c r="K21">
        <v>8708</v>
      </c>
      <c r="L21">
        <v>3775</v>
      </c>
      <c r="M21">
        <v>1567</v>
      </c>
    </row>
    <row r="22" spans="1:13" x14ac:dyDescent="0.25">
      <c r="A22" t="s">
        <v>301</v>
      </c>
      <c r="B22">
        <v>80.099999999999994</v>
      </c>
      <c r="C22">
        <v>12</v>
      </c>
      <c r="D22">
        <v>7.9</v>
      </c>
      <c r="E22">
        <v>84.2</v>
      </c>
      <c r="F22">
        <v>0.4</v>
      </c>
      <c r="G22">
        <v>15.4</v>
      </c>
      <c r="H22">
        <v>83</v>
      </c>
      <c r="I22">
        <v>1.4</v>
      </c>
      <c r="J22">
        <v>15.7</v>
      </c>
      <c r="K22">
        <v>3260</v>
      </c>
      <c r="L22">
        <v>1759</v>
      </c>
      <c r="M22">
        <v>810</v>
      </c>
    </row>
    <row r="23" spans="1:13" x14ac:dyDescent="0.25">
      <c r="A23" t="s">
        <v>302</v>
      </c>
      <c r="B23">
        <v>82.3</v>
      </c>
      <c r="C23">
        <v>6.3</v>
      </c>
      <c r="D23">
        <v>11.4</v>
      </c>
      <c r="E23">
        <v>77.2</v>
      </c>
      <c r="F23">
        <v>1.3</v>
      </c>
      <c r="G23">
        <v>21.6</v>
      </c>
      <c r="H23">
        <v>81.599999999999994</v>
      </c>
      <c r="I23">
        <v>0.5</v>
      </c>
      <c r="J23">
        <v>17.8</v>
      </c>
      <c r="K23">
        <v>1620</v>
      </c>
      <c r="L23">
        <v>692</v>
      </c>
      <c r="M23">
        <v>456</v>
      </c>
    </row>
    <row r="24" spans="1:13" x14ac:dyDescent="0.25">
      <c r="A24" t="s">
        <v>303</v>
      </c>
      <c r="B24">
        <v>78.3</v>
      </c>
      <c r="C24">
        <v>12.3</v>
      </c>
      <c r="D24">
        <v>9.4</v>
      </c>
      <c r="E24">
        <v>78.2</v>
      </c>
      <c r="F24">
        <v>3.4</v>
      </c>
      <c r="G24">
        <v>18.399999999999999</v>
      </c>
      <c r="H24">
        <v>83.2</v>
      </c>
      <c r="I24">
        <v>1.6</v>
      </c>
      <c r="J24">
        <v>15.2</v>
      </c>
      <c r="K24">
        <v>7351</v>
      </c>
      <c r="L24">
        <v>3904</v>
      </c>
      <c r="M24">
        <v>2369</v>
      </c>
    </row>
    <row r="25" spans="1:13" x14ac:dyDescent="0.25">
      <c r="A25" t="s">
        <v>304</v>
      </c>
      <c r="B25">
        <v>73.5</v>
      </c>
      <c r="C25">
        <v>14.8</v>
      </c>
      <c r="D25">
        <v>11.7</v>
      </c>
      <c r="E25">
        <v>77.5</v>
      </c>
      <c r="F25">
        <v>1</v>
      </c>
      <c r="G25">
        <v>21.5</v>
      </c>
      <c r="H25">
        <v>84</v>
      </c>
      <c r="I25">
        <v>0.7</v>
      </c>
      <c r="J25">
        <v>15.3</v>
      </c>
      <c r="K25">
        <v>657</v>
      </c>
      <c r="L25">
        <v>407</v>
      </c>
      <c r="M25">
        <v>294</v>
      </c>
    </row>
    <row r="26" spans="1:13" x14ac:dyDescent="0.25">
      <c r="A26" t="s">
        <v>305</v>
      </c>
      <c r="B26">
        <v>87.1</v>
      </c>
      <c r="C26">
        <v>7.2</v>
      </c>
      <c r="D26">
        <v>5.7</v>
      </c>
      <c r="E26">
        <v>78.900000000000006</v>
      </c>
      <c r="F26">
        <v>0.8</v>
      </c>
      <c r="G26">
        <v>20.3</v>
      </c>
      <c r="H26">
        <v>75.400000000000006</v>
      </c>
      <c r="I26">
        <v>0.5</v>
      </c>
      <c r="J26">
        <v>24.1</v>
      </c>
      <c r="K26">
        <v>4368</v>
      </c>
      <c r="L26">
        <v>1913</v>
      </c>
      <c r="M26">
        <v>825</v>
      </c>
    </row>
    <row r="27" spans="1:13" x14ac:dyDescent="0.25">
      <c r="A27" t="s">
        <v>306</v>
      </c>
      <c r="B27">
        <v>86.7</v>
      </c>
      <c r="C27">
        <v>9.6</v>
      </c>
      <c r="D27">
        <v>3.6</v>
      </c>
      <c r="E27">
        <v>87</v>
      </c>
      <c r="F27">
        <v>1.8</v>
      </c>
      <c r="G27">
        <v>11.1</v>
      </c>
      <c r="H27">
        <v>81.400000000000006</v>
      </c>
      <c r="I27">
        <v>0.9</v>
      </c>
      <c r="J27">
        <v>17.7</v>
      </c>
      <c r="K27">
        <v>7822</v>
      </c>
      <c r="L27">
        <v>4861</v>
      </c>
      <c r="M27">
        <v>2478</v>
      </c>
    </row>
    <row r="28" spans="1:13" x14ac:dyDescent="0.25">
      <c r="A28" t="s">
        <v>307</v>
      </c>
      <c r="B28">
        <v>79.400000000000006</v>
      </c>
      <c r="C28">
        <v>10.199999999999999</v>
      </c>
      <c r="D28">
        <v>10.4</v>
      </c>
      <c r="E28">
        <v>76.3</v>
      </c>
      <c r="F28">
        <v>1.9</v>
      </c>
      <c r="G28">
        <v>21.7</v>
      </c>
      <c r="H28">
        <v>77.3</v>
      </c>
      <c r="I28">
        <v>1.5</v>
      </c>
      <c r="J28">
        <v>21.2</v>
      </c>
      <c r="K28">
        <v>4484</v>
      </c>
      <c r="L28">
        <v>1807</v>
      </c>
      <c r="M28">
        <v>900</v>
      </c>
    </row>
    <row r="29" spans="1:13" x14ac:dyDescent="0.25">
      <c r="A29" t="s">
        <v>266</v>
      </c>
      <c r="B29">
        <v>81.599999999999994</v>
      </c>
      <c r="C29">
        <v>9.8000000000000007</v>
      </c>
      <c r="D29">
        <v>8.6</v>
      </c>
      <c r="E29">
        <v>81.400000000000006</v>
      </c>
      <c r="F29">
        <v>1.7</v>
      </c>
      <c r="G29">
        <v>16.899999999999999</v>
      </c>
      <c r="H29">
        <v>79.5</v>
      </c>
      <c r="I29">
        <v>1.3</v>
      </c>
      <c r="J29">
        <v>19.2</v>
      </c>
      <c r="K29">
        <v>104374</v>
      </c>
      <c r="L29">
        <v>52970</v>
      </c>
      <c r="M29">
        <v>24964</v>
      </c>
    </row>
    <row r="30" spans="1:13" x14ac:dyDescent="0.25">
      <c r="A30" t="s">
        <v>459</v>
      </c>
      <c r="B30">
        <v>81.900000000000006</v>
      </c>
      <c r="C30">
        <v>8.9</v>
      </c>
      <c r="D30">
        <v>9.1999999999999993</v>
      </c>
      <c r="E30">
        <v>85.6</v>
      </c>
      <c r="F30">
        <v>2.2999999999999998</v>
      </c>
      <c r="G30">
        <v>12.1</v>
      </c>
      <c r="H30">
        <v>81.900000000000006</v>
      </c>
      <c r="I30">
        <v>1.8</v>
      </c>
      <c r="J30">
        <v>16.3</v>
      </c>
      <c r="K30">
        <v>17822</v>
      </c>
      <c r="L30">
        <v>12705</v>
      </c>
      <c r="M30">
        <v>7720</v>
      </c>
    </row>
    <row r="31" spans="1:13" x14ac:dyDescent="0.25">
      <c r="A31" t="s">
        <v>460</v>
      </c>
      <c r="B31">
        <v>82.3</v>
      </c>
      <c r="C31">
        <v>10</v>
      </c>
      <c r="D31">
        <v>7.6</v>
      </c>
      <c r="E31">
        <v>80.3</v>
      </c>
      <c r="F31">
        <v>1.5</v>
      </c>
      <c r="G31">
        <v>18.3</v>
      </c>
      <c r="H31">
        <v>78.400000000000006</v>
      </c>
      <c r="I31">
        <v>1.1000000000000001</v>
      </c>
      <c r="J31">
        <v>20.5</v>
      </c>
      <c r="K31">
        <v>86552</v>
      </c>
      <c r="L31">
        <v>40265</v>
      </c>
      <c r="M31">
        <v>17244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tabColor rgb="FF00B0F0"/>
  </sheetPr>
  <dimension ref="A1:AK31"/>
  <sheetViews>
    <sheetView workbookViewId="0"/>
  </sheetViews>
  <sheetFormatPr defaultRowHeight="15" x14ac:dyDescent="0.25"/>
  <cols>
    <col min="1" max="1" width="14.5703125" customWidth="1"/>
    <col min="2" max="2" width="9.5703125" customWidth="1"/>
    <col min="7" max="7" width="8.28515625" customWidth="1"/>
    <col min="8" max="8" width="9.5703125" customWidth="1"/>
    <col min="10" max="10" width="8.28515625" customWidth="1"/>
    <col min="11" max="11" width="9.5703125" customWidth="1"/>
    <col min="13" max="13" width="8.28515625" customWidth="1"/>
    <col min="14" max="14" width="9.5703125" customWidth="1"/>
    <col min="16" max="16" width="8.28515625" customWidth="1"/>
    <col min="17" max="17" width="9.5703125" customWidth="1"/>
    <col min="19" max="19" width="8.28515625" customWidth="1"/>
    <col min="20" max="20" width="9.5703125" customWidth="1"/>
    <col min="22" max="22" width="8.28515625" customWidth="1"/>
    <col min="23" max="23" width="9.5703125" customWidth="1"/>
    <col min="25" max="25" width="8.28515625" customWidth="1"/>
    <col min="26" max="26" width="9.5703125" customWidth="1"/>
    <col min="28" max="28" width="8.28515625" customWidth="1"/>
    <col min="29" max="29" width="9.5703125" customWidth="1"/>
    <col min="31" max="31" width="8.28515625" customWidth="1"/>
    <col min="32" max="32" width="9.5703125" customWidth="1"/>
    <col min="34" max="34" width="8.28515625" customWidth="1"/>
    <col min="35" max="35" width="9.5703125" customWidth="1"/>
    <col min="37" max="37" width="8.28515625" customWidth="1"/>
  </cols>
  <sheetData>
    <row r="1" spans="1:37" x14ac:dyDescent="0.25">
      <c r="A1" s="29" t="s">
        <v>826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37" x14ac:dyDescent="0.25">
      <c r="A2" s="29" t="s">
        <v>709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86.1</v>
      </c>
      <c r="C4">
        <v>8.6999999999999993</v>
      </c>
      <c r="D4">
        <v>5.2</v>
      </c>
      <c r="E4">
        <v>88.3</v>
      </c>
      <c r="F4">
        <v>6.4</v>
      </c>
      <c r="G4">
        <v>5.3</v>
      </c>
      <c r="H4">
        <v>91</v>
      </c>
      <c r="I4">
        <v>4.5999999999999996</v>
      </c>
      <c r="J4">
        <v>4.5</v>
      </c>
      <c r="K4">
        <v>89.7</v>
      </c>
      <c r="L4">
        <v>3.8</v>
      </c>
      <c r="M4">
        <v>6.5</v>
      </c>
      <c r="N4">
        <v>91.3</v>
      </c>
      <c r="O4">
        <v>2.6</v>
      </c>
      <c r="P4">
        <v>6.1</v>
      </c>
      <c r="Q4">
        <v>91.9</v>
      </c>
      <c r="R4">
        <v>2.2000000000000002</v>
      </c>
      <c r="S4">
        <v>5.9</v>
      </c>
      <c r="T4">
        <v>88.8</v>
      </c>
      <c r="U4">
        <v>1</v>
      </c>
      <c r="V4">
        <v>10.199999999999999</v>
      </c>
      <c r="W4">
        <v>86.2</v>
      </c>
      <c r="X4">
        <v>0.5</v>
      </c>
      <c r="Y4">
        <v>13.3</v>
      </c>
      <c r="Z4">
        <v>85.7</v>
      </c>
      <c r="AA4">
        <v>1.1000000000000001</v>
      </c>
      <c r="AB4">
        <v>13.3</v>
      </c>
      <c r="AC4">
        <v>87.5</v>
      </c>
      <c r="AD4">
        <v>0.3</v>
      </c>
      <c r="AE4">
        <v>12.2</v>
      </c>
      <c r="AF4">
        <v>93.1</v>
      </c>
      <c r="AG4">
        <v>0.2</v>
      </c>
      <c r="AH4">
        <v>6.7</v>
      </c>
      <c r="AI4">
        <v>73.2</v>
      </c>
      <c r="AJ4">
        <v>2.1</v>
      </c>
      <c r="AK4">
        <v>24.7</v>
      </c>
    </row>
    <row r="5" spans="1:37" x14ac:dyDescent="0.25">
      <c r="A5" t="s">
        <v>284</v>
      </c>
      <c r="B5">
        <v>86.4</v>
      </c>
      <c r="C5">
        <v>10.5</v>
      </c>
      <c r="D5">
        <v>3.1</v>
      </c>
      <c r="E5">
        <v>84.2</v>
      </c>
      <c r="F5">
        <v>9.5</v>
      </c>
      <c r="G5">
        <v>6.3</v>
      </c>
      <c r="H5">
        <v>86.9</v>
      </c>
      <c r="I5">
        <v>6.8</v>
      </c>
      <c r="J5">
        <v>6.3</v>
      </c>
      <c r="K5">
        <v>89.1</v>
      </c>
      <c r="L5">
        <v>4.7</v>
      </c>
      <c r="M5">
        <v>6.1</v>
      </c>
      <c r="N5">
        <v>88</v>
      </c>
      <c r="O5">
        <v>3.7</v>
      </c>
      <c r="P5">
        <v>8.4</v>
      </c>
      <c r="Q5">
        <v>74.5</v>
      </c>
      <c r="R5">
        <v>2.7</v>
      </c>
      <c r="S5">
        <v>22.8</v>
      </c>
      <c r="T5">
        <v>85.5</v>
      </c>
      <c r="U5">
        <v>0.9</v>
      </c>
      <c r="V5">
        <v>13.7</v>
      </c>
      <c r="W5">
        <v>85.7</v>
      </c>
      <c r="X5">
        <v>0.9</v>
      </c>
      <c r="Y5">
        <v>13.4</v>
      </c>
      <c r="Z5">
        <v>72.099999999999994</v>
      </c>
      <c r="AA5">
        <v>2.1</v>
      </c>
      <c r="AB5">
        <v>25.8</v>
      </c>
      <c r="AC5">
        <v>83.9</v>
      </c>
      <c r="AD5">
        <v>0.6</v>
      </c>
      <c r="AE5">
        <v>15.5</v>
      </c>
      <c r="AF5">
        <v>92</v>
      </c>
      <c r="AG5">
        <v>0.5</v>
      </c>
      <c r="AH5">
        <v>7.6</v>
      </c>
      <c r="AI5">
        <v>57.8</v>
      </c>
      <c r="AJ5">
        <v>3.5</v>
      </c>
      <c r="AK5">
        <v>38.700000000000003</v>
      </c>
    </row>
    <row r="6" spans="1:37" x14ac:dyDescent="0.25">
      <c r="A6" t="s">
        <v>285</v>
      </c>
      <c r="B6">
        <v>80</v>
      </c>
      <c r="C6">
        <v>15.9</v>
      </c>
      <c r="D6">
        <v>4.2</v>
      </c>
      <c r="E6">
        <v>82.6</v>
      </c>
      <c r="F6">
        <v>12.1</v>
      </c>
      <c r="G6">
        <v>5.3</v>
      </c>
      <c r="H6">
        <v>85.5</v>
      </c>
      <c r="I6">
        <v>9.8000000000000007</v>
      </c>
      <c r="J6">
        <v>4.7</v>
      </c>
      <c r="K6">
        <v>86.4</v>
      </c>
      <c r="L6">
        <v>7.7</v>
      </c>
      <c r="M6">
        <v>5.9</v>
      </c>
      <c r="N6">
        <v>88.3</v>
      </c>
      <c r="O6">
        <v>5.9</v>
      </c>
      <c r="P6">
        <v>5.8</v>
      </c>
      <c r="Q6">
        <v>60.6</v>
      </c>
      <c r="R6">
        <v>4.3</v>
      </c>
      <c r="S6">
        <v>35.200000000000003</v>
      </c>
      <c r="T6">
        <v>87.9</v>
      </c>
      <c r="U6">
        <v>0.9</v>
      </c>
      <c r="V6">
        <v>11.2</v>
      </c>
      <c r="W6">
        <v>86</v>
      </c>
      <c r="X6">
        <v>0.9</v>
      </c>
      <c r="Y6">
        <v>13.1</v>
      </c>
      <c r="Z6">
        <v>61.7</v>
      </c>
      <c r="AA6">
        <v>2.2000000000000002</v>
      </c>
      <c r="AB6">
        <v>36.1</v>
      </c>
      <c r="AC6">
        <v>86.1</v>
      </c>
      <c r="AD6">
        <v>0.5</v>
      </c>
      <c r="AE6">
        <v>13.4</v>
      </c>
      <c r="AF6">
        <v>90.2</v>
      </c>
      <c r="AG6">
        <v>0.8</v>
      </c>
      <c r="AH6">
        <v>9</v>
      </c>
      <c r="AI6">
        <v>55.7</v>
      </c>
      <c r="AJ6">
        <v>3</v>
      </c>
      <c r="AK6">
        <v>41.3</v>
      </c>
    </row>
    <row r="7" spans="1:37" x14ac:dyDescent="0.25">
      <c r="A7" t="s">
        <v>286</v>
      </c>
      <c r="B7">
        <v>85</v>
      </c>
      <c r="C7">
        <v>13.6</v>
      </c>
      <c r="D7">
        <v>1.5</v>
      </c>
      <c r="E7">
        <v>86.8</v>
      </c>
      <c r="F7">
        <v>10.3</v>
      </c>
      <c r="G7">
        <v>2.9</v>
      </c>
      <c r="H7">
        <v>88.9</v>
      </c>
      <c r="I7">
        <v>8.6999999999999993</v>
      </c>
      <c r="J7">
        <v>2.4</v>
      </c>
      <c r="K7">
        <v>89.5</v>
      </c>
      <c r="L7">
        <v>6.7</v>
      </c>
      <c r="M7">
        <v>3.8</v>
      </c>
      <c r="N7">
        <v>90</v>
      </c>
      <c r="O7">
        <v>5.6</v>
      </c>
      <c r="P7">
        <v>4.4000000000000004</v>
      </c>
      <c r="Q7">
        <v>86.6</v>
      </c>
      <c r="R7">
        <v>3.4</v>
      </c>
      <c r="S7">
        <v>10.1</v>
      </c>
      <c r="T7">
        <v>87.1</v>
      </c>
      <c r="U7">
        <v>0.6</v>
      </c>
      <c r="V7">
        <v>12.4</v>
      </c>
      <c r="W7">
        <v>84.2</v>
      </c>
      <c r="X7">
        <v>0.7</v>
      </c>
      <c r="Y7">
        <v>15.1</v>
      </c>
      <c r="Z7">
        <v>68.2</v>
      </c>
      <c r="AA7">
        <v>0.9</v>
      </c>
      <c r="AB7">
        <v>30.9</v>
      </c>
      <c r="AC7">
        <v>83.2</v>
      </c>
      <c r="AD7">
        <v>0.1</v>
      </c>
      <c r="AE7">
        <v>16.600000000000001</v>
      </c>
      <c r="AF7">
        <v>85.1</v>
      </c>
      <c r="AG7">
        <v>0.1</v>
      </c>
      <c r="AH7">
        <v>14.8</v>
      </c>
      <c r="AI7">
        <v>49.1</v>
      </c>
      <c r="AJ7">
        <v>3.6</v>
      </c>
      <c r="AK7">
        <v>47.3</v>
      </c>
    </row>
    <row r="8" spans="1:37" x14ac:dyDescent="0.25">
      <c r="A8" t="s">
        <v>287</v>
      </c>
      <c r="B8">
        <v>87.1</v>
      </c>
      <c r="C8">
        <v>10.1</v>
      </c>
      <c r="D8">
        <v>2.9</v>
      </c>
      <c r="E8">
        <v>90.5</v>
      </c>
      <c r="F8">
        <v>6.3</v>
      </c>
      <c r="G8">
        <v>3.2</v>
      </c>
      <c r="H8">
        <v>90</v>
      </c>
      <c r="I8">
        <v>6.1</v>
      </c>
      <c r="J8">
        <v>3.9</v>
      </c>
      <c r="K8">
        <v>90.8</v>
      </c>
      <c r="L8">
        <v>4.9000000000000004</v>
      </c>
      <c r="M8">
        <v>4.3</v>
      </c>
      <c r="N8">
        <v>90.7</v>
      </c>
      <c r="O8">
        <v>3.4</v>
      </c>
      <c r="P8">
        <v>5.9</v>
      </c>
      <c r="Q8">
        <v>66.400000000000006</v>
      </c>
      <c r="R8">
        <v>2.7</v>
      </c>
      <c r="S8">
        <v>30.9</v>
      </c>
      <c r="T8">
        <v>81</v>
      </c>
      <c r="U8">
        <v>0.5</v>
      </c>
      <c r="V8">
        <v>18.5</v>
      </c>
      <c r="W8">
        <v>79.599999999999994</v>
      </c>
      <c r="X8">
        <v>0.5</v>
      </c>
      <c r="Y8">
        <v>19.899999999999999</v>
      </c>
      <c r="Z8">
        <v>45.2</v>
      </c>
      <c r="AA8">
        <v>1.6</v>
      </c>
      <c r="AB8">
        <v>53.2</v>
      </c>
      <c r="AC8">
        <v>77.599999999999994</v>
      </c>
      <c r="AD8">
        <v>0.6</v>
      </c>
      <c r="AE8">
        <v>21.8</v>
      </c>
      <c r="AF8">
        <v>86.5</v>
      </c>
      <c r="AG8">
        <v>0.6</v>
      </c>
      <c r="AH8">
        <v>13</v>
      </c>
      <c r="AI8">
        <v>36</v>
      </c>
      <c r="AJ8">
        <v>1.1000000000000001</v>
      </c>
      <c r="AK8">
        <v>62.9</v>
      </c>
    </row>
    <row r="9" spans="1:37" x14ac:dyDescent="0.25">
      <c r="A9" t="s">
        <v>288</v>
      </c>
      <c r="B9">
        <v>82.3</v>
      </c>
      <c r="C9">
        <v>14.1</v>
      </c>
      <c r="D9">
        <v>3.7</v>
      </c>
      <c r="E9">
        <v>86.2</v>
      </c>
      <c r="F9">
        <v>8.6999999999999993</v>
      </c>
      <c r="G9">
        <v>5.0999999999999996</v>
      </c>
      <c r="H9">
        <v>87</v>
      </c>
      <c r="I9">
        <v>7.7</v>
      </c>
      <c r="J9">
        <v>5.3</v>
      </c>
      <c r="K9">
        <v>87.1</v>
      </c>
      <c r="L9">
        <v>5.5</v>
      </c>
      <c r="M9">
        <v>7.4</v>
      </c>
      <c r="N9">
        <v>87.8</v>
      </c>
      <c r="O9">
        <v>3.8</v>
      </c>
      <c r="P9">
        <v>8.4</v>
      </c>
      <c r="Q9">
        <v>66.400000000000006</v>
      </c>
      <c r="R9">
        <v>3.2</v>
      </c>
      <c r="S9">
        <v>30.4</v>
      </c>
      <c r="T9">
        <v>84.5</v>
      </c>
      <c r="U9">
        <v>0.7</v>
      </c>
      <c r="V9">
        <v>14.8</v>
      </c>
      <c r="W9">
        <v>83.8</v>
      </c>
      <c r="X9">
        <v>0.5</v>
      </c>
      <c r="Y9">
        <v>15.7</v>
      </c>
      <c r="Z9">
        <v>73.2</v>
      </c>
      <c r="AA9">
        <v>1.3</v>
      </c>
      <c r="AB9">
        <v>25.5</v>
      </c>
      <c r="AC9">
        <v>85.7</v>
      </c>
      <c r="AD9">
        <v>0.4</v>
      </c>
      <c r="AE9">
        <v>13.9</v>
      </c>
      <c r="AF9">
        <v>91.5</v>
      </c>
      <c r="AG9">
        <v>0.2</v>
      </c>
      <c r="AH9">
        <v>8.3000000000000007</v>
      </c>
      <c r="AI9">
        <v>58.9</v>
      </c>
      <c r="AJ9">
        <v>1.9</v>
      </c>
      <c r="AK9">
        <v>39.200000000000003</v>
      </c>
    </row>
    <row r="10" spans="1:37" x14ac:dyDescent="0.25">
      <c r="A10" t="s">
        <v>289</v>
      </c>
      <c r="B10">
        <v>85</v>
      </c>
      <c r="C10">
        <v>10.5</v>
      </c>
      <c r="D10">
        <v>4.5</v>
      </c>
      <c r="E10">
        <v>89.6</v>
      </c>
      <c r="F10">
        <v>6.5</v>
      </c>
      <c r="G10">
        <v>3.9</v>
      </c>
      <c r="H10">
        <v>90.9</v>
      </c>
      <c r="I10">
        <v>4.7</v>
      </c>
      <c r="J10">
        <v>4.4000000000000004</v>
      </c>
      <c r="K10">
        <v>90.9</v>
      </c>
      <c r="L10">
        <v>3.5</v>
      </c>
      <c r="M10">
        <v>5.6</v>
      </c>
      <c r="N10">
        <v>92.4</v>
      </c>
      <c r="O10">
        <v>2.4</v>
      </c>
      <c r="P10">
        <v>5.2</v>
      </c>
      <c r="Q10">
        <v>81.5</v>
      </c>
      <c r="R10">
        <v>2.2999999999999998</v>
      </c>
      <c r="S10">
        <v>16.2</v>
      </c>
      <c r="T10">
        <v>87.3</v>
      </c>
      <c r="U10">
        <v>1.4</v>
      </c>
      <c r="V10">
        <v>11.3</v>
      </c>
      <c r="W10">
        <v>84.8</v>
      </c>
      <c r="X10">
        <v>0.8</v>
      </c>
      <c r="Y10">
        <v>14.4</v>
      </c>
      <c r="Z10">
        <v>73.2</v>
      </c>
      <c r="AA10">
        <v>2.7</v>
      </c>
      <c r="AB10">
        <v>24</v>
      </c>
      <c r="AC10">
        <v>85</v>
      </c>
      <c r="AD10">
        <v>0.7</v>
      </c>
      <c r="AE10">
        <v>14.3</v>
      </c>
      <c r="AF10">
        <v>90</v>
      </c>
      <c r="AG10">
        <v>0.7</v>
      </c>
      <c r="AH10">
        <v>9.4</v>
      </c>
      <c r="AI10">
        <v>60.9</v>
      </c>
      <c r="AJ10">
        <v>2.2000000000000002</v>
      </c>
      <c r="AK10">
        <v>36.9</v>
      </c>
    </row>
    <row r="11" spans="1:37" x14ac:dyDescent="0.25">
      <c r="A11" t="s">
        <v>290</v>
      </c>
      <c r="B11">
        <v>79.3</v>
      </c>
      <c r="C11">
        <v>18</v>
      </c>
      <c r="D11">
        <v>2.7</v>
      </c>
      <c r="E11">
        <v>83.6</v>
      </c>
      <c r="F11">
        <v>13.4</v>
      </c>
      <c r="G11">
        <v>3</v>
      </c>
      <c r="H11">
        <v>84.8</v>
      </c>
      <c r="I11">
        <v>11.8</v>
      </c>
      <c r="J11">
        <v>3.4</v>
      </c>
      <c r="K11">
        <v>86.2</v>
      </c>
      <c r="L11">
        <v>10</v>
      </c>
      <c r="M11">
        <v>3.7</v>
      </c>
      <c r="N11">
        <v>87.1</v>
      </c>
      <c r="O11">
        <v>8</v>
      </c>
      <c r="P11">
        <v>5</v>
      </c>
      <c r="Q11">
        <v>90.5</v>
      </c>
      <c r="R11">
        <v>5.6</v>
      </c>
      <c r="S11">
        <v>3.9</v>
      </c>
      <c r="T11">
        <v>89.3</v>
      </c>
      <c r="U11">
        <v>0.9</v>
      </c>
      <c r="V11">
        <v>9.8000000000000007</v>
      </c>
      <c r="W11">
        <v>88.8</v>
      </c>
      <c r="X11">
        <v>1.1000000000000001</v>
      </c>
      <c r="Y11">
        <v>10.1</v>
      </c>
      <c r="Z11">
        <v>84</v>
      </c>
      <c r="AA11">
        <v>1.3</v>
      </c>
      <c r="AB11">
        <v>14.7</v>
      </c>
      <c r="AC11">
        <v>87.6</v>
      </c>
      <c r="AD11">
        <v>0.7</v>
      </c>
      <c r="AE11">
        <v>11.7</v>
      </c>
      <c r="AF11">
        <v>89.3</v>
      </c>
      <c r="AG11">
        <v>0.3</v>
      </c>
      <c r="AH11">
        <v>10.4</v>
      </c>
      <c r="AI11">
        <v>63.4</v>
      </c>
      <c r="AJ11">
        <v>1.9</v>
      </c>
      <c r="AK11">
        <v>34.6</v>
      </c>
    </row>
    <row r="12" spans="1:37" x14ac:dyDescent="0.25">
      <c r="A12" t="s">
        <v>291</v>
      </c>
      <c r="B12">
        <v>83.6</v>
      </c>
      <c r="C12">
        <v>11.6</v>
      </c>
      <c r="D12">
        <v>4.7</v>
      </c>
      <c r="E12">
        <v>89.9</v>
      </c>
      <c r="F12">
        <v>7.7</v>
      </c>
      <c r="G12">
        <v>2.4</v>
      </c>
      <c r="H12">
        <v>89.9</v>
      </c>
      <c r="I12">
        <v>4.2</v>
      </c>
      <c r="J12">
        <v>6</v>
      </c>
      <c r="K12">
        <v>88.6</v>
      </c>
      <c r="L12">
        <v>2.4</v>
      </c>
      <c r="M12">
        <v>9</v>
      </c>
      <c r="N12">
        <v>88.7</v>
      </c>
      <c r="O12">
        <v>2.6</v>
      </c>
      <c r="P12">
        <v>8.6999999999999993</v>
      </c>
      <c r="Q12">
        <v>83.6</v>
      </c>
      <c r="R12">
        <v>1.2</v>
      </c>
      <c r="S12">
        <v>15.2</v>
      </c>
      <c r="T12">
        <v>89</v>
      </c>
      <c r="U12">
        <v>0.6</v>
      </c>
      <c r="V12">
        <v>10.3</v>
      </c>
      <c r="W12">
        <v>90</v>
      </c>
      <c r="X12">
        <v>0.6</v>
      </c>
      <c r="Y12">
        <v>9.4</v>
      </c>
      <c r="Z12">
        <v>79.599999999999994</v>
      </c>
      <c r="AA12">
        <v>9.1</v>
      </c>
      <c r="AB12">
        <v>11.3</v>
      </c>
      <c r="AC12">
        <v>91.8</v>
      </c>
      <c r="AD12">
        <v>0</v>
      </c>
      <c r="AE12">
        <v>8.1999999999999993</v>
      </c>
      <c r="AF12">
        <v>94.1</v>
      </c>
      <c r="AG12">
        <v>0</v>
      </c>
      <c r="AH12">
        <v>5.9</v>
      </c>
      <c r="AI12">
        <v>84.6</v>
      </c>
      <c r="AJ12">
        <v>0.3</v>
      </c>
      <c r="AK12">
        <v>15</v>
      </c>
    </row>
    <row r="13" spans="1:37" x14ac:dyDescent="0.25">
      <c r="A13" t="s">
        <v>292</v>
      </c>
      <c r="B13">
        <v>85.1</v>
      </c>
      <c r="C13">
        <v>9.9</v>
      </c>
      <c r="D13">
        <v>5</v>
      </c>
      <c r="E13">
        <v>83.9</v>
      </c>
      <c r="F13">
        <v>7.3</v>
      </c>
      <c r="G13">
        <v>8.8000000000000007</v>
      </c>
      <c r="H13">
        <v>89.8</v>
      </c>
      <c r="I13">
        <v>4.3</v>
      </c>
      <c r="J13">
        <v>5.9</v>
      </c>
      <c r="K13">
        <v>87.1</v>
      </c>
      <c r="L13">
        <v>2.2000000000000002</v>
      </c>
      <c r="M13">
        <v>10.7</v>
      </c>
      <c r="N13">
        <v>90.8</v>
      </c>
      <c r="O13">
        <v>2.7</v>
      </c>
      <c r="P13">
        <v>6.5</v>
      </c>
      <c r="Q13">
        <v>66.8</v>
      </c>
      <c r="R13">
        <v>1.4</v>
      </c>
      <c r="S13">
        <v>31.8</v>
      </c>
      <c r="T13">
        <v>88.4</v>
      </c>
      <c r="U13">
        <v>1</v>
      </c>
      <c r="V13">
        <v>10.6</v>
      </c>
      <c r="W13">
        <v>88.8</v>
      </c>
      <c r="X13">
        <v>1.3</v>
      </c>
      <c r="Y13">
        <v>9.9</v>
      </c>
      <c r="Z13">
        <v>69.5</v>
      </c>
      <c r="AA13">
        <v>3.1</v>
      </c>
      <c r="AB13">
        <v>27.3</v>
      </c>
      <c r="AC13">
        <v>86.7</v>
      </c>
      <c r="AD13">
        <v>0.3</v>
      </c>
      <c r="AE13">
        <v>12.9</v>
      </c>
      <c r="AF13">
        <v>90.3</v>
      </c>
      <c r="AG13">
        <v>0.1</v>
      </c>
      <c r="AH13">
        <v>9.6</v>
      </c>
      <c r="AI13">
        <v>62</v>
      </c>
      <c r="AJ13">
        <v>1.3</v>
      </c>
      <c r="AK13">
        <v>36.700000000000003</v>
      </c>
    </row>
    <row r="14" spans="1:37" x14ac:dyDescent="0.25">
      <c r="A14" t="s">
        <v>293</v>
      </c>
      <c r="B14">
        <v>78.599999999999994</v>
      </c>
      <c r="C14">
        <v>17.100000000000001</v>
      </c>
      <c r="D14">
        <v>4.4000000000000004</v>
      </c>
      <c r="E14">
        <v>81.099999999999994</v>
      </c>
      <c r="F14">
        <v>11.9</v>
      </c>
      <c r="G14">
        <v>7</v>
      </c>
      <c r="H14">
        <v>83</v>
      </c>
      <c r="I14">
        <v>8.8000000000000007</v>
      </c>
      <c r="J14">
        <v>8.3000000000000007</v>
      </c>
      <c r="K14">
        <v>84.6</v>
      </c>
      <c r="L14">
        <v>7.4</v>
      </c>
      <c r="M14">
        <v>7.9</v>
      </c>
      <c r="N14">
        <v>84.1</v>
      </c>
      <c r="O14">
        <v>5</v>
      </c>
      <c r="P14">
        <v>10.8</v>
      </c>
      <c r="Q14">
        <v>66</v>
      </c>
      <c r="R14">
        <v>3.8</v>
      </c>
      <c r="S14">
        <v>30.1</v>
      </c>
      <c r="T14">
        <v>81</v>
      </c>
      <c r="U14">
        <v>0.9</v>
      </c>
      <c r="V14">
        <v>18.100000000000001</v>
      </c>
      <c r="W14">
        <v>82</v>
      </c>
      <c r="X14">
        <v>0.5</v>
      </c>
      <c r="Y14">
        <v>17.399999999999999</v>
      </c>
      <c r="Z14">
        <v>70</v>
      </c>
      <c r="AA14">
        <v>3</v>
      </c>
      <c r="AB14">
        <v>27</v>
      </c>
      <c r="AC14">
        <v>85.9</v>
      </c>
      <c r="AD14">
        <v>0</v>
      </c>
      <c r="AE14">
        <v>14.1</v>
      </c>
      <c r="AF14">
        <v>92.2</v>
      </c>
      <c r="AG14">
        <v>0</v>
      </c>
      <c r="AH14">
        <v>7.8</v>
      </c>
      <c r="AI14">
        <v>69</v>
      </c>
      <c r="AJ14">
        <v>1.2</v>
      </c>
      <c r="AK14">
        <v>29.7</v>
      </c>
    </row>
    <row r="15" spans="1:37" x14ac:dyDescent="0.25">
      <c r="A15" t="s">
        <v>294</v>
      </c>
      <c r="B15">
        <v>82.2</v>
      </c>
      <c r="C15">
        <v>11.3</v>
      </c>
      <c r="D15">
        <v>6.5</v>
      </c>
      <c r="E15">
        <v>84.7</v>
      </c>
      <c r="F15">
        <v>9.1999999999999993</v>
      </c>
      <c r="G15">
        <v>6.2</v>
      </c>
      <c r="H15">
        <v>86.3</v>
      </c>
      <c r="I15">
        <v>7.9</v>
      </c>
      <c r="J15">
        <v>5.8</v>
      </c>
      <c r="K15">
        <v>90.6</v>
      </c>
      <c r="L15">
        <v>3.7</v>
      </c>
      <c r="M15">
        <v>5.7</v>
      </c>
      <c r="N15">
        <v>84.9</v>
      </c>
      <c r="O15">
        <v>3.9</v>
      </c>
      <c r="P15">
        <v>11.2</v>
      </c>
      <c r="Q15">
        <v>81.8</v>
      </c>
      <c r="R15">
        <v>2.8</v>
      </c>
      <c r="S15">
        <v>15.4</v>
      </c>
      <c r="T15">
        <v>84.5</v>
      </c>
      <c r="U15">
        <v>2</v>
      </c>
      <c r="V15">
        <v>13.5</v>
      </c>
      <c r="W15">
        <v>85.6</v>
      </c>
      <c r="X15">
        <v>1.7</v>
      </c>
      <c r="Y15">
        <v>12.7</v>
      </c>
      <c r="Z15">
        <v>84.2</v>
      </c>
      <c r="AA15">
        <v>3.5</v>
      </c>
      <c r="AB15">
        <v>12.2</v>
      </c>
      <c r="AC15">
        <v>91.1</v>
      </c>
      <c r="AD15">
        <v>0.7</v>
      </c>
      <c r="AE15">
        <v>8.1999999999999993</v>
      </c>
      <c r="AF15">
        <v>91.2</v>
      </c>
      <c r="AG15">
        <v>0.2</v>
      </c>
      <c r="AH15">
        <v>8.6</v>
      </c>
      <c r="AI15">
        <v>82.2</v>
      </c>
      <c r="AJ15">
        <v>3.4</v>
      </c>
      <c r="AK15">
        <v>14.4</v>
      </c>
    </row>
    <row r="16" spans="1:37" x14ac:dyDescent="0.25">
      <c r="A16" t="s">
        <v>295</v>
      </c>
      <c r="B16">
        <v>78.2</v>
      </c>
      <c r="C16">
        <v>15.4</v>
      </c>
      <c r="D16">
        <v>6.4</v>
      </c>
      <c r="E16">
        <v>83.4</v>
      </c>
      <c r="F16">
        <v>10.4</v>
      </c>
      <c r="G16">
        <v>6.3</v>
      </c>
      <c r="H16">
        <v>85</v>
      </c>
      <c r="I16">
        <v>8.1999999999999993</v>
      </c>
      <c r="J16">
        <v>6.7</v>
      </c>
      <c r="K16">
        <v>86.3</v>
      </c>
      <c r="L16">
        <v>6.4</v>
      </c>
      <c r="M16">
        <v>7.3</v>
      </c>
      <c r="N16">
        <v>87.7</v>
      </c>
      <c r="O16">
        <v>3.7</v>
      </c>
      <c r="P16">
        <v>8.6</v>
      </c>
      <c r="Q16">
        <v>61.8</v>
      </c>
      <c r="R16">
        <v>2.4</v>
      </c>
      <c r="S16">
        <v>35.799999999999997</v>
      </c>
      <c r="T16">
        <v>84.2</v>
      </c>
      <c r="U16">
        <v>2</v>
      </c>
      <c r="V16">
        <v>13.8</v>
      </c>
      <c r="W16">
        <v>84.2</v>
      </c>
      <c r="X16">
        <v>1.5</v>
      </c>
      <c r="Y16">
        <v>14.3</v>
      </c>
      <c r="Z16">
        <v>73.599999999999994</v>
      </c>
      <c r="AA16">
        <v>2</v>
      </c>
      <c r="AB16">
        <v>24.5</v>
      </c>
      <c r="AC16">
        <v>81.599999999999994</v>
      </c>
      <c r="AD16">
        <v>1.9</v>
      </c>
      <c r="AE16">
        <v>16.5</v>
      </c>
      <c r="AF16">
        <v>87.4</v>
      </c>
      <c r="AG16">
        <v>1.2</v>
      </c>
      <c r="AH16">
        <v>11.5</v>
      </c>
      <c r="AI16">
        <v>88.2</v>
      </c>
      <c r="AJ16">
        <v>4.3</v>
      </c>
      <c r="AK16">
        <v>7.6</v>
      </c>
    </row>
    <row r="17" spans="1:37" x14ac:dyDescent="0.25">
      <c r="A17" t="s">
        <v>296</v>
      </c>
      <c r="B17">
        <v>75.400000000000006</v>
      </c>
      <c r="C17">
        <v>16.5</v>
      </c>
      <c r="D17">
        <v>8.1</v>
      </c>
      <c r="E17">
        <v>84.6</v>
      </c>
      <c r="F17">
        <v>8.6</v>
      </c>
      <c r="G17">
        <v>6.9</v>
      </c>
      <c r="H17">
        <v>85.3</v>
      </c>
      <c r="I17">
        <v>7.8</v>
      </c>
      <c r="J17">
        <v>6.8</v>
      </c>
      <c r="K17">
        <v>83.3</v>
      </c>
      <c r="L17">
        <v>5.7</v>
      </c>
      <c r="M17">
        <v>11</v>
      </c>
      <c r="N17">
        <v>85.4</v>
      </c>
      <c r="O17">
        <v>5.5</v>
      </c>
      <c r="P17">
        <v>9.1</v>
      </c>
      <c r="Q17">
        <v>65.599999999999994</v>
      </c>
      <c r="R17">
        <v>1.3</v>
      </c>
      <c r="S17">
        <v>33.1</v>
      </c>
      <c r="T17">
        <v>83.4</v>
      </c>
      <c r="U17">
        <v>1.4</v>
      </c>
      <c r="V17">
        <v>15.2</v>
      </c>
      <c r="W17">
        <v>83.7</v>
      </c>
      <c r="X17">
        <v>0.8</v>
      </c>
      <c r="Y17">
        <v>15.5</v>
      </c>
      <c r="Z17">
        <v>71.599999999999994</v>
      </c>
      <c r="AA17">
        <v>5.0999999999999996</v>
      </c>
      <c r="AB17">
        <v>23.3</v>
      </c>
      <c r="AC17">
        <v>84.8</v>
      </c>
      <c r="AD17">
        <v>2</v>
      </c>
      <c r="AE17">
        <v>13.2</v>
      </c>
      <c r="AF17">
        <v>88.2</v>
      </c>
      <c r="AG17">
        <v>0.9</v>
      </c>
      <c r="AH17">
        <v>10.9</v>
      </c>
      <c r="AI17">
        <v>71.7</v>
      </c>
      <c r="AJ17">
        <v>3.8</v>
      </c>
      <c r="AK17">
        <v>24.4</v>
      </c>
    </row>
    <row r="18" spans="1:37" x14ac:dyDescent="0.25">
      <c r="A18" t="s">
        <v>297</v>
      </c>
      <c r="B18">
        <v>80.599999999999994</v>
      </c>
      <c r="C18">
        <v>10.5</v>
      </c>
      <c r="D18">
        <v>8.9</v>
      </c>
      <c r="E18">
        <v>88.1</v>
      </c>
      <c r="F18">
        <v>7.1</v>
      </c>
      <c r="G18">
        <v>4.7</v>
      </c>
      <c r="H18">
        <v>89.6</v>
      </c>
      <c r="I18">
        <v>5.3</v>
      </c>
      <c r="J18">
        <v>5.0999999999999996</v>
      </c>
      <c r="K18">
        <v>90.5</v>
      </c>
      <c r="L18">
        <v>4.2</v>
      </c>
      <c r="M18">
        <v>5.3</v>
      </c>
      <c r="N18">
        <v>92.2</v>
      </c>
      <c r="O18">
        <v>2.8</v>
      </c>
      <c r="P18">
        <v>5.0999999999999996</v>
      </c>
      <c r="Q18">
        <v>65.400000000000006</v>
      </c>
      <c r="R18">
        <v>1.8</v>
      </c>
      <c r="S18">
        <v>32.799999999999997</v>
      </c>
      <c r="T18">
        <v>93.3</v>
      </c>
      <c r="U18">
        <v>1.2</v>
      </c>
      <c r="V18">
        <v>5.5</v>
      </c>
      <c r="W18">
        <v>95.5</v>
      </c>
      <c r="X18">
        <v>1.7</v>
      </c>
      <c r="Y18">
        <v>2.8</v>
      </c>
      <c r="Z18">
        <v>64.099999999999994</v>
      </c>
      <c r="AA18">
        <v>3.1</v>
      </c>
      <c r="AB18">
        <v>32.700000000000003</v>
      </c>
      <c r="AC18">
        <v>95.8</v>
      </c>
      <c r="AD18">
        <v>0.2</v>
      </c>
      <c r="AE18">
        <v>4</v>
      </c>
      <c r="AF18" t="s">
        <v>648</v>
      </c>
      <c r="AG18">
        <v>0.1</v>
      </c>
      <c r="AH18" t="s">
        <v>648</v>
      </c>
      <c r="AI18">
        <v>50.8</v>
      </c>
      <c r="AJ18">
        <v>5.6</v>
      </c>
      <c r="AK18">
        <v>43.6</v>
      </c>
    </row>
    <row r="19" spans="1:37" x14ac:dyDescent="0.25">
      <c r="A19" t="s">
        <v>298</v>
      </c>
      <c r="B19">
        <v>77.5</v>
      </c>
      <c r="C19">
        <v>15.7</v>
      </c>
      <c r="D19">
        <v>6.8</v>
      </c>
      <c r="E19">
        <v>83</v>
      </c>
      <c r="F19">
        <v>11.1</v>
      </c>
      <c r="G19">
        <v>5.9</v>
      </c>
      <c r="H19">
        <v>85.1</v>
      </c>
      <c r="I19">
        <v>7.4</v>
      </c>
      <c r="J19">
        <v>7.5</v>
      </c>
      <c r="K19">
        <v>88.6</v>
      </c>
      <c r="L19">
        <v>5.9</v>
      </c>
      <c r="M19">
        <v>5.5</v>
      </c>
      <c r="N19">
        <v>88.6</v>
      </c>
      <c r="O19">
        <v>3.5</v>
      </c>
      <c r="P19">
        <v>7.9</v>
      </c>
      <c r="Q19">
        <v>76.2</v>
      </c>
      <c r="R19">
        <v>3.4</v>
      </c>
      <c r="S19">
        <v>20.399999999999999</v>
      </c>
      <c r="T19">
        <v>87.4</v>
      </c>
      <c r="U19">
        <v>1.6</v>
      </c>
      <c r="V19">
        <v>11</v>
      </c>
      <c r="W19">
        <v>89.1</v>
      </c>
      <c r="X19">
        <v>0.6</v>
      </c>
      <c r="Y19">
        <v>10.3</v>
      </c>
      <c r="Z19">
        <v>76.2</v>
      </c>
      <c r="AA19">
        <v>3.7</v>
      </c>
      <c r="AB19">
        <v>20.2</v>
      </c>
      <c r="AC19">
        <v>88.8</v>
      </c>
      <c r="AD19">
        <v>0.3</v>
      </c>
      <c r="AE19">
        <v>10.9</v>
      </c>
      <c r="AF19">
        <v>89.4</v>
      </c>
      <c r="AG19">
        <v>0.1</v>
      </c>
      <c r="AH19">
        <v>10.6</v>
      </c>
      <c r="AI19">
        <v>77.7</v>
      </c>
      <c r="AJ19">
        <v>1.1000000000000001</v>
      </c>
      <c r="AK19">
        <v>21.2</v>
      </c>
    </row>
    <row r="20" spans="1:37" x14ac:dyDescent="0.25">
      <c r="A20" t="s">
        <v>299</v>
      </c>
      <c r="B20">
        <v>72.400000000000006</v>
      </c>
      <c r="C20">
        <v>21</v>
      </c>
      <c r="D20">
        <v>6.6</v>
      </c>
      <c r="E20">
        <v>82.1</v>
      </c>
      <c r="F20">
        <v>12.9</v>
      </c>
      <c r="G20">
        <v>5</v>
      </c>
      <c r="H20">
        <v>82.9</v>
      </c>
      <c r="I20">
        <v>10.3</v>
      </c>
      <c r="J20">
        <v>6.8</v>
      </c>
      <c r="K20">
        <v>83.8</v>
      </c>
      <c r="L20">
        <v>7.5</v>
      </c>
      <c r="M20">
        <v>8.6999999999999993</v>
      </c>
      <c r="N20">
        <v>87</v>
      </c>
      <c r="O20">
        <v>4.7</v>
      </c>
      <c r="P20">
        <v>8.3000000000000007</v>
      </c>
      <c r="Q20">
        <v>79</v>
      </c>
      <c r="R20">
        <v>2.4</v>
      </c>
      <c r="S20">
        <v>18.600000000000001</v>
      </c>
      <c r="T20">
        <v>85.5</v>
      </c>
      <c r="U20">
        <v>0.6</v>
      </c>
      <c r="V20">
        <v>13.9</v>
      </c>
      <c r="W20">
        <v>87.6</v>
      </c>
      <c r="X20">
        <v>0.2</v>
      </c>
      <c r="Y20">
        <v>12.1</v>
      </c>
      <c r="Z20">
        <v>81.5</v>
      </c>
      <c r="AA20">
        <v>0.6</v>
      </c>
      <c r="AB20">
        <v>17.899999999999999</v>
      </c>
      <c r="AC20">
        <v>80</v>
      </c>
      <c r="AD20">
        <v>0.6</v>
      </c>
      <c r="AE20">
        <v>19.399999999999999</v>
      </c>
      <c r="AF20">
        <v>87.6</v>
      </c>
      <c r="AG20">
        <v>0.1</v>
      </c>
      <c r="AH20">
        <v>12.3</v>
      </c>
      <c r="AI20">
        <v>59.5</v>
      </c>
      <c r="AJ20">
        <v>0.9</v>
      </c>
      <c r="AK20">
        <v>39.5</v>
      </c>
    </row>
    <row r="21" spans="1:37" x14ac:dyDescent="0.25">
      <c r="A21" t="s">
        <v>300</v>
      </c>
      <c r="B21">
        <v>84.2</v>
      </c>
      <c r="C21">
        <v>13</v>
      </c>
      <c r="D21">
        <v>2.8</v>
      </c>
      <c r="E21">
        <v>88.3</v>
      </c>
      <c r="F21">
        <v>9.3000000000000007</v>
      </c>
      <c r="G21">
        <v>2.4</v>
      </c>
      <c r="H21">
        <v>88.7</v>
      </c>
      <c r="I21">
        <v>8.3000000000000007</v>
      </c>
      <c r="J21">
        <v>3</v>
      </c>
      <c r="K21">
        <v>90</v>
      </c>
      <c r="L21">
        <v>6.3</v>
      </c>
      <c r="M21">
        <v>3.6</v>
      </c>
      <c r="N21">
        <v>90.7</v>
      </c>
      <c r="O21">
        <v>5.2</v>
      </c>
      <c r="P21">
        <v>4.2</v>
      </c>
      <c r="Q21">
        <v>73.5</v>
      </c>
      <c r="R21">
        <v>4</v>
      </c>
      <c r="S21">
        <v>22.4</v>
      </c>
      <c r="T21">
        <v>88.7</v>
      </c>
      <c r="U21">
        <v>0.2</v>
      </c>
      <c r="V21">
        <v>11.1</v>
      </c>
      <c r="W21">
        <v>86.2</v>
      </c>
      <c r="X21">
        <v>0.1</v>
      </c>
      <c r="Y21">
        <v>13.7</v>
      </c>
      <c r="Z21">
        <v>63.9</v>
      </c>
      <c r="AA21">
        <v>1.1000000000000001</v>
      </c>
      <c r="AB21">
        <v>35</v>
      </c>
      <c r="AC21">
        <v>84.2</v>
      </c>
      <c r="AD21">
        <v>0.2</v>
      </c>
      <c r="AE21">
        <v>15.6</v>
      </c>
      <c r="AF21">
        <v>90.2</v>
      </c>
      <c r="AG21">
        <v>0.2</v>
      </c>
      <c r="AH21">
        <v>9.6</v>
      </c>
      <c r="AI21">
        <v>57.1</v>
      </c>
      <c r="AJ21">
        <v>2.8</v>
      </c>
      <c r="AK21">
        <v>40.1</v>
      </c>
    </row>
    <row r="22" spans="1:37" x14ac:dyDescent="0.25">
      <c r="A22" t="s">
        <v>301</v>
      </c>
      <c r="B22">
        <v>81.2</v>
      </c>
      <c r="C22">
        <v>15.2</v>
      </c>
      <c r="D22">
        <v>3.6</v>
      </c>
      <c r="E22">
        <v>82.8</v>
      </c>
      <c r="F22">
        <v>11.1</v>
      </c>
      <c r="G22">
        <v>6.1</v>
      </c>
      <c r="H22">
        <v>86.3</v>
      </c>
      <c r="I22">
        <v>9.5</v>
      </c>
      <c r="J22">
        <v>4.2</v>
      </c>
      <c r="K22">
        <v>87.4</v>
      </c>
      <c r="L22">
        <v>6.1</v>
      </c>
      <c r="M22">
        <v>6.4</v>
      </c>
      <c r="N22">
        <v>88.7</v>
      </c>
      <c r="O22">
        <v>4.7</v>
      </c>
      <c r="P22">
        <v>6.5</v>
      </c>
      <c r="Q22">
        <v>75.900000000000006</v>
      </c>
      <c r="R22">
        <v>3.5</v>
      </c>
      <c r="S22">
        <v>20.6</v>
      </c>
      <c r="T22">
        <v>87.6</v>
      </c>
      <c r="U22">
        <v>0.2</v>
      </c>
      <c r="V22">
        <v>12.2</v>
      </c>
      <c r="W22">
        <v>86.5</v>
      </c>
      <c r="X22">
        <v>0.2</v>
      </c>
      <c r="Y22">
        <v>13.4</v>
      </c>
      <c r="Z22">
        <v>79.8</v>
      </c>
      <c r="AA22">
        <v>0.8</v>
      </c>
      <c r="AB22">
        <v>19.5</v>
      </c>
      <c r="AC22">
        <v>87.5</v>
      </c>
      <c r="AD22">
        <v>0</v>
      </c>
      <c r="AE22">
        <v>12.5</v>
      </c>
      <c r="AF22">
        <v>91.8</v>
      </c>
      <c r="AG22">
        <v>0</v>
      </c>
      <c r="AH22">
        <v>8.1999999999999993</v>
      </c>
      <c r="AI22">
        <v>66.099999999999994</v>
      </c>
      <c r="AJ22">
        <v>3.7</v>
      </c>
      <c r="AK22">
        <v>30.2</v>
      </c>
    </row>
    <row r="23" spans="1:37" x14ac:dyDescent="0.25">
      <c r="A23" t="s">
        <v>302</v>
      </c>
      <c r="B23">
        <v>81.400000000000006</v>
      </c>
      <c r="C23">
        <v>8.6999999999999993</v>
      </c>
      <c r="D23">
        <v>9.8000000000000007</v>
      </c>
      <c r="E23">
        <v>85.7</v>
      </c>
      <c r="F23">
        <v>6.6</v>
      </c>
      <c r="G23">
        <v>7.7</v>
      </c>
      <c r="H23">
        <v>86.3</v>
      </c>
      <c r="I23">
        <v>5.3</v>
      </c>
      <c r="J23">
        <v>8.4</v>
      </c>
      <c r="K23">
        <v>85.3</v>
      </c>
      <c r="L23">
        <v>4.0999999999999996</v>
      </c>
      <c r="M23">
        <v>10.6</v>
      </c>
      <c r="N23">
        <v>84.6</v>
      </c>
      <c r="O23">
        <v>2.9</v>
      </c>
      <c r="P23">
        <v>12.5</v>
      </c>
      <c r="Q23">
        <v>66.8</v>
      </c>
      <c r="R23">
        <v>2.4</v>
      </c>
      <c r="S23">
        <v>30.8</v>
      </c>
      <c r="T23">
        <v>84.5</v>
      </c>
      <c r="U23">
        <v>0.1</v>
      </c>
      <c r="V23">
        <v>15.4</v>
      </c>
      <c r="W23">
        <v>90</v>
      </c>
      <c r="X23">
        <v>0</v>
      </c>
      <c r="Y23">
        <v>10</v>
      </c>
      <c r="Z23">
        <v>58.9</v>
      </c>
      <c r="AA23">
        <v>3.1</v>
      </c>
      <c r="AB23">
        <v>38</v>
      </c>
      <c r="AC23">
        <v>82.3</v>
      </c>
      <c r="AD23">
        <v>0.3</v>
      </c>
      <c r="AE23">
        <v>17.399999999999999</v>
      </c>
      <c r="AF23">
        <v>88.8</v>
      </c>
      <c r="AG23">
        <v>0</v>
      </c>
      <c r="AH23">
        <v>11.2</v>
      </c>
      <c r="AI23">
        <v>79.3</v>
      </c>
      <c r="AJ23">
        <v>1.6</v>
      </c>
      <c r="AK23">
        <v>19.100000000000001</v>
      </c>
    </row>
    <row r="24" spans="1:37" x14ac:dyDescent="0.25">
      <c r="A24" t="s">
        <v>303</v>
      </c>
      <c r="B24">
        <v>77.400000000000006</v>
      </c>
      <c r="C24">
        <v>17.399999999999999</v>
      </c>
      <c r="D24">
        <v>5.2</v>
      </c>
      <c r="E24">
        <v>82.9</v>
      </c>
      <c r="F24">
        <v>11.5</v>
      </c>
      <c r="G24">
        <v>5.6</v>
      </c>
      <c r="H24">
        <v>85.9</v>
      </c>
      <c r="I24">
        <v>9.1</v>
      </c>
      <c r="J24">
        <v>4.9000000000000004</v>
      </c>
      <c r="K24">
        <v>87.1</v>
      </c>
      <c r="L24">
        <v>6.6</v>
      </c>
      <c r="M24">
        <v>6.3</v>
      </c>
      <c r="N24">
        <v>87.3</v>
      </c>
      <c r="O24">
        <v>5.5</v>
      </c>
      <c r="P24">
        <v>7.2</v>
      </c>
      <c r="Q24">
        <v>67.3</v>
      </c>
      <c r="R24">
        <v>3.7</v>
      </c>
      <c r="S24">
        <v>29</v>
      </c>
      <c r="T24">
        <v>85.8</v>
      </c>
      <c r="U24">
        <v>2.6</v>
      </c>
      <c r="V24">
        <v>11.6</v>
      </c>
      <c r="W24">
        <v>86.8</v>
      </c>
      <c r="X24">
        <v>2</v>
      </c>
      <c r="Y24">
        <v>11.2</v>
      </c>
      <c r="Z24">
        <v>68.599999999999994</v>
      </c>
      <c r="AA24">
        <v>2.2999999999999998</v>
      </c>
      <c r="AB24">
        <v>29.1</v>
      </c>
      <c r="AC24">
        <v>87.6</v>
      </c>
      <c r="AD24">
        <v>1.1000000000000001</v>
      </c>
      <c r="AE24">
        <v>11.3</v>
      </c>
      <c r="AF24">
        <v>91.8</v>
      </c>
      <c r="AG24">
        <v>0.9</v>
      </c>
      <c r="AH24">
        <v>7.3</v>
      </c>
      <c r="AI24">
        <v>62.7</v>
      </c>
      <c r="AJ24">
        <v>2</v>
      </c>
      <c r="AK24">
        <v>35.200000000000003</v>
      </c>
    </row>
    <row r="25" spans="1:37" x14ac:dyDescent="0.25">
      <c r="A25" t="s">
        <v>304</v>
      </c>
      <c r="B25">
        <v>71.5</v>
      </c>
      <c r="C25">
        <v>22.9</v>
      </c>
      <c r="D25">
        <v>5.6</v>
      </c>
      <c r="E25">
        <v>78.8</v>
      </c>
      <c r="F25">
        <v>14.7</v>
      </c>
      <c r="G25">
        <v>6.4</v>
      </c>
      <c r="H25">
        <v>81.3</v>
      </c>
      <c r="I25">
        <v>11.1</v>
      </c>
      <c r="J25">
        <v>7.6</v>
      </c>
      <c r="K25">
        <v>82.6</v>
      </c>
      <c r="L25">
        <v>8.6</v>
      </c>
      <c r="M25">
        <v>8.8000000000000007</v>
      </c>
      <c r="N25">
        <v>85.1</v>
      </c>
      <c r="O25">
        <v>6</v>
      </c>
      <c r="P25">
        <v>8.9</v>
      </c>
      <c r="Q25">
        <v>46.5</v>
      </c>
      <c r="R25">
        <v>4.5999999999999996</v>
      </c>
      <c r="S25">
        <v>49</v>
      </c>
      <c r="T25">
        <v>79.400000000000006</v>
      </c>
      <c r="U25">
        <v>0.7</v>
      </c>
      <c r="V25">
        <v>19.8</v>
      </c>
      <c r="W25">
        <v>86.6</v>
      </c>
      <c r="X25">
        <v>0.5</v>
      </c>
      <c r="Y25">
        <v>12.9</v>
      </c>
      <c r="Z25">
        <v>65.8</v>
      </c>
      <c r="AA25">
        <v>0.9</v>
      </c>
      <c r="AB25">
        <v>33.299999999999997</v>
      </c>
      <c r="AC25">
        <v>88.1</v>
      </c>
      <c r="AD25">
        <v>0.1</v>
      </c>
      <c r="AE25">
        <v>11.8</v>
      </c>
      <c r="AF25">
        <v>94.7</v>
      </c>
      <c r="AG25">
        <v>0.1</v>
      </c>
      <c r="AH25">
        <v>5.2</v>
      </c>
      <c r="AI25">
        <v>84.9</v>
      </c>
      <c r="AJ25">
        <v>1.5</v>
      </c>
      <c r="AK25">
        <v>13.6</v>
      </c>
    </row>
    <row r="26" spans="1:37" x14ac:dyDescent="0.25">
      <c r="A26" t="s">
        <v>305</v>
      </c>
      <c r="B26">
        <v>86.6</v>
      </c>
      <c r="C26">
        <v>10.9</v>
      </c>
      <c r="D26">
        <v>2.5</v>
      </c>
      <c r="E26">
        <v>90.3</v>
      </c>
      <c r="F26">
        <v>6.6</v>
      </c>
      <c r="G26">
        <v>3.2</v>
      </c>
      <c r="H26">
        <v>92</v>
      </c>
      <c r="I26">
        <v>5.2</v>
      </c>
      <c r="J26">
        <v>2.8</v>
      </c>
      <c r="K26">
        <v>92.1</v>
      </c>
      <c r="L26">
        <v>4.5999999999999996</v>
      </c>
      <c r="M26">
        <v>3.2</v>
      </c>
      <c r="N26">
        <v>92.5</v>
      </c>
      <c r="O26">
        <v>3.2</v>
      </c>
      <c r="P26">
        <v>4.3</v>
      </c>
      <c r="Q26">
        <v>74.400000000000006</v>
      </c>
      <c r="R26">
        <v>2.4</v>
      </c>
      <c r="S26">
        <v>23.1</v>
      </c>
      <c r="T26">
        <v>85.8</v>
      </c>
      <c r="U26">
        <v>0.5</v>
      </c>
      <c r="V26">
        <v>13.7</v>
      </c>
      <c r="W26">
        <v>81</v>
      </c>
      <c r="X26">
        <v>0.3</v>
      </c>
      <c r="Y26">
        <v>18.7</v>
      </c>
      <c r="Z26">
        <v>59.6</v>
      </c>
      <c r="AA26">
        <v>1</v>
      </c>
      <c r="AB26">
        <v>39.4</v>
      </c>
      <c r="AC26">
        <v>81.8</v>
      </c>
      <c r="AD26">
        <v>0</v>
      </c>
      <c r="AE26">
        <v>18.2</v>
      </c>
      <c r="AF26">
        <v>87.3</v>
      </c>
      <c r="AG26">
        <v>0</v>
      </c>
      <c r="AH26">
        <v>12.6</v>
      </c>
      <c r="AI26">
        <v>50.6</v>
      </c>
      <c r="AJ26">
        <v>1.2</v>
      </c>
      <c r="AK26">
        <v>48.2</v>
      </c>
    </row>
    <row r="27" spans="1:37" x14ac:dyDescent="0.25">
      <c r="A27" t="s">
        <v>306</v>
      </c>
      <c r="B27">
        <v>85.6</v>
      </c>
      <c r="C27">
        <v>12.3</v>
      </c>
      <c r="D27">
        <v>2.1</v>
      </c>
      <c r="E27">
        <v>88.1</v>
      </c>
      <c r="F27">
        <v>9.3000000000000007</v>
      </c>
      <c r="G27">
        <v>2.6</v>
      </c>
      <c r="H27">
        <v>89.4</v>
      </c>
      <c r="I27">
        <v>7.9</v>
      </c>
      <c r="J27">
        <v>2.7</v>
      </c>
      <c r="K27">
        <v>90.8</v>
      </c>
      <c r="L27">
        <v>6.2</v>
      </c>
      <c r="M27">
        <v>3</v>
      </c>
      <c r="N27">
        <v>91.5</v>
      </c>
      <c r="O27">
        <v>5.0999999999999996</v>
      </c>
      <c r="P27">
        <v>3.4</v>
      </c>
      <c r="Q27">
        <v>85.4</v>
      </c>
      <c r="R27">
        <v>4.2</v>
      </c>
      <c r="S27">
        <v>10.3</v>
      </c>
      <c r="T27">
        <v>91.9</v>
      </c>
      <c r="U27">
        <v>1.3</v>
      </c>
      <c r="V27">
        <v>6.9</v>
      </c>
      <c r="W27">
        <v>88.8</v>
      </c>
      <c r="X27">
        <v>1.9</v>
      </c>
      <c r="Y27">
        <v>9.3000000000000007</v>
      </c>
      <c r="Z27">
        <v>77.8</v>
      </c>
      <c r="AA27">
        <v>1.3</v>
      </c>
      <c r="AB27">
        <v>20.9</v>
      </c>
      <c r="AC27">
        <v>89.3</v>
      </c>
      <c r="AD27">
        <v>0.3</v>
      </c>
      <c r="AE27">
        <v>10.4</v>
      </c>
      <c r="AF27">
        <v>89.3</v>
      </c>
      <c r="AG27">
        <v>0.3</v>
      </c>
      <c r="AH27">
        <v>10.4</v>
      </c>
      <c r="AI27">
        <v>65.3</v>
      </c>
      <c r="AJ27">
        <v>2.2000000000000002</v>
      </c>
      <c r="AK27">
        <v>32.5</v>
      </c>
    </row>
    <row r="28" spans="1:37" x14ac:dyDescent="0.25">
      <c r="A28" t="s">
        <v>307</v>
      </c>
      <c r="B28">
        <v>80.5</v>
      </c>
      <c r="C28">
        <v>14.6</v>
      </c>
      <c r="D28">
        <v>4.9000000000000004</v>
      </c>
      <c r="E28">
        <v>83.2</v>
      </c>
      <c r="F28">
        <v>10.3</v>
      </c>
      <c r="G28">
        <v>6.5</v>
      </c>
      <c r="H28">
        <v>85.9</v>
      </c>
      <c r="I28">
        <v>8.3000000000000007</v>
      </c>
      <c r="J28">
        <v>5.8</v>
      </c>
      <c r="K28">
        <v>86.4</v>
      </c>
      <c r="L28">
        <v>6.2</v>
      </c>
      <c r="M28">
        <v>7.4</v>
      </c>
      <c r="N28">
        <v>87.1</v>
      </c>
      <c r="O28">
        <v>5.2</v>
      </c>
      <c r="P28">
        <v>7.7</v>
      </c>
      <c r="Q28">
        <v>59.2</v>
      </c>
      <c r="R28">
        <v>3.3</v>
      </c>
      <c r="S28">
        <v>37.5</v>
      </c>
      <c r="T28">
        <v>85.5</v>
      </c>
      <c r="U28">
        <v>1</v>
      </c>
      <c r="V28">
        <v>13.5</v>
      </c>
      <c r="W28">
        <v>84.1</v>
      </c>
      <c r="X28">
        <v>0.6</v>
      </c>
      <c r="Y28">
        <v>15.3</v>
      </c>
      <c r="Z28">
        <v>55.6</v>
      </c>
      <c r="AA28">
        <v>3.2</v>
      </c>
      <c r="AB28">
        <v>41.2</v>
      </c>
      <c r="AC28">
        <v>84.3</v>
      </c>
      <c r="AD28">
        <v>0.5</v>
      </c>
      <c r="AE28">
        <v>15.3</v>
      </c>
      <c r="AF28">
        <v>91.6</v>
      </c>
      <c r="AG28">
        <v>0.4</v>
      </c>
      <c r="AH28">
        <v>8</v>
      </c>
      <c r="AI28">
        <v>53.2</v>
      </c>
      <c r="AJ28">
        <v>3</v>
      </c>
      <c r="AK28">
        <v>43.8</v>
      </c>
    </row>
    <row r="29" spans="1:37" x14ac:dyDescent="0.25">
      <c r="A29" t="s">
        <v>266</v>
      </c>
      <c r="B29">
        <v>82.1</v>
      </c>
      <c r="C29">
        <v>13.6</v>
      </c>
      <c r="D29">
        <v>4.3</v>
      </c>
      <c r="E29">
        <v>85.5</v>
      </c>
      <c r="F29">
        <v>9.6999999999999993</v>
      </c>
      <c r="G29">
        <v>4.8</v>
      </c>
      <c r="H29">
        <v>87.4</v>
      </c>
      <c r="I29">
        <v>7.8</v>
      </c>
      <c r="J29">
        <v>4.8</v>
      </c>
      <c r="K29">
        <v>88.3</v>
      </c>
      <c r="L29">
        <v>6</v>
      </c>
      <c r="M29">
        <v>5.7</v>
      </c>
      <c r="N29">
        <v>89</v>
      </c>
      <c r="O29">
        <v>4.5999999999999996</v>
      </c>
      <c r="P29">
        <v>6.4</v>
      </c>
      <c r="Q29">
        <v>73.400000000000006</v>
      </c>
      <c r="R29">
        <v>3.3</v>
      </c>
      <c r="S29">
        <v>23.3</v>
      </c>
      <c r="T29">
        <v>87.2</v>
      </c>
      <c r="U29">
        <v>1</v>
      </c>
      <c r="V29">
        <v>11.8</v>
      </c>
      <c r="W29">
        <v>86.5</v>
      </c>
      <c r="X29">
        <v>0.9</v>
      </c>
      <c r="Y29">
        <v>12.6</v>
      </c>
      <c r="Z29">
        <v>69.400000000000006</v>
      </c>
      <c r="AA29">
        <v>1.9</v>
      </c>
      <c r="AB29">
        <v>28.7</v>
      </c>
      <c r="AC29">
        <v>86.5</v>
      </c>
      <c r="AD29">
        <v>0.5</v>
      </c>
      <c r="AE29">
        <v>13.1</v>
      </c>
      <c r="AF29">
        <v>91.6</v>
      </c>
      <c r="AG29">
        <v>0.4</v>
      </c>
      <c r="AH29">
        <v>8</v>
      </c>
      <c r="AI29">
        <v>59.2</v>
      </c>
      <c r="AJ29">
        <v>2.7</v>
      </c>
      <c r="AK29">
        <v>38.1</v>
      </c>
    </row>
    <row r="30" spans="1:37" x14ac:dyDescent="0.25">
      <c r="A30" t="s">
        <v>459</v>
      </c>
      <c r="B30">
        <v>78.8</v>
      </c>
      <c r="C30">
        <v>14.6</v>
      </c>
      <c r="D30">
        <v>6.6</v>
      </c>
      <c r="E30">
        <v>85.3</v>
      </c>
      <c r="F30">
        <v>9.4</v>
      </c>
      <c r="G30">
        <v>5.3</v>
      </c>
      <c r="H30">
        <v>88.3</v>
      </c>
      <c r="I30">
        <v>6.9</v>
      </c>
      <c r="J30">
        <v>4.8</v>
      </c>
      <c r="K30">
        <v>89.3</v>
      </c>
      <c r="L30">
        <v>5.0999999999999996</v>
      </c>
      <c r="M30">
        <v>5.6</v>
      </c>
      <c r="N30">
        <v>90.8</v>
      </c>
      <c r="O30">
        <v>3.4</v>
      </c>
      <c r="P30">
        <v>5.7</v>
      </c>
      <c r="Q30">
        <v>69.2</v>
      </c>
      <c r="R30">
        <v>2.2000000000000002</v>
      </c>
      <c r="S30">
        <v>28.6</v>
      </c>
      <c r="T30">
        <v>91.1</v>
      </c>
      <c r="U30">
        <v>1.5</v>
      </c>
      <c r="V30">
        <v>7.4</v>
      </c>
      <c r="W30">
        <v>93</v>
      </c>
      <c r="X30">
        <v>1.4</v>
      </c>
      <c r="Y30">
        <v>5.6</v>
      </c>
      <c r="Z30">
        <v>71.599999999999994</v>
      </c>
      <c r="AA30">
        <v>2.8</v>
      </c>
      <c r="AB30">
        <v>25.6</v>
      </c>
      <c r="AC30">
        <v>91.9</v>
      </c>
      <c r="AD30">
        <v>0.6</v>
      </c>
      <c r="AE30">
        <v>7.6</v>
      </c>
      <c r="AF30">
        <v>98.2</v>
      </c>
      <c r="AG30">
        <v>0.3</v>
      </c>
      <c r="AH30">
        <v>1.5</v>
      </c>
      <c r="AI30">
        <v>54.7</v>
      </c>
      <c r="AJ30">
        <v>3.8</v>
      </c>
      <c r="AK30">
        <v>41.5</v>
      </c>
    </row>
    <row r="31" spans="1:37" x14ac:dyDescent="0.25">
      <c r="A31" t="s">
        <v>460</v>
      </c>
      <c r="B31">
        <v>82.8</v>
      </c>
      <c r="C31">
        <v>13.4</v>
      </c>
      <c r="D31">
        <v>3.8</v>
      </c>
      <c r="E31">
        <v>85.5</v>
      </c>
      <c r="F31">
        <v>9.8000000000000007</v>
      </c>
      <c r="G31">
        <v>4.7</v>
      </c>
      <c r="H31">
        <v>87.2</v>
      </c>
      <c r="I31">
        <v>8</v>
      </c>
      <c r="J31">
        <v>4.8</v>
      </c>
      <c r="K31">
        <v>88.1</v>
      </c>
      <c r="L31">
        <v>6.2</v>
      </c>
      <c r="M31">
        <v>5.7</v>
      </c>
      <c r="N31">
        <v>88.7</v>
      </c>
      <c r="O31">
        <v>4.8</v>
      </c>
      <c r="P31">
        <v>6.5</v>
      </c>
      <c r="Q31">
        <v>74.3</v>
      </c>
      <c r="R31">
        <v>3.6</v>
      </c>
      <c r="S31">
        <v>22.1</v>
      </c>
      <c r="T31">
        <v>86.2</v>
      </c>
      <c r="U31">
        <v>0.9</v>
      </c>
      <c r="V31">
        <v>12.9</v>
      </c>
      <c r="W31">
        <v>84.8</v>
      </c>
      <c r="X31">
        <v>0.8</v>
      </c>
      <c r="Y31">
        <v>14.4</v>
      </c>
      <c r="Z31">
        <v>68.7</v>
      </c>
      <c r="AA31">
        <v>1.7</v>
      </c>
      <c r="AB31">
        <v>29.6</v>
      </c>
      <c r="AC31">
        <v>84.4</v>
      </c>
      <c r="AD31">
        <v>0.4</v>
      </c>
      <c r="AE31">
        <v>15.2</v>
      </c>
      <c r="AF31">
        <v>88.8</v>
      </c>
      <c r="AG31">
        <v>0.4</v>
      </c>
      <c r="AH31">
        <v>10.8</v>
      </c>
      <c r="AI31">
        <v>61.3</v>
      </c>
      <c r="AJ31">
        <v>2.2999999999999998</v>
      </c>
      <c r="AK31">
        <v>36.5</v>
      </c>
    </row>
  </sheetData>
  <mergeCells count="14">
    <mergeCell ref="A2:A3"/>
    <mergeCell ref="H2:J2"/>
    <mergeCell ref="B2:D2"/>
    <mergeCell ref="Q2:S2"/>
    <mergeCell ref="A1:N1"/>
    <mergeCell ref="T2:V2"/>
    <mergeCell ref="AI2:AK2"/>
    <mergeCell ref="Z2:AB2"/>
    <mergeCell ref="E2:G2"/>
    <mergeCell ref="K2:M2"/>
    <mergeCell ref="N2:P2"/>
    <mergeCell ref="AC2:AE2"/>
    <mergeCell ref="AF2:AH2"/>
    <mergeCell ref="W2:Y2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tabColor rgb="FF00B0F0"/>
  </sheetPr>
  <dimension ref="A1:AK36"/>
  <sheetViews>
    <sheetView workbookViewId="0"/>
  </sheetViews>
  <sheetFormatPr defaultRowHeight="15" x14ac:dyDescent="0.25"/>
  <cols>
    <col min="1" max="1" width="14.5703125" customWidth="1"/>
    <col min="2" max="2" width="10" customWidth="1"/>
    <col min="3" max="3" width="9.7109375" customWidth="1"/>
    <col min="4" max="4" width="9.5703125" customWidth="1"/>
    <col min="5" max="5" width="10" customWidth="1"/>
    <col min="6" max="6" width="9.7109375" customWidth="1"/>
    <col min="7" max="7" width="9.5703125" customWidth="1"/>
    <col min="8" max="8" width="10" customWidth="1"/>
    <col min="9" max="9" width="9.7109375" customWidth="1"/>
    <col min="10" max="10" width="9.5703125" customWidth="1"/>
    <col min="11" max="11" width="10" customWidth="1"/>
    <col min="12" max="12" width="9.7109375" customWidth="1"/>
    <col min="13" max="13" width="8.28515625" customWidth="1"/>
    <col min="14" max="14" width="10" customWidth="1"/>
    <col min="15" max="15" width="9.7109375" customWidth="1"/>
    <col min="16" max="16" width="8.28515625" customWidth="1"/>
    <col min="17" max="17" width="10" customWidth="1"/>
    <col min="18" max="18" width="9.7109375" customWidth="1"/>
    <col min="19" max="19" width="8.28515625" customWidth="1"/>
    <col min="20" max="20" width="10" customWidth="1"/>
    <col min="21" max="21" width="9.7109375" customWidth="1"/>
    <col min="22" max="22" width="8.28515625" customWidth="1"/>
    <col min="23" max="23" width="10" customWidth="1"/>
    <col min="24" max="24" width="9.7109375" customWidth="1"/>
    <col min="25" max="25" width="8.28515625" customWidth="1"/>
    <col min="26" max="26" width="10" customWidth="1"/>
    <col min="27" max="27" width="9.7109375" customWidth="1"/>
    <col min="28" max="28" width="9.5703125" customWidth="1"/>
    <col min="29" max="29" width="10" customWidth="1"/>
    <col min="30" max="30" width="9.7109375" customWidth="1"/>
    <col min="31" max="31" width="9.5703125" customWidth="1"/>
    <col min="32" max="32" width="10" customWidth="1"/>
    <col min="33" max="33" width="9.7109375" customWidth="1"/>
    <col min="34" max="34" width="8.28515625" customWidth="1"/>
    <col min="35" max="35" width="10" customWidth="1"/>
    <col min="36" max="36" width="9.7109375" customWidth="1"/>
    <col min="37" max="37" width="8.28515625" customWidth="1"/>
  </cols>
  <sheetData>
    <row r="1" spans="1:37" x14ac:dyDescent="0.25">
      <c r="A1" s="29" t="s">
        <v>827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37" x14ac:dyDescent="0.25">
      <c r="A2" s="29" t="s">
        <v>709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87.1</v>
      </c>
      <c r="C4">
        <v>7</v>
      </c>
      <c r="D4">
        <v>5.9</v>
      </c>
      <c r="E4">
        <v>89.6</v>
      </c>
      <c r="F4">
        <v>5</v>
      </c>
      <c r="G4">
        <v>5.4</v>
      </c>
      <c r="H4">
        <v>91.6</v>
      </c>
      <c r="I4">
        <v>3.2</v>
      </c>
      <c r="J4">
        <v>5.2</v>
      </c>
      <c r="K4">
        <v>90.3</v>
      </c>
      <c r="L4">
        <v>2.6</v>
      </c>
      <c r="M4">
        <v>7.1</v>
      </c>
      <c r="N4">
        <v>92.5</v>
      </c>
      <c r="O4">
        <v>1.8</v>
      </c>
      <c r="P4">
        <v>5.7</v>
      </c>
      <c r="Q4">
        <v>93.8</v>
      </c>
      <c r="R4">
        <v>1.5</v>
      </c>
      <c r="S4">
        <v>4.7</v>
      </c>
      <c r="T4">
        <v>90.1</v>
      </c>
      <c r="U4">
        <v>0.6</v>
      </c>
      <c r="V4">
        <v>9.3000000000000007</v>
      </c>
      <c r="W4">
        <v>87.2</v>
      </c>
      <c r="X4">
        <v>0.3</v>
      </c>
      <c r="Y4">
        <v>12.5</v>
      </c>
      <c r="Z4">
        <v>87.5</v>
      </c>
      <c r="AA4">
        <v>0.7</v>
      </c>
      <c r="AB4">
        <v>11.9</v>
      </c>
      <c r="AC4">
        <v>88.6</v>
      </c>
      <c r="AD4">
        <v>0.4</v>
      </c>
      <c r="AE4">
        <v>11.1</v>
      </c>
      <c r="AF4">
        <v>93.7</v>
      </c>
      <c r="AG4">
        <v>0.1</v>
      </c>
      <c r="AH4">
        <v>6.3</v>
      </c>
      <c r="AI4">
        <v>81.099999999999994</v>
      </c>
      <c r="AJ4">
        <v>2</v>
      </c>
      <c r="AK4">
        <v>16.899999999999999</v>
      </c>
    </row>
    <row r="5" spans="1:37" x14ac:dyDescent="0.25">
      <c r="A5" t="s">
        <v>284</v>
      </c>
      <c r="B5">
        <v>87.1</v>
      </c>
      <c r="C5">
        <v>8.9</v>
      </c>
      <c r="D5">
        <v>4</v>
      </c>
      <c r="E5">
        <v>88.6</v>
      </c>
      <c r="F5">
        <v>7.1</v>
      </c>
      <c r="G5">
        <v>4.3</v>
      </c>
      <c r="H5">
        <v>89.9</v>
      </c>
      <c r="I5">
        <v>5.3</v>
      </c>
      <c r="J5">
        <v>4.9000000000000004</v>
      </c>
      <c r="K5">
        <v>92</v>
      </c>
      <c r="L5">
        <v>3.3</v>
      </c>
      <c r="M5">
        <v>4.7</v>
      </c>
      <c r="N5">
        <v>90.1</v>
      </c>
      <c r="O5">
        <v>2.5</v>
      </c>
      <c r="P5">
        <v>7.5</v>
      </c>
      <c r="Q5">
        <v>77</v>
      </c>
      <c r="R5">
        <v>2</v>
      </c>
      <c r="S5">
        <v>21</v>
      </c>
      <c r="T5">
        <v>87.4</v>
      </c>
      <c r="U5">
        <v>0.6</v>
      </c>
      <c r="V5">
        <v>12</v>
      </c>
      <c r="W5">
        <v>86</v>
      </c>
      <c r="X5">
        <v>0.8</v>
      </c>
      <c r="Y5">
        <v>13.2</v>
      </c>
      <c r="Z5">
        <v>73.7</v>
      </c>
      <c r="AA5">
        <v>1.5</v>
      </c>
      <c r="AB5">
        <v>24.8</v>
      </c>
      <c r="AC5">
        <v>83.8</v>
      </c>
      <c r="AD5">
        <v>0.6</v>
      </c>
      <c r="AE5">
        <v>15.6</v>
      </c>
      <c r="AF5">
        <v>92.3</v>
      </c>
      <c r="AG5">
        <v>0.4</v>
      </c>
      <c r="AH5">
        <v>7.3</v>
      </c>
      <c r="AI5">
        <v>56.8</v>
      </c>
      <c r="AJ5">
        <v>3.3</v>
      </c>
      <c r="AK5">
        <v>39.9</v>
      </c>
    </row>
    <row r="6" spans="1:37" x14ac:dyDescent="0.25">
      <c r="A6" t="s">
        <v>285</v>
      </c>
      <c r="B6">
        <v>83.2</v>
      </c>
      <c r="C6">
        <v>12.3</v>
      </c>
      <c r="D6">
        <v>4.5999999999999996</v>
      </c>
      <c r="E6">
        <v>84.8</v>
      </c>
      <c r="F6">
        <v>9.6999999999999993</v>
      </c>
      <c r="G6">
        <v>5.4</v>
      </c>
      <c r="H6">
        <v>91.2</v>
      </c>
      <c r="I6">
        <v>6.3</v>
      </c>
      <c r="J6">
        <v>2.5</v>
      </c>
      <c r="K6">
        <v>93.1</v>
      </c>
      <c r="L6">
        <v>4.3</v>
      </c>
      <c r="M6">
        <v>2.6</v>
      </c>
      <c r="N6">
        <v>89.6</v>
      </c>
      <c r="O6">
        <v>4.2</v>
      </c>
      <c r="P6">
        <v>6.2</v>
      </c>
      <c r="Q6">
        <v>70</v>
      </c>
      <c r="R6">
        <v>2.8</v>
      </c>
      <c r="S6">
        <v>27.1</v>
      </c>
      <c r="T6">
        <v>89.9</v>
      </c>
      <c r="U6">
        <v>0.8</v>
      </c>
      <c r="V6">
        <v>9.3000000000000007</v>
      </c>
      <c r="W6">
        <v>87.1</v>
      </c>
      <c r="X6">
        <v>0.6</v>
      </c>
      <c r="Y6">
        <v>12.3</v>
      </c>
      <c r="Z6">
        <v>64.099999999999994</v>
      </c>
      <c r="AA6">
        <v>1.5</v>
      </c>
      <c r="AB6">
        <v>34.299999999999997</v>
      </c>
      <c r="AC6">
        <v>86.1</v>
      </c>
      <c r="AD6">
        <v>0.4</v>
      </c>
      <c r="AE6">
        <v>13.5</v>
      </c>
      <c r="AF6">
        <v>89.8</v>
      </c>
      <c r="AG6">
        <v>0.7</v>
      </c>
      <c r="AH6">
        <v>9.6</v>
      </c>
      <c r="AI6">
        <v>58.8</v>
      </c>
      <c r="AJ6">
        <v>3.2</v>
      </c>
      <c r="AK6">
        <v>38</v>
      </c>
    </row>
    <row r="7" spans="1:37" x14ac:dyDescent="0.25">
      <c r="A7" t="s">
        <v>286</v>
      </c>
      <c r="B7">
        <v>87.5</v>
      </c>
      <c r="C7">
        <v>10.9</v>
      </c>
      <c r="D7">
        <v>1.6</v>
      </c>
      <c r="E7">
        <v>89.8</v>
      </c>
      <c r="F7">
        <v>7.3</v>
      </c>
      <c r="G7">
        <v>2.8</v>
      </c>
      <c r="H7">
        <v>92.7</v>
      </c>
      <c r="I7">
        <v>5.2</v>
      </c>
      <c r="J7">
        <v>2.2000000000000002</v>
      </c>
      <c r="K7">
        <v>93.9</v>
      </c>
      <c r="L7">
        <v>3.7</v>
      </c>
      <c r="M7">
        <v>2.4</v>
      </c>
      <c r="N7">
        <v>92.7</v>
      </c>
      <c r="O7">
        <v>3.5</v>
      </c>
      <c r="P7">
        <v>3.8</v>
      </c>
      <c r="Q7">
        <v>89.1</v>
      </c>
      <c r="R7">
        <v>1.7</v>
      </c>
      <c r="S7">
        <v>9.1999999999999993</v>
      </c>
      <c r="T7">
        <v>88</v>
      </c>
      <c r="U7">
        <v>0.5</v>
      </c>
      <c r="V7">
        <v>11.6</v>
      </c>
      <c r="W7">
        <v>83.8</v>
      </c>
      <c r="X7">
        <v>0.4</v>
      </c>
      <c r="Y7">
        <v>15.7</v>
      </c>
      <c r="Z7">
        <v>67.7</v>
      </c>
      <c r="AA7">
        <v>0.7</v>
      </c>
      <c r="AB7">
        <v>31.5</v>
      </c>
      <c r="AC7">
        <v>82.5</v>
      </c>
      <c r="AD7">
        <v>0.1</v>
      </c>
      <c r="AE7">
        <v>17.399999999999999</v>
      </c>
      <c r="AF7">
        <v>85</v>
      </c>
      <c r="AG7">
        <v>0</v>
      </c>
      <c r="AH7">
        <v>15</v>
      </c>
      <c r="AI7">
        <v>52.5</v>
      </c>
      <c r="AJ7">
        <v>3.3</v>
      </c>
      <c r="AK7">
        <v>44.2</v>
      </c>
    </row>
    <row r="8" spans="1:37" x14ac:dyDescent="0.25">
      <c r="A8" t="s">
        <v>287</v>
      </c>
      <c r="B8">
        <v>88</v>
      </c>
      <c r="C8">
        <v>8.5</v>
      </c>
      <c r="D8">
        <v>3.5</v>
      </c>
      <c r="E8">
        <v>90.6</v>
      </c>
      <c r="F8">
        <v>5.3</v>
      </c>
      <c r="G8">
        <v>4.0999999999999996</v>
      </c>
      <c r="H8">
        <v>90</v>
      </c>
      <c r="I8">
        <v>5.0999999999999996</v>
      </c>
      <c r="J8">
        <v>4.9000000000000004</v>
      </c>
      <c r="K8">
        <v>91.4</v>
      </c>
      <c r="L8">
        <v>3.9</v>
      </c>
      <c r="M8">
        <v>4.7</v>
      </c>
      <c r="N8">
        <v>91.1</v>
      </c>
      <c r="O8">
        <v>2.7</v>
      </c>
      <c r="P8">
        <v>6.3</v>
      </c>
      <c r="Q8">
        <v>66.400000000000006</v>
      </c>
      <c r="R8">
        <v>1.9</v>
      </c>
      <c r="S8">
        <v>31.7</v>
      </c>
      <c r="T8">
        <v>79.400000000000006</v>
      </c>
      <c r="U8">
        <v>0.2</v>
      </c>
      <c r="V8">
        <v>20.399999999999999</v>
      </c>
      <c r="W8">
        <v>78</v>
      </c>
      <c r="X8">
        <v>0.3</v>
      </c>
      <c r="Y8">
        <v>21.7</v>
      </c>
      <c r="Z8">
        <v>47.2</v>
      </c>
      <c r="AA8">
        <v>0.8</v>
      </c>
      <c r="AB8">
        <v>52</v>
      </c>
      <c r="AC8">
        <v>75.900000000000006</v>
      </c>
      <c r="AD8">
        <v>0.2</v>
      </c>
      <c r="AE8">
        <v>23.8</v>
      </c>
      <c r="AF8">
        <v>86.1</v>
      </c>
      <c r="AG8">
        <v>0.7</v>
      </c>
      <c r="AH8">
        <v>13.2</v>
      </c>
      <c r="AI8">
        <v>40.6</v>
      </c>
      <c r="AJ8">
        <v>0.9</v>
      </c>
      <c r="AK8">
        <v>58.5</v>
      </c>
    </row>
    <row r="9" spans="1:37" x14ac:dyDescent="0.25">
      <c r="A9" t="s">
        <v>288</v>
      </c>
      <c r="B9">
        <v>82.7</v>
      </c>
      <c r="C9">
        <v>12.2</v>
      </c>
      <c r="D9">
        <v>5.0999999999999996</v>
      </c>
      <c r="E9">
        <v>87.9</v>
      </c>
      <c r="F9">
        <v>6.6</v>
      </c>
      <c r="G9">
        <v>5.5</v>
      </c>
      <c r="H9">
        <v>91.8</v>
      </c>
      <c r="I9">
        <v>4.8</v>
      </c>
      <c r="J9">
        <v>3.4</v>
      </c>
      <c r="K9">
        <v>92.8</v>
      </c>
      <c r="L9">
        <v>3.2</v>
      </c>
      <c r="M9">
        <v>4.0999999999999996</v>
      </c>
      <c r="N9">
        <v>90.5</v>
      </c>
      <c r="O9">
        <v>2.5</v>
      </c>
      <c r="P9">
        <v>7</v>
      </c>
      <c r="Q9">
        <v>68.599999999999994</v>
      </c>
      <c r="R9">
        <v>2</v>
      </c>
      <c r="S9">
        <v>29.4</v>
      </c>
      <c r="T9">
        <v>85.5</v>
      </c>
      <c r="U9">
        <v>0.5</v>
      </c>
      <c r="V9">
        <v>14</v>
      </c>
      <c r="W9">
        <v>83.3</v>
      </c>
      <c r="X9">
        <v>0.2</v>
      </c>
      <c r="Y9">
        <v>16.5</v>
      </c>
      <c r="Z9">
        <v>75</v>
      </c>
      <c r="AA9">
        <v>0.7</v>
      </c>
      <c r="AB9">
        <v>24.3</v>
      </c>
      <c r="AC9">
        <v>86.1</v>
      </c>
      <c r="AD9">
        <v>0.1</v>
      </c>
      <c r="AE9">
        <v>13.8</v>
      </c>
      <c r="AF9">
        <v>91.3</v>
      </c>
      <c r="AG9">
        <v>0.1</v>
      </c>
      <c r="AH9">
        <v>8.6</v>
      </c>
      <c r="AI9">
        <v>61.2</v>
      </c>
      <c r="AJ9">
        <v>1.2</v>
      </c>
      <c r="AK9">
        <v>37.6</v>
      </c>
    </row>
    <row r="10" spans="1:37" x14ac:dyDescent="0.25">
      <c r="A10" t="s">
        <v>289</v>
      </c>
      <c r="B10">
        <v>86.5</v>
      </c>
      <c r="C10">
        <v>8.6999999999999993</v>
      </c>
      <c r="D10">
        <v>4.8</v>
      </c>
      <c r="E10">
        <v>91.3</v>
      </c>
      <c r="F10">
        <v>4.5</v>
      </c>
      <c r="G10">
        <v>4.2</v>
      </c>
      <c r="H10">
        <v>92</v>
      </c>
      <c r="I10">
        <v>3</v>
      </c>
      <c r="J10">
        <v>5</v>
      </c>
      <c r="K10">
        <v>92</v>
      </c>
      <c r="L10">
        <v>2.6</v>
      </c>
      <c r="M10">
        <v>5.3</v>
      </c>
      <c r="N10">
        <v>93.5</v>
      </c>
      <c r="O10">
        <v>1.5</v>
      </c>
      <c r="P10">
        <v>5</v>
      </c>
      <c r="Q10">
        <v>87.4</v>
      </c>
      <c r="R10">
        <v>1.4</v>
      </c>
      <c r="S10">
        <v>11.1</v>
      </c>
      <c r="T10">
        <v>88.3</v>
      </c>
      <c r="U10">
        <v>1</v>
      </c>
      <c r="V10">
        <v>10.7</v>
      </c>
      <c r="W10">
        <v>85.5</v>
      </c>
      <c r="X10">
        <v>0.7</v>
      </c>
      <c r="Y10">
        <v>13.8</v>
      </c>
      <c r="Z10">
        <v>74</v>
      </c>
      <c r="AA10">
        <v>1.3</v>
      </c>
      <c r="AB10">
        <v>24.7</v>
      </c>
      <c r="AC10">
        <v>84.6</v>
      </c>
      <c r="AD10">
        <v>0.5</v>
      </c>
      <c r="AE10">
        <v>14.9</v>
      </c>
      <c r="AF10">
        <v>90.2</v>
      </c>
      <c r="AG10">
        <v>0.7</v>
      </c>
      <c r="AH10">
        <v>9.1999999999999993</v>
      </c>
      <c r="AI10">
        <v>65.3</v>
      </c>
      <c r="AJ10">
        <v>1.8</v>
      </c>
      <c r="AK10">
        <v>32.9</v>
      </c>
    </row>
    <row r="11" spans="1:37" x14ac:dyDescent="0.25">
      <c r="A11" t="s">
        <v>290</v>
      </c>
      <c r="B11">
        <v>82.1</v>
      </c>
      <c r="C11">
        <v>14.9</v>
      </c>
      <c r="D11">
        <v>2.9</v>
      </c>
      <c r="E11">
        <v>86.1</v>
      </c>
      <c r="F11">
        <v>10.6</v>
      </c>
      <c r="G11">
        <v>3.3</v>
      </c>
      <c r="H11">
        <v>87.9</v>
      </c>
      <c r="I11">
        <v>9.1999999999999993</v>
      </c>
      <c r="J11">
        <v>2.9</v>
      </c>
      <c r="K11">
        <v>88.8</v>
      </c>
      <c r="L11">
        <v>7.5</v>
      </c>
      <c r="M11">
        <v>3.7</v>
      </c>
      <c r="N11">
        <v>89.7</v>
      </c>
      <c r="O11">
        <v>5.6</v>
      </c>
      <c r="P11">
        <v>4.7</v>
      </c>
      <c r="Q11">
        <v>93</v>
      </c>
      <c r="R11">
        <v>4.2</v>
      </c>
      <c r="S11">
        <v>2.8</v>
      </c>
      <c r="T11">
        <v>90.1</v>
      </c>
      <c r="U11">
        <v>0.7</v>
      </c>
      <c r="V11">
        <v>9.1999999999999993</v>
      </c>
      <c r="W11">
        <v>88.6</v>
      </c>
      <c r="X11">
        <v>0.8</v>
      </c>
      <c r="Y11">
        <v>10.5</v>
      </c>
      <c r="Z11">
        <v>86.5</v>
      </c>
      <c r="AA11">
        <v>0.6</v>
      </c>
      <c r="AB11">
        <v>12.9</v>
      </c>
      <c r="AC11">
        <v>88.2</v>
      </c>
      <c r="AD11">
        <v>0.4</v>
      </c>
      <c r="AE11">
        <v>11.3</v>
      </c>
      <c r="AF11">
        <v>89.4</v>
      </c>
      <c r="AG11">
        <v>0.1</v>
      </c>
      <c r="AH11">
        <v>10.5</v>
      </c>
      <c r="AI11">
        <v>69.3</v>
      </c>
      <c r="AJ11">
        <v>1.5</v>
      </c>
      <c r="AK11">
        <v>29.2</v>
      </c>
    </row>
    <row r="12" spans="1:37" x14ac:dyDescent="0.25">
      <c r="A12" t="s">
        <v>291</v>
      </c>
      <c r="B12">
        <v>85.1</v>
      </c>
      <c r="C12">
        <v>8.9</v>
      </c>
      <c r="D12">
        <v>6</v>
      </c>
      <c r="E12">
        <v>92.5</v>
      </c>
      <c r="F12">
        <v>4.7</v>
      </c>
      <c r="G12">
        <v>2.9</v>
      </c>
      <c r="H12">
        <v>89.7</v>
      </c>
      <c r="I12">
        <v>2.6</v>
      </c>
      <c r="J12">
        <v>7.7</v>
      </c>
      <c r="K12">
        <v>91.2</v>
      </c>
      <c r="L12">
        <v>1</v>
      </c>
      <c r="M12">
        <v>7.8</v>
      </c>
      <c r="N12">
        <v>88.1</v>
      </c>
      <c r="O12">
        <v>1.8</v>
      </c>
      <c r="P12">
        <v>10.1</v>
      </c>
      <c r="Q12">
        <v>86.9</v>
      </c>
      <c r="R12">
        <v>0.5</v>
      </c>
      <c r="S12">
        <v>12.6</v>
      </c>
      <c r="T12">
        <v>88.1</v>
      </c>
      <c r="U12">
        <v>0.3</v>
      </c>
      <c r="V12">
        <v>11.6</v>
      </c>
      <c r="W12">
        <v>91.9</v>
      </c>
      <c r="X12">
        <v>0</v>
      </c>
      <c r="Y12">
        <v>8.1</v>
      </c>
      <c r="Z12">
        <v>85.8</v>
      </c>
      <c r="AA12">
        <v>4.5999999999999996</v>
      </c>
      <c r="AB12">
        <v>9.6</v>
      </c>
      <c r="AC12">
        <v>91.5</v>
      </c>
      <c r="AD12">
        <v>0</v>
      </c>
      <c r="AE12">
        <v>8.5</v>
      </c>
      <c r="AF12">
        <v>91</v>
      </c>
      <c r="AG12">
        <v>0</v>
      </c>
      <c r="AH12">
        <v>9</v>
      </c>
      <c r="AI12">
        <v>86.5</v>
      </c>
      <c r="AJ12">
        <v>0.6</v>
      </c>
      <c r="AK12">
        <v>12.9</v>
      </c>
    </row>
    <row r="13" spans="1:37" x14ac:dyDescent="0.25">
      <c r="A13" t="s">
        <v>292</v>
      </c>
      <c r="B13">
        <v>84.3</v>
      </c>
      <c r="C13">
        <v>8.8000000000000007</v>
      </c>
      <c r="D13">
        <v>7</v>
      </c>
      <c r="E13">
        <v>85.3</v>
      </c>
      <c r="F13">
        <v>5.8</v>
      </c>
      <c r="G13">
        <v>8.9</v>
      </c>
      <c r="H13">
        <v>89.1</v>
      </c>
      <c r="I13">
        <v>3.2</v>
      </c>
      <c r="J13">
        <v>7.7</v>
      </c>
      <c r="K13">
        <v>88.2</v>
      </c>
      <c r="L13">
        <v>1.6</v>
      </c>
      <c r="M13">
        <v>10.199999999999999</v>
      </c>
      <c r="N13">
        <v>90.6</v>
      </c>
      <c r="O13">
        <v>2</v>
      </c>
      <c r="P13">
        <v>7.4</v>
      </c>
      <c r="Q13">
        <v>66.7</v>
      </c>
      <c r="R13">
        <v>0.7</v>
      </c>
      <c r="S13">
        <v>32.6</v>
      </c>
      <c r="T13">
        <v>88.8</v>
      </c>
      <c r="U13">
        <v>0.8</v>
      </c>
      <c r="V13">
        <v>10.4</v>
      </c>
      <c r="W13">
        <v>88.5</v>
      </c>
      <c r="X13">
        <v>0.7</v>
      </c>
      <c r="Y13">
        <v>10.8</v>
      </c>
      <c r="Z13">
        <v>70.599999999999994</v>
      </c>
      <c r="AA13">
        <v>1.6</v>
      </c>
      <c r="AB13">
        <v>27.8</v>
      </c>
      <c r="AC13">
        <v>88.5</v>
      </c>
      <c r="AD13">
        <v>0.2</v>
      </c>
      <c r="AE13">
        <v>11.3</v>
      </c>
      <c r="AF13">
        <v>94.7</v>
      </c>
      <c r="AG13">
        <v>0</v>
      </c>
      <c r="AH13">
        <v>5.3</v>
      </c>
      <c r="AI13">
        <v>64.099999999999994</v>
      </c>
      <c r="AJ13">
        <v>1.3</v>
      </c>
      <c r="AK13">
        <v>34.6</v>
      </c>
    </row>
    <row r="14" spans="1:37" x14ac:dyDescent="0.25">
      <c r="A14" t="s">
        <v>293</v>
      </c>
      <c r="B14">
        <v>80.8</v>
      </c>
      <c r="C14">
        <v>14.6</v>
      </c>
      <c r="D14">
        <v>4.5999999999999996</v>
      </c>
      <c r="E14">
        <v>84.9</v>
      </c>
      <c r="F14">
        <v>9.1</v>
      </c>
      <c r="G14">
        <v>6</v>
      </c>
      <c r="H14">
        <v>87.5</v>
      </c>
      <c r="I14">
        <v>6.2</v>
      </c>
      <c r="J14">
        <v>6.3</v>
      </c>
      <c r="K14">
        <v>89.9</v>
      </c>
      <c r="L14">
        <v>4.9000000000000004</v>
      </c>
      <c r="M14">
        <v>5.2</v>
      </c>
      <c r="N14">
        <v>86.4</v>
      </c>
      <c r="O14">
        <v>3.7</v>
      </c>
      <c r="P14">
        <v>9.9</v>
      </c>
      <c r="Q14">
        <v>68</v>
      </c>
      <c r="R14">
        <v>3.2</v>
      </c>
      <c r="S14">
        <v>28.8</v>
      </c>
      <c r="T14">
        <v>81.900000000000006</v>
      </c>
      <c r="U14">
        <v>0.5</v>
      </c>
      <c r="V14">
        <v>17.5</v>
      </c>
      <c r="W14">
        <v>82.7</v>
      </c>
      <c r="X14">
        <v>0.2</v>
      </c>
      <c r="Y14">
        <v>17.2</v>
      </c>
      <c r="Z14">
        <v>71.900000000000006</v>
      </c>
      <c r="AA14">
        <v>1.4</v>
      </c>
      <c r="AB14">
        <v>26.8</v>
      </c>
      <c r="AC14">
        <v>85.6</v>
      </c>
      <c r="AD14">
        <v>0.1</v>
      </c>
      <c r="AE14">
        <v>14.3</v>
      </c>
      <c r="AF14">
        <v>92.7</v>
      </c>
      <c r="AG14">
        <v>0.1</v>
      </c>
      <c r="AH14">
        <v>7.2</v>
      </c>
      <c r="AI14">
        <v>73.5</v>
      </c>
      <c r="AJ14">
        <v>1.1000000000000001</v>
      </c>
      <c r="AK14">
        <v>25.5</v>
      </c>
    </row>
    <row r="15" spans="1:37" x14ac:dyDescent="0.25">
      <c r="A15" t="s">
        <v>294</v>
      </c>
      <c r="B15">
        <v>83.2</v>
      </c>
      <c r="C15">
        <v>9.6</v>
      </c>
      <c r="D15">
        <v>7.2</v>
      </c>
      <c r="E15">
        <v>86.4</v>
      </c>
      <c r="F15">
        <v>5.7</v>
      </c>
      <c r="G15">
        <v>7.8</v>
      </c>
      <c r="H15">
        <v>86.5</v>
      </c>
      <c r="I15">
        <v>6.5</v>
      </c>
      <c r="J15">
        <v>7</v>
      </c>
      <c r="K15">
        <v>91.3</v>
      </c>
      <c r="L15">
        <v>2.9</v>
      </c>
      <c r="M15">
        <v>5.8</v>
      </c>
      <c r="N15">
        <v>87.7</v>
      </c>
      <c r="O15">
        <v>2.2999999999999998</v>
      </c>
      <c r="P15">
        <v>10</v>
      </c>
      <c r="Q15">
        <v>86.1</v>
      </c>
      <c r="R15">
        <v>1.2</v>
      </c>
      <c r="S15">
        <v>12.7</v>
      </c>
      <c r="T15">
        <v>86.4</v>
      </c>
      <c r="U15">
        <v>0.4</v>
      </c>
      <c r="V15">
        <v>13.2</v>
      </c>
      <c r="W15">
        <v>86.5</v>
      </c>
      <c r="X15">
        <v>0.3</v>
      </c>
      <c r="Y15">
        <v>13.1</v>
      </c>
      <c r="Z15">
        <v>72.099999999999994</v>
      </c>
      <c r="AA15">
        <v>3</v>
      </c>
      <c r="AB15">
        <v>24.9</v>
      </c>
      <c r="AC15">
        <v>88.6</v>
      </c>
      <c r="AD15">
        <v>0.7</v>
      </c>
      <c r="AE15">
        <v>10.7</v>
      </c>
      <c r="AF15">
        <v>93.1</v>
      </c>
      <c r="AG15">
        <v>0</v>
      </c>
      <c r="AH15">
        <v>6.9</v>
      </c>
      <c r="AI15">
        <v>85.2</v>
      </c>
      <c r="AJ15">
        <v>3</v>
      </c>
      <c r="AK15">
        <v>11.7</v>
      </c>
    </row>
    <row r="16" spans="1:37" x14ac:dyDescent="0.25">
      <c r="A16" t="s">
        <v>295</v>
      </c>
      <c r="B16">
        <v>79.5</v>
      </c>
      <c r="C16">
        <v>12.5</v>
      </c>
      <c r="D16">
        <v>8</v>
      </c>
      <c r="E16">
        <v>84.1</v>
      </c>
      <c r="F16">
        <v>8</v>
      </c>
      <c r="G16">
        <v>7.9</v>
      </c>
      <c r="H16">
        <v>86.1</v>
      </c>
      <c r="I16">
        <v>6.2</v>
      </c>
      <c r="J16">
        <v>7.7</v>
      </c>
      <c r="K16">
        <v>88.4</v>
      </c>
      <c r="L16">
        <v>4.7</v>
      </c>
      <c r="M16">
        <v>6.9</v>
      </c>
      <c r="N16">
        <v>88.9</v>
      </c>
      <c r="O16">
        <v>3.1</v>
      </c>
      <c r="P16">
        <v>8</v>
      </c>
      <c r="Q16">
        <v>63.9</v>
      </c>
      <c r="R16">
        <v>1.8</v>
      </c>
      <c r="S16">
        <v>34.299999999999997</v>
      </c>
      <c r="T16">
        <v>85.7</v>
      </c>
      <c r="U16">
        <v>1.7</v>
      </c>
      <c r="V16">
        <v>12.6</v>
      </c>
      <c r="W16">
        <v>86.3</v>
      </c>
      <c r="X16">
        <v>0.8</v>
      </c>
      <c r="Y16">
        <v>13</v>
      </c>
      <c r="Z16">
        <v>74.3</v>
      </c>
      <c r="AA16">
        <v>1</v>
      </c>
      <c r="AB16">
        <v>24.7</v>
      </c>
      <c r="AC16">
        <v>83.4</v>
      </c>
      <c r="AD16">
        <v>1.3</v>
      </c>
      <c r="AE16">
        <v>15.3</v>
      </c>
      <c r="AF16">
        <v>88.7</v>
      </c>
      <c r="AG16">
        <v>1.2</v>
      </c>
      <c r="AH16">
        <v>10.1</v>
      </c>
      <c r="AI16">
        <v>89.4</v>
      </c>
      <c r="AJ16">
        <v>3.2</v>
      </c>
      <c r="AK16">
        <v>7.4</v>
      </c>
    </row>
    <row r="17" spans="1:37" x14ac:dyDescent="0.25">
      <c r="A17" t="s">
        <v>296</v>
      </c>
      <c r="B17">
        <v>77</v>
      </c>
      <c r="C17">
        <v>13.5</v>
      </c>
      <c r="D17">
        <v>9.5</v>
      </c>
      <c r="E17">
        <v>85.5</v>
      </c>
      <c r="F17">
        <v>7.2</v>
      </c>
      <c r="G17">
        <v>7.3</v>
      </c>
      <c r="H17">
        <v>86.1</v>
      </c>
      <c r="I17">
        <v>6.4</v>
      </c>
      <c r="J17">
        <v>7.5</v>
      </c>
      <c r="K17">
        <v>87.8</v>
      </c>
      <c r="L17">
        <v>4.9000000000000004</v>
      </c>
      <c r="M17">
        <v>7.3</v>
      </c>
      <c r="N17">
        <v>87</v>
      </c>
      <c r="O17">
        <v>4.2</v>
      </c>
      <c r="P17">
        <v>8.8000000000000007</v>
      </c>
      <c r="Q17">
        <v>65.099999999999994</v>
      </c>
      <c r="R17">
        <v>1.4</v>
      </c>
      <c r="S17">
        <v>33.5</v>
      </c>
      <c r="T17">
        <v>86.6</v>
      </c>
      <c r="U17">
        <v>0.6</v>
      </c>
      <c r="V17">
        <v>12.8</v>
      </c>
      <c r="W17">
        <v>83.9</v>
      </c>
      <c r="X17">
        <v>0.3</v>
      </c>
      <c r="Y17">
        <v>15.8</v>
      </c>
      <c r="Z17">
        <v>77.400000000000006</v>
      </c>
      <c r="AA17">
        <v>4.0999999999999996</v>
      </c>
      <c r="AB17">
        <v>18.600000000000001</v>
      </c>
      <c r="AC17">
        <v>88.4</v>
      </c>
      <c r="AD17">
        <v>1.3</v>
      </c>
      <c r="AE17">
        <v>10.4</v>
      </c>
      <c r="AF17">
        <v>89.4</v>
      </c>
      <c r="AG17">
        <v>0.3</v>
      </c>
      <c r="AH17">
        <v>10.3</v>
      </c>
      <c r="AI17">
        <v>73.400000000000006</v>
      </c>
      <c r="AJ17">
        <v>3.6</v>
      </c>
      <c r="AK17">
        <v>23</v>
      </c>
    </row>
    <row r="18" spans="1:37" x14ac:dyDescent="0.25">
      <c r="A18" t="s">
        <v>297</v>
      </c>
      <c r="B18">
        <v>83.1</v>
      </c>
      <c r="C18">
        <v>9</v>
      </c>
      <c r="D18">
        <v>8</v>
      </c>
      <c r="E18">
        <v>87.6</v>
      </c>
      <c r="F18">
        <v>6</v>
      </c>
      <c r="G18">
        <v>6.4</v>
      </c>
      <c r="H18">
        <v>90.7</v>
      </c>
      <c r="I18">
        <v>4</v>
      </c>
      <c r="J18">
        <v>5.3</v>
      </c>
      <c r="K18">
        <v>91.6</v>
      </c>
      <c r="L18">
        <v>3.3</v>
      </c>
      <c r="M18">
        <v>5</v>
      </c>
      <c r="N18">
        <v>93.2</v>
      </c>
      <c r="O18">
        <v>2</v>
      </c>
      <c r="P18">
        <v>4.8</v>
      </c>
      <c r="Q18">
        <v>66.7</v>
      </c>
      <c r="R18">
        <v>1.4</v>
      </c>
      <c r="S18">
        <v>31.9</v>
      </c>
      <c r="T18">
        <v>93.1</v>
      </c>
      <c r="U18">
        <v>1.1000000000000001</v>
      </c>
      <c r="V18">
        <v>5.8</v>
      </c>
      <c r="W18">
        <v>95.3</v>
      </c>
      <c r="X18">
        <v>1.5</v>
      </c>
      <c r="Y18">
        <v>3.2</v>
      </c>
      <c r="Z18">
        <v>64.900000000000006</v>
      </c>
      <c r="AA18">
        <v>2.2000000000000002</v>
      </c>
      <c r="AB18">
        <v>32.799999999999997</v>
      </c>
      <c r="AC18">
        <v>97.2</v>
      </c>
      <c r="AD18">
        <v>0.2</v>
      </c>
      <c r="AE18">
        <v>2.6</v>
      </c>
      <c r="AF18">
        <v>100</v>
      </c>
      <c r="AG18">
        <v>0.1</v>
      </c>
      <c r="AH18" t="s">
        <v>648</v>
      </c>
      <c r="AI18">
        <v>54.4</v>
      </c>
      <c r="AJ18">
        <v>4.7</v>
      </c>
      <c r="AK18">
        <v>40.9</v>
      </c>
    </row>
    <row r="19" spans="1:37" x14ac:dyDescent="0.25">
      <c r="A19" t="s">
        <v>298</v>
      </c>
      <c r="B19">
        <v>78.599999999999994</v>
      </c>
      <c r="C19">
        <v>13.8</v>
      </c>
      <c r="D19">
        <v>7.6</v>
      </c>
      <c r="E19">
        <v>83.6</v>
      </c>
      <c r="F19">
        <v>9.6999999999999993</v>
      </c>
      <c r="G19">
        <v>6.7</v>
      </c>
      <c r="H19">
        <v>85.2</v>
      </c>
      <c r="I19">
        <v>6</v>
      </c>
      <c r="J19">
        <v>8.8000000000000007</v>
      </c>
      <c r="K19">
        <v>90.7</v>
      </c>
      <c r="L19">
        <v>4</v>
      </c>
      <c r="M19">
        <v>5.4</v>
      </c>
      <c r="N19">
        <v>90.4</v>
      </c>
      <c r="O19">
        <v>1.6</v>
      </c>
      <c r="P19">
        <v>8</v>
      </c>
      <c r="Q19">
        <v>77.599999999999994</v>
      </c>
      <c r="R19">
        <v>2</v>
      </c>
      <c r="S19">
        <v>20.399999999999999</v>
      </c>
      <c r="T19">
        <v>88.4</v>
      </c>
      <c r="U19">
        <v>0.9</v>
      </c>
      <c r="V19">
        <v>10.7</v>
      </c>
      <c r="W19">
        <v>87.1</v>
      </c>
      <c r="X19">
        <v>0.6</v>
      </c>
      <c r="Y19">
        <v>12.3</v>
      </c>
      <c r="Z19">
        <v>77.8</v>
      </c>
      <c r="AA19">
        <v>2.7</v>
      </c>
      <c r="AB19">
        <v>19.5</v>
      </c>
      <c r="AC19">
        <v>88.9</v>
      </c>
      <c r="AD19">
        <v>0.2</v>
      </c>
      <c r="AE19">
        <v>10.9</v>
      </c>
      <c r="AF19">
        <v>89.8</v>
      </c>
      <c r="AG19">
        <v>0</v>
      </c>
      <c r="AH19">
        <v>10.199999999999999</v>
      </c>
      <c r="AI19">
        <v>80.900000000000006</v>
      </c>
      <c r="AJ19">
        <v>0.5</v>
      </c>
      <c r="AK19">
        <v>18.600000000000001</v>
      </c>
    </row>
    <row r="20" spans="1:37" x14ac:dyDescent="0.25">
      <c r="A20" t="s">
        <v>299</v>
      </c>
      <c r="B20">
        <v>74.5</v>
      </c>
      <c r="C20">
        <v>17.8</v>
      </c>
      <c r="D20">
        <v>7.7</v>
      </c>
      <c r="E20">
        <v>83.1</v>
      </c>
      <c r="F20">
        <v>10.9</v>
      </c>
      <c r="G20">
        <v>6.1</v>
      </c>
      <c r="H20">
        <v>85.8</v>
      </c>
      <c r="I20">
        <v>8.5</v>
      </c>
      <c r="J20">
        <v>5.7</v>
      </c>
      <c r="K20">
        <v>86.8</v>
      </c>
      <c r="L20">
        <v>5.4</v>
      </c>
      <c r="M20">
        <v>7.8</v>
      </c>
      <c r="N20">
        <v>88</v>
      </c>
      <c r="O20">
        <v>3.6</v>
      </c>
      <c r="P20">
        <v>8.4</v>
      </c>
      <c r="Q20">
        <v>80.099999999999994</v>
      </c>
      <c r="R20">
        <v>1.5</v>
      </c>
      <c r="S20">
        <v>18.399999999999999</v>
      </c>
      <c r="T20">
        <v>85</v>
      </c>
      <c r="U20">
        <v>0.3</v>
      </c>
      <c r="V20">
        <v>14.7</v>
      </c>
      <c r="W20">
        <v>88.8</v>
      </c>
      <c r="X20">
        <v>0.1</v>
      </c>
      <c r="Y20">
        <v>11.1</v>
      </c>
      <c r="Z20">
        <v>81.8</v>
      </c>
      <c r="AA20">
        <v>0.6</v>
      </c>
      <c r="AB20">
        <v>17.7</v>
      </c>
      <c r="AC20">
        <v>84.1</v>
      </c>
      <c r="AD20">
        <v>0.7</v>
      </c>
      <c r="AE20">
        <v>15.2</v>
      </c>
      <c r="AF20">
        <v>87.4</v>
      </c>
      <c r="AG20">
        <v>0</v>
      </c>
      <c r="AH20">
        <v>12.6</v>
      </c>
      <c r="AI20">
        <v>61.4</v>
      </c>
      <c r="AJ20">
        <v>0.8</v>
      </c>
      <c r="AK20">
        <v>37.799999999999997</v>
      </c>
    </row>
    <row r="21" spans="1:37" x14ac:dyDescent="0.25">
      <c r="A21" t="s">
        <v>300</v>
      </c>
      <c r="B21">
        <v>85</v>
      </c>
      <c r="C21">
        <v>10.9</v>
      </c>
      <c r="D21">
        <v>4.0999999999999996</v>
      </c>
      <c r="E21">
        <v>89.1</v>
      </c>
      <c r="F21">
        <v>7.1</v>
      </c>
      <c r="G21">
        <v>3.8</v>
      </c>
      <c r="H21">
        <v>90.3</v>
      </c>
      <c r="I21">
        <v>5.9</v>
      </c>
      <c r="J21">
        <v>3.7</v>
      </c>
      <c r="K21">
        <v>91.5</v>
      </c>
      <c r="L21">
        <v>4.5999999999999996</v>
      </c>
      <c r="M21">
        <v>3.9</v>
      </c>
      <c r="N21">
        <v>91.8</v>
      </c>
      <c r="O21">
        <v>3.7</v>
      </c>
      <c r="P21">
        <v>4.5</v>
      </c>
      <c r="Q21">
        <v>76.099999999999994</v>
      </c>
      <c r="R21">
        <v>2.6</v>
      </c>
      <c r="S21">
        <v>21.3</v>
      </c>
      <c r="T21">
        <v>88.8</v>
      </c>
      <c r="U21">
        <v>0.2</v>
      </c>
      <c r="V21">
        <v>11</v>
      </c>
      <c r="W21">
        <v>85.4</v>
      </c>
      <c r="X21">
        <v>0.1</v>
      </c>
      <c r="Y21">
        <v>14.5</v>
      </c>
      <c r="Z21">
        <v>65.599999999999994</v>
      </c>
      <c r="AA21">
        <v>0.9</v>
      </c>
      <c r="AB21">
        <v>33.5</v>
      </c>
      <c r="AC21">
        <v>85.1</v>
      </c>
      <c r="AD21">
        <v>0.1</v>
      </c>
      <c r="AE21">
        <v>14.8</v>
      </c>
      <c r="AF21">
        <v>89.7</v>
      </c>
      <c r="AG21">
        <v>0.2</v>
      </c>
      <c r="AH21">
        <v>10.1</v>
      </c>
      <c r="AI21">
        <v>63.5</v>
      </c>
      <c r="AJ21">
        <v>2.2000000000000002</v>
      </c>
      <c r="AK21">
        <v>34.299999999999997</v>
      </c>
    </row>
    <row r="22" spans="1:37" x14ac:dyDescent="0.25">
      <c r="A22" t="s">
        <v>301</v>
      </c>
      <c r="B22">
        <v>85</v>
      </c>
      <c r="C22">
        <v>11.8</v>
      </c>
      <c r="D22">
        <v>3.2</v>
      </c>
      <c r="E22">
        <v>85.6</v>
      </c>
      <c r="F22">
        <v>8.8000000000000007</v>
      </c>
      <c r="G22">
        <v>5.6</v>
      </c>
      <c r="H22">
        <v>88.9</v>
      </c>
      <c r="I22">
        <v>7</v>
      </c>
      <c r="J22">
        <v>4.0999999999999996</v>
      </c>
      <c r="K22">
        <v>91.7</v>
      </c>
      <c r="L22">
        <v>3.5</v>
      </c>
      <c r="M22">
        <v>4.8</v>
      </c>
      <c r="N22">
        <v>90.8</v>
      </c>
      <c r="O22">
        <v>3.1</v>
      </c>
      <c r="P22">
        <v>6.1</v>
      </c>
      <c r="Q22">
        <v>77.8</v>
      </c>
      <c r="R22">
        <v>2.1</v>
      </c>
      <c r="S22">
        <v>20.100000000000001</v>
      </c>
      <c r="T22">
        <v>89.2</v>
      </c>
      <c r="U22">
        <v>0.1</v>
      </c>
      <c r="V22">
        <v>10.7</v>
      </c>
      <c r="W22">
        <v>87.2</v>
      </c>
      <c r="X22">
        <v>0.1</v>
      </c>
      <c r="Y22">
        <v>12.7</v>
      </c>
      <c r="Z22">
        <v>80</v>
      </c>
      <c r="AA22">
        <v>0.6</v>
      </c>
      <c r="AB22">
        <v>19.399999999999999</v>
      </c>
      <c r="AC22">
        <v>86.2</v>
      </c>
      <c r="AD22">
        <v>0</v>
      </c>
      <c r="AE22">
        <v>13.8</v>
      </c>
      <c r="AF22">
        <v>89.6</v>
      </c>
      <c r="AG22">
        <v>0</v>
      </c>
      <c r="AH22">
        <v>10.4</v>
      </c>
      <c r="AI22">
        <v>69.400000000000006</v>
      </c>
      <c r="AJ22">
        <v>2.9</v>
      </c>
      <c r="AK22">
        <v>27.7</v>
      </c>
    </row>
    <row r="23" spans="1:37" x14ac:dyDescent="0.25">
      <c r="A23" t="s">
        <v>302</v>
      </c>
      <c r="B23">
        <v>80.8</v>
      </c>
      <c r="C23">
        <v>7.9</v>
      </c>
      <c r="D23">
        <v>11.3</v>
      </c>
      <c r="E23">
        <v>84.8</v>
      </c>
      <c r="F23">
        <v>5.5</v>
      </c>
      <c r="G23">
        <v>9.6999999999999993</v>
      </c>
      <c r="H23">
        <v>85.9</v>
      </c>
      <c r="I23">
        <v>3.9</v>
      </c>
      <c r="J23">
        <v>10.199999999999999</v>
      </c>
      <c r="K23">
        <v>86.4</v>
      </c>
      <c r="L23">
        <v>3.3</v>
      </c>
      <c r="M23">
        <v>10.3</v>
      </c>
      <c r="N23">
        <v>85.1</v>
      </c>
      <c r="O23">
        <v>2.2999999999999998</v>
      </c>
      <c r="P23">
        <v>12.5</v>
      </c>
      <c r="Q23">
        <v>68.400000000000006</v>
      </c>
      <c r="R23">
        <v>1.7</v>
      </c>
      <c r="S23">
        <v>29.9</v>
      </c>
      <c r="T23">
        <v>86.7</v>
      </c>
      <c r="U23">
        <v>0.1</v>
      </c>
      <c r="V23">
        <v>13.2</v>
      </c>
      <c r="W23">
        <v>90.5</v>
      </c>
      <c r="X23">
        <v>0.1</v>
      </c>
      <c r="Y23">
        <v>9.4</v>
      </c>
      <c r="Z23">
        <v>60.8</v>
      </c>
      <c r="AA23">
        <v>2</v>
      </c>
      <c r="AB23">
        <v>37.200000000000003</v>
      </c>
      <c r="AC23">
        <v>83.4</v>
      </c>
      <c r="AD23">
        <v>0.4</v>
      </c>
      <c r="AE23">
        <v>16.2</v>
      </c>
      <c r="AF23">
        <v>93.3</v>
      </c>
      <c r="AG23">
        <v>0</v>
      </c>
      <c r="AH23">
        <v>6.7</v>
      </c>
      <c r="AI23">
        <v>80</v>
      </c>
      <c r="AJ23">
        <v>1.4</v>
      </c>
      <c r="AK23">
        <v>18.600000000000001</v>
      </c>
    </row>
    <row r="24" spans="1:37" x14ac:dyDescent="0.25">
      <c r="A24" t="s">
        <v>303</v>
      </c>
      <c r="B24">
        <v>81.400000000000006</v>
      </c>
      <c r="C24">
        <v>13.3</v>
      </c>
      <c r="D24">
        <v>5.2</v>
      </c>
      <c r="E24">
        <v>85.5</v>
      </c>
      <c r="F24">
        <v>8.8000000000000007</v>
      </c>
      <c r="G24">
        <v>5.6</v>
      </c>
      <c r="H24">
        <v>88.7</v>
      </c>
      <c r="I24">
        <v>6</v>
      </c>
      <c r="J24">
        <v>5.3</v>
      </c>
      <c r="K24">
        <v>90.5</v>
      </c>
      <c r="L24">
        <v>4.0999999999999996</v>
      </c>
      <c r="M24">
        <v>5.4</v>
      </c>
      <c r="N24">
        <v>89.8</v>
      </c>
      <c r="O24">
        <v>3.7</v>
      </c>
      <c r="P24">
        <v>6.4</v>
      </c>
      <c r="Q24">
        <v>70.5</v>
      </c>
      <c r="R24">
        <v>2.2000000000000002</v>
      </c>
      <c r="S24">
        <v>27.3</v>
      </c>
      <c r="T24">
        <v>88.4</v>
      </c>
      <c r="U24">
        <v>1.5</v>
      </c>
      <c r="V24">
        <v>10.1</v>
      </c>
      <c r="W24">
        <v>89.1</v>
      </c>
      <c r="X24">
        <v>1.5</v>
      </c>
      <c r="Y24">
        <v>9.4</v>
      </c>
      <c r="Z24">
        <v>72.2</v>
      </c>
      <c r="AA24">
        <v>1.2</v>
      </c>
      <c r="AB24">
        <v>26.6</v>
      </c>
      <c r="AC24">
        <v>88.3</v>
      </c>
      <c r="AD24">
        <v>0.7</v>
      </c>
      <c r="AE24">
        <v>11.1</v>
      </c>
      <c r="AF24">
        <v>92.7</v>
      </c>
      <c r="AG24">
        <v>0.6</v>
      </c>
      <c r="AH24">
        <v>6.7</v>
      </c>
      <c r="AI24">
        <v>58.1</v>
      </c>
      <c r="AJ24">
        <v>2.2000000000000002</v>
      </c>
      <c r="AK24">
        <v>39.700000000000003</v>
      </c>
    </row>
    <row r="25" spans="1:37" x14ac:dyDescent="0.25">
      <c r="A25" t="s">
        <v>304</v>
      </c>
      <c r="B25">
        <v>71.7</v>
      </c>
      <c r="C25">
        <v>20.9</v>
      </c>
      <c r="D25">
        <v>7.4</v>
      </c>
      <c r="E25">
        <v>81.099999999999994</v>
      </c>
      <c r="F25">
        <v>12.8</v>
      </c>
      <c r="G25">
        <v>6.1</v>
      </c>
      <c r="H25">
        <v>83.7</v>
      </c>
      <c r="I25">
        <v>9.3000000000000007</v>
      </c>
      <c r="J25">
        <v>7</v>
      </c>
      <c r="K25">
        <v>86.9</v>
      </c>
      <c r="L25">
        <v>6.4</v>
      </c>
      <c r="M25">
        <v>6.7</v>
      </c>
      <c r="N25">
        <v>86.4</v>
      </c>
      <c r="O25">
        <v>4.5999999999999996</v>
      </c>
      <c r="P25">
        <v>8.9</v>
      </c>
      <c r="Q25">
        <v>47</v>
      </c>
      <c r="R25">
        <v>4</v>
      </c>
      <c r="S25">
        <v>49</v>
      </c>
      <c r="T25">
        <v>81.8</v>
      </c>
      <c r="U25">
        <v>0.5</v>
      </c>
      <c r="V25">
        <v>17.7</v>
      </c>
      <c r="W25">
        <v>86</v>
      </c>
      <c r="X25">
        <v>0.2</v>
      </c>
      <c r="Y25">
        <v>13.8</v>
      </c>
      <c r="Z25">
        <v>66.5</v>
      </c>
      <c r="AA25">
        <v>0.7</v>
      </c>
      <c r="AB25">
        <v>32.799999999999997</v>
      </c>
      <c r="AC25">
        <v>98.8</v>
      </c>
      <c r="AD25">
        <v>0.2</v>
      </c>
      <c r="AE25">
        <v>1</v>
      </c>
      <c r="AF25">
        <v>94.8</v>
      </c>
      <c r="AG25">
        <v>0</v>
      </c>
      <c r="AH25">
        <v>5.2</v>
      </c>
      <c r="AI25">
        <v>86.5</v>
      </c>
      <c r="AJ25">
        <v>0.7</v>
      </c>
      <c r="AK25">
        <v>12.7</v>
      </c>
    </row>
    <row r="26" spans="1:37" x14ac:dyDescent="0.25">
      <c r="A26" t="s">
        <v>305</v>
      </c>
      <c r="B26">
        <v>86.8</v>
      </c>
      <c r="C26">
        <v>9</v>
      </c>
      <c r="D26">
        <v>4.2</v>
      </c>
      <c r="E26">
        <v>91.9</v>
      </c>
      <c r="F26">
        <v>4.7</v>
      </c>
      <c r="G26">
        <v>3.4</v>
      </c>
      <c r="H26">
        <v>93.2</v>
      </c>
      <c r="I26">
        <v>3.6</v>
      </c>
      <c r="J26">
        <v>3.2</v>
      </c>
      <c r="K26">
        <v>93.5</v>
      </c>
      <c r="L26">
        <v>3.1</v>
      </c>
      <c r="M26">
        <v>3.4</v>
      </c>
      <c r="N26">
        <v>93.8</v>
      </c>
      <c r="O26">
        <v>2</v>
      </c>
      <c r="P26">
        <v>4.2</v>
      </c>
      <c r="Q26">
        <v>75</v>
      </c>
      <c r="R26">
        <v>1.5</v>
      </c>
      <c r="S26">
        <v>23.5</v>
      </c>
      <c r="T26">
        <v>84.5</v>
      </c>
      <c r="U26">
        <v>0.3</v>
      </c>
      <c r="V26">
        <v>15.2</v>
      </c>
      <c r="W26">
        <v>78.2</v>
      </c>
      <c r="X26">
        <v>0.2</v>
      </c>
      <c r="Y26">
        <v>21.6</v>
      </c>
      <c r="Z26">
        <v>59.6</v>
      </c>
      <c r="AA26">
        <v>0.5</v>
      </c>
      <c r="AB26">
        <v>40</v>
      </c>
      <c r="AC26">
        <v>80.400000000000006</v>
      </c>
      <c r="AD26">
        <v>0</v>
      </c>
      <c r="AE26">
        <v>19.600000000000001</v>
      </c>
      <c r="AF26">
        <v>85.4</v>
      </c>
      <c r="AG26">
        <v>0</v>
      </c>
      <c r="AH26">
        <v>14.6</v>
      </c>
      <c r="AI26">
        <v>52.7</v>
      </c>
      <c r="AJ26">
        <v>0.8</v>
      </c>
      <c r="AK26">
        <v>46.5</v>
      </c>
    </row>
    <row r="27" spans="1:37" x14ac:dyDescent="0.25">
      <c r="A27" t="s">
        <v>306</v>
      </c>
      <c r="B27">
        <v>87</v>
      </c>
      <c r="C27">
        <v>9.9</v>
      </c>
      <c r="D27">
        <v>3.2</v>
      </c>
      <c r="E27">
        <v>90.1</v>
      </c>
      <c r="F27">
        <v>6.8</v>
      </c>
      <c r="G27">
        <v>3.1</v>
      </c>
      <c r="H27">
        <v>90.5</v>
      </c>
      <c r="I27">
        <v>5.8</v>
      </c>
      <c r="J27">
        <v>3.8</v>
      </c>
      <c r="K27">
        <v>92.2</v>
      </c>
      <c r="L27">
        <v>4.5999999999999996</v>
      </c>
      <c r="M27">
        <v>3.2</v>
      </c>
      <c r="N27">
        <v>93.4</v>
      </c>
      <c r="O27">
        <v>3.3</v>
      </c>
      <c r="P27">
        <v>3.3</v>
      </c>
      <c r="Q27">
        <v>88</v>
      </c>
      <c r="R27">
        <v>2.2999999999999998</v>
      </c>
      <c r="S27">
        <v>9.6</v>
      </c>
      <c r="T27">
        <v>92.1</v>
      </c>
      <c r="U27">
        <v>1.1000000000000001</v>
      </c>
      <c r="V27">
        <v>6.7</v>
      </c>
      <c r="W27">
        <v>87.5</v>
      </c>
      <c r="X27">
        <v>1.7</v>
      </c>
      <c r="Y27">
        <v>10.8</v>
      </c>
      <c r="Z27">
        <v>77.900000000000006</v>
      </c>
      <c r="AA27">
        <v>0.7</v>
      </c>
      <c r="AB27">
        <v>21.4</v>
      </c>
      <c r="AC27">
        <v>89.5</v>
      </c>
      <c r="AD27">
        <v>0.4</v>
      </c>
      <c r="AE27">
        <v>10.1</v>
      </c>
      <c r="AF27">
        <v>88.1</v>
      </c>
      <c r="AG27">
        <v>0.4</v>
      </c>
      <c r="AH27">
        <v>11.5</v>
      </c>
      <c r="AI27">
        <v>68.7</v>
      </c>
      <c r="AJ27">
        <v>2.2000000000000002</v>
      </c>
      <c r="AK27">
        <v>29.1</v>
      </c>
    </row>
    <row r="28" spans="1:37" x14ac:dyDescent="0.25">
      <c r="A28" t="s">
        <v>307</v>
      </c>
      <c r="B28">
        <v>82.1</v>
      </c>
      <c r="C28">
        <v>12.2</v>
      </c>
      <c r="D28">
        <v>5.7</v>
      </c>
      <c r="E28">
        <v>84.6</v>
      </c>
      <c r="F28">
        <v>8.1999999999999993</v>
      </c>
      <c r="G28">
        <v>7.2</v>
      </c>
      <c r="H28">
        <v>87.3</v>
      </c>
      <c r="I28">
        <v>6.3</v>
      </c>
      <c r="J28">
        <v>6.4</v>
      </c>
      <c r="K28">
        <v>88.8</v>
      </c>
      <c r="L28">
        <v>4.5</v>
      </c>
      <c r="M28">
        <v>6.7</v>
      </c>
      <c r="N28">
        <v>88.5</v>
      </c>
      <c r="O28">
        <v>3.8</v>
      </c>
      <c r="P28">
        <v>7.7</v>
      </c>
      <c r="Q28">
        <v>60.9</v>
      </c>
      <c r="R28">
        <v>2.2000000000000002</v>
      </c>
      <c r="S28">
        <v>36.799999999999997</v>
      </c>
      <c r="T28">
        <v>85.4</v>
      </c>
      <c r="U28">
        <v>0.7</v>
      </c>
      <c r="V28">
        <v>14</v>
      </c>
      <c r="W28">
        <v>84.8</v>
      </c>
      <c r="X28">
        <v>0.4</v>
      </c>
      <c r="Y28">
        <v>14.8</v>
      </c>
      <c r="Z28">
        <v>58.6</v>
      </c>
      <c r="AA28">
        <v>2.2999999999999998</v>
      </c>
      <c r="AB28">
        <v>39.1</v>
      </c>
      <c r="AC28">
        <v>84.8</v>
      </c>
      <c r="AD28">
        <v>0.3</v>
      </c>
      <c r="AE28">
        <v>14.8</v>
      </c>
      <c r="AF28">
        <v>89.8</v>
      </c>
      <c r="AG28">
        <v>0.3</v>
      </c>
      <c r="AH28">
        <v>9.9</v>
      </c>
      <c r="AI28">
        <v>55.9</v>
      </c>
      <c r="AJ28">
        <v>2.4</v>
      </c>
      <c r="AK28">
        <v>41.8</v>
      </c>
    </row>
    <row r="29" spans="1:37" x14ac:dyDescent="0.25">
      <c r="A29" t="s">
        <v>266</v>
      </c>
      <c r="B29">
        <v>83.8</v>
      </c>
      <c r="C29">
        <v>11.3</v>
      </c>
      <c r="D29">
        <v>4.9000000000000004</v>
      </c>
      <c r="E29">
        <v>87.3</v>
      </c>
      <c r="F29">
        <v>7.6</v>
      </c>
      <c r="G29">
        <v>5.0999999999999996</v>
      </c>
      <c r="H29">
        <v>89.6</v>
      </c>
      <c r="I29">
        <v>5.7</v>
      </c>
      <c r="J29">
        <v>4.7</v>
      </c>
      <c r="K29">
        <v>91.1</v>
      </c>
      <c r="L29">
        <v>4.0999999999999996</v>
      </c>
      <c r="M29">
        <v>4.8</v>
      </c>
      <c r="N29">
        <v>90.7</v>
      </c>
      <c r="O29">
        <v>3.2</v>
      </c>
      <c r="P29">
        <v>6.1</v>
      </c>
      <c r="Q29">
        <v>75.900000000000006</v>
      </c>
      <c r="R29">
        <v>2.2000000000000002</v>
      </c>
      <c r="S29">
        <v>21.9</v>
      </c>
      <c r="T29">
        <v>88</v>
      </c>
      <c r="U29">
        <v>0.7</v>
      </c>
      <c r="V29">
        <v>11.3</v>
      </c>
      <c r="W29">
        <v>86.5</v>
      </c>
      <c r="X29">
        <v>0.7</v>
      </c>
      <c r="Y29">
        <v>12.8</v>
      </c>
      <c r="Z29">
        <v>71</v>
      </c>
      <c r="AA29">
        <v>1.2</v>
      </c>
      <c r="AB29">
        <v>27.8</v>
      </c>
      <c r="AC29">
        <v>86.8</v>
      </c>
      <c r="AD29">
        <v>0.4</v>
      </c>
      <c r="AE29">
        <v>12.8</v>
      </c>
      <c r="AF29">
        <v>91</v>
      </c>
      <c r="AG29">
        <v>0.3</v>
      </c>
      <c r="AH29">
        <v>8.6999999999999993</v>
      </c>
      <c r="AI29">
        <v>62.2</v>
      </c>
      <c r="AJ29">
        <v>2.4</v>
      </c>
      <c r="AK29">
        <v>35.4</v>
      </c>
    </row>
    <row r="30" spans="1:37" x14ac:dyDescent="0.25">
      <c r="A30" t="s">
        <v>459</v>
      </c>
      <c r="B30">
        <v>81.2</v>
      </c>
      <c r="C30">
        <v>12.5</v>
      </c>
      <c r="D30">
        <v>6.3</v>
      </c>
      <c r="E30">
        <v>86.7</v>
      </c>
      <c r="F30">
        <v>7.8</v>
      </c>
      <c r="G30">
        <v>5.5</v>
      </c>
      <c r="H30">
        <v>90.1</v>
      </c>
      <c r="I30">
        <v>5.2</v>
      </c>
      <c r="J30">
        <v>4.7</v>
      </c>
      <c r="K30">
        <v>91.2</v>
      </c>
      <c r="L30">
        <v>3.6</v>
      </c>
      <c r="M30">
        <v>5.0999999999999996</v>
      </c>
      <c r="N30">
        <v>92.3</v>
      </c>
      <c r="O30">
        <v>2.5</v>
      </c>
      <c r="P30">
        <v>5.2</v>
      </c>
      <c r="Q30">
        <v>70.599999999999994</v>
      </c>
      <c r="R30">
        <v>1.5</v>
      </c>
      <c r="S30">
        <v>27.8</v>
      </c>
      <c r="T30">
        <v>91.8</v>
      </c>
      <c r="U30">
        <v>1.1000000000000001</v>
      </c>
      <c r="V30">
        <v>7</v>
      </c>
      <c r="W30">
        <v>92.9</v>
      </c>
      <c r="X30">
        <v>1.2</v>
      </c>
      <c r="Y30">
        <v>6</v>
      </c>
      <c r="Z30">
        <v>73.099999999999994</v>
      </c>
      <c r="AA30">
        <v>1.9</v>
      </c>
      <c r="AB30">
        <v>25</v>
      </c>
      <c r="AC30">
        <v>93.6</v>
      </c>
      <c r="AD30">
        <v>0.4</v>
      </c>
      <c r="AE30">
        <v>6</v>
      </c>
      <c r="AF30">
        <v>97</v>
      </c>
      <c r="AG30">
        <v>0.3</v>
      </c>
      <c r="AH30">
        <v>2.8</v>
      </c>
      <c r="AI30">
        <v>56.4</v>
      </c>
      <c r="AJ30">
        <v>3.2</v>
      </c>
      <c r="AK30">
        <v>40.4</v>
      </c>
    </row>
    <row r="31" spans="1:37" x14ac:dyDescent="0.25">
      <c r="A31" t="s">
        <v>460</v>
      </c>
      <c r="B31">
        <v>84.4</v>
      </c>
      <c r="C31">
        <v>11</v>
      </c>
      <c r="D31">
        <v>4.5999999999999996</v>
      </c>
      <c r="E31">
        <v>87.5</v>
      </c>
      <c r="F31">
        <v>7.5</v>
      </c>
      <c r="G31">
        <v>5</v>
      </c>
      <c r="H31">
        <v>89.6</v>
      </c>
      <c r="I31">
        <v>5.8</v>
      </c>
      <c r="J31">
        <v>4.7</v>
      </c>
      <c r="K31">
        <v>91.1</v>
      </c>
      <c r="L31">
        <v>4.2</v>
      </c>
      <c r="M31">
        <v>4.7</v>
      </c>
      <c r="N31">
        <v>90.4</v>
      </c>
      <c r="O31">
        <v>3.3</v>
      </c>
      <c r="P31">
        <v>6.3</v>
      </c>
      <c r="Q31">
        <v>77</v>
      </c>
      <c r="R31">
        <v>2.4</v>
      </c>
      <c r="S31">
        <v>20.6</v>
      </c>
      <c r="T31">
        <v>87</v>
      </c>
      <c r="U31">
        <v>0.6</v>
      </c>
      <c r="V31">
        <v>12.4</v>
      </c>
      <c r="W31">
        <v>84.9</v>
      </c>
      <c r="X31">
        <v>0.6</v>
      </c>
      <c r="Y31">
        <v>14.5</v>
      </c>
      <c r="Z31">
        <v>70.400000000000006</v>
      </c>
      <c r="AA31">
        <v>1</v>
      </c>
      <c r="AB31">
        <v>28.6</v>
      </c>
      <c r="AC31">
        <v>84.4</v>
      </c>
      <c r="AD31">
        <v>0.3</v>
      </c>
      <c r="AE31">
        <v>15.3</v>
      </c>
      <c r="AF31">
        <v>88.6</v>
      </c>
      <c r="AG31">
        <v>0.3</v>
      </c>
      <c r="AH31">
        <v>11.1</v>
      </c>
      <c r="AI31">
        <v>64.7</v>
      </c>
      <c r="AJ31">
        <v>2</v>
      </c>
      <c r="AK31">
        <v>33.200000000000003</v>
      </c>
    </row>
    <row r="36" spans="11:11" x14ac:dyDescent="0.25">
      <c r="K36" t="s">
        <v>822</v>
      </c>
    </row>
  </sheetData>
  <mergeCells count="14">
    <mergeCell ref="A2:A3"/>
    <mergeCell ref="H2:J2"/>
    <mergeCell ref="B2:D2"/>
    <mergeCell ref="Q2:S2"/>
    <mergeCell ref="A1:N1"/>
    <mergeCell ref="T2:V2"/>
    <mergeCell ref="AI2:AK2"/>
    <mergeCell ref="Z2:AB2"/>
    <mergeCell ref="E2:G2"/>
    <mergeCell ref="K2:M2"/>
    <mergeCell ref="N2:P2"/>
    <mergeCell ref="AC2:AE2"/>
    <mergeCell ref="AF2:AH2"/>
    <mergeCell ref="W2:Y2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tabColor rgb="FF00B0F0"/>
  </sheetPr>
  <dimension ref="A1:AK31"/>
  <sheetViews>
    <sheetView workbookViewId="0"/>
  </sheetViews>
  <sheetFormatPr defaultRowHeight="15" x14ac:dyDescent="0.25"/>
  <cols>
    <col min="1" max="1" width="15.28515625" customWidth="1"/>
    <col min="2" max="2" width="9.7109375" customWidth="1"/>
    <col min="4" max="4" width="9.5703125" customWidth="1"/>
    <col min="5" max="5" width="9.7109375" customWidth="1"/>
    <col min="7" max="7" width="8.28515625" customWidth="1"/>
    <col min="8" max="8" width="9.7109375" customWidth="1"/>
    <col min="10" max="10" width="8.28515625" customWidth="1"/>
    <col min="11" max="11" width="9.7109375" customWidth="1"/>
    <col min="13" max="13" width="8.28515625" customWidth="1"/>
    <col min="14" max="14" width="9.7109375" customWidth="1"/>
    <col min="16" max="16" width="9.5703125" customWidth="1"/>
    <col min="17" max="17" width="9.7109375" customWidth="1"/>
    <col min="19" max="19" width="9.5703125" customWidth="1"/>
    <col min="20" max="20" width="9.7109375" customWidth="1"/>
    <col min="22" max="22" width="8.28515625" customWidth="1"/>
    <col min="23" max="23" width="9.7109375" customWidth="1"/>
    <col min="25" max="25" width="8.28515625" customWidth="1"/>
    <col min="26" max="26" width="9.7109375" customWidth="1"/>
    <col min="28" max="28" width="9.5703125" customWidth="1"/>
    <col min="29" max="29" width="9.7109375" customWidth="1"/>
    <col min="31" max="31" width="9.5703125" customWidth="1"/>
    <col min="32" max="32" width="9.7109375" customWidth="1"/>
    <col min="34" max="34" width="9.5703125" customWidth="1"/>
    <col min="35" max="35" width="9.7109375" customWidth="1"/>
    <col min="37" max="37" width="8.28515625" customWidth="1"/>
  </cols>
  <sheetData>
    <row r="1" spans="1:37" x14ac:dyDescent="0.25">
      <c r="A1" s="29" t="s">
        <v>828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37" x14ac:dyDescent="0.25">
      <c r="A2" s="29" t="s">
        <v>709</v>
      </c>
      <c r="B2" s="29" t="s">
        <v>334</v>
      </c>
      <c r="C2" s="29"/>
      <c r="D2" s="29"/>
      <c r="E2" s="29" t="s">
        <v>335</v>
      </c>
      <c r="F2" s="29"/>
      <c r="G2" s="29"/>
      <c r="H2" s="29" t="s">
        <v>336</v>
      </c>
      <c r="I2" s="29"/>
      <c r="J2" s="29"/>
      <c r="K2" s="29" t="s">
        <v>337</v>
      </c>
      <c r="L2" s="29"/>
      <c r="M2" s="29"/>
      <c r="N2" s="29" t="s">
        <v>338</v>
      </c>
      <c r="O2" s="29"/>
      <c r="P2" s="29"/>
      <c r="Q2" s="29" t="s">
        <v>339</v>
      </c>
      <c r="R2" s="29"/>
      <c r="S2" s="29"/>
      <c r="T2" s="29" t="s">
        <v>340</v>
      </c>
      <c r="U2" s="29"/>
      <c r="V2" s="29"/>
      <c r="W2" s="29" t="s">
        <v>341</v>
      </c>
      <c r="X2" s="29"/>
      <c r="Y2" s="29"/>
      <c r="Z2" s="29" t="s">
        <v>342</v>
      </c>
      <c r="AA2" s="29"/>
      <c r="AB2" s="29"/>
      <c r="AC2" s="29" t="s">
        <v>343</v>
      </c>
      <c r="AD2" s="29"/>
      <c r="AE2" s="29"/>
      <c r="AF2" s="29" t="s">
        <v>344</v>
      </c>
      <c r="AG2" s="29"/>
      <c r="AH2" s="29"/>
      <c r="AI2" s="29" t="s">
        <v>345</v>
      </c>
      <c r="AJ2" s="29"/>
      <c r="AK2" s="29"/>
    </row>
    <row r="3" spans="1:37" x14ac:dyDescent="0.25">
      <c r="A3" s="29"/>
      <c r="B3" t="s">
        <v>624</v>
      </c>
      <c r="C3" t="s">
        <v>625</v>
      </c>
      <c r="D3" t="s">
        <v>626</v>
      </c>
      <c r="E3" t="s">
        <v>624</v>
      </c>
      <c r="F3" t="s">
        <v>625</v>
      </c>
      <c r="G3" t="s">
        <v>626</v>
      </c>
      <c r="H3" t="s">
        <v>624</v>
      </c>
      <c r="I3" t="s">
        <v>625</v>
      </c>
      <c r="J3" t="s">
        <v>626</v>
      </c>
      <c r="K3" t="s">
        <v>624</v>
      </c>
      <c r="L3" t="s">
        <v>625</v>
      </c>
      <c r="M3" t="s">
        <v>626</v>
      </c>
      <c r="N3" t="s">
        <v>624</v>
      </c>
      <c r="O3" t="s">
        <v>625</v>
      </c>
      <c r="P3" t="s">
        <v>626</v>
      </c>
      <c r="Q3" t="s">
        <v>624</v>
      </c>
      <c r="R3" t="s">
        <v>625</v>
      </c>
      <c r="S3" t="s">
        <v>626</v>
      </c>
      <c r="T3" t="s">
        <v>624</v>
      </c>
      <c r="U3" t="s">
        <v>625</v>
      </c>
      <c r="V3" t="s">
        <v>626</v>
      </c>
      <c r="W3" t="s">
        <v>624</v>
      </c>
      <c r="X3" t="s">
        <v>625</v>
      </c>
      <c r="Y3" t="s">
        <v>626</v>
      </c>
      <c r="Z3" t="s">
        <v>624</v>
      </c>
      <c r="AA3" t="s">
        <v>625</v>
      </c>
      <c r="AB3" t="s">
        <v>626</v>
      </c>
      <c r="AC3" t="s">
        <v>624</v>
      </c>
      <c r="AD3" t="s">
        <v>625</v>
      </c>
      <c r="AE3" t="s">
        <v>626</v>
      </c>
      <c r="AF3" t="s">
        <v>624</v>
      </c>
      <c r="AG3" t="s">
        <v>625</v>
      </c>
      <c r="AH3" t="s">
        <v>626</v>
      </c>
      <c r="AI3" t="s">
        <v>624</v>
      </c>
      <c r="AJ3" t="s">
        <v>625</v>
      </c>
      <c r="AK3" t="s">
        <v>626</v>
      </c>
    </row>
    <row r="4" spans="1:37" x14ac:dyDescent="0.25">
      <c r="A4" t="s">
        <v>283</v>
      </c>
      <c r="B4">
        <v>85.1</v>
      </c>
      <c r="C4">
        <v>10.4</v>
      </c>
      <c r="D4">
        <v>4.5</v>
      </c>
      <c r="E4">
        <v>87.2</v>
      </c>
      <c r="F4">
        <v>7.5</v>
      </c>
      <c r="G4">
        <v>5.3</v>
      </c>
      <c r="H4">
        <v>90.3</v>
      </c>
      <c r="I4">
        <v>5.9</v>
      </c>
      <c r="J4">
        <v>3.8</v>
      </c>
      <c r="K4">
        <v>89</v>
      </c>
      <c r="L4">
        <v>5.0999999999999996</v>
      </c>
      <c r="M4">
        <v>5.9</v>
      </c>
      <c r="N4">
        <v>90.1</v>
      </c>
      <c r="O4">
        <v>3.5</v>
      </c>
      <c r="P4">
        <v>6.4</v>
      </c>
      <c r="Q4">
        <v>89.9</v>
      </c>
      <c r="R4">
        <v>3</v>
      </c>
      <c r="S4">
        <v>7.1</v>
      </c>
      <c r="T4">
        <v>87.4</v>
      </c>
      <c r="U4">
        <v>1.4</v>
      </c>
      <c r="V4">
        <v>11.3</v>
      </c>
      <c r="W4">
        <v>85</v>
      </c>
      <c r="X4">
        <v>0.8</v>
      </c>
      <c r="Y4">
        <v>14.2</v>
      </c>
      <c r="Z4">
        <v>83.3</v>
      </c>
      <c r="AA4">
        <v>1.6</v>
      </c>
      <c r="AB4">
        <v>15.1</v>
      </c>
      <c r="AC4">
        <v>86.1</v>
      </c>
      <c r="AD4">
        <v>0.3</v>
      </c>
      <c r="AE4">
        <v>13.6</v>
      </c>
      <c r="AF4">
        <v>92.3</v>
      </c>
      <c r="AG4">
        <v>0.3</v>
      </c>
      <c r="AH4">
        <v>7.4</v>
      </c>
      <c r="AI4">
        <v>62.2</v>
      </c>
      <c r="AJ4">
        <v>2.2999999999999998</v>
      </c>
      <c r="AK4">
        <v>35.5</v>
      </c>
    </row>
    <row r="5" spans="1:37" x14ac:dyDescent="0.25">
      <c r="A5" t="s">
        <v>284</v>
      </c>
      <c r="B5">
        <v>85.7</v>
      </c>
      <c r="C5">
        <v>11.8</v>
      </c>
      <c r="D5">
        <v>2.4</v>
      </c>
      <c r="E5">
        <v>79.599999999999994</v>
      </c>
      <c r="F5">
        <v>12</v>
      </c>
      <c r="G5">
        <v>8.4</v>
      </c>
      <c r="H5">
        <v>83.9</v>
      </c>
      <c r="I5">
        <v>8.4</v>
      </c>
      <c r="J5">
        <v>7.7</v>
      </c>
      <c r="K5">
        <v>85.7</v>
      </c>
      <c r="L5">
        <v>6.5</v>
      </c>
      <c r="M5">
        <v>7.8</v>
      </c>
      <c r="N5">
        <v>86</v>
      </c>
      <c r="O5">
        <v>4.9000000000000004</v>
      </c>
      <c r="P5">
        <v>9.1999999999999993</v>
      </c>
      <c r="Q5">
        <v>71.900000000000006</v>
      </c>
      <c r="R5">
        <v>3.5</v>
      </c>
      <c r="S5">
        <v>24.6</v>
      </c>
      <c r="T5">
        <v>83.3</v>
      </c>
      <c r="U5">
        <v>1.2</v>
      </c>
      <c r="V5">
        <v>15.5</v>
      </c>
      <c r="W5">
        <v>85.4</v>
      </c>
      <c r="X5">
        <v>1</v>
      </c>
      <c r="Y5">
        <v>13.6</v>
      </c>
      <c r="Z5">
        <v>70.2</v>
      </c>
      <c r="AA5">
        <v>2.7</v>
      </c>
      <c r="AB5">
        <v>27.1</v>
      </c>
      <c r="AC5">
        <v>84.1</v>
      </c>
      <c r="AD5">
        <v>0.5</v>
      </c>
      <c r="AE5">
        <v>15.4</v>
      </c>
      <c r="AF5">
        <v>91.6</v>
      </c>
      <c r="AG5">
        <v>0.5</v>
      </c>
      <c r="AH5">
        <v>7.9</v>
      </c>
      <c r="AI5">
        <v>59</v>
      </c>
      <c r="AJ5">
        <v>3.8</v>
      </c>
      <c r="AK5">
        <v>37.200000000000003</v>
      </c>
    </row>
    <row r="6" spans="1:37" x14ac:dyDescent="0.25">
      <c r="A6" t="s">
        <v>285</v>
      </c>
      <c r="B6">
        <v>76.900000000000006</v>
      </c>
      <c r="C6">
        <v>19.3</v>
      </c>
      <c r="D6">
        <v>3.8</v>
      </c>
      <c r="E6">
        <v>80.599999999999994</v>
      </c>
      <c r="F6">
        <v>14.1</v>
      </c>
      <c r="G6">
        <v>5.3</v>
      </c>
      <c r="H6">
        <v>78.2</v>
      </c>
      <c r="I6">
        <v>14.3</v>
      </c>
      <c r="J6">
        <v>7.5</v>
      </c>
      <c r="K6">
        <v>74.599999999999994</v>
      </c>
      <c r="L6">
        <v>13.7</v>
      </c>
      <c r="M6">
        <v>11.7</v>
      </c>
      <c r="N6">
        <v>87</v>
      </c>
      <c r="O6">
        <v>7.7</v>
      </c>
      <c r="P6">
        <v>5.3</v>
      </c>
      <c r="Q6">
        <v>50.9</v>
      </c>
      <c r="R6">
        <v>5.8</v>
      </c>
      <c r="S6">
        <v>43.3</v>
      </c>
      <c r="T6">
        <v>85.6</v>
      </c>
      <c r="U6">
        <v>0.9</v>
      </c>
      <c r="V6">
        <v>13.5</v>
      </c>
      <c r="W6">
        <v>84.7</v>
      </c>
      <c r="X6">
        <v>1.3</v>
      </c>
      <c r="Y6">
        <v>14</v>
      </c>
      <c r="Z6">
        <v>58.8</v>
      </c>
      <c r="AA6">
        <v>2.9</v>
      </c>
      <c r="AB6">
        <v>38.299999999999997</v>
      </c>
      <c r="AC6">
        <v>86.1</v>
      </c>
      <c r="AD6">
        <v>0.6</v>
      </c>
      <c r="AE6">
        <v>13.3</v>
      </c>
      <c r="AF6">
        <v>90.9</v>
      </c>
      <c r="AG6">
        <v>0.9</v>
      </c>
      <c r="AH6">
        <v>8.1999999999999993</v>
      </c>
      <c r="AI6">
        <v>51.6</v>
      </c>
      <c r="AJ6">
        <v>2.7</v>
      </c>
      <c r="AK6">
        <v>45.7</v>
      </c>
    </row>
    <row r="7" spans="1:37" x14ac:dyDescent="0.25">
      <c r="A7" t="s">
        <v>286</v>
      </c>
      <c r="B7">
        <v>82.6</v>
      </c>
      <c r="C7">
        <v>16.100000000000001</v>
      </c>
      <c r="D7">
        <v>1.3</v>
      </c>
      <c r="E7">
        <v>84.1</v>
      </c>
      <c r="F7">
        <v>13</v>
      </c>
      <c r="G7">
        <v>3</v>
      </c>
      <c r="H7">
        <v>84.9</v>
      </c>
      <c r="I7">
        <v>12.4</v>
      </c>
      <c r="J7">
        <v>2.7</v>
      </c>
      <c r="K7">
        <v>84.2</v>
      </c>
      <c r="L7">
        <v>10.3</v>
      </c>
      <c r="M7">
        <v>5.5</v>
      </c>
      <c r="N7">
        <v>87.3</v>
      </c>
      <c r="O7">
        <v>7.7</v>
      </c>
      <c r="P7">
        <v>5</v>
      </c>
      <c r="Q7">
        <v>83.9</v>
      </c>
      <c r="R7">
        <v>5.0999999999999996</v>
      </c>
      <c r="S7">
        <v>11</v>
      </c>
      <c r="T7">
        <v>86</v>
      </c>
      <c r="U7">
        <v>0.7</v>
      </c>
      <c r="V7">
        <v>13.3</v>
      </c>
      <c r="W7">
        <v>84.6</v>
      </c>
      <c r="X7">
        <v>1.1000000000000001</v>
      </c>
      <c r="Y7">
        <v>14.3</v>
      </c>
      <c r="Z7">
        <v>68.8</v>
      </c>
      <c r="AA7">
        <v>1.1000000000000001</v>
      </c>
      <c r="AB7">
        <v>30.1</v>
      </c>
      <c r="AC7">
        <v>84.1</v>
      </c>
      <c r="AD7">
        <v>0.2</v>
      </c>
      <c r="AE7">
        <v>15.7</v>
      </c>
      <c r="AF7">
        <v>85.3</v>
      </c>
      <c r="AG7">
        <v>0.1</v>
      </c>
      <c r="AH7">
        <v>14.6</v>
      </c>
      <c r="AI7">
        <v>44.7</v>
      </c>
      <c r="AJ7">
        <v>3.9</v>
      </c>
      <c r="AK7">
        <v>51.3</v>
      </c>
    </row>
    <row r="8" spans="1:37" x14ac:dyDescent="0.25">
      <c r="A8" t="s">
        <v>287</v>
      </c>
      <c r="B8">
        <v>86.1</v>
      </c>
      <c r="C8">
        <v>11.6</v>
      </c>
      <c r="D8">
        <v>2.2999999999999998</v>
      </c>
      <c r="E8">
        <v>90.5</v>
      </c>
      <c r="F8">
        <v>7.2</v>
      </c>
      <c r="G8">
        <v>2.2999999999999998</v>
      </c>
      <c r="H8">
        <v>90.1</v>
      </c>
      <c r="I8">
        <v>7</v>
      </c>
      <c r="J8">
        <v>2.9</v>
      </c>
      <c r="K8">
        <v>90.2</v>
      </c>
      <c r="L8">
        <v>5.8</v>
      </c>
      <c r="M8">
        <v>4</v>
      </c>
      <c r="N8">
        <v>90.4</v>
      </c>
      <c r="O8">
        <v>4.0999999999999996</v>
      </c>
      <c r="P8">
        <v>5.5</v>
      </c>
      <c r="Q8">
        <v>66.400000000000006</v>
      </c>
      <c r="R8">
        <v>3.5</v>
      </c>
      <c r="S8">
        <v>30.2</v>
      </c>
      <c r="T8">
        <v>82.8</v>
      </c>
      <c r="U8">
        <v>0.8</v>
      </c>
      <c r="V8">
        <v>16.399999999999999</v>
      </c>
      <c r="W8">
        <v>81.5</v>
      </c>
      <c r="X8">
        <v>0.7</v>
      </c>
      <c r="Y8">
        <v>17.899999999999999</v>
      </c>
      <c r="Z8">
        <v>43</v>
      </c>
      <c r="AA8">
        <v>2.5</v>
      </c>
      <c r="AB8">
        <v>54.5</v>
      </c>
      <c r="AC8">
        <v>79.5</v>
      </c>
      <c r="AD8">
        <v>0.9</v>
      </c>
      <c r="AE8">
        <v>19.600000000000001</v>
      </c>
      <c r="AF8">
        <v>87</v>
      </c>
      <c r="AG8">
        <v>0.4</v>
      </c>
      <c r="AH8">
        <v>12.7</v>
      </c>
      <c r="AI8">
        <v>31.1</v>
      </c>
      <c r="AJ8">
        <v>1.3</v>
      </c>
      <c r="AK8">
        <v>67.7</v>
      </c>
    </row>
    <row r="9" spans="1:37" x14ac:dyDescent="0.25">
      <c r="A9" t="s">
        <v>288</v>
      </c>
      <c r="B9">
        <v>81.900000000000006</v>
      </c>
      <c r="C9">
        <v>15.7</v>
      </c>
      <c r="D9">
        <v>2.4</v>
      </c>
      <c r="E9">
        <v>84.8</v>
      </c>
      <c r="F9">
        <v>10.6</v>
      </c>
      <c r="G9">
        <v>4.7</v>
      </c>
      <c r="H9">
        <v>80.7</v>
      </c>
      <c r="I9">
        <v>11.5</v>
      </c>
      <c r="J9">
        <v>7.8</v>
      </c>
      <c r="K9">
        <v>77.3</v>
      </c>
      <c r="L9">
        <v>9.5</v>
      </c>
      <c r="M9">
        <v>13.2</v>
      </c>
      <c r="N9">
        <v>85</v>
      </c>
      <c r="O9">
        <v>5.0999999999999996</v>
      </c>
      <c r="P9">
        <v>10</v>
      </c>
      <c r="Q9">
        <v>64.099999999999994</v>
      </c>
      <c r="R9">
        <v>4.4000000000000004</v>
      </c>
      <c r="S9">
        <v>31.5</v>
      </c>
      <c r="T9">
        <v>83.2</v>
      </c>
      <c r="U9">
        <v>0.9</v>
      </c>
      <c r="V9">
        <v>15.8</v>
      </c>
      <c r="W9">
        <v>84.5</v>
      </c>
      <c r="X9">
        <v>0.8</v>
      </c>
      <c r="Y9">
        <v>14.7</v>
      </c>
      <c r="Z9">
        <v>71</v>
      </c>
      <c r="AA9">
        <v>2.1</v>
      </c>
      <c r="AB9">
        <v>27</v>
      </c>
      <c r="AC9">
        <v>85.1</v>
      </c>
      <c r="AD9">
        <v>0.7</v>
      </c>
      <c r="AE9">
        <v>14.1</v>
      </c>
      <c r="AF9">
        <v>91.8</v>
      </c>
      <c r="AG9">
        <v>0.3</v>
      </c>
      <c r="AH9">
        <v>7.9</v>
      </c>
      <c r="AI9">
        <v>55.8</v>
      </c>
      <c r="AJ9">
        <v>2.9</v>
      </c>
      <c r="AK9">
        <v>41.4</v>
      </c>
    </row>
    <row r="10" spans="1:37" x14ac:dyDescent="0.25">
      <c r="A10" t="s">
        <v>289</v>
      </c>
      <c r="B10">
        <v>83.6</v>
      </c>
      <c r="C10">
        <v>12.1</v>
      </c>
      <c r="D10">
        <v>4.3</v>
      </c>
      <c r="E10">
        <v>88.1</v>
      </c>
      <c r="F10">
        <v>8.1999999999999993</v>
      </c>
      <c r="G10">
        <v>3.7</v>
      </c>
      <c r="H10">
        <v>89.9</v>
      </c>
      <c r="I10">
        <v>6.3</v>
      </c>
      <c r="J10">
        <v>3.8</v>
      </c>
      <c r="K10">
        <v>89.9</v>
      </c>
      <c r="L10">
        <v>4.3</v>
      </c>
      <c r="M10">
        <v>5.9</v>
      </c>
      <c r="N10">
        <v>91.4</v>
      </c>
      <c r="O10">
        <v>3.3</v>
      </c>
      <c r="P10">
        <v>5.4</v>
      </c>
      <c r="Q10">
        <v>75.8</v>
      </c>
      <c r="R10">
        <v>3.2</v>
      </c>
      <c r="S10">
        <v>21.1</v>
      </c>
      <c r="T10">
        <v>86.2</v>
      </c>
      <c r="U10">
        <v>1.8</v>
      </c>
      <c r="V10">
        <v>12</v>
      </c>
      <c r="W10">
        <v>84.1</v>
      </c>
      <c r="X10">
        <v>0.9</v>
      </c>
      <c r="Y10">
        <v>15</v>
      </c>
      <c r="Z10">
        <v>72.400000000000006</v>
      </c>
      <c r="AA10">
        <v>4.3</v>
      </c>
      <c r="AB10">
        <v>23.3</v>
      </c>
      <c r="AC10">
        <v>85.5</v>
      </c>
      <c r="AD10">
        <v>0.9</v>
      </c>
      <c r="AE10">
        <v>13.6</v>
      </c>
      <c r="AF10">
        <v>89.7</v>
      </c>
      <c r="AG10">
        <v>0.7</v>
      </c>
      <c r="AH10">
        <v>9.6</v>
      </c>
      <c r="AI10">
        <v>56.1</v>
      </c>
      <c r="AJ10">
        <v>2.6</v>
      </c>
      <c r="AK10">
        <v>41.3</v>
      </c>
    </row>
    <row r="11" spans="1:37" x14ac:dyDescent="0.25">
      <c r="A11" t="s">
        <v>290</v>
      </c>
      <c r="B11">
        <v>76.8</v>
      </c>
      <c r="C11">
        <v>20.8</v>
      </c>
      <c r="D11">
        <v>2.4</v>
      </c>
      <c r="E11">
        <v>81.400000000000006</v>
      </c>
      <c r="F11">
        <v>15.8</v>
      </c>
      <c r="G11">
        <v>2.8</v>
      </c>
      <c r="H11">
        <v>81.900000000000006</v>
      </c>
      <c r="I11">
        <v>14.2</v>
      </c>
      <c r="J11">
        <v>3.9</v>
      </c>
      <c r="K11">
        <v>83.9</v>
      </c>
      <c r="L11">
        <v>12.4</v>
      </c>
      <c r="M11">
        <v>3.7</v>
      </c>
      <c r="N11">
        <v>84.7</v>
      </c>
      <c r="O11">
        <v>10.199999999999999</v>
      </c>
      <c r="P11">
        <v>5.2</v>
      </c>
      <c r="Q11">
        <v>88.1</v>
      </c>
      <c r="R11">
        <v>6.9</v>
      </c>
      <c r="S11">
        <v>5</v>
      </c>
      <c r="T11">
        <v>88.4</v>
      </c>
      <c r="U11">
        <v>1.1000000000000001</v>
      </c>
      <c r="V11">
        <v>10.4</v>
      </c>
      <c r="W11">
        <v>88.9</v>
      </c>
      <c r="X11">
        <v>1.5</v>
      </c>
      <c r="Y11">
        <v>9.6999999999999993</v>
      </c>
      <c r="Z11">
        <v>81.2</v>
      </c>
      <c r="AA11">
        <v>2.1</v>
      </c>
      <c r="AB11">
        <v>16.7</v>
      </c>
      <c r="AC11">
        <v>86.8</v>
      </c>
      <c r="AD11">
        <v>0.9</v>
      </c>
      <c r="AE11">
        <v>12.2</v>
      </c>
      <c r="AF11">
        <v>89.2</v>
      </c>
      <c r="AG11">
        <v>0.6</v>
      </c>
      <c r="AH11">
        <v>10.199999999999999</v>
      </c>
      <c r="AI11">
        <v>55.6</v>
      </c>
      <c r="AJ11">
        <v>2.5</v>
      </c>
      <c r="AK11">
        <v>41.8</v>
      </c>
    </row>
    <row r="12" spans="1:37" x14ac:dyDescent="0.25">
      <c r="A12" t="s">
        <v>291</v>
      </c>
      <c r="B12">
        <v>82.3</v>
      </c>
      <c r="C12">
        <v>14.2</v>
      </c>
      <c r="D12">
        <v>3.5</v>
      </c>
      <c r="E12">
        <v>87.5</v>
      </c>
      <c r="F12">
        <v>10.6</v>
      </c>
      <c r="G12">
        <v>1.9</v>
      </c>
      <c r="H12">
        <v>90</v>
      </c>
      <c r="I12">
        <v>5.7</v>
      </c>
      <c r="J12">
        <v>4.3</v>
      </c>
      <c r="K12">
        <v>86.3</v>
      </c>
      <c r="L12">
        <v>3.6</v>
      </c>
      <c r="M12">
        <v>10.1</v>
      </c>
      <c r="N12">
        <v>89.1</v>
      </c>
      <c r="O12">
        <v>3.4</v>
      </c>
      <c r="P12">
        <v>7.5</v>
      </c>
      <c r="Q12">
        <v>79.7</v>
      </c>
      <c r="R12">
        <v>2.1</v>
      </c>
      <c r="S12">
        <v>18.2</v>
      </c>
      <c r="T12">
        <v>90</v>
      </c>
      <c r="U12">
        <v>1</v>
      </c>
      <c r="V12">
        <v>9.1</v>
      </c>
      <c r="W12">
        <v>88</v>
      </c>
      <c r="X12">
        <v>1.2</v>
      </c>
      <c r="Y12">
        <v>10.8</v>
      </c>
      <c r="Z12">
        <v>72.3</v>
      </c>
      <c r="AA12">
        <v>14.4</v>
      </c>
      <c r="AB12">
        <v>13.3</v>
      </c>
      <c r="AC12">
        <v>92.1</v>
      </c>
      <c r="AD12">
        <v>0</v>
      </c>
      <c r="AE12">
        <v>7.9</v>
      </c>
      <c r="AF12">
        <v>97.1</v>
      </c>
      <c r="AG12">
        <v>0</v>
      </c>
      <c r="AH12">
        <v>2.9</v>
      </c>
      <c r="AI12">
        <v>82.5</v>
      </c>
      <c r="AJ12">
        <v>0</v>
      </c>
      <c r="AK12">
        <v>17.5</v>
      </c>
    </row>
    <row r="13" spans="1:37" x14ac:dyDescent="0.25">
      <c r="A13" t="s">
        <v>292</v>
      </c>
      <c r="B13">
        <v>85.8</v>
      </c>
      <c r="C13">
        <v>11</v>
      </c>
      <c r="D13">
        <v>3.2</v>
      </c>
      <c r="E13">
        <v>82.7</v>
      </c>
      <c r="F13">
        <v>8.5</v>
      </c>
      <c r="G13">
        <v>8.8000000000000007</v>
      </c>
      <c r="H13">
        <v>90.4</v>
      </c>
      <c r="I13">
        <v>5.4</v>
      </c>
      <c r="J13">
        <v>4.2</v>
      </c>
      <c r="K13">
        <v>86.1</v>
      </c>
      <c r="L13">
        <v>2.8</v>
      </c>
      <c r="M13">
        <v>11.1</v>
      </c>
      <c r="N13">
        <v>91</v>
      </c>
      <c r="O13">
        <v>3.4</v>
      </c>
      <c r="P13">
        <v>5.6</v>
      </c>
      <c r="Q13">
        <v>66.900000000000006</v>
      </c>
      <c r="R13">
        <v>2.1</v>
      </c>
      <c r="S13">
        <v>31.1</v>
      </c>
      <c r="T13">
        <v>88</v>
      </c>
      <c r="U13">
        <v>1.2</v>
      </c>
      <c r="V13">
        <v>10.8</v>
      </c>
      <c r="W13">
        <v>89.1</v>
      </c>
      <c r="X13">
        <v>2</v>
      </c>
      <c r="Y13">
        <v>9</v>
      </c>
      <c r="Z13">
        <v>68.400000000000006</v>
      </c>
      <c r="AA13">
        <v>4.7</v>
      </c>
      <c r="AB13">
        <v>26.8</v>
      </c>
      <c r="AC13">
        <v>84.9</v>
      </c>
      <c r="AD13">
        <v>0.5</v>
      </c>
      <c r="AE13">
        <v>14.6</v>
      </c>
      <c r="AF13">
        <v>85.9</v>
      </c>
      <c r="AG13">
        <v>0.2</v>
      </c>
      <c r="AH13">
        <v>13.9</v>
      </c>
      <c r="AI13">
        <v>59.6</v>
      </c>
      <c r="AJ13">
        <v>1.3</v>
      </c>
      <c r="AK13">
        <v>39.1</v>
      </c>
    </row>
    <row r="14" spans="1:37" x14ac:dyDescent="0.25">
      <c r="A14" t="s">
        <v>293</v>
      </c>
      <c r="B14">
        <v>76.400000000000006</v>
      </c>
      <c r="C14">
        <v>19.399999999999999</v>
      </c>
      <c r="D14">
        <v>4.2</v>
      </c>
      <c r="E14">
        <v>77.400000000000006</v>
      </c>
      <c r="F14">
        <v>14.7</v>
      </c>
      <c r="G14">
        <v>7.9</v>
      </c>
      <c r="H14">
        <v>77.2</v>
      </c>
      <c r="I14">
        <v>12.1</v>
      </c>
      <c r="J14">
        <v>10.7</v>
      </c>
      <c r="K14">
        <v>78</v>
      </c>
      <c r="L14">
        <v>10.6</v>
      </c>
      <c r="M14">
        <v>11.4</v>
      </c>
      <c r="N14">
        <v>81.8</v>
      </c>
      <c r="O14">
        <v>6.4</v>
      </c>
      <c r="P14">
        <v>11.8</v>
      </c>
      <c r="Q14">
        <v>63.9</v>
      </c>
      <c r="R14">
        <v>4.5</v>
      </c>
      <c r="S14">
        <v>31.6</v>
      </c>
      <c r="T14">
        <v>80</v>
      </c>
      <c r="U14">
        <v>1.3</v>
      </c>
      <c r="V14">
        <v>18.7</v>
      </c>
      <c r="W14">
        <v>81.3</v>
      </c>
      <c r="X14">
        <v>0.9</v>
      </c>
      <c r="Y14">
        <v>17.7</v>
      </c>
      <c r="Z14">
        <v>67.7</v>
      </c>
      <c r="AA14">
        <v>5</v>
      </c>
      <c r="AB14">
        <v>27.3</v>
      </c>
      <c r="AC14">
        <v>86.2</v>
      </c>
      <c r="AD14">
        <v>0</v>
      </c>
      <c r="AE14">
        <v>13.8</v>
      </c>
      <c r="AF14">
        <v>91.6</v>
      </c>
      <c r="AG14">
        <v>0</v>
      </c>
      <c r="AH14">
        <v>8.4</v>
      </c>
      <c r="AI14">
        <v>63.3</v>
      </c>
      <c r="AJ14">
        <v>1.5</v>
      </c>
      <c r="AK14">
        <v>35.200000000000003</v>
      </c>
    </row>
    <row r="15" spans="1:37" x14ac:dyDescent="0.25">
      <c r="A15" t="s">
        <v>294</v>
      </c>
      <c r="B15">
        <v>81.3</v>
      </c>
      <c r="C15">
        <v>12.9</v>
      </c>
      <c r="D15">
        <v>5.8</v>
      </c>
      <c r="E15">
        <v>82.7</v>
      </c>
      <c r="F15">
        <v>13</v>
      </c>
      <c r="G15">
        <v>4.3</v>
      </c>
      <c r="H15">
        <v>86</v>
      </c>
      <c r="I15">
        <v>9.6</v>
      </c>
      <c r="J15">
        <v>4.4000000000000004</v>
      </c>
      <c r="K15">
        <v>89.9</v>
      </c>
      <c r="L15">
        <v>4.7</v>
      </c>
      <c r="M15">
        <v>5.4</v>
      </c>
      <c r="N15">
        <v>81.599999999999994</v>
      </c>
      <c r="O15">
        <v>5.8</v>
      </c>
      <c r="P15">
        <v>12.6</v>
      </c>
      <c r="Q15">
        <v>77.400000000000006</v>
      </c>
      <c r="R15">
        <v>4.5</v>
      </c>
      <c r="S15">
        <v>18.100000000000001</v>
      </c>
      <c r="T15">
        <v>82.3</v>
      </c>
      <c r="U15">
        <v>3.9</v>
      </c>
      <c r="V15">
        <v>13.9</v>
      </c>
      <c r="W15">
        <v>84.5</v>
      </c>
      <c r="X15">
        <v>3.2</v>
      </c>
      <c r="Y15">
        <v>12.3</v>
      </c>
      <c r="Z15">
        <v>97.9</v>
      </c>
      <c r="AA15">
        <v>4.0999999999999996</v>
      </c>
      <c r="AB15" t="s">
        <v>648</v>
      </c>
      <c r="AC15">
        <v>94.4</v>
      </c>
      <c r="AD15">
        <v>0.6</v>
      </c>
      <c r="AE15">
        <v>5</v>
      </c>
      <c r="AF15">
        <v>89</v>
      </c>
      <c r="AG15">
        <v>0.4</v>
      </c>
      <c r="AH15">
        <v>10.6</v>
      </c>
      <c r="AI15">
        <v>78.7</v>
      </c>
      <c r="AJ15">
        <v>3.9</v>
      </c>
      <c r="AK15">
        <v>17.399999999999999</v>
      </c>
    </row>
    <row r="16" spans="1:37" x14ac:dyDescent="0.25">
      <c r="A16" t="s">
        <v>295</v>
      </c>
      <c r="B16">
        <v>77.099999999999994</v>
      </c>
      <c r="C16">
        <v>17.899999999999999</v>
      </c>
      <c r="D16">
        <v>5</v>
      </c>
      <c r="E16">
        <v>82.8</v>
      </c>
      <c r="F16">
        <v>12.4</v>
      </c>
      <c r="G16">
        <v>4.8</v>
      </c>
      <c r="H16">
        <v>84.1</v>
      </c>
      <c r="I16">
        <v>10</v>
      </c>
      <c r="J16">
        <v>5.9</v>
      </c>
      <c r="K16">
        <v>84.2</v>
      </c>
      <c r="L16">
        <v>8.1</v>
      </c>
      <c r="M16">
        <v>7.6</v>
      </c>
      <c r="N16">
        <v>86.5</v>
      </c>
      <c r="O16">
        <v>4.4000000000000004</v>
      </c>
      <c r="P16">
        <v>9.1999999999999993</v>
      </c>
      <c r="Q16">
        <v>59.7</v>
      </c>
      <c r="R16">
        <v>2.9</v>
      </c>
      <c r="S16">
        <v>37.4</v>
      </c>
      <c r="T16">
        <v>82.5</v>
      </c>
      <c r="U16">
        <v>2.4</v>
      </c>
      <c r="V16">
        <v>15.1</v>
      </c>
      <c r="W16">
        <v>81.8</v>
      </c>
      <c r="X16">
        <v>2.2999999999999998</v>
      </c>
      <c r="Y16">
        <v>15.9</v>
      </c>
      <c r="Z16">
        <v>72.7</v>
      </c>
      <c r="AA16">
        <v>3</v>
      </c>
      <c r="AB16">
        <v>24.3</v>
      </c>
      <c r="AC16">
        <v>79.7</v>
      </c>
      <c r="AD16">
        <v>2.5</v>
      </c>
      <c r="AE16">
        <v>17.8</v>
      </c>
      <c r="AF16">
        <v>85.8</v>
      </c>
      <c r="AG16">
        <v>1.2</v>
      </c>
      <c r="AH16">
        <v>13</v>
      </c>
      <c r="AI16">
        <v>86.8</v>
      </c>
      <c r="AJ16">
        <v>5.5</v>
      </c>
      <c r="AK16">
        <v>7.7</v>
      </c>
    </row>
    <row r="17" spans="1:37" x14ac:dyDescent="0.25">
      <c r="A17" t="s">
        <v>296</v>
      </c>
      <c r="B17">
        <v>74</v>
      </c>
      <c r="C17">
        <v>19.100000000000001</v>
      </c>
      <c r="D17">
        <v>6.9</v>
      </c>
      <c r="E17">
        <v>83.7</v>
      </c>
      <c r="F17">
        <v>9.9</v>
      </c>
      <c r="G17">
        <v>6.4</v>
      </c>
      <c r="H17">
        <v>84.6</v>
      </c>
      <c r="I17">
        <v>9.1999999999999993</v>
      </c>
      <c r="J17">
        <v>6.2</v>
      </c>
      <c r="K17">
        <v>78.900000000000006</v>
      </c>
      <c r="L17">
        <v>6.5</v>
      </c>
      <c r="M17">
        <v>14.5</v>
      </c>
      <c r="N17">
        <v>83.9</v>
      </c>
      <c r="O17">
        <v>6.7</v>
      </c>
      <c r="P17">
        <v>9.4</v>
      </c>
      <c r="Q17">
        <v>66.099999999999994</v>
      </c>
      <c r="R17">
        <v>1.3</v>
      </c>
      <c r="S17">
        <v>32.6</v>
      </c>
      <c r="T17">
        <v>80.099999999999994</v>
      </c>
      <c r="U17">
        <v>2.2999999999999998</v>
      </c>
      <c r="V17">
        <v>17.600000000000001</v>
      </c>
      <c r="W17">
        <v>83.4</v>
      </c>
      <c r="X17">
        <v>1.4</v>
      </c>
      <c r="Y17">
        <v>15.2</v>
      </c>
      <c r="Z17">
        <v>64.3</v>
      </c>
      <c r="AA17">
        <v>6.4</v>
      </c>
      <c r="AB17">
        <v>29.3</v>
      </c>
      <c r="AC17">
        <v>81</v>
      </c>
      <c r="AD17">
        <v>2.8</v>
      </c>
      <c r="AE17">
        <v>16.3</v>
      </c>
      <c r="AF17">
        <v>86.7</v>
      </c>
      <c r="AG17">
        <v>1.6</v>
      </c>
      <c r="AH17">
        <v>11.6</v>
      </c>
      <c r="AI17">
        <v>69.599999999999994</v>
      </c>
      <c r="AJ17">
        <v>4.0999999999999996</v>
      </c>
      <c r="AK17">
        <v>26.3</v>
      </c>
    </row>
    <row r="18" spans="1:37" x14ac:dyDescent="0.25">
      <c r="A18" t="s">
        <v>297</v>
      </c>
      <c r="B18">
        <v>78.400000000000006</v>
      </c>
      <c r="C18">
        <v>12</v>
      </c>
      <c r="D18">
        <v>9.6999999999999993</v>
      </c>
      <c r="E18">
        <v>88.6</v>
      </c>
      <c r="F18">
        <v>8.1999999999999993</v>
      </c>
      <c r="G18">
        <v>3.2</v>
      </c>
      <c r="H18">
        <v>88.6</v>
      </c>
      <c r="I18">
        <v>6.6</v>
      </c>
      <c r="J18">
        <v>4.9000000000000004</v>
      </c>
      <c r="K18">
        <v>89.5</v>
      </c>
      <c r="L18">
        <v>5</v>
      </c>
      <c r="M18">
        <v>5.5</v>
      </c>
      <c r="N18">
        <v>91.2</v>
      </c>
      <c r="O18">
        <v>3.5</v>
      </c>
      <c r="P18">
        <v>5.3</v>
      </c>
      <c r="Q18">
        <v>64.099999999999994</v>
      </c>
      <c r="R18">
        <v>2.2000000000000002</v>
      </c>
      <c r="S18">
        <v>33.700000000000003</v>
      </c>
      <c r="T18">
        <v>93.5</v>
      </c>
      <c r="U18">
        <v>1.3</v>
      </c>
      <c r="V18">
        <v>5.0999999999999996</v>
      </c>
      <c r="W18">
        <v>95.7</v>
      </c>
      <c r="X18">
        <v>1.9</v>
      </c>
      <c r="Y18">
        <v>2.4</v>
      </c>
      <c r="Z18">
        <v>63.3</v>
      </c>
      <c r="AA18">
        <v>4</v>
      </c>
      <c r="AB18">
        <v>32.700000000000003</v>
      </c>
      <c r="AC18">
        <v>94.3</v>
      </c>
      <c r="AD18">
        <v>0.2</v>
      </c>
      <c r="AE18">
        <v>5.5</v>
      </c>
      <c r="AF18" t="s">
        <v>648</v>
      </c>
      <c r="AG18">
        <v>0.2</v>
      </c>
      <c r="AH18" t="s">
        <v>648</v>
      </c>
      <c r="AI18">
        <v>47.2</v>
      </c>
      <c r="AJ18">
        <v>6.4</v>
      </c>
      <c r="AK18">
        <v>46.4</v>
      </c>
    </row>
    <row r="19" spans="1:37" x14ac:dyDescent="0.25">
      <c r="A19" t="s">
        <v>298</v>
      </c>
      <c r="B19">
        <v>76.599999999999994</v>
      </c>
      <c r="C19">
        <v>17.3</v>
      </c>
      <c r="D19">
        <v>6</v>
      </c>
      <c r="E19">
        <v>82.5</v>
      </c>
      <c r="F19">
        <v>12.5</v>
      </c>
      <c r="G19">
        <v>5</v>
      </c>
      <c r="H19">
        <v>85</v>
      </c>
      <c r="I19">
        <v>8.6999999999999993</v>
      </c>
      <c r="J19">
        <v>6.2</v>
      </c>
      <c r="K19">
        <v>86.7</v>
      </c>
      <c r="L19">
        <v>7.7</v>
      </c>
      <c r="M19">
        <v>5.6</v>
      </c>
      <c r="N19">
        <v>86.9</v>
      </c>
      <c r="O19">
        <v>5.3</v>
      </c>
      <c r="P19">
        <v>7.7</v>
      </c>
      <c r="Q19">
        <v>74.599999999999994</v>
      </c>
      <c r="R19">
        <v>5</v>
      </c>
      <c r="S19">
        <v>20.399999999999999</v>
      </c>
      <c r="T19">
        <v>86.4</v>
      </c>
      <c r="U19">
        <v>2.4</v>
      </c>
      <c r="V19">
        <v>11.2</v>
      </c>
      <c r="W19">
        <v>91</v>
      </c>
      <c r="X19">
        <v>0.7</v>
      </c>
      <c r="Y19">
        <v>8.4</v>
      </c>
      <c r="Z19">
        <v>74.400000000000006</v>
      </c>
      <c r="AA19">
        <v>4.8</v>
      </c>
      <c r="AB19">
        <v>20.9</v>
      </c>
      <c r="AC19">
        <v>88.7</v>
      </c>
      <c r="AD19">
        <v>0.4</v>
      </c>
      <c r="AE19">
        <v>10.9</v>
      </c>
      <c r="AF19">
        <v>88.9</v>
      </c>
      <c r="AG19">
        <v>0.1</v>
      </c>
      <c r="AH19">
        <v>11</v>
      </c>
      <c r="AI19">
        <v>74.099999999999994</v>
      </c>
      <c r="AJ19">
        <v>1.7</v>
      </c>
      <c r="AK19">
        <v>24.2</v>
      </c>
    </row>
    <row r="20" spans="1:37" x14ac:dyDescent="0.25">
      <c r="A20" t="s">
        <v>299</v>
      </c>
      <c r="B20">
        <v>70.400000000000006</v>
      </c>
      <c r="C20">
        <v>24.1</v>
      </c>
      <c r="D20">
        <v>5.5</v>
      </c>
      <c r="E20">
        <v>81.2</v>
      </c>
      <c r="F20">
        <v>14.8</v>
      </c>
      <c r="G20">
        <v>4</v>
      </c>
      <c r="H20">
        <v>80</v>
      </c>
      <c r="I20">
        <v>12.1</v>
      </c>
      <c r="J20">
        <v>8</v>
      </c>
      <c r="K20">
        <v>80.900000000000006</v>
      </c>
      <c r="L20">
        <v>9.5</v>
      </c>
      <c r="M20">
        <v>9.5</v>
      </c>
      <c r="N20">
        <v>86</v>
      </c>
      <c r="O20">
        <v>5.9</v>
      </c>
      <c r="P20">
        <v>8.1999999999999993</v>
      </c>
      <c r="Q20">
        <v>77.7</v>
      </c>
      <c r="R20">
        <v>3.5</v>
      </c>
      <c r="S20">
        <v>18.8</v>
      </c>
      <c r="T20">
        <v>86.2</v>
      </c>
      <c r="U20">
        <v>1</v>
      </c>
      <c r="V20">
        <v>12.8</v>
      </c>
      <c r="W20">
        <v>86.2</v>
      </c>
      <c r="X20">
        <v>0.4</v>
      </c>
      <c r="Y20">
        <v>13.4</v>
      </c>
      <c r="Z20">
        <v>81.099999999999994</v>
      </c>
      <c r="AA20">
        <v>0.8</v>
      </c>
      <c r="AB20">
        <v>18.2</v>
      </c>
      <c r="AC20">
        <v>75.599999999999994</v>
      </c>
      <c r="AD20">
        <v>0.4</v>
      </c>
      <c r="AE20">
        <v>24.1</v>
      </c>
      <c r="AF20">
        <v>87.8</v>
      </c>
      <c r="AG20">
        <v>0.1</v>
      </c>
      <c r="AH20">
        <v>12</v>
      </c>
      <c r="AI20">
        <v>57.2</v>
      </c>
      <c r="AJ20">
        <v>1</v>
      </c>
      <c r="AK20">
        <v>41.7</v>
      </c>
    </row>
    <row r="21" spans="1:37" x14ac:dyDescent="0.25">
      <c r="A21" t="s">
        <v>300</v>
      </c>
      <c r="B21">
        <v>83.5</v>
      </c>
      <c r="C21">
        <v>14.7</v>
      </c>
      <c r="D21">
        <v>1.7</v>
      </c>
      <c r="E21">
        <v>87.7</v>
      </c>
      <c r="F21">
        <v>11.3</v>
      </c>
      <c r="G21">
        <v>1.1000000000000001</v>
      </c>
      <c r="H21">
        <v>87.3</v>
      </c>
      <c r="I21">
        <v>10.4</v>
      </c>
      <c r="J21">
        <v>2.4</v>
      </c>
      <c r="K21">
        <v>88.8</v>
      </c>
      <c r="L21">
        <v>7.9</v>
      </c>
      <c r="M21">
        <v>3.4</v>
      </c>
      <c r="N21">
        <v>89.6</v>
      </c>
      <c r="O21">
        <v>6.5</v>
      </c>
      <c r="P21">
        <v>3.9</v>
      </c>
      <c r="Q21">
        <v>71.099999999999994</v>
      </c>
      <c r="R21">
        <v>5.4</v>
      </c>
      <c r="S21">
        <v>23.6</v>
      </c>
      <c r="T21">
        <v>88.6</v>
      </c>
      <c r="U21">
        <v>0.2</v>
      </c>
      <c r="V21">
        <v>11.2</v>
      </c>
      <c r="W21">
        <v>87.1</v>
      </c>
      <c r="X21">
        <v>0.1</v>
      </c>
      <c r="Y21">
        <v>12.8</v>
      </c>
      <c r="Z21">
        <v>61.9</v>
      </c>
      <c r="AA21">
        <v>1.4</v>
      </c>
      <c r="AB21">
        <v>36.700000000000003</v>
      </c>
      <c r="AC21">
        <v>83.2</v>
      </c>
      <c r="AD21">
        <v>0.3</v>
      </c>
      <c r="AE21">
        <v>16.5</v>
      </c>
      <c r="AF21">
        <v>90.9</v>
      </c>
      <c r="AG21">
        <v>0.1</v>
      </c>
      <c r="AH21">
        <v>8.9</v>
      </c>
      <c r="AI21">
        <v>49.2</v>
      </c>
      <c r="AJ21">
        <v>3.6</v>
      </c>
      <c r="AK21">
        <v>47.2</v>
      </c>
    </row>
    <row r="22" spans="1:37" x14ac:dyDescent="0.25">
      <c r="A22" t="s">
        <v>301</v>
      </c>
      <c r="B22">
        <v>76.900000000000006</v>
      </c>
      <c r="C22">
        <v>19.2</v>
      </c>
      <c r="D22">
        <v>4</v>
      </c>
      <c r="E22">
        <v>80.2</v>
      </c>
      <c r="F22">
        <v>13.3</v>
      </c>
      <c r="G22">
        <v>6.5</v>
      </c>
      <c r="H22">
        <v>83.2</v>
      </c>
      <c r="I22">
        <v>12.6</v>
      </c>
      <c r="J22">
        <v>4.2</v>
      </c>
      <c r="K22">
        <v>81</v>
      </c>
      <c r="L22">
        <v>10</v>
      </c>
      <c r="M22">
        <v>8.9</v>
      </c>
      <c r="N22">
        <v>86.6</v>
      </c>
      <c r="O22">
        <v>6.4</v>
      </c>
      <c r="P22">
        <v>7</v>
      </c>
      <c r="Q22">
        <v>73.7</v>
      </c>
      <c r="R22">
        <v>5</v>
      </c>
      <c r="S22">
        <v>21.2</v>
      </c>
      <c r="T22">
        <v>85.9</v>
      </c>
      <c r="U22">
        <v>0.2</v>
      </c>
      <c r="V22">
        <v>13.9</v>
      </c>
      <c r="W22">
        <v>85.6</v>
      </c>
      <c r="X22">
        <v>0.3</v>
      </c>
      <c r="Y22">
        <v>14.1</v>
      </c>
      <c r="Z22">
        <v>79.5</v>
      </c>
      <c r="AA22">
        <v>1</v>
      </c>
      <c r="AB22">
        <v>19.5</v>
      </c>
      <c r="AC22">
        <v>89.1</v>
      </c>
      <c r="AD22">
        <v>0</v>
      </c>
      <c r="AE22">
        <v>10.9</v>
      </c>
      <c r="AF22">
        <v>94.6</v>
      </c>
      <c r="AG22">
        <v>0</v>
      </c>
      <c r="AH22">
        <v>5.4</v>
      </c>
      <c r="AI22">
        <v>61.7</v>
      </c>
      <c r="AJ22">
        <v>4.7</v>
      </c>
      <c r="AK22">
        <v>33.5</v>
      </c>
    </row>
    <row r="23" spans="1:37" x14ac:dyDescent="0.25">
      <c r="A23" t="s">
        <v>302</v>
      </c>
      <c r="B23">
        <v>82</v>
      </c>
      <c r="C23">
        <v>9.5</v>
      </c>
      <c r="D23">
        <v>8.5</v>
      </c>
      <c r="E23">
        <v>86.6</v>
      </c>
      <c r="F23">
        <v>7.6</v>
      </c>
      <c r="G23">
        <v>5.8</v>
      </c>
      <c r="H23">
        <v>86.7</v>
      </c>
      <c r="I23">
        <v>6.7</v>
      </c>
      <c r="J23">
        <v>6.7</v>
      </c>
      <c r="K23">
        <v>84.1</v>
      </c>
      <c r="L23">
        <v>5</v>
      </c>
      <c r="M23">
        <v>10.9</v>
      </c>
      <c r="N23">
        <v>84</v>
      </c>
      <c r="O23">
        <v>3.5</v>
      </c>
      <c r="P23">
        <v>12.5</v>
      </c>
      <c r="Q23">
        <v>65.3</v>
      </c>
      <c r="R23">
        <v>3.1</v>
      </c>
      <c r="S23">
        <v>31.7</v>
      </c>
      <c r="T23">
        <v>81.900000000000006</v>
      </c>
      <c r="U23">
        <v>0.2</v>
      </c>
      <c r="V23">
        <v>17.899999999999999</v>
      </c>
      <c r="W23">
        <v>89.4</v>
      </c>
      <c r="X23">
        <v>0</v>
      </c>
      <c r="Y23">
        <v>10.6</v>
      </c>
      <c r="Z23">
        <v>57.2</v>
      </c>
      <c r="AA23">
        <v>4</v>
      </c>
      <c r="AB23">
        <v>38.799999999999997</v>
      </c>
      <c r="AC23">
        <v>81.2</v>
      </c>
      <c r="AD23">
        <v>0.2</v>
      </c>
      <c r="AE23">
        <v>18.600000000000001</v>
      </c>
      <c r="AF23">
        <v>84.5</v>
      </c>
      <c r="AG23">
        <v>0</v>
      </c>
      <c r="AH23">
        <v>15.5</v>
      </c>
      <c r="AI23">
        <v>78.8</v>
      </c>
      <c r="AJ23">
        <v>1.7</v>
      </c>
      <c r="AK23">
        <v>19.5</v>
      </c>
    </row>
    <row r="24" spans="1:37" x14ac:dyDescent="0.25">
      <c r="A24" t="s">
        <v>303</v>
      </c>
      <c r="B24">
        <v>73.3</v>
      </c>
      <c r="C24">
        <v>21.5</v>
      </c>
      <c r="D24">
        <v>5.2</v>
      </c>
      <c r="E24">
        <v>80.599999999999994</v>
      </c>
      <c r="F24">
        <v>13.9</v>
      </c>
      <c r="G24">
        <v>5.5</v>
      </c>
      <c r="H24">
        <v>83.2</v>
      </c>
      <c r="I24">
        <v>12.2</v>
      </c>
      <c r="J24">
        <v>4.5999999999999996</v>
      </c>
      <c r="K24">
        <v>83.5</v>
      </c>
      <c r="L24">
        <v>9.3000000000000007</v>
      </c>
      <c r="M24">
        <v>7.2</v>
      </c>
      <c r="N24">
        <v>84.7</v>
      </c>
      <c r="O24">
        <v>7.3</v>
      </c>
      <c r="P24">
        <v>8</v>
      </c>
      <c r="Q24">
        <v>63.9</v>
      </c>
      <c r="R24">
        <v>5.2</v>
      </c>
      <c r="S24">
        <v>30.8</v>
      </c>
      <c r="T24">
        <v>82.7</v>
      </c>
      <c r="U24">
        <v>3.8</v>
      </c>
      <c r="V24">
        <v>13.5</v>
      </c>
      <c r="W24">
        <v>84</v>
      </c>
      <c r="X24">
        <v>2.6</v>
      </c>
      <c r="Y24">
        <v>13.3</v>
      </c>
      <c r="Z24">
        <v>64</v>
      </c>
      <c r="AA24">
        <v>3.7</v>
      </c>
      <c r="AB24">
        <v>32.299999999999997</v>
      </c>
      <c r="AC24">
        <v>86.7</v>
      </c>
      <c r="AD24">
        <v>1.6</v>
      </c>
      <c r="AE24">
        <v>11.7</v>
      </c>
      <c r="AF24">
        <v>90.6</v>
      </c>
      <c r="AG24">
        <v>1.3</v>
      </c>
      <c r="AH24">
        <v>8.1</v>
      </c>
      <c r="AI24">
        <v>69.099999999999994</v>
      </c>
      <c r="AJ24">
        <v>1.8</v>
      </c>
      <c r="AK24">
        <v>29.1</v>
      </c>
    </row>
    <row r="25" spans="1:37" x14ac:dyDescent="0.25">
      <c r="A25" t="s">
        <v>304</v>
      </c>
      <c r="B25">
        <v>71.3</v>
      </c>
      <c r="C25">
        <v>24.7</v>
      </c>
      <c r="D25">
        <v>4</v>
      </c>
      <c r="E25">
        <v>76.7</v>
      </c>
      <c r="F25">
        <v>16.600000000000001</v>
      </c>
      <c r="G25">
        <v>6.8</v>
      </c>
      <c r="H25">
        <v>78.599999999999994</v>
      </c>
      <c r="I25">
        <v>13</v>
      </c>
      <c r="J25">
        <v>8.3000000000000007</v>
      </c>
      <c r="K25">
        <v>77.7</v>
      </c>
      <c r="L25">
        <v>11.2</v>
      </c>
      <c r="M25">
        <v>11.2</v>
      </c>
      <c r="N25">
        <v>83.7</v>
      </c>
      <c r="O25">
        <v>7.6</v>
      </c>
      <c r="P25">
        <v>8.8000000000000007</v>
      </c>
      <c r="Q25">
        <v>45.9</v>
      </c>
      <c r="R25">
        <v>5.2</v>
      </c>
      <c r="S25">
        <v>49</v>
      </c>
      <c r="T25">
        <v>76.7</v>
      </c>
      <c r="U25">
        <v>1</v>
      </c>
      <c r="V25">
        <v>22.2</v>
      </c>
      <c r="W25">
        <v>87.2</v>
      </c>
      <c r="X25">
        <v>0.8</v>
      </c>
      <c r="Y25">
        <v>12</v>
      </c>
      <c r="Z25">
        <v>64.900000000000006</v>
      </c>
      <c r="AA25">
        <v>1.3</v>
      </c>
      <c r="AB25">
        <v>33.799999999999997</v>
      </c>
      <c r="AC25">
        <v>77.3</v>
      </c>
      <c r="AD25">
        <v>0</v>
      </c>
      <c r="AE25">
        <v>22.7</v>
      </c>
      <c r="AF25">
        <v>94.6</v>
      </c>
      <c r="AG25">
        <v>0.3</v>
      </c>
      <c r="AH25">
        <v>5.0999999999999996</v>
      </c>
      <c r="AI25">
        <v>83.1</v>
      </c>
      <c r="AJ25">
        <v>2.2999999999999998</v>
      </c>
      <c r="AK25">
        <v>14.7</v>
      </c>
    </row>
    <row r="26" spans="1:37" x14ac:dyDescent="0.25">
      <c r="A26" t="s">
        <v>305</v>
      </c>
      <c r="B26">
        <v>86.4</v>
      </c>
      <c r="C26">
        <v>12.5</v>
      </c>
      <c r="D26">
        <v>1.1000000000000001</v>
      </c>
      <c r="E26">
        <v>88.7</v>
      </c>
      <c r="F26">
        <v>8.3000000000000007</v>
      </c>
      <c r="G26">
        <v>3</v>
      </c>
      <c r="H26">
        <v>90.9</v>
      </c>
      <c r="I26">
        <v>6.7</v>
      </c>
      <c r="J26">
        <v>2.4</v>
      </c>
      <c r="K26">
        <v>90.8</v>
      </c>
      <c r="L26">
        <v>6.1</v>
      </c>
      <c r="M26">
        <v>3.1</v>
      </c>
      <c r="N26">
        <v>91.3</v>
      </c>
      <c r="O26">
        <v>4.3</v>
      </c>
      <c r="P26">
        <v>4.4000000000000004</v>
      </c>
      <c r="Q26">
        <v>73.8</v>
      </c>
      <c r="R26">
        <v>3.4</v>
      </c>
      <c r="S26">
        <v>22.8</v>
      </c>
      <c r="T26">
        <v>87.2</v>
      </c>
      <c r="U26">
        <v>0.7</v>
      </c>
      <c r="V26">
        <v>12.1</v>
      </c>
      <c r="W26">
        <v>83.9</v>
      </c>
      <c r="X26">
        <v>0.4</v>
      </c>
      <c r="Y26">
        <v>15.7</v>
      </c>
      <c r="Z26">
        <v>59.7</v>
      </c>
      <c r="AA26">
        <v>1.5</v>
      </c>
      <c r="AB26">
        <v>38.799999999999997</v>
      </c>
      <c r="AC26">
        <v>83.3</v>
      </c>
      <c r="AD26">
        <v>0</v>
      </c>
      <c r="AE26">
        <v>16.600000000000001</v>
      </c>
      <c r="AF26">
        <v>89.6</v>
      </c>
      <c r="AG26">
        <v>0.1</v>
      </c>
      <c r="AH26">
        <v>10.3</v>
      </c>
      <c r="AI26">
        <v>48.2</v>
      </c>
      <c r="AJ26">
        <v>1.7</v>
      </c>
      <c r="AK26">
        <v>50.1</v>
      </c>
    </row>
    <row r="27" spans="1:37" x14ac:dyDescent="0.25">
      <c r="A27" t="s">
        <v>306</v>
      </c>
      <c r="B27">
        <v>84.3</v>
      </c>
      <c r="C27">
        <v>14.6</v>
      </c>
      <c r="D27">
        <v>1.1000000000000001</v>
      </c>
      <c r="E27">
        <v>86.3</v>
      </c>
      <c r="F27">
        <v>11.6</v>
      </c>
      <c r="G27">
        <v>2.1</v>
      </c>
      <c r="H27">
        <v>88.4</v>
      </c>
      <c r="I27">
        <v>9.9</v>
      </c>
      <c r="J27">
        <v>1.8</v>
      </c>
      <c r="K27">
        <v>89.4</v>
      </c>
      <c r="L27">
        <v>7.7</v>
      </c>
      <c r="M27">
        <v>2.9</v>
      </c>
      <c r="N27">
        <v>89.7</v>
      </c>
      <c r="O27">
        <v>6.8</v>
      </c>
      <c r="P27">
        <v>3.5</v>
      </c>
      <c r="Q27">
        <v>82.9</v>
      </c>
      <c r="R27">
        <v>6.1</v>
      </c>
      <c r="S27">
        <v>11</v>
      </c>
      <c r="T27">
        <v>91.6</v>
      </c>
      <c r="U27">
        <v>1.4</v>
      </c>
      <c r="V27">
        <v>7</v>
      </c>
      <c r="W27">
        <v>90.2</v>
      </c>
      <c r="X27">
        <v>2.2000000000000002</v>
      </c>
      <c r="Y27">
        <v>7.6</v>
      </c>
      <c r="Z27">
        <v>77.7</v>
      </c>
      <c r="AA27">
        <v>1.9</v>
      </c>
      <c r="AB27">
        <v>20.399999999999999</v>
      </c>
      <c r="AC27">
        <v>89</v>
      </c>
      <c r="AD27">
        <v>0.3</v>
      </c>
      <c r="AE27">
        <v>10.7</v>
      </c>
      <c r="AF27">
        <v>90.7</v>
      </c>
      <c r="AG27">
        <v>0.3</v>
      </c>
      <c r="AH27">
        <v>9</v>
      </c>
      <c r="AI27">
        <v>61.5</v>
      </c>
      <c r="AJ27">
        <v>2.2000000000000002</v>
      </c>
      <c r="AK27">
        <v>36.299999999999997</v>
      </c>
    </row>
    <row r="28" spans="1:37" x14ac:dyDescent="0.25">
      <c r="A28" t="s">
        <v>307</v>
      </c>
      <c r="B28">
        <v>79</v>
      </c>
      <c r="C28">
        <v>16.8</v>
      </c>
      <c r="D28">
        <v>4.2</v>
      </c>
      <c r="E28">
        <v>82</v>
      </c>
      <c r="F28">
        <v>12.2</v>
      </c>
      <c r="G28">
        <v>5.8</v>
      </c>
      <c r="H28">
        <v>84.6</v>
      </c>
      <c r="I28">
        <v>10.1</v>
      </c>
      <c r="J28">
        <v>5.3</v>
      </c>
      <c r="K28">
        <v>84.1</v>
      </c>
      <c r="L28">
        <v>7.8</v>
      </c>
      <c r="M28">
        <v>8.1999999999999993</v>
      </c>
      <c r="N28">
        <v>85.8</v>
      </c>
      <c r="O28">
        <v>6.5</v>
      </c>
      <c r="P28">
        <v>7.7</v>
      </c>
      <c r="Q28">
        <v>57.4</v>
      </c>
      <c r="R28">
        <v>4.3</v>
      </c>
      <c r="S28">
        <v>38.200000000000003</v>
      </c>
      <c r="T28">
        <v>85.6</v>
      </c>
      <c r="U28">
        <v>1.5</v>
      </c>
      <c r="V28">
        <v>13</v>
      </c>
      <c r="W28">
        <v>83.2</v>
      </c>
      <c r="X28">
        <v>0.9</v>
      </c>
      <c r="Y28">
        <v>15.9</v>
      </c>
      <c r="Z28">
        <v>52.1</v>
      </c>
      <c r="AA28">
        <v>4.2</v>
      </c>
      <c r="AB28">
        <v>43.8</v>
      </c>
      <c r="AC28">
        <v>83.5</v>
      </c>
      <c r="AD28">
        <v>0.7</v>
      </c>
      <c r="AE28">
        <v>15.8</v>
      </c>
      <c r="AF28">
        <v>94</v>
      </c>
      <c r="AG28">
        <v>0.5</v>
      </c>
      <c r="AH28">
        <v>5.4</v>
      </c>
      <c r="AI28">
        <v>49.7</v>
      </c>
      <c r="AJ28">
        <v>3.8</v>
      </c>
      <c r="AK28">
        <v>46.5</v>
      </c>
    </row>
    <row r="29" spans="1:37" x14ac:dyDescent="0.25">
      <c r="A29" t="s">
        <v>266</v>
      </c>
      <c r="B29">
        <v>80.5</v>
      </c>
      <c r="C29">
        <v>15.8</v>
      </c>
      <c r="D29">
        <v>3.7</v>
      </c>
      <c r="E29">
        <v>83.8</v>
      </c>
      <c r="F29">
        <v>11.7</v>
      </c>
      <c r="G29">
        <v>4.5</v>
      </c>
      <c r="H29">
        <v>85.1</v>
      </c>
      <c r="I29">
        <v>10</v>
      </c>
      <c r="J29">
        <v>4.9000000000000004</v>
      </c>
      <c r="K29">
        <v>85.3</v>
      </c>
      <c r="L29">
        <v>8.1</v>
      </c>
      <c r="M29">
        <v>6.6</v>
      </c>
      <c r="N29">
        <v>87.4</v>
      </c>
      <c r="O29">
        <v>5.9</v>
      </c>
      <c r="P29">
        <v>6.6</v>
      </c>
      <c r="Q29">
        <v>70.8</v>
      </c>
      <c r="R29">
        <v>4.5</v>
      </c>
      <c r="S29">
        <v>24.8</v>
      </c>
      <c r="T29">
        <v>86.4</v>
      </c>
      <c r="U29">
        <v>1.3</v>
      </c>
      <c r="V29">
        <v>12.3</v>
      </c>
      <c r="W29">
        <v>86.5</v>
      </c>
      <c r="X29">
        <v>1.2</v>
      </c>
      <c r="Y29">
        <v>12.3</v>
      </c>
      <c r="Z29">
        <v>67.5</v>
      </c>
      <c r="AA29">
        <v>2.7</v>
      </c>
      <c r="AB29">
        <v>29.8</v>
      </c>
      <c r="AC29">
        <v>86.1</v>
      </c>
      <c r="AD29">
        <v>0.6</v>
      </c>
      <c r="AE29">
        <v>13.3</v>
      </c>
      <c r="AF29">
        <v>92.4</v>
      </c>
      <c r="AG29">
        <v>0.4</v>
      </c>
      <c r="AH29">
        <v>7.2</v>
      </c>
      <c r="AI29">
        <v>55.5</v>
      </c>
      <c r="AJ29">
        <v>3.2</v>
      </c>
      <c r="AK29">
        <v>41.3</v>
      </c>
    </row>
    <row r="30" spans="1:37" x14ac:dyDescent="0.25">
      <c r="A30" t="s">
        <v>459</v>
      </c>
      <c r="B30">
        <v>76.599999999999994</v>
      </c>
      <c r="C30">
        <v>16.600000000000001</v>
      </c>
      <c r="D30">
        <v>6.8</v>
      </c>
      <c r="E30">
        <v>84.1</v>
      </c>
      <c r="F30">
        <v>10.8</v>
      </c>
      <c r="G30">
        <v>5.0999999999999996</v>
      </c>
      <c r="H30">
        <v>86.6</v>
      </c>
      <c r="I30">
        <v>8.5</v>
      </c>
      <c r="J30">
        <v>4.9000000000000004</v>
      </c>
      <c r="K30">
        <v>87.4</v>
      </c>
      <c r="L30">
        <v>6.6</v>
      </c>
      <c r="M30">
        <v>6.1</v>
      </c>
      <c r="N30">
        <v>89.5</v>
      </c>
      <c r="O30">
        <v>4.4000000000000004</v>
      </c>
      <c r="P30">
        <v>6.1</v>
      </c>
      <c r="Q30">
        <v>67.7</v>
      </c>
      <c r="R30">
        <v>2.9</v>
      </c>
      <c r="S30">
        <v>29.4</v>
      </c>
      <c r="T30">
        <v>90.3</v>
      </c>
      <c r="U30">
        <v>1.9</v>
      </c>
      <c r="V30">
        <v>7.8</v>
      </c>
      <c r="W30">
        <v>93.2</v>
      </c>
      <c r="X30">
        <v>1.6</v>
      </c>
      <c r="Y30">
        <v>5.2</v>
      </c>
      <c r="Z30">
        <v>70.099999999999994</v>
      </c>
      <c r="AA30">
        <v>3.7</v>
      </c>
      <c r="AB30">
        <v>26.2</v>
      </c>
      <c r="AC30">
        <v>90</v>
      </c>
      <c r="AD30">
        <v>0.8</v>
      </c>
      <c r="AE30">
        <v>9.1999999999999993</v>
      </c>
      <c r="AF30">
        <v>99.6</v>
      </c>
      <c r="AG30">
        <v>0.4</v>
      </c>
      <c r="AH30">
        <v>0</v>
      </c>
      <c r="AI30">
        <v>52.8</v>
      </c>
      <c r="AJ30">
        <v>4.4000000000000004</v>
      </c>
      <c r="AK30">
        <v>42.8</v>
      </c>
    </row>
    <row r="31" spans="1:37" x14ac:dyDescent="0.25">
      <c r="A31" t="s">
        <v>460</v>
      </c>
      <c r="B31">
        <v>81.3</v>
      </c>
      <c r="C31">
        <v>15.7</v>
      </c>
      <c r="D31">
        <v>3.1</v>
      </c>
      <c r="E31">
        <v>83.8</v>
      </c>
      <c r="F31">
        <v>11.8</v>
      </c>
      <c r="G31">
        <v>4.4000000000000004</v>
      </c>
      <c r="H31">
        <v>84.7</v>
      </c>
      <c r="I31">
        <v>10.3</v>
      </c>
      <c r="J31">
        <v>4.9000000000000004</v>
      </c>
      <c r="K31">
        <v>84.9</v>
      </c>
      <c r="L31">
        <v>8.4</v>
      </c>
      <c r="M31">
        <v>6.7</v>
      </c>
      <c r="N31">
        <v>87</v>
      </c>
      <c r="O31">
        <v>6.3</v>
      </c>
      <c r="P31">
        <v>6.7</v>
      </c>
      <c r="Q31">
        <v>71.400000000000006</v>
      </c>
      <c r="R31">
        <v>4.8</v>
      </c>
      <c r="S31">
        <v>23.7</v>
      </c>
      <c r="T31">
        <v>85.4</v>
      </c>
      <c r="U31">
        <v>1.2</v>
      </c>
      <c r="V31">
        <v>13.5</v>
      </c>
      <c r="W31">
        <v>84.6</v>
      </c>
      <c r="X31">
        <v>1.1000000000000001</v>
      </c>
      <c r="Y31">
        <v>14.3</v>
      </c>
      <c r="Z31">
        <v>66.7</v>
      </c>
      <c r="AA31">
        <v>2.4</v>
      </c>
      <c r="AB31">
        <v>30.8</v>
      </c>
      <c r="AC31">
        <v>84.4</v>
      </c>
      <c r="AD31">
        <v>0.5</v>
      </c>
      <c r="AE31">
        <v>15</v>
      </c>
      <c r="AF31">
        <v>89.2</v>
      </c>
      <c r="AG31">
        <v>0.5</v>
      </c>
      <c r="AH31">
        <v>10.4</v>
      </c>
      <c r="AI31">
        <v>56.9</v>
      </c>
      <c r="AJ31">
        <v>2.6</v>
      </c>
      <c r="AK31">
        <v>40.5</v>
      </c>
    </row>
  </sheetData>
  <mergeCells count="14">
    <mergeCell ref="A2:A3"/>
    <mergeCell ref="H2:J2"/>
    <mergeCell ref="B2:D2"/>
    <mergeCell ref="Q2:S2"/>
    <mergeCell ref="A1:N1"/>
    <mergeCell ref="T2:V2"/>
    <mergeCell ref="AI2:AK2"/>
    <mergeCell ref="Z2:AB2"/>
    <mergeCell ref="E2:G2"/>
    <mergeCell ref="K2:M2"/>
    <mergeCell ref="N2:P2"/>
    <mergeCell ref="AC2:AE2"/>
    <mergeCell ref="AF2:AH2"/>
    <mergeCell ref="W2:Y2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tabColor rgb="FF00B0F0"/>
  </sheetPr>
  <dimension ref="A1:W32"/>
  <sheetViews>
    <sheetView workbookViewId="0"/>
  </sheetViews>
  <sheetFormatPr defaultRowHeight="15" x14ac:dyDescent="0.25"/>
  <cols>
    <col min="1" max="1" width="14.5703125" customWidth="1"/>
    <col min="2" max="2" width="6.28515625" customWidth="1"/>
    <col min="3" max="3" width="4.42578125" customWidth="1"/>
    <col min="5" max="5" width="6.28515625" customWidth="1"/>
    <col min="6" max="6" width="4.42578125" customWidth="1"/>
    <col min="8" max="8" width="6.28515625" customWidth="1"/>
    <col min="9" max="9" width="4.42578125" customWidth="1"/>
    <col min="11" max="11" width="6.28515625" customWidth="1"/>
    <col min="12" max="12" width="5.42578125" customWidth="1"/>
    <col min="13" max="13" width="5.140625" customWidth="1"/>
    <col min="14" max="14" width="6.28515625" customWidth="1"/>
    <col min="15" max="15" width="5.42578125" customWidth="1"/>
    <col min="17" max="17" width="6.28515625" customWidth="1"/>
    <col min="18" max="18" width="4.42578125" customWidth="1"/>
    <col min="19" max="19" width="5.140625" customWidth="1"/>
    <col min="20" max="20" width="6.28515625" customWidth="1"/>
    <col min="21" max="21" width="4.42578125" customWidth="1"/>
  </cols>
  <sheetData>
    <row r="1" spans="1:23" x14ac:dyDescent="0.25">
      <c r="A1" s="29" t="s">
        <v>791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x14ac:dyDescent="0.25">
      <c r="A2" s="29" t="s">
        <v>709</v>
      </c>
      <c r="B2" s="29" t="s">
        <v>829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 t="s">
        <v>830</v>
      </c>
      <c r="O2" s="29"/>
      <c r="P2" s="29"/>
      <c r="Q2" s="29"/>
      <c r="R2" s="29"/>
      <c r="S2" s="29"/>
      <c r="T2" s="29"/>
      <c r="U2" s="29"/>
      <c r="V2" s="29"/>
    </row>
    <row r="3" spans="1:23" x14ac:dyDescent="0.25">
      <c r="A3" s="29"/>
      <c r="B3" s="29" t="s">
        <v>794</v>
      </c>
      <c r="C3" s="29"/>
      <c r="D3" s="29"/>
      <c r="E3" s="29" t="s">
        <v>346</v>
      </c>
      <c r="F3" s="29"/>
      <c r="G3" s="29"/>
      <c r="H3" s="29" t="s">
        <v>616</v>
      </c>
      <c r="I3" s="29"/>
      <c r="J3" s="29"/>
      <c r="K3" s="29" t="s">
        <v>617</v>
      </c>
      <c r="L3" s="29"/>
      <c r="M3" s="29"/>
      <c r="N3" s="29" t="s">
        <v>346</v>
      </c>
      <c r="O3" s="29"/>
      <c r="P3" s="29"/>
      <c r="Q3" s="29" t="s">
        <v>616</v>
      </c>
      <c r="R3" s="29"/>
      <c r="S3" s="29"/>
      <c r="T3" s="29" t="s">
        <v>617</v>
      </c>
      <c r="U3" s="29"/>
      <c r="V3" s="29"/>
    </row>
    <row r="4" spans="1:23" x14ac:dyDescent="0.25">
      <c r="A4" s="29"/>
      <c r="B4" t="s">
        <v>263</v>
      </c>
      <c r="C4" t="s">
        <v>264</v>
      </c>
      <c r="D4" t="s">
        <v>618</v>
      </c>
      <c r="E4" t="s">
        <v>263</v>
      </c>
      <c r="F4" t="s">
        <v>264</v>
      </c>
      <c r="G4" t="s">
        <v>618</v>
      </c>
      <c r="H4" t="s">
        <v>263</v>
      </c>
      <c r="I4" t="s">
        <v>264</v>
      </c>
      <c r="J4" t="s">
        <v>618</v>
      </c>
      <c r="K4" t="s">
        <v>263</v>
      </c>
      <c r="L4" t="s">
        <v>264</v>
      </c>
      <c r="M4" t="s">
        <v>618</v>
      </c>
      <c r="N4" t="s">
        <v>263</v>
      </c>
      <c r="O4" t="s">
        <v>264</v>
      </c>
      <c r="P4" t="s">
        <v>618</v>
      </c>
      <c r="Q4" t="s">
        <v>263</v>
      </c>
      <c r="R4" t="s">
        <v>264</v>
      </c>
      <c r="S4" t="s">
        <v>618</v>
      </c>
      <c r="T4" t="s">
        <v>263</v>
      </c>
      <c r="U4" t="s">
        <v>264</v>
      </c>
      <c r="V4" t="s">
        <v>618</v>
      </c>
    </row>
    <row r="5" spans="1:23" x14ac:dyDescent="0.25">
      <c r="A5" t="s">
        <v>283</v>
      </c>
      <c r="B5">
        <v>79.099999999999994</v>
      </c>
      <c r="C5">
        <v>77.5</v>
      </c>
      <c r="D5">
        <v>80.599999999999994</v>
      </c>
      <c r="E5">
        <v>74.099999999999994</v>
      </c>
      <c r="F5">
        <v>73</v>
      </c>
      <c r="G5">
        <v>75.3</v>
      </c>
      <c r="H5">
        <v>54.1</v>
      </c>
      <c r="I5">
        <v>55.1</v>
      </c>
      <c r="J5">
        <v>52.9</v>
      </c>
      <c r="K5">
        <v>38.4</v>
      </c>
      <c r="L5">
        <v>40.4</v>
      </c>
      <c r="M5">
        <v>35.9</v>
      </c>
      <c r="N5">
        <v>82.2</v>
      </c>
      <c r="O5">
        <v>86.2</v>
      </c>
      <c r="P5">
        <v>78.599999999999994</v>
      </c>
      <c r="Q5">
        <v>44.9</v>
      </c>
      <c r="R5">
        <v>51</v>
      </c>
      <c r="S5">
        <v>39.4</v>
      </c>
      <c r="T5">
        <v>25.5</v>
      </c>
      <c r="U5">
        <v>30.8</v>
      </c>
      <c r="V5">
        <v>20.6</v>
      </c>
    </row>
    <row r="6" spans="1:23" x14ac:dyDescent="0.25">
      <c r="A6" t="s">
        <v>284</v>
      </c>
      <c r="B6">
        <v>78.3</v>
      </c>
      <c r="C6">
        <v>82.3</v>
      </c>
      <c r="D6">
        <v>73.8</v>
      </c>
      <c r="E6">
        <v>71.5</v>
      </c>
      <c r="F6">
        <v>75.900000000000006</v>
      </c>
      <c r="G6">
        <v>66.7</v>
      </c>
      <c r="H6">
        <v>40.799999999999997</v>
      </c>
      <c r="I6">
        <v>45.5</v>
      </c>
      <c r="J6">
        <v>36.1</v>
      </c>
      <c r="K6">
        <v>23.4</v>
      </c>
      <c r="L6">
        <v>26.6</v>
      </c>
      <c r="M6">
        <v>20.3</v>
      </c>
      <c r="N6">
        <v>109.7</v>
      </c>
      <c r="O6">
        <v>114.3</v>
      </c>
      <c r="P6">
        <v>105.5</v>
      </c>
      <c r="Q6">
        <v>61.2</v>
      </c>
      <c r="R6">
        <v>68.7</v>
      </c>
      <c r="S6">
        <v>54.2</v>
      </c>
      <c r="T6">
        <v>35.5</v>
      </c>
      <c r="U6">
        <v>40.799999999999997</v>
      </c>
      <c r="V6">
        <v>30.5</v>
      </c>
    </row>
    <row r="7" spans="1:23" x14ac:dyDescent="0.25">
      <c r="A7" t="s">
        <v>285</v>
      </c>
      <c r="B7">
        <v>79.2</v>
      </c>
      <c r="C7">
        <v>84.3</v>
      </c>
      <c r="D7">
        <v>70.599999999999994</v>
      </c>
      <c r="E7">
        <v>74.3</v>
      </c>
      <c r="F7">
        <v>78.8</v>
      </c>
      <c r="G7">
        <v>66.5</v>
      </c>
      <c r="H7">
        <v>36.200000000000003</v>
      </c>
      <c r="I7">
        <v>45.1</v>
      </c>
      <c r="J7">
        <v>26.7</v>
      </c>
      <c r="K7">
        <v>18</v>
      </c>
      <c r="L7">
        <v>23</v>
      </c>
      <c r="M7">
        <v>12.8</v>
      </c>
      <c r="N7">
        <v>103.7</v>
      </c>
      <c r="O7">
        <v>104.3</v>
      </c>
      <c r="P7">
        <v>103.2</v>
      </c>
      <c r="Q7">
        <v>61.1</v>
      </c>
      <c r="R7">
        <v>67.8</v>
      </c>
      <c r="S7">
        <v>54.5</v>
      </c>
      <c r="T7">
        <v>40.1</v>
      </c>
      <c r="U7">
        <v>45.8</v>
      </c>
      <c r="V7">
        <v>34.5</v>
      </c>
    </row>
    <row r="8" spans="1:23" x14ac:dyDescent="0.25">
      <c r="A8" t="s">
        <v>286</v>
      </c>
      <c r="B8">
        <v>88.9</v>
      </c>
      <c r="C8">
        <v>90.7</v>
      </c>
      <c r="D8">
        <v>86.6</v>
      </c>
      <c r="E8">
        <v>84.7</v>
      </c>
      <c r="F8">
        <v>87.1</v>
      </c>
      <c r="G8">
        <v>81.900000000000006</v>
      </c>
      <c r="H8">
        <v>56.4</v>
      </c>
      <c r="I8">
        <v>58.8</v>
      </c>
      <c r="J8">
        <v>53.6</v>
      </c>
      <c r="K8">
        <v>27.5</v>
      </c>
      <c r="L8">
        <v>28.1</v>
      </c>
      <c r="M8">
        <v>26.9</v>
      </c>
      <c r="N8">
        <v>96.7</v>
      </c>
      <c r="O8">
        <v>99.6</v>
      </c>
      <c r="P8">
        <v>93.8</v>
      </c>
      <c r="Q8">
        <v>58.9</v>
      </c>
      <c r="R8">
        <v>65</v>
      </c>
      <c r="S8">
        <v>52.9</v>
      </c>
      <c r="T8">
        <v>34</v>
      </c>
      <c r="U8">
        <v>39.1</v>
      </c>
      <c r="V8">
        <v>28.9</v>
      </c>
    </row>
    <row r="9" spans="1:23" x14ac:dyDescent="0.25">
      <c r="A9" t="s">
        <v>287</v>
      </c>
      <c r="B9">
        <v>85.6</v>
      </c>
      <c r="C9">
        <v>83.1</v>
      </c>
      <c r="D9">
        <v>88.1</v>
      </c>
      <c r="E9">
        <v>80.400000000000006</v>
      </c>
      <c r="F9">
        <v>77.7</v>
      </c>
      <c r="G9">
        <v>83</v>
      </c>
      <c r="H9">
        <v>35.700000000000003</v>
      </c>
      <c r="I9">
        <v>32.700000000000003</v>
      </c>
      <c r="J9">
        <v>39.1</v>
      </c>
      <c r="K9">
        <v>11.1</v>
      </c>
      <c r="L9">
        <v>10.3</v>
      </c>
      <c r="M9">
        <v>12.1</v>
      </c>
      <c r="N9">
        <v>88.5</v>
      </c>
      <c r="O9">
        <v>88.7</v>
      </c>
      <c r="P9">
        <v>88.4</v>
      </c>
      <c r="Q9">
        <v>46</v>
      </c>
      <c r="R9">
        <v>48.9</v>
      </c>
      <c r="S9">
        <v>43.2</v>
      </c>
      <c r="T9">
        <v>23.6</v>
      </c>
      <c r="U9">
        <v>25.8</v>
      </c>
      <c r="V9">
        <v>21.4</v>
      </c>
    </row>
    <row r="10" spans="1:23" x14ac:dyDescent="0.25">
      <c r="A10" t="s">
        <v>288</v>
      </c>
      <c r="B10">
        <v>78.5</v>
      </c>
      <c r="C10">
        <v>81.8</v>
      </c>
      <c r="D10">
        <v>71.7</v>
      </c>
      <c r="E10">
        <v>71.599999999999994</v>
      </c>
      <c r="F10">
        <v>76</v>
      </c>
      <c r="G10">
        <v>64.2</v>
      </c>
      <c r="H10">
        <v>35.200000000000003</v>
      </c>
      <c r="I10">
        <v>38.200000000000003</v>
      </c>
      <c r="J10">
        <v>30.8</v>
      </c>
      <c r="K10">
        <v>20.6</v>
      </c>
      <c r="L10">
        <v>22.7</v>
      </c>
      <c r="M10">
        <v>17.600000000000001</v>
      </c>
      <c r="N10">
        <v>94.4</v>
      </c>
      <c r="O10">
        <v>100.1</v>
      </c>
      <c r="P10">
        <v>89.1</v>
      </c>
      <c r="Q10">
        <v>56</v>
      </c>
      <c r="R10">
        <v>61.1</v>
      </c>
      <c r="S10">
        <v>51.1</v>
      </c>
      <c r="T10">
        <v>35.5</v>
      </c>
      <c r="U10">
        <v>41.1</v>
      </c>
      <c r="V10">
        <v>30</v>
      </c>
    </row>
    <row r="11" spans="1:23" x14ac:dyDescent="0.25">
      <c r="A11" t="s">
        <v>289</v>
      </c>
      <c r="B11">
        <v>81.7</v>
      </c>
      <c r="C11">
        <v>81.2</v>
      </c>
      <c r="D11">
        <v>82.2</v>
      </c>
      <c r="E11">
        <v>77.400000000000006</v>
      </c>
      <c r="F11">
        <v>77.099999999999994</v>
      </c>
      <c r="G11">
        <v>77.7</v>
      </c>
      <c r="H11">
        <v>48.9</v>
      </c>
      <c r="I11">
        <v>52.5</v>
      </c>
      <c r="J11">
        <v>45.3</v>
      </c>
      <c r="K11">
        <v>28.5</v>
      </c>
      <c r="L11">
        <v>30.4</v>
      </c>
      <c r="M11">
        <v>26.7</v>
      </c>
      <c r="N11">
        <v>89.6</v>
      </c>
      <c r="O11">
        <v>89</v>
      </c>
      <c r="P11">
        <v>90.1</v>
      </c>
      <c r="Q11">
        <v>58.5</v>
      </c>
      <c r="R11">
        <v>62.8</v>
      </c>
      <c r="S11">
        <v>54.3</v>
      </c>
      <c r="T11">
        <v>37.799999999999997</v>
      </c>
      <c r="U11">
        <v>41</v>
      </c>
      <c r="V11">
        <v>34.6</v>
      </c>
    </row>
    <row r="12" spans="1:23" x14ac:dyDescent="0.25">
      <c r="A12" t="s">
        <v>290</v>
      </c>
      <c r="B12">
        <v>86</v>
      </c>
      <c r="C12">
        <v>86.4</v>
      </c>
      <c r="D12">
        <v>85.6</v>
      </c>
      <c r="E12">
        <v>81.400000000000006</v>
      </c>
      <c r="F12">
        <v>82.1</v>
      </c>
      <c r="G12">
        <v>80.7</v>
      </c>
      <c r="H12">
        <v>63.1</v>
      </c>
      <c r="I12">
        <v>64.7</v>
      </c>
      <c r="J12">
        <v>61.6</v>
      </c>
      <c r="K12">
        <v>42.5</v>
      </c>
      <c r="L12">
        <v>44.6</v>
      </c>
      <c r="M12">
        <v>40.200000000000003</v>
      </c>
      <c r="N12">
        <v>88.1</v>
      </c>
      <c r="O12">
        <v>88.6</v>
      </c>
      <c r="P12">
        <v>87.7</v>
      </c>
      <c r="Q12">
        <v>58.6</v>
      </c>
      <c r="R12">
        <v>62.4</v>
      </c>
      <c r="S12">
        <v>54.9</v>
      </c>
      <c r="T12">
        <v>35.799999999999997</v>
      </c>
      <c r="U12">
        <v>40.9</v>
      </c>
      <c r="V12">
        <v>30.9</v>
      </c>
    </row>
    <row r="13" spans="1:23" x14ac:dyDescent="0.25">
      <c r="A13" t="s">
        <v>291</v>
      </c>
      <c r="B13">
        <v>78.5</v>
      </c>
      <c r="C13">
        <v>76.900000000000006</v>
      </c>
      <c r="D13">
        <v>80.2</v>
      </c>
      <c r="E13">
        <v>71.5</v>
      </c>
      <c r="F13">
        <v>69</v>
      </c>
      <c r="G13">
        <v>74</v>
      </c>
      <c r="H13">
        <v>49.1</v>
      </c>
      <c r="I13">
        <v>49</v>
      </c>
      <c r="J13">
        <v>48.7</v>
      </c>
      <c r="K13">
        <v>37.1</v>
      </c>
      <c r="L13">
        <v>36.700000000000003</v>
      </c>
      <c r="M13">
        <v>36.799999999999997</v>
      </c>
      <c r="N13">
        <v>81.400000000000006</v>
      </c>
      <c r="O13">
        <v>81.400000000000006</v>
      </c>
      <c r="P13">
        <v>81.3</v>
      </c>
      <c r="Q13">
        <v>50.1</v>
      </c>
      <c r="R13">
        <v>54.6</v>
      </c>
      <c r="S13">
        <v>45.9</v>
      </c>
      <c r="T13">
        <v>37</v>
      </c>
      <c r="U13">
        <v>36.5</v>
      </c>
      <c r="V13">
        <v>37.4</v>
      </c>
    </row>
    <row r="14" spans="1:23" x14ac:dyDescent="0.25">
      <c r="A14" t="s">
        <v>292</v>
      </c>
      <c r="B14">
        <v>71.400000000000006</v>
      </c>
      <c r="C14">
        <v>69</v>
      </c>
      <c r="D14">
        <v>73.7</v>
      </c>
      <c r="E14">
        <v>66.599999999999994</v>
      </c>
      <c r="F14">
        <v>63.8</v>
      </c>
      <c r="G14">
        <v>69.400000000000006</v>
      </c>
      <c r="H14">
        <v>36.299999999999997</v>
      </c>
      <c r="I14">
        <v>34.200000000000003</v>
      </c>
      <c r="J14">
        <v>38.4</v>
      </c>
      <c r="K14">
        <v>20.5</v>
      </c>
      <c r="L14">
        <v>20.6</v>
      </c>
      <c r="M14">
        <v>20.3</v>
      </c>
      <c r="N14">
        <v>90.2</v>
      </c>
      <c r="O14">
        <v>93.6</v>
      </c>
      <c r="P14">
        <v>87.2</v>
      </c>
      <c r="Q14">
        <v>58.2</v>
      </c>
      <c r="R14">
        <v>62.5</v>
      </c>
      <c r="S14">
        <v>54.5</v>
      </c>
      <c r="T14">
        <v>32.6</v>
      </c>
      <c r="U14">
        <v>35.9</v>
      </c>
      <c r="V14">
        <v>29.7</v>
      </c>
    </row>
    <row r="15" spans="1:23" x14ac:dyDescent="0.25">
      <c r="A15" t="s">
        <v>293</v>
      </c>
      <c r="B15">
        <v>72.599999999999994</v>
      </c>
      <c r="C15">
        <v>77.900000000000006</v>
      </c>
      <c r="D15">
        <v>65.900000000000006</v>
      </c>
      <c r="E15">
        <v>64.3</v>
      </c>
      <c r="F15">
        <v>69.900000000000006</v>
      </c>
      <c r="G15">
        <v>57.6</v>
      </c>
      <c r="H15">
        <v>29.7</v>
      </c>
      <c r="I15">
        <v>33.4</v>
      </c>
      <c r="J15">
        <v>25.6</v>
      </c>
      <c r="K15">
        <v>17</v>
      </c>
      <c r="L15">
        <v>19.399999999999999</v>
      </c>
      <c r="M15">
        <v>14.4</v>
      </c>
      <c r="N15">
        <v>98.6</v>
      </c>
      <c r="O15">
        <v>107.1</v>
      </c>
      <c r="P15">
        <v>91</v>
      </c>
      <c r="Q15">
        <v>44</v>
      </c>
      <c r="R15">
        <v>49.7</v>
      </c>
      <c r="S15">
        <v>38.9</v>
      </c>
      <c r="T15">
        <v>25.5</v>
      </c>
      <c r="U15">
        <v>28.7</v>
      </c>
      <c r="V15">
        <v>22.5</v>
      </c>
    </row>
    <row r="16" spans="1:23" x14ac:dyDescent="0.25">
      <c r="A16" t="s">
        <v>294</v>
      </c>
      <c r="B16">
        <v>76.2</v>
      </c>
      <c r="C16">
        <v>73.400000000000006</v>
      </c>
      <c r="D16">
        <v>79.599999999999994</v>
      </c>
      <c r="E16">
        <v>67.3</v>
      </c>
      <c r="F16">
        <v>65.8</v>
      </c>
      <c r="G16">
        <v>69</v>
      </c>
      <c r="H16">
        <v>42.5</v>
      </c>
      <c r="I16">
        <v>43.2</v>
      </c>
      <c r="J16">
        <v>41.8</v>
      </c>
      <c r="K16">
        <v>31.2</v>
      </c>
      <c r="L16">
        <v>26.7</v>
      </c>
      <c r="M16">
        <v>36.200000000000003</v>
      </c>
      <c r="N16">
        <v>98.7</v>
      </c>
      <c r="O16">
        <v>119.3</v>
      </c>
      <c r="P16">
        <v>81.099999999999994</v>
      </c>
      <c r="Q16">
        <v>46.4</v>
      </c>
      <c r="R16">
        <v>53.9</v>
      </c>
      <c r="S16">
        <v>40.1</v>
      </c>
      <c r="T16">
        <v>26.3</v>
      </c>
      <c r="U16">
        <v>31.2</v>
      </c>
      <c r="V16">
        <v>22</v>
      </c>
    </row>
    <row r="17" spans="1:22" x14ac:dyDescent="0.25">
      <c r="A17" t="s">
        <v>295</v>
      </c>
      <c r="B17">
        <v>73.5</v>
      </c>
      <c r="C17">
        <v>70.8</v>
      </c>
      <c r="D17">
        <v>76</v>
      </c>
      <c r="E17">
        <v>66.900000000000006</v>
      </c>
      <c r="F17">
        <v>64.900000000000006</v>
      </c>
      <c r="G17">
        <v>68.7</v>
      </c>
      <c r="H17">
        <v>31.1</v>
      </c>
      <c r="I17">
        <v>32</v>
      </c>
      <c r="J17">
        <v>29.9</v>
      </c>
      <c r="K17">
        <v>17.2</v>
      </c>
      <c r="L17">
        <v>18.2</v>
      </c>
      <c r="M17">
        <v>15.9</v>
      </c>
      <c r="N17">
        <v>84.9</v>
      </c>
      <c r="O17">
        <v>93.1</v>
      </c>
      <c r="P17">
        <v>77.7</v>
      </c>
      <c r="Q17">
        <v>46.6</v>
      </c>
      <c r="R17">
        <v>55.1</v>
      </c>
      <c r="S17">
        <v>39.1</v>
      </c>
      <c r="T17">
        <v>25.2</v>
      </c>
      <c r="U17">
        <v>28.7</v>
      </c>
      <c r="V17">
        <v>22</v>
      </c>
    </row>
    <row r="18" spans="1:22" x14ac:dyDescent="0.25">
      <c r="A18" t="s">
        <v>296</v>
      </c>
      <c r="B18">
        <v>68.3</v>
      </c>
      <c r="C18">
        <v>69.599999999999994</v>
      </c>
      <c r="D18">
        <v>66.8</v>
      </c>
      <c r="E18">
        <v>61.7</v>
      </c>
      <c r="F18">
        <v>63.2</v>
      </c>
      <c r="G18">
        <v>60.1</v>
      </c>
      <c r="H18">
        <v>29.3</v>
      </c>
      <c r="I18">
        <v>30.6</v>
      </c>
      <c r="J18">
        <v>27.9</v>
      </c>
      <c r="K18">
        <v>17</v>
      </c>
      <c r="L18">
        <v>19.8</v>
      </c>
      <c r="M18">
        <v>14.1</v>
      </c>
      <c r="N18">
        <v>84.1</v>
      </c>
      <c r="O18">
        <v>89.4</v>
      </c>
      <c r="P18">
        <v>79.5</v>
      </c>
      <c r="Q18">
        <v>57</v>
      </c>
      <c r="R18">
        <v>67.7</v>
      </c>
      <c r="S18">
        <v>47.7</v>
      </c>
      <c r="T18">
        <v>32.6</v>
      </c>
      <c r="U18">
        <v>39</v>
      </c>
      <c r="V18">
        <v>26.9</v>
      </c>
    </row>
    <row r="19" spans="1:22" x14ac:dyDescent="0.25">
      <c r="A19" t="s">
        <v>297</v>
      </c>
      <c r="B19">
        <v>76.400000000000006</v>
      </c>
      <c r="C19">
        <v>76.099999999999994</v>
      </c>
      <c r="D19">
        <v>76.8</v>
      </c>
      <c r="E19">
        <v>72.5</v>
      </c>
      <c r="F19">
        <v>72.3</v>
      </c>
      <c r="G19">
        <v>72.5</v>
      </c>
      <c r="H19">
        <v>44.3</v>
      </c>
      <c r="I19">
        <v>44.6</v>
      </c>
      <c r="J19">
        <v>44</v>
      </c>
      <c r="K19">
        <v>0</v>
      </c>
      <c r="L19">
        <v>28.9</v>
      </c>
      <c r="M19">
        <v>0</v>
      </c>
      <c r="N19">
        <v>41.5</v>
      </c>
      <c r="O19">
        <v>40.9</v>
      </c>
      <c r="P19">
        <v>42.2</v>
      </c>
      <c r="Q19">
        <v>34.5</v>
      </c>
      <c r="R19">
        <v>35.4</v>
      </c>
      <c r="S19">
        <v>33.6</v>
      </c>
      <c r="T19">
        <v>28.7</v>
      </c>
      <c r="U19">
        <v>29.3</v>
      </c>
      <c r="V19">
        <v>28</v>
      </c>
    </row>
    <row r="20" spans="1:22" x14ac:dyDescent="0.25">
      <c r="A20" t="s">
        <v>298</v>
      </c>
      <c r="B20">
        <v>74.3</v>
      </c>
      <c r="C20">
        <v>72.2</v>
      </c>
      <c r="D20">
        <v>76.400000000000006</v>
      </c>
      <c r="E20">
        <v>68.3</v>
      </c>
      <c r="F20">
        <v>66.3</v>
      </c>
      <c r="G20">
        <v>70.2</v>
      </c>
      <c r="H20">
        <v>42.9</v>
      </c>
      <c r="I20">
        <v>41</v>
      </c>
      <c r="J20">
        <v>44.7</v>
      </c>
      <c r="K20">
        <v>27</v>
      </c>
      <c r="L20">
        <v>26.2</v>
      </c>
      <c r="M20">
        <v>27.7</v>
      </c>
      <c r="N20">
        <v>55.4</v>
      </c>
      <c r="O20">
        <v>61.8</v>
      </c>
      <c r="P20">
        <v>50.2</v>
      </c>
      <c r="Q20">
        <v>37</v>
      </c>
      <c r="R20">
        <v>39.799999999999997</v>
      </c>
      <c r="S20">
        <v>34.6</v>
      </c>
      <c r="T20">
        <v>21.7</v>
      </c>
      <c r="U20">
        <v>25.9</v>
      </c>
      <c r="V20">
        <v>18.3</v>
      </c>
    </row>
    <row r="21" spans="1:22" x14ac:dyDescent="0.25">
      <c r="A21" t="s">
        <v>299</v>
      </c>
      <c r="B21">
        <v>72.3</v>
      </c>
      <c r="C21">
        <v>72.599999999999994</v>
      </c>
      <c r="D21">
        <v>71.900000000000006</v>
      </c>
      <c r="E21">
        <v>66.099999999999994</v>
      </c>
      <c r="F21">
        <v>66.3</v>
      </c>
      <c r="G21">
        <v>65.7</v>
      </c>
      <c r="H21">
        <v>40.4</v>
      </c>
      <c r="I21">
        <v>40.799999999999997</v>
      </c>
      <c r="J21">
        <v>39.9</v>
      </c>
      <c r="K21">
        <v>23.4</v>
      </c>
      <c r="L21">
        <v>24.9</v>
      </c>
      <c r="M21">
        <v>21.7</v>
      </c>
      <c r="N21">
        <v>88</v>
      </c>
      <c r="O21">
        <v>99</v>
      </c>
      <c r="P21">
        <v>78.2</v>
      </c>
      <c r="Q21">
        <v>53.6</v>
      </c>
      <c r="R21">
        <v>63.3</v>
      </c>
      <c r="S21">
        <v>45</v>
      </c>
      <c r="T21">
        <v>30.1</v>
      </c>
      <c r="U21">
        <v>35.1</v>
      </c>
      <c r="V21">
        <v>25.6</v>
      </c>
    </row>
    <row r="22" spans="1:22" x14ac:dyDescent="0.25">
      <c r="A22" t="s">
        <v>300</v>
      </c>
      <c r="B22">
        <v>87.6</v>
      </c>
      <c r="C22">
        <v>84.3</v>
      </c>
      <c r="D22">
        <v>90.8</v>
      </c>
      <c r="E22">
        <v>83.8</v>
      </c>
      <c r="F22">
        <v>80.400000000000006</v>
      </c>
      <c r="G22">
        <v>87</v>
      </c>
      <c r="H22">
        <v>49.2</v>
      </c>
      <c r="I22">
        <v>47.8</v>
      </c>
      <c r="J22">
        <v>50.6</v>
      </c>
      <c r="K22">
        <v>24.2</v>
      </c>
      <c r="L22">
        <v>24.2</v>
      </c>
      <c r="M22">
        <v>24.1</v>
      </c>
      <c r="N22">
        <v>102.3</v>
      </c>
      <c r="O22">
        <v>99.3</v>
      </c>
      <c r="P22">
        <v>105.4</v>
      </c>
      <c r="Q22">
        <v>59.1</v>
      </c>
      <c r="R22">
        <v>61.6</v>
      </c>
      <c r="S22">
        <v>56.5</v>
      </c>
      <c r="T22">
        <v>34.200000000000003</v>
      </c>
      <c r="U22">
        <v>37.4</v>
      </c>
      <c r="V22">
        <v>31</v>
      </c>
    </row>
    <row r="23" spans="1:22" x14ac:dyDescent="0.25">
      <c r="A23" t="s">
        <v>301</v>
      </c>
      <c r="B23">
        <v>79.3</v>
      </c>
      <c r="C23">
        <v>82.2</v>
      </c>
      <c r="D23">
        <v>75.3</v>
      </c>
      <c r="E23">
        <v>73.900000000000006</v>
      </c>
      <c r="F23">
        <v>77</v>
      </c>
      <c r="G23">
        <v>69.7</v>
      </c>
      <c r="H23">
        <v>44.1</v>
      </c>
      <c r="I23">
        <v>47.7</v>
      </c>
      <c r="J23">
        <v>40</v>
      </c>
      <c r="K23">
        <v>28.5</v>
      </c>
      <c r="L23">
        <v>29.6</v>
      </c>
      <c r="M23">
        <v>27.1</v>
      </c>
      <c r="N23">
        <v>107.1</v>
      </c>
      <c r="O23">
        <v>113.6</v>
      </c>
      <c r="P23">
        <v>100.9</v>
      </c>
      <c r="Q23">
        <v>61.3</v>
      </c>
      <c r="R23">
        <v>66.3</v>
      </c>
      <c r="S23">
        <v>56.5</v>
      </c>
      <c r="T23">
        <v>34.799999999999997</v>
      </c>
      <c r="U23">
        <v>39.1</v>
      </c>
      <c r="V23">
        <v>30.7</v>
      </c>
    </row>
    <row r="24" spans="1:22" x14ac:dyDescent="0.25">
      <c r="A24" t="s">
        <v>302</v>
      </c>
      <c r="B24">
        <v>66.400000000000006</v>
      </c>
      <c r="C24">
        <v>62.9</v>
      </c>
      <c r="D24">
        <v>69.8</v>
      </c>
      <c r="E24">
        <v>57.8</v>
      </c>
      <c r="F24">
        <v>54.8</v>
      </c>
      <c r="G24">
        <v>60.7</v>
      </c>
      <c r="H24">
        <v>30.1</v>
      </c>
      <c r="I24">
        <v>30</v>
      </c>
      <c r="J24">
        <v>30</v>
      </c>
      <c r="K24">
        <v>13.4</v>
      </c>
      <c r="L24">
        <v>14.5</v>
      </c>
      <c r="M24">
        <v>12.3</v>
      </c>
      <c r="N24">
        <v>114.2</v>
      </c>
      <c r="O24">
        <v>125.8</v>
      </c>
      <c r="P24">
        <v>104.1</v>
      </c>
      <c r="Q24">
        <v>50.2</v>
      </c>
      <c r="R24">
        <v>54.9</v>
      </c>
      <c r="S24">
        <v>46.1</v>
      </c>
      <c r="T24">
        <v>29.3</v>
      </c>
      <c r="U24">
        <v>31.7</v>
      </c>
      <c r="V24">
        <v>27.2</v>
      </c>
    </row>
    <row r="25" spans="1:22" x14ac:dyDescent="0.25">
      <c r="A25" t="s">
        <v>303</v>
      </c>
      <c r="B25">
        <v>77.400000000000006</v>
      </c>
      <c r="C25">
        <v>78.5</v>
      </c>
      <c r="D25">
        <v>76.3</v>
      </c>
      <c r="E25">
        <v>71.5</v>
      </c>
      <c r="F25">
        <v>73.2</v>
      </c>
      <c r="G25">
        <v>69.7</v>
      </c>
      <c r="H25">
        <v>39</v>
      </c>
      <c r="I25">
        <v>42.9</v>
      </c>
      <c r="J25">
        <v>34.9</v>
      </c>
      <c r="K25">
        <v>22.5</v>
      </c>
      <c r="L25">
        <v>26</v>
      </c>
      <c r="M25">
        <v>18.8</v>
      </c>
      <c r="N25">
        <v>106.7</v>
      </c>
      <c r="O25">
        <v>113.5</v>
      </c>
      <c r="P25">
        <v>100.4</v>
      </c>
      <c r="Q25">
        <v>65.599999999999994</v>
      </c>
      <c r="R25">
        <v>75.8</v>
      </c>
      <c r="S25">
        <v>56.1</v>
      </c>
      <c r="T25">
        <v>43.3</v>
      </c>
      <c r="U25">
        <v>51.8</v>
      </c>
      <c r="V25">
        <v>35.200000000000003</v>
      </c>
    </row>
    <row r="26" spans="1:22" x14ac:dyDescent="0.25">
      <c r="A26" t="s">
        <v>304</v>
      </c>
      <c r="B26">
        <v>70.8</v>
      </c>
      <c r="C26">
        <v>72.099999999999994</v>
      </c>
      <c r="D26">
        <v>68.8</v>
      </c>
      <c r="E26">
        <v>64.099999999999994</v>
      </c>
      <c r="F26">
        <v>65.400000000000006</v>
      </c>
      <c r="G26">
        <v>62.3</v>
      </c>
      <c r="H26">
        <v>21.7</v>
      </c>
      <c r="I26">
        <v>22.7</v>
      </c>
      <c r="J26">
        <v>20.5</v>
      </c>
      <c r="K26">
        <v>12.1</v>
      </c>
      <c r="L26">
        <v>14.3</v>
      </c>
      <c r="M26">
        <v>9.9</v>
      </c>
      <c r="N26">
        <v>92.5</v>
      </c>
      <c r="O26">
        <v>105.3</v>
      </c>
      <c r="P26">
        <v>81.400000000000006</v>
      </c>
      <c r="Q26">
        <v>42.6</v>
      </c>
      <c r="R26">
        <v>46.3</v>
      </c>
      <c r="S26">
        <v>39.299999999999997</v>
      </c>
      <c r="T26">
        <v>23.6</v>
      </c>
      <c r="U26">
        <v>26.8</v>
      </c>
      <c r="V26">
        <v>20.8</v>
      </c>
    </row>
    <row r="27" spans="1:22" x14ac:dyDescent="0.25">
      <c r="A27" t="s">
        <v>305</v>
      </c>
      <c r="B27">
        <v>87.9</v>
      </c>
      <c r="C27">
        <v>85.7</v>
      </c>
      <c r="D27">
        <v>90</v>
      </c>
      <c r="E27">
        <v>84</v>
      </c>
      <c r="F27">
        <v>82</v>
      </c>
      <c r="G27">
        <v>85.8</v>
      </c>
      <c r="H27">
        <v>44.9</v>
      </c>
      <c r="I27">
        <v>41.5</v>
      </c>
      <c r="J27">
        <v>48.5</v>
      </c>
      <c r="K27">
        <v>19.3</v>
      </c>
      <c r="L27">
        <v>17</v>
      </c>
      <c r="M27">
        <v>22</v>
      </c>
      <c r="N27">
        <v>100.2</v>
      </c>
      <c r="O27">
        <v>99.2</v>
      </c>
      <c r="P27">
        <v>101.1</v>
      </c>
      <c r="Q27">
        <v>59.6</v>
      </c>
      <c r="R27">
        <v>58.3</v>
      </c>
      <c r="S27">
        <v>61</v>
      </c>
      <c r="T27">
        <v>34.9</v>
      </c>
      <c r="U27">
        <v>36.799999999999997</v>
      </c>
      <c r="V27">
        <v>32.9</v>
      </c>
    </row>
    <row r="28" spans="1:22" x14ac:dyDescent="0.25">
      <c r="A28" t="s">
        <v>306</v>
      </c>
      <c r="B28">
        <v>89.1</v>
      </c>
      <c r="C28">
        <v>86.6</v>
      </c>
      <c r="D28">
        <v>91.5</v>
      </c>
      <c r="E28">
        <v>85.9</v>
      </c>
      <c r="F28">
        <v>83.7</v>
      </c>
      <c r="G28">
        <v>88</v>
      </c>
      <c r="H28">
        <v>64.5</v>
      </c>
      <c r="I28">
        <v>62.6</v>
      </c>
      <c r="J28">
        <v>66.5</v>
      </c>
      <c r="K28">
        <v>40.799999999999997</v>
      </c>
      <c r="L28">
        <v>39</v>
      </c>
      <c r="M28">
        <v>42.8</v>
      </c>
      <c r="N28">
        <v>91.1</v>
      </c>
      <c r="O28">
        <v>91</v>
      </c>
      <c r="P28">
        <v>91.2</v>
      </c>
      <c r="Q28">
        <v>65.7</v>
      </c>
      <c r="R28">
        <v>68</v>
      </c>
      <c r="S28">
        <v>63.5</v>
      </c>
      <c r="T28">
        <v>46.5</v>
      </c>
      <c r="U28">
        <v>49.8</v>
      </c>
      <c r="V28">
        <v>43.2</v>
      </c>
    </row>
    <row r="29" spans="1:22" x14ac:dyDescent="0.25">
      <c r="A29" t="s">
        <v>307</v>
      </c>
      <c r="B29">
        <v>75.400000000000006</v>
      </c>
      <c r="C29">
        <v>74.7</v>
      </c>
      <c r="D29">
        <v>76</v>
      </c>
      <c r="E29">
        <v>69.2</v>
      </c>
      <c r="F29">
        <v>68.7</v>
      </c>
      <c r="G29">
        <v>69.7</v>
      </c>
      <c r="H29">
        <v>31</v>
      </c>
      <c r="I29">
        <v>31.3</v>
      </c>
      <c r="J29">
        <v>30.5</v>
      </c>
      <c r="K29">
        <v>13.9</v>
      </c>
      <c r="L29">
        <v>14.4</v>
      </c>
      <c r="M29">
        <v>13.2</v>
      </c>
      <c r="N29">
        <v>91</v>
      </c>
      <c r="O29">
        <v>93.6</v>
      </c>
      <c r="P29">
        <v>88.5</v>
      </c>
      <c r="Q29">
        <v>49.3</v>
      </c>
      <c r="R29">
        <v>55.6</v>
      </c>
      <c r="S29">
        <v>43.3</v>
      </c>
      <c r="T29">
        <v>27.1</v>
      </c>
      <c r="U29">
        <v>31.3</v>
      </c>
      <c r="V29">
        <v>23</v>
      </c>
    </row>
    <row r="30" spans="1:22" x14ac:dyDescent="0.25">
      <c r="A30" t="s">
        <v>266</v>
      </c>
      <c r="B30">
        <v>80.2</v>
      </c>
      <c r="C30">
        <v>80.599999999999994</v>
      </c>
      <c r="D30">
        <v>79.599999999999994</v>
      </c>
      <c r="E30">
        <v>74.8</v>
      </c>
      <c r="F30">
        <v>75.5</v>
      </c>
      <c r="G30">
        <v>74</v>
      </c>
      <c r="H30">
        <v>43.7</v>
      </c>
      <c r="I30">
        <v>45.2</v>
      </c>
      <c r="J30">
        <v>42</v>
      </c>
      <c r="K30">
        <v>24.7</v>
      </c>
      <c r="L30">
        <v>25.8</v>
      </c>
      <c r="M30">
        <v>23.4</v>
      </c>
      <c r="N30">
        <v>87.3</v>
      </c>
      <c r="O30">
        <v>89.7</v>
      </c>
      <c r="P30">
        <v>85</v>
      </c>
      <c r="Q30">
        <v>52.9</v>
      </c>
      <c r="R30">
        <v>57.4</v>
      </c>
      <c r="S30">
        <v>48.5</v>
      </c>
      <c r="T30">
        <v>33.1</v>
      </c>
      <c r="U30">
        <v>37.1</v>
      </c>
      <c r="V30">
        <v>29.3</v>
      </c>
    </row>
    <row r="31" spans="1:22" x14ac:dyDescent="0.25">
      <c r="A31" t="s">
        <v>459</v>
      </c>
      <c r="B31">
        <v>77.599999999999994</v>
      </c>
      <c r="C31">
        <v>78.5</v>
      </c>
      <c r="D31">
        <v>76.7</v>
      </c>
      <c r="E31">
        <v>73</v>
      </c>
      <c r="F31">
        <v>74.3</v>
      </c>
      <c r="G31">
        <v>71.7</v>
      </c>
      <c r="H31">
        <v>45</v>
      </c>
      <c r="I31">
        <v>46.5</v>
      </c>
      <c r="J31">
        <v>43.6</v>
      </c>
      <c r="K31">
        <v>30.2</v>
      </c>
      <c r="L31">
        <v>31.7</v>
      </c>
      <c r="M31">
        <v>28.8</v>
      </c>
      <c r="N31">
        <v>55.9</v>
      </c>
      <c r="O31">
        <v>56.4</v>
      </c>
      <c r="P31">
        <v>55.5</v>
      </c>
      <c r="Q31">
        <v>44.5</v>
      </c>
      <c r="R31">
        <v>46.9</v>
      </c>
      <c r="S31">
        <v>42.2</v>
      </c>
      <c r="T31">
        <v>39.200000000000003</v>
      </c>
      <c r="U31">
        <v>42.4</v>
      </c>
      <c r="V31">
        <v>36.200000000000003</v>
      </c>
    </row>
    <row r="32" spans="1:22" x14ac:dyDescent="0.25">
      <c r="A32" t="s">
        <v>460</v>
      </c>
      <c r="B32">
        <v>80.7</v>
      </c>
      <c r="C32">
        <v>81</v>
      </c>
      <c r="D32">
        <v>80.2</v>
      </c>
      <c r="E32">
        <v>75.2</v>
      </c>
      <c r="F32">
        <v>75.7</v>
      </c>
      <c r="G32">
        <v>74.5</v>
      </c>
      <c r="H32">
        <v>43.1</v>
      </c>
      <c r="I32">
        <v>44.7</v>
      </c>
      <c r="J32">
        <v>41.3</v>
      </c>
      <c r="K32">
        <v>22.7</v>
      </c>
      <c r="L32">
        <v>23.9</v>
      </c>
      <c r="M32">
        <v>21.5</v>
      </c>
      <c r="N32">
        <v>98.8</v>
      </c>
      <c r="O32">
        <v>101.9</v>
      </c>
      <c r="P32">
        <v>95.8</v>
      </c>
      <c r="Q32">
        <v>55.9</v>
      </c>
      <c r="R32">
        <v>61.3</v>
      </c>
      <c r="S32">
        <v>50.8</v>
      </c>
      <c r="T32">
        <v>30.9</v>
      </c>
      <c r="U32">
        <v>35.200000000000003</v>
      </c>
      <c r="V32">
        <v>26.7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tabColor rgb="FFFF66CC"/>
  </sheetPr>
  <dimension ref="A1:M31"/>
  <sheetViews>
    <sheetView workbookViewId="0"/>
  </sheetViews>
  <sheetFormatPr defaultRowHeight="15" x14ac:dyDescent="0.25"/>
  <cols>
    <col min="1" max="1" width="14.5703125" customWidth="1"/>
    <col min="2" max="2" width="10.42578125" customWidth="1"/>
    <col min="4" max="4" width="7.85546875" customWidth="1"/>
    <col min="5" max="5" width="8.5703125" customWidth="1"/>
    <col min="6" max="6" width="8.7109375" customWidth="1"/>
    <col min="7" max="7" width="22" customWidth="1"/>
    <col min="8" max="8" width="9" customWidth="1"/>
    <col min="9" max="9" width="9.140625" customWidth="1"/>
    <col min="10" max="10" width="8.5703125" customWidth="1"/>
    <col min="12" max="12" width="9.42578125" customWidth="1"/>
  </cols>
  <sheetData>
    <row r="1" spans="1:13" x14ac:dyDescent="0.25">
      <c r="A1" s="29" t="s">
        <v>831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29" t="s">
        <v>709</v>
      </c>
      <c r="B2" s="29" t="s">
        <v>634</v>
      </c>
      <c r="C2" s="29" t="s">
        <v>635</v>
      </c>
      <c r="D2" s="29" t="s">
        <v>636</v>
      </c>
      <c r="E2" s="29"/>
      <c r="F2" s="29"/>
      <c r="G2" t="s">
        <v>637</v>
      </c>
      <c r="H2" s="29" t="s">
        <v>638</v>
      </c>
      <c r="I2" s="29"/>
      <c r="J2" s="29"/>
      <c r="K2" s="29"/>
      <c r="L2" s="29"/>
    </row>
    <row r="3" spans="1:13" x14ac:dyDescent="0.25">
      <c r="A3" s="29"/>
      <c r="B3" s="29"/>
      <c r="C3" s="29"/>
      <c r="D3" t="s">
        <v>639</v>
      </c>
      <c r="E3" t="s">
        <v>640</v>
      </c>
      <c r="F3" t="s">
        <v>641</v>
      </c>
      <c r="G3" t="s">
        <v>642</v>
      </c>
      <c r="H3" t="s">
        <v>643</v>
      </c>
      <c r="I3" t="s">
        <v>644</v>
      </c>
      <c r="J3" t="s">
        <v>645</v>
      </c>
      <c r="K3" t="s">
        <v>646</v>
      </c>
      <c r="L3" t="s">
        <v>647</v>
      </c>
    </row>
    <row r="4" spans="1:13" x14ac:dyDescent="0.25">
      <c r="A4" t="s">
        <v>283</v>
      </c>
      <c r="B4">
        <v>1</v>
      </c>
      <c r="C4">
        <v>1.06</v>
      </c>
      <c r="D4">
        <v>1.02</v>
      </c>
      <c r="E4">
        <v>1.24</v>
      </c>
      <c r="F4">
        <v>1.44</v>
      </c>
      <c r="G4">
        <v>1.05</v>
      </c>
      <c r="H4" t="s">
        <v>648</v>
      </c>
      <c r="I4">
        <v>1.41</v>
      </c>
      <c r="J4">
        <v>0.77</v>
      </c>
      <c r="K4">
        <v>0.67</v>
      </c>
      <c r="L4">
        <v>0.7</v>
      </c>
    </row>
    <row r="5" spans="1:13" x14ac:dyDescent="0.25">
      <c r="A5" t="s">
        <v>284</v>
      </c>
      <c r="B5">
        <v>0.99</v>
      </c>
      <c r="C5">
        <v>1.05</v>
      </c>
      <c r="D5">
        <v>1.06</v>
      </c>
      <c r="E5">
        <v>1.22</v>
      </c>
      <c r="F5">
        <v>1.33</v>
      </c>
      <c r="G5">
        <v>1.08</v>
      </c>
      <c r="H5">
        <v>17.36</v>
      </c>
      <c r="I5">
        <v>1.84</v>
      </c>
      <c r="J5">
        <v>0.94</v>
      </c>
      <c r="K5">
        <v>0.85</v>
      </c>
      <c r="L5">
        <v>0.89</v>
      </c>
    </row>
    <row r="6" spans="1:13" x14ac:dyDescent="0.25">
      <c r="A6" t="s">
        <v>285</v>
      </c>
      <c r="B6">
        <v>0.93</v>
      </c>
      <c r="C6">
        <v>1</v>
      </c>
      <c r="D6">
        <v>1.1100000000000001</v>
      </c>
      <c r="E6">
        <v>1.2</v>
      </c>
      <c r="F6">
        <v>1.31</v>
      </c>
      <c r="G6">
        <v>1</v>
      </c>
      <c r="H6">
        <v>21.33</v>
      </c>
      <c r="I6">
        <v>1.93</v>
      </c>
      <c r="J6">
        <v>1.1100000000000001</v>
      </c>
      <c r="K6">
        <v>0.85</v>
      </c>
      <c r="L6">
        <v>0.92</v>
      </c>
    </row>
    <row r="7" spans="1:13" x14ac:dyDescent="0.25">
      <c r="A7" t="s">
        <v>286</v>
      </c>
      <c r="B7">
        <v>0.98</v>
      </c>
      <c r="C7">
        <v>1</v>
      </c>
      <c r="D7">
        <v>1.01</v>
      </c>
      <c r="E7">
        <v>1.21</v>
      </c>
      <c r="F7">
        <v>1.29</v>
      </c>
      <c r="G7">
        <v>1.03</v>
      </c>
      <c r="H7">
        <v>174</v>
      </c>
      <c r="I7">
        <v>1.07</v>
      </c>
      <c r="J7">
        <v>0.92</v>
      </c>
      <c r="K7">
        <v>0.63</v>
      </c>
      <c r="L7">
        <v>0.72</v>
      </c>
    </row>
    <row r="8" spans="1:13" x14ac:dyDescent="0.25">
      <c r="A8" t="s">
        <v>287</v>
      </c>
      <c r="B8">
        <v>0.94</v>
      </c>
      <c r="C8">
        <v>0.96</v>
      </c>
      <c r="D8">
        <v>0.96</v>
      </c>
      <c r="E8">
        <v>1.1299999999999999</v>
      </c>
      <c r="F8">
        <v>1.1499999999999999</v>
      </c>
      <c r="G8">
        <v>0.98</v>
      </c>
      <c r="H8">
        <v>15.79</v>
      </c>
      <c r="I8">
        <v>0.95</v>
      </c>
      <c r="J8">
        <v>0.57999999999999996</v>
      </c>
      <c r="K8">
        <v>0.57999999999999996</v>
      </c>
      <c r="L8">
        <v>0.57999999999999996</v>
      </c>
    </row>
    <row r="9" spans="1:13" x14ac:dyDescent="0.25">
      <c r="A9" t="s">
        <v>288</v>
      </c>
      <c r="B9">
        <v>1.03</v>
      </c>
      <c r="C9">
        <v>1.01</v>
      </c>
      <c r="D9">
        <v>1.1499999999999999</v>
      </c>
      <c r="E9">
        <v>1.21</v>
      </c>
      <c r="F9">
        <v>1.34</v>
      </c>
      <c r="G9">
        <v>1.0900000000000001</v>
      </c>
      <c r="H9">
        <v>53.8</v>
      </c>
      <c r="I9">
        <v>1.43</v>
      </c>
      <c r="J9">
        <v>0.98</v>
      </c>
      <c r="K9">
        <v>0.84</v>
      </c>
      <c r="L9">
        <v>0.89</v>
      </c>
    </row>
    <row r="10" spans="1:13" x14ac:dyDescent="0.25">
      <c r="A10" t="s">
        <v>289</v>
      </c>
      <c r="B10">
        <v>0.92</v>
      </c>
      <c r="C10">
        <v>0.95</v>
      </c>
      <c r="D10">
        <v>0.93</v>
      </c>
      <c r="E10">
        <v>1.1299999999999999</v>
      </c>
      <c r="F10">
        <v>1.17</v>
      </c>
      <c r="G10">
        <v>0.96</v>
      </c>
      <c r="H10">
        <v>28.56</v>
      </c>
      <c r="I10">
        <v>1.1399999999999999</v>
      </c>
      <c r="J10">
        <v>0.78</v>
      </c>
      <c r="K10">
        <v>0.66</v>
      </c>
      <c r="L10">
        <v>0.71</v>
      </c>
    </row>
    <row r="11" spans="1:13" x14ac:dyDescent="0.25">
      <c r="A11" t="s">
        <v>290</v>
      </c>
      <c r="B11">
        <v>0.95</v>
      </c>
      <c r="C11">
        <v>0.96</v>
      </c>
      <c r="D11">
        <v>0.93</v>
      </c>
      <c r="E11">
        <v>1.1200000000000001</v>
      </c>
      <c r="F11">
        <v>1.26</v>
      </c>
      <c r="G11">
        <v>0.98</v>
      </c>
      <c r="H11">
        <v>17.11</v>
      </c>
      <c r="I11">
        <v>1.88</v>
      </c>
      <c r="J11">
        <v>1.07</v>
      </c>
      <c r="K11">
        <v>0.79</v>
      </c>
      <c r="L11">
        <v>0.89</v>
      </c>
    </row>
    <row r="12" spans="1:13" x14ac:dyDescent="0.25">
      <c r="A12" t="s">
        <v>291</v>
      </c>
      <c r="B12">
        <v>0.98</v>
      </c>
      <c r="C12">
        <v>0.99</v>
      </c>
      <c r="D12">
        <v>0.99</v>
      </c>
      <c r="E12">
        <v>1.22</v>
      </c>
      <c r="F12">
        <v>1.21</v>
      </c>
      <c r="G12">
        <v>1.02</v>
      </c>
      <c r="H12">
        <v>37</v>
      </c>
      <c r="I12">
        <v>1.43</v>
      </c>
      <c r="J12">
        <v>0.69</v>
      </c>
      <c r="K12">
        <v>0.83</v>
      </c>
      <c r="L12">
        <v>0.77</v>
      </c>
    </row>
    <row r="13" spans="1:13" x14ac:dyDescent="0.25">
      <c r="A13" t="s">
        <v>292</v>
      </c>
      <c r="B13">
        <v>1.1200000000000001</v>
      </c>
      <c r="C13">
        <v>1.0900000000000001</v>
      </c>
      <c r="D13">
        <v>1.04</v>
      </c>
      <c r="E13">
        <v>1.19</v>
      </c>
      <c r="F13">
        <v>1.2</v>
      </c>
      <c r="G13">
        <v>1.0900000000000001</v>
      </c>
      <c r="H13">
        <v>10.17</v>
      </c>
      <c r="I13">
        <v>1.1000000000000001</v>
      </c>
      <c r="J13">
        <v>0.5</v>
      </c>
      <c r="K13">
        <v>0.59</v>
      </c>
      <c r="L13">
        <v>0.56000000000000005</v>
      </c>
    </row>
    <row r="14" spans="1:13" x14ac:dyDescent="0.25">
      <c r="A14" t="s">
        <v>293</v>
      </c>
      <c r="B14">
        <v>1.04</v>
      </c>
      <c r="C14">
        <v>0.94</v>
      </c>
      <c r="D14">
        <v>1.18</v>
      </c>
      <c r="E14">
        <v>1.3</v>
      </c>
      <c r="F14">
        <v>1.37</v>
      </c>
      <c r="G14">
        <v>1.28</v>
      </c>
      <c r="H14">
        <v>50</v>
      </c>
      <c r="I14">
        <v>2.11</v>
      </c>
      <c r="J14">
        <v>1.1399999999999999</v>
      </c>
      <c r="K14">
        <v>0.95</v>
      </c>
      <c r="L14">
        <v>1.04</v>
      </c>
    </row>
    <row r="15" spans="1:13" x14ac:dyDescent="0.25">
      <c r="A15" t="s">
        <v>294</v>
      </c>
      <c r="B15">
        <v>1.1000000000000001</v>
      </c>
      <c r="C15">
        <v>1.2</v>
      </c>
      <c r="D15">
        <v>1.24</v>
      </c>
      <c r="E15">
        <v>1.3</v>
      </c>
      <c r="F15">
        <v>1.37</v>
      </c>
      <c r="G15">
        <v>1.32</v>
      </c>
      <c r="H15">
        <v>20</v>
      </c>
      <c r="I15">
        <v>1.1399999999999999</v>
      </c>
      <c r="J15">
        <v>0.76</v>
      </c>
      <c r="K15">
        <v>0.67</v>
      </c>
      <c r="L15">
        <v>0.69</v>
      </c>
    </row>
    <row r="16" spans="1:13" x14ac:dyDescent="0.25">
      <c r="A16" t="s">
        <v>295</v>
      </c>
      <c r="B16">
        <v>1.03</v>
      </c>
      <c r="C16">
        <v>1.05</v>
      </c>
      <c r="D16">
        <v>1.02</v>
      </c>
      <c r="E16">
        <v>1.32</v>
      </c>
      <c r="F16">
        <v>1.24</v>
      </c>
      <c r="G16">
        <v>1.05</v>
      </c>
      <c r="H16">
        <v>7.31</v>
      </c>
      <c r="I16">
        <v>0.93</v>
      </c>
      <c r="J16">
        <v>0.59</v>
      </c>
      <c r="K16">
        <v>0.54</v>
      </c>
      <c r="L16">
        <v>0.56000000000000005</v>
      </c>
    </row>
    <row r="17" spans="1:12" x14ac:dyDescent="0.25">
      <c r="A17" t="s">
        <v>296</v>
      </c>
      <c r="B17">
        <v>1.1299999999999999</v>
      </c>
      <c r="C17">
        <v>1.23</v>
      </c>
      <c r="D17">
        <v>1.0900000000000001</v>
      </c>
      <c r="E17">
        <v>1.3</v>
      </c>
      <c r="F17">
        <v>1.49</v>
      </c>
      <c r="G17">
        <v>1.1399999999999999</v>
      </c>
      <c r="H17" t="s">
        <v>648</v>
      </c>
      <c r="I17">
        <v>1.34</v>
      </c>
      <c r="J17">
        <v>0.86</v>
      </c>
      <c r="K17">
        <v>0.74</v>
      </c>
      <c r="L17">
        <v>0.8</v>
      </c>
    </row>
    <row r="18" spans="1:12" x14ac:dyDescent="0.25">
      <c r="A18" t="s">
        <v>297</v>
      </c>
      <c r="B18">
        <v>0.92</v>
      </c>
      <c r="C18">
        <v>0.96</v>
      </c>
      <c r="D18">
        <v>0.94</v>
      </c>
      <c r="E18">
        <v>1.02</v>
      </c>
      <c r="F18">
        <v>1.06</v>
      </c>
      <c r="G18">
        <v>0.97</v>
      </c>
      <c r="H18">
        <v>96.33</v>
      </c>
      <c r="I18">
        <v>3.02</v>
      </c>
      <c r="J18">
        <v>1.1000000000000001</v>
      </c>
      <c r="K18">
        <v>0.81</v>
      </c>
      <c r="L18">
        <v>0.85</v>
      </c>
    </row>
    <row r="19" spans="1:12" x14ac:dyDescent="0.25">
      <c r="A19" t="s">
        <v>298</v>
      </c>
      <c r="B19">
        <v>1.0900000000000001</v>
      </c>
      <c r="C19">
        <v>1.19</v>
      </c>
      <c r="D19">
        <v>1.1100000000000001</v>
      </c>
      <c r="E19">
        <v>1.26</v>
      </c>
      <c r="F19">
        <v>1.35</v>
      </c>
      <c r="G19">
        <v>1.1399999999999999</v>
      </c>
      <c r="H19">
        <v>43.5</v>
      </c>
      <c r="I19">
        <v>1.44</v>
      </c>
      <c r="J19">
        <v>0.77</v>
      </c>
      <c r="K19">
        <v>0.53</v>
      </c>
      <c r="L19">
        <v>0.61</v>
      </c>
    </row>
    <row r="20" spans="1:12" x14ac:dyDescent="0.25">
      <c r="A20" t="s">
        <v>299</v>
      </c>
      <c r="B20">
        <v>1.1100000000000001</v>
      </c>
      <c r="C20">
        <v>1.19</v>
      </c>
      <c r="D20">
        <v>1.1000000000000001</v>
      </c>
      <c r="E20">
        <v>1.36</v>
      </c>
      <c r="F20">
        <v>1.4</v>
      </c>
      <c r="G20">
        <v>1.04</v>
      </c>
      <c r="H20">
        <v>32.33</v>
      </c>
      <c r="I20">
        <v>1.25</v>
      </c>
      <c r="J20">
        <v>0.68</v>
      </c>
      <c r="K20">
        <v>0.75</v>
      </c>
      <c r="L20">
        <v>0.71</v>
      </c>
    </row>
    <row r="21" spans="1:12" x14ac:dyDescent="0.25">
      <c r="A21" t="s">
        <v>300</v>
      </c>
      <c r="B21">
        <v>0.88</v>
      </c>
      <c r="C21">
        <v>0.89</v>
      </c>
      <c r="D21">
        <v>0.86</v>
      </c>
      <c r="E21">
        <v>1.07</v>
      </c>
      <c r="F21">
        <v>1.1499999999999999</v>
      </c>
      <c r="G21">
        <v>0.92</v>
      </c>
      <c r="H21">
        <v>12.85</v>
      </c>
      <c r="I21">
        <v>1.05</v>
      </c>
      <c r="J21">
        <v>0.64</v>
      </c>
      <c r="K21">
        <v>0.56999999999999995</v>
      </c>
      <c r="L21">
        <v>0.59</v>
      </c>
    </row>
    <row r="22" spans="1:12" x14ac:dyDescent="0.25">
      <c r="A22" t="s">
        <v>301</v>
      </c>
      <c r="B22">
        <v>0.96</v>
      </c>
      <c r="C22">
        <v>0.99</v>
      </c>
      <c r="D22">
        <v>1.1599999999999999</v>
      </c>
      <c r="E22">
        <v>1.21</v>
      </c>
      <c r="F22">
        <v>1.27</v>
      </c>
      <c r="G22">
        <v>1.25</v>
      </c>
      <c r="H22">
        <v>17.09</v>
      </c>
      <c r="I22">
        <v>1.28</v>
      </c>
      <c r="J22">
        <v>0.69</v>
      </c>
      <c r="K22">
        <v>0.57999999999999996</v>
      </c>
      <c r="L22">
        <v>0.63</v>
      </c>
    </row>
    <row r="23" spans="1:12" x14ac:dyDescent="0.25">
      <c r="A23" t="s">
        <v>302</v>
      </c>
      <c r="B23">
        <v>1.1000000000000001</v>
      </c>
      <c r="C23">
        <v>1.1399999999999999</v>
      </c>
      <c r="D23">
        <v>1.1000000000000001</v>
      </c>
      <c r="E23">
        <v>1.23</v>
      </c>
      <c r="F23">
        <v>1.1299999999999999</v>
      </c>
      <c r="G23">
        <v>1.19</v>
      </c>
      <c r="H23">
        <v>11</v>
      </c>
      <c r="I23">
        <v>0.96</v>
      </c>
      <c r="J23">
        <v>0.8</v>
      </c>
      <c r="K23">
        <v>0.67</v>
      </c>
      <c r="L23">
        <v>0.71</v>
      </c>
    </row>
    <row r="24" spans="1:12" x14ac:dyDescent="0.25">
      <c r="A24" t="s">
        <v>303</v>
      </c>
      <c r="B24">
        <v>0.98</v>
      </c>
      <c r="C24">
        <v>1.05</v>
      </c>
      <c r="D24">
        <v>1.04</v>
      </c>
      <c r="E24">
        <v>1.29</v>
      </c>
      <c r="F24">
        <v>1.42</v>
      </c>
      <c r="G24">
        <v>1.04</v>
      </c>
      <c r="H24">
        <v>43.09</v>
      </c>
      <c r="I24">
        <v>2.4</v>
      </c>
      <c r="J24">
        <v>1.22</v>
      </c>
      <c r="K24">
        <v>0.8</v>
      </c>
      <c r="L24">
        <v>0.9</v>
      </c>
    </row>
    <row r="25" spans="1:12" x14ac:dyDescent="0.25">
      <c r="A25" t="s">
        <v>304</v>
      </c>
      <c r="B25">
        <v>1.1100000000000001</v>
      </c>
      <c r="C25">
        <v>1.04</v>
      </c>
      <c r="D25">
        <v>1.17</v>
      </c>
      <c r="E25">
        <v>1.32</v>
      </c>
      <c r="F25">
        <v>1.38</v>
      </c>
      <c r="G25">
        <v>1.26</v>
      </c>
      <c r="H25">
        <v>52</v>
      </c>
      <c r="I25">
        <v>1.71</v>
      </c>
      <c r="J25">
        <v>0.72</v>
      </c>
      <c r="K25">
        <v>0.6</v>
      </c>
      <c r="L25">
        <v>0.66</v>
      </c>
    </row>
    <row r="26" spans="1:12" x14ac:dyDescent="0.25">
      <c r="A26" t="s">
        <v>305</v>
      </c>
      <c r="B26">
        <v>0.93</v>
      </c>
      <c r="C26">
        <v>0.98</v>
      </c>
      <c r="D26">
        <v>0.91</v>
      </c>
      <c r="E26">
        <v>1.02</v>
      </c>
      <c r="F26">
        <v>1.08</v>
      </c>
      <c r="G26">
        <v>0.99</v>
      </c>
      <c r="H26">
        <v>5.89</v>
      </c>
      <c r="I26">
        <v>0.79</v>
      </c>
      <c r="J26">
        <v>0.39</v>
      </c>
      <c r="K26">
        <v>0.47</v>
      </c>
      <c r="L26">
        <v>0.44</v>
      </c>
    </row>
    <row r="27" spans="1:12" x14ac:dyDescent="0.25">
      <c r="A27" t="s">
        <v>306</v>
      </c>
      <c r="B27">
        <v>0.93</v>
      </c>
      <c r="C27">
        <v>0.93</v>
      </c>
      <c r="D27">
        <v>0.92</v>
      </c>
      <c r="E27">
        <v>1.07</v>
      </c>
      <c r="F27">
        <v>1.1200000000000001</v>
      </c>
      <c r="G27">
        <v>0.94</v>
      </c>
      <c r="H27">
        <v>13.17</v>
      </c>
      <c r="I27">
        <v>0.85</v>
      </c>
      <c r="J27">
        <v>0.6</v>
      </c>
      <c r="K27">
        <v>0.46</v>
      </c>
      <c r="L27">
        <v>0.49</v>
      </c>
    </row>
    <row r="28" spans="1:12" x14ac:dyDescent="0.25">
      <c r="A28" t="s">
        <v>307</v>
      </c>
      <c r="B28">
        <v>0.96</v>
      </c>
      <c r="C28">
        <v>1</v>
      </c>
      <c r="D28">
        <v>0.97</v>
      </c>
      <c r="E28">
        <v>1.22</v>
      </c>
      <c r="F28">
        <v>1.34</v>
      </c>
      <c r="G28">
        <v>0.98</v>
      </c>
      <c r="H28">
        <v>13.65</v>
      </c>
      <c r="I28">
        <v>1.64</v>
      </c>
      <c r="J28">
        <v>0.93</v>
      </c>
      <c r="K28">
        <v>0.67</v>
      </c>
      <c r="L28">
        <v>0.74</v>
      </c>
    </row>
    <row r="29" spans="1:12" x14ac:dyDescent="0.25">
      <c r="A29" t="s">
        <v>266</v>
      </c>
      <c r="B29">
        <v>0.97</v>
      </c>
      <c r="C29">
        <v>1</v>
      </c>
      <c r="D29">
        <v>1.01</v>
      </c>
      <c r="E29">
        <v>1.17</v>
      </c>
      <c r="F29">
        <v>1.24</v>
      </c>
      <c r="G29">
        <v>1.02</v>
      </c>
      <c r="H29">
        <v>18.79</v>
      </c>
      <c r="I29">
        <v>1.43</v>
      </c>
      <c r="J29">
        <v>0.83</v>
      </c>
      <c r="K29">
        <v>0.69</v>
      </c>
      <c r="L29">
        <v>0.73</v>
      </c>
    </row>
    <row r="30" spans="1:12" x14ac:dyDescent="0.25">
      <c r="A30" t="s">
        <v>459</v>
      </c>
      <c r="B30">
        <v>0.95</v>
      </c>
      <c r="C30">
        <v>0.99</v>
      </c>
      <c r="D30">
        <v>0.98</v>
      </c>
      <c r="E30">
        <v>1.0900000000000001</v>
      </c>
      <c r="F30">
        <v>1.1599999999999999</v>
      </c>
      <c r="G30">
        <v>0.99</v>
      </c>
      <c r="H30">
        <v>101.1</v>
      </c>
      <c r="I30">
        <v>2.46</v>
      </c>
      <c r="J30">
        <v>1.1000000000000001</v>
      </c>
      <c r="K30">
        <v>0.79</v>
      </c>
      <c r="L30">
        <v>0.85</v>
      </c>
    </row>
    <row r="31" spans="1:12" x14ac:dyDescent="0.25">
      <c r="A31" t="s">
        <v>460</v>
      </c>
      <c r="B31">
        <v>0.97</v>
      </c>
      <c r="C31">
        <v>1</v>
      </c>
      <c r="D31">
        <v>1.01</v>
      </c>
      <c r="E31">
        <v>1.19</v>
      </c>
      <c r="F31">
        <v>1.28</v>
      </c>
      <c r="G31">
        <v>1.03</v>
      </c>
      <c r="H31">
        <v>15.79</v>
      </c>
      <c r="I31">
        <v>1.27</v>
      </c>
      <c r="J31">
        <v>0.78</v>
      </c>
      <c r="K31">
        <v>0.64</v>
      </c>
      <c r="L31">
        <v>0.69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tabColor rgb="FF808080"/>
  </sheetPr>
  <dimension ref="A1:Q46"/>
  <sheetViews>
    <sheetView workbookViewId="0"/>
  </sheetViews>
  <sheetFormatPr defaultRowHeight="15" x14ac:dyDescent="0.25"/>
  <cols>
    <col min="1" max="1" width="14.42578125" customWidth="1"/>
    <col min="2" max="2" width="5.42578125" customWidth="1"/>
    <col min="4" max="4" width="8.140625" customWidth="1"/>
    <col min="5" max="5" width="6.5703125" customWidth="1"/>
    <col min="6" max="6" width="5.42578125" customWidth="1"/>
    <col min="7" max="7" width="9" customWidth="1"/>
    <col min="8" max="8" width="6.85546875" customWidth="1"/>
    <col min="9" max="9" width="6.7109375" customWidth="1"/>
    <col min="10" max="10" width="7.42578125" customWidth="1"/>
    <col min="11" max="11" width="8.85546875" customWidth="1"/>
    <col min="12" max="12" width="7.42578125" customWidth="1"/>
    <col min="14" max="14" width="5.42578125" customWidth="1"/>
    <col min="15" max="15" width="9" customWidth="1"/>
    <col min="16" max="16" width="6.85546875" customWidth="1"/>
    <col min="17" max="17" width="6.7109375" customWidth="1"/>
  </cols>
  <sheetData>
    <row r="1" spans="1:17" x14ac:dyDescent="0.25">
      <c r="A1" s="29" t="s">
        <v>832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 t="s">
        <v>797</v>
      </c>
      <c r="B2" s="29" t="s">
        <v>261</v>
      </c>
      <c r="C2" s="29"/>
      <c r="D2" s="29"/>
      <c r="E2" s="29"/>
      <c r="F2" s="29" t="s">
        <v>256</v>
      </c>
      <c r="G2" s="29"/>
      <c r="H2" s="29"/>
      <c r="I2" s="29"/>
      <c r="J2" s="29" t="s">
        <v>650</v>
      </c>
      <c r="K2" s="29"/>
      <c r="L2" s="29"/>
      <c r="M2" s="29"/>
      <c r="N2" s="29" t="s">
        <v>115</v>
      </c>
      <c r="O2" s="29"/>
      <c r="P2" s="29"/>
      <c r="Q2" s="29"/>
    </row>
    <row r="3" spans="1:17" x14ac:dyDescent="0.25">
      <c r="A3" s="29"/>
      <c r="B3" t="s">
        <v>651</v>
      </c>
      <c r="C3" t="s">
        <v>652</v>
      </c>
      <c r="D3" t="s">
        <v>365</v>
      </c>
      <c r="E3" t="s">
        <v>366</v>
      </c>
      <c r="F3" t="s">
        <v>651</v>
      </c>
      <c r="G3" t="s">
        <v>652</v>
      </c>
      <c r="H3" t="s">
        <v>611</v>
      </c>
      <c r="I3" t="s">
        <v>612</v>
      </c>
      <c r="J3" t="s">
        <v>651</v>
      </c>
      <c r="K3" t="s">
        <v>652</v>
      </c>
      <c r="L3" t="s">
        <v>611</v>
      </c>
      <c r="M3" t="s">
        <v>612</v>
      </c>
      <c r="N3" t="s">
        <v>651</v>
      </c>
      <c r="O3" t="s">
        <v>652</v>
      </c>
      <c r="P3" t="s">
        <v>611</v>
      </c>
      <c r="Q3" t="s">
        <v>612</v>
      </c>
    </row>
    <row r="4" spans="1:17" x14ac:dyDescent="0.25">
      <c r="A4" t="s">
        <v>653</v>
      </c>
      <c r="B4">
        <v>96</v>
      </c>
      <c r="C4" t="s">
        <v>654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655</v>
      </c>
      <c r="B5">
        <v>149</v>
      </c>
      <c r="C5" t="s">
        <v>654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656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657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658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659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660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661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662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663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664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665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666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667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668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669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670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671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672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673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674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675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676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677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678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679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680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681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682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683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684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685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686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687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688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689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690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691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692</v>
      </c>
      <c r="B42">
        <v>4176</v>
      </c>
      <c r="C42">
        <v>7189</v>
      </c>
      <c r="D42">
        <v>1237</v>
      </c>
      <c r="E42">
        <v>510</v>
      </c>
      <c r="F42">
        <v>6825</v>
      </c>
      <c r="G42">
        <v>61635</v>
      </c>
      <c r="H42">
        <v>13215</v>
      </c>
      <c r="I42">
        <v>6684</v>
      </c>
      <c r="J42">
        <v>205492</v>
      </c>
      <c r="K42">
        <v>2028694</v>
      </c>
      <c r="L42">
        <v>605067</v>
      </c>
      <c r="M42">
        <v>303871</v>
      </c>
      <c r="N42">
        <v>5398</v>
      </c>
      <c r="O42">
        <v>57915</v>
      </c>
      <c r="P42">
        <v>33171</v>
      </c>
      <c r="Q42">
        <v>15172</v>
      </c>
    </row>
    <row r="43" spans="1:17" x14ac:dyDescent="0.25">
      <c r="A43" t="s">
        <v>798</v>
      </c>
      <c r="B43">
        <v>4301</v>
      </c>
      <c r="C43">
        <v>7228</v>
      </c>
      <c r="D43">
        <v>1246</v>
      </c>
      <c r="E43">
        <v>525</v>
      </c>
      <c r="F43">
        <v>7122</v>
      </c>
      <c r="G43">
        <v>62208</v>
      </c>
      <c r="H43">
        <v>13388</v>
      </c>
      <c r="I43">
        <v>7179</v>
      </c>
      <c r="J43">
        <v>217509</v>
      </c>
      <c r="K43">
        <v>2040257</v>
      </c>
      <c r="L43">
        <v>610261</v>
      </c>
      <c r="M43">
        <v>321145</v>
      </c>
      <c r="N43">
        <v>5559</v>
      </c>
      <c r="O43">
        <v>57811</v>
      </c>
      <c r="P43">
        <v>33638</v>
      </c>
      <c r="Q43">
        <v>15761</v>
      </c>
    </row>
    <row r="44" spans="1:17" x14ac:dyDescent="0.25">
      <c r="A44" t="s">
        <v>799</v>
      </c>
      <c r="B44">
        <v>4409</v>
      </c>
      <c r="C44">
        <v>7282</v>
      </c>
      <c r="D44">
        <v>1247</v>
      </c>
      <c r="E44">
        <v>544</v>
      </c>
      <c r="F44">
        <v>7761</v>
      </c>
      <c r="G44">
        <v>62402</v>
      </c>
      <c r="H44">
        <v>13690</v>
      </c>
      <c r="I44">
        <v>7406</v>
      </c>
      <c r="J44">
        <v>233132</v>
      </c>
      <c r="K44">
        <v>2023473</v>
      </c>
      <c r="L44">
        <v>618968</v>
      </c>
      <c r="M44">
        <v>334712</v>
      </c>
      <c r="N44">
        <v>5678</v>
      </c>
      <c r="O44">
        <v>57347</v>
      </c>
      <c r="P44">
        <v>32620</v>
      </c>
      <c r="Q44">
        <v>17442</v>
      </c>
    </row>
    <row r="45" spans="1:17" x14ac:dyDescent="0.25">
      <c r="A45" t="s">
        <v>833</v>
      </c>
      <c r="B45">
        <v>4493</v>
      </c>
      <c r="C45">
        <v>7304</v>
      </c>
      <c r="D45">
        <v>1246</v>
      </c>
      <c r="E45">
        <v>554</v>
      </c>
      <c r="F45">
        <v>8687</v>
      </c>
      <c r="G45">
        <v>62936</v>
      </c>
      <c r="H45">
        <v>14305</v>
      </c>
      <c r="I45">
        <v>8026</v>
      </c>
      <c r="J45">
        <v>229092</v>
      </c>
      <c r="K45">
        <v>2010286</v>
      </c>
      <c r="L45">
        <v>632303</v>
      </c>
      <c r="M45">
        <v>351794</v>
      </c>
      <c r="N45">
        <v>5717</v>
      </c>
      <c r="O45">
        <v>57300</v>
      </c>
      <c r="P45">
        <v>33274</v>
      </c>
      <c r="Q45">
        <v>17879</v>
      </c>
    </row>
    <row r="46" spans="1:17" x14ac:dyDescent="0.25">
      <c r="A46" t="s">
        <v>834</v>
      </c>
      <c r="B46">
        <v>4563</v>
      </c>
      <c r="C46">
        <v>7306</v>
      </c>
      <c r="D46">
        <v>1253</v>
      </c>
      <c r="E46">
        <v>559</v>
      </c>
      <c r="F46">
        <v>8482</v>
      </c>
      <c r="G46">
        <v>63263</v>
      </c>
      <c r="H46">
        <v>15307</v>
      </c>
      <c r="I46">
        <v>8857</v>
      </c>
      <c r="J46">
        <v>217787</v>
      </c>
      <c r="K46">
        <v>2036566</v>
      </c>
      <c r="L46">
        <v>662106</v>
      </c>
      <c r="M46">
        <v>360617</v>
      </c>
      <c r="N46">
        <v>5934</v>
      </c>
      <c r="O46">
        <v>58040</v>
      </c>
      <c r="P46">
        <v>33386</v>
      </c>
      <c r="Q46">
        <v>18189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226</vt:i4>
      </vt:variant>
    </vt:vector>
  </HeadingPairs>
  <TitlesOfParts>
    <vt:vector size="226" baseType="lpstr">
      <vt:lpstr>📋 Index</vt:lpstr>
      <vt:lpstr>National Summary - Schools, Cla</vt:lpstr>
      <vt:lpstr>Schools, Classes &amp; Staff by Pro</vt:lpstr>
      <vt:lpstr>All Lycees by Province -Pub 201</vt:lpstr>
      <vt:lpstr>Colleges by Province -Pub 2017-</vt:lpstr>
      <vt:lpstr>Lycees (Gr 10-12 only) by Provi</vt:lpstr>
      <vt:lpstr>Pre-Schools by Province -Pub 20</vt:lpstr>
      <vt:lpstr>Primary Schools by Province -Pu</vt:lpstr>
      <vt:lpstr>Secondary Schools by Province -</vt:lpstr>
      <vt:lpstr>Classes by Grade &amp; Education Le</vt:lpstr>
      <vt:lpstr>Cluster Schools &amp; Schools in Pa</vt:lpstr>
      <vt:lpstr>School Characteristics &amp; Princi</vt:lpstr>
      <vt:lpstr>Schools by Highest Grade Taught</vt:lpstr>
      <vt:lpstr>Enrollment &amp; Repeaters by Grade</vt:lpstr>
      <vt:lpstr>Enrollment by Level 2016-2017 -</vt:lpstr>
      <vt:lpstr>Enrollment by Level 2017-2018 -</vt:lpstr>
      <vt:lpstr>New Intake &amp; Enrollment by Age </vt:lpstr>
      <vt:lpstr>New Intake &amp; Enrollment by Ag 1</vt:lpstr>
      <vt:lpstr>Pre-School Enrollment by Step -</vt:lpstr>
      <vt:lpstr>Provincial &amp; District Education</vt:lpstr>
      <vt:lpstr>School Staff - Special Function</vt:lpstr>
      <vt:lpstr>School Staff by Education Level</vt:lpstr>
      <vt:lpstr>Teaching Staff - Pedagogical Tr</vt:lpstr>
      <vt:lpstr>Classroom Conditions &amp; Office-L</vt:lpstr>
      <vt:lpstr>Community Participation &amp; Finan</vt:lpstr>
      <vt:lpstr>School Building Conditions -Pub</vt:lpstr>
      <vt:lpstr>School Space &amp; Sports Facilitie</vt:lpstr>
      <vt:lpstr>Access &amp; Enrollment Ratios for </vt:lpstr>
      <vt:lpstr>Access &amp; Equity Indicators - by</vt:lpstr>
      <vt:lpstr>Enrollment Indicators - by Prov</vt:lpstr>
      <vt:lpstr>Gross &amp; Net Enrollment Ratios -</vt:lpstr>
      <vt:lpstr>Indicators on Primary Schools -</vt:lpstr>
      <vt:lpstr>Indicators on Schools - Nationa</vt:lpstr>
      <vt:lpstr>Indicators on Schools - by Prov</vt:lpstr>
      <vt:lpstr>Indicators on Secondary Schools</vt:lpstr>
      <vt:lpstr>Primary Student &amp; Staff Indicat</vt:lpstr>
      <vt:lpstr>School-Going Age Population &amp; S</vt:lpstr>
      <vt:lpstr>Secondary Student &amp; Staff Indic</vt:lpstr>
      <vt:lpstr>Student &amp; Staff Indicators - Na</vt:lpstr>
      <vt:lpstr>Student &amp; Staff Indicators - by</vt:lpstr>
      <vt:lpstr>Completion Rate 2017-2018 -Pub </vt:lpstr>
      <vt:lpstr>Flow Rates &amp; Graduates by Level</vt:lpstr>
      <vt:lpstr>Flow Rates &amp; Graduates by Lev 1</vt:lpstr>
      <vt:lpstr>Flow Rates &amp; Graduates by Lev 2</vt:lpstr>
      <vt:lpstr>Student Flow Rates (Both) 2017-</vt:lpstr>
      <vt:lpstr>Student Flow Rates (Female) 201</vt:lpstr>
      <vt:lpstr>Student Flow Rates (Male) 2016-</vt:lpstr>
      <vt:lpstr>Gender Parity Index 2017-2018 -</vt:lpstr>
      <vt:lpstr>Appendix - Historical Data 1979</vt:lpstr>
      <vt:lpstr>National Summary - Schools, C 1</vt:lpstr>
      <vt:lpstr>Schools, Classes &amp; Staff by P 1</vt:lpstr>
      <vt:lpstr>Colleges by Province -Pri 2018-</vt:lpstr>
      <vt:lpstr>Lycees by Province -Pri 2018-20</vt:lpstr>
      <vt:lpstr>Pre-Schools by Province -Pri 20</vt:lpstr>
      <vt:lpstr>Primary Schools by Province -Pr</vt:lpstr>
      <vt:lpstr>Secondary Schools by Province 1</vt:lpstr>
      <vt:lpstr>School Characteristics &amp; Prin 1</vt:lpstr>
      <vt:lpstr>Schools by Highest Grade Taug 1</vt:lpstr>
      <vt:lpstr>Enrollment &amp; Repeaters by Gra 1</vt:lpstr>
      <vt:lpstr>Enrollment by Level 2017-2018 1</vt:lpstr>
      <vt:lpstr>Enrollment by Level 2018-2019 -</vt:lpstr>
      <vt:lpstr>New Intake &amp; Enrollment by Ag 2</vt:lpstr>
      <vt:lpstr>New Intake &amp; Enrollment by Ag 3</vt:lpstr>
      <vt:lpstr>Pre-School Enrollment Rate by A</vt:lpstr>
      <vt:lpstr>Pre-School Enrollment by Age (3</vt:lpstr>
      <vt:lpstr>Pre-School Enrollment by Step 1</vt:lpstr>
      <vt:lpstr>Non-Teaching Staff by Education</vt:lpstr>
      <vt:lpstr>Teaching Staff by Education Lev</vt:lpstr>
      <vt:lpstr>Learning Facilities (Computers,</vt:lpstr>
      <vt:lpstr>School Building Conditions -Pri</vt:lpstr>
      <vt:lpstr>School Space &amp; Sports Facilit 1</vt:lpstr>
      <vt:lpstr>School Fees - Pre-School (by St</vt:lpstr>
      <vt:lpstr>School Fees - Primary (by Grade</vt:lpstr>
      <vt:lpstr>School Fees - Secondary (by Gra</vt:lpstr>
      <vt:lpstr>Access &amp; Admission Rate Indicat</vt:lpstr>
      <vt:lpstr>Completion Rate 2018-2019 -Pri </vt:lpstr>
      <vt:lpstr>Gender Parity Index 2018-2019 -</vt:lpstr>
      <vt:lpstr>National Summary - Schools, C 2</vt:lpstr>
      <vt:lpstr>Schools, Classes &amp; Staff by P 2</vt:lpstr>
      <vt:lpstr>Colleges by Province -Pri 2019-</vt:lpstr>
      <vt:lpstr>Lycees by Province -Pri 2019-20</vt:lpstr>
      <vt:lpstr>Pre-Schools by Province -Pri  1</vt:lpstr>
      <vt:lpstr>Primary Schools by Province - 1</vt:lpstr>
      <vt:lpstr>Secondary Schools by Province 2</vt:lpstr>
      <vt:lpstr>Schools by Highest Grade Taug 2</vt:lpstr>
      <vt:lpstr>Enrollment &amp; Repeaters by Gra 2</vt:lpstr>
      <vt:lpstr>Enrollment by Level 2018-2019 1</vt:lpstr>
      <vt:lpstr>Enrollment by Level 2019-2020 -</vt:lpstr>
      <vt:lpstr>New Intake &amp; Enrollment by Ag 4</vt:lpstr>
      <vt:lpstr>New Intake &amp; Enrollment by Ag 5</vt:lpstr>
      <vt:lpstr>Pre-School Enrollment Rate by 1</vt:lpstr>
      <vt:lpstr>Pre-School Enrollment by Age  1</vt:lpstr>
      <vt:lpstr>Pre-School Enrollment by Step 2</vt:lpstr>
      <vt:lpstr>Non-Teaching Staff by Educati 1</vt:lpstr>
      <vt:lpstr>Teaching Staff by Education L 1</vt:lpstr>
      <vt:lpstr>Learning Facilities (Computer 1</vt:lpstr>
      <vt:lpstr>School Building Conditions -P 1</vt:lpstr>
      <vt:lpstr>School Space &amp; Sports Facilit 2</vt:lpstr>
      <vt:lpstr>School Fees - Pre-School (by  1</vt:lpstr>
      <vt:lpstr>School Fees - Primary (by Gra 1</vt:lpstr>
      <vt:lpstr>School Fees - Secondary (by G 1</vt:lpstr>
      <vt:lpstr>Access &amp; Admission Rate Indic 1</vt:lpstr>
      <vt:lpstr>Completion Rate 2019-2020 -Pri </vt:lpstr>
      <vt:lpstr>Gender Parity Index 2019-2020 -</vt:lpstr>
      <vt:lpstr>National Summary - Schools, C 3</vt:lpstr>
      <vt:lpstr>Schools, Classes &amp; Staff by P 3</vt:lpstr>
      <vt:lpstr>All Lycees by Province -Pub 2 1</vt:lpstr>
      <vt:lpstr>Colleges by Province -Pub 2019-</vt:lpstr>
      <vt:lpstr>Lycees (Gr 10-12 only) by Pro 1</vt:lpstr>
      <vt:lpstr>Pre-Schools by Province -Pub  1</vt:lpstr>
      <vt:lpstr>Primary Schools by Province - 2</vt:lpstr>
      <vt:lpstr>Secondary Schools by Province 3</vt:lpstr>
      <vt:lpstr>Classes by Grade &amp; Education  1</vt:lpstr>
      <vt:lpstr>Cluster Schools &amp; Schools in  1</vt:lpstr>
      <vt:lpstr>School Characteristics &amp; Prin 2</vt:lpstr>
      <vt:lpstr>Schools by Highest Grade Taug 3</vt:lpstr>
      <vt:lpstr>Enrollment &amp; Repeaters by Gra 3</vt:lpstr>
      <vt:lpstr>Enrollment by Level 2019-2020 1</vt:lpstr>
      <vt:lpstr>New Intake &amp; Enrollment by Ag 6</vt:lpstr>
      <vt:lpstr>New Intake &amp; Enrollment by Ag 7</vt:lpstr>
      <vt:lpstr>Pre-School Enrollment by Age  2</vt:lpstr>
      <vt:lpstr>Pre-School Enrollment by Step 3</vt:lpstr>
      <vt:lpstr>Provincial &amp; District Educati 1</vt:lpstr>
      <vt:lpstr>School Staff - Special Functi 1</vt:lpstr>
      <vt:lpstr>School Staff by Education Lev 1</vt:lpstr>
      <vt:lpstr>Teaching Staff - Pedagogical  1</vt:lpstr>
      <vt:lpstr>Classroom Conditions &amp; Office 1</vt:lpstr>
      <vt:lpstr>Community Participation &amp; Fin 1</vt:lpstr>
      <vt:lpstr>School Building Conditions -P 2</vt:lpstr>
      <vt:lpstr>School Space &amp; Sports Facilit 3</vt:lpstr>
      <vt:lpstr>Access &amp; Enrollment Ratios fo 1</vt:lpstr>
      <vt:lpstr>Access &amp; Equity Indicators -  1</vt:lpstr>
      <vt:lpstr>Enrollment Indicators - by Pr 1</vt:lpstr>
      <vt:lpstr>Gross &amp; Net Enrollment Ratios 1</vt:lpstr>
      <vt:lpstr>Indicators on Primary Schools 1</vt:lpstr>
      <vt:lpstr>Indicators on Schools - Natio 1</vt:lpstr>
      <vt:lpstr>Indicators on Schools - by Pr 1</vt:lpstr>
      <vt:lpstr>Indicators on Secondary Schoo 1</vt:lpstr>
      <vt:lpstr>Primary Student &amp; Staff Indic 1</vt:lpstr>
      <vt:lpstr>School-Going Age Population &amp; 1</vt:lpstr>
      <vt:lpstr>Secondary Student &amp; Staff Ind 1</vt:lpstr>
      <vt:lpstr>Student &amp; Staff Indicators -  1</vt:lpstr>
      <vt:lpstr>Student &amp; Staff Indicators -  2</vt:lpstr>
      <vt:lpstr>Flow Rates &amp; Graduates by Lev 3</vt:lpstr>
      <vt:lpstr>Flow Rates &amp; Graduates by Lev 4</vt:lpstr>
      <vt:lpstr>Flow Rates &amp; Graduates by Lev 5</vt:lpstr>
      <vt:lpstr>Student Flow Rates (Both) 2018-</vt:lpstr>
      <vt:lpstr>Student Flow Rates (Male) 2018-</vt:lpstr>
      <vt:lpstr>Student Flow Rates by Grade 201</vt:lpstr>
      <vt:lpstr>Survival &amp; Completion Rates 201</vt:lpstr>
      <vt:lpstr>Gender Parity Index 2019-2020 1</vt:lpstr>
      <vt:lpstr>Appendix - Historical Data 19 1</vt:lpstr>
      <vt:lpstr>National Summary - Schools, C 4</vt:lpstr>
      <vt:lpstr>Schools, Classes &amp; Staff by P 4</vt:lpstr>
      <vt:lpstr>Colleges by Province -Pri 2020-</vt:lpstr>
      <vt:lpstr>Lycees by Province -Pri 2020-20</vt:lpstr>
      <vt:lpstr>Pre-Schools by Province -Pri  2</vt:lpstr>
      <vt:lpstr>Primary Schools by Province - 3</vt:lpstr>
      <vt:lpstr>Secondary Schools by Province 4</vt:lpstr>
      <vt:lpstr>Schools by Highest Grade Taug 4</vt:lpstr>
      <vt:lpstr>Enrollment &amp; Repeaters by Gra 4</vt:lpstr>
      <vt:lpstr>Enrollment by Level (incl. Priv</vt:lpstr>
      <vt:lpstr>Enrollment by Level 2020-2021 -</vt:lpstr>
      <vt:lpstr>New Intake &amp; Enrollment by Ag 8</vt:lpstr>
      <vt:lpstr>New Intake &amp; Enrollment by Ag 9</vt:lpstr>
      <vt:lpstr>Pre-School Enrollment by Age  3</vt:lpstr>
      <vt:lpstr>Pre-School Enrollment by Step 4</vt:lpstr>
      <vt:lpstr>Non-Teaching Staff by Educati 2</vt:lpstr>
      <vt:lpstr>Teaching Staff by Education L 2</vt:lpstr>
      <vt:lpstr>Learning Facilities (Computer 2</vt:lpstr>
      <vt:lpstr>School Building Conditions -P 3</vt:lpstr>
      <vt:lpstr>School Space &amp; Sports Facilit 4</vt:lpstr>
      <vt:lpstr>School Fees - Pre-School (by  2</vt:lpstr>
      <vt:lpstr>School Fees - Primary (by Gra 2</vt:lpstr>
      <vt:lpstr>School Fees - Secondary (by G 2</vt:lpstr>
      <vt:lpstr>Access &amp; Admission Rate Indic 2</vt:lpstr>
      <vt:lpstr>Completion Rate 2021-2022 -Pri </vt:lpstr>
      <vt:lpstr>Gender Parity Index 2020-2021 -</vt:lpstr>
      <vt:lpstr>National Summary - Schools, C 5</vt:lpstr>
      <vt:lpstr>Schools, Classes &amp; Staff by P 5</vt:lpstr>
      <vt:lpstr>All Lycees by Province -Pub 202</vt:lpstr>
      <vt:lpstr>Colleges by Province -Pub 2020-</vt:lpstr>
      <vt:lpstr>Lycees (Gr 10-12 only) by Pro 2</vt:lpstr>
      <vt:lpstr>Pre-Schools by Province -Pub  2</vt:lpstr>
      <vt:lpstr>Primary Schools by Province - 4</vt:lpstr>
      <vt:lpstr>Secondary Schools by Province 5</vt:lpstr>
      <vt:lpstr>Classes by Grade &amp; Education  2</vt:lpstr>
      <vt:lpstr>Cluster Schools &amp; Schools in  2</vt:lpstr>
      <vt:lpstr>School Characteristics &amp; Prin 3</vt:lpstr>
      <vt:lpstr>Schools by Highest Grade Taug 5</vt:lpstr>
      <vt:lpstr>Enrollment &amp; Repeaters by Gra 5</vt:lpstr>
      <vt:lpstr>Enrollment by Level 2020-2021 1</vt:lpstr>
      <vt:lpstr>Enrollment by Level 2021-2022 -</vt:lpstr>
      <vt:lpstr>New Intake &amp; Enrollment by A 10</vt:lpstr>
      <vt:lpstr>New Intake &amp; Enrollment by A 11</vt:lpstr>
      <vt:lpstr>Pre-School Enrollment by Step 5</vt:lpstr>
      <vt:lpstr>Provincial &amp; District Educati 2</vt:lpstr>
      <vt:lpstr>School Staff - Special Functi 2</vt:lpstr>
      <vt:lpstr>School Staff by Education Lev 2</vt:lpstr>
      <vt:lpstr>Teaching Staff - Pedagogical  2</vt:lpstr>
      <vt:lpstr>Classroom Conditions &amp; Office 2</vt:lpstr>
      <vt:lpstr>Community Participation &amp; Fin 2</vt:lpstr>
      <vt:lpstr>School Building Conditions -P 4</vt:lpstr>
      <vt:lpstr>School Space &amp; Sports Facilit 5</vt:lpstr>
      <vt:lpstr>Access &amp; Enrollment Ratios fo 2</vt:lpstr>
      <vt:lpstr>Access &amp; Equity Indicators -  2</vt:lpstr>
      <vt:lpstr>Enrollment Indicators - by Pr 2</vt:lpstr>
      <vt:lpstr>Gross &amp; Net Enrollment Ratios 2</vt:lpstr>
      <vt:lpstr>Indicators on Primary Schools 2</vt:lpstr>
      <vt:lpstr>Indicators on Schools - Natio 2</vt:lpstr>
      <vt:lpstr>Indicators on Schools - by Pr 2</vt:lpstr>
      <vt:lpstr>Indicators on Secondary Schoo 2</vt:lpstr>
      <vt:lpstr>Primary Student &amp; Staff Indic 2</vt:lpstr>
      <vt:lpstr>School-Going Age Population &amp; 2</vt:lpstr>
      <vt:lpstr>Secondary Student &amp; Staff Ind 2</vt:lpstr>
      <vt:lpstr>Student &amp; Staff Indicators -  3</vt:lpstr>
      <vt:lpstr>Student &amp; Staff Indicators -  4</vt:lpstr>
      <vt:lpstr>Flow Rates &amp; Graduates by Lev 6</vt:lpstr>
      <vt:lpstr>Flow Rates &amp; Graduates by Lev 7</vt:lpstr>
      <vt:lpstr>Flow Rates &amp; Graduates by Lev 8</vt:lpstr>
      <vt:lpstr>Student Flow Rates (Both) 2020-</vt:lpstr>
      <vt:lpstr>Student Flow Rates (Female) 202</vt:lpstr>
      <vt:lpstr>Student Flow Rates (Male) 2020-</vt:lpstr>
      <vt:lpstr>Survival &amp; Completion Rates 202</vt:lpstr>
      <vt:lpstr>Gender Parity Index 2021-2022 -</vt:lpstr>
      <vt:lpstr>Appendix - Historical Data 19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2026-03-11T06:53:43Z</dcterms:created>
  <dcterms:modified xsi:type="dcterms:W3CDTF">2026-03-12T07:44:11Z</dcterms:modified>
</cp:coreProperties>
</file>