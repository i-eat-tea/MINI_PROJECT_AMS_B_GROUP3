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National Summary - Schools, Cla" sheetId="2" state="visible" r:id="rId2"/>
    <sheet xmlns:r="http://schemas.openxmlformats.org/officeDocument/2006/relationships" name="Schools, Classes &amp; Staff by Pro" sheetId="3" state="visible" r:id="rId3"/>
    <sheet xmlns:r="http://schemas.openxmlformats.org/officeDocument/2006/relationships" name="Pre-Schools by Province" sheetId="4" state="visible" r:id="rId4"/>
    <sheet xmlns:r="http://schemas.openxmlformats.org/officeDocument/2006/relationships" name="Primary Schools by Province" sheetId="5" state="visible" r:id="rId5"/>
    <sheet xmlns:r="http://schemas.openxmlformats.org/officeDocument/2006/relationships" name="Colleges by Province" sheetId="6" state="visible" r:id="rId6"/>
    <sheet xmlns:r="http://schemas.openxmlformats.org/officeDocument/2006/relationships" name="All Lycees by Province" sheetId="7" state="visible" r:id="rId7"/>
    <sheet xmlns:r="http://schemas.openxmlformats.org/officeDocument/2006/relationships" name="Lycees (Gr 10-12 only) by Prov" sheetId="8" state="visible" r:id="rId8"/>
    <sheet xmlns:r="http://schemas.openxmlformats.org/officeDocument/2006/relationships" name="Secondary Schools by Province" sheetId="9" state="visible" r:id="rId9"/>
    <sheet xmlns:r="http://schemas.openxmlformats.org/officeDocument/2006/relationships" name="School Characteristics &amp; Princ" sheetId="10" state="visible" r:id="rId10"/>
    <sheet xmlns:r="http://schemas.openxmlformats.org/officeDocument/2006/relationships" name="Cluster Schools &amp; Schools in P" sheetId="11" state="visible" r:id="rId11"/>
    <sheet xmlns:r="http://schemas.openxmlformats.org/officeDocument/2006/relationships" name="Schools by Highest Grade Taugh" sheetId="12" state="visible" r:id="rId12"/>
    <sheet xmlns:r="http://schemas.openxmlformats.org/officeDocument/2006/relationships" name="Classes by Grade &amp; Education L" sheetId="13" state="visible" r:id="rId13"/>
    <sheet xmlns:r="http://schemas.openxmlformats.org/officeDocument/2006/relationships" name="Enrollment by Level 2017-2018" sheetId="14" state="visible" r:id="rId14"/>
    <sheet xmlns:r="http://schemas.openxmlformats.org/officeDocument/2006/relationships" name="Enrollment by Level 2018-2019" sheetId="15" state="visible" r:id="rId15"/>
    <sheet xmlns:r="http://schemas.openxmlformats.org/officeDocument/2006/relationships" name="Pre-School Enrollment by Step" sheetId="16" state="visible" r:id="rId16"/>
    <sheet xmlns:r="http://schemas.openxmlformats.org/officeDocument/2006/relationships" name="Enrollment &amp; Repeaters by Grad" sheetId="17" state="visible" r:id="rId17"/>
    <sheet xmlns:r="http://schemas.openxmlformats.org/officeDocument/2006/relationships" name="Enrollment &amp; Repeaters (Gr1-4)" sheetId="18" state="visible" r:id="rId18"/>
    <sheet xmlns:r="http://schemas.openxmlformats.org/officeDocument/2006/relationships" name="Enrollment &amp; Repeaters (Gr5-8)" sheetId="19" state="visible" r:id="rId19"/>
    <sheet xmlns:r="http://schemas.openxmlformats.org/officeDocument/2006/relationships" name="Enrollment &amp; Repeaters(Gr9-12)" sheetId="20" state="visible" r:id="rId20"/>
    <sheet xmlns:r="http://schemas.openxmlformats.org/officeDocument/2006/relationships" name="New Intake &amp; Enrollment (Both)" sheetId="21" state="visible" r:id="rId21"/>
    <sheet xmlns:r="http://schemas.openxmlformats.org/officeDocument/2006/relationships" name="New Intake &amp; Enrollment (Femal" sheetId="22" state="visible" r:id="rId22"/>
    <sheet xmlns:r="http://schemas.openxmlformats.org/officeDocument/2006/relationships" name="School Staff by Education Leve" sheetId="23" state="visible" r:id="rId23"/>
    <sheet xmlns:r="http://schemas.openxmlformats.org/officeDocument/2006/relationships" name="School Staff - Special Functio" sheetId="24" state="visible" r:id="rId24"/>
    <sheet xmlns:r="http://schemas.openxmlformats.org/officeDocument/2006/relationships" name="Teaching Staff - Pedagogical T" sheetId="25" state="visible" r:id="rId25"/>
    <sheet xmlns:r="http://schemas.openxmlformats.org/officeDocument/2006/relationships" name="School Building Conditions" sheetId="26" state="visible" r:id="rId26"/>
    <sheet xmlns:r="http://schemas.openxmlformats.org/officeDocument/2006/relationships" name="Classroom Conditions &amp; Library" sheetId="27" state="visible" r:id="rId27"/>
    <sheet xmlns:r="http://schemas.openxmlformats.org/officeDocument/2006/relationships" name="School Space &amp; Sports Faciliti" sheetId="28" state="visible" r:id="rId28"/>
    <sheet xmlns:r="http://schemas.openxmlformats.org/officeDocument/2006/relationships" name="Community Participation &amp; Fina" sheetId="29" state="visible" r:id="rId29"/>
    <sheet xmlns:r="http://schemas.openxmlformats.org/officeDocument/2006/relationships" name="Provincial &amp; District Edu Staff" sheetId="30" state="visible" r:id="rId30"/>
    <sheet xmlns:r="http://schemas.openxmlformats.org/officeDocument/2006/relationships" name="School-Going Age Population" sheetId="31" state="visible" r:id="rId31"/>
    <sheet xmlns:r="http://schemas.openxmlformats.org/officeDocument/2006/relationships" name="Indicators on Schools - Nation" sheetId="32" state="visible" r:id="rId32"/>
    <sheet xmlns:r="http://schemas.openxmlformats.org/officeDocument/2006/relationships" name="Indicators on Schools - by Pro" sheetId="33" state="visible" r:id="rId33"/>
    <sheet xmlns:r="http://schemas.openxmlformats.org/officeDocument/2006/relationships" name="Indicators on Primary Schools" sheetId="34" state="visible" r:id="rId34"/>
    <sheet xmlns:r="http://schemas.openxmlformats.org/officeDocument/2006/relationships" name="Indicators on Secondary School" sheetId="35" state="visible" r:id="rId35"/>
    <sheet xmlns:r="http://schemas.openxmlformats.org/officeDocument/2006/relationships" name="Student &amp; Staff Indicators Nat" sheetId="36" state="visible" r:id="rId36"/>
    <sheet xmlns:r="http://schemas.openxmlformats.org/officeDocument/2006/relationships" name="Student &amp; Staff Indicators Pro" sheetId="37" state="visible" r:id="rId37"/>
    <sheet xmlns:r="http://schemas.openxmlformats.org/officeDocument/2006/relationships" name="Primary Student &amp; Staff Indica" sheetId="38" state="visible" r:id="rId38"/>
    <sheet xmlns:r="http://schemas.openxmlformats.org/officeDocument/2006/relationships" name="Secondary Student &amp; Staff Ind" sheetId="39" state="visible" r:id="rId39"/>
    <sheet xmlns:r="http://schemas.openxmlformats.org/officeDocument/2006/relationships" name="Enrollment Indicators by Prov" sheetId="40" state="visible" r:id="rId40"/>
    <sheet xmlns:r="http://schemas.openxmlformats.org/officeDocument/2006/relationships" name="Access &amp; Equity Indicators" sheetId="41" state="visible" r:id="rId41"/>
    <sheet xmlns:r="http://schemas.openxmlformats.org/officeDocument/2006/relationships" name="Gross &amp; Net Enrollment Ratios" sheetId="42" state="visible" r:id="rId42"/>
    <sheet xmlns:r="http://schemas.openxmlformats.org/officeDocument/2006/relationships" name="Access &amp; Enrollment Ratios (M)" sheetId="43" state="visible" r:id="rId43"/>
    <sheet xmlns:r="http://schemas.openxmlformats.org/officeDocument/2006/relationships" name="Flow Rates Both Gr1-4 2017-18" sheetId="44" state="visible" r:id="rId44"/>
    <sheet xmlns:r="http://schemas.openxmlformats.org/officeDocument/2006/relationships" name="Flow Rates Both Gr5-8 2017-18" sheetId="45" state="visible" r:id="rId45"/>
    <sheet xmlns:r="http://schemas.openxmlformats.org/officeDocument/2006/relationships" name="Flow Rates Both Gr9-12 2017-18" sheetId="46" state="visible" r:id="rId46"/>
    <sheet xmlns:r="http://schemas.openxmlformats.org/officeDocument/2006/relationships" name="Graduates by Level Both 2017-18" sheetId="47" state="visible" r:id="rId47"/>
    <sheet xmlns:r="http://schemas.openxmlformats.org/officeDocument/2006/relationships" name="Flow Rates Female Gr1-4 2017-18" sheetId="48" state="visible" r:id="rId48"/>
    <sheet xmlns:r="http://schemas.openxmlformats.org/officeDocument/2006/relationships" name="Flow Rates Female Gr5-8 2017-18" sheetId="49" state="visible" r:id="rId49"/>
    <sheet xmlns:r="http://schemas.openxmlformats.org/officeDocument/2006/relationships" name="Flow Rates Female Gr9-12 17-18" sheetId="50" state="visible" r:id="rId50"/>
    <sheet xmlns:r="http://schemas.openxmlformats.org/officeDocument/2006/relationships" name="Graduates Female 2017-2018" sheetId="51" state="visible" r:id="rId51"/>
    <sheet xmlns:r="http://schemas.openxmlformats.org/officeDocument/2006/relationships" name="Flow Rates Male Gr1-4 2017-18" sheetId="52" state="visible" r:id="rId52"/>
    <sheet xmlns:r="http://schemas.openxmlformats.org/officeDocument/2006/relationships" name="Flow Rates Male Gr5-8 2017-18" sheetId="53" state="visible" r:id="rId53"/>
    <sheet xmlns:r="http://schemas.openxmlformats.org/officeDocument/2006/relationships" name="Flow Rates Male Gr9-12 2017-18" sheetId="54" state="visible" r:id="rId54"/>
    <sheet xmlns:r="http://schemas.openxmlformats.org/officeDocument/2006/relationships" name="Graduates Male 2017-2018" sheetId="55" state="visible" r:id="rId55"/>
    <sheet xmlns:r="http://schemas.openxmlformats.org/officeDocument/2006/relationships" name="Survival &amp; Completion Rates" sheetId="56" state="visible" r:id="rId56"/>
    <sheet xmlns:r="http://schemas.openxmlformats.org/officeDocument/2006/relationships" name="Gender Parity Index 2018-2019" sheetId="57" state="visible" r:id="rId57"/>
    <sheet xmlns:r="http://schemas.openxmlformats.org/officeDocument/2006/relationships" name="Appendix - Historical Data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21">
    <font>
      <name val="Times New Roman"/>
      <charset val="204"/>
      <color rgb="FF000000"/>
      <sz val="10"/>
    </font>
    <font>
      <name val="Times New Roman"/>
      <b val="1"/>
      <sz val="16.5"/>
    </font>
    <font>
      <name val="Times New Roman"/>
      <b val="1"/>
      <sz val="14.5"/>
    </font>
    <font>
      <name val="Times New Roman"/>
      <sz val="9"/>
    </font>
    <font>
      <name val="Times New Roman"/>
      <sz val="7.5"/>
    </font>
    <font>
      <name val="Times New Roman"/>
      <b val="1"/>
      <i val="1"/>
      <sz val="8"/>
    </font>
    <font>
      <name val="Times New Roman"/>
      <family val="2"/>
      <color rgb="FF0000FF"/>
      <sz val="8"/>
    </font>
    <font>
      <name val="Times New Roman"/>
      <sz val="8"/>
    </font>
    <font>
      <name val="Times New Roman"/>
      <family val="2"/>
      <color rgb="FF000000"/>
      <sz val="8"/>
    </font>
    <font>
      <name val="Times New Roman"/>
      <b val="1"/>
      <sz val="13"/>
    </font>
    <font>
      <name val="Times New Roman"/>
      <sz val="7"/>
    </font>
    <font>
      <name val="Times New Roman"/>
      <family val="2"/>
      <color rgb="FF000080"/>
      <sz val="8"/>
    </font>
    <font>
      <name val="Times New Roman"/>
      <b val="1"/>
      <sz val="8"/>
    </font>
    <font>
      <name val="Comic Sans MS"/>
      <b val="1"/>
      <i val="1"/>
      <sz val="13"/>
    </font>
    <font>
      <name val="Times New Roman"/>
      <b val="1"/>
      <sz val="7.5"/>
    </font>
    <font>
      <name val="Times New Roman"/>
      <family val="2"/>
      <color rgb="FF0000FF"/>
      <sz val="7.5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color rgb="00888888"/>
      <sz val="9"/>
    </font>
    <font>
      <name val="Arial"/>
      <sz val="10"/>
    </font>
    <font>
      <name val="Arial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FFC000"/>
      </patternFill>
    </fill>
    <fill>
      <patternFill patternType="solid">
        <fgColor rgb="00A9D18E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FF66CC"/>
      </patternFill>
    </fill>
    <fill>
      <patternFill patternType="solid">
        <fgColor rgb="00808080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7"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center" wrapText="1" indent="1"/>
    </xf>
    <xf numFmtId="0" fontId="3" fillId="0" borderId="3" applyAlignment="1" pivotButton="0" quotePrefix="0" xfId="0">
      <alignment horizontal="left" vertical="center" wrapText="1" indent="1"/>
    </xf>
    <xf numFmtId="0" fontId="3" fillId="0" borderId="4" applyAlignment="1" pivotButton="0" quotePrefix="0" xfId="0">
      <alignment horizontal="left" vertical="center" wrapText="1" indent="1"/>
    </xf>
    <xf numFmtId="0" fontId="4" fillId="0" borderId="3" applyAlignment="1" pivotButton="0" quotePrefix="0" xfId="0">
      <alignment horizontal="right" vertical="top" wrapText="1"/>
    </xf>
    <xf numFmtId="0" fontId="4" fillId="0" borderId="3" applyAlignment="1" pivotButton="0" quotePrefix="0" xfId="0">
      <alignment horizontal="right" vertical="top" wrapText="1" indent="1"/>
    </xf>
    <xf numFmtId="0" fontId="4" fillId="0" borderId="2" applyAlignment="1" pivotButton="0" quotePrefix="0" xfId="0">
      <alignment horizontal="left" vertical="top" wrapText="1" indent="3"/>
    </xf>
    <xf numFmtId="0" fontId="4" fillId="0" borderId="5" applyAlignment="1" pivotButton="0" quotePrefix="0" xfId="0">
      <alignment horizontal="left" vertical="top" wrapText="1" indent="3"/>
    </xf>
    <xf numFmtId="0" fontId="4" fillId="0" borderId="6" applyAlignment="1" pivotButton="0" quotePrefix="0" xfId="0">
      <alignment horizontal="left" vertical="top" wrapText="1" indent="3"/>
    </xf>
    <xf numFmtId="0" fontId="4" fillId="0" borderId="2" applyAlignment="1" pivotButton="0" quotePrefix="0" xfId="0">
      <alignment horizontal="left" vertical="top" wrapText="1" indent="2"/>
    </xf>
    <xf numFmtId="0" fontId="4" fillId="0" borderId="5" applyAlignment="1" pivotButton="0" quotePrefix="0" xfId="0">
      <alignment horizontal="left" vertical="top" wrapText="1" indent="2"/>
    </xf>
    <xf numFmtId="0" fontId="4" fillId="0" borderId="6" applyAlignment="1" pivotButton="0" quotePrefix="0" xfId="0">
      <alignment horizontal="left" vertical="top" wrapText="1" indent="2"/>
    </xf>
    <xf numFmtId="0" fontId="4" fillId="0" borderId="2" applyAlignment="1" pivotButton="0" quotePrefix="0" xfId="0">
      <alignment horizontal="left" vertical="top" wrapText="1" indent="1"/>
    </xf>
    <xf numFmtId="0" fontId="4" fillId="0" borderId="5" applyAlignment="1" pivotButton="0" quotePrefix="0" xfId="0">
      <alignment horizontal="left" vertical="top" wrapText="1" indent="1"/>
    </xf>
    <xf numFmtId="0" fontId="4" fillId="0" borderId="6" applyAlignment="1" pivotButton="0" quotePrefix="0" xfId="0">
      <alignment horizontal="left" vertical="top" wrapText="1" indent="1"/>
    </xf>
    <xf numFmtId="0" fontId="4" fillId="0" borderId="4" applyAlignment="1" pivotButton="0" quotePrefix="0" xfId="0">
      <alignment horizontal="left" vertical="top" wrapText="1" indent="1"/>
    </xf>
    <xf numFmtId="0" fontId="4" fillId="0" borderId="4" applyAlignment="1" pivotButton="0" quotePrefix="0" xfId="0">
      <alignment horizontal="right" vertical="top" wrapText="1" indent="1"/>
    </xf>
    <xf numFmtId="0" fontId="4" fillId="0" borderId="4" applyAlignment="1" pivotButton="0" quotePrefix="0" xfId="0">
      <alignment horizontal="righ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right" vertical="top" wrapText="1" indent="1"/>
    </xf>
    <xf numFmtId="0" fontId="5" fillId="0" borderId="2" applyAlignment="1" pivotButton="0" quotePrefix="0" xfId="0">
      <alignment horizontal="left" vertical="top" wrapText="1"/>
    </xf>
    <xf numFmtId="3" fontId="6" fillId="0" borderId="2" applyAlignment="1" pivotButton="0" quotePrefix="0" xfId="0">
      <alignment horizontal="right" vertical="top" shrinkToFit="1"/>
    </xf>
    <xf numFmtId="1" fontId="6" fillId="0" borderId="2" applyAlignment="1" pivotButton="0" quotePrefix="0" xfId="0">
      <alignment horizontal="right" vertical="top" shrinkToFit="1"/>
    </xf>
    <xf numFmtId="0" fontId="0" fillId="0" borderId="2" applyAlignment="1" pivotButton="0" quotePrefix="0" xfId="0">
      <alignment horizontal="left" vertical="top" wrapText="1"/>
    </xf>
    <xf numFmtId="3" fontId="6" fillId="0" borderId="2" applyAlignment="1" pivotButton="0" quotePrefix="0" xfId="0">
      <alignment horizontal="right" vertical="center" shrinkToFit="1"/>
    </xf>
    <xf numFmtId="1" fontId="6" fillId="0" borderId="2" applyAlignment="1" pivotButton="0" quotePrefix="0" xfId="0">
      <alignment horizontal="right" vertical="center" shrinkToFit="1"/>
    </xf>
    <xf numFmtId="0" fontId="7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 indent="4"/>
    </xf>
    <xf numFmtId="0" fontId="4" fillId="0" borderId="5" applyAlignment="1" pivotButton="0" quotePrefix="0" xfId="0">
      <alignment horizontal="left" vertical="top" wrapText="1" indent="4"/>
    </xf>
    <xf numFmtId="0" fontId="4" fillId="0" borderId="6" applyAlignment="1" pivotButton="0" quotePrefix="0" xfId="0">
      <alignment horizontal="left" vertical="top" wrapText="1" indent="4"/>
    </xf>
    <xf numFmtId="1" fontId="6" fillId="0" borderId="2" applyAlignment="1" pivotButton="0" quotePrefix="0" xfId="0">
      <alignment horizontal="right" vertical="top" shrinkToFit="1" indent="1"/>
    </xf>
    <xf numFmtId="3" fontId="6" fillId="0" borderId="2" applyAlignment="1" pivotButton="0" quotePrefix="0" xfId="0">
      <alignment horizontal="right" vertical="top" shrinkToFit="1" indent="1"/>
    </xf>
    <xf numFmtId="0" fontId="0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center" wrapText="1" indent="2"/>
    </xf>
    <xf numFmtId="0" fontId="3" fillId="0" borderId="3" applyAlignment="1" pivotButton="0" quotePrefix="0" xfId="0">
      <alignment horizontal="left" vertical="center" wrapText="1" indent="2"/>
    </xf>
    <xf numFmtId="0" fontId="3" fillId="0" borderId="4" applyAlignment="1" pivotButton="0" quotePrefix="0" xfId="0">
      <alignment horizontal="left" vertical="center" wrapText="1" indent="2"/>
    </xf>
    <xf numFmtId="0" fontId="4" fillId="0" borderId="3" applyAlignment="1" pivotButton="0" quotePrefix="0" xfId="0">
      <alignment horizontal="left" vertical="top" wrapText="1" inden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3" fontId="6" fillId="0" borderId="2" applyAlignment="1" pivotButton="0" quotePrefix="0" xfId="0">
      <alignment horizontal="left" vertical="top" shrinkToFit="1" indent="2"/>
    </xf>
    <xf numFmtId="1" fontId="6" fillId="0" borderId="2" applyAlignment="1" pivotButton="0" quotePrefix="0" xfId="0">
      <alignment horizontal="left" vertical="top" shrinkToFit="1" indent="2"/>
    </xf>
    <xf numFmtId="3" fontId="6" fillId="0" borderId="2" applyAlignment="1" pivotButton="0" quotePrefix="0" xfId="0">
      <alignment horizontal="left" vertical="top" shrinkToFit="1" indent="1"/>
    </xf>
    <xf numFmtId="1" fontId="6" fillId="0" borderId="2" applyAlignment="1" pivotButton="0" quotePrefix="0" xfId="0">
      <alignment horizontal="left" vertical="top" shrinkToFit="1" indent="3"/>
    </xf>
    <xf numFmtId="0" fontId="4" fillId="0" borderId="4" applyAlignment="1" pivotButton="0" quotePrefix="0" xfId="0">
      <alignment horizontal="left" vertical="top" wrapText="1" indent="2"/>
    </xf>
    <xf numFmtId="0" fontId="4" fillId="0" borderId="2" applyAlignment="1" pivotButton="0" quotePrefix="0" xfId="0">
      <alignment horizontal="left" vertical="top" wrapText="1" indent="7"/>
    </xf>
    <xf numFmtId="0" fontId="4" fillId="0" borderId="5" applyAlignment="1" pivotButton="0" quotePrefix="0" xfId="0">
      <alignment horizontal="left" vertical="top" wrapText="1" indent="7"/>
    </xf>
    <xf numFmtId="0" fontId="4" fillId="0" borderId="7" applyAlignment="1" pivotButton="0" quotePrefix="0" xfId="0">
      <alignment horizontal="left" vertical="top" wrapText="1" indent="7"/>
    </xf>
    <xf numFmtId="0" fontId="4" fillId="0" borderId="6" applyAlignment="1" pivotButton="0" quotePrefix="0" xfId="0">
      <alignment horizontal="left" vertical="top" wrapText="1" indent="7"/>
    </xf>
    <xf numFmtId="0" fontId="4" fillId="0" borderId="7" applyAlignment="1" pivotButton="0" quotePrefix="0" xfId="0">
      <alignment horizontal="left" vertical="top" wrapText="1" indent="2"/>
    </xf>
    <xf numFmtId="0" fontId="4" fillId="0" borderId="2" applyAlignment="1" pivotButton="0" quotePrefix="0" xfId="0">
      <alignment horizontal="right" vertical="top" wrapText="1"/>
    </xf>
    <xf numFmtId="1" fontId="8" fillId="0" borderId="2" applyAlignment="1" pivotButton="0" quotePrefix="0" xfId="0">
      <alignment horizontal="right" vertical="top" shrinkToFit="1"/>
    </xf>
    <xf numFmtId="164" fontId="8" fillId="0" borderId="2" applyAlignment="1" pivotButton="0" quotePrefix="0" xfId="0">
      <alignment horizontal="right" vertical="top" shrinkToFit="1"/>
    </xf>
    <xf numFmtId="3" fontId="8" fillId="0" borderId="2" applyAlignment="1" pivotButton="0" quotePrefix="0" xfId="0">
      <alignment horizontal="right" vertical="top" shrinkToFit="1"/>
    </xf>
    <xf numFmtId="0" fontId="9" fillId="0" borderId="1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center" vertical="top" wrapText="1"/>
    </xf>
    <xf numFmtId="0" fontId="4" fillId="0" borderId="6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center" wrapText="1" indent="2"/>
    </xf>
    <xf numFmtId="0" fontId="4" fillId="0" borderId="3" applyAlignment="1" pivotButton="0" quotePrefix="0" xfId="0">
      <alignment horizontal="left" vertical="center" wrapText="1" indent="2"/>
    </xf>
    <xf numFmtId="0" fontId="4" fillId="0" borderId="4" applyAlignment="1" pivotButton="0" quotePrefix="0" xfId="0">
      <alignment horizontal="left" vertical="center" wrapText="1" indent="2"/>
    </xf>
    <xf numFmtId="1" fontId="6" fillId="0" borderId="2" applyAlignment="1" pivotButton="0" quotePrefix="0" xfId="0">
      <alignment horizontal="left" vertical="top" shrinkToFit="1" indent="1"/>
    </xf>
    <xf numFmtId="3" fontId="6" fillId="0" borderId="2" applyAlignment="1" pivotButton="0" quotePrefix="0" xfId="0">
      <alignment horizontal="left" vertical="top" shrinkToFit="1"/>
    </xf>
    <xf numFmtId="164" fontId="6" fillId="0" borderId="2" applyAlignment="1" pivotButton="0" quotePrefix="0" xfId="0">
      <alignment horizontal="right" vertical="top" shrinkToFit="1"/>
    </xf>
    <xf numFmtId="0" fontId="4" fillId="0" borderId="2" applyAlignment="1" pivotButton="0" quotePrefix="0" xfId="0">
      <alignment horizontal="left" vertical="top" wrapText="1" indent="5"/>
    </xf>
    <xf numFmtId="0" fontId="4" fillId="0" borderId="5" applyAlignment="1" pivotButton="0" quotePrefix="0" xfId="0">
      <alignment horizontal="left" vertical="top" wrapText="1" indent="5"/>
    </xf>
    <xf numFmtId="0" fontId="4" fillId="0" borderId="6" applyAlignment="1" pivotButton="0" quotePrefix="0" xfId="0">
      <alignment horizontal="left" vertical="top" wrapText="1" indent="5"/>
    </xf>
    <xf numFmtId="0" fontId="4" fillId="0" borderId="2" applyAlignment="1" pivotButton="0" quotePrefix="0" xfId="0">
      <alignment horizontal="left" vertical="top" wrapText="1" indent="6"/>
    </xf>
    <xf numFmtId="0" fontId="4" fillId="0" borderId="5" applyAlignment="1" pivotButton="0" quotePrefix="0" xfId="0">
      <alignment horizontal="left" vertical="top" wrapText="1" indent="6"/>
    </xf>
    <xf numFmtId="0" fontId="4" fillId="0" borderId="7" applyAlignment="1" pivotButton="0" quotePrefix="0" xfId="0">
      <alignment horizontal="left" vertical="top" wrapText="1" indent="6"/>
    </xf>
    <xf numFmtId="0" fontId="4" fillId="0" borderId="6" applyAlignment="1" pivotButton="0" quotePrefix="0" xfId="0">
      <alignment horizontal="left" vertical="top" wrapText="1" indent="6"/>
    </xf>
    <xf numFmtId="0" fontId="4" fillId="0" borderId="7" applyAlignment="1" pivotButton="0" quotePrefix="0" xfId="0">
      <alignment horizontal="left" vertical="top" wrapText="1" indent="5"/>
    </xf>
    <xf numFmtId="0" fontId="0" fillId="0" borderId="2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left" vertical="top" wrapText="1" indent="2"/>
    </xf>
    <xf numFmtId="0" fontId="4" fillId="0" borderId="7" applyAlignment="1" pivotButton="0" quotePrefix="0" xfId="0">
      <alignment horizontal="left" vertical="top" wrapText="1" indent="4"/>
    </xf>
    <xf numFmtId="0" fontId="4" fillId="0" borderId="2" applyAlignment="1" pivotButton="0" quotePrefix="0" xfId="0">
      <alignment horizontal="left" vertical="top" wrapText="1" indent="8"/>
    </xf>
    <xf numFmtId="0" fontId="4" fillId="0" borderId="5" applyAlignment="1" pivotButton="0" quotePrefix="0" xfId="0">
      <alignment horizontal="left" vertical="top" wrapText="1" indent="8"/>
    </xf>
    <xf numFmtId="0" fontId="4" fillId="0" borderId="7" applyAlignment="1" pivotButton="0" quotePrefix="0" xfId="0">
      <alignment horizontal="left" vertical="top" wrapText="1" indent="8"/>
    </xf>
    <xf numFmtId="0" fontId="4" fillId="0" borderId="6" applyAlignment="1" pivotButton="0" quotePrefix="0" xfId="0">
      <alignment horizontal="left" vertical="top" wrapText="1" indent="8"/>
    </xf>
    <xf numFmtId="2" fontId="6" fillId="0" borderId="2" applyAlignment="1" pivotButton="0" quotePrefix="0" xfId="0">
      <alignment horizontal="right" vertical="top" shrinkToFit="1"/>
    </xf>
    <xf numFmtId="3" fontId="6" fillId="0" borderId="2" applyAlignment="1" pivotButton="0" quotePrefix="0" xfId="0">
      <alignment horizontal="center" vertical="top" shrinkToFit="1"/>
    </xf>
    <xf numFmtId="1" fontId="6" fillId="0" borderId="2" applyAlignment="1" pivotButton="0" quotePrefix="0" xfId="0">
      <alignment horizontal="left" vertical="top" shrinkToFit="1" indent="5"/>
    </xf>
    <xf numFmtId="0" fontId="4" fillId="0" borderId="3" applyAlignment="1" pivotButton="0" quotePrefix="0" xfId="0">
      <alignment horizontal="left" vertical="top" wrapText="1" indent="4"/>
    </xf>
    <xf numFmtId="0" fontId="1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bottom" wrapText="1"/>
    </xf>
    <xf numFmtId="0" fontId="7" fillId="0" borderId="2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 wrapText="1"/>
    </xf>
    <xf numFmtId="0" fontId="7" fillId="0" borderId="6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 indent="4"/>
    </xf>
    <xf numFmtId="0" fontId="7" fillId="0" borderId="5" applyAlignment="1" pivotButton="0" quotePrefix="0" xfId="0">
      <alignment horizontal="left" vertical="top" wrapText="1" indent="4"/>
    </xf>
    <xf numFmtId="0" fontId="7" fillId="0" borderId="6" applyAlignment="1" pivotButton="0" quotePrefix="0" xfId="0">
      <alignment horizontal="left" vertical="top" wrapText="1" indent="4"/>
    </xf>
    <xf numFmtId="0" fontId="7" fillId="0" borderId="2" applyAlignment="1" pivotButton="0" quotePrefix="0" xfId="0">
      <alignment horizontal="left" vertical="top" wrapText="1" indent="8"/>
    </xf>
    <xf numFmtId="0" fontId="7" fillId="0" borderId="5" applyAlignment="1" pivotButton="0" quotePrefix="0" xfId="0">
      <alignment horizontal="left" vertical="top" wrapText="1" indent="8"/>
    </xf>
    <xf numFmtId="0" fontId="7" fillId="0" borderId="7" applyAlignment="1" pivotButton="0" quotePrefix="0" xfId="0">
      <alignment horizontal="left" vertical="top" wrapText="1" indent="8"/>
    </xf>
    <xf numFmtId="0" fontId="7" fillId="0" borderId="6" applyAlignment="1" pivotButton="0" quotePrefix="0" xfId="0">
      <alignment horizontal="left" vertical="top" wrapText="1" indent="8"/>
    </xf>
    <xf numFmtId="0" fontId="7" fillId="0" borderId="2" applyAlignment="1" pivotButton="0" quotePrefix="0" xfId="0">
      <alignment horizontal="left" vertical="top" wrapText="1" indent="2"/>
    </xf>
    <xf numFmtId="0" fontId="7" fillId="0" borderId="2" applyAlignment="1" pivotButton="0" quotePrefix="0" xfId="0">
      <alignment horizontal="left" vertical="top" wrapText="1" indent="1"/>
    </xf>
    <xf numFmtId="0" fontId="3" fillId="0" borderId="8" applyAlignment="1" pivotButton="0" quotePrefix="0" xfId="0">
      <alignment horizontal="left" vertical="center" wrapText="1" indent="1"/>
    </xf>
    <xf numFmtId="0" fontId="7" fillId="0" borderId="3" applyAlignment="1" pivotButton="0" quotePrefix="0" xfId="0">
      <alignment horizontal="left" vertical="top" wrapText="1" indent="2"/>
    </xf>
    <xf numFmtId="0" fontId="7" fillId="0" borderId="3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right" vertical="top" wrapText="1" indent="1"/>
    </xf>
    <xf numFmtId="0" fontId="7" fillId="0" borderId="3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left" vertical="center" wrapText="1" indent="7"/>
    </xf>
    <xf numFmtId="0" fontId="7" fillId="0" borderId="9" applyAlignment="1" pivotButton="0" quotePrefix="0" xfId="0">
      <alignment horizontal="left" vertical="center" wrapText="1" indent="7"/>
    </xf>
    <xf numFmtId="0" fontId="7" fillId="0" borderId="10" applyAlignment="1" pivotButton="0" quotePrefix="0" xfId="0">
      <alignment horizontal="left" vertical="center" wrapText="1" indent="7"/>
    </xf>
    <xf numFmtId="0" fontId="7" fillId="0" borderId="11" applyAlignment="1" pivotButton="0" quotePrefix="0" xfId="0">
      <alignment horizontal="left" vertical="center" wrapText="1" indent="7"/>
    </xf>
    <xf numFmtId="0" fontId="7" fillId="0" borderId="12" applyAlignment="1" pivotButton="0" quotePrefix="0" xfId="0">
      <alignment horizontal="left" vertical="center" wrapText="1" indent="7"/>
    </xf>
    <xf numFmtId="0" fontId="7" fillId="0" borderId="1" applyAlignment="1" pivotButton="0" quotePrefix="0" xfId="0">
      <alignment horizontal="left" vertical="center" wrapText="1" indent="7"/>
    </xf>
    <xf numFmtId="0" fontId="7" fillId="0" borderId="13" applyAlignment="1" pivotButton="0" quotePrefix="0" xfId="0">
      <alignment horizontal="left" vertical="center" wrapText="1" indent="7"/>
    </xf>
    <xf numFmtId="0" fontId="7" fillId="0" borderId="8" applyAlignment="1" pivotButton="0" quotePrefix="0" xfId="0">
      <alignment horizontal="center" vertical="top" wrapText="1"/>
    </xf>
    <xf numFmtId="0" fontId="7" fillId="0" borderId="4" applyAlignment="1" pivotButton="0" quotePrefix="0" xfId="0">
      <alignment horizontal="left" vertical="top" wrapText="1" indent="1"/>
    </xf>
    <xf numFmtId="0" fontId="7" fillId="0" borderId="4" applyAlignment="1" pivotButton="0" quotePrefix="0" xfId="0">
      <alignment horizontal="left" vertical="top" wrapText="1" indent="2"/>
    </xf>
    <xf numFmtId="0" fontId="7" fillId="0" borderId="2" applyAlignment="1" pivotButton="0" quotePrefix="0" xfId="0">
      <alignment horizontal="right" vertical="top" wrapText="1" indent="1"/>
    </xf>
    <xf numFmtId="0" fontId="7" fillId="0" borderId="2" applyAlignment="1" pivotButton="0" quotePrefix="0" xfId="0">
      <alignment horizontal="right" vertical="top" wrapText="1"/>
    </xf>
    <xf numFmtId="164" fontId="11" fillId="0" borderId="2" applyAlignment="1" pivotButton="0" quotePrefix="0" xfId="0">
      <alignment horizontal="right" vertical="top" shrinkToFit="1"/>
    </xf>
    <xf numFmtId="164" fontId="11" fillId="0" borderId="2" applyAlignment="1" pivotButton="0" quotePrefix="0" xfId="0">
      <alignment horizontal="right" vertical="center" shrinkToFit="1"/>
    </xf>
    <xf numFmtId="165" fontId="11" fillId="0" borderId="2" applyAlignment="1" pivotButton="0" quotePrefix="0" xfId="0">
      <alignment horizontal="right" vertical="top" shrinkToFit="1"/>
    </xf>
    <xf numFmtId="0" fontId="3" fillId="0" borderId="8" applyAlignment="1" pivotButton="0" quotePrefix="0" xfId="0">
      <alignment horizontal="left" vertical="center" wrapText="1" indent="2"/>
    </xf>
    <xf numFmtId="0" fontId="7" fillId="0" borderId="9" applyAlignment="1" pivotButton="0" quotePrefix="0" xfId="0">
      <alignment horizontal="center" vertical="top" wrapText="1"/>
    </xf>
    <xf numFmtId="0" fontId="7" fillId="0" borderId="10" applyAlignment="1" pivotButton="0" quotePrefix="0" xfId="0">
      <alignment horizontal="center" vertical="top" wrapText="1"/>
    </xf>
    <xf numFmtId="0" fontId="7" fillId="0" borderId="11" applyAlignment="1" pivotButton="0" quotePrefix="0" xfId="0">
      <alignment horizontal="center" vertical="top" wrapText="1"/>
    </xf>
    <xf numFmtId="0" fontId="7" fillId="0" borderId="12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3" applyAlignment="1" pivotButton="0" quotePrefix="0" xfId="0">
      <alignment horizontal="center" vertical="top" wrapText="1"/>
    </xf>
    <xf numFmtId="164" fontId="6" fillId="0" borderId="2" applyAlignment="1" pivotButton="0" quotePrefix="0" xfId="0">
      <alignment horizontal="right" vertical="top" shrinkToFit="1" indent="1"/>
    </xf>
    <xf numFmtId="0" fontId="7" fillId="0" borderId="3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 indent="2"/>
    </xf>
    <xf numFmtId="0" fontId="3" fillId="0" borderId="3" applyAlignment="1" pivotButton="0" quotePrefix="0" xfId="0">
      <alignment horizontal="left" vertical="top" wrapText="1" indent="2"/>
    </xf>
    <xf numFmtId="0" fontId="3" fillId="0" borderId="8" applyAlignment="1" pivotButton="0" quotePrefix="0" xfId="0">
      <alignment horizontal="left" vertical="top" wrapText="1" indent="2"/>
    </xf>
    <xf numFmtId="0" fontId="3" fillId="0" borderId="4" applyAlignment="1" pivotButton="0" quotePrefix="0" xfId="0">
      <alignment horizontal="left" vertical="top" wrapText="1" indent="2"/>
    </xf>
    <xf numFmtId="0" fontId="7" fillId="0" borderId="2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right" vertical="top" shrinkToFit="1" indent="1"/>
    </xf>
    <xf numFmtId="0" fontId="3" fillId="0" borderId="2" applyAlignment="1" pivotButton="0" quotePrefix="0" xfId="0">
      <alignment horizontal="left" vertical="top" wrapText="1" indent="1"/>
    </xf>
    <xf numFmtId="0" fontId="3" fillId="0" borderId="3" applyAlignment="1" pivotButton="0" quotePrefix="0" xfId="0">
      <alignment horizontal="left" vertical="top" wrapText="1" indent="1"/>
    </xf>
    <xf numFmtId="0" fontId="3" fillId="0" borderId="8" applyAlignment="1" pivotButton="0" quotePrefix="0" xfId="0">
      <alignment horizontal="left" vertical="top" wrapText="1" indent="1"/>
    </xf>
    <xf numFmtId="0" fontId="3" fillId="0" borderId="4" applyAlignment="1" pivotButton="0" quotePrefix="0" xfId="0">
      <alignment horizontal="left" vertical="top" wrapText="1" indent="1"/>
    </xf>
    <xf numFmtId="0" fontId="7" fillId="0" borderId="5" applyAlignment="1" pivotButton="0" quotePrefix="0" xfId="0">
      <alignment horizontal="left" vertical="top" wrapText="1" indent="2"/>
    </xf>
    <xf numFmtId="0" fontId="7" fillId="0" borderId="6" applyAlignment="1" pivotButton="0" quotePrefix="0" xfId="0">
      <alignment horizontal="left" vertical="top" wrapText="1" indent="2"/>
    </xf>
    <xf numFmtId="0" fontId="7" fillId="0" borderId="8" applyAlignment="1" pivotButton="0" quotePrefix="0" xfId="0">
      <alignment horizontal="left" vertical="top" wrapText="1" indent="2"/>
    </xf>
    <xf numFmtId="0" fontId="7" fillId="0" borderId="8" applyAlignment="1" pivotButton="0" quotePrefix="0" xfId="0">
      <alignment horizontal="right" vertical="top" wrapText="1" indent="1"/>
    </xf>
    <xf numFmtId="0" fontId="7" fillId="0" borderId="8" applyAlignment="1" pivotButton="0" quotePrefix="0" xfId="0">
      <alignment horizontal="left" vertical="top" wrapText="1" indent="1"/>
    </xf>
    <xf numFmtId="0" fontId="7" fillId="0" borderId="4" applyAlignment="1" pivotButton="0" quotePrefix="0" xfId="0">
      <alignment horizontal="center" vertical="top" wrapText="1"/>
    </xf>
    <xf numFmtId="0" fontId="7" fillId="0" borderId="4" applyAlignment="1" pivotButton="0" quotePrefix="0" xfId="0">
      <alignment horizontal="right" vertical="top" wrapText="1" indent="1"/>
    </xf>
    <xf numFmtId="164" fontId="6" fillId="0" borderId="2" applyAlignment="1" pivotButton="0" quotePrefix="0" xfId="0">
      <alignment horizontal="right" vertical="center" shrinkToFit="1" indent="1"/>
    </xf>
    <xf numFmtId="0" fontId="7" fillId="0" borderId="2" applyAlignment="1" pivotButton="0" quotePrefix="0" xfId="0">
      <alignment horizontal="left" vertical="top" wrapText="1" indent="7"/>
    </xf>
    <xf numFmtId="0" fontId="7" fillId="0" borderId="5" applyAlignment="1" pivotButton="0" quotePrefix="0" xfId="0">
      <alignment horizontal="left" vertical="top" wrapText="1" indent="7"/>
    </xf>
    <xf numFmtId="0" fontId="7" fillId="0" borderId="7" applyAlignment="1" pivotButton="0" quotePrefix="0" xfId="0">
      <alignment horizontal="left" vertical="top" wrapText="1" indent="7"/>
    </xf>
    <xf numFmtId="0" fontId="7" fillId="0" borderId="6" applyAlignment="1" pivotButton="0" quotePrefix="0" xfId="0">
      <alignment horizontal="left" vertical="top" wrapText="1" indent="7"/>
    </xf>
    <xf numFmtId="0" fontId="7" fillId="0" borderId="2" applyAlignment="1" pivotButton="0" quotePrefix="0" xfId="0">
      <alignment horizontal="left" vertical="center" wrapText="1" indent="1"/>
    </xf>
    <xf numFmtId="0" fontId="7" fillId="0" borderId="3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left" vertical="center" wrapText="1" indent="1"/>
    </xf>
    <xf numFmtId="0" fontId="7" fillId="0" borderId="2" applyAlignment="1" pivotButton="0" quotePrefix="0" xfId="0">
      <alignment horizontal="left" vertical="top" wrapText="1" indent="5"/>
    </xf>
    <xf numFmtId="0" fontId="7" fillId="0" borderId="5" applyAlignment="1" pivotButton="0" quotePrefix="0" xfId="0">
      <alignment horizontal="left" vertical="top" wrapText="1" indent="5"/>
    </xf>
    <xf numFmtId="0" fontId="7" fillId="0" borderId="6" applyAlignment="1" pivotButton="0" quotePrefix="0" xfId="0">
      <alignment horizontal="left" vertical="top" wrapText="1" indent="5"/>
    </xf>
    <xf numFmtId="0" fontId="7" fillId="0" borderId="8" applyAlignment="1" pivotButton="0" quotePrefix="0" xfId="0">
      <alignment horizontal="left" vertical="top" wrapText="1" indent="3"/>
    </xf>
    <xf numFmtId="0" fontId="7" fillId="0" borderId="3" applyAlignment="1" pivotButton="0" quotePrefix="0" xfId="0">
      <alignment horizontal="left" vertical="top" wrapText="1" indent="3"/>
    </xf>
    <xf numFmtId="0" fontId="7" fillId="0" borderId="2" applyAlignment="1" pivotButton="0" quotePrefix="0" xfId="0">
      <alignment horizontal="left" vertical="top" wrapText="1" indent="3"/>
    </xf>
    <xf numFmtId="0" fontId="7" fillId="0" borderId="5" applyAlignment="1" pivotButton="0" quotePrefix="0" xfId="0">
      <alignment horizontal="left" vertical="top" wrapText="1" indent="3"/>
    </xf>
    <xf numFmtId="0" fontId="7" fillId="0" borderId="6" applyAlignment="1" pivotButton="0" quotePrefix="0" xfId="0">
      <alignment horizontal="left" vertical="top" wrapText="1" indent="3"/>
    </xf>
    <xf numFmtId="0" fontId="7" fillId="0" borderId="4" applyAlignment="1" pivotButton="0" quotePrefix="0" xfId="0">
      <alignment horizontal="left" vertical="top" wrapText="1" indent="3"/>
    </xf>
    <xf numFmtId="0" fontId="7" fillId="0" borderId="7" applyAlignment="1" pivotButton="0" quotePrefix="0" xfId="0">
      <alignment horizontal="left" vertical="top" wrapText="1" indent="5"/>
    </xf>
    <xf numFmtId="0" fontId="7" fillId="0" borderId="7" applyAlignment="1" pivotButton="0" quotePrefix="0" xfId="0">
      <alignment horizontal="left" vertical="top" wrapText="1" indent="3"/>
    </xf>
    <xf numFmtId="0" fontId="7" fillId="0" borderId="2" applyAlignment="1" pivotButton="0" quotePrefix="0" xfId="0">
      <alignment horizontal="left" vertical="top" wrapText="1" indent="6"/>
    </xf>
    <xf numFmtId="0" fontId="7" fillId="0" borderId="5" applyAlignment="1" pivotButton="0" quotePrefix="0" xfId="0">
      <alignment horizontal="left" vertical="top" wrapText="1" indent="6"/>
    </xf>
    <xf numFmtId="0" fontId="7" fillId="0" borderId="7" applyAlignment="1" pivotButton="0" quotePrefix="0" xfId="0">
      <alignment horizontal="left" vertical="top" wrapText="1" indent="6"/>
    </xf>
    <xf numFmtId="0" fontId="7" fillId="0" borderId="6" applyAlignment="1" pivotButton="0" quotePrefix="0" xfId="0">
      <alignment horizontal="left" vertical="top" wrapText="1" indent="6"/>
    </xf>
    <xf numFmtId="0" fontId="7" fillId="0" borderId="5" applyAlignment="1" pivotButton="0" quotePrefix="0" xfId="0">
      <alignment horizontal="left" vertical="top" wrapText="1" indent="1"/>
    </xf>
    <xf numFmtId="0" fontId="7" fillId="0" borderId="6" applyAlignment="1" pivotButton="0" quotePrefix="0" xfId="0">
      <alignment horizontal="left" vertical="top" wrapText="1" indent="1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7" fillId="0" borderId="3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 indent="9"/>
    </xf>
    <xf numFmtId="0" fontId="7" fillId="0" borderId="5" applyAlignment="1" pivotButton="0" quotePrefix="0" xfId="0">
      <alignment horizontal="left" vertical="top" wrapText="1" indent="9"/>
    </xf>
    <xf numFmtId="0" fontId="7" fillId="0" borderId="7" applyAlignment="1" pivotButton="0" quotePrefix="0" xfId="0">
      <alignment horizontal="left" vertical="top" wrapText="1" indent="9"/>
    </xf>
    <xf numFmtId="0" fontId="7" fillId="0" borderId="6" applyAlignment="1" pivotButton="0" quotePrefix="0" xfId="0">
      <alignment horizontal="left" vertical="top" wrapText="1" indent="9"/>
    </xf>
    <xf numFmtId="0" fontId="0" fillId="0" borderId="4" applyAlignment="1" pivotButton="0" quotePrefix="0" xfId="0">
      <alignment horizontal="right" vertical="top" wrapText="1" indent="2"/>
    </xf>
    <xf numFmtId="164" fontId="6" fillId="0" borderId="2" applyAlignment="1" pivotButton="0" quotePrefix="0" xfId="0">
      <alignment horizontal="left" vertical="top" shrinkToFit="1" indent="5"/>
    </xf>
    <xf numFmtId="0" fontId="7" fillId="0" borderId="7" applyAlignment="1" pivotButton="0" quotePrefix="0" xfId="0">
      <alignment horizontal="center" vertical="top" wrapText="1"/>
    </xf>
    <xf numFmtId="164" fontId="6" fillId="0" borderId="2" applyAlignment="1" pivotButton="0" quotePrefix="0" xfId="0">
      <alignment horizontal="left" vertical="top" shrinkToFit="1" indent="4"/>
    </xf>
    <xf numFmtId="0" fontId="7" fillId="0" borderId="7" applyAlignment="1" pivotButton="0" quotePrefix="0" xfId="0">
      <alignment horizontal="left" vertical="top" wrapText="1" indent="4"/>
    </xf>
    <xf numFmtId="0" fontId="7" fillId="0" borderId="7" applyAlignment="1" pivotButton="0" quotePrefix="0" xfId="0">
      <alignment horizontal="left" vertical="top" wrapText="1" indent="2"/>
    </xf>
    <xf numFmtId="0" fontId="7" fillId="0" borderId="7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 indent="38"/>
    </xf>
    <xf numFmtId="0" fontId="12" fillId="0" borderId="2" applyAlignment="1" pivotButton="0" quotePrefix="0" xfId="0">
      <alignment horizontal="left" vertical="center" wrapText="1" indent="2"/>
    </xf>
    <xf numFmtId="0" fontId="12" fillId="0" borderId="3" applyAlignment="1" pivotButton="0" quotePrefix="0" xfId="0">
      <alignment horizontal="left" vertical="center" wrapText="1" indent="2"/>
    </xf>
    <xf numFmtId="0" fontId="12" fillId="0" borderId="4" applyAlignment="1" pivotButton="0" quotePrefix="0" xfId="0">
      <alignment horizontal="left" vertical="center" wrapText="1" indent="2"/>
    </xf>
    <xf numFmtId="0" fontId="12" fillId="0" borderId="2" applyAlignment="1" pivotButton="0" quotePrefix="0" xfId="0">
      <alignment horizontal="center" vertical="top" wrapText="1"/>
    </xf>
    <xf numFmtId="0" fontId="12" fillId="0" borderId="5" applyAlignment="1" pivotButton="0" quotePrefix="0" xfId="0">
      <alignment horizontal="center" vertical="top" wrapText="1"/>
    </xf>
    <xf numFmtId="0" fontId="12" fillId="0" borderId="7" applyAlignment="1" pivotButton="0" quotePrefix="0" xfId="0">
      <alignment horizontal="center" vertical="top" wrapText="1"/>
    </xf>
    <xf numFmtId="0" fontId="12" fillId="0" borderId="6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left" vertical="top" wrapText="1" indent="3"/>
    </xf>
    <xf numFmtId="0" fontId="3" fillId="0" borderId="2" applyAlignment="1" pivotButton="0" quotePrefix="0" xfId="0">
      <alignment horizontal="left" vertical="center" wrapText="1" indent="4"/>
    </xf>
    <xf numFmtId="0" fontId="3" fillId="0" borderId="3" applyAlignment="1" pivotButton="0" quotePrefix="0" xfId="0">
      <alignment horizontal="left" vertical="center" wrapText="1" indent="4"/>
    </xf>
    <xf numFmtId="0" fontId="3" fillId="0" borderId="4" applyAlignment="1" pivotButton="0" quotePrefix="0" xfId="0">
      <alignment horizontal="left" vertical="center" wrapText="1" indent="4"/>
    </xf>
    <xf numFmtId="0" fontId="7" fillId="0" borderId="2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 indent="1"/>
    </xf>
    <xf numFmtId="0" fontId="7" fillId="0" borderId="4" applyAlignment="1" pivotButton="0" quotePrefix="0" xfId="0">
      <alignment horizontal="left" vertical="top" wrapText="1" indent="4"/>
    </xf>
    <xf numFmtId="0" fontId="0" fillId="0" borderId="2" applyAlignment="1" pivotButton="0" quotePrefix="0" xfId="0">
      <alignment horizontal="right" vertical="top" wrapText="1" indent="1"/>
    </xf>
    <xf numFmtId="2" fontId="6" fillId="0" borderId="2" applyAlignment="1" pivotButton="0" quotePrefix="0" xfId="0">
      <alignment horizontal="left" vertical="top" shrinkToFit="1" indent="2"/>
    </xf>
    <xf numFmtId="0" fontId="13" fillId="0" borderId="1" applyAlignment="1" pivotButton="0" quotePrefix="0" xfId="0">
      <alignment horizontal="center" vertical="top" wrapText="1"/>
    </xf>
    <xf numFmtId="0" fontId="14" fillId="0" borderId="2" applyAlignment="1" pivotButton="0" quotePrefix="0" xfId="0">
      <alignment horizontal="left" vertical="top" wrapText="1" indent="1"/>
    </xf>
    <xf numFmtId="0" fontId="14" fillId="0" borderId="3" applyAlignment="1" pivotButton="0" quotePrefix="0" xfId="0">
      <alignment horizontal="left" vertical="top" wrapText="1" indent="1"/>
    </xf>
    <xf numFmtId="0" fontId="14" fillId="0" borderId="4" applyAlignment="1" pivotButton="0" quotePrefix="0" xfId="0">
      <alignment horizontal="left" vertical="top" wrapText="1" indent="1"/>
    </xf>
    <xf numFmtId="0" fontId="14" fillId="0" borderId="2" applyAlignment="1" pivotButton="0" quotePrefix="0" xfId="0">
      <alignment horizontal="center" vertical="top" wrapText="1"/>
    </xf>
    <xf numFmtId="0" fontId="14" fillId="0" borderId="5" applyAlignment="1" pivotButton="0" quotePrefix="0" xfId="0">
      <alignment horizontal="center" vertical="top" wrapText="1"/>
    </xf>
    <xf numFmtId="0" fontId="14" fillId="0" borderId="7" applyAlignment="1" pivotButton="0" quotePrefix="0" xfId="0">
      <alignment horizontal="center" vertical="top" wrapText="1"/>
    </xf>
    <xf numFmtId="0" fontId="14" fillId="0" borderId="6" applyAlignment="1" pivotButton="0" quotePrefix="0" xfId="0">
      <alignment horizontal="center" vertical="top" wrapText="1"/>
    </xf>
    <xf numFmtId="0" fontId="14" fillId="0" borderId="2" applyAlignment="1" pivotButton="0" quotePrefix="0" xfId="0">
      <alignment horizontal="left" vertical="top" wrapText="1" indent="2"/>
    </xf>
    <xf numFmtId="1" fontId="15" fillId="0" borderId="2" applyAlignment="1" pivotButton="0" quotePrefix="0" xfId="0">
      <alignment horizontal="right" vertical="top" shrinkToFit="1"/>
    </xf>
    <xf numFmtId="3" fontId="15" fillId="0" borderId="2" applyAlignment="1" pivotButton="0" quotePrefix="0" xfId="0">
      <alignment horizontal="left" vertical="top" shrinkToFit="1" indent="2"/>
    </xf>
    <xf numFmtId="3" fontId="15" fillId="0" borderId="2" applyAlignment="1" pivotButton="0" quotePrefix="0" xfId="0">
      <alignment horizontal="right" vertical="top" shrinkToFit="1"/>
    </xf>
    <xf numFmtId="3" fontId="15" fillId="0" borderId="2" applyAlignment="1" pivotButton="0" quotePrefix="0" xfId="0">
      <alignment horizontal="center" vertical="top" shrinkToFit="1"/>
    </xf>
    <xf numFmtId="0" fontId="0" fillId="0" borderId="0" pivotButton="0" quotePrefix="0" xfId="0"/>
    <xf numFmtId="0" fontId="16" fillId="0" borderId="0" applyAlignment="1" pivotButton="0" quotePrefix="0" xfId="0">
      <alignment horizontal="center" vertical="center" wrapText="1"/>
    </xf>
    <xf numFmtId="0" fontId="17" fillId="2" borderId="16" applyAlignment="1" pivotButton="0" quotePrefix="0" xfId="0">
      <alignment horizontal="center" vertical="center" wrapText="1"/>
    </xf>
    <xf numFmtId="0" fontId="17" fillId="3" borderId="16" applyAlignment="1" pivotButton="0" quotePrefix="0" xfId="0">
      <alignment horizontal="left" vertical="center"/>
    </xf>
    <xf numFmtId="0" fontId="0" fillId="3" borderId="16" pivotButton="0" quotePrefix="0" xfId="0"/>
    <xf numFmtId="0" fontId="18" fillId="4" borderId="16" applyAlignment="1" pivotButton="0" quotePrefix="0" xfId="0">
      <alignment horizontal="left" vertical="center"/>
    </xf>
    <xf numFmtId="0" fontId="19" fillId="4" borderId="16" applyAlignment="1" pivotButton="0" quotePrefix="0" xfId="0">
      <alignment horizontal="left" vertical="center"/>
    </xf>
    <xf numFmtId="0" fontId="20" fillId="4" borderId="16" applyAlignment="1" pivotButton="0" quotePrefix="0" xfId="0">
      <alignment horizontal="left" vertical="center"/>
    </xf>
    <xf numFmtId="0" fontId="18" fillId="5" borderId="16" applyAlignment="1" pivotButton="0" quotePrefix="0" xfId="0">
      <alignment horizontal="left" vertical="center"/>
    </xf>
    <xf numFmtId="0" fontId="19" fillId="5" borderId="16" applyAlignment="1" pivotButton="0" quotePrefix="0" xfId="0">
      <alignment horizontal="left" vertical="center"/>
    </xf>
    <xf numFmtId="0" fontId="20" fillId="5" borderId="16" applyAlignment="1" pivotButton="0" quotePrefix="0" xfId="0">
      <alignment horizontal="left" vertical="center"/>
    </xf>
    <xf numFmtId="0" fontId="17" fillId="6" borderId="16" applyAlignment="1" pivotButton="0" quotePrefix="0" xfId="0">
      <alignment horizontal="left" vertical="center"/>
    </xf>
    <xf numFmtId="0" fontId="0" fillId="6" borderId="16" pivotButton="0" quotePrefix="0" xfId="0"/>
    <xf numFmtId="0" fontId="17" fillId="7" borderId="16" applyAlignment="1" pivotButton="0" quotePrefix="0" xfId="0">
      <alignment horizontal="left" vertical="center"/>
    </xf>
    <xf numFmtId="0" fontId="0" fillId="7" borderId="16" pivotButton="0" quotePrefix="0" xfId="0"/>
    <xf numFmtId="0" fontId="17" fillId="8" borderId="16" applyAlignment="1" pivotButton="0" quotePrefix="0" xfId="0">
      <alignment horizontal="left" vertical="center"/>
    </xf>
    <xf numFmtId="0" fontId="0" fillId="8" borderId="16" pivotButton="0" quotePrefix="0" xfId="0"/>
    <xf numFmtId="0" fontId="17" fillId="9" borderId="16" applyAlignment="1" pivotButton="0" quotePrefix="0" xfId="0">
      <alignment horizontal="left" vertical="center"/>
    </xf>
    <xf numFmtId="0" fontId="0" fillId="9" borderId="16" pivotButton="0" quotePrefix="0" xfId="0"/>
    <xf numFmtId="0" fontId="17" fillId="10" borderId="16" applyAlignment="1" pivotButton="0" quotePrefix="0" xfId="0">
      <alignment horizontal="left" vertical="center"/>
    </xf>
    <xf numFmtId="0" fontId="0" fillId="10" borderId="16" pivotButton="0" quotePrefix="0" xfId="0"/>
    <xf numFmtId="0" fontId="17" fillId="11" borderId="16" applyAlignment="1" pivotButton="0" quotePrefix="0" xfId="0">
      <alignment horizontal="left" vertical="center"/>
    </xf>
    <xf numFmtId="0" fontId="0" fillId="11" borderId="16" pivotButton="0" quotePrefix="0" xfId="0"/>
    <xf numFmtId="0" fontId="17" fillId="12" borderId="16" applyAlignment="1" pivotButton="0" quotePrefix="0" xfId="0">
      <alignment horizontal="left" vertical="center"/>
    </xf>
    <xf numFmtId="0" fontId="0" fillId="12" borderId="16" pivotButton="0" quotePrefix="0" xfId="0"/>
    <xf numFmtId="0" fontId="17" fillId="13" borderId="16" applyAlignment="1" pivotButton="0" quotePrefix="0" xfId="0">
      <alignment horizontal="left" vertical="center"/>
    </xf>
    <xf numFmtId="0" fontId="0" fillId="13" borderId="16" pivotButton="0" quotePrefix="0" xfId="0"/>
    <xf numFmtId="0" fontId="17" fillId="14" borderId="16" applyAlignment="1" pivotButton="0" quotePrefix="0" xfId="0">
      <alignment horizontal="left" vertical="center"/>
    </xf>
    <xf numFmtId="0" fontId="0" fillId="14" borderId="16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4" pivotButton="0" quotePrefix="0" xfId="0"/>
    <xf numFmtId="3" fontId="6" fillId="0" borderId="2" applyAlignment="1" pivotButton="0" quotePrefix="0" xfId="0">
      <alignment horizontal="right" vertical="top" shrinkToFit="1"/>
    </xf>
    <xf numFmtId="1" fontId="6" fillId="0" borderId="2" applyAlignment="1" pivotButton="0" quotePrefix="0" xfId="0">
      <alignment horizontal="right" vertical="top" shrinkToFit="1"/>
    </xf>
    <xf numFmtId="3" fontId="6" fillId="0" borderId="2" applyAlignment="1" pivotButton="0" quotePrefix="0" xfId="0">
      <alignment horizontal="right" vertical="center" shrinkToFit="1"/>
    </xf>
    <xf numFmtId="1" fontId="6" fillId="0" borderId="2" applyAlignment="1" pivotButton="0" quotePrefix="0" xfId="0">
      <alignment horizontal="right" vertical="center" shrinkToFit="1"/>
    </xf>
    <xf numFmtId="1" fontId="6" fillId="0" borderId="2" applyAlignment="1" pivotButton="0" quotePrefix="0" xfId="0">
      <alignment horizontal="right" vertical="top" shrinkToFit="1" indent="1"/>
    </xf>
    <xf numFmtId="3" fontId="6" fillId="0" borderId="2" applyAlignment="1" pivotButton="0" quotePrefix="0" xfId="0">
      <alignment horizontal="right" vertical="top" shrinkToFit="1" indent="1"/>
    </xf>
    <xf numFmtId="3" fontId="6" fillId="0" borderId="2" applyAlignment="1" pivotButton="0" quotePrefix="0" xfId="0">
      <alignment horizontal="left" vertical="top" shrinkToFit="1" indent="2"/>
    </xf>
    <xf numFmtId="1" fontId="6" fillId="0" borderId="2" applyAlignment="1" pivotButton="0" quotePrefix="0" xfId="0">
      <alignment horizontal="left" vertical="top" shrinkToFit="1" indent="2"/>
    </xf>
    <xf numFmtId="3" fontId="6" fillId="0" borderId="2" applyAlignment="1" pivotButton="0" quotePrefix="0" xfId="0">
      <alignment horizontal="left" vertical="top" shrinkToFit="1" indent="1"/>
    </xf>
    <xf numFmtId="1" fontId="6" fillId="0" borderId="2" applyAlignment="1" pivotButton="0" quotePrefix="0" xfId="0">
      <alignment horizontal="left" vertical="top" shrinkToFit="1" indent="3"/>
    </xf>
    <xf numFmtId="0" fontId="0" fillId="0" borderId="7" pivotButton="0" quotePrefix="0" xfId="0"/>
    <xf numFmtId="1" fontId="8" fillId="0" borderId="2" applyAlignment="1" pivotButton="0" quotePrefix="0" xfId="0">
      <alignment horizontal="right" vertical="top" shrinkToFit="1"/>
    </xf>
    <xf numFmtId="164" fontId="8" fillId="0" borderId="2" applyAlignment="1" pivotButton="0" quotePrefix="0" xfId="0">
      <alignment horizontal="right" vertical="top" shrinkToFit="1"/>
    </xf>
    <xf numFmtId="3" fontId="8" fillId="0" borderId="2" applyAlignment="1" pivotButton="0" quotePrefix="0" xfId="0">
      <alignment horizontal="right" vertical="top" shrinkToFit="1"/>
    </xf>
    <xf numFmtId="0" fontId="0" fillId="0" borderId="8" pivotButton="0" quotePrefix="0" xfId="0"/>
    <xf numFmtId="1" fontId="6" fillId="0" borderId="2" applyAlignment="1" pivotButton="0" quotePrefix="0" xfId="0">
      <alignment horizontal="left" vertical="top" shrinkToFit="1" indent="1"/>
    </xf>
    <xf numFmtId="3" fontId="6" fillId="0" borderId="2" applyAlignment="1" pivotButton="0" quotePrefix="0" xfId="0">
      <alignment horizontal="left" vertical="top" shrinkToFit="1"/>
    </xf>
    <xf numFmtId="164" fontId="6" fillId="0" borderId="2" applyAlignment="1" pivotButton="0" quotePrefix="0" xfId="0">
      <alignment horizontal="right" vertical="top" shrinkToFit="1"/>
    </xf>
    <xf numFmtId="2" fontId="6" fillId="0" borderId="2" applyAlignment="1" pivotButton="0" quotePrefix="0" xfId="0">
      <alignment horizontal="right" vertical="top" shrinkToFit="1"/>
    </xf>
    <xf numFmtId="3" fontId="6" fillId="0" borderId="2" applyAlignment="1" pivotButton="0" quotePrefix="0" xfId="0">
      <alignment horizontal="center" vertical="top" shrinkToFit="1"/>
    </xf>
    <xf numFmtId="1" fontId="6" fillId="0" borderId="2" applyAlignment="1" pivotButton="0" quotePrefix="0" xfId="0">
      <alignment horizontal="left" vertical="top" shrinkToFit="1" indent="5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1" fillId="0" borderId="2" applyAlignment="1" pivotButton="0" quotePrefix="0" xfId="0">
      <alignment horizontal="right" vertical="top" shrinkToFit="1"/>
    </xf>
    <xf numFmtId="164" fontId="11" fillId="0" borderId="2" applyAlignment="1" pivotButton="0" quotePrefix="0" xfId="0">
      <alignment horizontal="right" vertical="center" shrinkToFit="1"/>
    </xf>
    <xf numFmtId="165" fontId="11" fillId="0" borderId="2" applyAlignment="1" pivotButton="0" quotePrefix="0" xfId="0">
      <alignment horizontal="right" vertical="top" shrinkToFit="1"/>
    </xf>
    <xf numFmtId="164" fontId="6" fillId="0" borderId="2" applyAlignment="1" pivotButton="0" quotePrefix="0" xfId="0">
      <alignment horizontal="right" vertical="top" shrinkToFit="1" indent="1"/>
    </xf>
    <xf numFmtId="165" fontId="6" fillId="0" borderId="2" applyAlignment="1" pivotButton="0" quotePrefix="0" xfId="0">
      <alignment horizontal="right" vertical="top" shrinkToFit="1" indent="1"/>
    </xf>
    <xf numFmtId="164" fontId="6" fillId="0" borderId="2" applyAlignment="1" pivotButton="0" quotePrefix="0" xfId="0">
      <alignment horizontal="right" vertical="center" shrinkToFit="1" indent="1"/>
    </xf>
    <xf numFmtId="164" fontId="6" fillId="0" borderId="2" applyAlignment="1" pivotButton="0" quotePrefix="0" xfId="0">
      <alignment horizontal="left" vertical="top" shrinkToFit="1" indent="5"/>
    </xf>
    <xf numFmtId="164" fontId="6" fillId="0" borderId="2" applyAlignment="1" pivotButton="0" quotePrefix="0" xfId="0">
      <alignment horizontal="left" vertical="top" shrinkToFit="1" indent="4"/>
    </xf>
    <xf numFmtId="2" fontId="6" fillId="0" borderId="2" applyAlignment="1" pivotButton="0" quotePrefix="0" xfId="0">
      <alignment horizontal="left" vertical="top" shrinkToFit="1" indent="2"/>
    </xf>
    <xf numFmtId="1" fontId="15" fillId="0" borderId="2" applyAlignment="1" pivotButton="0" quotePrefix="0" xfId="0">
      <alignment horizontal="right" vertical="top" shrinkToFit="1"/>
    </xf>
    <xf numFmtId="3" fontId="15" fillId="0" borderId="2" applyAlignment="1" pivotButton="0" quotePrefix="0" xfId="0">
      <alignment horizontal="left" vertical="top" shrinkToFit="1" indent="2"/>
    </xf>
    <xf numFmtId="3" fontId="15" fillId="0" borderId="2" applyAlignment="1" pivotButton="0" quotePrefix="0" xfId="0">
      <alignment horizontal="right" vertical="top" shrinkToFit="1"/>
    </xf>
    <xf numFmtId="3" fontId="15" fillId="0" borderId="2" applyAlignment="1" pivotButton="0" quotePrefix="0" xfId="0">
      <alignment horizontal="center" vertical="top" shrinkToFi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D7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227" min="1" max="1"/>
    <col width="22" customWidth="1" style="227" min="2" max="2"/>
    <col width="48" customWidth="1" style="227" min="3" max="3"/>
    <col width="34" customWidth="1" style="227" min="4" max="4"/>
  </cols>
  <sheetData>
    <row r="2" ht="32" customHeight="1" s="227">
      <c r="B2" s="228" t="inlineStr">
        <is>
          <t>Cambodia Education — Public Schools 2018-2019</t>
        </is>
      </c>
    </row>
    <row r="4" ht="20" customHeight="1" s="227">
      <c r="B4" s="229" t="inlineStr">
        <is>
          <t>Category</t>
        </is>
      </c>
      <c r="C4" s="229" t="inlineStr">
        <is>
          <t>Sheet Description</t>
        </is>
      </c>
      <c r="D4" s="229" t="inlineStr">
        <is>
          <t>Open Sheet →</t>
        </is>
      </c>
    </row>
    <row r="5" ht="17" customHeight="1" s="227">
      <c r="B5" s="230" t="inlineStr">
        <is>
          <t xml:space="preserve">  ▸  Overview</t>
        </is>
      </c>
      <c r="C5" s="231" t="n"/>
      <c r="D5" s="231" t="n"/>
    </row>
    <row r="6" ht="15" customHeight="1" s="227">
      <c r="B6" s="232" t="inlineStr">
        <is>
          <t>Overview</t>
        </is>
      </c>
      <c r="C6" s="233" t="inlineStr">
        <is>
          <t>National Summary - Schools, Cla</t>
        </is>
      </c>
      <c r="D6" s="234">
        <f>HYPERLINK("#'National Summary - Schools, Cla'!A1","National Summary - Schools, Cla")</f>
        <v/>
      </c>
    </row>
    <row r="7" ht="15" customHeight="1" s="227">
      <c r="B7" s="235" t="inlineStr">
        <is>
          <t>Overview</t>
        </is>
      </c>
      <c r="C7" s="236" t="inlineStr">
        <is>
          <t>Schools, Classes &amp; Staff by Pro</t>
        </is>
      </c>
      <c r="D7" s="237">
        <f>HYPERLINK("#'Schools, Classes &amp; Staff by Pro'!A1","Schools, Classes &amp; Staff by Pro")</f>
        <v/>
      </c>
    </row>
    <row r="8" ht="17" customHeight="1" s="227">
      <c r="B8" s="238" t="inlineStr">
        <is>
          <t xml:space="preserve">  ▸  School Types</t>
        </is>
      </c>
      <c r="C8" s="239" t="n"/>
      <c r="D8" s="239" t="n"/>
    </row>
    <row r="9" ht="15" customHeight="1" s="227">
      <c r="B9" s="232" t="inlineStr">
        <is>
          <t>School Types</t>
        </is>
      </c>
      <c r="C9" s="233" t="inlineStr">
        <is>
          <t>All Lycees by Province</t>
        </is>
      </c>
      <c r="D9" s="234">
        <f>HYPERLINK("#'All Lycees by Province'!A1","All Lycees by Province")</f>
        <v/>
      </c>
    </row>
    <row r="10" ht="15" customHeight="1" s="227">
      <c r="B10" s="235" t="inlineStr">
        <is>
          <t>School Types</t>
        </is>
      </c>
      <c r="C10" s="236" t="inlineStr">
        <is>
          <t>Colleges by Province</t>
        </is>
      </c>
      <c r="D10" s="237">
        <f>HYPERLINK("#'Colleges by Province'!A1","Colleges by Province")</f>
        <v/>
      </c>
    </row>
    <row r="11" ht="15" customHeight="1" s="227">
      <c r="B11" s="232" t="inlineStr">
        <is>
          <t>School Types</t>
        </is>
      </c>
      <c r="C11" s="233" t="inlineStr">
        <is>
          <t>Lycees (Gr 10-12 only) by Prov</t>
        </is>
      </c>
      <c r="D11" s="234">
        <f>HYPERLINK("#'Lycees (Gr 10-12 only) by Prov'!A1","Lycees (Gr 10-12 only) by Prov")</f>
        <v/>
      </c>
    </row>
    <row r="12" ht="15" customHeight="1" s="227">
      <c r="B12" s="235" t="inlineStr">
        <is>
          <t>School Types</t>
        </is>
      </c>
      <c r="C12" s="236" t="inlineStr">
        <is>
          <t>Pre-Schools by Province</t>
        </is>
      </c>
      <c r="D12" s="237">
        <f>HYPERLINK("#'Pre-Schools by Province'!A1","Pre-Schools by Province")</f>
        <v/>
      </c>
    </row>
    <row r="13" ht="15" customHeight="1" s="227">
      <c r="B13" s="232" t="inlineStr">
        <is>
          <t>School Types</t>
        </is>
      </c>
      <c r="C13" s="233" t="inlineStr">
        <is>
          <t>Primary Schools by Province</t>
        </is>
      </c>
      <c r="D13" s="234">
        <f>HYPERLINK("#'Primary Schools by Province'!A1","Primary Schools by Province")</f>
        <v/>
      </c>
    </row>
    <row r="14" ht="15" customHeight="1" s="227">
      <c r="B14" s="235" t="inlineStr">
        <is>
          <t>School Types</t>
        </is>
      </c>
      <c r="C14" s="236" t="inlineStr">
        <is>
          <t>Secondary Schools by Province</t>
        </is>
      </c>
      <c r="D14" s="237">
        <f>HYPERLINK("#'Secondary Schools by Province'!A1","Secondary Schools by Province")</f>
        <v/>
      </c>
    </row>
    <row r="15" ht="17" customHeight="1" s="227">
      <c r="B15" s="240" t="inlineStr">
        <is>
          <t xml:space="preserve">  ▸  School Info</t>
        </is>
      </c>
      <c r="C15" s="241" t="n"/>
      <c r="D15" s="241" t="n"/>
    </row>
    <row r="16" ht="15" customHeight="1" s="227">
      <c r="B16" s="232" t="inlineStr">
        <is>
          <t>School Info</t>
        </is>
      </c>
      <c r="C16" s="233" t="inlineStr">
        <is>
          <t>Classes by Grade &amp; Education L</t>
        </is>
      </c>
      <c r="D16" s="234">
        <f>HYPERLINK("#'Classes by Grade &amp; Education L'!A1","Classes by Grade &amp; Education L")</f>
        <v/>
      </c>
    </row>
    <row r="17" ht="15" customHeight="1" s="227">
      <c r="B17" s="235" t="inlineStr">
        <is>
          <t>School Info</t>
        </is>
      </c>
      <c r="C17" s="236" t="inlineStr">
        <is>
          <t>Cluster Schools &amp; Schools in P</t>
        </is>
      </c>
      <c r="D17" s="237">
        <f>HYPERLINK("#'Cluster Schools &amp; Schools in P'!A1","Cluster Schools &amp; Schools in P")</f>
        <v/>
      </c>
    </row>
    <row r="18" ht="15" customHeight="1" s="227">
      <c r="B18" s="232" t="inlineStr">
        <is>
          <t>School Info</t>
        </is>
      </c>
      <c r="C18" s="233" t="inlineStr">
        <is>
          <t>School Characteristics &amp; Princ</t>
        </is>
      </c>
      <c r="D18" s="234">
        <f>HYPERLINK("#'School Characteristics &amp; Princ'!A1","School Characteristics &amp; Princ")</f>
        <v/>
      </c>
    </row>
    <row r="19" ht="15" customHeight="1" s="227">
      <c r="B19" s="235" t="inlineStr">
        <is>
          <t>School Info</t>
        </is>
      </c>
      <c r="C19" s="236" t="inlineStr">
        <is>
          <t>Schools by Highest Grade Taugh</t>
        </is>
      </c>
      <c r="D19" s="237">
        <f>HYPERLINK("#'Schools by Highest Grade Taugh'!A1","Schools by Highest Grade Taugh")</f>
        <v/>
      </c>
    </row>
    <row r="20" ht="17" customHeight="1" s="227">
      <c r="B20" s="242" t="inlineStr">
        <is>
          <t xml:space="preserve">  ▸  Enrollment</t>
        </is>
      </c>
      <c r="C20" s="243" t="n"/>
      <c r="D20" s="243" t="n"/>
    </row>
    <row r="21" ht="15" customHeight="1" s="227">
      <c r="B21" s="232" t="inlineStr">
        <is>
          <t>Enrollment</t>
        </is>
      </c>
      <c r="C21" s="233" t="inlineStr">
        <is>
          <t>Enrollment &amp; Repeaters (Gr1-4)</t>
        </is>
      </c>
      <c r="D21" s="234">
        <f>HYPERLINK("#'Enrollment &amp; Repeaters (Gr1-4)'!A1","Enrollment &amp; Repeaters (Gr1-4)")</f>
        <v/>
      </c>
    </row>
    <row r="22" ht="15" customHeight="1" s="227">
      <c r="B22" s="235" t="inlineStr">
        <is>
          <t>Enrollment</t>
        </is>
      </c>
      <c r="C22" s="236" t="inlineStr">
        <is>
          <t>Enrollment &amp; Repeaters (Gr5-8)</t>
        </is>
      </c>
      <c r="D22" s="237">
        <f>HYPERLINK("#'Enrollment &amp; Repeaters (Gr5-8)'!A1","Enrollment &amp; Repeaters (Gr5-8)")</f>
        <v/>
      </c>
    </row>
    <row r="23" ht="15" customHeight="1" s="227">
      <c r="B23" s="232" t="inlineStr">
        <is>
          <t>Enrollment</t>
        </is>
      </c>
      <c r="C23" s="233" t="inlineStr">
        <is>
          <t>Enrollment &amp; Repeaters by Grad</t>
        </is>
      </c>
      <c r="D23" s="234">
        <f>HYPERLINK("#'Enrollment &amp; Repeaters by Grad'!A1","Enrollment &amp; Repeaters by Grad")</f>
        <v/>
      </c>
    </row>
    <row r="24" ht="15" customHeight="1" s="227">
      <c r="B24" s="235" t="inlineStr">
        <is>
          <t>Enrollment</t>
        </is>
      </c>
      <c r="C24" s="236" t="inlineStr">
        <is>
          <t>Enrollment &amp; Repeaters(Gr9-12)</t>
        </is>
      </c>
      <c r="D24" s="237">
        <f>HYPERLINK("#'Enrollment &amp; Repeaters(Gr9-12)'!A1","Enrollment &amp; Repeaters(Gr9-12)")</f>
        <v/>
      </c>
    </row>
    <row r="25" ht="15" customHeight="1" s="227">
      <c r="B25" s="232" t="inlineStr">
        <is>
          <t>Enrollment</t>
        </is>
      </c>
      <c r="C25" s="233" t="inlineStr">
        <is>
          <t>Enrollment by Level 2017-2018</t>
        </is>
      </c>
      <c r="D25" s="234">
        <f>HYPERLINK("#'Enrollment by Level 2017-2018'!A1","Enrollment by Level 2017-2018")</f>
        <v/>
      </c>
    </row>
    <row r="26" ht="15" customHeight="1" s="227">
      <c r="B26" s="235" t="inlineStr">
        <is>
          <t>Enrollment</t>
        </is>
      </c>
      <c r="C26" s="236" t="inlineStr">
        <is>
          <t>Enrollment by Level 2018-2019</t>
        </is>
      </c>
      <c r="D26" s="237">
        <f>HYPERLINK("#'Enrollment by Level 2018-2019'!A1","Enrollment by Level 2018-2019")</f>
        <v/>
      </c>
    </row>
    <row r="27" ht="15" customHeight="1" s="227">
      <c r="B27" s="232" t="inlineStr">
        <is>
          <t>Enrollment</t>
        </is>
      </c>
      <c r="C27" s="233" t="inlineStr">
        <is>
          <t>New Intake &amp; Enrollment (Both)</t>
        </is>
      </c>
      <c r="D27" s="234">
        <f>HYPERLINK("#'New Intake &amp; Enrollment (Both)'!A1","New Intake &amp; Enrollment (Both)")</f>
        <v/>
      </c>
    </row>
    <row r="28" ht="15" customHeight="1" s="227">
      <c r="B28" s="235" t="inlineStr">
        <is>
          <t>Enrollment</t>
        </is>
      </c>
      <c r="C28" s="236" t="inlineStr">
        <is>
          <t>New Intake &amp; Enrollment (Femal</t>
        </is>
      </c>
      <c r="D28" s="237">
        <f>HYPERLINK("#'New Intake &amp; Enrollment (Femal'!A1","New Intake &amp; Enrollment (Femal")</f>
        <v/>
      </c>
    </row>
    <row r="29" ht="15" customHeight="1" s="227">
      <c r="B29" s="232" t="inlineStr">
        <is>
          <t>Enrollment</t>
        </is>
      </c>
      <c r="C29" s="233" t="inlineStr">
        <is>
          <t>Pre-School Enrollment by Step</t>
        </is>
      </c>
      <c r="D29" s="234">
        <f>HYPERLINK("#'Pre-School Enrollment by Step'!A1","Pre-School Enrollment by Step")</f>
        <v/>
      </c>
    </row>
    <row r="30" ht="17" customHeight="1" s="227">
      <c r="B30" s="244" t="inlineStr">
        <is>
          <t xml:space="preserve">  ▸  Staff</t>
        </is>
      </c>
      <c r="C30" s="245" t="n"/>
      <c r="D30" s="245" t="n"/>
    </row>
    <row r="31" ht="15" customHeight="1" s="227">
      <c r="B31" s="232" t="inlineStr">
        <is>
          <t>Staff</t>
        </is>
      </c>
      <c r="C31" s="233" t="inlineStr">
        <is>
          <t>Provincial &amp; District Edu Staff</t>
        </is>
      </c>
      <c r="D31" s="234">
        <f>HYPERLINK("#'Provincial &amp; District Edu Staff'!A1","Provincial &amp; District Edu Staff")</f>
        <v/>
      </c>
    </row>
    <row r="32" ht="15" customHeight="1" s="227">
      <c r="B32" s="235" t="inlineStr">
        <is>
          <t>Staff</t>
        </is>
      </c>
      <c r="C32" s="236" t="inlineStr">
        <is>
          <t>School Staff - Special Functio</t>
        </is>
      </c>
      <c r="D32" s="237">
        <f>HYPERLINK("#'School Staff - Special Functio'!A1","School Staff - Special Functio")</f>
        <v/>
      </c>
    </row>
    <row r="33" ht="15" customHeight="1" s="227">
      <c r="B33" s="232" t="inlineStr">
        <is>
          <t>Staff</t>
        </is>
      </c>
      <c r="C33" s="233" t="inlineStr">
        <is>
          <t>School Staff by Education Leve</t>
        </is>
      </c>
      <c r="D33" s="234">
        <f>HYPERLINK("#'School Staff by Education Leve'!A1","School Staff by Education Leve")</f>
        <v/>
      </c>
    </row>
    <row r="34" ht="15" customHeight="1" s="227">
      <c r="B34" s="235" t="inlineStr">
        <is>
          <t>Staff</t>
        </is>
      </c>
      <c r="C34" s="236" t="inlineStr">
        <is>
          <t>Teaching Staff - Pedagogical T</t>
        </is>
      </c>
      <c r="D34" s="237">
        <f>HYPERLINK("#'Teaching Staff - Pedagogical T'!A1","Teaching Staff - Pedagogical T")</f>
        <v/>
      </c>
    </row>
    <row r="35" ht="17" customHeight="1" s="227">
      <c r="B35" s="246" t="inlineStr">
        <is>
          <t xml:space="preserve">  ▸  Facilities</t>
        </is>
      </c>
      <c r="C35" s="247" t="n"/>
      <c r="D35" s="247" t="n"/>
    </row>
    <row r="36" ht="15" customHeight="1" s="227">
      <c r="B36" s="232" t="inlineStr">
        <is>
          <t>Facilities</t>
        </is>
      </c>
      <c r="C36" s="233" t="inlineStr">
        <is>
          <t>Classroom Conditions &amp; Library</t>
        </is>
      </c>
      <c r="D36" s="234">
        <f>HYPERLINK("#'Classroom Conditions &amp; Library'!A1","Classroom Conditions &amp; Library")</f>
        <v/>
      </c>
    </row>
    <row r="37" ht="15" customHeight="1" s="227">
      <c r="B37" s="235" t="inlineStr">
        <is>
          <t>Facilities</t>
        </is>
      </c>
      <c r="C37" s="236" t="inlineStr">
        <is>
          <t>Community Participation &amp; Fina</t>
        </is>
      </c>
      <c r="D37" s="237">
        <f>HYPERLINK("#'Community Participation &amp; Fina'!A1","Community Participation &amp; Fina")</f>
        <v/>
      </c>
    </row>
    <row r="38" ht="15" customHeight="1" s="227">
      <c r="B38" s="232" t="inlineStr">
        <is>
          <t>Facilities</t>
        </is>
      </c>
      <c r="C38" s="233" t="inlineStr">
        <is>
          <t>School Building Conditions</t>
        </is>
      </c>
      <c r="D38" s="234">
        <f>HYPERLINK("#'School Building Conditions'!A1","School Building Conditions")</f>
        <v/>
      </c>
    </row>
    <row r="39" ht="15" customHeight="1" s="227">
      <c r="B39" s="235" t="inlineStr">
        <is>
          <t>Facilities</t>
        </is>
      </c>
      <c r="C39" s="236" t="inlineStr">
        <is>
          <t>School Space &amp; Sports Faciliti</t>
        </is>
      </c>
      <c r="D39" s="237">
        <f>HYPERLINK("#'School Space &amp; Sports Faciliti'!A1","School Space &amp; Sports Faciliti")</f>
        <v/>
      </c>
    </row>
    <row r="40" ht="17" customHeight="1" s="227">
      <c r="B40" s="248" t="inlineStr">
        <is>
          <t xml:space="preserve">  ▸  Indicators</t>
        </is>
      </c>
      <c r="C40" s="249" t="n"/>
      <c r="D40" s="249" t="n"/>
    </row>
    <row r="41" ht="15" customHeight="1" s="227">
      <c r="B41" s="232" t="inlineStr">
        <is>
          <t>Indicators</t>
        </is>
      </c>
      <c r="C41" s="233" t="inlineStr">
        <is>
          <t>Access &amp; Enrollment Ratios (M)</t>
        </is>
      </c>
      <c r="D41" s="234">
        <f>HYPERLINK("#'Access &amp; Enrollment Ratios (M)'!A1","Access &amp; Enrollment Ratios (M)")</f>
        <v/>
      </c>
    </row>
    <row r="42" ht="15" customHeight="1" s="227">
      <c r="B42" s="235" t="inlineStr">
        <is>
          <t>Indicators</t>
        </is>
      </c>
      <c r="C42" s="236" t="inlineStr">
        <is>
          <t>Access &amp; Equity Indicators</t>
        </is>
      </c>
      <c r="D42" s="237">
        <f>HYPERLINK("#'Access &amp; Equity Indicators'!A1","Access &amp; Equity Indicators")</f>
        <v/>
      </c>
    </row>
    <row r="43" ht="15" customHeight="1" s="227">
      <c r="B43" s="232" t="inlineStr">
        <is>
          <t>Indicators</t>
        </is>
      </c>
      <c r="C43" s="233" t="inlineStr">
        <is>
          <t>Enrollment Indicators by Prov</t>
        </is>
      </c>
      <c r="D43" s="234">
        <f>HYPERLINK("#'Enrollment Indicators by Prov'!A1","Enrollment Indicators by Prov")</f>
        <v/>
      </c>
    </row>
    <row r="44" ht="15" customHeight="1" s="227">
      <c r="B44" s="235" t="inlineStr">
        <is>
          <t>Indicators</t>
        </is>
      </c>
      <c r="C44" s="236" t="inlineStr">
        <is>
          <t>Gross &amp; Net Enrollment Ratios</t>
        </is>
      </c>
      <c r="D44" s="237">
        <f>HYPERLINK("#'Gross &amp; Net Enrollment Ratios'!A1","Gross &amp; Net Enrollment Ratios")</f>
        <v/>
      </c>
    </row>
    <row r="45" ht="15" customHeight="1" s="227">
      <c r="B45" s="232" t="inlineStr">
        <is>
          <t>Indicators</t>
        </is>
      </c>
      <c r="C45" s="233" t="inlineStr">
        <is>
          <t>Indicators on Primary Schools</t>
        </is>
      </c>
      <c r="D45" s="234">
        <f>HYPERLINK("#'Indicators on Primary Schools'!A1","Indicators on Primary Schools")</f>
        <v/>
      </c>
    </row>
    <row r="46" ht="15" customHeight="1" s="227">
      <c r="B46" s="235" t="inlineStr">
        <is>
          <t>Indicators</t>
        </is>
      </c>
      <c r="C46" s="236" t="inlineStr">
        <is>
          <t>Indicators on Schools - Nation</t>
        </is>
      </c>
      <c r="D46" s="237">
        <f>HYPERLINK("#'Indicators on Schools - Nation'!A1","Indicators on Schools - Nation")</f>
        <v/>
      </c>
    </row>
    <row r="47" ht="15" customHeight="1" s="227">
      <c r="B47" s="232" t="inlineStr">
        <is>
          <t>Indicators</t>
        </is>
      </c>
      <c r="C47" s="233" t="inlineStr">
        <is>
          <t>Indicators on Schools - by Pro</t>
        </is>
      </c>
      <c r="D47" s="234">
        <f>HYPERLINK("#'Indicators on Schools - by Pro'!A1","Indicators on Schools - by Pro")</f>
        <v/>
      </c>
    </row>
    <row r="48" ht="15" customHeight="1" s="227">
      <c r="B48" s="235" t="inlineStr">
        <is>
          <t>Indicators</t>
        </is>
      </c>
      <c r="C48" s="236" t="inlineStr">
        <is>
          <t>Indicators on Secondary School</t>
        </is>
      </c>
      <c r="D48" s="237">
        <f>HYPERLINK("#'Indicators on Secondary School'!A1","Indicators on Secondary School")</f>
        <v/>
      </c>
    </row>
    <row r="49" ht="15" customHeight="1" s="227">
      <c r="B49" s="232" t="inlineStr">
        <is>
          <t>Indicators</t>
        </is>
      </c>
      <c r="C49" s="233" t="inlineStr">
        <is>
          <t>Primary Student &amp; Staff Indica</t>
        </is>
      </c>
      <c r="D49" s="234">
        <f>HYPERLINK("#'Primary Student &amp; Staff Indica'!A1","Primary Student &amp; Staff Indica")</f>
        <v/>
      </c>
    </row>
    <row r="50" ht="15" customHeight="1" s="227">
      <c r="B50" s="235" t="inlineStr">
        <is>
          <t>Indicators</t>
        </is>
      </c>
      <c r="C50" s="236" t="inlineStr">
        <is>
          <t>School-Going Age Population</t>
        </is>
      </c>
      <c r="D50" s="237">
        <f>HYPERLINK("#'School-Going Age Population'!A1","School-Going Age Population")</f>
        <v/>
      </c>
    </row>
    <row r="51" ht="15" customHeight="1" s="227">
      <c r="B51" s="232" t="inlineStr">
        <is>
          <t>Indicators</t>
        </is>
      </c>
      <c r="C51" s="233" t="inlineStr">
        <is>
          <t>Secondary Student &amp; Staff Ind</t>
        </is>
      </c>
      <c r="D51" s="234">
        <f>HYPERLINK("#'Secondary Student &amp; Staff Ind'!A1","Secondary Student &amp; Staff Ind")</f>
        <v/>
      </c>
    </row>
    <row r="52" ht="15" customHeight="1" s="227">
      <c r="B52" s="235" t="inlineStr">
        <is>
          <t>Indicators</t>
        </is>
      </c>
      <c r="C52" s="236" t="inlineStr">
        <is>
          <t>Student &amp; Staff Indicators Nat</t>
        </is>
      </c>
      <c r="D52" s="237">
        <f>HYPERLINK("#'Student &amp; Staff Indicators Nat'!A1","Student &amp; Staff Indicators Nat")</f>
        <v/>
      </c>
    </row>
    <row r="53" ht="15" customHeight="1" s="227">
      <c r="B53" s="232" t="inlineStr">
        <is>
          <t>Indicators</t>
        </is>
      </c>
      <c r="C53" s="233" t="inlineStr">
        <is>
          <t>Student &amp; Staff Indicators Pro</t>
        </is>
      </c>
      <c r="D53" s="234">
        <f>HYPERLINK("#'Student &amp; Staff Indicators Pro'!A1","Student &amp; Staff Indicators Pro")</f>
        <v/>
      </c>
    </row>
    <row r="54" ht="17" customHeight="1" s="227">
      <c r="B54" s="250" t="inlineStr">
        <is>
          <t xml:space="preserve">  ▸  Student Flow</t>
        </is>
      </c>
      <c r="C54" s="251" t="n"/>
      <c r="D54" s="251" t="n"/>
    </row>
    <row r="55" ht="15" customHeight="1" s="227">
      <c r="B55" s="232" t="inlineStr">
        <is>
          <t>Student Flow</t>
        </is>
      </c>
      <c r="C55" s="233" t="inlineStr">
        <is>
          <t>Flow Rates Both Gr1-4 2017-18</t>
        </is>
      </c>
      <c r="D55" s="234">
        <f>HYPERLINK("#'Flow Rates Both Gr1-4 2017-18'!A1","Flow Rates Both Gr1-4 2017-18")</f>
        <v/>
      </c>
    </row>
    <row r="56" ht="15" customHeight="1" s="227">
      <c r="B56" s="235" t="inlineStr">
        <is>
          <t>Student Flow</t>
        </is>
      </c>
      <c r="C56" s="236" t="inlineStr">
        <is>
          <t>Flow Rates Both Gr5-8 2017-18</t>
        </is>
      </c>
      <c r="D56" s="237">
        <f>HYPERLINK("#'Flow Rates Both Gr5-8 2017-18'!A1","Flow Rates Both Gr5-8 2017-18")</f>
        <v/>
      </c>
    </row>
    <row r="57" ht="15" customHeight="1" s="227">
      <c r="B57" s="232" t="inlineStr">
        <is>
          <t>Student Flow</t>
        </is>
      </c>
      <c r="C57" s="233" t="inlineStr">
        <is>
          <t>Flow Rates Both Gr9-12 2017-18</t>
        </is>
      </c>
      <c r="D57" s="234">
        <f>HYPERLINK("#'Flow Rates Both Gr9-12 2017-18'!A1","Flow Rates Both Gr9-12 2017-18")</f>
        <v/>
      </c>
    </row>
    <row r="58" ht="15" customHeight="1" s="227">
      <c r="B58" s="235" t="inlineStr">
        <is>
          <t>Student Flow</t>
        </is>
      </c>
      <c r="C58" s="236" t="inlineStr">
        <is>
          <t>Flow Rates Female Gr1-4 2017-18</t>
        </is>
      </c>
      <c r="D58" s="237">
        <f>HYPERLINK("#'Flow Rates Female Gr1-4 2017-18'!A1","Flow Rates Female Gr1-4 2017-18")</f>
        <v/>
      </c>
    </row>
    <row r="59" ht="15" customHeight="1" s="227">
      <c r="B59" s="232" t="inlineStr">
        <is>
          <t>Student Flow</t>
        </is>
      </c>
      <c r="C59" s="233" t="inlineStr">
        <is>
          <t>Flow Rates Female Gr5-8 2017-18</t>
        </is>
      </c>
      <c r="D59" s="234">
        <f>HYPERLINK("#'Flow Rates Female Gr5-8 2017-18'!A1","Flow Rates Female Gr5-8 2017-18")</f>
        <v/>
      </c>
    </row>
    <row r="60" ht="15" customHeight="1" s="227">
      <c r="B60" s="235" t="inlineStr">
        <is>
          <t>Student Flow</t>
        </is>
      </c>
      <c r="C60" s="236" t="inlineStr">
        <is>
          <t>Flow Rates Female Gr9-12 17-18</t>
        </is>
      </c>
      <c r="D60" s="237">
        <f>HYPERLINK("#'Flow Rates Female Gr9-12 17-18'!A1","Flow Rates Female Gr9-12 17-18")</f>
        <v/>
      </c>
    </row>
    <row r="61" ht="15" customHeight="1" s="227">
      <c r="B61" s="232" t="inlineStr">
        <is>
          <t>Student Flow</t>
        </is>
      </c>
      <c r="C61" s="233" t="inlineStr">
        <is>
          <t>Flow Rates Male Gr1-4 2017-18</t>
        </is>
      </c>
      <c r="D61" s="234">
        <f>HYPERLINK("#'Flow Rates Male Gr1-4 2017-18'!A1","Flow Rates Male Gr1-4 2017-18")</f>
        <v/>
      </c>
    </row>
    <row r="62" ht="15" customHeight="1" s="227">
      <c r="B62" s="235" t="inlineStr">
        <is>
          <t>Student Flow</t>
        </is>
      </c>
      <c r="C62" s="236" t="inlineStr">
        <is>
          <t>Flow Rates Male Gr5-8 2017-18</t>
        </is>
      </c>
      <c r="D62" s="237">
        <f>HYPERLINK("#'Flow Rates Male Gr5-8 2017-18'!A1","Flow Rates Male Gr5-8 2017-18")</f>
        <v/>
      </c>
    </row>
    <row r="63" ht="15" customHeight="1" s="227">
      <c r="B63" s="232" t="inlineStr">
        <is>
          <t>Student Flow</t>
        </is>
      </c>
      <c r="C63" s="233" t="inlineStr">
        <is>
          <t>Flow Rates Male Gr9-12 2017-18</t>
        </is>
      </c>
      <c r="D63" s="234">
        <f>HYPERLINK("#'Flow Rates Male Gr9-12 2017-18'!A1","Flow Rates Male Gr9-12 2017-18")</f>
        <v/>
      </c>
    </row>
    <row r="64" ht="15" customHeight="1" s="227">
      <c r="B64" s="235" t="inlineStr">
        <is>
          <t>Student Flow</t>
        </is>
      </c>
      <c r="C64" s="236" t="inlineStr">
        <is>
          <t>Graduates Female 2017-2018</t>
        </is>
      </c>
      <c r="D64" s="237">
        <f>HYPERLINK("#'Graduates Female 2017-2018'!A1","Graduates Female 2017-2018")</f>
        <v/>
      </c>
    </row>
    <row r="65" ht="15" customHeight="1" s="227">
      <c r="B65" s="232" t="inlineStr">
        <is>
          <t>Student Flow</t>
        </is>
      </c>
      <c r="C65" s="233" t="inlineStr">
        <is>
          <t>Graduates Male 2017-2018</t>
        </is>
      </c>
      <c r="D65" s="234">
        <f>HYPERLINK("#'Graduates Male 2017-2018'!A1","Graduates Male 2017-2018")</f>
        <v/>
      </c>
    </row>
    <row r="66" ht="15" customHeight="1" s="227">
      <c r="B66" s="235" t="inlineStr">
        <is>
          <t>Student Flow</t>
        </is>
      </c>
      <c r="C66" s="236" t="inlineStr">
        <is>
          <t>Graduates by Level Both 2017-18</t>
        </is>
      </c>
      <c r="D66" s="237">
        <f>HYPERLINK("#'Graduates by Level Both 2017-18'!A1","Graduates by Level Both 2017-18")</f>
        <v/>
      </c>
    </row>
    <row r="67" ht="15" customHeight="1" s="227">
      <c r="B67" s="232" t="inlineStr">
        <is>
          <t>Student Flow</t>
        </is>
      </c>
      <c r="C67" s="233" t="inlineStr">
        <is>
          <t>Survival &amp; Completion Rates</t>
        </is>
      </c>
      <c r="D67" s="234">
        <f>HYPERLINK("#'Survival &amp; Completion Rates'!A1","Survival &amp; Completion Rates")</f>
        <v/>
      </c>
    </row>
    <row r="68" ht="17" customHeight="1" s="227">
      <c r="B68" s="252" t="inlineStr">
        <is>
          <t xml:space="preserve">  ▸  Gender &amp; Equity</t>
        </is>
      </c>
      <c r="C68" s="253" t="n"/>
      <c r="D68" s="253" t="n"/>
    </row>
    <row r="69" ht="15" customHeight="1" s="227">
      <c r="B69" s="232" t="inlineStr">
        <is>
          <t>Gender &amp; Equity</t>
        </is>
      </c>
      <c r="C69" s="233" t="inlineStr">
        <is>
          <t>Gender Parity Index 2018-2019</t>
        </is>
      </c>
      <c r="D69" s="234">
        <f>HYPERLINK("#'Gender Parity Index 2018-2019'!A1","Gender Parity Index 2018-2019")</f>
        <v/>
      </c>
    </row>
    <row r="70" ht="17" customHeight="1" s="227">
      <c r="B70" s="254" t="inlineStr">
        <is>
          <t xml:space="preserve">  ▸  Reference</t>
        </is>
      </c>
      <c r="C70" s="255" t="n"/>
      <c r="D70" s="255" t="n"/>
    </row>
    <row r="71" ht="15" customHeight="1" s="227">
      <c r="B71" s="232" t="inlineStr">
        <is>
          <t>Reference</t>
        </is>
      </c>
      <c r="C71" s="233" t="inlineStr">
        <is>
          <t>Appendix - Historical Data</t>
        </is>
      </c>
      <c r="D71" s="234">
        <f>HYPERLINK("#'Appendix - Historical Data'!A1","Appendix - Historical Data")</f>
        <v/>
      </c>
    </row>
  </sheetData>
  <mergeCells count="11">
    <mergeCell ref="B5:D5"/>
    <mergeCell ref="B54:D54"/>
    <mergeCell ref="B8:D8"/>
    <mergeCell ref="B35:D35"/>
    <mergeCell ref="B40:D40"/>
    <mergeCell ref="B70:D70"/>
    <mergeCell ref="B30:D30"/>
    <mergeCell ref="B68:D68"/>
    <mergeCell ref="B15:D15"/>
    <mergeCell ref="B2:D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O20"/>
  <sheetViews>
    <sheetView tabSelected="1" workbookViewId="0">
      <selection activeCell="A1" sqref="A1"/>
    </sheetView>
  </sheetViews>
  <sheetFormatPr baseColWidth="8" defaultRowHeight="15"/>
  <cols>
    <col width="33.777778" customWidth="1" style="227" min="1" max="1"/>
    <col width="9.555555999999999" customWidth="1" style="227" min="2" max="2"/>
    <col width="8.888889000000001" customWidth="1" style="227" min="3" max="3"/>
    <col width="9.333333" customWidth="1" style="227" min="4" max="4"/>
    <col width="8.888889000000001" customWidth="1" style="227" min="5" max="5"/>
    <col width="10" customWidth="1" style="227" min="6" max="6"/>
    <col width="10" customWidth="1" style="227" min="7" max="7"/>
    <col width="9.777778" customWidth="1" style="227" min="8" max="8"/>
    <col width="9.555555999999999" customWidth="1" style="227" min="9" max="9"/>
    <col width="8.888889000000001" customWidth="1" style="227" min="10" max="10"/>
    <col width="9.333333" customWidth="1" style="227" min="11" max="11"/>
    <col width="10" customWidth="1" style="227" min="12" max="12"/>
    <col width="8.888889000000001" customWidth="1" style="227" min="13" max="13"/>
    <col width="10.222222" customWidth="1" style="227" min="14" max="14"/>
    <col width="9.333333" customWidth="1" style="227" min="15" max="15"/>
  </cols>
  <sheetData>
    <row r="1" ht="23.25" customHeight="1" s="227">
      <c r="A1" s="1" t="inlineStr">
        <is>
          <t>Kingdom of Cambodia</t>
        </is>
      </c>
    </row>
    <row r="2" ht="37" customHeight="1" s="227">
      <c r="A2" s="2" t="inlineStr">
        <is>
          <t>Table 1: Schools, Classes, Students and Staff</t>
        </is>
      </c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  <c r="N2" s="256" t="n"/>
      <c r="O2" s="256" t="n"/>
    </row>
    <row r="3" ht="18" customHeight="1" s="227">
      <c r="A3" s="3" t="inlineStr">
        <is>
          <t>Particulars</t>
        </is>
      </c>
      <c r="B3" s="6" t="inlineStr">
        <is>
          <t>Number of</t>
        </is>
      </c>
      <c r="C3" s="7" t="inlineStr">
        <is>
          <t>Disadv.</t>
        </is>
      </c>
      <c r="D3" s="6" t="inlineStr">
        <is>
          <t>Number of</t>
        </is>
      </c>
      <c r="E3" s="7" t="inlineStr">
        <is>
          <t>Classes</t>
        </is>
      </c>
      <c r="F3" s="8" t="inlineStr">
        <is>
          <t>Enrollment</t>
        </is>
      </c>
      <c r="G3" s="257" t="n"/>
      <c r="H3" s="8" t="inlineStr">
        <is>
          <t>Repeaters</t>
        </is>
      </c>
      <c r="I3" s="257" t="n"/>
      <c r="J3" s="11" t="inlineStr">
        <is>
          <t>Teaching Staff</t>
        </is>
      </c>
      <c r="K3" s="257" t="n"/>
      <c r="L3" s="14" t="inlineStr">
        <is>
          <t>Non-Teaching Staff</t>
        </is>
      </c>
      <c r="M3" s="257" t="n"/>
      <c r="N3" s="8" t="inlineStr">
        <is>
          <t>Total Staff</t>
        </is>
      </c>
      <c r="O3" s="257" t="n"/>
    </row>
    <row r="4" ht="18" customHeight="1" s="227">
      <c r="A4" s="258" t="n"/>
      <c r="B4" s="17" t="inlineStr">
        <is>
          <t>Schools</t>
        </is>
      </c>
      <c r="C4" s="18" t="inlineStr">
        <is>
          <t>Schools</t>
        </is>
      </c>
      <c r="D4" s="17" t="inlineStr">
        <is>
          <t>Classes</t>
        </is>
      </c>
      <c r="E4" s="19" t="inlineStr">
        <is>
          <t>in Pagoda</t>
        </is>
      </c>
      <c r="F4" s="14" t="inlineStr">
        <is>
          <t>Total</t>
        </is>
      </c>
      <c r="G4" s="20" t="inlineStr">
        <is>
          <t>Girl</t>
        </is>
      </c>
      <c r="H4" s="14" t="inlineStr">
        <is>
          <t>Total</t>
        </is>
      </c>
      <c r="I4" s="20" t="inlineStr">
        <is>
          <t>Girl</t>
        </is>
      </c>
      <c r="J4" s="14" t="inlineStr">
        <is>
          <t>Total</t>
        </is>
      </c>
      <c r="K4" s="21" t="inlineStr">
        <is>
          <t>Female</t>
        </is>
      </c>
      <c r="L4" s="14" t="inlineStr">
        <is>
          <t>Total</t>
        </is>
      </c>
      <c r="M4" s="21" t="inlineStr">
        <is>
          <t>Female</t>
        </is>
      </c>
      <c r="N4" s="11" t="inlineStr">
        <is>
          <t>Total</t>
        </is>
      </c>
      <c r="O4" s="21" t="inlineStr">
        <is>
          <t>Female</t>
        </is>
      </c>
    </row>
    <row r="5" ht="20" customHeight="1" s="227">
      <c r="A5" s="22" t="inlineStr">
        <is>
          <t>Whole Kingdom</t>
        </is>
      </c>
      <c r="B5" s="259" t="n">
        <v>13300</v>
      </c>
      <c r="C5" s="260" t="n">
        <v>248</v>
      </c>
      <c r="D5" s="259" t="n">
        <v>89897</v>
      </c>
      <c r="E5" s="260" t="n">
        <v>552</v>
      </c>
      <c r="F5" s="259" t="n">
        <v>3189172</v>
      </c>
      <c r="G5" s="259" t="n">
        <v>1577271</v>
      </c>
      <c r="H5" s="259" t="n">
        <v>148021</v>
      </c>
      <c r="I5" s="259" t="n">
        <v>52937</v>
      </c>
      <c r="J5" s="259" t="n">
        <v>93703</v>
      </c>
      <c r="K5" s="259" t="n">
        <v>48810</v>
      </c>
      <c r="L5" s="259" t="n">
        <v>19066</v>
      </c>
      <c r="M5" s="259" t="n">
        <v>5531</v>
      </c>
      <c r="N5" s="259" t="n">
        <v>112769</v>
      </c>
      <c r="O5" s="259" t="n">
        <v>54341</v>
      </c>
    </row>
    <row r="6" ht="31" customHeight="1" s="227">
      <c r="A6" s="25" t="inlineStr">
        <is>
          <t>By Area of Location:
-    Urban Area</t>
        </is>
      </c>
      <c r="B6" s="261" t="n">
        <v>1422</v>
      </c>
      <c r="C6" s="262" t="n">
        <v>20</v>
      </c>
      <c r="D6" s="261" t="n">
        <v>15141</v>
      </c>
      <c r="E6" s="262" t="n">
        <v>84</v>
      </c>
      <c r="F6" s="261" t="n">
        <v>594914</v>
      </c>
      <c r="G6" s="261" t="n">
        <v>292541</v>
      </c>
      <c r="H6" s="261" t="n">
        <v>20820</v>
      </c>
      <c r="I6" s="261" t="n">
        <v>7204</v>
      </c>
      <c r="J6" s="261" t="n">
        <v>23450</v>
      </c>
      <c r="K6" s="261" t="n">
        <v>13567</v>
      </c>
      <c r="L6" s="261" t="n">
        <v>3514</v>
      </c>
      <c r="M6" s="261" t="n">
        <v>1429</v>
      </c>
      <c r="N6" s="261" t="n">
        <v>26964</v>
      </c>
      <c r="O6" s="261" t="n">
        <v>14996</v>
      </c>
    </row>
    <row r="7" ht="19" customHeight="1" s="227">
      <c r="A7" s="28" t="inlineStr">
        <is>
          <t>-    Rural Area</t>
        </is>
      </c>
      <c r="B7" s="259" t="n">
        <v>11878</v>
      </c>
      <c r="C7" s="260" t="n">
        <v>228</v>
      </c>
      <c r="D7" s="259" t="n">
        <v>74756</v>
      </c>
      <c r="E7" s="260" t="n">
        <v>468</v>
      </c>
      <c r="F7" s="259" t="n">
        <v>2594258</v>
      </c>
      <c r="G7" s="259" t="n">
        <v>1284730</v>
      </c>
      <c r="H7" s="259" t="n">
        <v>127201</v>
      </c>
      <c r="I7" s="259" t="n">
        <v>45733</v>
      </c>
      <c r="J7" s="259" t="n">
        <v>70253</v>
      </c>
      <c r="K7" s="259" t="n">
        <v>35243</v>
      </c>
      <c r="L7" s="259" t="n">
        <v>15552</v>
      </c>
      <c r="M7" s="259" t="n">
        <v>4102</v>
      </c>
      <c r="N7" s="259" t="n">
        <v>85805</v>
      </c>
      <c r="O7" s="259" t="n">
        <v>39345</v>
      </c>
    </row>
    <row r="8" ht="36" customHeight="1" s="227">
      <c r="A8" s="25" t="inlineStr">
        <is>
          <t>By Type of School &amp; Edn. Level :
-    Pre-School</t>
        </is>
      </c>
      <c r="B8" s="261" t="n">
        <v>4301</v>
      </c>
      <c r="C8" s="262" t="n">
        <v>184</v>
      </c>
      <c r="D8" s="261" t="n">
        <v>7122</v>
      </c>
      <c r="E8" s="262" t="n">
        <v>75</v>
      </c>
      <c r="F8" s="261" t="n">
        <v>217509</v>
      </c>
      <c r="G8" s="261" t="n">
        <v>108080</v>
      </c>
      <c r="H8" s="262" t="n">
        <v>0</v>
      </c>
      <c r="I8" s="262" t="n">
        <v>0</v>
      </c>
      <c r="J8" s="261" t="n">
        <v>5335</v>
      </c>
      <c r="K8" s="261" t="n">
        <v>5089</v>
      </c>
      <c r="L8" s="262" t="n">
        <v>224</v>
      </c>
      <c r="M8" s="262" t="n">
        <v>212</v>
      </c>
      <c r="N8" s="261" t="n">
        <v>5559</v>
      </c>
      <c r="O8" s="261" t="n">
        <v>5301</v>
      </c>
    </row>
    <row r="9" ht="19" customHeight="1" s="227">
      <c r="A9" s="28" t="inlineStr">
        <is>
          <t>-    Primary School</t>
        </is>
      </c>
      <c r="B9" s="259" t="n">
        <v>7228</v>
      </c>
      <c r="C9" s="260" t="n">
        <v>55</v>
      </c>
      <c r="D9" s="259" t="n">
        <v>62208</v>
      </c>
      <c r="E9" s="260" t="n">
        <v>350</v>
      </c>
      <c r="F9" s="259" t="n">
        <v>2040257</v>
      </c>
      <c r="G9" s="259" t="n">
        <v>978800</v>
      </c>
      <c r="H9" s="259" t="n">
        <v>126831</v>
      </c>
      <c r="I9" s="259" t="n">
        <v>45952</v>
      </c>
      <c r="J9" s="259" t="n">
        <v>45836</v>
      </c>
      <c r="K9" s="259" t="n">
        <v>26120</v>
      </c>
      <c r="L9" s="259" t="n">
        <v>11975</v>
      </c>
      <c r="M9" s="259" t="n">
        <v>3533</v>
      </c>
      <c r="N9" s="259" t="n">
        <v>57811</v>
      </c>
      <c r="O9" s="259" t="n">
        <v>29653</v>
      </c>
    </row>
    <row r="10" ht="19" customHeight="1" s="227">
      <c r="A10" s="28" t="inlineStr">
        <is>
          <t>-    College (Grade 7-9)</t>
        </is>
      </c>
      <c r="B10" s="259" t="n">
        <v>1246</v>
      </c>
      <c r="C10" s="260" t="n">
        <v>9</v>
      </c>
      <c r="D10" s="259" t="n">
        <v>7350</v>
      </c>
      <c r="E10" s="260" t="n">
        <v>98</v>
      </c>
      <c r="F10" s="259" t="n">
        <v>327415</v>
      </c>
      <c r="G10" s="259" t="n">
        <v>172099</v>
      </c>
      <c r="H10" s="259" t="n">
        <v>6298</v>
      </c>
      <c r="I10" s="259" t="n">
        <v>1820</v>
      </c>
      <c r="J10" s="259" t="n">
        <v>14690</v>
      </c>
      <c r="K10" s="259" t="n">
        <v>6495</v>
      </c>
      <c r="L10" s="259" t="n">
        <v>2828</v>
      </c>
      <c r="M10" s="260" t="n">
        <v>652</v>
      </c>
      <c r="N10" s="259" t="n">
        <v>17518</v>
      </c>
      <c r="O10" s="259" t="n">
        <v>7147</v>
      </c>
    </row>
    <row r="11" ht="20" customHeight="1" s="227">
      <c r="A11" s="28" t="inlineStr">
        <is>
          <t>-    Lycee (Grade 10-12)</t>
        </is>
      </c>
      <c r="B11" s="260" t="n">
        <v>32</v>
      </c>
      <c r="C11" s="260" t="n">
        <v>0</v>
      </c>
      <c r="D11" s="260" t="n">
        <v>456</v>
      </c>
      <c r="E11" s="260" t="n">
        <v>0</v>
      </c>
      <c r="F11" s="259" t="n">
        <v>20126</v>
      </c>
      <c r="G11" s="259" t="n">
        <v>10462</v>
      </c>
      <c r="H11" s="260" t="n">
        <v>188</v>
      </c>
      <c r="I11" s="260" t="n">
        <v>63</v>
      </c>
      <c r="J11" s="260" t="n">
        <v>943</v>
      </c>
      <c r="K11" s="260" t="n">
        <v>289</v>
      </c>
      <c r="L11" s="260" t="n">
        <v>114</v>
      </c>
      <c r="M11" s="260" t="n">
        <v>29</v>
      </c>
      <c r="N11" s="259" t="n">
        <v>1057</v>
      </c>
      <c r="O11" s="260" t="n">
        <v>318</v>
      </c>
    </row>
    <row r="12" ht="19" customHeight="1" s="227">
      <c r="A12" s="28" t="inlineStr">
        <is>
          <t>-    Lycee (Grade 7-12)</t>
        </is>
      </c>
      <c r="B12" s="260" t="n">
        <v>493</v>
      </c>
      <c r="C12" s="260" t="n">
        <v>0</v>
      </c>
      <c r="D12" s="259" t="n">
        <v>12761</v>
      </c>
      <c r="E12" s="260" t="n">
        <v>29</v>
      </c>
      <c r="F12" s="259" t="n">
        <v>583865</v>
      </c>
      <c r="G12" s="259" t="n">
        <v>307830</v>
      </c>
      <c r="H12" s="259" t="n">
        <v>14704</v>
      </c>
      <c r="I12" s="259" t="n">
        <v>5102</v>
      </c>
      <c r="J12" s="259" t="n">
        <v>26899</v>
      </c>
      <c r="K12" s="259" t="n">
        <v>10817</v>
      </c>
      <c r="L12" s="259" t="n">
        <v>3925</v>
      </c>
      <c r="M12" s="259" t="n">
        <v>1105</v>
      </c>
      <c r="N12" s="259" t="n">
        <v>30824</v>
      </c>
      <c r="O12" s="259" t="n">
        <v>11922</v>
      </c>
    </row>
    <row r="13" ht="20" customHeight="1" s="227">
      <c r="A13" s="28" t="inlineStr">
        <is>
          <t>-    Lower Secondary Level  (Grade 7-9)</t>
        </is>
      </c>
      <c r="B13" s="259" t="n">
        <v>1739</v>
      </c>
      <c r="C13" s="260" t="n">
        <v>9</v>
      </c>
      <c r="D13" s="259" t="n">
        <v>13388</v>
      </c>
      <c r="E13" s="260" t="n">
        <v>98</v>
      </c>
      <c r="F13" s="259" t="n">
        <v>610261</v>
      </c>
      <c r="G13" s="259" t="n">
        <v>318897</v>
      </c>
      <c r="H13" s="259" t="n">
        <v>15132</v>
      </c>
      <c r="I13" s="259" t="n">
        <v>4555</v>
      </c>
      <c r="J13" s="259" t="n">
        <v>28758</v>
      </c>
      <c r="K13" s="259" t="n">
        <v>13116</v>
      </c>
      <c r="L13" s="259" t="n">
        <v>4880</v>
      </c>
      <c r="M13" s="259" t="n">
        <v>1229</v>
      </c>
      <c r="N13" s="259" t="n">
        <v>33638</v>
      </c>
      <c r="O13" s="259" t="n">
        <v>14345</v>
      </c>
    </row>
    <row r="14" ht="19" customHeight="1" s="227">
      <c r="A14" s="28" t="inlineStr">
        <is>
          <t>-    Upper Secondary Level  (Grade 10-12)</t>
        </is>
      </c>
      <c r="B14" s="260" t="n">
        <v>525</v>
      </c>
      <c r="C14" s="260" t="n">
        <v>0</v>
      </c>
      <c r="D14" s="259" t="n">
        <v>7179</v>
      </c>
      <c r="E14" s="260" t="n">
        <v>29</v>
      </c>
      <c r="F14" s="259" t="n">
        <v>321145</v>
      </c>
      <c r="G14" s="259" t="n">
        <v>171494</v>
      </c>
      <c r="H14" s="259" t="n">
        <v>6058</v>
      </c>
      <c r="I14" s="259" t="n">
        <v>2430</v>
      </c>
      <c r="J14" s="259" t="n">
        <v>13774</v>
      </c>
      <c r="K14" s="259" t="n">
        <v>4485</v>
      </c>
      <c r="L14" s="259" t="n">
        <v>1987</v>
      </c>
      <c r="M14" s="260" t="n">
        <v>557</v>
      </c>
      <c r="N14" s="259" t="n">
        <v>15761</v>
      </c>
      <c r="O14" s="259" t="n">
        <v>5042</v>
      </c>
    </row>
    <row r="15" ht="39" customHeight="1" s="227">
      <c r="A15" s="25" t="inlineStr">
        <is>
          <t>Characteristics of Primary Schools:
-    Cluster - core school</t>
        </is>
      </c>
      <c r="B15" s="261" t="n">
        <v>1263</v>
      </c>
      <c r="C15" s="262" t="n">
        <v>5</v>
      </c>
      <c r="D15" s="261" t="n">
        <v>16678</v>
      </c>
      <c r="E15" s="262" t="n">
        <v>79</v>
      </c>
      <c r="F15" s="261" t="n">
        <v>641435</v>
      </c>
      <c r="G15" s="261" t="n">
        <v>308059</v>
      </c>
      <c r="H15" s="261" t="n">
        <v>35922</v>
      </c>
      <c r="I15" s="261" t="n">
        <v>12388</v>
      </c>
      <c r="J15" s="261" t="n">
        <v>14109</v>
      </c>
      <c r="K15" s="261" t="n">
        <v>8989</v>
      </c>
      <c r="L15" s="261" t="n">
        <v>3911</v>
      </c>
      <c r="M15" s="261" t="n">
        <v>1260</v>
      </c>
      <c r="N15" s="261" t="n">
        <v>18020</v>
      </c>
      <c r="O15" s="261" t="n">
        <v>10249</v>
      </c>
    </row>
    <row r="16" ht="19" customHeight="1" s="227">
      <c r="A16" s="28" t="inlineStr">
        <is>
          <t>-    Cluster - satellite school</t>
        </is>
      </c>
      <c r="B16" s="259" t="n">
        <v>5965</v>
      </c>
      <c r="C16" s="260" t="n">
        <v>50</v>
      </c>
      <c r="D16" s="259" t="n">
        <v>45530</v>
      </c>
      <c r="E16" s="260" t="n">
        <v>271</v>
      </c>
      <c r="F16" s="259" t="n">
        <v>1398822</v>
      </c>
      <c r="G16" s="259" t="n">
        <v>670741</v>
      </c>
      <c r="H16" s="259" t="n">
        <v>90909</v>
      </c>
      <c r="I16" s="259" t="n">
        <v>33564</v>
      </c>
      <c r="J16" s="259" t="n">
        <v>31727</v>
      </c>
      <c r="K16" s="259" t="n">
        <v>17131</v>
      </c>
      <c r="L16" s="259" t="n">
        <v>8064</v>
      </c>
      <c r="M16" s="259" t="n">
        <v>2273</v>
      </c>
      <c r="N16" s="259" t="n">
        <v>39791</v>
      </c>
      <c r="O16" s="259" t="n">
        <v>19404</v>
      </c>
    </row>
    <row r="17" ht="20" customHeight="1" s="227">
      <c r="A17" s="28" t="inlineStr">
        <is>
          <t>-    School not in cluster</t>
        </is>
      </c>
      <c r="B17" s="260" t="n">
        <v>0</v>
      </c>
      <c r="C17" s="260" t="n">
        <v>0</v>
      </c>
      <c r="D17" s="260" t="n">
        <v>0</v>
      </c>
      <c r="E17" s="260" t="n">
        <v>0</v>
      </c>
      <c r="F17" s="260" t="n">
        <v>0</v>
      </c>
      <c r="G17" s="260" t="n">
        <v>0</v>
      </c>
      <c r="H17" s="260" t="n">
        <v>0</v>
      </c>
      <c r="I17" s="260" t="n">
        <v>0</v>
      </c>
      <c r="J17" s="260" t="n">
        <v>0</v>
      </c>
      <c r="K17" s="260" t="n">
        <v>0</v>
      </c>
      <c r="L17" s="260" t="n">
        <v>0</v>
      </c>
      <c r="M17" s="260" t="n">
        <v>0</v>
      </c>
      <c r="N17" s="260" t="n">
        <v>0</v>
      </c>
      <c r="O17" s="260" t="n">
        <v>0</v>
      </c>
    </row>
    <row r="18" ht="19" customHeight="1" s="227">
      <c r="A18" s="28" t="inlineStr">
        <is>
          <t>-    Annex school</t>
        </is>
      </c>
      <c r="B18" s="260" t="n">
        <v>646</v>
      </c>
      <c r="C18" s="260" t="n">
        <v>16</v>
      </c>
      <c r="D18" s="259" t="n">
        <v>4368</v>
      </c>
      <c r="E18" s="260" t="n">
        <v>48</v>
      </c>
      <c r="F18" s="259" t="n">
        <v>125804</v>
      </c>
      <c r="G18" s="259" t="n">
        <v>60270</v>
      </c>
      <c r="H18" s="259" t="n">
        <v>7779</v>
      </c>
      <c r="I18" s="259" t="n">
        <v>2813</v>
      </c>
      <c r="J18" s="259" t="n">
        <v>2967</v>
      </c>
      <c r="K18" s="259" t="n">
        <v>1597</v>
      </c>
      <c r="L18" s="260" t="n">
        <v>727</v>
      </c>
      <c r="M18" s="260" t="n">
        <v>254</v>
      </c>
      <c r="N18" s="259" t="n">
        <v>3694</v>
      </c>
      <c r="O18" s="259" t="n">
        <v>1851</v>
      </c>
    </row>
    <row r="19" ht="20" customHeight="1" s="227">
      <c r="A19" s="28" t="inlineStr">
        <is>
          <t>-    School in Pagoda</t>
        </is>
      </c>
      <c r="B19" s="260" t="n">
        <v>994</v>
      </c>
      <c r="C19" s="260" t="n">
        <v>2</v>
      </c>
      <c r="D19" s="259" t="n">
        <v>8678</v>
      </c>
      <c r="E19" s="260" t="n">
        <v>0</v>
      </c>
      <c r="F19" s="259" t="n">
        <v>293820</v>
      </c>
      <c r="G19" s="259" t="n">
        <v>140116</v>
      </c>
      <c r="H19" s="259" t="n">
        <v>18156</v>
      </c>
      <c r="I19" s="259" t="n">
        <v>6408</v>
      </c>
      <c r="J19" s="259" t="n">
        <v>6728</v>
      </c>
      <c r="K19" s="259" t="n">
        <v>3690</v>
      </c>
      <c r="L19" s="259" t="n">
        <v>1977</v>
      </c>
      <c r="M19" s="260" t="n">
        <v>568</v>
      </c>
      <c r="N19" s="259" t="n">
        <v>8705</v>
      </c>
      <c r="O19" s="259" t="n">
        <v>4258</v>
      </c>
    </row>
    <row r="20" ht="19" customHeight="1" s="227">
      <c r="A20" s="28" t="inlineStr">
        <is>
          <t>Disadvantaged school (All Level)</t>
        </is>
      </c>
      <c r="B20" s="260" t="n">
        <v>248</v>
      </c>
      <c r="C20" s="260" t="n">
        <v>248</v>
      </c>
      <c r="D20" s="260" t="n">
        <v>616</v>
      </c>
      <c r="E20" s="260" t="n">
        <v>0</v>
      </c>
      <c r="F20" s="259" t="n">
        <v>16407</v>
      </c>
      <c r="G20" s="259" t="n">
        <v>8276</v>
      </c>
      <c r="H20" s="260" t="n">
        <v>371</v>
      </c>
      <c r="I20" s="260" t="n">
        <v>151</v>
      </c>
      <c r="J20" s="260" t="n">
        <v>406</v>
      </c>
      <c r="K20" s="260" t="n">
        <v>254</v>
      </c>
      <c r="L20" s="260" t="n">
        <v>33</v>
      </c>
      <c r="M20" s="260" t="n">
        <v>11</v>
      </c>
      <c r="N20" s="260" t="n">
        <v>439</v>
      </c>
      <c r="O20" s="260" t="n">
        <v>265</v>
      </c>
    </row>
  </sheetData>
  <mergeCells count="8">
    <mergeCell ref="F3:G3"/>
    <mergeCell ref="L3:M3"/>
    <mergeCell ref="J3:K3"/>
    <mergeCell ref="N3:O3"/>
    <mergeCell ref="A2:O2"/>
    <mergeCell ref="A3:A4"/>
    <mergeCell ref="A1:O1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O31"/>
  <sheetViews>
    <sheetView tabSelected="1" workbookViewId="0">
      <selection activeCell="A1" sqref="A1"/>
    </sheetView>
  </sheetViews>
  <sheetFormatPr baseColWidth="8" defaultRowHeight="15"/>
  <cols>
    <col width="24.444444" customWidth="1" style="227" min="1" max="1"/>
    <col width="10.444444" customWidth="1" style="227" min="2" max="2"/>
    <col width="10.222222" customWidth="1" style="227" min="3" max="3"/>
    <col width="10.222222" customWidth="1" style="227" min="4" max="4"/>
    <col width="10.444444" customWidth="1" style="227" min="5" max="5"/>
    <col width="12.222222" customWidth="1" style="227" min="6" max="6"/>
    <col width="12" customWidth="1" style="227" min="7" max="7"/>
    <col width="9.555555999999999" customWidth="1" style="227" min="8" max="8"/>
    <col width="8.444444000000001" customWidth="1" style="227" min="9" max="9"/>
    <col width="9.333333" customWidth="1" style="227" min="10" max="10"/>
    <col width="9.555555999999999" customWidth="1" style="227" min="11" max="11"/>
    <col width="9.555555999999999" customWidth="1" style="227" min="12" max="12"/>
    <col width="9.555555999999999" customWidth="1" style="227" min="13" max="13"/>
    <col width="9.555555999999999" customWidth="1" style="227" min="14" max="14"/>
    <col width="9.333333" customWidth="1" style="227" min="15" max="15"/>
  </cols>
  <sheetData>
    <row r="1" ht="31" customHeight="1" s="227">
      <c r="A1" s="2" t="inlineStr">
        <is>
          <t>Table 2: Schools, Classes, Students and Staff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</row>
    <row r="2" ht="19" customHeight="1" s="227">
      <c r="A2" s="3" t="inlineStr">
        <is>
          <t>Province</t>
        </is>
      </c>
      <c r="B2" s="6" t="inlineStr">
        <is>
          <t>Number of</t>
        </is>
      </c>
      <c r="C2" s="7" t="inlineStr">
        <is>
          <t>Disadv.</t>
        </is>
      </c>
      <c r="D2" s="6" t="inlineStr">
        <is>
          <t>Number of</t>
        </is>
      </c>
      <c r="E2" s="7" t="inlineStr">
        <is>
          <t>Classes</t>
        </is>
      </c>
      <c r="F2" s="29" t="inlineStr">
        <is>
          <t>Enrollment</t>
        </is>
      </c>
      <c r="G2" s="257" t="n"/>
      <c r="H2" s="8" t="inlineStr">
        <is>
          <t>Repeaters</t>
        </is>
      </c>
      <c r="I2" s="257" t="n"/>
      <c r="J2" s="11" t="inlineStr">
        <is>
          <t>Teaching Staff</t>
        </is>
      </c>
      <c r="K2" s="257" t="n"/>
      <c r="L2" s="14" t="inlineStr">
        <is>
          <t>Non-Teaching Staff</t>
        </is>
      </c>
      <c r="M2" s="257" t="n"/>
      <c r="N2" s="8" t="inlineStr">
        <is>
          <t>Total Staff</t>
        </is>
      </c>
      <c r="O2" s="257" t="n"/>
    </row>
    <row r="3" ht="18" customHeight="1" s="227">
      <c r="A3" s="258" t="n"/>
      <c r="B3" s="18" t="inlineStr">
        <is>
          <t>Schools</t>
        </is>
      </c>
      <c r="C3" s="18" t="inlineStr">
        <is>
          <t>Schools</t>
        </is>
      </c>
      <c r="D3" s="18" t="inlineStr">
        <is>
          <t>Classes</t>
        </is>
      </c>
      <c r="E3" s="18" t="inlineStr">
        <is>
          <t>in Pagoda</t>
        </is>
      </c>
      <c r="F3" s="20" t="inlineStr">
        <is>
          <t>Total</t>
        </is>
      </c>
      <c r="G3" s="20" t="inlineStr">
        <is>
          <t>Girl</t>
        </is>
      </c>
      <c r="H3" s="14" t="inlineStr">
        <is>
          <t>Total</t>
        </is>
      </c>
      <c r="I3" s="14" t="inlineStr">
        <is>
          <t>Girl</t>
        </is>
      </c>
      <c r="J3" s="14" t="inlineStr">
        <is>
          <t>Total</t>
        </is>
      </c>
      <c r="K3" s="21" t="inlineStr">
        <is>
          <t>Female</t>
        </is>
      </c>
      <c r="L3" s="14" t="inlineStr">
        <is>
          <t>Total</t>
        </is>
      </c>
      <c r="M3" s="21" t="inlineStr">
        <is>
          <t>Female</t>
        </is>
      </c>
      <c r="N3" s="14" t="inlineStr">
        <is>
          <t>Total</t>
        </is>
      </c>
      <c r="O3" s="21" t="inlineStr">
        <is>
          <t>Female</t>
        </is>
      </c>
    </row>
    <row r="4" ht="14" customHeight="1" s="227">
      <c r="A4" s="28" t="inlineStr">
        <is>
          <t>Banteay Meanchey</t>
        </is>
      </c>
      <c r="B4" s="263" t="n">
        <v>818</v>
      </c>
      <c r="C4" s="263" t="n">
        <v>15</v>
      </c>
      <c r="D4" s="264" t="n">
        <v>4598</v>
      </c>
      <c r="E4" s="263" t="n">
        <v>11</v>
      </c>
      <c r="F4" s="264" t="n">
        <v>152590</v>
      </c>
      <c r="G4" s="264" t="n">
        <v>76099</v>
      </c>
      <c r="H4" s="264" t="n">
        <v>4051</v>
      </c>
      <c r="I4" s="264" t="n">
        <v>1371</v>
      </c>
      <c r="J4" s="264" t="n">
        <v>4782</v>
      </c>
      <c r="K4" s="264" t="n">
        <v>2440</v>
      </c>
      <c r="L4" s="263" t="n">
        <v>888</v>
      </c>
      <c r="M4" s="263" t="n">
        <v>210</v>
      </c>
      <c r="N4" s="264" t="n">
        <v>5670</v>
      </c>
      <c r="O4" s="264" t="n">
        <v>2650</v>
      </c>
    </row>
    <row r="5" ht="14" customHeight="1" s="227">
      <c r="A5" s="28" t="inlineStr">
        <is>
          <t>Battambang</t>
        </is>
      </c>
      <c r="B5" s="264" t="n">
        <v>1133</v>
      </c>
      <c r="C5" s="263" t="n">
        <v>17</v>
      </c>
      <c r="D5" s="264" t="n">
        <v>7494</v>
      </c>
      <c r="E5" s="263" t="n">
        <v>17</v>
      </c>
      <c r="F5" s="264" t="n">
        <v>253481</v>
      </c>
      <c r="G5" s="264" t="n">
        <v>125579</v>
      </c>
      <c r="H5" s="264" t="n">
        <v>12244</v>
      </c>
      <c r="I5" s="264" t="n">
        <v>4362</v>
      </c>
      <c r="J5" s="264" t="n">
        <v>6946</v>
      </c>
      <c r="K5" s="264" t="n">
        <v>4165</v>
      </c>
      <c r="L5" s="264" t="n">
        <v>1811</v>
      </c>
      <c r="M5" s="263" t="n">
        <v>672</v>
      </c>
      <c r="N5" s="264" t="n">
        <v>8757</v>
      </c>
      <c r="O5" s="264" t="n">
        <v>4837</v>
      </c>
    </row>
    <row r="6" ht="15" customHeight="1" s="227">
      <c r="A6" s="28" t="inlineStr">
        <is>
          <t>Kampong Cham</t>
        </is>
      </c>
      <c r="B6" s="263" t="n">
        <v>804</v>
      </c>
      <c r="C6" s="263" t="n">
        <v>27</v>
      </c>
      <c r="D6" s="264" t="n">
        <v>5846</v>
      </c>
      <c r="E6" s="263" t="n">
        <v>111</v>
      </c>
      <c r="F6" s="264" t="n">
        <v>221707</v>
      </c>
      <c r="G6" s="264" t="n">
        <v>110363</v>
      </c>
      <c r="H6" s="264" t="n">
        <v>14544</v>
      </c>
      <c r="I6" s="264" t="n">
        <v>5235</v>
      </c>
      <c r="J6" s="264" t="n">
        <v>5835</v>
      </c>
      <c r="K6" s="264" t="n">
        <v>3390</v>
      </c>
      <c r="L6" s="264" t="n">
        <v>1695</v>
      </c>
      <c r="M6" s="263" t="n">
        <v>659</v>
      </c>
      <c r="N6" s="264" t="n">
        <v>7530</v>
      </c>
      <c r="O6" s="264" t="n">
        <v>4049</v>
      </c>
    </row>
    <row r="7" ht="14" customHeight="1" s="227">
      <c r="A7" s="28" t="inlineStr">
        <is>
          <t>Kampong Chhnang</t>
        </is>
      </c>
      <c r="B7" s="263" t="n">
        <v>466</v>
      </c>
      <c r="C7" s="263" t="n">
        <v>0</v>
      </c>
      <c r="D7" s="264" t="n">
        <v>3220</v>
      </c>
      <c r="E7" s="263" t="n">
        <v>7</v>
      </c>
      <c r="F7" s="264" t="n">
        <v>118144</v>
      </c>
      <c r="G7" s="264" t="n">
        <v>59641</v>
      </c>
      <c r="H7" s="264" t="n">
        <v>5080</v>
      </c>
      <c r="I7" s="264" t="n">
        <v>1676</v>
      </c>
      <c r="J7" s="264" t="n">
        <v>3498</v>
      </c>
      <c r="K7" s="264" t="n">
        <v>1682</v>
      </c>
      <c r="L7" s="263" t="n">
        <v>700</v>
      </c>
      <c r="M7" s="263" t="n">
        <v>188</v>
      </c>
      <c r="N7" s="264" t="n">
        <v>4198</v>
      </c>
      <c r="O7" s="264" t="n">
        <v>1870</v>
      </c>
    </row>
    <row r="8" ht="14" customHeight="1" s="227">
      <c r="A8" s="28" t="inlineStr">
        <is>
          <t>Kampong Speu</t>
        </is>
      </c>
      <c r="B8" s="263" t="n">
        <v>603</v>
      </c>
      <c r="C8" s="263" t="n">
        <v>2</v>
      </c>
      <c r="D8" s="264" t="n">
        <v>4162</v>
      </c>
      <c r="E8" s="263" t="n">
        <v>11</v>
      </c>
      <c r="F8" s="264" t="n">
        <v>170222</v>
      </c>
      <c r="G8" s="264" t="n">
        <v>83971</v>
      </c>
      <c r="H8" s="264" t="n">
        <v>5931</v>
      </c>
      <c r="I8" s="264" t="n">
        <v>2157</v>
      </c>
      <c r="J8" s="264" t="n">
        <v>4471</v>
      </c>
      <c r="K8" s="264" t="n">
        <v>1957</v>
      </c>
      <c r="L8" s="263" t="n">
        <v>742</v>
      </c>
      <c r="M8" s="263" t="n">
        <v>129</v>
      </c>
      <c r="N8" s="264" t="n">
        <v>5213</v>
      </c>
      <c r="O8" s="264" t="n">
        <v>2086</v>
      </c>
    </row>
    <row r="9" ht="14" customHeight="1" s="227">
      <c r="A9" s="28" t="inlineStr">
        <is>
          <t>Kampong Thom</t>
        </is>
      </c>
      <c r="B9" s="263" t="n">
        <v>782</v>
      </c>
      <c r="C9" s="263" t="n">
        <v>6</v>
      </c>
      <c r="D9" s="264" t="n">
        <v>4593</v>
      </c>
      <c r="E9" s="263" t="n">
        <v>20</v>
      </c>
      <c r="F9" s="264" t="n">
        <v>156111</v>
      </c>
      <c r="G9" s="264" t="n">
        <v>79001</v>
      </c>
      <c r="H9" s="264" t="n">
        <v>8302</v>
      </c>
      <c r="I9" s="264" t="n">
        <v>3087</v>
      </c>
      <c r="J9" s="264" t="n">
        <v>4435</v>
      </c>
      <c r="K9" s="264" t="n">
        <v>2429</v>
      </c>
      <c r="L9" s="263" t="n">
        <v>731</v>
      </c>
      <c r="M9" s="263" t="n">
        <v>179</v>
      </c>
      <c r="N9" s="264" t="n">
        <v>5166</v>
      </c>
      <c r="O9" s="264" t="n">
        <v>2608</v>
      </c>
    </row>
    <row r="10" ht="14" customHeight="1" s="227">
      <c r="A10" s="28" t="inlineStr">
        <is>
          <t>Kampot</t>
        </is>
      </c>
      <c r="B10" s="263" t="n">
        <v>608</v>
      </c>
      <c r="C10" s="263" t="n">
        <v>4</v>
      </c>
      <c r="D10" s="264" t="n">
        <v>3699</v>
      </c>
      <c r="E10" s="263" t="n">
        <v>0</v>
      </c>
      <c r="F10" s="264" t="n">
        <v>129794</v>
      </c>
      <c r="G10" s="264" t="n">
        <v>63442</v>
      </c>
      <c r="H10" s="264" t="n">
        <v>4229</v>
      </c>
      <c r="I10" s="264" t="n">
        <v>1366</v>
      </c>
      <c r="J10" s="264" t="n">
        <v>4747</v>
      </c>
      <c r="K10" s="264" t="n">
        <v>2325</v>
      </c>
      <c r="L10" s="263" t="n">
        <v>938</v>
      </c>
      <c r="M10" s="263" t="n">
        <v>189</v>
      </c>
      <c r="N10" s="264" t="n">
        <v>5685</v>
      </c>
      <c r="O10" s="264" t="n">
        <v>2514</v>
      </c>
    </row>
    <row r="11" ht="14" customHeight="1" s="227">
      <c r="A11" s="28" t="inlineStr">
        <is>
          <t>Kandal</t>
        </is>
      </c>
      <c r="B11" s="263" t="n">
        <v>748</v>
      </c>
      <c r="C11" s="263" t="n">
        <v>7</v>
      </c>
      <c r="D11" s="264" t="n">
        <v>6547</v>
      </c>
      <c r="E11" s="263" t="n">
        <v>24</v>
      </c>
      <c r="F11" s="264" t="n">
        <v>251350</v>
      </c>
      <c r="G11" s="264" t="n">
        <v>123416</v>
      </c>
      <c r="H11" s="264" t="n">
        <v>14523</v>
      </c>
      <c r="I11" s="264" t="n">
        <v>5120</v>
      </c>
      <c r="J11" s="264" t="n">
        <v>7246</v>
      </c>
      <c r="K11" s="264" t="n">
        <v>4002</v>
      </c>
      <c r="L11" s="264" t="n">
        <v>1482</v>
      </c>
      <c r="M11" s="263" t="n">
        <v>412</v>
      </c>
      <c r="N11" s="264" t="n">
        <v>8728</v>
      </c>
      <c r="O11" s="264" t="n">
        <v>4414</v>
      </c>
    </row>
    <row r="12" ht="14" customHeight="1" s="227">
      <c r="A12" s="28" t="inlineStr">
        <is>
          <t>Kep</t>
        </is>
      </c>
      <c r="B12" s="263" t="n">
        <v>50</v>
      </c>
      <c r="C12" s="263" t="n">
        <v>0</v>
      </c>
      <c r="D12" s="263" t="n">
        <v>272</v>
      </c>
      <c r="E12" s="263" t="n">
        <v>7</v>
      </c>
      <c r="F12" s="264" t="n">
        <v>8689</v>
      </c>
      <c r="G12" s="264" t="n">
        <v>4340</v>
      </c>
      <c r="H12" s="263" t="n">
        <v>324</v>
      </c>
      <c r="I12" s="263" t="n">
        <v>120</v>
      </c>
      <c r="J12" s="263" t="n">
        <v>455</v>
      </c>
      <c r="K12" s="263" t="n">
        <v>239</v>
      </c>
      <c r="L12" s="263" t="n">
        <v>92</v>
      </c>
      <c r="M12" s="263" t="n">
        <v>15</v>
      </c>
      <c r="N12" s="263" t="n">
        <v>547</v>
      </c>
      <c r="O12" s="263" t="n">
        <v>254</v>
      </c>
    </row>
    <row r="13" ht="14" customHeight="1" s="227">
      <c r="A13" s="28" t="inlineStr">
        <is>
          <t>Koh Kong</t>
        </is>
      </c>
      <c r="B13" s="263" t="n">
        <v>218</v>
      </c>
      <c r="C13" s="263" t="n">
        <v>17</v>
      </c>
      <c r="D13" s="264" t="n">
        <v>1113</v>
      </c>
      <c r="E13" s="263" t="n">
        <v>0</v>
      </c>
      <c r="F13" s="264" t="n">
        <v>26513</v>
      </c>
      <c r="G13" s="264" t="n">
        <v>12817</v>
      </c>
      <c r="H13" s="263" t="n">
        <v>737</v>
      </c>
      <c r="I13" s="263" t="n">
        <v>274</v>
      </c>
      <c r="J13" s="264" t="n">
        <v>1074</v>
      </c>
      <c r="K13" s="263" t="n">
        <v>484</v>
      </c>
      <c r="L13" s="263" t="n">
        <v>164</v>
      </c>
      <c r="M13" s="263" t="n">
        <v>45</v>
      </c>
      <c r="N13" s="264" t="n">
        <v>1238</v>
      </c>
      <c r="O13" s="263" t="n">
        <v>529</v>
      </c>
    </row>
    <row r="14" ht="14" customHeight="1" s="227">
      <c r="A14" s="28" t="inlineStr">
        <is>
          <t>Kratie</t>
        </is>
      </c>
      <c r="B14" s="263" t="n">
        <v>418</v>
      </c>
      <c r="C14" s="263" t="n">
        <v>14</v>
      </c>
      <c r="D14" s="264" t="n">
        <v>2736</v>
      </c>
      <c r="E14" s="263" t="n">
        <v>70</v>
      </c>
      <c r="F14" s="264" t="n">
        <v>86175</v>
      </c>
      <c r="G14" s="264" t="n">
        <v>42715</v>
      </c>
      <c r="H14" s="264" t="n">
        <v>5378</v>
      </c>
      <c r="I14" s="264" t="n">
        <v>2021</v>
      </c>
      <c r="J14" s="264" t="n">
        <v>2550</v>
      </c>
      <c r="K14" s="264" t="n">
        <v>1585</v>
      </c>
      <c r="L14" s="263" t="n">
        <v>367</v>
      </c>
      <c r="M14" s="263" t="n">
        <v>122</v>
      </c>
      <c r="N14" s="264" t="n">
        <v>2917</v>
      </c>
      <c r="O14" s="264" t="n">
        <v>1707</v>
      </c>
    </row>
    <row r="15" ht="14" customHeight="1" s="227">
      <c r="A15" s="28" t="inlineStr">
        <is>
          <t>Mondul Kiri</t>
        </is>
      </c>
      <c r="B15" s="263" t="n">
        <v>126</v>
      </c>
      <c r="C15" s="263" t="n">
        <v>4</v>
      </c>
      <c r="D15" s="263" t="n">
        <v>783</v>
      </c>
      <c r="E15" s="263" t="n">
        <v>2</v>
      </c>
      <c r="F15" s="264" t="n">
        <v>20253</v>
      </c>
      <c r="G15" s="264" t="n">
        <v>10194</v>
      </c>
      <c r="H15" s="263" t="n">
        <v>784</v>
      </c>
      <c r="I15" s="263" t="n">
        <v>293</v>
      </c>
      <c r="J15" s="263" t="n">
        <v>812</v>
      </c>
      <c r="K15" s="263" t="n">
        <v>380</v>
      </c>
      <c r="L15" s="263" t="n">
        <v>46</v>
      </c>
      <c r="M15" s="263" t="n">
        <v>9</v>
      </c>
      <c r="N15" s="263" t="n">
        <v>858</v>
      </c>
      <c r="O15" s="263" t="n">
        <v>389</v>
      </c>
    </row>
    <row r="16" ht="14" customHeight="1" s="227">
      <c r="A16" s="28" t="inlineStr">
        <is>
          <t>Otdar Meanchey</t>
        </is>
      </c>
      <c r="B16" s="263" t="n">
        <v>358</v>
      </c>
      <c r="C16" s="263" t="n">
        <v>0</v>
      </c>
      <c r="D16" s="264" t="n">
        <v>1934</v>
      </c>
      <c r="E16" s="263" t="n">
        <v>15</v>
      </c>
      <c r="F16" s="264" t="n">
        <v>54721</v>
      </c>
      <c r="G16" s="264" t="n">
        <v>26651</v>
      </c>
      <c r="H16" s="264" t="n">
        <v>3337</v>
      </c>
      <c r="I16" s="264" t="n">
        <v>1192</v>
      </c>
      <c r="J16" s="264" t="n">
        <v>1525</v>
      </c>
      <c r="K16" s="263" t="n">
        <v>679</v>
      </c>
      <c r="L16" s="263" t="n">
        <v>302</v>
      </c>
      <c r="M16" s="263" t="n">
        <v>65</v>
      </c>
      <c r="N16" s="264" t="n">
        <v>1827</v>
      </c>
      <c r="O16" s="263" t="n">
        <v>744</v>
      </c>
    </row>
    <row r="17" ht="14" customHeight="1" s="227">
      <c r="A17" s="28" t="inlineStr">
        <is>
          <t>Pailin</t>
        </is>
      </c>
      <c r="B17" s="263" t="n">
        <v>82</v>
      </c>
      <c r="C17" s="263" t="n">
        <v>0</v>
      </c>
      <c r="D17" s="263" t="n">
        <v>501</v>
      </c>
      <c r="E17" s="263" t="n">
        <v>0</v>
      </c>
      <c r="F17" s="264" t="n">
        <v>16097</v>
      </c>
      <c r="G17" s="264" t="n">
        <v>7978</v>
      </c>
      <c r="H17" s="263" t="n">
        <v>831</v>
      </c>
      <c r="I17" s="263" t="n">
        <v>260</v>
      </c>
      <c r="J17" s="263" t="n">
        <v>625</v>
      </c>
      <c r="K17" s="263" t="n">
        <v>315</v>
      </c>
      <c r="L17" s="263" t="n">
        <v>76</v>
      </c>
      <c r="M17" s="263" t="n">
        <v>22</v>
      </c>
      <c r="N17" s="263" t="n">
        <v>701</v>
      </c>
      <c r="O17" s="263" t="n">
        <v>337</v>
      </c>
    </row>
    <row r="18" ht="14" customHeight="1" s="227">
      <c r="A18" s="28" t="inlineStr">
        <is>
          <t>Phnom Penh</t>
        </is>
      </c>
      <c r="B18" s="263" t="n">
        <v>376</v>
      </c>
      <c r="C18" s="263" t="n">
        <v>1</v>
      </c>
      <c r="D18" s="264" t="n">
        <v>5609</v>
      </c>
      <c r="E18" s="263" t="n">
        <v>18</v>
      </c>
      <c r="F18" s="264" t="n">
        <v>236464</v>
      </c>
      <c r="G18" s="264" t="n">
        <v>114772</v>
      </c>
      <c r="H18" s="264" t="n">
        <v>6597</v>
      </c>
      <c r="I18" s="264" t="n">
        <v>2159</v>
      </c>
      <c r="J18" s="264" t="n">
        <v>9841</v>
      </c>
      <c r="K18" s="264" t="n">
        <v>5742</v>
      </c>
      <c r="L18" s="264" t="n">
        <v>1042</v>
      </c>
      <c r="M18" s="263" t="n">
        <v>407</v>
      </c>
      <c r="N18" s="264" t="n">
        <v>10883</v>
      </c>
      <c r="O18" s="264" t="n">
        <v>6149</v>
      </c>
    </row>
    <row r="19" ht="14" customHeight="1" s="227">
      <c r="A19" s="28" t="inlineStr">
        <is>
          <t>Preah Sihanouk</t>
        </is>
      </c>
      <c r="B19" s="263" t="n">
        <v>156</v>
      </c>
      <c r="C19" s="263" t="n">
        <v>15</v>
      </c>
      <c r="D19" s="264" t="n">
        <v>1187</v>
      </c>
      <c r="E19" s="263" t="n">
        <v>0</v>
      </c>
      <c r="F19" s="264" t="n">
        <v>41484</v>
      </c>
      <c r="G19" s="264" t="n">
        <v>20519</v>
      </c>
      <c r="H19" s="264" t="n">
        <v>1169</v>
      </c>
      <c r="I19" s="263" t="n">
        <v>388</v>
      </c>
      <c r="J19" s="264" t="n">
        <v>1598</v>
      </c>
      <c r="K19" s="263" t="n">
        <v>775</v>
      </c>
      <c r="L19" s="263" t="n">
        <v>239</v>
      </c>
      <c r="M19" s="263" t="n">
        <v>74</v>
      </c>
      <c r="N19" s="264" t="n">
        <v>1837</v>
      </c>
      <c r="O19" s="263" t="n">
        <v>849</v>
      </c>
    </row>
    <row r="20" ht="14" customHeight="1" s="227">
      <c r="A20" s="28" t="inlineStr">
        <is>
          <t>Preah Vihear</t>
        </is>
      </c>
      <c r="B20" s="263" t="n">
        <v>401</v>
      </c>
      <c r="C20" s="263" t="n">
        <v>16</v>
      </c>
      <c r="D20" s="264" t="n">
        <v>2038</v>
      </c>
      <c r="E20" s="263" t="n">
        <v>1</v>
      </c>
      <c r="F20" s="264" t="n">
        <v>55386</v>
      </c>
      <c r="G20" s="264" t="n">
        <v>27860</v>
      </c>
      <c r="H20" s="264" t="n">
        <v>3251</v>
      </c>
      <c r="I20" s="264" t="n">
        <v>1309</v>
      </c>
      <c r="J20" s="264" t="n">
        <v>1999</v>
      </c>
      <c r="K20" s="264" t="n">
        <v>1002</v>
      </c>
      <c r="L20" s="263" t="n">
        <v>266</v>
      </c>
      <c r="M20" s="263" t="n">
        <v>72</v>
      </c>
      <c r="N20" s="264" t="n">
        <v>2265</v>
      </c>
      <c r="O20" s="264" t="n">
        <v>1074</v>
      </c>
    </row>
    <row r="21" ht="14" customHeight="1" s="227">
      <c r="A21" s="28" t="inlineStr">
        <is>
          <t>Prey Veng</t>
        </is>
      </c>
      <c r="B21" s="264" t="n">
        <v>1035</v>
      </c>
      <c r="C21" s="263" t="n">
        <v>20</v>
      </c>
      <c r="D21" s="264" t="n">
        <v>6615</v>
      </c>
      <c r="E21" s="263" t="n">
        <v>29</v>
      </c>
      <c r="F21" s="264" t="n">
        <v>234696</v>
      </c>
      <c r="G21" s="264" t="n">
        <v>114530</v>
      </c>
      <c r="H21" s="264" t="n">
        <v>10825</v>
      </c>
      <c r="I21" s="264" t="n">
        <v>3840</v>
      </c>
      <c r="J21" s="264" t="n">
        <v>5736</v>
      </c>
      <c r="K21" s="264" t="n">
        <v>2709</v>
      </c>
      <c r="L21" s="264" t="n">
        <v>1800</v>
      </c>
      <c r="M21" s="263" t="n">
        <v>455</v>
      </c>
      <c r="N21" s="264" t="n">
        <v>7536</v>
      </c>
      <c r="O21" s="264" t="n">
        <v>3164</v>
      </c>
    </row>
    <row r="22" ht="14" customHeight="1" s="227">
      <c r="A22" s="28" t="inlineStr">
        <is>
          <t>Pursat</t>
        </is>
      </c>
      <c r="B22" s="263" t="n">
        <v>537</v>
      </c>
      <c r="C22" s="263" t="n">
        <v>4</v>
      </c>
      <c r="D22" s="264" t="n">
        <v>3207</v>
      </c>
      <c r="E22" s="263" t="n">
        <v>0</v>
      </c>
      <c r="F22" s="264" t="n">
        <v>104684</v>
      </c>
      <c r="G22" s="264" t="n">
        <v>52250</v>
      </c>
      <c r="H22" s="264" t="n">
        <v>5820</v>
      </c>
      <c r="I22" s="264" t="n">
        <v>2237</v>
      </c>
      <c r="J22" s="264" t="n">
        <v>3156</v>
      </c>
      <c r="K22" s="264" t="n">
        <v>1520</v>
      </c>
      <c r="L22" s="263" t="n">
        <v>610</v>
      </c>
      <c r="M22" s="263" t="n">
        <v>161</v>
      </c>
      <c r="N22" s="264" t="n">
        <v>3766</v>
      </c>
      <c r="O22" s="264" t="n">
        <v>1681</v>
      </c>
    </row>
    <row r="23" ht="14" customHeight="1" s="227">
      <c r="A23" s="28" t="inlineStr">
        <is>
          <t>Ratanak Kiri</t>
        </is>
      </c>
      <c r="B23" s="263" t="n">
        <v>303</v>
      </c>
      <c r="C23" s="263" t="n">
        <v>5</v>
      </c>
      <c r="D23" s="264" t="n">
        <v>1703</v>
      </c>
      <c r="E23" s="263" t="n">
        <v>0</v>
      </c>
      <c r="F23" s="264" t="n">
        <v>54148</v>
      </c>
      <c r="G23" s="264" t="n">
        <v>26126</v>
      </c>
      <c r="H23" s="264" t="n">
        <v>1862</v>
      </c>
      <c r="I23" s="263" t="n">
        <v>760</v>
      </c>
      <c r="J23" s="264" t="n">
        <v>1275</v>
      </c>
      <c r="K23" s="263" t="n">
        <v>590</v>
      </c>
      <c r="L23" s="263" t="n">
        <v>123</v>
      </c>
      <c r="M23" s="263" t="n">
        <v>30</v>
      </c>
      <c r="N23" s="264" t="n">
        <v>1398</v>
      </c>
      <c r="O23" s="263" t="n">
        <v>620</v>
      </c>
    </row>
    <row r="24" ht="14" customHeight="1" s="227">
      <c r="A24" s="28" t="inlineStr">
        <is>
          <t>Siemreap</t>
        </is>
      </c>
      <c r="B24" s="264" t="n">
        <v>1067</v>
      </c>
      <c r="C24" s="263" t="n">
        <v>49</v>
      </c>
      <c r="D24" s="264" t="n">
        <v>6918</v>
      </c>
      <c r="E24" s="263" t="n">
        <v>87</v>
      </c>
      <c r="F24" s="264" t="n">
        <v>265926</v>
      </c>
      <c r="G24" s="264" t="n">
        <v>133764</v>
      </c>
      <c r="H24" s="264" t="n">
        <v>14357</v>
      </c>
      <c r="I24" s="264" t="n">
        <v>5036</v>
      </c>
      <c r="J24" s="264" t="n">
        <v>5950</v>
      </c>
      <c r="K24" s="264" t="n">
        <v>3699</v>
      </c>
      <c r="L24" s="264" t="n">
        <v>1446</v>
      </c>
      <c r="M24" s="263" t="n">
        <v>536</v>
      </c>
      <c r="N24" s="264" t="n">
        <v>7396</v>
      </c>
      <c r="O24" s="264" t="n">
        <v>4235</v>
      </c>
    </row>
    <row r="25" ht="14" customHeight="1" s="227">
      <c r="A25" s="28" t="inlineStr">
        <is>
          <t>Stung Treng</t>
        </is>
      </c>
      <c r="B25" s="263" t="n">
        <v>218</v>
      </c>
      <c r="C25" s="263" t="n">
        <v>4</v>
      </c>
      <c r="D25" s="264" t="n">
        <v>1359</v>
      </c>
      <c r="E25" s="263" t="n">
        <v>1</v>
      </c>
      <c r="F25" s="264" t="n">
        <v>33974</v>
      </c>
      <c r="G25" s="264" t="n">
        <v>16838</v>
      </c>
      <c r="H25" s="264" t="n">
        <v>2764</v>
      </c>
      <c r="I25" s="264" t="n">
        <v>1198</v>
      </c>
      <c r="J25" s="264" t="n">
        <v>1217</v>
      </c>
      <c r="K25" s="263" t="n">
        <v>657</v>
      </c>
      <c r="L25" s="263" t="n">
        <v>169</v>
      </c>
      <c r="M25" s="263" t="n">
        <v>58</v>
      </c>
      <c r="N25" s="264" t="n">
        <v>1386</v>
      </c>
      <c r="O25" s="263" t="n">
        <v>715</v>
      </c>
    </row>
    <row r="26" ht="14" customHeight="1" s="227">
      <c r="A26" s="28" t="inlineStr">
        <is>
          <t>Svay Rieng</t>
        </is>
      </c>
      <c r="B26" s="263" t="n">
        <v>508</v>
      </c>
      <c r="C26" s="263" t="n">
        <v>0</v>
      </c>
      <c r="D26" s="264" t="n">
        <v>3344</v>
      </c>
      <c r="E26" s="263" t="n">
        <v>7</v>
      </c>
      <c r="F26" s="264" t="n">
        <v>118078</v>
      </c>
      <c r="G26" s="264" t="n">
        <v>58287</v>
      </c>
      <c r="H26" s="264" t="n">
        <v>3708</v>
      </c>
      <c r="I26" s="264" t="n">
        <v>1253</v>
      </c>
      <c r="J26" s="264" t="n">
        <v>3688</v>
      </c>
      <c r="K26" s="264" t="n">
        <v>1394</v>
      </c>
      <c r="L26" s="263" t="n">
        <v>929</v>
      </c>
      <c r="M26" s="263" t="n">
        <v>208</v>
      </c>
      <c r="N26" s="264" t="n">
        <v>4617</v>
      </c>
      <c r="O26" s="264" t="n">
        <v>1602</v>
      </c>
    </row>
    <row r="27" ht="14" customHeight="1" s="227">
      <c r="A27" s="28" t="inlineStr">
        <is>
          <t>Takeo</t>
        </is>
      </c>
      <c r="B27" s="263" t="n">
        <v>782</v>
      </c>
      <c r="C27" s="263" t="n">
        <v>3</v>
      </c>
      <c r="D27" s="264" t="n">
        <v>5777</v>
      </c>
      <c r="E27" s="263" t="n">
        <v>82</v>
      </c>
      <c r="F27" s="264" t="n">
        <v>206362</v>
      </c>
      <c r="G27" s="264" t="n">
        <v>100713</v>
      </c>
      <c r="H27" s="264" t="n">
        <v>9407</v>
      </c>
      <c r="I27" s="264" t="n">
        <v>3205</v>
      </c>
      <c r="J27" s="264" t="n">
        <v>6485</v>
      </c>
      <c r="K27" s="264" t="n">
        <v>2627</v>
      </c>
      <c r="L27" s="264" t="n">
        <v>1696</v>
      </c>
      <c r="M27" s="263" t="n">
        <v>391</v>
      </c>
      <c r="N27" s="264" t="n">
        <v>8181</v>
      </c>
      <c r="O27" s="264" t="n">
        <v>3018</v>
      </c>
    </row>
    <row r="28" ht="14" customHeight="1" s="227">
      <c r="A28" s="28" t="inlineStr">
        <is>
          <t>Tbaung Khmum</t>
        </is>
      </c>
      <c r="B28" s="263" t="n">
        <v>703</v>
      </c>
      <c r="C28" s="263" t="n">
        <v>18</v>
      </c>
      <c r="D28" s="264" t="n">
        <v>4642</v>
      </c>
      <c r="E28" s="263" t="n">
        <v>32</v>
      </c>
      <c r="F28" s="264" t="n">
        <v>172123</v>
      </c>
      <c r="G28" s="264" t="n">
        <v>85405</v>
      </c>
      <c r="H28" s="264" t="n">
        <v>7966</v>
      </c>
      <c r="I28" s="264" t="n">
        <v>3018</v>
      </c>
      <c r="J28" s="264" t="n">
        <v>3757</v>
      </c>
      <c r="K28" s="264" t="n">
        <v>2023</v>
      </c>
      <c r="L28" s="263" t="n">
        <v>712</v>
      </c>
      <c r="M28" s="263" t="n">
        <v>223</v>
      </c>
      <c r="N28" s="264" t="n">
        <v>4469</v>
      </c>
      <c r="O28" s="264" t="n">
        <v>2246</v>
      </c>
    </row>
    <row r="29" ht="17" customHeight="1" s="227">
      <c r="A29" s="22" t="inlineStr">
        <is>
          <t>Whole Kingdom</t>
        </is>
      </c>
      <c r="B29" s="264" t="n">
        <v>13300</v>
      </c>
      <c r="C29" s="263" t="n">
        <v>248</v>
      </c>
      <c r="D29" s="264" t="n">
        <v>89897</v>
      </c>
      <c r="E29" s="263" t="n">
        <v>552</v>
      </c>
      <c r="F29" s="264" t="n">
        <v>3189172</v>
      </c>
      <c r="G29" s="264" t="n">
        <v>1577271</v>
      </c>
      <c r="H29" s="264" t="n">
        <v>148021</v>
      </c>
      <c r="I29" s="264" t="n">
        <v>52937</v>
      </c>
      <c r="J29" s="264" t="n">
        <v>93703</v>
      </c>
      <c r="K29" s="264" t="n">
        <v>48810</v>
      </c>
      <c r="L29" s="264" t="n">
        <v>19066</v>
      </c>
      <c r="M29" s="264" t="n">
        <v>5531</v>
      </c>
      <c r="N29" s="264" t="n">
        <v>112769</v>
      </c>
      <c r="O29" s="264" t="n">
        <v>54341</v>
      </c>
    </row>
    <row r="30" ht="14" customHeight="1" s="227">
      <c r="A30" s="28" t="inlineStr">
        <is>
          <t>-  Urban Area</t>
        </is>
      </c>
      <c r="B30" s="264" t="n">
        <v>1422</v>
      </c>
      <c r="C30" s="263" t="n">
        <v>20</v>
      </c>
      <c r="D30" s="264" t="n">
        <v>15141</v>
      </c>
      <c r="E30" s="263" t="n">
        <v>84</v>
      </c>
      <c r="F30" s="264" t="n">
        <v>594914</v>
      </c>
      <c r="G30" s="264" t="n">
        <v>292541</v>
      </c>
      <c r="H30" s="264" t="n">
        <v>20820</v>
      </c>
      <c r="I30" s="264" t="n">
        <v>7204</v>
      </c>
      <c r="J30" s="264" t="n">
        <v>23450</v>
      </c>
      <c r="K30" s="264" t="n">
        <v>13567</v>
      </c>
      <c r="L30" s="264" t="n">
        <v>3514</v>
      </c>
      <c r="M30" s="264" t="n">
        <v>1429</v>
      </c>
      <c r="N30" s="264" t="n">
        <v>26964</v>
      </c>
      <c r="O30" s="264" t="n">
        <v>14996</v>
      </c>
    </row>
    <row r="31" ht="14" customHeight="1" s="227">
      <c r="A31" s="28" t="inlineStr">
        <is>
          <t>-  Rural Area</t>
        </is>
      </c>
      <c r="B31" s="264" t="n">
        <v>11878</v>
      </c>
      <c r="C31" s="263" t="n">
        <v>228</v>
      </c>
      <c r="D31" s="264" t="n">
        <v>74756</v>
      </c>
      <c r="E31" s="263" t="n">
        <v>468</v>
      </c>
      <c r="F31" s="264" t="n">
        <v>2594258</v>
      </c>
      <c r="G31" s="264" t="n">
        <v>1284730</v>
      </c>
      <c r="H31" s="264" t="n">
        <v>127201</v>
      </c>
      <c r="I31" s="264" t="n">
        <v>45733</v>
      </c>
      <c r="J31" s="264" t="n">
        <v>70253</v>
      </c>
      <c r="K31" s="264" t="n">
        <v>35243</v>
      </c>
      <c r="L31" s="264" t="n">
        <v>15552</v>
      </c>
      <c r="M31" s="264" t="n">
        <v>4102</v>
      </c>
      <c r="N31" s="264" t="n">
        <v>85805</v>
      </c>
      <c r="O31" s="264" t="n">
        <v>39345</v>
      </c>
    </row>
  </sheetData>
  <mergeCells count="7">
    <mergeCell ref="L2:M2"/>
    <mergeCell ref="F2:G2"/>
    <mergeCell ref="H2:I2"/>
    <mergeCell ref="J2:K2"/>
    <mergeCell ref="N2:O2"/>
    <mergeCell ref="A1:O1"/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P31"/>
  <sheetViews>
    <sheetView tabSelected="1" workbookViewId="0">
      <selection activeCell="A1" sqref="A1"/>
    </sheetView>
  </sheetViews>
  <sheetFormatPr baseColWidth="8" defaultRowHeight="15"/>
  <cols>
    <col width="20.444444" customWidth="1" style="227" min="1" max="1"/>
    <col width="10.222222" customWidth="1" style="227" min="2" max="2"/>
    <col width="10.222222" customWidth="1" style="227" min="3" max="3"/>
    <col width="10.222222" customWidth="1" style="227" min="4" max="4"/>
    <col width="10.222222" customWidth="1" style="227" min="5" max="5"/>
    <col width="10.222222" customWidth="1" style="227" min="6" max="6"/>
    <col width="10.222222" customWidth="1" style="227" min="7" max="7"/>
    <col width="10" customWidth="1" style="227" min="8" max="8"/>
    <col width="10" customWidth="1" style="227" min="9" max="9"/>
    <col width="8.888889000000001" customWidth="1" style="227" min="10" max="10"/>
    <col width="8.888889000000001" customWidth="1" style="227" min="11" max="11"/>
    <col width="9.333333" customWidth="1" style="227" min="12" max="12"/>
    <col width="8.888889000000001" customWidth="1" style="227" min="13" max="13"/>
    <col width="8.666667" customWidth="1" style="227" min="14" max="14"/>
    <col width="8.444444000000001" customWidth="1" style="227" min="15" max="15"/>
    <col width="12.444444" customWidth="1" style="227" min="16" max="16"/>
  </cols>
  <sheetData>
    <row r="1" ht="31" customHeight="1" s="227">
      <c r="A1" s="34" t="inlineStr">
        <is>
          <t>Table 3: Pre- Schools, Classes, Students and Staff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</row>
    <row r="2" ht="19" customHeight="1" s="227">
      <c r="A2" s="35" t="inlineStr">
        <is>
          <t>Province</t>
        </is>
      </c>
      <c r="B2" s="6" t="inlineStr">
        <is>
          <t>Number of</t>
        </is>
      </c>
      <c r="C2" s="38" t="inlineStr">
        <is>
          <t>Seperated</t>
        </is>
      </c>
      <c r="D2" s="7" t="inlineStr">
        <is>
          <t>Disadv.</t>
        </is>
      </c>
      <c r="E2" s="6" t="inlineStr">
        <is>
          <t>Number of</t>
        </is>
      </c>
      <c r="F2" s="39" t="inlineStr">
        <is>
          <t>Number of</t>
        </is>
      </c>
      <c r="G2" s="38" t="inlineStr">
        <is>
          <t>Classes</t>
        </is>
      </c>
      <c r="H2" s="8" t="inlineStr">
        <is>
          <t>Enrollment</t>
        </is>
      </c>
      <c r="I2" s="257" t="n"/>
      <c r="J2" s="11" t="inlineStr">
        <is>
          <t>Teaching Staff</t>
        </is>
      </c>
      <c r="K2" s="257" t="n"/>
      <c r="L2" s="14" t="inlineStr">
        <is>
          <t>Non-Teaching Staff</t>
        </is>
      </c>
      <c r="M2" s="257" t="n"/>
      <c r="N2" s="11" t="inlineStr">
        <is>
          <t>Total  Staff</t>
        </is>
      </c>
      <c r="O2" s="257" t="n"/>
      <c r="P2" s="40" t="inlineStr">
        <is>
          <t>Teaching Staff with out trainning</t>
        </is>
      </c>
    </row>
    <row r="3" ht="18" customHeight="1" s="227">
      <c r="A3" s="258" t="n"/>
      <c r="B3" s="18" t="inlineStr">
        <is>
          <t>Schools</t>
        </is>
      </c>
      <c r="C3" s="19" t="inlineStr">
        <is>
          <t>Pre-Schools</t>
        </is>
      </c>
      <c r="D3" s="18" t="inlineStr">
        <is>
          <t>Schools</t>
        </is>
      </c>
      <c r="E3" s="18" t="inlineStr">
        <is>
          <t>Classes</t>
        </is>
      </c>
      <c r="F3" s="41" t="inlineStr">
        <is>
          <t>Classrooms</t>
        </is>
      </c>
      <c r="G3" s="18" t="inlineStr">
        <is>
          <t>in Pagoda</t>
        </is>
      </c>
      <c r="H3" s="14" t="inlineStr">
        <is>
          <t>Total</t>
        </is>
      </c>
      <c r="I3" s="20" t="inlineStr">
        <is>
          <t>Girl</t>
        </is>
      </c>
      <c r="J3" s="21" t="inlineStr">
        <is>
          <t>Total</t>
        </is>
      </c>
      <c r="K3" s="20" t="inlineStr">
        <is>
          <t>Girl</t>
        </is>
      </c>
      <c r="L3" s="14" t="inlineStr">
        <is>
          <t>Total</t>
        </is>
      </c>
      <c r="M3" s="21" t="inlineStr">
        <is>
          <t>Female</t>
        </is>
      </c>
      <c r="N3" s="21" t="inlineStr">
        <is>
          <t>Total</t>
        </is>
      </c>
      <c r="O3" s="21" t="inlineStr">
        <is>
          <t>Female</t>
        </is>
      </c>
      <c r="P3" s="258" t="n"/>
    </row>
    <row r="4" ht="14" customHeight="1" s="227">
      <c r="A4" s="28" t="inlineStr">
        <is>
          <t>Banteay Meanchey</t>
        </is>
      </c>
      <c r="B4" s="263" t="n">
        <v>324</v>
      </c>
      <c r="C4" s="263" t="n">
        <v>20</v>
      </c>
      <c r="D4" s="263" t="n">
        <v>11</v>
      </c>
      <c r="E4" s="263" t="n">
        <v>542</v>
      </c>
      <c r="F4" s="263" t="n">
        <v>513</v>
      </c>
      <c r="G4" s="263" t="n">
        <v>7</v>
      </c>
      <c r="H4" s="264" t="n">
        <v>16624</v>
      </c>
      <c r="I4" s="264" t="n">
        <v>8212</v>
      </c>
      <c r="J4" s="263" t="n">
        <v>85</v>
      </c>
      <c r="K4" s="263" t="n">
        <v>85</v>
      </c>
      <c r="L4" s="263" t="n">
        <v>18</v>
      </c>
      <c r="M4" s="263" t="n">
        <v>18</v>
      </c>
      <c r="N4" s="263" t="n">
        <v>103</v>
      </c>
      <c r="O4" s="263" t="n">
        <v>103</v>
      </c>
      <c r="P4" s="263" t="n">
        <v>0</v>
      </c>
    </row>
    <row r="5" ht="14" customHeight="1" s="227">
      <c r="A5" s="28" t="inlineStr">
        <is>
          <t>Battambang</t>
        </is>
      </c>
      <c r="B5" s="263" t="n">
        <v>367</v>
      </c>
      <c r="C5" s="263" t="n">
        <v>22</v>
      </c>
      <c r="D5" s="263" t="n">
        <v>12</v>
      </c>
      <c r="E5" s="263" t="n">
        <v>630</v>
      </c>
      <c r="F5" s="263" t="n">
        <v>551</v>
      </c>
      <c r="G5" s="263" t="n">
        <v>7</v>
      </c>
      <c r="H5" s="264" t="n">
        <v>18765</v>
      </c>
      <c r="I5" s="264" t="n">
        <v>9360</v>
      </c>
      <c r="J5" s="263" t="n">
        <v>620</v>
      </c>
      <c r="K5" s="263" t="n">
        <v>584</v>
      </c>
      <c r="L5" s="263" t="n">
        <v>22</v>
      </c>
      <c r="M5" s="263" t="n">
        <v>20</v>
      </c>
      <c r="N5" s="263" t="n">
        <v>642</v>
      </c>
      <c r="O5" s="263" t="n">
        <v>604</v>
      </c>
      <c r="P5" s="263" t="n">
        <v>21</v>
      </c>
    </row>
    <row r="6" ht="15" customHeight="1" s="227">
      <c r="A6" s="28" t="inlineStr">
        <is>
          <t>Kampong Cham</t>
        </is>
      </c>
      <c r="B6" s="263" t="n">
        <v>273</v>
      </c>
      <c r="C6" s="263" t="n">
        <v>6</v>
      </c>
      <c r="D6" s="263" t="n">
        <v>25</v>
      </c>
      <c r="E6" s="263" t="n">
        <v>502</v>
      </c>
      <c r="F6" s="263" t="n">
        <v>374</v>
      </c>
      <c r="G6" s="263" t="n">
        <v>11</v>
      </c>
      <c r="H6" s="264" t="n">
        <v>15704</v>
      </c>
      <c r="I6" s="264" t="n">
        <v>7756</v>
      </c>
      <c r="J6" s="263" t="n">
        <v>367</v>
      </c>
      <c r="K6" s="263" t="n">
        <v>350</v>
      </c>
      <c r="L6" s="263" t="n">
        <v>16</v>
      </c>
      <c r="M6" s="263" t="n">
        <v>13</v>
      </c>
      <c r="N6" s="263" t="n">
        <v>383</v>
      </c>
      <c r="O6" s="263" t="n">
        <v>363</v>
      </c>
      <c r="P6" s="263" t="n">
        <v>20</v>
      </c>
    </row>
    <row r="7" ht="14" customHeight="1" s="227">
      <c r="A7" s="28" t="inlineStr">
        <is>
          <t>Kampong Chhnang</t>
        </is>
      </c>
      <c r="B7" s="263" t="n">
        <v>112</v>
      </c>
      <c r="C7" s="263" t="n">
        <v>18</v>
      </c>
      <c r="D7" s="263" t="n">
        <v>0</v>
      </c>
      <c r="E7" s="263" t="n">
        <v>218</v>
      </c>
      <c r="F7" s="263" t="n">
        <v>214</v>
      </c>
      <c r="G7" s="263" t="n">
        <v>2</v>
      </c>
      <c r="H7" s="264" t="n">
        <v>6914</v>
      </c>
      <c r="I7" s="264" t="n">
        <v>3452</v>
      </c>
      <c r="J7" s="263" t="n">
        <v>152</v>
      </c>
      <c r="K7" s="263" t="n">
        <v>152</v>
      </c>
      <c r="L7" s="263" t="n">
        <v>12</v>
      </c>
      <c r="M7" s="263" t="n">
        <v>12</v>
      </c>
      <c r="N7" s="263" t="n">
        <v>164</v>
      </c>
      <c r="O7" s="263" t="n">
        <v>164</v>
      </c>
      <c r="P7" s="263" t="n">
        <v>2</v>
      </c>
    </row>
    <row r="8" ht="14" customHeight="1" s="227">
      <c r="A8" s="28" t="inlineStr">
        <is>
          <t>Kampong Speu</t>
        </is>
      </c>
      <c r="B8" s="263" t="n">
        <v>195</v>
      </c>
      <c r="C8" s="263" t="n">
        <v>3</v>
      </c>
      <c r="D8" s="263" t="n">
        <v>1</v>
      </c>
      <c r="E8" s="263" t="n">
        <v>296</v>
      </c>
      <c r="F8" s="263" t="n">
        <v>287</v>
      </c>
      <c r="G8" s="263" t="n">
        <v>0</v>
      </c>
      <c r="H8" s="264" t="n">
        <v>9886</v>
      </c>
      <c r="I8" s="264" t="n">
        <v>4992</v>
      </c>
      <c r="J8" s="263" t="n">
        <v>270</v>
      </c>
      <c r="K8" s="263" t="n">
        <v>253</v>
      </c>
      <c r="L8" s="263" t="n">
        <v>8</v>
      </c>
      <c r="M8" s="263" t="n">
        <v>8</v>
      </c>
      <c r="N8" s="263" t="n">
        <v>278</v>
      </c>
      <c r="O8" s="263" t="n">
        <v>261</v>
      </c>
      <c r="P8" s="263" t="n">
        <v>2</v>
      </c>
    </row>
    <row r="9" ht="14" customHeight="1" s="227">
      <c r="A9" s="28" t="inlineStr">
        <is>
          <t>Kampong Thom</t>
        </is>
      </c>
      <c r="B9" s="263" t="n">
        <v>204</v>
      </c>
      <c r="C9" s="263" t="n">
        <v>0</v>
      </c>
      <c r="D9" s="263" t="n">
        <v>4</v>
      </c>
      <c r="E9" s="263" t="n">
        <v>308</v>
      </c>
      <c r="F9" s="263" t="n">
        <v>258</v>
      </c>
      <c r="G9" s="263" t="n">
        <v>1</v>
      </c>
      <c r="H9" s="264" t="n">
        <v>10080</v>
      </c>
      <c r="I9" s="264" t="n">
        <v>5071</v>
      </c>
      <c r="J9" s="263" t="n">
        <v>287</v>
      </c>
      <c r="K9" s="263" t="n">
        <v>280</v>
      </c>
      <c r="L9" s="263" t="n">
        <v>4</v>
      </c>
      <c r="M9" s="263" t="n">
        <v>4</v>
      </c>
      <c r="N9" s="263" t="n">
        <v>291</v>
      </c>
      <c r="O9" s="263" t="n">
        <v>284</v>
      </c>
      <c r="P9" s="263" t="n">
        <v>15</v>
      </c>
    </row>
    <row r="10" ht="14" customHeight="1" s="227">
      <c r="A10" s="28" t="inlineStr">
        <is>
          <t>Kampot</t>
        </is>
      </c>
      <c r="B10" s="263" t="n">
        <v>197</v>
      </c>
      <c r="C10" s="263" t="n">
        <v>5</v>
      </c>
      <c r="D10" s="263" t="n">
        <v>4</v>
      </c>
      <c r="E10" s="263" t="n">
        <v>260</v>
      </c>
      <c r="F10" s="263" t="n">
        <v>253</v>
      </c>
      <c r="G10" s="263" t="n">
        <v>0</v>
      </c>
      <c r="H10" s="264" t="n">
        <v>7056</v>
      </c>
      <c r="I10" s="264" t="n">
        <v>3396</v>
      </c>
      <c r="J10" s="263" t="n">
        <v>255</v>
      </c>
      <c r="K10" s="263" t="n">
        <v>247</v>
      </c>
      <c r="L10" s="263" t="n">
        <v>4</v>
      </c>
      <c r="M10" s="263" t="n">
        <v>4</v>
      </c>
      <c r="N10" s="263" t="n">
        <v>259</v>
      </c>
      <c r="O10" s="263" t="n">
        <v>251</v>
      </c>
      <c r="P10" s="263" t="n">
        <v>5</v>
      </c>
    </row>
    <row r="11" ht="14" customHeight="1" s="227">
      <c r="A11" s="28" t="inlineStr">
        <is>
          <t>Kandal</t>
        </is>
      </c>
      <c r="B11" s="263" t="n">
        <v>234</v>
      </c>
      <c r="C11" s="263" t="n">
        <v>26</v>
      </c>
      <c r="D11" s="263" t="n">
        <v>4</v>
      </c>
      <c r="E11" s="263" t="n">
        <v>498</v>
      </c>
      <c r="F11" s="263" t="n">
        <v>479</v>
      </c>
      <c r="G11" s="263" t="n">
        <v>1</v>
      </c>
      <c r="H11" s="264" t="n">
        <v>15755</v>
      </c>
      <c r="I11" s="264" t="n">
        <v>7748</v>
      </c>
      <c r="J11" s="263" t="n">
        <v>491</v>
      </c>
      <c r="K11" s="263" t="n">
        <v>466</v>
      </c>
      <c r="L11" s="263" t="n">
        <v>24</v>
      </c>
      <c r="M11" s="263" t="n">
        <v>23</v>
      </c>
      <c r="N11" s="263" t="n">
        <v>515</v>
      </c>
      <c r="O11" s="263" t="n">
        <v>489</v>
      </c>
      <c r="P11" s="263" t="n">
        <v>27</v>
      </c>
    </row>
    <row r="12" ht="14" customHeight="1" s="227">
      <c r="A12" s="28" t="inlineStr">
        <is>
          <t>Kep</t>
        </is>
      </c>
      <c r="B12" s="263" t="n">
        <v>22</v>
      </c>
      <c r="C12" s="263" t="n">
        <v>0</v>
      </c>
      <c r="D12" s="263" t="n">
        <v>0</v>
      </c>
      <c r="E12" s="263" t="n">
        <v>30</v>
      </c>
      <c r="F12" s="263" t="n">
        <v>30</v>
      </c>
      <c r="G12" s="263" t="n">
        <v>0</v>
      </c>
      <c r="H12" s="263" t="n">
        <v>909</v>
      </c>
      <c r="I12" s="263" t="n">
        <v>452</v>
      </c>
      <c r="J12" s="263" t="n">
        <v>30</v>
      </c>
      <c r="K12" s="263" t="n">
        <v>30</v>
      </c>
      <c r="L12" s="263" t="n">
        <v>0</v>
      </c>
      <c r="M12" s="263" t="n">
        <v>0</v>
      </c>
      <c r="N12" s="263" t="n">
        <v>30</v>
      </c>
      <c r="O12" s="263" t="n">
        <v>30</v>
      </c>
      <c r="P12" s="263" t="n">
        <v>0</v>
      </c>
    </row>
    <row r="13" ht="14" customHeight="1" s="227">
      <c r="A13" s="28" t="inlineStr">
        <is>
          <t>Koh Kong</t>
        </is>
      </c>
      <c r="B13" s="263" t="n">
        <v>65</v>
      </c>
      <c r="C13" s="263" t="n">
        <v>0</v>
      </c>
      <c r="D13" s="263" t="n">
        <v>11</v>
      </c>
      <c r="E13" s="263" t="n">
        <v>83</v>
      </c>
      <c r="F13" s="263" t="n">
        <v>61</v>
      </c>
      <c r="G13" s="263" t="n">
        <v>0</v>
      </c>
      <c r="H13" s="264" t="n">
        <v>2078</v>
      </c>
      <c r="I13" s="263" t="n">
        <v>982</v>
      </c>
      <c r="J13" s="263" t="n">
        <v>31</v>
      </c>
      <c r="K13" s="263" t="n">
        <v>28</v>
      </c>
      <c r="L13" s="263" t="n">
        <v>2</v>
      </c>
      <c r="M13" s="263" t="n">
        <v>2</v>
      </c>
      <c r="N13" s="263" t="n">
        <v>33</v>
      </c>
      <c r="O13" s="263" t="n">
        <v>30</v>
      </c>
      <c r="P13" s="263" t="n">
        <v>1</v>
      </c>
    </row>
    <row r="14" ht="14" customHeight="1" s="227">
      <c r="A14" s="28" t="inlineStr">
        <is>
          <t>Kratie</t>
        </is>
      </c>
      <c r="B14" s="263" t="n">
        <v>90</v>
      </c>
      <c r="C14" s="263" t="n">
        <v>6</v>
      </c>
      <c r="D14" s="263" t="n">
        <v>7</v>
      </c>
      <c r="E14" s="263" t="n">
        <v>134</v>
      </c>
      <c r="F14" s="263" t="n">
        <v>107</v>
      </c>
      <c r="G14" s="263" t="n">
        <v>15</v>
      </c>
      <c r="H14" s="264" t="n">
        <v>3896</v>
      </c>
      <c r="I14" s="264" t="n">
        <v>1925</v>
      </c>
      <c r="J14" s="263" t="n">
        <v>135</v>
      </c>
      <c r="K14" s="263" t="n">
        <v>131</v>
      </c>
      <c r="L14" s="263" t="n">
        <v>5</v>
      </c>
      <c r="M14" s="263" t="n">
        <v>5</v>
      </c>
      <c r="N14" s="263" t="n">
        <v>140</v>
      </c>
      <c r="O14" s="263" t="n">
        <v>136</v>
      </c>
      <c r="P14" s="263" t="n">
        <v>1</v>
      </c>
    </row>
    <row r="15" ht="14" customHeight="1" s="227">
      <c r="A15" s="28" t="inlineStr">
        <is>
          <t>Mondul Kiri</t>
        </is>
      </c>
      <c r="B15" s="263" t="n">
        <v>23</v>
      </c>
      <c r="C15" s="263" t="n">
        <v>3</v>
      </c>
      <c r="D15" s="263" t="n">
        <v>0</v>
      </c>
      <c r="E15" s="263" t="n">
        <v>31</v>
      </c>
      <c r="F15" s="263" t="n">
        <v>31</v>
      </c>
      <c r="G15" s="263" t="n">
        <v>0</v>
      </c>
      <c r="H15" s="264" t="n">
        <v>1079</v>
      </c>
      <c r="I15" s="263" t="n">
        <v>530</v>
      </c>
      <c r="J15" s="263" t="n">
        <v>30</v>
      </c>
      <c r="K15" s="263" t="n">
        <v>29</v>
      </c>
      <c r="L15" s="263" t="n">
        <v>0</v>
      </c>
      <c r="M15" s="263" t="n">
        <v>0</v>
      </c>
      <c r="N15" s="263" t="n">
        <v>30</v>
      </c>
      <c r="O15" s="263" t="n">
        <v>29</v>
      </c>
      <c r="P15" s="263" t="n">
        <v>0</v>
      </c>
    </row>
    <row r="16" ht="14" customHeight="1" s="227">
      <c r="A16" s="28" t="inlineStr">
        <is>
          <t>Otdar Meanchey</t>
        </is>
      </c>
      <c r="B16" s="263" t="n">
        <v>102</v>
      </c>
      <c r="C16" s="263" t="n">
        <v>0</v>
      </c>
      <c r="D16" s="263" t="n">
        <v>0</v>
      </c>
      <c r="E16" s="263" t="n">
        <v>125</v>
      </c>
      <c r="F16" s="263" t="n">
        <v>123</v>
      </c>
      <c r="G16" s="263" t="n">
        <v>0</v>
      </c>
      <c r="H16" s="264" t="n">
        <v>3652</v>
      </c>
      <c r="I16" s="264" t="n">
        <v>1788</v>
      </c>
      <c r="J16" s="263" t="n">
        <v>83</v>
      </c>
      <c r="K16" s="263" t="n">
        <v>79</v>
      </c>
      <c r="L16" s="263" t="n">
        <v>1</v>
      </c>
      <c r="M16" s="263" t="n">
        <v>1</v>
      </c>
      <c r="N16" s="263" t="n">
        <v>84</v>
      </c>
      <c r="O16" s="263" t="n">
        <v>80</v>
      </c>
      <c r="P16" s="263" t="n">
        <v>4</v>
      </c>
    </row>
    <row r="17" ht="14" customHeight="1" s="227">
      <c r="A17" s="28" t="inlineStr">
        <is>
          <t>Pailin</t>
        </is>
      </c>
      <c r="B17" s="263" t="n">
        <v>25</v>
      </c>
      <c r="C17" s="263" t="n">
        <v>2</v>
      </c>
      <c r="D17" s="263" t="n">
        <v>0</v>
      </c>
      <c r="E17" s="263" t="n">
        <v>39</v>
      </c>
      <c r="F17" s="263" t="n">
        <v>36</v>
      </c>
      <c r="G17" s="263" t="n">
        <v>0</v>
      </c>
      <c r="H17" s="264" t="n">
        <v>1092</v>
      </c>
      <c r="I17" s="263" t="n">
        <v>565</v>
      </c>
      <c r="J17" s="263" t="n">
        <v>33</v>
      </c>
      <c r="K17" s="263" t="n">
        <v>31</v>
      </c>
      <c r="L17" s="263" t="n">
        <v>2</v>
      </c>
      <c r="M17" s="263" t="n">
        <v>2</v>
      </c>
      <c r="N17" s="263" t="n">
        <v>35</v>
      </c>
      <c r="O17" s="263" t="n">
        <v>33</v>
      </c>
      <c r="P17" s="263" t="n">
        <v>2</v>
      </c>
    </row>
    <row r="18" ht="14" customHeight="1" s="227">
      <c r="A18" s="28" t="inlineStr">
        <is>
          <t>Phnom Penh</t>
        </is>
      </c>
      <c r="B18" s="263" t="n">
        <v>146</v>
      </c>
      <c r="C18" s="263" t="n">
        <v>18</v>
      </c>
      <c r="D18" s="263" t="n">
        <v>1</v>
      </c>
      <c r="E18" s="263" t="n">
        <v>284</v>
      </c>
      <c r="F18" s="263" t="n">
        <v>243</v>
      </c>
      <c r="G18" s="263" t="n">
        <v>1</v>
      </c>
      <c r="H18" s="264" t="n">
        <v>10901</v>
      </c>
      <c r="I18" s="264" t="n">
        <v>5247</v>
      </c>
      <c r="J18" s="263" t="n">
        <v>328</v>
      </c>
      <c r="K18" s="263" t="n">
        <v>327</v>
      </c>
      <c r="L18" s="263" t="n">
        <v>37</v>
      </c>
      <c r="M18" s="263" t="n">
        <v>34</v>
      </c>
      <c r="N18" s="263" t="n">
        <v>365</v>
      </c>
      <c r="O18" s="263" t="n">
        <v>361</v>
      </c>
      <c r="P18" s="263" t="n">
        <v>3</v>
      </c>
    </row>
    <row r="19" ht="14" customHeight="1" s="227">
      <c r="A19" s="28" t="inlineStr">
        <is>
          <t>Preah Sihanouk</t>
        </is>
      </c>
      <c r="B19" s="263" t="n">
        <v>57</v>
      </c>
      <c r="C19" s="263" t="n">
        <v>1</v>
      </c>
      <c r="D19" s="263" t="n">
        <v>10</v>
      </c>
      <c r="E19" s="263" t="n">
        <v>78</v>
      </c>
      <c r="F19" s="263" t="n">
        <v>65</v>
      </c>
      <c r="G19" s="263" t="n">
        <v>0</v>
      </c>
      <c r="H19" s="264" t="n">
        <v>2395</v>
      </c>
      <c r="I19" s="264" t="n">
        <v>1233</v>
      </c>
      <c r="J19" s="263" t="n">
        <v>76</v>
      </c>
      <c r="K19" s="263" t="n">
        <v>73</v>
      </c>
      <c r="L19" s="263" t="n">
        <v>1</v>
      </c>
      <c r="M19" s="263" t="n">
        <v>1</v>
      </c>
      <c r="N19" s="263" t="n">
        <v>77</v>
      </c>
      <c r="O19" s="263" t="n">
        <v>74</v>
      </c>
      <c r="P19" s="263" t="n">
        <v>0</v>
      </c>
    </row>
    <row r="20" ht="14" customHeight="1" s="227">
      <c r="A20" s="28" t="inlineStr">
        <is>
          <t>Preah Vihear</t>
        </is>
      </c>
      <c r="B20" s="263" t="n">
        <v>109</v>
      </c>
      <c r="C20" s="263" t="n">
        <v>6</v>
      </c>
      <c r="D20" s="263" t="n">
        <v>7</v>
      </c>
      <c r="E20" s="263" t="n">
        <v>143</v>
      </c>
      <c r="F20" s="263" t="n">
        <v>131</v>
      </c>
      <c r="G20" s="263" t="n">
        <v>0</v>
      </c>
      <c r="H20" s="264" t="n">
        <v>3822</v>
      </c>
      <c r="I20" s="264" t="n">
        <v>1940</v>
      </c>
      <c r="J20" s="263" t="n">
        <v>73</v>
      </c>
      <c r="K20" s="263" t="n">
        <v>70</v>
      </c>
      <c r="L20" s="263" t="n">
        <v>3</v>
      </c>
      <c r="M20" s="263" t="n">
        <v>3</v>
      </c>
      <c r="N20" s="263" t="n">
        <v>76</v>
      </c>
      <c r="O20" s="263" t="n">
        <v>73</v>
      </c>
      <c r="P20" s="263" t="n">
        <v>3</v>
      </c>
    </row>
    <row r="21" ht="14" customHeight="1" s="227">
      <c r="A21" s="28" t="inlineStr">
        <is>
          <t>Prey Veng</t>
        </is>
      </c>
      <c r="B21" s="263" t="n">
        <v>368</v>
      </c>
      <c r="C21" s="263" t="n">
        <v>10</v>
      </c>
      <c r="D21" s="263" t="n">
        <v>18</v>
      </c>
      <c r="E21" s="263" t="n">
        <v>547</v>
      </c>
      <c r="F21" s="263" t="n">
        <v>506</v>
      </c>
      <c r="G21" s="263" t="n">
        <v>1</v>
      </c>
      <c r="H21" s="264" t="n">
        <v>15501</v>
      </c>
      <c r="I21" s="264" t="n">
        <v>7625</v>
      </c>
      <c r="J21" s="263" t="n">
        <v>486</v>
      </c>
      <c r="K21" s="263" t="n">
        <v>451</v>
      </c>
      <c r="L21" s="263" t="n">
        <v>11</v>
      </c>
      <c r="M21" s="263" t="n">
        <v>11</v>
      </c>
      <c r="N21" s="263" t="n">
        <v>497</v>
      </c>
      <c r="O21" s="263" t="n">
        <v>462</v>
      </c>
      <c r="P21" s="263" t="n">
        <v>7</v>
      </c>
    </row>
    <row r="22" ht="14" customHeight="1" s="227">
      <c r="A22" s="28" t="inlineStr">
        <is>
          <t>Pursat</t>
        </is>
      </c>
      <c r="B22" s="263" t="n">
        <v>173</v>
      </c>
      <c r="C22" s="263" t="n">
        <v>18</v>
      </c>
      <c r="D22" s="263" t="n">
        <v>4</v>
      </c>
      <c r="E22" s="263" t="n">
        <v>261</v>
      </c>
      <c r="F22" s="263" t="n">
        <v>252</v>
      </c>
      <c r="G22" s="263" t="n">
        <v>0</v>
      </c>
      <c r="H22" s="264" t="n">
        <v>8387</v>
      </c>
      <c r="I22" s="264" t="n">
        <v>4267</v>
      </c>
      <c r="J22" s="263" t="n">
        <v>160</v>
      </c>
      <c r="K22" s="263" t="n">
        <v>157</v>
      </c>
      <c r="L22" s="263" t="n">
        <v>12</v>
      </c>
      <c r="M22" s="263" t="n">
        <v>12</v>
      </c>
      <c r="N22" s="263" t="n">
        <v>172</v>
      </c>
      <c r="O22" s="263" t="n">
        <v>169</v>
      </c>
      <c r="P22" s="263" t="n">
        <v>0</v>
      </c>
    </row>
    <row r="23" ht="14" customHeight="1" s="227">
      <c r="A23" s="28" t="inlineStr">
        <is>
          <t>Ratanak Kiri</t>
        </is>
      </c>
      <c r="B23" s="263" t="n">
        <v>58</v>
      </c>
      <c r="C23" s="263" t="n">
        <v>1</v>
      </c>
      <c r="D23" s="263" t="n">
        <v>0</v>
      </c>
      <c r="E23" s="263" t="n">
        <v>91</v>
      </c>
      <c r="F23" s="263" t="n">
        <v>81</v>
      </c>
      <c r="G23" s="263" t="n">
        <v>0</v>
      </c>
      <c r="H23" s="264" t="n">
        <v>2422</v>
      </c>
      <c r="I23" s="264" t="n">
        <v>1178</v>
      </c>
      <c r="J23" s="263" t="n">
        <v>66</v>
      </c>
      <c r="K23" s="263" t="n">
        <v>61</v>
      </c>
      <c r="L23" s="263" t="n">
        <v>2</v>
      </c>
      <c r="M23" s="263" t="n">
        <v>2</v>
      </c>
      <c r="N23" s="263" t="n">
        <v>68</v>
      </c>
      <c r="O23" s="263" t="n">
        <v>63</v>
      </c>
      <c r="P23" s="263" t="n">
        <v>0</v>
      </c>
    </row>
    <row r="24" ht="14" customHeight="1" s="227">
      <c r="A24" s="28" t="inlineStr">
        <is>
          <t>Siemreap</t>
        </is>
      </c>
      <c r="B24" s="263" t="n">
        <v>443</v>
      </c>
      <c r="C24" s="263" t="n">
        <v>19</v>
      </c>
      <c r="D24" s="263" t="n">
        <v>48</v>
      </c>
      <c r="E24" s="263" t="n">
        <v>863</v>
      </c>
      <c r="F24" s="263" t="n">
        <v>650</v>
      </c>
      <c r="G24" s="263" t="n">
        <v>12</v>
      </c>
      <c r="H24" s="264" t="n">
        <v>26016</v>
      </c>
      <c r="I24" s="264" t="n">
        <v>13294</v>
      </c>
      <c r="J24" s="263" t="n">
        <v>421</v>
      </c>
      <c r="K24" s="263" t="n">
        <v>407</v>
      </c>
      <c r="L24" s="263" t="n">
        <v>24</v>
      </c>
      <c r="M24" s="263" t="n">
        <v>22</v>
      </c>
      <c r="N24" s="263" t="n">
        <v>445</v>
      </c>
      <c r="O24" s="263" t="n">
        <v>429</v>
      </c>
      <c r="P24" s="263" t="n">
        <v>7</v>
      </c>
    </row>
    <row r="25" ht="14" customHeight="1" s="227">
      <c r="A25" s="28" t="inlineStr">
        <is>
          <t>Stung Treng</t>
        </is>
      </c>
      <c r="B25" s="263" t="n">
        <v>35</v>
      </c>
      <c r="C25" s="263" t="n">
        <v>1</v>
      </c>
      <c r="D25" s="263" t="n">
        <v>2</v>
      </c>
      <c r="E25" s="263" t="n">
        <v>40</v>
      </c>
      <c r="F25" s="263" t="n">
        <v>36</v>
      </c>
      <c r="G25" s="263" t="n">
        <v>0</v>
      </c>
      <c r="H25" s="264" t="n">
        <v>1215</v>
      </c>
      <c r="I25" s="263" t="n">
        <v>580</v>
      </c>
      <c r="J25" s="263" t="n">
        <v>42</v>
      </c>
      <c r="K25" s="263" t="n">
        <v>42</v>
      </c>
      <c r="L25" s="263" t="n">
        <v>4</v>
      </c>
      <c r="M25" s="263" t="n">
        <v>4</v>
      </c>
      <c r="N25" s="263" t="n">
        <v>46</v>
      </c>
      <c r="O25" s="263" t="n">
        <v>46</v>
      </c>
      <c r="P25" s="263" t="n">
        <v>1</v>
      </c>
    </row>
    <row r="26" ht="14" customHeight="1" s="227">
      <c r="A26" s="28" t="inlineStr">
        <is>
          <t>Svay Rieng</t>
        </is>
      </c>
      <c r="B26" s="263" t="n">
        <v>172</v>
      </c>
      <c r="C26" s="263" t="n">
        <v>6</v>
      </c>
      <c r="D26" s="263" t="n">
        <v>0</v>
      </c>
      <c r="E26" s="263" t="n">
        <v>252</v>
      </c>
      <c r="F26" s="263" t="n">
        <v>249</v>
      </c>
      <c r="G26" s="263" t="n">
        <v>2</v>
      </c>
      <c r="H26" s="264" t="n">
        <v>7757</v>
      </c>
      <c r="I26" s="264" t="n">
        <v>3933</v>
      </c>
      <c r="J26" s="263" t="n">
        <v>187</v>
      </c>
      <c r="K26" s="263" t="n">
        <v>177</v>
      </c>
      <c r="L26" s="263" t="n">
        <v>2</v>
      </c>
      <c r="M26" s="263" t="n">
        <v>2</v>
      </c>
      <c r="N26" s="263" t="n">
        <v>189</v>
      </c>
      <c r="O26" s="263" t="n">
        <v>179</v>
      </c>
      <c r="P26" s="263" t="n">
        <v>0</v>
      </c>
    </row>
    <row r="27" ht="14" customHeight="1" s="227">
      <c r="A27" s="28" t="inlineStr">
        <is>
          <t>Takeo</t>
        </is>
      </c>
      <c r="B27" s="263" t="n">
        <v>282</v>
      </c>
      <c r="C27" s="263" t="n">
        <v>4</v>
      </c>
      <c r="D27" s="263" t="n">
        <v>3</v>
      </c>
      <c r="E27" s="263" t="n">
        <v>421</v>
      </c>
      <c r="F27" s="263" t="n">
        <v>411</v>
      </c>
      <c r="G27" s="263" t="n">
        <v>11</v>
      </c>
      <c r="H27" s="264" t="n">
        <v>12229</v>
      </c>
      <c r="I27" s="264" t="n">
        <v>6025</v>
      </c>
      <c r="J27" s="263" t="n">
        <v>429</v>
      </c>
      <c r="K27" s="263" t="n">
        <v>392</v>
      </c>
      <c r="L27" s="263" t="n">
        <v>8</v>
      </c>
      <c r="M27" s="263" t="n">
        <v>8</v>
      </c>
      <c r="N27" s="263" t="n">
        <v>437</v>
      </c>
      <c r="O27" s="263" t="n">
        <v>400</v>
      </c>
      <c r="P27" s="263" t="n">
        <v>12</v>
      </c>
    </row>
    <row r="28" ht="14" customHeight="1" s="227">
      <c r="A28" s="28" t="inlineStr">
        <is>
          <t>Tbaung Khmum</t>
        </is>
      </c>
      <c r="B28" s="263" t="n">
        <v>225</v>
      </c>
      <c r="C28" s="263" t="n">
        <v>4</v>
      </c>
      <c r="D28" s="263" t="n">
        <v>12</v>
      </c>
      <c r="E28" s="263" t="n">
        <v>446</v>
      </c>
      <c r="F28" s="263" t="n">
        <v>349</v>
      </c>
      <c r="G28" s="263" t="n">
        <v>4</v>
      </c>
      <c r="H28" s="264" t="n">
        <v>13374</v>
      </c>
      <c r="I28" s="264" t="n">
        <v>6529</v>
      </c>
      <c r="J28" s="263" t="n">
        <v>198</v>
      </c>
      <c r="K28" s="263" t="n">
        <v>187</v>
      </c>
      <c r="L28" s="263" t="n">
        <v>2</v>
      </c>
      <c r="M28" s="263" t="n">
        <v>1</v>
      </c>
      <c r="N28" s="263" t="n">
        <v>200</v>
      </c>
      <c r="O28" s="263" t="n">
        <v>188</v>
      </c>
      <c r="P28" s="263" t="n">
        <v>8</v>
      </c>
    </row>
    <row r="29" ht="17" customHeight="1" s="227">
      <c r="A29" s="22" t="inlineStr">
        <is>
          <t>Whole Kingdom</t>
        </is>
      </c>
      <c r="B29" s="264" t="n">
        <v>4301</v>
      </c>
      <c r="C29" s="263" t="n">
        <v>199</v>
      </c>
      <c r="D29" s="263" t="n">
        <v>184</v>
      </c>
      <c r="E29" s="264" t="n">
        <v>7122</v>
      </c>
      <c r="F29" s="265" t="n">
        <v>6290</v>
      </c>
      <c r="G29" s="263" t="n">
        <v>75</v>
      </c>
      <c r="H29" s="264" t="n">
        <v>217509</v>
      </c>
      <c r="I29" s="264" t="n">
        <v>108080</v>
      </c>
      <c r="J29" s="264" t="n">
        <v>5335</v>
      </c>
      <c r="K29" s="264" t="n">
        <v>5089</v>
      </c>
      <c r="L29" s="263" t="n">
        <v>224</v>
      </c>
      <c r="M29" s="263" t="n">
        <v>212</v>
      </c>
      <c r="N29" s="264" t="n">
        <v>5559</v>
      </c>
      <c r="O29" s="264" t="n">
        <v>5301</v>
      </c>
      <c r="P29" s="263" t="n">
        <v>141</v>
      </c>
    </row>
    <row r="30" ht="14" customHeight="1" s="227">
      <c r="A30" s="28" t="inlineStr">
        <is>
          <t>-  Urban Area</t>
        </is>
      </c>
      <c r="B30" s="263" t="n">
        <v>517</v>
      </c>
      <c r="C30" s="263" t="n">
        <v>59</v>
      </c>
      <c r="D30" s="263" t="n">
        <v>20</v>
      </c>
      <c r="E30" s="264" t="n">
        <v>1086</v>
      </c>
      <c r="F30" s="263" t="n">
        <v>903</v>
      </c>
      <c r="G30" s="263" t="n">
        <v>2</v>
      </c>
      <c r="H30" s="264" t="n">
        <v>38796</v>
      </c>
      <c r="I30" s="264" t="n">
        <v>19178</v>
      </c>
      <c r="J30" s="264" t="n">
        <v>1014</v>
      </c>
      <c r="K30" s="264" t="n">
        <v>1000</v>
      </c>
      <c r="L30" s="263" t="n">
        <v>107</v>
      </c>
      <c r="M30" s="263" t="n">
        <v>103</v>
      </c>
      <c r="N30" s="264" t="n">
        <v>1121</v>
      </c>
      <c r="O30" s="264" t="n">
        <v>1103</v>
      </c>
      <c r="P30" s="263" t="n">
        <v>13</v>
      </c>
    </row>
    <row r="31" ht="14" customHeight="1" s="227">
      <c r="A31" s="28" t="inlineStr">
        <is>
          <t>-  Rural Area</t>
        </is>
      </c>
      <c r="B31" s="264" t="n">
        <v>3784</v>
      </c>
      <c r="C31" s="263" t="n">
        <v>140</v>
      </c>
      <c r="D31" s="263" t="n">
        <v>164</v>
      </c>
      <c r="E31" s="264" t="n">
        <v>6036</v>
      </c>
      <c r="F31" s="265" t="n">
        <v>5387</v>
      </c>
      <c r="G31" s="263" t="n">
        <v>73</v>
      </c>
      <c r="H31" s="264" t="n">
        <v>178713</v>
      </c>
      <c r="I31" s="264" t="n">
        <v>88902</v>
      </c>
      <c r="J31" s="264" t="n">
        <v>4321</v>
      </c>
      <c r="K31" s="264" t="n">
        <v>4089</v>
      </c>
      <c r="L31" s="263" t="n">
        <v>117</v>
      </c>
      <c r="M31" s="263" t="n">
        <v>109</v>
      </c>
      <c r="N31" s="264" t="n">
        <v>4438</v>
      </c>
      <c r="O31" s="264" t="n">
        <v>4198</v>
      </c>
      <c r="P31" s="263" t="n">
        <v>128</v>
      </c>
    </row>
  </sheetData>
  <mergeCells count="7">
    <mergeCell ref="L2:M2"/>
    <mergeCell ref="H2:I2"/>
    <mergeCell ref="A1:P1"/>
    <mergeCell ref="J2:K2"/>
    <mergeCell ref="N2:O2"/>
    <mergeCell ref="A2:A3"/>
    <mergeCell ref="P2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P31"/>
  <sheetViews>
    <sheetView tabSelected="1" workbookViewId="0">
      <selection activeCell="A1" sqref="A1"/>
    </sheetView>
  </sheetViews>
  <sheetFormatPr baseColWidth="8" defaultRowHeight="15"/>
  <cols>
    <col width="24" customWidth="1" style="227" min="1" max="1"/>
    <col width="9.333333" customWidth="1" style="227" min="2" max="2"/>
    <col width="9.555555999999999" customWidth="1" style="227" min="3" max="3"/>
    <col width="9.555555999999999" customWidth="1" style="227" min="4" max="4"/>
    <col width="9.555555999999999" customWidth="1" style="227" min="5" max="5"/>
    <col width="9.555555999999999" customWidth="1" style="227" min="6" max="6"/>
    <col width="11.333333" customWidth="1" style="227" min="7" max="7"/>
    <col width="11.111111" customWidth="1" style="227" min="8" max="8"/>
    <col width="9.333333" customWidth="1" style="227" min="9" max="9"/>
    <col width="9.333333" customWidth="1" style="227" min="10" max="10"/>
    <col width="9.333333" customWidth="1" style="227" min="11" max="11"/>
    <col width="9.333333" customWidth="1" style="227" min="12" max="12"/>
    <col width="9.333333" customWidth="1" style="227" min="13" max="13"/>
    <col width="9.333333" customWidth="1" style="227" min="14" max="14"/>
    <col width="9.333333" customWidth="1" style="227" min="15" max="15"/>
    <col width="9.333333" customWidth="1" style="227" min="16" max="16"/>
  </cols>
  <sheetData>
    <row r="1" ht="31" customHeight="1" s="227">
      <c r="A1" s="34" t="inlineStr">
        <is>
          <t>Table 4: Primary Schools, Classes, Students and Staff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</row>
    <row r="2" ht="19" customHeight="1" s="227">
      <c r="A2" s="35" t="inlineStr">
        <is>
          <t>Province</t>
        </is>
      </c>
      <c r="B2" s="6" t="inlineStr">
        <is>
          <t>Number of</t>
        </is>
      </c>
      <c r="C2" s="7" t="inlineStr">
        <is>
          <t>Disadv.</t>
        </is>
      </c>
      <c r="D2" s="39" t="inlineStr">
        <is>
          <t>Number of</t>
        </is>
      </c>
      <c r="E2" s="6" t="inlineStr">
        <is>
          <t>Number of</t>
        </is>
      </c>
      <c r="F2" s="38" t="inlineStr">
        <is>
          <t>Classes</t>
        </is>
      </c>
      <c r="G2" s="29" t="inlineStr">
        <is>
          <t>Enrollment</t>
        </is>
      </c>
      <c r="H2" s="257" t="n"/>
      <c r="I2" s="8" t="inlineStr">
        <is>
          <t>Repeaters</t>
        </is>
      </c>
      <c r="J2" s="257" t="n"/>
      <c r="K2" s="11" t="inlineStr">
        <is>
          <t>Teaching Staff</t>
        </is>
      </c>
      <c r="L2" s="257" t="n"/>
      <c r="M2" s="14" t="inlineStr">
        <is>
          <t>Non-Teaching Staff</t>
        </is>
      </c>
      <c r="N2" s="257" t="n"/>
      <c r="O2" s="8" t="inlineStr">
        <is>
          <t>Total  Staff</t>
        </is>
      </c>
      <c r="P2" s="257" t="n"/>
    </row>
    <row r="3" ht="18" customHeight="1" s="227">
      <c r="A3" s="258" t="n"/>
      <c r="B3" s="17" t="inlineStr">
        <is>
          <t>Schools</t>
        </is>
      </c>
      <c r="C3" s="18" t="inlineStr">
        <is>
          <t>Schools</t>
        </is>
      </c>
      <c r="D3" s="17" t="inlineStr">
        <is>
          <t>Classes</t>
        </is>
      </c>
      <c r="E3" s="19" t="inlineStr">
        <is>
          <t>Classrooms</t>
        </is>
      </c>
      <c r="F3" s="19" t="inlineStr">
        <is>
          <t>in Pagoda</t>
        </is>
      </c>
      <c r="G3" s="11" t="inlineStr">
        <is>
          <t>Total</t>
        </is>
      </c>
      <c r="H3" s="20" t="inlineStr">
        <is>
          <t>Girl</t>
        </is>
      </c>
      <c r="I3" s="14" t="inlineStr">
        <is>
          <t>Total</t>
        </is>
      </c>
      <c r="J3" s="20" t="inlineStr">
        <is>
          <t>Girl</t>
        </is>
      </c>
      <c r="K3" s="14" t="inlineStr">
        <is>
          <t>Total</t>
        </is>
      </c>
      <c r="L3" s="21" t="inlineStr">
        <is>
          <t>Female</t>
        </is>
      </c>
      <c r="M3" s="21" t="inlineStr">
        <is>
          <t>Total</t>
        </is>
      </c>
      <c r="N3" s="21" t="inlineStr">
        <is>
          <t>Female</t>
        </is>
      </c>
      <c r="O3" s="14" t="inlineStr">
        <is>
          <t>Total</t>
        </is>
      </c>
      <c r="P3" s="21" t="inlineStr">
        <is>
          <t>Female</t>
        </is>
      </c>
    </row>
    <row r="4" ht="14" customHeight="1" s="227">
      <c r="A4" s="28" t="inlineStr">
        <is>
          <t>Banteay Meanchey</t>
        </is>
      </c>
      <c r="B4" s="266" t="n">
        <v>410</v>
      </c>
      <c r="C4" s="263" t="n">
        <v>4</v>
      </c>
      <c r="D4" s="265" t="n">
        <v>3213</v>
      </c>
      <c r="E4" s="265" t="n">
        <v>2275</v>
      </c>
      <c r="F4" s="263" t="n">
        <v>4</v>
      </c>
      <c r="G4" s="264" t="n">
        <v>96900</v>
      </c>
      <c r="H4" s="264" t="n">
        <v>46855</v>
      </c>
      <c r="I4" s="264" t="n">
        <v>3260</v>
      </c>
      <c r="J4" s="264" t="n">
        <v>1136</v>
      </c>
      <c r="K4" s="264" t="n">
        <v>2911</v>
      </c>
      <c r="L4" s="264" t="n">
        <v>1647</v>
      </c>
      <c r="M4" s="263" t="n">
        <v>556</v>
      </c>
      <c r="N4" s="263" t="n">
        <v>98</v>
      </c>
      <c r="O4" s="264" t="n">
        <v>3467</v>
      </c>
      <c r="P4" s="264" t="n">
        <v>1745</v>
      </c>
    </row>
    <row r="5" ht="14" customHeight="1" s="227">
      <c r="A5" s="28" t="inlineStr">
        <is>
          <t>Battambang</t>
        </is>
      </c>
      <c r="B5" s="266" t="n">
        <v>644</v>
      </c>
      <c r="C5" s="263" t="n">
        <v>4</v>
      </c>
      <c r="D5" s="265" t="n">
        <v>5543</v>
      </c>
      <c r="E5" s="265" t="n">
        <v>3762</v>
      </c>
      <c r="F5" s="263" t="n">
        <v>2</v>
      </c>
      <c r="G5" s="264" t="n">
        <v>171713</v>
      </c>
      <c r="H5" s="264" t="n">
        <v>82096</v>
      </c>
      <c r="I5" s="264" t="n">
        <v>10502</v>
      </c>
      <c r="J5" s="264" t="n">
        <v>3741</v>
      </c>
      <c r="K5" s="264" t="n">
        <v>3627</v>
      </c>
      <c r="L5" s="264" t="n">
        <v>2316</v>
      </c>
      <c r="M5" s="264" t="n">
        <v>1275</v>
      </c>
      <c r="N5" s="263" t="n">
        <v>484</v>
      </c>
      <c r="O5" s="264" t="n">
        <v>4902</v>
      </c>
      <c r="P5" s="264" t="n">
        <v>2800</v>
      </c>
    </row>
    <row r="6" ht="15" customHeight="1" s="227">
      <c r="A6" s="28" t="inlineStr">
        <is>
          <t>Kampong Cham</t>
        </is>
      </c>
      <c r="B6" s="266" t="n">
        <v>408</v>
      </c>
      <c r="C6" s="263" t="n">
        <v>2</v>
      </c>
      <c r="D6" s="265" t="n">
        <v>3867</v>
      </c>
      <c r="E6" s="265" t="n">
        <v>2855</v>
      </c>
      <c r="F6" s="263" t="n">
        <v>93</v>
      </c>
      <c r="G6" s="264" t="n">
        <v>141437</v>
      </c>
      <c r="H6" s="264" t="n">
        <v>67395</v>
      </c>
      <c r="I6" s="264" t="n">
        <v>12707</v>
      </c>
      <c r="J6" s="264" t="n">
        <v>4606</v>
      </c>
      <c r="K6" s="264" t="n">
        <v>2601</v>
      </c>
      <c r="L6" s="264" t="n">
        <v>1658</v>
      </c>
      <c r="M6" s="264" t="n">
        <v>1036</v>
      </c>
      <c r="N6" s="263" t="n">
        <v>410</v>
      </c>
      <c r="O6" s="264" t="n">
        <v>3637</v>
      </c>
      <c r="P6" s="264" t="n">
        <v>2068</v>
      </c>
    </row>
    <row r="7" ht="14" customHeight="1" s="227">
      <c r="A7" s="28" t="inlineStr">
        <is>
          <t>Kampong Chhnang</t>
        </is>
      </c>
      <c r="B7" s="266" t="n">
        <v>278</v>
      </c>
      <c r="C7" s="263" t="n">
        <v>0</v>
      </c>
      <c r="D7" s="265" t="n">
        <v>2237</v>
      </c>
      <c r="E7" s="265" t="n">
        <v>1511</v>
      </c>
      <c r="F7" s="263" t="n">
        <v>1</v>
      </c>
      <c r="G7" s="264" t="n">
        <v>74274</v>
      </c>
      <c r="H7" s="264" t="n">
        <v>36121</v>
      </c>
      <c r="I7" s="264" t="n">
        <v>4332</v>
      </c>
      <c r="J7" s="264" t="n">
        <v>1437</v>
      </c>
      <c r="K7" s="264" t="n">
        <v>1779</v>
      </c>
      <c r="L7" s="263" t="n">
        <v>889</v>
      </c>
      <c r="M7" s="263" t="n">
        <v>434</v>
      </c>
      <c r="N7" s="263" t="n">
        <v>108</v>
      </c>
      <c r="O7" s="264" t="n">
        <v>2213</v>
      </c>
      <c r="P7" s="263" t="n">
        <v>997</v>
      </c>
    </row>
    <row r="8" ht="14" customHeight="1" s="227">
      <c r="A8" s="28" t="inlineStr">
        <is>
          <t>Kampong Speu</t>
        </is>
      </c>
      <c r="B8" s="266" t="n">
        <v>313</v>
      </c>
      <c r="C8" s="263" t="n">
        <v>1</v>
      </c>
      <c r="D8" s="265" t="n">
        <v>2903</v>
      </c>
      <c r="E8" s="265" t="n">
        <v>2130</v>
      </c>
      <c r="F8" s="263" t="n">
        <v>11</v>
      </c>
      <c r="G8" s="264" t="n">
        <v>110874</v>
      </c>
      <c r="H8" s="264" t="n">
        <v>53596</v>
      </c>
      <c r="I8" s="264" t="n">
        <v>5346</v>
      </c>
      <c r="J8" s="264" t="n">
        <v>2000</v>
      </c>
      <c r="K8" s="264" t="n">
        <v>2225</v>
      </c>
      <c r="L8" s="264" t="n">
        <v>1019</v>
      </c>
      <c r="M8" s="263" t="n">
        <v>462</v>
      </c>
      <c r="N8" s="263" t="n">
        <v>79</v>
      </c>
      <c r="O8" s="264" t="n">
        <v>2687</v>
      </c>
      <c r="P8" s="264" t="n">
        <v>1098</v>
      </c>
    </row>
    <row r="9" ht="14" customHeight="1" s="227">
      <c r="A9" s="28" t="inlineStr">
        <is>
          <t>Kampong Thom</t>
        </is>
      </c>
      <c r="B9" s="266" t="n">
        <v>487</v>
      </c>
      <c r="C9" s="263" t="n">
        <v>2</v>
      </c>
      <c r="D9" s="265" t="n">
        <v>3309</v>
      </c>
      <c r="E9" s="265" t="n">
        <v>2396</v>
      </c>
      <c r="F9" s="263" t="n">
        <v>19</v>
      </c>
      <c r="G9" s="264" t="n">
        <v>100565</v>
      </c>
      <c r="H9" s="264" t="n">
        <v>48939</v>
      </c>
      <c r="I9" s="264" t="n">
        <v>7333</v>
      </c>
      <c r="J9" s="264" t="n">
        <v>2744</v>
      </c>
      <c r="K9" s="264" t="n">
        <v>2425</v>
      </c>
      <c r="L9" s="264" t="n">
        <v>1368</v>
      </c>
      <c r="M9" s="263" t="n">
        <v>424</v>
      </c>
      <c r="N9" s="263" t="n">
        <v>120</v>
      </c>
      <c r="O9" s="264" t="n">
        <v>2849</v>
      </c>
      <c r="P9" s="264" t="n">
        <v>1488</v>
      </c>
    </row>
    <row r="10" ht="14" customHeight="1" s="227">
      <c r="A10" s="28" t="inlineStr">
        <is>
          <t>Kampot</t>
        </is>
      </c>
      <c r="B10" s="266" t="n">
        <v>311</v>
      </c>
      <c r="C10" s="263" t="n">
        <v>0</v>
      </c>
      <c r="D10" s="265" t="n">
        <v>2451</v>
      </c>
      <c r="E10" s="265" t="n">
        <v>1944</v>
      </c>
      <c r="F10" s="263" t="n">
        <v>0</v>
      </c>
      <c r="G10" s="264" t="n">
        <v>78535</v>
      </c>
      <c r="H10" s="264" t="n">
        <v>37379</v>
      </c>
      <c r="I10" s="264" t="n">
        <v>3331</v>
      </c>
      <c r="J10" s="264" t="n">
        <v>1126</v>
      </c>
      <c r="K10" s="264" t="n">
        <v>2305</v>
      </c>
      <c r="L10" s="264" t="n">
        <v>1179</v>
      </c>
      <c r="M10" s="263" t="n">
        <v>526</v>
      </c>
      <c r="N10" s="263" t="n">
        <v>98</v>
      </c>
      <c r="O10" s="264" t="n">
        <v>2831</v>
      </c>
      <c r="P10" s="264" t="n">
        <v>1277</v>
      </c>
    </row>
    <row r="11" ht="14" customHeight="1" s="227">
      <c r="A11" s="28" t="inlineStr">
        <is>
          <t>Kandal</t>
        </is>
      </c>
      <c r="B11" s="266" t="n">
        <v>374</v>
      </c>
      <c r="C11" s="263" t="n">
        <v>1</v>
      </c>
      <c r="D11" s="265" t="n">
        <v>4293</v>
      </c>
      <c r="E11" s="265" t="n">
        <v>3099</v>
      </c>
      <c r="F11" s="263" t="n">
        <v>8</v>
      </c>
      <c r="G11" s="264" t="n">
        <v>159688</v>
      </c>
      <c r="H11" s="264" t="n">
        <v>75273</v>
      </c>
      <c r="I11" s="264" t="n">
        <v>12642</v>
      </c>
      <c r="J11" s="264" t="n">
        <v>4509</v>
      </c>
      <c r="K11" s="264" t="n">
        <v>2458</v>
      </c>
      <c r="L11" s="264" t="n">
        <v>1557</v>
      </c>
      <c r="M11" s="263" t="n">
        <v>847</v>
      </c>
      <c r="N11" s="263" t="n">
        <v>251</v>
      </c>
      <c r="O11" s="264" t="n">
        <v>3305</v>
      </c>
      <c r="P11" s="264" t="n">
        <v>1808</v>
      </c>
    </row>
    <row r="12" ht="14" customHeight="1" s="227">
      <c r="A12" s="28" t="inlineStr">
        <is>
          <t>Kep</t>
        </is>
      </c>
      <c r="B12" s="263" t="n">
        <v>22</v>
      </c>
      <c r="C12" s="263" t="n">
        <v>0</v>
      </c>
      <c r="D12" s="266" t="n">
        <v>171</v>
      </c>
      <c r="E12" s="263" t="n">
        <v>142</v>
      </c>
      <c r="F12" s="263" t="n">
        <v>7</v>
      </c>
      <c r="G12" s="264" t="n">
        <v>5104</v>
      </c>
      <c r="H12" s="264" t="n">
        <v>2523</v>
      </c>
      <c r="I12" s="263" t="n">
        <v>263</v>
      </c>
      <c r="J12" s="263" t="n">
        <v>100</v>
      </c>
      <c r="K12" s="263" t="n">
        <v>202</v>
      </c>
      <c r="L12" s="263" t="n">
        <v>115</v>
      </c>
      <c r="M12" s="263" t="n">
        <v>61</v>
      </c>
      <c r="N12" s="263" t="n">
        <v>9</v>
      </c>
      <c r="O12" s="263" t="n">
        <v>263</v>
      </c>
      <c r="P12" s="263" t="n">
        <v>124</v>
      </c>
    </row>
    <row r="13" ht="14" customHeight="1" s="227">
      <c r="A13" s="28" t="inlineStr">
        <is>
          <t>Koh Kong</t>
        </is>
      </c>
      <c r="B13" s="266" t="n">
        <v>121</v>
      </c>
      <c r="C13" s="263" t="n">
        <v>4</v>
      </c>
      <c r="D13" s="266" t="n">
        <v>798</v>
      </c>
      <c r="E13" s="263" t="n">
        <v>512</v>
      </c>
      <c r="F13" s="263" t="n">
        <v>0</v>
      </c>
      <c r="G13" s="264" t="n">
        <v>16689</v>
      </c>
      <c r="H13" s="264" t="n">
        <v>8006</v>
      </c>
      <c r="I13" s="263" t="n">
        <v>627</v>
      </c>
      <c r="J13" s="263" t="n">
        <v>238</v>
      </c>
      <c r="K13" s="263" t="n">
        <v>615</v>
      </c>
      <c r="L13" s="263" t="n">
        <v>307</v>
      </c>
      <c r="M13" s="263" t="n">
        <v>103</v>
      </c>
      <c r="N13" s="263" t="n">
        <v>33</v>
      </c>
      <c r="O13" s="263" t="n">
        <v>718</v>
      </c>
      <c r="P13" s="263" t="n">
        <v>340</v>
      </c>
    </row>
    <row r="14" ht="14" customHeight="1" s="227">
      <c r="A14" s="28" t="inlineStr">
        <is>
          <t>Kratie</t>
        </is>
      </c>
      <c r="B14" s="266" t="n">
        <v>274</v>
      </c>
      <c r="C14" s="263" t="n">
        <v>7</v>
      </c>
      <c r="D14" s="265" t="n">
        <v>2179</v>
      </c>
      <c r="E14" s="265" t="n">
        <v>1372</v>
      </c>
      <c r="F14" s="263" t="n">
        <v>25</v>
      </c>
      <c r="G14" s="264" t="n">
        <v>63323</v>
      </c>
      <c r="H14" s="264" t="n">
        <v>30637</v>
      </c>
      <c r="I14" s="264" t="n">
        <v>5012</v>
      </c>
      <c r="J14" s="264" t="n">
        <v>1896</v>
      </c>
      <c r="K14" s="264" t="n">
        <v>1454</v>
      </c>
      <c r="L14" s="263" t="n">
        <v>967</v>
      </c>
      <c r="M14" s="263" t="n">
        <v>249</v>
      </c>
      <c r="N14" s="263" t="n">
        <v>91</v>
      </c>
      <c r="O14" s="264" t="n">
        <v>1703</v>
      </c>
      <c r="P14" s="264" t="n">
        <v>1058</v>
      </c>
    </row>
    <row r="15" ht="14" customHeight="1" s="227">
      <c r="A15" s="28" t="inlineStr">
        <is>
          <t>Mondul Kiri</t>
        </is>
      </c>
      <c r="B15" s="263" t="n">
        <v>89</v>
      </c>
      <c r="C15" s="263" t="n">
        <v>4</v>
      </c>
      <c r="D15" s="266" t="n">
        <v>650</v>
      </c>
      <c r="E15" s="263" t="n">
        <v>428</v>
      </c>
      <c r="F15" s="263" t="n">
        <v>2</v>
      </c>
      <c r="G15" s="264" t="n">
        <v>14576</v>
      </c>
      <c r="H15" s="264" t="n">
        <v>7211</v>
      </c>
      <c r="I15" s="263" t="n">
        <v>680</v>
      </c>
      <c r="J15" s="263" t="n">
        <v>266</v>
      </c>
      <c r="K15" s="263" t="n">
        <v>563</v>
      </c>
      <c r="L15" s="263" t="n">
        <v>273</v>
      </c>
      <c r="M15" s="263" t="n">
        <v>32</v>
      </c>
      <c r="N15" s="263" t="n">
        <v>8</v>
      </c>
      <c r="O15" s="263" t="n">
        <v>595</v>
      </c>
      <c r="P15" s="263" t="n">
        <v>281</v>
      </c>
    </row>
    <row r="16" ht="14" customHeight="1" s="227">
      <c r="A16" s="28" t="inlineStr">
        <is>
          <t>Otdar Meanchey</t>
        </is>
      </c>
      <c r="B16" s="266" t="n">
        <v>218</v>
      </c>
      <c r="C16" s="263" t="n">
        <v>0</v>
      </c>
      <c r="D16" s="265" t="n">
        <v>1504</v>
      </c>
      <c r="E16" s="265" t="n">
        <v>1007</v>
      </c>
      <c r="F16" s="263" t="n">
        <v>15</v>
      </c>
      <c r="G16" s="264" t="n">
        <v>37379</v>
      </c>
      <c r="H16" s="264" t="n">
        <v>17940</v>
      </c>
      <c r="I16" s="264" t="n">
        <v>2981</v>
      </c>
      <c r="J16" s="264" t="n">
        <v>1080</v>
      </c>
      <c r="K16" s="263" t="n">
        <v>957</v>
      </c>
      <c r="L16" s="263" t="n">
        <v>434</v>
      </c>
      <c r="M16" s="263" t="n">
        <v>236</v>
      </c>
      <c r="N16" s="263" t="n">
        <v>54</v>
      </c>
      <c r="O16" s="264" t="n">
        <v>1193</v>
      </c>
      <c r="P16" s="263" t="n">
        <v>488</v>
      </c>
    </row>
    <row r="17" ht="14" customHeight="1" s="227">
      <c r="A17" s="28" t="inlineStr">
        <is>
          <t>Pailin</t>
        </is>
      </c>
      <c r="B17" s="263" t="n">
        <v>48</v>
      </c>
      <c r="C17" s="263" t="n">
        <v>0</v>
      </c>
      <c r="D17" s="266" t="n">
        <v>357</v>
      </c>
      <c r="E17" s="263" t="n">
        <v>251</v>
      </c>
      <c r="F17" s="263" t="n">
        <v>0</v>
      </c>
      <c r="G17" s="264" t="n">
        <v>10316</v>
      </c>
      <c r="H17" s="264" t="n">
        <v>4960</v>
      </c>
      <c r="I17" s="263" t="n">
        <v>635</v>
      </c>
      <c r="J17" s="263" t="n">
        <v>198</v>
      </c>
      <c r="K17" s="263" t="n">
        <v>293</v>
      </c>
      <c r="L17" s="263" t="n">
        <v>163</v>
      </c>
      <c r="M17" s="263" t="n">
        <v>38</v>
      </c>
      <c r="N17" s="263" t="n">
        <v>12</v>
      </c>
      <c r="O17" s="263" t="n">
        <v>331</v>
      </c>
      <c r="P17" s="263" t="n">
        <v>175</v>
      </c>
    </row>
    <row r="18" ht="14" customHeight="1" s="227">
      <c r="A18" s="28" t="inlineStr">
        <is>
          <t>Phnom Penh</t>
        </is>
      </c>
      <c r="B18" s="266" t="n">
        <v>164</v>
      </c>
      <c r="C18" s="263" t="n">
        <v>0</v>
      </c>
      <c r="D18" s="265" t="n">
        <v>3360</v>
      </c>
      <c r="E18" s="265" t="n">
        <v>2241</v>
      </c>
      <c r="F18" s="263" t="n">
        <v>17</v>
      </c>
      <c r="G18" s="264" t="n">
        <v>138900</v>
      </c>
      <c r="H18" s="264" t="n">
        <v>66114</v>
      </c>
      <c r="I18" s="264" t="n">
        <v>3953</v>
      </c>
      <c r="J18" s="264" t="n">
        <v>1233</v>
      </c>
      <c r="K18" s="264" t="n">
        <v>3648</v>
      </c>
      <c r="L18" s="264" t="n">
        <v>2739</v>
      </c>
      <c r="M18" s="263" t="n">
        <v>520</v>
      </c>
      <c r="N18" s="263" t="n">
        <v>226</v>
      </c>
      <c r="O18" s="264" t="n">
        <v>4168</v>
      </c>
      <c r="P18" s="264" t="n">
        <v>2965</v>
      </c>
    </row>
    <row r="19" ht="14" customHeight="1" s="227">
      <c r="A19" s="28" t="inlineStr">
        <is>
          <t>Preah Sihanouk</t>
        </is>
      </c>
      <c r="B19" s="263" t="n">
        <v>72</v>
      </c>
      <c r="C19" s="263" t="n">
        <v>4</v>
      </c>
      <c r="D19" s="266" t="n">
        <v>822</v>
      </c>
      <c r="E19" s="263" t="n">
        <v>558</v>
      </c>
      <c r="F19" s="263" t="n">
        <v>0</v>
      </c>
      <c r="G19" s="264" t="n">
        <v>26923</v>
      </c>
      <c r="H19" s="264" t="n">
        <v>13117</v>
      </c>
      <c r="I19" s="263" t="n">
        <v>825</v>
      </c>
      <c r="J19" s="263" t="n">
        <v>296</v>
      </c>
      <c r="K19" s="263" t="n">
        <v>833</v>
      </c>
      <c r="L19" s="263" t="n">
        <v>464</v>
      </c>
      <c r="M19" s="263" t="n">
        <v>148</v>
      </c>
      <c r="N19" s="263" t="n">
        <v>49</v>
      </c>
      <c r="O19" s="263" t="n">
        <v>981</v>
      </c>
      <c r="P19" s="263" t="n">
        <v>513</v>
      </c>
    </row>
    <row r="20" ht="14" customHeight="1" s="227">
      <c r="A20" s="28" t="inlineStr">
        <is>
          <t>Preah Vihear</t>
        </is>
      </c>
      <c r="B20" s="266" t="n">
        <v>228</v>
      </c>
      <c r="C20" s="263" t="n">
        <v>7</v>
      </c>
      <c r="D20" s="265" t="n">
        <v>1539</v>
      </c>
      <c r="E20" s="265" t="n">
        <v>1067</v>
      </c>
      <c r="F20" s="263" t="n">
        <v>1</v>
      </c>
      <c r="G20" s="264" t="n">
        <v>37343</v>
      </c>
      <c r="H20" s="264" t="n">
        <v>18183</v>
      </c>
      <c r="I20" s="264" t="n">
        <v>3112</v>
      </c>
      <c r="J20" s="264" t="n">
        <v>1262</v>
      </c>
      <c r="K20" s="264" t="n">
        <v>1203</v>
      </c>
      <c r="L20" s="263" t="n">
        <v>645</v>
      </c>
      <c r="M20" s="263" t="n">
        <v>196</v>
      </c>
      <c r="N20" s="263" t="n">
        <v>48</v>
      </c>
      <c r="O20" s="264" t="n">
        <v>1399</v>
      </c>
      <c r="P20" s="263" t="n">
        <v>693</v>
      </c>
    </row>
    <row r="21" ht="14" customHeight="1" s="227">
      <c r="A21" s="28" t="inlineStr">
        <is>
          <t>Prey Veng</t>
        </is>
      </c>
      <c r="B21" s="266" t="n">
        <v>544</v>
      </c>
      <c r="C21" s="263" t="n">
        <v>2</v>
      </c>
      <c r="D21" s="265" t="n">
        <v>4531</v>
      </c>
      <c r="E21" s="265" t="n">
        <v>3441</v>
      </c>
      <c r="F21" s="263" t="n">
        <v>26</v>
      </c>
      <c r="G21" s="264" t="n">
        <v>149003</v>
      </c>
      <c r="H21" s="264" t="n">
        <v>70067</v>
      </c>
      <c r="I21" s="264" t="n">
        <v>10097</v>
      </c>
      <c r="J21" s="264" t="n">
        <v>3587</v>
      </c>
      <c r="K21" s="264" t="n">
        <v>2765</v>
      </c>
      <c r="L21" s="264" t="n">
        <v>1348</v>
      </c>
      <c r="M21" s="264" t="n">
        <v>1211</v>
      </c>
      <c r="N21" s="263" t="n">
        <v>325</v>
      </c>
      <c r="O21" s="264" t="n">
        <v>3976</v>
      </c>
      <c r="P21" s="264" t="n">
        <v>1673</v>
      </c>
    </row>
    <row r="22" ht="14" customHeight="1" s="227">
      <c r="A22" s="28" t="inlineStr">
        <is>
          <t>Pursat</t>
        </is>
      </c>
      <c r="B22" s="266" t="n">
        <v>305</v>
      </c>
      <c r="C22" s="263" t="n">
        <v>0</v>
      </c>
      <c r="D22" s="265" t="n">
        <v>2315</v>
      </c>
      <c r="E22" s="265" t="n">
        <v>1553</v>
      </c>
      <c r="F22" s="263" t="n">
        <v>0</v>
      </c>
      <c r="G22" s="264" t="n">
        <v>69224</v>
      </c>
      <c r="H22" s="264" t="n">
        <v>33569</v>
      </c>
      <c r="I22" s="264" t="n">
        <v>5328</v>
      </c>
      <c r="J22" s="264" t="n">
        <v>2067</v>
      </c>
      <c r="K22" s="264" t="n">
        <v>1572</v>
      </c>
      <c r="L22" s="263" t="n">
        <v>841</v>
      </c>
      <c r="M22" s="263" t="n">
        <v>396</v>
      </c>
      <c r="N22" s="263" t="n">
        <v>108</v>
      </c>
      <c r="O22" s="264" t="n">
        <v>1968</v>
      </c>
      <c r="P22" s="263" t="n">
        <v>949</v>
      </c>
    </row>
    <row r="23" ht="14" customHeight="1" s="227">
      <c r="A23" s="28" t="inlineStr">
        <is>
          <t>Ratanak Kiri</t>
        </is>
      </c>
      <c r="B23" s="266" t="n">
        <v>220</v>
      </c>
      <c r="C23" s="263" t="n">
        <v>5</v>
      </c>
      <c r="D23" s="265" t="n">
        <v>1393</v>
      </c>
      <c r="E23" s="263" t="n">
        <v>877</v>
      </c>
      <c r="F23" s="263" t="n">
        <v>0</v>
      </c>
      <c r="G23" s="264" t="n">
        <v>40979</v>
      </c>
      <c r="H23" s="264" t="n">
        <v>19760</v>
      </c>
      <c r="I23" s="264" t="n">
        <v>1749</v>
      </c>
      <c r="J23" s="263" t="n">
        <v>721</v>
      </c>
      <c r="K23" s="263" t="n">
        <v>776</v>
      </c>
      <c r="L23" s="263" t="n">
        <v>355</v>
      </c>
      <c r="M23" s="263" t="n">
        <v>80</v>
      </c>
      <c r="N23" s="263" t="n">
        <v>16</v>
      </c>
      <c r="O23" s="263" t="n">
        <v>856</v>
      </c>
      <c r="P23" s="263" t="n">
        <v>371</v>
      </c>
    </row>
    <row r="24" ht="14" customHeight="1" s="227">
      <c r="A24" s="28" t="inlineStr">
        <is>
          <t>Siemreap</t>
        </is>
      </c>
      <c r="B24" s="266" t="n">
        <v>503</v>
      </c>
      <c r="C24" s="263" t="n">
        <v>1</v>
      </c>
      <c r="D24" s="265" t="n">
        <v>4527</v>
      </c>
      <c r="E24" s="265" t="n">
        <v>3180</v>
      </c>
      <c r="F24" s="263" t="n">
        <v>20</v>
      </c>
      <c r="G24" s="264" t="n">
        <v>164652</v>
      </c>
      <c r="H24" s="264" t="n">
        <v>79415</v>
      </c>
      <c r="I24" s="264" t="n">
        <v>11977</v>
      </c>
      <c r="J24" s="264" t="n">
        <v>4203</v>
      </c>
      <c r="K24" s="264" t="n">
        <v>3111</v>
      </c>
      <c r="L24" s="264" t="n">
        <v>2161</v>
      </c>
      <c r="M24" s="264" t="n">
        <v>1008</v>
      </c>
      <c r="N24" s="263" t="n">
        <v>364</v>
      </c>
      <c r="O24" s="264" t="n">
        <v>4119</v>
      </c>
      <c r="P24" s="264" t="n">
        <v>2525</v>
      </c>
    </row>
    <row r="25" ht="14" customHeight="1" s="227">
      <c r="A25" s="28" t="inlineStr">
        <is>
          <t>Stung Treng</t>
        </is>
      </c>
      <c r="B25" s="266" t="n">
        <v>152</v>
      </c>
      <c r="C25" s="263" t="n">
        <v>1</v>
      </c>
      <c r="D25" s="265" t="n">
        <v>1140</v>
      </c>
      <c r="E25" s="263" t="n">
        <v>695</v>
      </c>
      <c r="F25" s="263" t="n">
        <v>1</v>
      </c>
      <c r="G25" s="264" t="n">
        <v>25807</v>
      </c>
      <c r="H25" s="264" t="n">
        <v>12648</v>
      </c>
      <c r="I25" s="264" t="n">
        <v>2722</v>
      </c>
      <c r="J25" s="264" t="n">
        <v>1183</v>
      </c>
      <c r="K25" s="263" t="n">
        <v>742</v>
      </c>
      <c r="L25" s="263" t="n">
        <v>443</v>
      </c>
      <c r="M25" s="263" t="n">
        <v>111</v>
      </c>
      <c r="N25" s="263" t="n">
        <v>42</v>
      </c>
      <c r="O25" s="263" t="n">
        <v>853</v>
      </c>
      <c r="P25" s="263" t="n">
        <v>485</v>
      </c>
    </row>
    <row r="26" ht="14" customHeight="1" s="227">
      <c r="A26" s="28" t="inlineStr">
        <is>
          <t>Svay Rieng</t>
        </is>
      </c>
      <c r="B26" s="266" t="n">
        <v>262</v>
      </c>
      <c r="C26" s="263" t="n">
        <v>0</v>
      </c>
      <c r="D26" s="265" t="n">
        <v>2227</v>
      </c>
      <c r="E26" s="265" t="n">
        <v>1779</v>
      </c>
      <c r="F26" s="263" t="n">
        <v>5</v>
      </c>
      <c r="G26" s="264" t="n">
        <v>72118</v>
      </c>
      <c r="H26" s="264" t="n">
        <v>34824</v>
      </c>
      <c r="I26" s="264" t="n">
        <v>3000</v>
      </c>
      <c r="J26" s="264" t="n">
        <v>1050</v>
      </c>
      <c r="K26" s="264" t="n">
        <v>1685</v>
      </c>
      <c r="L26" s="263" t="n">
        <v>688</v>
      </c>
      <c r="M26" s="263" t="n">
        <v>554</v>
      </c>
      <c r="N26" s="263" t="n">
        <v>118</v>
      </c>
      <c r="O26" s="264" t="n">
        <v>2239</v>
      </c>
      <c r="P26" s="263" t="n">
        <v>806</v>
      </c>
    </row>
    <row r="27" ht="14" customHeight="1" s="227">
      <c r="A27" s="28" t="inlineStr">
        <is>
          <t>Takeo</t>
        </is>
      </c>
      <c r="B27" s="266" t="n">
        <v>382</v>
      </c>
      <c r="C27" s="263" t="n">
        <v>0</v>
      </c>
      <c r="D27" s="265" t="n">
        <v>3574</v>
      </c>
      <c r="E27" s="265" t="n">
        <v>3050</v>
      </c>
      <c r="F27" s="263" t="n">
        <v>65</v>
      </c>
      <c r="G27" s="264" t="n">
        <v>118349</v>
      </c>
      <c r="H27" s="264" t="n">
        <v>56317</v>
      </c>
      <c r="I27" s="264" t="n">
        <v>7546</v>
      </c>
      <c r="J27" s="264" t="n">
        <v>2629</v>
      </c>
      <c r="K27" s="264" t="n">
        <v>2894</v>
      </c>
      <c r="L27" s="264" t="n">
        <v>1259</v>
      </c>
      <c r="M27" s="263" t="n">
        <v>975</v>
      </c>
      <c r="N27" s="263" t="n">
        <v>224</v>
      </c>
      <c r="O27" s="264" t="n">
        <v>3869</v>
      </c>
      <c r="P27" s="264" t="n">
        <v>1483</v>
      </c>
    </row>
    <row r="28" ht="14" customHeight="1" s="227">
      <c r="A28" s="28" t="inlineStr">
        <is>
          <t>Tbaung Khmum</t>
        </is>
      </c>
      <c r="B28" s="266" t="n">
        <v>399</v>
      </c>
      <c r="C28" s="263" t="n">
        <v>6</v>
      </c>
      <c r="D28" s="265" t="n">
        <v>3305</v>
      </c>
      <c r="E28" s="265" t="n">
        <v>2270</v>
      </c>
      <c r="F28" s="263" t="n">
        <v>28</v>
      </c>
      <c r="G28" s="264" t="n">
        <v>115586</v>
      </c>
      <c r="H28" s="264" t="n">
        <v>55855</v>
      </c>
      <c r="I28" s="264" t="n">
        <v>6871</v>
      </c>
      <c r="J28" s="264" t="n">
        <v>2644</v>
      </c>
      <c r="K28" s="264" t="n">
        <v>2192</v>
      </c>
      <c r="L28" s="264" t="n">
        <v>1285</v>
      </c>
      <c r="M28" s="263" t="n">
        <v>497</v>
      </c>
      <c r="N28" s="263" t="n">
        <v>158</v>
      </c>
      <c r="O28" s="264" t="n">
        <v>2689</v>
      </c>
      <c r="P28" s="264" t="n">
        <v>1443</v>
      </c>
    </row>
    <row r="29" ht="17" customHeight="1" s="227">
      <c r="A29" s="22" t="inlineStr">
        <is>
          <t>Whole Kingdom</t>
        </is>
      </c>
      <c r="B29" s="265" t="n">
        <v>7228</v>
      </c>
      <c r="C29" s="263" t="n">
        <v>55</v>
      </c>
      <c r="D29" s="267" t="n">
        <v>62208</v>
      </c>
      <c r="E29" s="267" t="n">
        <v>44395</v>
      </c>
      <c r="F29" s="266" t="n">
        <v>350</v>
      </c>
      <c r="G29" s="264" t="n">
        <v>2040257</v>
      </c>
      <c r="H29" s="264" t="n">
        <v>978800</v>
      </c>
      <c r="I29" s="264" t="n">
        <v>126831</v>
      </c>
      <c r="J29" s="264" t="n">
        <v>45952</v>
      </c>
      <c r="K29" s="264" t="n">
        <v>45836</v>
      </c>
      <c r="L29" s="264" t="n">
        <v>26120</v>
      </c>
      <c r="M29" s="264" t="n">
        <v>11975</v>
      </c>
      <c r="N29" s="264" t="n">
        <v>3533</v>
      </c>
      <c r="O29" s="264" t="n">
        <v>57811</v>
      </c>
      <c r="P29" s="264" t="n">
        <v>29653</v>
      </c>
    </row>
    <row r="30" ht="14" customHeight="1" s="227">
      <c r="A30" s="28" t="inlineStr">
        <is>
          <t>-  Urban Area</t>
        </is>
      </c>
      <c r="B30" s="266" t="n">
        <v>675</v>
      </c>
      <c r="C30" s="263" t="n">
        <v>0</v>
      </c>
      <c r="D30" s="265" t="n">
        <v>9168</v>
      </c>
      <c r="E30" s="265" t="n">
        <v>6503</v>
      </c>
      <c r="F30" s="263" t="n">
        <v>52</v>
      </c>
      <c r="G30" s="264" t="n">
        <v>339526</v>
      </c>
      <c r="H30" s="264" t="n">
        <v>162443</v>
      </c>
      <c r="I30" s="264" t="n">
        <v>14556</v>
      </c>
      <c r="J30" s="264" t="n">
        <v>4966</v>
      </c>
      <c r="K30" s="264" t="n">
        <v>9565</v>
      </c>
      <c r="L30" s="264" t="n">
        <v>6735</v>
      </c>
      <c r="M30" s="264" t="n">
        <v>1873</v>
      </c>
      <c r="N30" s="263" t="n">
        <v>798</v>
      </c>
      <c r="O30" s="264" t="n">
        <v>11438</v>
      </c>
      <c r="P30" s="264" t="n">
        <v>7533</v>
      </c>
    </row>
    <row r="31" ht="14" customHeight="1" s="227">
      <c r="A31" s="28" t="inlineStr">
        <is>
          <t>-  Rural Area</t>
        </is>
      </c>
      <c r="B31" s="265" t="n">
        <v>6553</v>
      </c>
      <c r="C31" s="263" t="n">
        <v>55</v>
      </c>
      <c r="D31" s="267" t="n">
        <v>53040</v>
      </c>
      <c r="E31" s="267" t="n">
        <v>37892</v>
      </c>
      <c r="F31" s="266" t="n">
        <v>298</v>
      </c>
      <c r="G31" s="264" t="n">
        <v>1700731</v>
      </c>
      <c r="H31" s="264" t="n">
        <v>816357</v>
      </c>
      <c r="I31" s="264" t="n">
        <v>112275</v>
      </c>
      <c r="J31" s="264" t="n">
        <v>40986</v>
      </c>
      <c r="K31" s="264" t="n">
        <v>36271</v>
      </c>
      <c r="L31" s="264" t="n">
        <v>19385</v>
      </c>
      <c r="M31" s="264" t="n">
        <v>10102</v>
      </c>
      <c r="N31" s="264" t="n">
        <v>2735</v>
      </c>
      <c r="O31" s="264" t="n">
        <v>46373</v>
      </c>
      <c r="P31" s="264" t="n">
        <v>22120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P31"/>
  <sheetViews>
    <sheetView tabSelected="1" workbookViewId="0">
      <selection activeCell="A1" sqref="A1"/>
    </sheetView>
  </sheetViews>
  <sheetFormatPr baseColWidth="8" defaultRowHeight="15"/>
  <cols>
    <col width="25.333333" customWidth="1" style="227" min="1" max="1"/>
    <col width="9.777778" customWidth="1" style="227" min="2" max="2"/>
    <col width="9.777778" customWidth="1" style="227" min="3" max="3"/>
    <col width="9.777778" customWidth="1" style="227" min="4" max="4"/>
    <col width="9.777778" customWidth="1" style="227" min="5" max="5"/>
    <col width="9.777778" customWidth="1" style="227" min="6" max="6"/>
    <col width="9.777778" customWidth="1" style="227" min="7" max="7"/>
    <col width="9.777778" customWidth="1" style="227" min="8" max="8"/>
    <col width="9.333333" customWidth="1" style="227" min="9" max="9"/>
    <col width="8.888889000000001" customWidth="1" style="227" min="10" max="10"/>
    <col width="9.333333" customWidth="1" style="227" min="11" max="11"/>
    <col width="8.888889000000001" customWidth="1" style="227" min="12" max="12"/>
    <col width="9.333333" customWidth="1" style="227" min="13" max="13"/>
    <col width="8.888889000000001" customWidth="1" style="227" min="14" max="14"/>
    <col width="9.333333" customWidth="1" style="227" min="15" max="15"/>
    <col width="8.888889000000001" customWidth="1" style="227" min="16" max="16"/>
  </cols>
  <sheetData>
    <row r="1" ht="31" customHeight="1" s="227">
      <c r="A1" s="34" t="inlineStr">
        <is>
          <t>Table 5: Colleges, Classes, Students and Staff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</row>
    <row r="2" ht="19" customHeight="1" s="227">
      <c r="A2" s="35" t="inlineStr">
        <is>
          <t>Province</t>
        </is>
      </c>
      <c r="B2" s="6" t="inlineStr">
        <is>
          <t>Number of</t>
        </is>
      </c>
      <c r="C2" s="7" t="inlineStr">
        <is>
          <t>Disadv.</t>
        </is>
      </c>
      <c r="D2" s="6" t="inlineStr">
        <is>
          <t>Number of</t>
        </is>
      </c>
      <c r="E2" s="6" t="inlineStr">
        <is>
          <t>Number of</t>
        </is>
      </c>
      <c r="F2" s="7" t="inlineStr">
        <is>
          <t>Classes</t>
        </is>
      </c>
      <c r="G2" s="8" t="inlineStr">
        <is>
          <t>Enrollment</t>
        </is>
      </c>
      <c r="H2" s="257" t="n"/>
      <c r="I2" s="8" t="inlineStr">
        <is>
          <t>Repeaters</t>
        </is>
      </c>
      <c r="J2" s="257" t="n"/>
      <c r="K2" s="11" t="inlineStr">
        <is>
          <t>Teaching Staff</t>
        </is>
      </c>
      <c r="L2" s="257" t="n"/>
      <c r="M2" s="14" t="inlineStr">
        <is>
          <t>Non-Teaching Staff</t>
        </is>
      </c>
      <c r="N2" s="257" t="n"/>
      <c r="O2" s="8" t="inlineStr">
        <is>
          <t>Total  Staff</t>
        </is>
      </c>
      <c r="P2" s="257" t="n"/>
    </row>
    <row r="3" ht="18" customHeight="1" s="227">
      <c r="A3" s="258" t="n"/>
      <c r="B3" s="17" t="inlineStr">
        <is>
          <t>Schools</t>
        </is>
      </c>
      <c r="C3" s="18" t="inlineStr">
        <is>
          <t>Schools</t>
        </is>
      </c>
      <c r="D3" s="17" t="inlineStr">
        <is>
          <t>Classes</t>
        </is>
      </c>
      <c r="E3" s="19" t="inlineStr">
        <is>
          <t>Classrooms</t>
        </is>
      </c>
      <c r="F3" s="19" t="inlineStr">
        <is>
          <t>in Pagoda</t>
        </is>
      </c>
      <c r="G3" s="14" t="inlineStr">
        <is>
          <t>Total</t>
        </is>
      </c>
      <c r="H3" s="20" t="inlineStr">
        <is>
          <t>Girl</t>
        </is>
      </c>
      <c r="I3" s="21" t="inlineStr">
        <is>
          <t>Total</t>
        </is>
      </c>
      <c r="J3" s="20" t="inlineStr">
        <is>
          <t>Girl</t>
        </is>
      </c>
      <c r="K3" s="14" t="inlineStr">
        <is>
          <t>Total</t>
        </is>
      </c>
      <c r="L3" s="21" t="inlineStr">
        <is>
          <t>Female</t>
        </is>
      </c>
      <c r="M3" s="14" t="inlineStr">
        <is>
          <t>Total</t>
        </is>
      </c>
      <c r="N3" s="21" t="inlineStr">
        <is>
          <t>Female</t>
        </is>
      </c>
      <c r="O3" s="21" t="inlineStr">
        <is>
          <t>Total</t>
        </is>
      </c>
      <c r="P3" s="21" t="inlineStr">
        <is>
          <t>Female</t>
        </is>
      </c>
    </row>
    <row r="4" ht="14" customHeight="1" s="227">
      <c r="A4" s="28" t="inlineStr">
        <is>
          <t>Banteay Meanchey</t>
        </is>
      </c>
      <c r="B4" s="263" t="n">
        <v>56</v>
      </c>
      <c r="C4" s="263" t="n">
        <v>0</v>
      </c>
      <c r="D4" s="268" t="n">
        <v>291</v>
      </c>
      <c r="E4" s="263" t="n">
        <v>282</v>
      </c>
      <c r="F4" s="263" t="n">
        <v>0</v>
      </c>
      <c r="G4" s="264" t="n">
        <v>13765</v>
      </c>
      <c r="H4" s="264" t="n">
        <v>7300</v>
      </c>
      <c r="I4" s="263" t="n">
        <v>236</v>
      </c>
      <c r="J4" s="263" t="n">
        <v>56</v>
      </c>
      <c r="K4" s="263" t="n">
        <v>541</v>
      </c>
      <c r="L4" s="263" t="n">
        <v>226</v>
      </c>
      <c r="M4" s="263" t="n">
        <v>129</v>
      </c>
      <c r="N4" s="263" t="n">
        <v>37</v>
      </c>
      <c r="O4" s="263" t="n">
        <v>670</v>
      </c>
      <c r="P4" s="263" t="n">
        <v>263</v>
      </c>
    </row>
    <row r="5" ht="14" customHeight="1" s="227">
      <c r="A5" s="28" t="inlineStr">
        <is>
          <t>Battambang</t>
        </is>
      </c>
      <c r="B5" s="263" t="n">
        <v>95</v>
      </c>
      <c r="C5" s="263" t="n">
        <v>1</v>
      </c>
      <c r="D5" s="268" t="n">
        <v>630</v>
      </c>
      <c r="E5" s="263" t="n">
        <v>611</v>
      </c>
      <c r="F5" s="263" t="n">
        <v>8</v>
      </c>
      <c r="G5" s="264" t="n">
        <v>29400</v>
      </c>
      <c r="H5" s="264" t="n">
        <v>15643</v>
      </c>
      <c r="I5" s="263" t="n">
        <v>763</v>
      </c>
      <c r="J5" s="263" t="n">
        <v>248</v>
      </c>
      <c r="K5" s="264" t="n">
        <v>1334</v>
      </c>
      <c r="L5" s="263" t="n">
        <v>657</v>
      </c>
      <c r="M5" s="263" t="n">
        <v>300</v>
      </c>
      <c r="N5" s="263" t="n">
        <v>95</v>
      </c>
      <c r="O5" s="264" t="n">
        <v>1634</v>
      </c>
      <c r="P5" s="263" t="n">
        <v>752</v>
      </c>
    </row>
    <row r="6" ht="15" customHeight="1" s="227">
      <c r="A6" s="28" t="inlineStr">
        <is>
          <t>Kampong Cham</t>
        </is>
      </c>
      <c r="B6" s="263" t="n">
        <v>80</v>
      </c>
      <c r="C6" s="263" t="n">
        <v>0</v>
      </c>
      <c r="D6" s="268" t="n">
        <v>458</v>
      </c>
      <c r="E6" s="263" t="n">
        <v>421</v>
      </c>
      <c r="F6" s="263" t="n">
        <v>7</v>
      </c>
      <c r="G6" s="264" t="n">
        <v>20538</v>
      </c>
      <c r="H6" s="264" t="n">
        <v>11124</v>
      </c>
      <c r="I6" s="263" t="n">
        <v>470</v>
      </c>
      <c r="J6" s="263" t="n">
        <v>145</v>
      </c>
      <c r="K6" s="263" t="n">
        <v>842</v>
      </c>
      <c r="L6" s="263" t="n">
        <v>442</v>
      </c>
      <c r="M6" s="263" t="n">
        <v>218</v>
      </c>
      <c r="N6" s="263" t="n">
        <v>58</v>
      </c>
      <c r="O6" s="264" t="n">
        <v>1060</v>
      </c>
      <c r="P6" s="263" t="n">
        <v>500</v>
      </c>
    </row>
    <row r="7" ht="14" customHeight="1" s="227">
      <c r="A7" s="28" t="inlineStr">
        <is>
          <t>Kampong Chhnang</t>
        </is>
      </c>
      <c r="B7" s="263" t="n">
        <v>60</v>
      </c>
      <c r="C7" s="263" t="n">
        <v>0</v>
      </c>
      <c r="D7" s="268" t="n">
        <v>322</v>
      </c>
      <c r="E7" s="263" t="n">
        <v>298</v>
      </c>
      <c r="F7" s="263" t="n">
        <v>4</v>
      </c>
      <c r="G7" s="264" t="n">
        <v>15112</v>
      </c>
      <c r="H7" s="264" t="n">
        <v>8085</v>
      </c>
      <c r="I7" s="263" t="n">
        <v>297</v>
      </c>
      <c r="J7" s="263" t="n">
        <v>73</v>
      </c>
      <c r="K7" s="263" t="n">
        <v>558</v>
      </c>
      <c r="L7" s="263" t="n">
        <v>262</v>
      </c>
      <c r="M7" s="263" t="n">
        <v>95</v>
      </c>
      <c r="N7" s="263" t="n">
        <v>25</v>
      </c>
      <c r="O7" s="263" t="n">
        <v>653</v>
      </c>
      <c r="P7" s="263" t="n">
        <v>287</v>
      </c>
    </row>
    <row r="8" ht="14" customHeight="1" s="227">
      <c r="A8" s="28" t="inlineStr">
        <is>
          <t>Kampong Speu</t>
        </is>
      </c>
      <c r="B8" s="263" t="n">
        <v>71</v>
      </c>
      <c r="C8" s="263" t="n">
        <v>0</v>
      </c>
      <c r="D8" s="268" t="n">
        <v>408</v>
      </c>
      <c r="E8" s="263" t="n">
        <v>370</v>
      </c>
      <c r="F8" s="263" t="n">
        <v>0</v>
      </c>
      <c r="G8" s="264" t="n">
        <v>20921</v>
      </c>
      <c r="H8" s="264" t="n">
        <v>10734</v>
      </c>
      <c r="I8" s="263" t="n">
        <v>179</v>
      </c>
      <c r="J8" s="263" t="n">
        <v>33</v>
      </c>
      <c r="K8" s="263" t="n">
        <v>931</v>
      </c>
      <c r="L8" s="263" t="n">
        <v>331</v>
      </c>
      <c r="M8" s="263" t="n">
        <v>110</v>
      </c>
      <c r="N8" s="263" t="n">
        <v>17</v>
      </c>
      <c r="O8" s="264" t="n">
        <v>1041</v>
      </c>
      <c r="P8" s="263" t="n">
        <v>348</v>
      </c>
    </row>
    <row r="9" ht="14" customHeight="1" s="227">
      <c r="A9" s="28" t="inlineStr">
        <is>
          <t>Kampong Thom</t>
        </is>
      </c>
      <c r="B9" s="263" t="n">
        <v>66</v>
      </c>
      <c r="C9" s="263" t="n">
        <v>0</v>
      </c>
      <c r="D9" s="268" t="n">
        <v>372</v>
      </c>
      <c r="E9" s="263" t="n">
        <v>354</v>
      </c>
      <c r="F9" s="263" t="n">
        <v>0</v>
      </c>
      <c r="G9" s="264" t="n">
        <v>17462</v>
      </c>
      <c r="H9" s="264" t="n">
        <v>9667</v>
      </c>
      <c r="I9" s="263" t="n">
        <v>372</v>
      </c>
      <c r="J9" s="263" t="n">
        <v>137</v>
      </c>
      <c r="K9" s="263" t="n">
        <v>637</v>
      </c>
      <c r="L9" s="263" t="n">
        <v>302</v>
      </c>
      <c r="M9" s="263" t="n">
        <v>150</v>
      </c>
      <c r="N9" s="263" t="n">
        <v>27</v>
      </c>
      <c r="O9" s="263" t="n">
        <v>787</v>
      </c>
      <c r="P9" s="263" t="n">
        <v>329</v>
      </c>
    </row>
    <row r="10" ht="14" customHeight="1" s="227">
      <c r="A10" s="28" t="inlineStr">
        <is>
          <t>Kampot</t>
        </is>
      </c>
      <c r="B10" s="263" t="n">
        <v>76</v>
      </c>
      <c r="C10" s="263" t="n">
        <v>0</v>
      </c>
      <c r="D10" s="268" t="n">
        <v>423</v>
      </c>
      <c r="E10" s="263" t="n">
        <v>392</v>
      </c>
      <c r="F10" s="263" t="n">
        <v>0</v>
      </c>
      <c r="G10" s="264" t="n">
        <v>18173</v>
      </c>
      <c r="H10" s="264" t="n">
        <v>9262</v>
      </c>
      <c r="I10" s="263" t="n">
        <v>403</v>
      </c>
      <c r="J10" s="263" t="n">
        <v>84</v>
      </c>
      <c r="K10" s="263" t="n">
        <v>983</v>
      </c>
      <c r="L10" s="263" t="n">
        <v>430</v>
      </c>
      <c r="M10" s="263" t="n">
        <v>211</v>
      </c>
      <c r="N10" s="263" t="n">
        <v>39</v>
      </c>
      <c r="O10" s="264" t="n">
        <v>1194</v>
      </c>
      <c r="P10" s="263" t="n">
        <v>469</v>
      </c>
    </row>
    <row r="11" ht="14" customHeight="1" s="227">
      <c r="A11" s="28" t="inlineStr">
        <is>
          <t>Kandal</t>
        </is>
      </c>
      <c r="B11" s="263" t="n">
        <v>102</v>
      </c>
      <c r="C11" s="263" t="n">
        <v>2</v>
      </c>
      <c r="D11" s="268" t="n">
        <v>697</v>
      </c>
      <c r="E11" s="263" t="n">
        <v>651</v>
      </c>
      <c r="F11" s="263" t="n">
        <v>15</v>
      </c>
      <c r="G11" s="264" t="n">
        <v>28759</v>
      </c>
      <c r="H11" s="264" t="n">
        <v>14936</v>
      </c>
      <c r="I11" s="263" t="n">
        <v>727</v>
      </c>
      <c r="J11" s="263" t="n">
        <v>185</v>
      </c>
      <c r="K11" s="264" t="n">
        <v>1631</v>
      </c>
      <c r="L11" s="263" t="n">
        <v>820</v>
      </c>
      <c r="M11" s="263" t="n">
        <v>276</v>
      </c>
      <c r="N11" s="263" t="n">
        <v>67</v>
      </c>
      <c r="O11" s="264" t="n">
        <v>1907</v>
      </c>
      <c r="P11" s="263" t="n">
        <v>887</v>
      </c>
    </row>
    <row r="12" ht="14" customHeight="1" s="227">
      <c r="A12" s="28" t="inlineStr">
        <is>
          <t>Kep</t>
        </is>
      </c>
      <c r="B12" s="263" t="n">
        <v>4</v>
      </c>
      <c r="C12" s="263" t="n">
        <v>0</v>
      </c>
      <c r="D12" s="263" t="n">
        <v>29</v>
      </c>
      <c r="E12" s="263" t="n">
        <v>29</v>
      </c>
      <c r="F12" s="263" t="n">
        <v>0</v>
      </c>
      <c r="G12" s="263" t="n">
        <v>864</v>
      </c>
      <c r="H12" s="263" t="n">
        <v>427</v>
      </c>
      <c r="I12" s="263" t="n">
        <v>18</v>
      </c>
      <c r="J12" s="263" t="n">
        <v>3</v>
      </c>
      <c r="K12" s="263" t="n">
        <v>95</v>
      </c>
      <c r="L12" s="263" t="n">
        <v>38</v>
      </c>
      <c r="M12" s="263" t="n">
        <v>16</v>
      </c>
      <c r="N12" s="263" t="n">
        <v>1</v>
      </c>
      <c r="O12" s="263" t="n">
        <v>111</v>
      </c>
      <c r="P12" s="263" t="n">
        <v>39</v>
      </c>
    </row>
    <row r="13" ht="14" customHeight="1" s="227">
      <c r="A13" s="28" t="inlineStr">
        <is>
          <t>Koh Kong</t>
        </is>
      </c>
      <c r="B13" s="263" t="n">
        <v>21</v>
      </c>
      <c r="C13" s="263" t="n">
        <v>2</v>
      </c>
      <c r="D13" s="268" t="n">
        <v>100</v>
      </c>
      <c r="E13" s="263" t="n">
        <v>67</v>
      </c>
      <c r="F13" s="263" t="n">
        <v>0</v>
      </c>
      <c r="G13" s="264" t="n">
        <v>2277</v>
      </c>
      <c r="H13" s="264" t="n">
        <v>1166</v>
      </c>
      <c r="I13" s="263" t="n">
        <v>41</v>
      </c>
      <c r="J13" s="263" t="n">
        <v>10</v>
      </c>
      <c r="K13" s="263" t="n">
        <v>150</v>
      </c>
      <c r="L13" s="263" t="n">
        <v>43</v>
      </c>
      <c r="M13" s="263" t="n">
        <v>18</v>
      </c>
      <c r="N13" s="263" t="n">
        <v>3</v>
      </c>
      <c r="O13" s="263" t="n">
        <v>168</v>
      </c>
      <c r="P13" s="263" t="n">
        <v>46</v>
      </c>
    </row>
    <row r="14" ht="14" customHeight="1" s="227">
      <c r="A14" s="28" t="inlineStr">
        <is>
          <t>Kratie</t>
        </is>
      </c>
      <c r="B14" s="263" t="n">
        <v>43</v>
      </c>
      <c r="C14" s="263" t="n">
        <v>0</v>
      </c>
      <c r="D14" s="268" t="n">
        <v>212</v>
      </c>
      <c r="E14" s="263" t="n">
        <v>216</v>
      </c>
      <c r="F14" s="263" t="n">
        <v>3</v>
      </c>
      <c r="G14" s="264" t="n">
        <v>9236</v>
      </c>
      <c r="H14" s="264" t="n">
        <v>4940</v>
      </c>
      <c r="I14" s="263" t="n">
        <v>150</v>
      </c>
      <c r="J14" s="263" t="n">
        <v>48</v>
      </c>
      <c r="K14" s="263" t="n">
        <v>502</v>
      </c>
      <c r="L14" s="263" t="n">
        <v>272</v>
      </c>
      <c r="M14" s="263" t="n">
        <v>62</v>
      </c>
      <c r="N14" s="263" t="n">
        <v>14</v>
      </c>
      <c r="O14" s="263" t="n">
        <v>564</v>
      </c>
      <c r="P14" s="263" t="n">
        <v>286</v>
      </c>
    </row>
    <row r="15" ht="14" customHeight="1" s="227">
      <c r="A15" s="28" t="inlineStr">
        <is>
          <t>Mondul Kiri</t>
        </is>
      </c>
      <c r="B15" s="263" t="n">
        <v>9</v>
      </c>
      <c r="C15" s="263" t="n">
        <v>0</v>
      </c>
      <c r="D15" s="263" t="n">
        <v>33</v>
      </c>
      <c r="E15" s="263" t="n">
        <v>33</v>
      </c>
      <c r="F15" s="263" t="n">
        <v>0</v>
      </c>
      <c r="G15" s="264" t="n">
        <v>1366</v>
      </c>
      <c r="H15" s="263" t="n">
        <v>719</v>
      </c>
      <c r="I15" s="263" t="n">
        <v>32</v>
      </c>
      <c r="J15" s="263" t="n">
        <v>7</v>
      </c>
      <c r="K15" s="263" t="n">
        <v>71</v>
      </c>
      <c r="L15" s="263" t="n">
        <v>28</v>
      </c>
      <c r="M15" s="263" t="n">
        <v>0</v>
      </c>
      <c r="N15" s="263" t="n">
        <v>0</v>
      </c>
      <c r="O15" s="263" t="n">
        <v>71</v>
      </c>
      <c r="P15" s="263" t="n">
        <v>28</v>
      </c>
    </row>
    <row r="16" ht="14" customHeight="1" s="227">
      <c r="A16" s="28" t="inlineStr">
        <is>
          <t>Otdar Meanchey</t>
        </is>
      </c>
      <c r="B16" s="263" t="n">
        <v>29</v>
      </c>
      <c r="C16" s="263" t="n">
        <v>0</v>
      </c>
      <c r="D16" s="268" t="n">
        <v>127</v>
      </c>
      <c r="E16" s="263" t="n">
        <v>123</v>
      </c>
      <c r="F16" s="263" t="n">
        <v>0</v>
      </c>
      <c r="G16" s="264" t="n">
        <v>5577</v>
      </c>
      <c r="H16" s="264" t="n">
        <v>2793</v>
      </c>
      <c r="I16" s="263" t="n">
        <v>101</v>
      </c>
      <c r="J16" s="263" t="n">
        <v>29</v>
      </c>
      <c r="K16" s="263" t="n">
        <v>219</v>
      </c>
      <c r="L16" s="263" t="n">
        <v>76</v>
      </c>
      <c r="M16" s="263" t="n">
        <v>21</v>
      </c>
      <c r="N16" s="263" t="n">
        <v>2</v>
      </c>
      <c r="O16" s="263" t="n">
        <v>240</v>
      </c>
      <c r="P16" s="263" t="n">
        <v>78</v>
      </c>
    </row>
    <row r="17" ht="14" customHeight="1" s="227">
      <c r="A17" s="28" t="inlineStr">
        <is>
          <t>Pailin</t>
        </is>
      </c>
      <c r="B17" s="263" t="n">
        <v>7</v>
      </c>
      <c r="C17" s="263" t="n">
        <v>0</v>
      </c>
      <c r="D17" s="263" t="n">
        <v>45</v>
      </c>
      <c r="E17" s="263" t="n">
        <v>45</v>
      </c>
      <c r="F17" s="263" t="n">
        <v>0</v>
      </c>
      <c r="G17" s="264" t="n">
        <v>1850</v>
      </c>
      <c r="H17" s="263" t="n">
        <v>942</v>
      </c>
      <c r="I17" s="263" t="n">
        <v>61</v>
      </c>
      <c r="J17" s="263" t="n">
        <v>17</v>
      </c>
      <c r="K17" s="263" t="n">
        <v>152</v>
      </c>
      <c r="L17" s="263" t="n">
        <v>64</v>
      </c>
      <c r="M17" s="263" t="n">
        <v>19</v>
      </c>
      <c r="N17" s="263" t="n">
        <v>3</v>
      </c>
      <c r="O17" s="263" t="n">
        <v>171</v>
      </c>
      <c r="P17" s="263" t="n">
        <v>67</v>
      </c>
    </row>
    <row r="18" ht="14" customHeight="1" s="227">
      <c r="A18" s="28" t="inlineStr">
        <is>
          <t>Phnom Penh</t>
        </is>
      </c>
      <c r="B18" s="263" t="n">
        <v>28</v>
      </c>
      <c r="C18" s="263" t="n">
        <v>0</v>
      </c>
      <c r="D18" s="268" t="n">
        <v>279</v>
      </c>
      <c r="E18" s="263" t="n">
        <v>237</v>
      </c>
      <c r="F18" s="263" t="n">
        <v>0</v>
      </c>
      <c r="G18" s="264" t="n">
        <v>11895</v>
      </c>
      <c r="H18" s="264" t="n">
        <v>5907</v>
      </c>
      <c r="I18" s="263" t="n">
        <v>380</v>
      </c>
      <c r="J18" s="263" t="n">
        <v>107</v>
      </c>
      <c r="K18" s="263" t="n">
        <v>899</v>
      </c>
      <c r="L18" s="263" t="n">
        <v>455</v>
      </c>
      <c r="M18" s="263" t="n">
        <v>99</v>
      </c>
      <c r="N18" s="263" t="n">
        <v>23</v>
      </c>
      <c r="O18" s="263" t="n">
        <v>998</v>
      </c>
      <c r="P18" s="263" t="n">
        <v>478</v>
      </c>
    </row>
    <row r="19" ht="14" customHeight="1" s="227">
      <c r="A19" s="28" t="inlineStr">
        <is>
          <t>Preah Sihanouk</t>
        </is>
      </c>
      <c r="B19" s="263" t="n">
        <v>18</v>
      </c>
      <c r="C19" s="263" t="n">
        <v>1</v>
      </c>
      <c r="D19" s="268" t="n">
        <v>107</v>
      </c>
      <c r="E19" s="263" t="n">
        <v>149</v>
      </c>
      <c r="F19" s="263" t="n">
        <v>0</v>
      </c>
      <c r="G19" s="264" t="n">
        <v>4262</v>
      </c>
      <c r="H19" s="264" t="n">
        <v>2158</v>
      </c>
      <c r="I19" s="263" t="n">
        <v>73</v>
      </c>
      <c r="J19" s="263" t="n">
        <v>25</v>
      </c>
      <c r="K19" s="263" t="n">
        <v>268</v>
      </c>
      <c r="L19" s="263" t="n">
        <v>108</v>
      </c>
      <c r="M19" s="263" t="n">
        <v>41</v>
      </c>
      <c r="N19" s="263" t="n">
        <v>10</v>
      </c>
      <c r="O19" s="263" t="n">
        <v>309</v>
      </c>
      <c r="P19" s="263" t="n">
        <v>118</v>
      </c>
    </row>
    <row r="20" ht="14" customHeight="1" s="227">
      <c r="A20" s="28" t="inlineStr">
        <is>
          <t>Preah Vihear</t>
        </is>
      </c>
      <c r="B20" s="263" t="n">
        <v>48</v>
      </c>
      <c r="C20" s="263" t="n">
        <v>2</v>
      </c>
      <c r="D20" s="268" t="n">
        <v>194</v>
      </c>
      <c r="E20" s="263" t="n">
        <v>189</v>
      </c>
      <c r="F20" s="263" t="n">
        <v>0</v>
      </c>
      <c r="G20" s="264" t="n">
        <v>7677</v>
      </c>
      <c r="H20" s="264" t="n">
        <v>4300</v>
      </c>
      <c r="I20" s="263" t="n">
        <v>84</v>
      </c>
      <c r="J20" s="263" t="n">
        <v>32</v>
      </c>
      <c r="K20" s="263" t="n">
        <v>418</v>
      </c>
      <c r="L20" s="263" t="n">
        <v>165</v>
      </c>
      <c r="M20" s="263" t="n">
        <v>31</v>
      </c>
      <c r="N20" s="263" t="n">
        <v>8</v>
      </c>
      <c r="O20" s="263" t="n">
        <v>449</v>
      </c>
      <c r="P20" s="263" t="n">
        <v>173</v>
      </c>
    </row>
    <row r="21" ht="14" customHeight="1" s="227">
      <c r="A21" s="28" t="inlineStr">
        <is>
          <t>Prey Veng</t>
        </is>
      </c>
      <c r="B21" s="263" t="n">
        <v>91</v>
      </c>
      <c r="C21" s="263" t="n">
        <v>0</v>
      </c>
      <c r="D21" s="268" t="n">
        <v>586</v>
      </c>
      <c r="E21" s="263" t="n">
        <v>568</v>
      </c>
      <c r="F21" s="263" t="n">
        <v>0</v>
      </c>
      <c r="G21" s="264" t="n">
        <v>27131</v>
      </c>
      <c r="H21" s="264" t="n">
        <v>14222</v>
      </c>
      <c r="I21" s="263" t="n">
        <v>154</v>
      </c>
      <c r="J21" s="263" t="n">
        <v>36</v>
      </c>
      <c r="K21" s="263" t="n">
        <v>854</v>
      </c>
      <c r="L21" s="263" t="n">
        <v>330</v>
      </c>
      <c r="M21" s="263" t="n">
        <v>269</v>
      </c>
      <c r="N21" s="263" t="n">
        <v>49</v>
      </c>
      <c r="O21" s="264" t="n">
        <v>1123</v>
      </c>
      <c r="P21" s="263" t="n">
        <v>379</v>
      </c>
    </row>
    <row r="22" ht="14" customHeight="1" s="227">
      <c r="A22" s="28" t="inlineStr">
        <is>
          <t>Pursat</t>
        </is>
      </c>
      <c r="B22" s="263" t="n">
        <v>44</v>
      </c>
      <c r="C22" s="263" t="n">
        <v>0</v>
      </c>
      <c r="D22" s="268" t="n">
        <v>294</v>
      </c>
      <c r="E22" s="263" t="n">
        <v>284</v>
      </c>
      <c r="F22" s="263" t="n">
        <v>0</v>
      </c>
      <c r="G22" s="264" t="n">
        <v>12309</v>
      </c>
      <c r="H22" s="264" t="n">
        <v>6547</v>
      </c>
      <c r="I22" s="263" t="n">
        <v>226</v>
      </c>
      <c r="J22" s="263" t="n">
        <v>75</v>
      </c>
      <c r="K22" s="263" t="n">
        <v>716</v>
      </c>
      <c r="L22" s="263" t="n">
        <v>282</v>
      </c>
      <c r="M22" s="263" t="n">
        <v>85</v>
      </c>
      <c r="N22" s="263" t="n">
        <v>17</v>
      </c>
      <c r="O22" s="263" t="n">
        <v>801</v>
      </c>
      <c r="P22" s="263" t="n">
        <v>299</v>
      </c>
    </row>
    <row r="23" ht="14" customHeight="1" s="227">
      <c r="A23" s="28" t="inlineStr">
        <is>
          <t>Ratanak Kiri</t>
        </is>
      </c>
      <c r="B23" s="263" t="n">
        <v>16</v>
      </c>
      <c r="C23" s="263" t="n">
        <v>0</v>
      </c>
      <c r="D23" s="263" t="n">
        <v>86</v>
      </c>
      <c r="E23" s="263" t="n">
        <v>74</v>
      </c>
      <c r="F23" s="263" t="n">
        <v>0</v>
      </c>
      <c r="G23" s="264" t="n">
        <v>4183</v>
      </c>
      <c r="H23" s="264" t="n">
        <v>1975</v>
      </c>
      <c r="I23" s="263" t="n">
        <v>10</v>
      </c>
      <c r="J23" s="263" t="n">
        <v>1</v>
      </c>
      <c r="K23" s="263" t="n">
        <v>162</v>
      </c>
      <c r="L23" s="263" t="n">
        <v>68</v>
      </c>
      <c r="M23" s="263" t="n">
        <v>9</v>
      </c>
      <c r="N23" s="263" t="n">
        <v>2</v>
      </c>
      <c r="O23" s="263" t="n">
        <v>171</v>
      </c>
      <c r="P23" s="263" t="n">
        <v>70</v>
      </c>
    </row>
    <row r="24" ht="14" customHeight="1" s="227">
      <c r="A24" s="28" t="inlineStr">
        <is>
          <t>Siemreap</t>
        </is>
      </c>
      <c r="B24" s="263" t="n">
        <v>83</v>
      </c>
      <c r="C24" s="263" t="n">
        <v>0</v>
      </c>
      <c r="D24" s="268" t="n">
        <v>547</v>
      </c>
      <c r="E24" s="263" t="n">
        <v>466</v>
      </c>
      <c r="F24" s="263" t="n">
        <v>55</v>
      </c>
      <c r="G24" s="264" t="n">
        <v>25692</v>
      </c>
      <c r="H24" s="264" t="n">
        <v>13968</v>
      </c>
      <c r="I24" s="263" t="n">
        <v>818</v>
      </c>
      <c r="J24" s="263" t="n">
        <v>291</v>
      </c>
      <c r="K24" s="263" t="n">
        <v>747</v>
      </c>
      <c r="L24" s="263" t="n">
        <v>420</v>
      </c>
      <c r="M24" s="263" t="n">
        <v>178</v>
      </c>
      <c r="N24" s="263" t="n">
        <v>62</v>
      </c>
      <c r="O24" s="263" t="n">
        <v>925</v>
      </c>
      <c r="P24" s="263" t="n">
        <v>482</v>
      </c>
    </row>
    <row r="25" ht="14" customHeight="1" s="227">
      <c r="A25" s="28" t="inlineStr">
        <is>
          <t>Stung Treng</t>
        </is>
      </c>
      <c r="B25" s="263" t="n">
        <v>23</v>
      </c>
      <c r="C25" s="263" t="n">
        <v>1</v>
      </c>
      <c r="D25" s="263" t="n">
        <v>93</v>
      </c>
      <c r="E25" s="263" t="n">
        <v>101</v>
      </c>
      <c r="F25" s="263" t="n">
        <v>0</v>
      </c>
      <c r="G25" s="264" t="n">
        <v>3166</v>
      </c>
      <c r="H25" s="264" t="n">
        <v>1684</v>
      </c>
      <c r="I25" s="263" t="n">
        <v>21</v>
      </c>
      <c r="J25" s="263" t="n">
        <v>4</v>
      </c>
      <c r="K25" s="263" t="n">
        <v>206</v>
      </c>
      <c r="L25" s="263" t="n">
        <v>85</v>
      </c>
      <c r="M25" s="263" t="n">
        <v>31</v>
      </c>
      <c r="N25" s="263" t="n">
        <v>7</v>
      </c>
      <c r="O25" s="263" t="n">
        <v>237</v>
      </c>
      <c r="P25" s="263" t="n">
        <v>92</v>
      </c>
    </row>
    <row r="26" ht="14" customHeight="1" s="227">
      <c r="A26" s="28" t="inlineStr">
        <is>
          <t>Svay Rieng</t>
        </is>
      </c>
      <c r="B26" s="263" t="n">
        <v>55</v>
      </c>
      <c r="C26" s="263" t="n">
        <v>0</v>
      </c>
      <c r="D26" s="268" t="n">
        <v>304</v>
      </c>
      <c r="E26" s="263" t="n">
        <v>287</v>
      </c>
      <c r="F26" s="263" t="n">
        <v>0</v>
      </c>
      <c r="G26" s="264" t="n">
        <v>13164</v>
      </c>
      <c r="H26" s="264" t="n">
        <v>6802</v>
      </c>
      <c r="I26" s="263" t="n">
        <v>172</v>
      </c>
      <c r="J26" s="263" t="n">
        <v>35</v>
      </c>
      <c r="K26" s="263" t="n">
        <v>613</v>
      </c>
      <c r="L26" s="263" t="n">
        <v>164</v>
      </c>
      <c r="M26" s="263" t="n">
        <v>165</v>
      </c>
      <c r="N26" s="263" t="n">
        <v>25</v>
      </c>
      <c r="O26" s="263" t="n">
        <v>778</v>
      </c>
      <c r="P26" s="263" t="n">
        <v>189</v>
      </c>
    </row>
    <row r="27" ht="14" customHeight="1" s="227">
      <c r="A27" s="28" t="inlineStr">
        <is>
          <t>Takeo</t>
        </is>
      </c>
      <c r="B27" s="263" t="n">
        <v>66</v>
      </c>
      <c r="C27" s="263" t="n">
        <v>0</v>
      </c>
      <c r="D27" s="268" t="n">
        <v>425</v>
      </c>
      <c r="E27" s="263" t="n">
        <v>417</v>
      </c>
      <c r="F27" s="263" t="n">
        <v>6</v>
      </c>
      <c r="G27" s="264" t="n">
        <v>17973</v>
      </c>
      <c r="H27" s="264" t="n">
        <v>8988</v>
      </c>
      <c r="I27" s="263" t="n">
        <v>283</v>
      </c>
      <c r="J27" s="263" t="n">
        <v>69</v>
      </c>
      <c r="K27" s="263" t="n">
        <v>728</v>
      </c>
      <c r="L27" s="263" t="n">
        <v>238</v>
      </c>
      <c r="M27" s="263" t="n">
        <v>230</v>
      </c>
      <c r="N27" s="263" t="n">
        <v>43</v>
      </c>
      <c r="O27" s="263" t="n">
        <v>958</v>
      </c>
      <c r="P27" s="263" t="n">
        <v>281</v>
      </c>
    </row>
    <row r="28" ht="14" customHeight="1" s="227">
      <c r="A28" s="28" t="inlineStr">
        <is>
          <t>Tbaung Khmum</t>
        </is>
      </c>
      <c r="B28" s="263" t="n">
        <v>55</v>
      </c>
      <c r="C28" s="263" t="n">
        <v>0</v>
      </c>
      <c r="D28" s="268" t="n">
        <v>288</v>
      </c>
      <c r="E28" s="263" t="n">
        <v>281</v>
      </c>
      <c r="F28" s="263" t="n">
        <v>0</v>
      </c>
      <c r="G28" s="264" t="n">
        <v>14663</v>
      </c>
      <c r="H28" s="264" t="n">
        <v>7810</v>
      </c>
      <c r="I28" s="263" t="n">
        <v>227</v>
      </c>
      <c r="J28" s="263" t="n">
        <v>70</v>
      </c>
      <c r="K28" s="263" t="n">
        <v>433</v>
      </c>
      <c r="L28" s="263" t="n">
        <v>189</v>
      </c>
      <c r="M28" s="263" t="n">
        <v>65</v>
      </c>
      <c r="N28" s="263" t="n">
        <v>18</v>
      </c>
      <c r="O28" s="263" t="n">
        <v>498</v>
      </c>
      <c r="P28" s="263" t="n">
        <v>207</v>
      </c>
    </row>
    <row r="29" ht="17" customHeight="1" s="227">
      <c r="A29" s="22" t="inlineStr">
        <is>
          <t>Whole Kingdom</t>
        </is>
      </c>
      <c r="B29" s="264" t="n">
        <v>1246</v>
      </c>
      <c r="C29" s="263" t="n">
        <v>9</v>
      </c>
      <c r="D29" s="265" t="n">
        <v>7350</v>
      </c>
      <c r="E29" s="265" t="n">
        <v>6945</v>
      </c>
      <c r="F29" s="263" t="n">
        <v>98</v>
      </c>
      <c r="G29" s="264" t="n">
        <v>327415</v>
      </c>
      <c r="H29" s="264" t="n">
        <v>172099</v>
      </c>
      <c r="I29" s="264" t="n">
        <v>6298</v>
      </c>
      <c r="J29" s="264" t="n">
        <v>1820</v>
      </c>
      <c r="K29" s="264" t="n">
        <v>14690</v>
      </c>
      <c r="L29" s="264" t="n">
        <v>6495</v>
      </c>
      <c r="M29" s="264" t="n">
        <v>2828</v>
      </c>
      <c r="N29" s="263" t="n">
        <v>652</v>
      </c>
      <c r="O29" s="264" t="n">
        <v>17518</v>
      </c>
      <c r="P29" s="264" t="n">
        <v>7147</v>
      </c>
    </row>
    <row r="30" ht="14" customHeight="1" s="227">
      <c r="A30" s="28" t="inlineStr">
        <is>
          <t>-  Urban Area</t>
        </is>
      </c>
      <c r="B30" s="263" t="n">
        <v>121</v>
      </c>
      <c r="C30" s="263" t="n">
        <v>0</v>
      </c>
      <c r="D30" s="268" t="n">
        <v>972</v>
      </c>
      <c r="E30" s="263" t="n">
        <v>922</v>
      </c>
      <c r="F30" s="263" t="n">
        <v>30</v>
      </c>
      <c r="G30" s="264" t="n">
        <v>40121</v>
      </c>
      <c r="H30" s="264" t="n">
        <v>20445</v>
      </c>
      <c r="I30" s="264" t="n">
        <v>1190</v>
      </c>
      <c r="J30" s="263" t="n">
        <v>360</v>
      </c>
      <c r="K30" s="264" t="n">
        <v>2717</v>
      </c>
      <c r="L30" s="264" t="n">
        <v>1391</v>
      </c>
      <c r="M30" s="263" t="n">
        <v>421</v>
      </c>
      <c r="N30" s="263" t="n">
        <v>138</v>
      </c>
      <c r="O30" s="264" t="n">
        <v>3138</v>
      </c>
      <c r="P30" s="264" t="n">
        <v>1529</v>
      </c>
    </row>
    <row r="31" ht="14" customHeight="1" s="227">
      <c r="A31" s="28" t="inlineStr">
        <is>
          <t>-  Rural Area</t>
        </is>
      </c>
      <c r="B31" s="264" t="n">
        <v>1125</v>
      </c>
      <c r="C31" s="263" t="n">
        <v>9</v>
      </c>
      <c r="D31" s="265" t="n">
        <v>6378</v>
      </c>
      <c r="E31" s="265" t="n">
        <v>6023</v>
      </c>
      <c r="F31" s="263" t="n">
        <v>68</v>
      </c>
      <c r="G31" s="264" t="n">
        <v>287294</v>
      </c>
      <c r="H31" s="264" t="n">
        <v>151654</v>
      </c>
      <c r="I31" s="264" t="n">
        <v>5108</v>
      </c>
      <c r="J31" s="264" t="n">
        <v>1460</v>
      </c>
      <c r="K31" s="264" t="n">
        <v>11973</v>
      </c>
      <c r="L31" s="264" t="n">
        <v>5104</v>
      </c>
      <c r="M31" s="264" t="n">
        <v>2407</v>
      </c>
      <c r="N31" s="263" t="n">
        <v>514</v>
      </c>
      <c r="O31" s="264" t="n">
        <v>14380</v>
      </c>
      <c r="P31" s="264" t="n">
        <v>5618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P31"/>
  <sheetViews>
    <sheetView tabSelected="1" workbookViewId="0">
      <selection activeCell="A1" sqref="A1"/>
    </sheetView>
  </sheetViews>
  <sheetFormatPr baseColWidth="8" defaultRowHeight="15"/>
  <cols>
    <col width="22.222222" customWidth="1" style="227" min="1" max="1"/>
    <col width="11.333333" customWidth="1" style="227" min="2" max="2"/>
    <col width="9.333333" customWidth="1" style="227" min="3" max="3"/>
    <col width="9.333333" customWidth="1" style="227" min="4" max="4"/>
    <col width="9.333333" customWidth="1" style="227" min="5" max="5"/>
    <col width="9.333333" customWidth="1" style="227" min="6" max="6"/>
    <col width="11.333333" customWidth="1" style="227" min="7" max="7"/>
    <col width="11.555556" customWidth="1" style="227" min="8" max="8"/>
    <col width="9.333333" customWidth="1" style="227" min="9" max="9"/>
    <col width="9.333333" customWidth="1" style="227" min="10" max="10"/>
    <col width="8.888889000000001" customWidth="1" style="227" min="11" max="11"/>
    <col width="9.333333" customWidth="1" style="227" min="12" max="12"/>
    <col width="9.333333" customWidth="1" style="227" min="13" max="13"/>
    <col width="9.333333" customWidth="1" style="227" min="14" max="14"/>
    <col width="9.333333" customWidth="1" style="227" min="15" max="15"/>
    <col width="9.333333" customWidth="1" style="227" min="16" max="16"/>
  </cols>
  <sheetData>
    <row r="1" ht="31" customHeight="1" s="227">
      <c r="A1" s="34" t="inlineStr">
        <is>
          <t>Table 6: All Lycees, Classes, Students and Staff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</row>
    <row r="2" ht="19" customHeight="1" s="227">
      <c r="A2" s="35" t="inlineStr">
        <is>
          <t>Province</t>
        </is>
      </c>
      <c r="B2" s="7" t="inlineStr">
        <is>
          <t>Number of</t>
        </is>
      </c>
      <c r="C2" s="7" t="inlineStr">
        <is>
          <t>Disadv.</t>
        </is>
      </c>
      <c r="D2" s="39" t="inlineStr">
        <is>
          <t>Number of</t>
        </is>
      </c>
      <c r="E2" s="6" t="inlineStr">
        <is>
          <t>Number of</t>
        </is>
      </c>
      <c r="F2" s="38" t="inlineStr">
        <is>
          <t>Classes</t>
        </is>
      </c>
      <c r="G2" s="29" t="inlineStr">
        <is>
          <t>Enrollment</t>
        </is>
      </c>
      <c r="H2" s="257" t="n"/>
      <c r="I2" s="8" t="inlineStr">
        <is>
          <t>Repeaters</t>
        </is>
      </c>
      <c r="J2" s="257" t="n"/>
      <c r="K2" s="11" t="inlineStr">
        <is>
          <t>Teaching Staff</t>
        </is>
      </c>
      <c r="L2" s="257" t="n"/>
      <c r="M2" s="14" t="inlineStr">
        <is>
          <t>Non-Teaching Staff</t>
        </is>
      </c>
      <c r="N2" s="257" t="n"/>
      <c r="O2" s="8" t="inlineStr">
        <is>
          <t>Total  Staff</t>
        </is>
      </c>
      <c r="P2" s="257" t="n"/>
    </row>
    <row r="3" ht="18" customHeight="1" s="227">
      <c r="A3" s="258" t="n"/>
      <c r="B3" s="46" t="inlineStr">
        <is>
          <t>School</t>
        </is>
      </c>
      <c r="C3" s="18" t="inlineStr">
        <is>
          <t>Schools</t>
        </is>
      </c>
      <c r="D3" s="17" t="inlineStr">
        <is>
          <t>Classes</t>
        </is>
      </c>
      <c r="E3" s="19" t="inlineStr">
        <is>
          <t>Classrooms</t>
        </is>
      </c>
      <c r="F3" s="19" t="inlineStr">
        <is>
          <t>in Pagoda</t>
        </is>
      </c>
      <c r="G3" s="11" t="inlineStr">
        <is>
          <t>Total</t>
        </is>
      </c>
      <c r="H3" s="20" t="inlineStr">
        <is>
          <t>Girl</t>
        </is>
      </c>
      <c r="I3" s="14" t="inlineStr">
        <is>
          <t>Total</t>
        </is>
      </c>
      <c r="J3" s="20" t="inlineStr">
        <is>
          <t>Girl</t>
        </is>
      </c>
      <c r="K3" s="14" t="inlineStr">
        <is>
          <t>Total</t>
        </is>
      </c>
      <c r="L3" s="21" t="inlineStr">
        <is>
          <t>Female</t>
        </is>
      </c>
      <c r="M3" s="21" t="inlineStr">
        <is>
          <t>Total</t>
        </is>
      </c>
      <c r="N3" s="21" t="inlineStr">
        <is>
          <t>Female</t>
        </is>
      </c>
      <c r="O3" s="14" t="inlineStr">
        <is>
          <t>Total</t>
        </is>
      </c>
      <c r="P3" s="21" t="inlineStr">
        <is>
          <t>Female</t>
        </is>
      </c>
    </row>
    <row r="4" ht="14" customHeight="1" s="227">
      <c r="A4" s="28" t="inlineStr">
        <is>
          <t>Banteay Meanchey</t>
        </is>
      </c>
      <c r="B4" s="263" t="n">
        <v>28</v>
      </c>
      <c r="C4" s="263" t="n">
        <v>0</v>
      </c>
      <c r="D4" s="266" t="n">
        <v>552</v>
      </c>
      <c r="E4" s="266" t="n">
        <v>548</v>
      </c>
      <c r="F4" s="263" t="n">
        <v>0</v>
      </c>
      <c r="G4" s="264" t="n">
        <v>25301</v>
      </c>
      <c r="H4" s="264" t="n">
        <v>13732</v>
      </c>
      <c r="I4" s="263" t="n">
        <v>555</v>
      </c>
      <c r="J4" s="263" t="n">
        <v>179</v>
      </c>
      <c r="K4" s="264" t="n">
        <v>1245</v>
      </c>
      <c r="L4" s="263" t="n">
        <v>482</v>
      </c>
      <c r="M4" s="263" t="n">
        <v>185</v>
      </c>
      <c r="N4" s="263" t="n">
        <v>57</v>
      </c>
      <c r="O4" s="264" t="n">
        <v>1430</v>
      </c>
      <c r="P4" s="263" t="n">
        <v>539</v>
      </c>
    </row>
    <row r="5" ht="14" customHeight="1" s="227">
      <c r="A5" s="28" t="inlineStr">
        <is>
          <t>Battambang</t>
        </is>
      </c>
      <c r="B5" s="263" t="n">
        <v>27</v>
      </c>
      <c r="C5" s="263" t="n">
        <v>0</v>
      </c>
      <c r="D5" s="266" t="n">
        <v>691</v>
      </c>
      <c r="E5" s="266" t="n">
        <v>637</v>
      </c>
      <c r="F5" s="263" t="n">
        <v>0</v>
      </c>
      <c r="G5" s="264" t="n">
        <v>33603</v>
      </c>
      <c r="H5" s="264" t="n">
        <v>18480</v>
      </c>
      <c r="I5" s="263" t="n">
        <v>979</v>
      </c>
      <c r="J5" s="263" t="n">
        <v>373</v>
      </c>
      <c r="K5" s="264" t="n">
        <v>1365</v>
      </c>
      <c r="L5" s="263" t="n">
        <v>608</v>
      </c>
      <c r="M5" s="263" t="n">
        <v>214</v>
      </c>
      <c r="N5" s="263" t="n">
        <v>73</v>
      </c>
      <c r="O5" s="264" t="n">
        <v>1579</v>
      </c>
      <c r="P5" s="263" t="n">
        <v>681</v>
      </c>
    </row>
    <row r="6" ht="15" customHeight="1" s="227">
      <c r="A6" s="28" t="inlineStr">
        <is>
          <t>Kampong Cham</t>
        </is>
      </c>
      <c r="B6" s="263" t="n">
        <v>43</v>
      </c>
      <c r="C6" s="263" t="n">
        <v>0</v>
      </c>
      <c r="D6" s="267" t="n">
        <v>1019</v>
      </c>
      <c r="E6" s="266" t="n">
        <v>983</v>
      </c>
      <c r="F6" s="263" t="n">
        <v>0</v>
      </c>
      <c r="G6" s="264" t="n">
        <v>44028</v>
      </c>
      <c r="H6" s="264" t="n">
        <v>24088</v>
      </c>
      <c r="I6" s="264" t="n">
        <v>1367</v>
      </c>
      <c r="J6" s="263" t="n">
        <v>484</v>
      </c>
      <c r="K6" s="264" t="n">
        <v>2025</v>
      </c>
      <c r="L6" s="263" t="n">
        <v>940</v>
      </c>
      <c r="M6" s="263" t="n">
        <v>425</v>
      </c>
      <c r="N6" s="263" t="n">
        <v>178</v>
      </c>
      <c r="O6" s="264" t="n">
        <v>2450</v>
      </c>
      <c r="P6" s="264" t="n">
        <v>1118</v>
      </c>
    </row>
    <row r="7" ht="14" customHeight="1" s="227">
      <c r="A7" s="28" t="inlineStr">
        <is>
          <t>Kampong Chhnang</t>
        </is>
      </c>
      <c r="B7" s="263" t="n">
        <v>16</v>
      </c>
      <c r="C7" s="263" t="n">
        <v>0</v>
      </c>
      <c r="D7" s="266" t="n">
        <v>443</v>
      </c>
      <c r="E7" s="266" t="n">
        <v>420</v>
      </c>
      <c r="F7" s="263" t="n">
        <v>0</v>
      </c>
      <c r="G7" s="264" t="n">
        <v>21844</v>
      </c>
      <c r="H7" s="264" t="n">
        <v>11983</v>
      </c>
      <c r="I7" s="263" t="n">
        <v>451</v>
      </c>
      <c r="J7" s="263" t="n">
        <v>166</v>
      </c>
      <c r="K7" s="264" t="n">
        <v>1009</v>
      </c>
      <c r="L7" s="263" t="n">
        <v>379</v>
      </c>
      <c r="M7" s="263" t="n">
        <v>159</v>
      </c>
      <c r="N7" s="263" t="n">
        <v>43</v>
      </c>
      <c r="O7" s="264" t="n">
        <v>1168</v>
      </c>
      <c r="P7" s="263" t="n">
        <v>422</v>
      </c>
    </row>
    <row r="8" ht="14" customHeight="1" s="227">
      <c r="A8" s="28" t="inlineStr">
        <is>
          <t>Kampong Speu</t>
        </is>
      </c>
      <c r="B8" s="263" t="n">
        <v>24</v>
      </c>
      <c r="C8" s="263" t="n">
        <v>0</v>
      </c>
      <c r="D8" s="266" t="n">
        <v>555</v>
      </c>
      <c r="E8" s="266" t="n">
        <v>501</v>
      </c>
      <c r="F8" s="263" t="n">
        <v>0</v>
      </c>
      <c r="G8" s="264" t="n">
        <v>28541</v>
      </c>
      <c r="H8" s="264" t="n">
        <v>14649</v>
      </c>
      <c r="I8" s="263" t="n">
        <v>406</v>
      </c>
      <c r="J8" s="263" t="n">
        <v>124</v>
      </c>
      <c r="K8" s="264" t="n">
        <v>1045</v>
      </c>
      <c r="L8" s="263" t="n">
        <v>354</v>
      </c>
      <c r="M8" s="263" t="n">
        <v>162</v>
      </c>
      <c r="N8" s="263" t="n">
        <v>25</v>
      </c>
      <c r="O8" s="264" t="n">
        <v>1207</v>
      </c>
      <c r="P8" s="263" t="n">
        <v>379</v>
      </c>
    </row>
    <row r="9" ht="14" customHeight="1" s="227">
      <c r="A9" s="28" t="inlineStr">
        <is>
          <t>Kampong Thom</t>
        </is>
      </c>
      <c r="B9" s="263" t="n">
        <v>25</v>
      </c>
      <c r="C9" s="263" t="n">
        <v>0</v>
      </c>
      <c r="D9" s="266" t="n">
        <v>604</v>
      </c>
      <c r="E9" s="266" t="n">
        <v>575</v>
      </c>
      <c r="F9" s="263" t="n">
        <v>0</v>
      </c>
      <c r="G9" s="264" t="n">
        <v>28004</v>
      </c>
      <c r="H9" s="264" t="n">
        <v>15324</v>
      </c>
      <c r="I9" s="263" t="n">
        <v>597</v>
      </c>
      <c r="J9" s="263" t="n">
        <v>206</v>
      </c>
      <c r="K9" s="264" t="n">
        <v>1086</v>
      </c>
      <c r="L9" s="263" t="n">
        <v>479</v>
      </c>
      <c r="M9" s="263" t="n">
        <v>153</v>
      </c>
      <c r="N9" s="263" t="n">
        <v>28</v>
      </c>
      <c r="O9" s="264" t="n">
        <v>1239</v>
      </c>
      <c r="P9" s="263" t="n">
        <v>507</v>
      </c>
    </row>
    <row r="10" ht="14" customHeight="1" s="227">
      <c r="A10" s="28" t="inlineStr">
        <is>
          <t>Kampot</t>
        </is>
      </c>
      <c r="B10" s="263" t="n">
        <v>24</v>
      </c>
      <c r="C10" s="263" t="n">
        <v>0</v>
      </c>
      <c r="D10" s="266" t="n">
        <v>565</v>
      </c>
      <c r="E10" s="266" t="n">
        <v>531</v>
      </c>
      <c r="F10" s="263" t="n">
        <v>0</v>
      </c>
      <c r="G10" s="264" t="n">
        <v>26030</v>
      </c>
      <c r="H10" s="264" t="n">
        <v>13405</v>
      </c>
      <c r="I10" s="263" t="n">
        <v>495</v>
      </c>
      <c r="J10" s="263" t="n">
        <v>156</v>
      </c>
      <c r="K10" s="264" t="n">
        <v>1204</v>
      </c>
      <c r="L10" s="263" t="n">
        <v>469</v>
      </c>
      <c r="M10" s="263" t="n">
        <v>197</v>
      </c>
      <c r="N10" s="263" t="n">
        <v>48</v>
      </c>
      <c r="O10" s="264" t="n">
        <v>1401</v>
      </c>
      <c r="P10" s="263" t="n">
        <v>517</v>
      </c>
    </row>
    <row r="11" ht="14" customHeight="1" s="227">
      <c r="A11" s="28" t="inlineStr">
        <is>
          <t>Kandal</t>
        </is>
      </c>
      <c r="B11" s="263" t="n">
        <v>38</v>
      </c>
      <c r="C11" s="263" t="n">
        <v>0</v>
      </c>
      <c r="D11" s="267" t="n">
        <v>1059</v>
      </c>
      <c r="E11" s="266" t="n">
        <v>966</v>
      </c>
      <c r="F11" s="263" t="n">
        <v>0</v>
      </c>
      <c r="G11" s="264" t="n">
        <v>47148</v>
      </c>
      <c r="H11" s="264" t="n">
        <v>25459</v>
      </c>
      <c r="I11" s="264" t="n">
        <v>1154</v>
      </c>
      <c r="J11" s="263" t="n">
        <v>426</v>
      </c>
      <c r="K11" s="264" t="n">
        <v>2666</v>
      </c>
      <c r="L11" s="264" t="n">
        <v>1159</v>
      </c>
      <c r="M11" s="263" t="n">
        <v>335</v>
      </c>
      <c r="N11" s="263" t="n">
        <v>71</v>
      </c>
      <c r="O11" s="264" t="n">
        <v>3001</v>
      </c>
      <c r="P11" s="264" t="n">
        <v>1230</v>
      </c>
    </row>
    <row r="12" ht="14" customHeight="1" s="227">
      <c r="A12" s="28" t="inlineStr">
        <is>
          <t>Kep</t>
        </is>
      </c>
      <c r="B12" s="263" t="n">
        <v>2</v>
      </c>
      <c r="C12" s="263" t="n">
        <v>0</v>
      </c>
      <c r="D12" s="268" t="n">
        <v>42</v>
      </c>
      <c r="E12" s="268" t="n">
        <v>42</v>
      </c>
      <c r="F12" s="263" t="n">
        <v>0</v>
      </c>
      <c r="G12" s="264" t="n">
        <v>1812</v>
      </c>
      <c r="H12" s="263" t="n">
        <v>938</v>
      </c>
      <c r="I12" s="263" t="n">
        <v>43</v>
      </c>
      <c r="J12" s="263" t="n">
        <v>17</v>
      </c>
      <c r="K12" s="263" t="n">
        <v>128</v>
      </c>
      <c r="L12" s="263" t="n">
        <v>56</v>
      </c>
      <c r="M12" s="263" t="n">
        <v>15</v>
      </c>
      <c r="N12" s="263" t="n">
        <v>5</v>
      </c>
      <c r="O12" s="263" t="n">
        <v>143</v>
      </c>
      <c r="P12" s="263" t="n">
        <v>61</v>
      </c>
    </row>
    <row r="13" ht="14" customHeight="1" s="227">
      <c r="A13" s="28" t="inlineStr">
        <is>
          <t>Koh Kong</t>
        </is>
      </c>
      <c r="B13" s="263" t="n">
        <v>11</v>
      </c>
      <c r="C13" s="263" t="n">
        <v>0</v>
      </c>
      <c r="D13" s="266" t="n">
        <v>132</v>
      </c>
      <c r="E13" s="266" t="n">
        <v>114</v>
      </c>
      <c r="F13" s="263" t="n">
        <v>0</v>
      </c>
      <c r="G13" s="264" t="n">
        <v>5469</v>
      </c>
      <c r="H13" s="264" t="n">
        <v>2663</v>
      </c>
      <c r="I13" s="263" t="n">
        <v>69</v>
      </c>
      <c r="J13" s="263" t="n">
        <v>26</v>
      </c>
      <c r="K13" s="263" t="n">
        <v>278</v>
      </c>
      <c r="L13" s="263" t="n">
        <v>106</v>
      </c>
      <c r="M13" s="263" t="n">
        <v>41</v>
      </c>
      <c r="N13" s="263" t="n">
        <v>7</v>
      </c>
      <c r="O13" s="263" t="n">
        <v>319</v>
      </c>
      <c r="P13" s="263" t="n">
        <v>113</v>
      </c>
    </row>
    <row r="14" ht="14" customHeight="1" s="227">
      <c r="A14" s="28" t="inlineStr">
        <is>
          <t>Kratie</t>
        </is>
      </c>
      <c r="B14" s="263" t="n">
        <v>11</v>
      </c>
      <c r="C14" s="263" t="n">
        <v>0</v>
      </c>
      <c r="D14" s="266" t="n">
        <v>211</v>
      </c>
      <c r="E14" s="266" t="n">
        <v>211</v>
      </c>
      <c r="F14" s="263" t="n">
        <v>27</v>
      </c>
      <c r="G14" s="264" t="n">
        <v>9720</v>
      </c>
      <c r="H14" s="264" t="n">
        <v>5213</v>
      </c>
      <c r="I14" s="263" t="n">
        <v>216</v>
      </c>
      <c r="J14" s="263" t="n">
        <v>77</v>
      </c>
      <c r="K14" s="263" t="n">
        <v>459</v>
      </c>
      <c r="L14" s="263" t="n">
        <v>215</v>
      </c>
      <c r="M14" s="263" t="n">
        <v>51</v>
      </c>
      <c r="N14" s="263" t="n">
        <v>12</v>
      </c>
      <c r="O14" s="263" t="n">
        <v>510</v>
      </c>
      <c r="P14" s="263" t="n">
        <v>227</v>
      </c>
    </row>
    <row r="15" ht="14" customHeight="1" s="227">
      <c r="A15" s="28" t="inlineStr">
        <is>
          <t>Mondul Kiri</t>
        </is>
      </c>
      <c r="B15" s="263" t="n">
        <v>5</v>
      </c>
      <c r="C15" s="263" t="n">
        <v>0</v>
      </c>
      <c r="D15" s="268" t="n">
        <v>69</v>
      </c>
      <c r="E15" s="268" t="n">
        <v>67</v>
      </c>
      <c r="F15" s="263" t="n">
        <v>0</v>
      </c>
      <c r="G15" s="264" t="n">
        <v>3232</v>
      </c>
      <c r="H15" s="264" t="n">
        <v>1734</v>
      </c>
      <c r="I15" s="263" t="n">
        <v>72</v>
      </c>
      <c r="J15" s="263" t="n">
        <v>20</v>
      </c>
      <c r="K15" s="263" t="n">
        <v>148</v>
      </c>
      <c r="L15" s="263" t="n">
        <v>50</v>
      </c>
      <c r="M15" s="263" t="n">
        <v>14</v>
      </c>
      <c r="N15" s="263" t="n">
        <v>1</v>
      </c>
      <c r="O15" s="263" t="n">
        <v>162</v>
      </c>
      <c r="P15" s="263" t="n">
        <v>51</v>
      </c>
    </row>
    <row r="16" ht="14" customHeight="1" s="227">
      <c r="A16" s="28" t="inlineStr">
        <is>
          <t>Otdar Meanchey</t>
        </is>
      </c>
      <c r="B16" s="263" t="n">
        <v>9</v>
      </c>
      <c r="C16" s="263" t="n">
        <v>0</v>
      </c>
      <c r="D16" s="266" t="n">
        <v>178</v>
      </c>
      <c r="E16" s="266" t="n">
        <v>170</v>
      </c>
      <c r="F16" s="263" t="n">
        <v>0</v>
      </c>
      <c r="G16" s="264" t="n">
        <v>8113</v>
      </c>
      <c r="H16" s="264" t="n">
        <v>4130</v>
      </c>
      <c r="I16" s="263" t="n">
        <v>255</v>
      </c>
      <c r="J16" s="263" t="n">
        <v>83</v>
      </c>
      <c r="K16" s="263" t="n">
        <v>266</v>
      </c>
      <c r="L16" s="263" t="n">
        <v>90</v>
      </c>
      <c r="M16" s="263" t="n">
        <v>44</v>
      </c>
      <c r="N16" s="263" t="n">
        <v>8</v>
      </c>
      <c r="O16" s="263" t="n">
        <v>310</v>
      </c>
      <c r="P16" s="263" t="n">
        <v>98</v>
      </c>
    </row>
    <row r="17" ht="14" customHeight="1" s="227">
      <c r="A17" s="28" t="inlineStr">
        <is>
          <t>Pailin</t>
        </is>
      </c>
      <c r="B17" s="263" t="n">
        <v>2</v>
      </c>
      <c r="C17" s="263" t="n">
        <v>0</v>
      </c>
      <c r="D17" s="268" t="n">
        <v>60</v>
      </c>
      <c r="E17" s="268" t="n">
        <v>60</v>
      </c>
      <c r="F17" s="263" t="n">
        <v>0</v>
      </c>
      <c r="G17" s="264" t="n">
        <v>2839</v>
      </c>
      <c r="H17" s="264" t="n">
        <v>1511</v>
      </c>
      <c r="I17" s="263" t="n">
        <v>135</v>
      </c>
      <c r="J17" s="263" t="n">
        <v>45</v>
      </c>
      <c r="K17" s="263" t="n">
        <v>147</v>
      </c>
      <c r="L17" s="263" t="n">
        <v>57</v>
      </c>
      <c r="M17" s="263" t="n">
        <v>17</v>
      </c>
      <c r="N17" s="263" t="n">
        <v>5</v>
      </c>
      <c r="O17" s="263" t="n">
        <v>164</v>
      </c>
      <c r="P17" s="263" t="n">
        <v>62</v>
      </c>
    </row>
    <row r="18" ht="14" customHeight="1" s="227">
      <c r="A18" s="28" t="inlineStr">
        <is>
          <t>Phnom Penh</t>
        </is>
      </c>
      <c r="B18" s="263" t="n">
        <v>38</v>
      </c>
      <c r="C18" s="263" t="n">
        <v>0</v>
      </c>
      <c r="D18" s="267" t="n">
        <v>1686</v>
      </c>
      <c r="E18" s="267" t="n">
        <v>1133</v>
      </c>
      <c r="F18" s="263" t="n">
        <v>0</v>
      </c>
      <c r="G18" s="264" t="n">
        <v>74768</v>
      </c>
      <c r="H18" s="264" t="n">
        <v>37504</v>
      </c>
      <c r="I18" s="264" t="n">
        <v>2264</v>
      </c>
      <c r="J18" s="263" t="n">
        <v>819</v>
      </c>
      <c r="K18" s="264" t="n">
        <v>4966</v>
      </c>
      <c r="L18" s="264" t="n">
        <v>2221</v>
      </c>
      <c r="M18" s="263" t="n">
        <v>386</v>
      </c>
      <c r="N18" s="263" t="n">
        <v>124</v>
      </c>
      <c r="O18" s="264" t="n">
        <v>5352</v>
      </c>
      <c r="P18" s="264" t="n">
        <v>2345</v>
      </c>
    </row>
    <row r="19" ht="14" customHeight="1" s="227">
      <c r="A19" s="28" t="inlineStr">
        <is>
          <t>Preah Sihanouk</t>
        </is>
      </c>
      <c r="B19" s="263" t="n">
        <v>9</v>
      </c>
      <c r="C19" s="263" t="n">
        <v>0</v>
      </c>
      <c r="D19" s="266" t="n">
        <v>180</v>
      </c>
      <c r="E19" s="266" t="n">
        <v>187</v>
      </c>
      <c r="F19" s="263" t="n">
        <v>0</v>
      </c>
      <c r="G19" s="264" t="n">
        <v>7904</v>
      </c>
      <c r="H19" s="264" t="n">
        <v>4011</v>
      </c>
      <c r="I19" s="263" t="n">
        <v>271</v>
      </c>
      <c r="J19" s="263" t="n">
        <v>67</v>
      </c>
      <c r="K19" s="263" t="n">
        <v>421</v>
      </c>
      <c r="L19" s="263" t="n">
        <v>130</v>
      </c>
      <c r="M19" s="263" t="n">
        <v>49</v>
      </c>
      <c r="N19" s="263" t="n">
        <v>14</v>
      </c>
      <c r="O19" s="263" t="n">
        <v>470</v>
      </c>
      <c r="P19" s="263" t="n">
        <v>144</v>
      </c>
    </row>
    <row r="20" ht="14" customHeight="1" s="227">
      <c r="A20" s="28" t="inlineStr">
        <is>
          <t>Preah Vihear</t>
        </is>
      </c>
      <c r="B20" s="263" t="n">
        <v>16</v>
      </c>
      <c r="C20" s="263" t="n">
        <v>0</v>
      </c>
      <c r="D20" s="266" t="n">
        <v>162</v>
      </c>
      <c r="E20" s="266" t="n">
        <v>162</v>
      </c>
      <c r="F20" s="263" t="n">
        <v>0</v>
      </c>
      <c r="G20" s="264" t="n">
        <v>6544</v>
      </c>
      <c r="H20" s="264" t="n">
        <v>3437</v>
      </c>
      <c r="I20" s="263" t="n">
        <v>55</v>
      </c>
      <c r="J20" s="263" t="n">
        <v>15</v>
      </c>
      <c r="K20" s="263" t="n">
        <v>305</v>
      </c>
      <c r="L20" s="263" t="n">
        <v>122</v>
      </c>
      <c r="M20" s="263" t="n">
        <v>36</v>
      </c>
      <c r="N20" s="263" t="n">
        <v>13</v>
      </c>
      <c r="O20" s="263" t="n">
        <v>341</v>
      </c>
      <c r="P20" s="263" t="n">
        <v>135</v>
      </c>
    </row>
    <row r="21" ht="14" customHeight="1" s="227">
      <c r="A21" s="28" t="inlineStr">
        <is>
          <t>Prey Veng</t>
        </is>
      </c>
      <c r="B21" s="263" t="n">
        <v>32</v>
      </c>
      <c r="C21" s="263" t="n">
        <v>0</v>
      </c>
      <c r="D21" s="266" t="n">
        <v>951</v>
      </c>
      <c r="E21" s="267" t="n">
        <v>1032</v>
      </c>
      <c r="F21" s="263" t="n">
        <v>2</v>
      </c>
      <c r="G21" s="264" t="n">
        <v>43061</v>
      </c>
      <c r="H21" s="264" t="n">
        <v>22616</v>
      </c>
      <c r="I21" s="263" t="n">
        <v>574</v>
      </c>
      <c r="J21" s="263" t="n">
        <v>217</v>
      </c>
      <c r="K21" s="264" t="n">
        <v>1631</v>
      </c>
      <c r="L21" s="263" t="n">
        <v>580</v>
      </c>
      <c r="M21" s="263" t="n">
        <v>309</v>
      </c>
      <c r="N21" s="263" t="n">
        <v>70</v>
      </c>
      <c r="O21" s="264" t="n">
        <v>1940</v>
      </c>
      <c r="P21" s="263" t="n">
        <v>650</v>
      </c>
    </row>
    <row r="22" ht="14" customHeight="1" s="227">
      <c r="A22" s="28" t="inlineStr">
        <is>
          <t>Pursat</t>
        </is>
      </c>
      <c r="B22" s="263" t="n">
        <v>15</v>
      </c>
      <c r="C22" s="263" t="n">
        <v>0</v>
      </c>
      <c r="D22" s="266" t="n">
        <v>337</v>
      </c>
      <c r="E22" s="266" t="n">
        <v>326</v>
      </c>
      <c r="F22" s="263" t="n">
        <v>0</v>
      </c>
      <c r="G22" s="264" t="n">
        <v>14764</v>
      </c>
      <c r="H22" s="264" t="n">
        <v>7867</v>
      </c>
      <c r="I22" s="263" t="n">
        <v>266</v>
      </c>
      <c r="J22" s="263" t="n">
        <v>95</v>
      </c>
      <c r="K22" s="263" t="n">
        <v>708</v>
      </c>
      <c r="L22" s="263" t="n">
        <v>240</v>
      </c>
      <c r="M22" s="263" t="n">
        <v>117</v>
      </c>
      <c r="N22" s="263" t="n">
        <v>24</v>
      </c>
      <c r="O22" s="263" t="n">
        <v>825</v>
      </c>
      <c r="P22" s="263" t="n">
        <v>264</v>
      </c>
    </row>
    <row r="23" ht="14" customHeight="1" s="227">
      <c r="A23" s="28" t="inlineStr">
        <is>
          <t>Ratanak Kiri</t>
        </is>
      </c>
      <c r="B23" s="263" t="n">
        <v>9</v>
      </c>
      <c r="C23" s="263" t="n">
        <v>0</v>
      </c>
      <c r="D23" s="266" t="n">
        <v>133</v>
      </c>
      <c r="E23" s="266" t="n">
        <v>126</v>
      </c>
      <c r="F23" s="263" t="n">
        <v>0</v>
      </c>
      <c r="G23" s="264" t="n">
        <v>6564</v>
      </c>
      <c r="H23" s="264" t="n">
        <v>3213</v>
      </c>
      <c r="I23" s="263" t="n">
        <v>103</v>
      </c>
      <c r="J23" s="263" t="n">
        <v>38</v>
      </c>
      <c r="K23" s="263" t="n">
        <v>271</v>
      </c>
      <c r="L23" s="263" t="n">
        <v>106</v>
      </c>
      <c r="M23" s="263" t="n">
        <v>32</v>
      </c>
      <c r="N23" s="263" t="n">
        <v>10</v>
      </c>
      <c r="O23" s="263" t="n">
        <v>303</v>
      </c>
      <c r="P23" s="263" t="n">
        <v>116</v>
      </c>
    </row>
    <row r="24" ht="14" customHeight="1" s="227">
      <c r="A24" s="28" t="inlineStr">
        <is>
          <t>Siemreap</t>
        </is>
      </c>
      <c r="B24" s="263" t="n">
        <v>38</v>
      </c>
      <c r="C24" s="263" t="n">
        <v>0</v>
      </c>
      <c r="D24" s="266" t="n">
        <v>981</v>
      </c>
      <c r="E24" s="266" t="n">
        <v>855</v>
      </c>
      <c r="F24" s="263" t="n">
        <v>0</v>
      </c>
      <c r="G24" s="264" t="n">
        <v>49566</v>
      </c>
      <c r="H24" s="264" t="n">
        <v>27087</v>
      </c>
      <c r="I24" s="264" t="n">
        <v>1562</v>
      </c>
      <c r="J24" s="263" t="n">
        <v>542</v>
      </c>
      <c r="K24" s="264" t="n">
        <v>1671</v>
      </c>
      <c r="L24" s="263" t="n">
        <v>711</v>
      </c>
      <c r="M24" s="263" t="n">
        <v>236</v>
      </c>
      <c r="N24" s="263" t="n">
        <v>88</v>
      </c>
      <c r="O24" s="264" t="n">
        <v>1907</v>
      </c>
      <c r="P24" s="263" t="n">
        <v>799</v>
      </c>
    </row>
    <row r="25" ht="14" customHeight="1" s="227">
      <c r="A25" s="28" t="inlineStr">
        <is>
          <t>Stung Treng</t>
        </is>
      </c>
      <c r="B25" s="263" t="n">
        <v>8</v>
      </c>
      <c r="C25" s="263" t="n">
        <v>0</v>
      </c>
      <c r="D25" s="268" t="n">
        <v>86</v>
      </c>
      <c r="E25" s="268" t="n">
        <v>76</v>
      </c>
      <c r="F25" s="263" t="n">
        <v>0</v>
      </c>
      <c r="G25" s="264" t="n">
        <v>3786</v>
      </c>
      <c r="H25" s="264" t="n">
        <v>1926</v>
      </c>
      <c r="I25" s="263" t="n">
        <v>21</v>
      </c>
      <c r="J25" s="263" t="n">
        <v>11</v>
      </c>
      <c r="K25" s="263" t="n">
        <v>227</v>
      </c>
      <c r="L25" s="263" t="n">
        <v>87</v>
      </c>
      <c r="M25" s="263" t="n">
        <v>23</v>
      </c>
      <c r="N25" s="263" t="n">
        <v>5</v>
      </c>
      <c r="O25" s="263" t="n">
        <v>250</v>
      </c>
      <c r="P25" s="263" t="n">
        <v>92</v>
      </c>
    </row>
    <row r="26" ht="14" customHeight="1" s="227">
      <c r="A26" s="28" t="inlineStr">
        <is>
          <t>Svay Rieng</t>
        </is>
      </c>
      <c r="B26" s="263" t="n">
        <v>19</v>
      </c>
      <c r="C26" s="263" t="n">
        <v>0</v>
      </c>
      <c r="D26" s="266" t="n">
        <v>561</v>
      </c>
      <c r="E26" s="266" t="n">
        <v>524</v>
      </c>
      <c r="F26" s="263" t="n">
        <v>0</v>
      </c>
      <c r="G26" s="264" t="n">
        <v>25039</v>
      </c>
      <c r="H26" s="264" t="n">
        <v>12728</v>
      </c>
      <c r="I26" s="263" t="n">
        <v>536</v>
      </c>
      <c r="J26" s="263" t="n">
        <v>168</v>
      </c>
      <c r="K26" s="264" t="n">
        <v>1203</v>
      </c>
      <c r="L26" s="263" t="n">
        <v>365</v>
      </c>
      <c r="M26" s="263" t="n">
        <v>208</v>
      </c>
      <c r="N26" s="263" t="n">
        <v>63</v>
      </c>
      <c r="O26" s="264" t="n">
        <v>1411</v>
      </c>
      <c r="P26" s="263" t="n">
        <v>428</v>
      </c>
    </row>
    <row r="27" ht="14" customHeight="1" s="227">
      <c r="A27" s="28" t="inlineStr">
        <is>
          <t>Takeo</t>
        </is>
      </c>
      <c r="B27" s="263" t="n">
        <v>52</v>
      </c>
      <c r="C27" s="263" t="n">
        <v>0</v>
      </c>
      <c r="D27" s="267" t="n">
        <v>1357</v>
      </c>
      <c r="E27" s="267" t="n">
        <v>1330</v>
      </c>
      <c r="F27" s="263" t="n">
        <v>0</v>
      </c>
      <c r="G27" s="264" t="n">
        <v>57811</v>
      </c>
      <c r="H27" s="264" t="n">
        <v>29383</v>
      </c>
      <c r="I27" s="264" t="n">
        <v>1578</v>
      </c>
      <c r="J27" s="263" t="n">
        <v>507</v>
      </c>
      <c r="K27" s="264" t="n">
        <v>2434</v>
      </c>
      <c r="L27" s="263" t="n">
        <v>738</v>
      </c>
      <c r="M27" s="263" t="n">
        <v>483</v>
      </c>
      <c r="N27" s="263" t="n">
        <v>116</v>
      </c>
      <c r="O27" s="264" t="n">
        <v>2917</v>
      </c>
      <c r="P27" s="263" t="n">
        <v>854</v>
      </c>
    </row>
    <row r="28" ht="14" customHeight="1" s="227">
      <c r="A28" s="28" t="inlineStr">
        <is>
          <t>Tbaung Khmum</t>
        </is>
      </c>
      <c r="B28" s="263" t="n">
        <v>24</v>
      </c>
      <c r="C28" s="263" t="n">
        <v>0</v>
      </c>
      <c r="D28" s="266" t="n">
        <v>603</v>
      </c>
      <c r="E28" s="266" t="n">
        <v>599</v>
      </c>
      <c r="F28" s="263" t="n">
        <v>0</v>
      </c>
      <c r="G28" s="264" t="n">
        <v>28500</v>
      </c>
      <c r="H28" s="264" t="n">
        <v>15211</v>
      </c>
      <c r="I28" s="263" t="n">
        <v>868</v>
      </c>
      <c r="J28" s="263" t="n">
        <v>304</v>
      </c>
      <c r="K28" s="263" t="n">
        <v>934</v>
      </c>
      <c r="L28" s="263" t="n">
        <v>362</v>
      </c>
      <c r="M28" s="263" t="n">
        <v>148</v>
      </c>
      <c r="N28" s="263" t="n">
        <v>46</v>
      </c>
      <c r="O28" s="264" t="n">
        <v>1082</v>
      </c>
      <c r="P28" s="263" t="n">
        <v>408</v>
      </c>
    </row>
    <row r="29" ht="17" customHeight="1" s="227">
      <c r="A29" s="22" t="inlineStr">
        <is>
          <t>Whole Kingdom</t>
        </is>
      </c>
      <c r="B29" s="263" t="n">
        <v>525</v>
      </c>
      <c r="C29" s="263" t="n">
        <v>0</v>
      </c>
      <c r="D29" s="267" t="n">
        <v>13217</v>
      </c>
      <c r="E29" s="267" t="n">
        <v>12175</v>
      </c>
      <c r="F29" s="263" t="n">
        <v>29</v>
      </c>
      <c r="G29" s="264" t="n">
        <v>603991</v>
      </c>
      <c r="H29" s="264" t="n">
        <v>318292</v>
      </c>
      <c r="I29" s="264" t="n">
        <v>14892</v>
      </c>
      <c r="J29" s="264" t="n">
        <v>5165</v>
      </c>
      <c r="K29" s="264" t="n">
        <v>27842</v>
      </c>
      <c r="L29" s="264" t="n">
        <v>11106</v>
      </c>
      <c r="M29" s="264" t="n">
        <v>4039</v>
      </c>
      <c r="N29" s="264" t="n">
        <v>1134</v>
      </c>
      <c r="O29" s="264" t="n">
        <v>31881</v>
      </c>
      <c r="P29" s="264" t="n">
        <v>12240</v>
      </c>
    </row>
    <row r="30" ht="14" customHeight="1" s="227">
      <c r="A30" s="28" t="inlineStr">
        <is>
          <t>-  Urban Area</t>
        </is>
      </c>
      <c r="B30" s="263" t="n">
        <v>109</v>
      </c>
      <c r="C30" s="263" t="n">
        <v>0</v>
      </c>
      <c r="D30" s="267" t="n">
        <v>3915</v>
      </c>
      <c r="E30" s="267" t="n">
        <v>3287</v>
      </c>
      <c r="F30" s="263" t="n">
        <v>0</v>
      </c>
      <c r="G30" s="264" t="n">
        <v>176471</v>
      </c>
      <c r="H30" s="264" t="n">
        <v>90475</v>
      </c>
      <c r="I30" s="264" t="n">
        <v>5074</v>
      </c>
      <c r="J30" s="264" t="n">
        <v>1878</v>
      </c>
      <c r="K30" s="264" t="n">
        <v>10154</v>
      </c>
      <c r="L30" s="264" t="n">
        <v>4441</v>
      </c>
      <c r="M30" s="264" t="n">
        <v>1113</v>
      </c>
      <c r="N30" s="263" t="n">
        <v>390</v>
      </c>
      <c r="O30" s="264" t="n">
        <v>11267</v>
      </c>
      <c r="P30" s="264" t="n">
        <v>4831</v>
      </c>
    </row>
    <row r="31" ht="14" customHeight="1" s="227">
      <c r="A31" s="28" t="inlineStr">
        <is>
          <t>-  Rural Area</t>
        </is>
      </c>
      <c r="B31" s="263" t="n">
        <v>416</v>
      </c>
      <c r="C31" s="263" t="n">
        <v>0</v>
      </c>
      <c r="D31" s="267" t="n">
        <v>9302</v>
      </c>
      <c r="E31" s="267" t="n">
        <v>8888</v>
      </c>
      <c r="F31" s="263" t="n">
        <v>29</v>
      </c>
      <c r="G31" s="264" t="n">
        <v>427520</v>
      </c>
      <c r="H31" s="264" t="n">
        <v>227817</v>
      </c>
      <c r="I31" s="264" t="n">
        <v>9818</v>
      </c>
      <c r="J31" s="264" t="n">
        <v>3287</v>
      </c>
      <c r="K31" s="264" t="n">
        <v>17688</v>
      </c>
      <c r="L31" s="264" t="n">
        <v>6665</v>
      </c>
      <c r="M31" s="264" t="n">
        <v>2926</v>
      </c>
      <c r="N31" s="263" t="n">
        <v>744</v>
      </c>
      <c r="O31" s="264" t="n">
        <v>20614</v>
      </c>
      <c r="P31" s="264" t="n">
        <v>7409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P19"/>
  <sheetViews>
    <sheetView tabSelected="1" workbookViewId="0">
      <selection activeCell="A1" sqref="A1"/>
    </sheetView>
  </sheetViews>
  <sheetFormatPr baseColWidth="8" defaultRowHeight="15"/>
  <cols>
    <col width="23.333333" customWidth="1" style="227" min="1" max="1"/>
    <col width="11.777778" customWidth="1" style="227" min="2" max="2"/>
    <col width="10.444444" customWidth="1" style="227" min="3" max="3"/>
    <col width="10.444444" customWidth="1" style="227" min="4" max="4"/>
    <col width="10.444444" customWidth="1" style="227" min="5" max="5"/>
    <col width="10.444444" customWidth="1" style="227" min="6" max="6"/>
    <col width="10.666667" customWidth="1" style="227" min="7" max="7"/>
    <col width="10.888889" customWidth="1" style="227" min="8" max="8"/>
    <col width="8.444444000000001" customWidth="1" style="227" min="9" max="9"/>
    <col width="8.666667" customWidth="1" style="227" min="10" max="10"/>
    <col width="8.444444000000001" customWidth="1" style="227" min="11" max="11"/>
    <col width="8.666667" customWidth="1" style="227" min="12" max="12"/>
    <col width="8.444444000000001" customWidth="1" style="227" min="13" max="13"/>
    <col width="8.444444000000001" customWidth="1" style="227" min="14" max="14"/>
    <col width="8.666667" customWidth="1" style="227" min="15" max="15"/>
    <col width="8.444444000000001" customWidth="1" style="227" min="16" max="16"/>
  </cols>
  <sheetData>
    <row r="1" ht="31" customHeight="1" s="227">
      <c r="A1" s="34" t="inlineStr">
        <is>
          <t>Table 7: Lycees with grade 10-12 only, Classes, Students and Staff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</row>
    <row r="2" ht="22" customHeight="1" s="227">
      <c r="A2" s="35" t="inlineStr">
        <is>
          <t>Province</t>
        </is>
      </c>
      <c r="B2" s="38" t="inlineStr">
        <is>
          <t>Number of School</t>
        </is>
      </c>
      <c r="C2" s="7" t="inlineStr">
        <is>
          <t>Disadv.</t>
        </is>
      </c>
      <c r="D2" s="6" t="inlineStr">
        <is>
          <t>Number of</t>
        </is>
      </c>
      <c r="E2" s="6" t="inlineStr">
        <is>
          <t>Number of</t>
        </is>
      </c>
      <c r="F2" s="38" t="inlineStr">
        <is>
          <t>Classes</t>
        </is>
      </c>
      <c r="G2" s="29" t="inlineStr">
        <is>
          <t>Enrollment</t>
        </is>
      </c>
      <c r="H2" s="257" t="n"/>
      <c r="I2" s="8" t="inlineStr">
        <is>
          <t>Repeaters</t>
        </is>
      </c>
      <c r="J2" s="257" t="n"/>
      <c r="K2" s="11" t="inlineStr">
        <is>
          <t>Teaching Staff</t>
        </is>
      </c>
      <c r="L2" s="257" t="n"/>
      <c r="M2" s="14" t="inlineStr">
        <is>
          <t>Non-Teaching Staff</t>
        </is>
      </c>
      <c r="N2" s="257" t="n"/>
      <c r="O2" s="11" t="inlineStr">
        <is>
          <t>Total  Staff</t>
        </is>
      </c>
      <c r="P2" s="257" t="n"/>
    </row>
    <row r="3" ht="13" customHeight="1" s="227">
      <c r="A3" s="258" t="n"/>
      <c r="B3" s="17" t="inlineStr">
        <is>
          <t>G.10-12</t>
        </is>
      </c>
      <c r="C3" s="18" t="inlineStr">
        <is>
          <t>Schools</t>
        </is>
      </c>
      <c r="D3" s="17" t="inlineStr">
        <is>
          <t>Classes</t>
        </is>
      </c>
      <c r="E3" s="19" t="inlineStr">
        <is>
          <t>Classrooms</t>
        </is>
      </c>
      <c r="F3" s="18" t="inlineStr">
        <is>
          <t>in Pagoda</t>
        </is>
      </c>
      <c r="G3" s="11" t="inlineStr">
        <is>
          <t>Total</t>
        </is>
      </c>
      <c r="H3" s="20" t="inlineStr">
        <is>
          <t>Girl</t>
        </is>
      </c>
      <c r="I3" s="14" t="inlineStr">
        <is>
          <t>Total</t>
        </is>
      </c>
      <c r="J3" s="14" t="inlineStr">
        <is>
          <t>Girl</t>
        </is>
      </c>
      <c r="K3" s="21" t="inlineStr">
        <is>
          <t>Total</t>
        </is>
      </c>
      <c r="L3" s="21" t="inlineStr">
        <is>
          <t>Female</t>
        </is>
      </c>
      <c r="M3" s="21" t="inlineStr">
        <is>
          <t>Total</t>
        </is>
      </c>
      <c r="N3" s="21" t="inlineStr">
        <is>
          <t>Female</t>
        </is>
      </c>
      <c r="O3" s="14" t="inlineStr">
        <is>
          <t>Total</t>
        </is>
      </c>
      <c r="P3" s="21" t="inlineStr">
        <is>
          <t>Female</t>
        </is>
      </c>
    </row>
    <row r="4" ht="14" customHeight="1" s="227">
      <c r="A4" s="28" t="inlineStr">
        <is>
          <t>Battambang</t>
        </is>
      </c>
      <c r="B4" s="263" t="n">
        <v>2</v>
      </c>
      <c r="C4" s="263" t="n">
        <v>0</v>
      </c>
      <c r="D4" s="263" t="n">
        <v>45</v>
      </c>
      <c r="E4" s="263" t="n">
        <v>45</v>
      </c>
      <c r="F4" s="263" t="n">
        <v>0</v>
      </c>
      <c r="G4" s="264" t="n">
        <v>2665</v>
      </c>
      <c r="H4" s="264" t="n">
        <v>1453</v>
      </c>
      <c r="I4" s="263" t="n">
        <v>24</v>
      </c>
      <c r="J4" s="263" t="n">
        <v>11</v>
      </c>
      <c r="K4" s="263" t="n">
        <v>81</v>
      </c>
      <c r="L4" s="263" t="n">
        <v>27</v>
      </c>
      <c r="M4" s="263" t="n">
        <v>11</v>
      </c>
      <c r="N4" s="263" t="n">
        <v>5</v>
      </c>
      <c r="O4" s="263" t="n">
        <v>92</v>
      </c>
      <c r="P4" s="263" t="n">
        <v>32</v>
      </c>
    </row>
    <row r="5" ht="14" customHeight="1" s="227">
      <c r="A5" s="28" t="inlineStr">
        <is>
          <t>Kampong Speu</t>
        </is>
      </c>
      <c r="B5" s="263" t="n">
        <v>2</v>
      </c>
      <c r="C5" s="263" t="n">
        <v>0</v>
      </c>
      <c r="D5" s="263" t="n">
        <v>48</v>
      </c>
      <c r="E5" s="263" t="n">
        <v>41</v>
      </c>
      <c r="F5" s="263" t="n">
        <v>0</v>
      </c>
      <c r="G5" s="264" t="n">
        <v>2843</v>
      </c>
      <c r="H5" s="264" t="n">
        <v>1445</v>
      </c>
      <c r="I5" s="263" t="n">
        <v>20</v>
      </c>
      <c r="J5" s="263" t="n">
        <v>11</v>
      </c>
      <c r="K5" s="263" t="n">
        <v>101</v>
      </c>
      <c r="L5" s="263" t="n">
        <v>34</v>
      </c>
      <c r="M5" s="263" t="n">
        <v>13</v>
      </c>
      <c r="N5" s="263" t="n">
        <v>2</v>
      </c>
      <c r="O5" s="263" t="n">
        <v>114</v>
      </c>
      <c r="P5" s="263" t="n">
        <v>36</v>
      </c>
    </row>
    <row r="6" ht="14" customHeight="1" s="227">
      <c r="A6" s="28" t="inlineStr">
        <is>
          <t>Kampong Thom</t>
        </is>
      </c>
      <c r="B6" s="263" t="n">
        <v>1</v>
      </c>
      <c r="C6" s="263" t="n">
        <v>0</v>
      </c>
      <c r="D6" s="263" t="n">
        <v>28</v>
      </c>
      <c r="E6" s="263" t="n">
        <v>18</v>
      </c>
      <c r="F6" s="263" t="n">
        <v>0</v>
      </c>
      <c r="G6" s="263" t="n">
        <v>966</v>
      </c>
      <c r="H6" s="263" t="n">
        <v>503</v>
      </c>
      <c r="I6" s="263" t="n">
        <v>23</v>
      </c>
      <c r="J6" s="263" t="n">
        <v>6</v>
      </c>
      <c r="K6" s="263" t="n">
        <v>37</v>
      </c>
      <c r="L6" s="263" t="n">
        <v>12</v>
      </c>
      <c r="M6" s="263" t="n">
        <v>6</v>
      </c>
      <c r="N6" s="263" t="n">
        <v>1</v>
      </c>
      <c r="O6" s="263" t="n">
        <v>43</v>
      </c>
      <c r="P6" s="263" t="n">
        <v>13</v>
      </c>
    </row>
    <row r="7" ht="14" customHeight="1" s="227">
      <c r="A7" s="28" t="inlineStr">
        <is>
          <t>Kampot</t>
        </is>
      </c>
      <c r="B7" s="263" t="n">
        <v>2</v>
      </c>
      <c r="C7" s="263" t="n">
        <v>0</v>
      </c>
      <c r="D7" s="263" t="n">
        <v>24</v>
      </c>
      <c r="E7" s="263" t="n">
        <v>24</v>
      </c>
      <c r="F7" s="263" t="n">
        <v>0</v>
      </c>
      <c r="G7" s="263" t="n">
        <v>949</v>
      </c>
      <c r="H7" s="263" t="n">
        <v>478</v>
      </c>
      <c r="I7" s="263" t="n">
        <v>9</v>
      </c>
      <c r="J7" s="263" t="n">
        <v>2</v>
      </c>
      <c r="K7" s="263" t="n">
        <v>53</v>
      </c>
      <c r="L7" s="263" t="n">
        <v>16</v>
      </c>
      <c r="M7" s="263" t="n">
        <v>7</v>
      </c>
      <c r="N7" s="263" t="n">
        <v>1</v>
      </c>
      <c r="O7" s="263" t="n">
        <v>60</v>
      </c>
      <c r="P7" s="263" t="n">
        <v>17</v>
      </c>
    </row>
    <row r="8" ht="14" customHeight="1" s="227">
      <c r="A8" s="28" t="inlineStr">
        <is>
          <t>Kandal</t>
        </is>
      </c>
      <c r="B8" s="263" t="n">
        <v>2</v>
      </c>
      <c r="C8" s="263" t="n">
        <v>0</v>
      </c>
      <c r="D8" s="263" t="n">
        <v>61</v>
      </c>
      <c r="E8" s="263" t="n">
        <v>61</v>
      </c>
      <c r="F8" s="263" t="n">
        <v>0</v>
      </c>
      <c r="G8" s="264" t="n">
        <v>2797</v>
      </c>
      <c r="H8" s="264" t="n">
        <v>1477</v>
      </c>
      <c r="I8" s="263" t="n">
        <v>16</v>
      </c>
      <c r="J8" s="263" t="n">
        <v>7</v>
      </c>
      <c r="K8" s="263" t="n">
        <v>160</v>
      </c>
      <c r="L8" s="263" t="n">
        <v>44</v>
      </c>
      <c r="M8" s="263" t="n">
        <v>14</v>
      </c>
      <c r="N8" s="263" t="n">
        <v>2</v>
      </c>
      <c r="O8" s="263" t="n">
        <v>174</v>
      </c>
      <c r="P8" s="263" t="n">
        <v>46</v>
      </c>
    </row>
    <row r="9" ht="14" customHeight="1" s="227">
      <c r="A9" s="28" t="inlineStr">
        <is>
          <t>Kratie</t>
        </is>
      </c>
      <c r="B9" s="263" t="n">
        <v>1</v>
      </c>
      <c r="C9" s="263" t="n">
        <v>0</v>
      </c>
      <c r="D9" s="263" t="n">
        <v>17</v>
      </c>
      <c r="E9" s="263" t="n">
        <v>17</v>
      </c>
      <c r="F9" s="263" t="n">
        <v>0</v>
      </c>
      <c r="G9" s="263" t="n">
        <v>784</v>
      </c>
      <c r="H9" s="263" t="n">
        <v>398</v>
      </c>
      <c r="I9" s="263" t="n">
        <v>18</v>
      </c>
      <c r="J9" s="263" t="n">
        <v>6</v>
      </c>
      <c r="K9" s="263" t="n">
        <v>42</v>
      </c>
      <c r="L9" s="263" t="n">
        <v>17</v>
      </c>
      <c r="M9" s="263" t="n">
        <v>3</v>
      </c>
      <c r="N9" s="263" t="n">
        <v>1</v>
      </c>
      <c r="O9" s="263" t="n">
        <v>45</v>
      </c>
      <c r="P9" s="263" t="n">
        <v>18</v>
      </c>
    </row>
    <row r="10" ht="14" customHeight="1" s="227">
      <c r="A10" s="28" t="inlineStr">
        <is>
          <t>Otdar Meanchey</t>
        </is>
      </c>
      <c r="B10" s="263" t="n">
        <v>2</v>
      </c>
      <c r="C10" s="263" t="n">
        <v>0</v>
      </c>
      <c r="D10" s="263" t="n">
        <v>42</v>
      </c>
      <c r="E10" s="263" t="n">
        <v>42</v>
      </c>
      <c r="F10" s="263" t="n">
        <v>0</v>
      </c>
      <c r="G10" s="264" t="n">
        <v>1870</v>
      </c>
      <c r="H10" s="263" t="n">
        <v>985</v>
      </c>
      <c r="I10" s="263" t="n">
        <v>14</v>
      </c>
      <c r="J10" s="263" t="n">
        <v>3</v>
      </c>
      <c r="K10" s="263" t="n">
        <v>53</v>
      </c>
      <c r="L10" s="263" t="n">
        <v>14</v>
      </c>
      <c r="M10" s="263" t="n">
        <v>11</v>
      </c>
      <c r="N10" s="263" t="n">
        <v>3</v>
      </c>
      <c r="O10" s="263" t="n">
        <v>64</v>
      </c>
      <c r="P10" s="263" t="n">
        <v>17</v>
      </c>
    </row>
    <row r="11" ht="14" customHeight="1" s="227">
      <c r="A11" s="28" t="inlineStr">
        <is>
          <t>Preah Sihanouk</t>
        </is>
      </c>
      <c r="B11" s="263" t="n">
        <v>1</v>
      </c>
      <c r="C11" s="263" t="n">
        <v>0</v>
      </c>
      <c r="D11" s="263" t="n">
        <v>27</v>
      </c>
      <c r="E11" s="263" t="n">
        <v>30</v>
      </c>
      <c r="F11" s="263" t="n">
        <v>0</v>
      </c>
      <c r="G11" s="263" t="n">
        <v>997</v>
      </c>
      <c r="H11" s="263" t="n">
        <v>502</v>
      </c>
      <c r="I11" s="263" t="n">
        <v>0</v>
      </c>
      <c r="J11" s="263" t="n">
        <v>0</v>
      </c>
      <c r="K11" s="263" t="n">
        <v>79</v>
      </c>
      <c r="L11" s="263" t="n">
        <v>20</v>
      </c>
      <c r="M11" s="263" t="n">
        <v>9</v>
      </c>
      <c r="N11" s="263" t="n">
        <v>4</v>
      </c>
      <c r="O11" s="263" t="n">
        <v>88</v>
      </c>
      <c r="P11" s="263" t="n">
        <v>24</v>
      </c>
    </row>
    <row r="12" ht="14" customHeight="1" s="227">
      <c r="A12" s="28" t="inlineStr">
        <is>
          <t>Preah Vihear</t>
        </is>
      </c>
      <c r="B12" s="263" t="n">
        <v>8</v>
      </c>
      <c r="C12" s="263" t="n">
        <v>0</v>
      </c>
      <c r="D12" s="263" t="n">
        <v>46</v>
      </c>
      <c r="E12" s="263" t="n">
        <v>46</v>
      </c>
      <c r="F12" s="263" t="n">
        <v>0</v>
      </c>
      <c r="G12" s="264" t="n">
        <v>1549</v>
      </c>
      <c r="H12" s="263" t="n">
        <v>786</v>
      </c>
      <c r="I12" s="263" t="n">
        <v>1</v>
      </c>
      <c r="J12" s="263" t="n">
        <v>0</v>
      </c>
      <c r="K12" s="263" t="n">
        <v>81</v>
      </c>
      <c r="L12" s="263" t="n">
        <v>23</v>
      </c>
      <c r="M12" s="263" t="n">
        <v>8</v>
      </c>
      <c r="N12" s="263" t="n">
        <v>1</v>
      </c>
      <c r="O12" s="263" t="n">
        <v>89</v>
      </c>
      <c r="P12" s="263" t="n">
        <v>24</v>
      </c>
    </row>
    <row r="13" ht="14" customHeight="1" s="227">
      <c r="A13" s="28" t="inlineStr">
        <is>
          <t>Pursat</t>
        </is>
      </c>
      <c r="B13" s="263" t="n">
        <v>3</v>
      </c>
      <c r="C13" s="263" t="n">
        <v>0</v>
      </c>
      <c r="D13" s="263" t="n">
        <v>77</v>
      </c>
      <c r="E13" s="263" t="n">
        <v>77</v>
      </c>
      <c r="F13" s="263" t="n">
        <v>0</v>
      </c>
      <c r="G13" s="264" t="n">
        <v>3105</v>
      </c>
      <c r="H13" s="264" t="n">
        <v>1617</v>
      </c>
      <c r="I13" s="263" t="n">
        <v>50</v>
      </c>
      <c r="J13" s="263" t="n">
        <v>14</v>
      </c>
      <c r="K13" s="263" t="n">
        <v>184</v>
      </c>
      <c r="L13" s="263" t="n">
        <v>67</v>
      </c>
      <c r="M13" s="263" t="n">
        <v>24</v>
      </c>
      <c r="N13" s="263" t="n">
        <v>7</v>
      </c>
      <c r="O13" s="263" t="n">
        <v>208</v>
      </c>
      <c r="P13" s="263" t="n">
        <v>74</v>
      </c>
    </row>
    <row r="14" ht="14" customHeight="1" s="227">
      <c r="A14" s="28" t="inlineStr">
        <is>
          <t>Ratanak Kiri</t>
        </is>
      </c>
      <c r="B14" s="263" t="n">
        <v>2</v>
      </c>
      <c r="C14" s="263" t="n">
        <v>0</v>
      </c>
      <c r="D14" s="263" t="n">
        <v>12</v>
      </c>
      <c r="E14" s="263" t="n">
        <v>12</v>
      </c>
      <c r="F14" s="263" t="n">
        <v>0</v>
      </c>
      <c r="G14" s="263" t="n">
        <v>509</v>
      </c>
      <c r="H14" s="263" t="n">
        <v>235</v>
      </c>
      <c r="I14" s="263" t="n">
        <v>0</v>
      </c>
      <c r="J14" s="263" t="n">
        <v>0</v>
      </c>
      <c r="K14" s="263" t="n">
        <v>20</v>
      </c>
      <c r="L14" s="263" t="n">
        <v>2</v>
      </c>
      <c r="M14" s="263" t="n">
        <v>0</v>
      </c>
      <c r="N14" s="263" t="n">
        <v>0</v>
      </c>
      <c r="O14" s="263" t="n">
        <v>20</v>
      </c>
      <c r="P14" s="263" t="n">
        <v>2</v>
      </c>
    </row>
    <row r="15" ht="14" customHeight="1" s="227">
      <c r="A15" s="28" t="inlineStr">
        <is>
          <t>Siemreap</t>
        </is>
      </c>
      <c r="B15" s="263" t="n">
        <v>2</v>
      </c>
      <c r="C15" s="263" t="n">
        <v>0</v>
      </c>
      <c r="D15" s="263" t="n">
        <v>10</v>
      </c>
      <c r="E15" s="263" t="n">
        <v>10</v>
      </c>
      <c r="F15" s="263" t="n">
        <v>0</v>
      </c>
      <c r="G15" s="263" t="n">
        <v>396</v>
      </c>
      <c r="H15" s="263" t="n">
        <v>225</v>
      </c>
      <c r="I15" s="263" t="n">
        <v>9</v>
      </c>
      <c r="J15" s="263" t="n">
        <v>2</v>
      </c>
      <c r="K15" s="263" t="n">
        <v>18</v>
      </c>
      <c r="L15" s="263" t="n">
        <v>8</v>
      </c>
      <c r="M15" s="263" t="n">
        <v>4</v>
      </c>
      <c r="N15" s="263" t="n">
        <v>2</v>
      </c>
      <c r="O15" s="263" t="n">
        <v>22</v>
      </c>
      <c r="P15" s="263" t="n">
        <v>10</v>
      </c>
    </row>
    <row r="16" ht="14" customHeight="1" s="227">
      <c r="A16" s="28" t="inlineStr">
        <is>
          <t>Stung Treng</t>
        </is>
      </c>
      <c r="B16" s="263" t="n">
        <v>4</v>
      </c>
      <c r="C16" s="263" t="n">
        <v>0</v>
      </c>
      <c r="D16" s="263" t="n">
        <v>19</v>
      </c>
      <c r="E16" s="263" t="n">
        <v>12</v>
      </c>
      <c r="F16" s="263" t="n">
        <v>0</v>
      </c>
      <c r="G16" s="263" t="n">
        <v>696</v>
      </c>
      <c r="H16" s="263" t="n">
        <v>358</v>
      </c>
      <c r="I16" s="263" t="n">
        <v>4</v>
      </c>
      <c r="J16" s="263" t="n">
        <v>1</v>
      </c>
      <c r="K16" s="263" t="n">
        <v>34</v>
      </c>
      <c r="L16" s="263" t="n">
        <v>5</v>
      </c>
      <c r="M16" s="263" t="n">
        <v>4</v>
      </c>
      <c r="N16" s="263" t="n">
        <v>0</v>
      </c>
      <c r="O16" s="263" t="n">
        <v>38</v>
      </c>
      <c r="P16" s="263" t="n">
        <v>5</v>
      </c>
    </row>
    <row r="17" ht="16" customHeight="1" s="227">
      <c r="A17" s="22" t="inlineStr">
        <is>
          <t>Whole Province</t>
        </is>
      </c>
      <c r="B17" s="263" t="n">
        <v>32</v>
      </c>
      <c r="C17" s="263" t="n">
        <v>0</v>
      </c>
      <c r="D17" s="263" t="n">
        <v>456</v>
      </c>
      <c r="E17" s="263" t="n">
        <v>435</v>
      </c>
      <c r="F17" s="263" t="n">
        <v>0</v>
      </c>
      <c r="G17" s="264" t="n">
        <v>20126</v>
      </c>
      <c r="H17" s="264" t="n">
        <v>10462</v>
      </c>
      <c r="I17" s="263" t="n">
        <v>188</v>
      </c>
      <c r="J17" s="263" t="n">
        <v>63</v>
      </c>
      <c r="K17" s="263" t="n">
        <v>943</v>
      </c>
      <c r="L17" s="263" t="n">
        <v>289</v>
      </c>
      <c r="M17" s="263" t="n">
        <v>114</v>
      </c>
      <c r="N17" s="263" t="n">
        <v>29</v>
      </c>
      <c r="O17" s="264" t="n">
        <v>1057</v>
      </c>
      <c r="P17" s="263" t="n">
        <v>318</v>
      </c>
    </row>
    <row r="18" ht="14" customHeight="1" s="227">
      <c r="A18" s="28" t="inlineStr">
        <is>
          <t>-  Urban Area</t>
        </is>
      </c>
      <c r="B18" s="263" t="n">
        <v>6</v>
      </c>
      <c r="C18" s="263" t="n">
        <v>0</v>
      </c>
      <c r="D18" s="263" t="n">
        <v>140</v>
      </c>
      <c r="E18" s="263" t="n">
        <v>136</v>
      </c>
      <c r="F18" s="263" t="n">
        <v>0</v>
      </c>
      <c r="G18" s="264" t="n">
        <v>6070</v>
      </c>
      <c r="H18" s="264" t="n">
        <v>3182</v>
      </c>
      <c r="I18" s="263" t="n">
        <v>72</v>
      </c>
      <c r="J18" s="263" t="n">
        <v>21</v>
      </c>
      <c r="K18" s="263" t="n">
        <v>293</v>
      </c>
      <c r="L18" s="263" t="n">
        <v>93</v>
      </c>
      <c r="M18" s="263" t="n">
        <v>36</v>
      </c>
      <c r="N18" s="263" t="n">
        <v>12</v>
      </c>
      <c r="O18" s="263" t="n">
        <v>329</v>
      </c>
      <c r="P18" s="263" t="n">
        <v>105</v>
      </c>
    </row>
    <row r="19" ht="14.5" customHeight="1" s="227">
      <c r="A19" s="28" t="inlineStr">
        <is>
          <t>-  Rural Area</t>
        </is>
      </c>
      <c r="B19" s="263" t="n">
        <v>26</v>
      </c>
      <c r="C19" s="263" t="n">
        <v>0</v>
      </c>
      <c r="D19" s="263" t="n">
        <v>316</v>
      </c>
      <c r="E19" s="263" t="n">
        <v>299</v>
      </c>
      <c r="F19" s="263" t="n">
        <v>0</v>
      </c>
      <c r="G19" s="264" t="n">
        <v>14056</v>
      </c>
      <c r="H19" s="264" t="n">
        <v>7280</v>
      </c>
      <c r="I19" s="263" t="n">
        <v>116</v>
      </c>
      <c r="J19" s="263" t="n">
        <v>42</v>
      </c>
      <c r="K19" s="263" t="n">
        <v>650</v>
      </c>
      <c r="L19" s="263" t="n">
        <v>196</v>
      </c>
      <c r="M19" s="263" t="n">
        <v>78</v>
      </c>
      <c r="N19" s="263" t="n">
        <v>17</v>
      </c>
      <c r="O19" s="263" t="n">
        <v>728</v>
      </c>
      <c r="P19" s="263" t="n">
        <v>213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P31"/>
  <sheetViews>
    <sheetView tabSelected="1" workbookViewId="0">
      <selection activeCell="A1" sqref="A1"/>
    </sheetView>
  </sheetViews>
  <sheetFormatPr baseColWidth="8" defaultRowHeight="15"/>
  <cols>
    <col width="24.222222" customWidth="1" style="227" min="1" max="1"/>
    <col width="9.555555999999999" customWidth="1" style="227" min="2" max="2"/>
    <col width="9.333333" customWidth="1" style="227" min="3" max="3"/>
    <col width="9.555555999999999" customWidth="1" style="227" min="4" max="4"/>
    <col width="9.333333" customWidth="1" style="227" min="5" max="5"/>
    <col width="9.555555999999999" customWidth="1" style="227" min="6" max="6"/>
    <col width="10.222222" customWidth="1" style="227" min="7" max="7"/>
    <col width="10.222222" customWidth="1" style="227" min="8" max="8"/>
    <col width="9.777778" customWidth="1" style="227" min="9" max="9"/>
    <col width="9.555555999999999" customWidth="1" style="227" min="10" max="10"/>
    <col width="9.777778" customWidth="1" style="227" min="11" max="11"/>
    <col width="9.777778" customWidth="1" style="227" min="12" max="12"/>
    <col width="9.555555999999999" customWidth="1" style="227" min="13" max="13"/>
    <col width="9.777778" customWidth="1" style="227" min="14" max="14"/>
    <col width="8.888889000000001" customWidth="1" style="227" min="15" max="15"/>
    <col width="9.333333" customWidth="1" style="227" min="16" max="16"/>
  </cols>
  <sheetData>
    <row r="1" ht="31" customHeight="1" s="227">
      <c r="A1" s="34" t="inlineStr">
        <is>
          <t>Table 8: Secondary Schools, Classes, Students and Staff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</row>
    <row r="2" ht="19" customHeight="1" s="227">
      <c r="A2" s="35" t="inlineStr">
        <is>
          <t>Province</t>
        </is>
      </c>
      <c r="B2" s="6" t="inlineStr">
        <is>
          <t>Number of</t>
        </is>
      </c>
      <c r="C2" s="7" t="inlineStr">
        <is>
          <t>Disadv.</t>
        </is>
      </c>
      <c r="D2" s="39" t="inlineStr">
        <is>
          <t>Number of</t>
        </is>
      </c>
      <c r="E2" s="6" t="inlineStr">
        <is>
          <t>Number of</t>
        </is>
      </c>
      <c r="F2" s="38" t="inlineStr">
        <is>
          <t>Classes</t>
        </is>
      </c>
      <c r="G2" s="8" t="inlineStr">
        <is>
          <t>Enrollment</t>
        </is>
      </c>
      <c r="H2" s="257" t="n"/>
      <c r="I2" s="8" t="inlineStr">
        <is>
          <t>Repeaters</t>
        </is>
      </c>
      <c r="J2" s="257" t="n"/>
      <c r="K2" s="11" t="inlineStr">
        <is>
          <t>Teaching Staff</t>
        </is>
      </c>
      <c r="L2" s="257" t="n"/>
      <c r="M2" s="14" t="inlineStr">
        <is>
          <t>Non-Teaching Staff</t>
        </is>
      </c>
      <c r="N2" s="257" t="n"/>
      <c r="O2" s="8" t="inlineStr">
        <is>
          <t>Total  Staff</t>
        </is>
      </c>
      <c r="P2" s="257" t="n"/>
    </row>
    <row r="3" ht="18" customHeight="1" s="227">
      <c r="A3" s="258" t="n"/>
      <c r="B3" s="17" t="inlineStr">
        <is>
          <t>Schools</t>
        </is>
      </c>
      <c r="C3" s="18" t="inlineStr">
        <is>
          <t>Schools</t>
        </is>
      </c>
      <c r="D3" s="17" t="inlineStr">
        <is>
          <t>Classes</t>
        </is>
      </c>
      <c r="E3" s="19" t="inlineStr">
        <is>
          <t>Classrooms</t>
        </is>
      </c>
      <c r="F3" s="19" t="inlineStr">
        <is>
          <t>in Pagoda</t>
        </is>
      </c>
      <c r="G3" s="11" t="inlineStr">
        <is>
          <t>Total</t>
        </is>
      </c>
      <c r="H3" s="20" t="inlineStr">
        <is>
          <t>Girl</t>
        </is>
      </c>
      <c r="I3" s="14" t="inlineStr">
        <is>
          <t>Total</t>
        </is>
      </c>
      <c r="J3" s="20" t="inlineStr">
        <is>
          <t>Girl</t>
        </is>
      </c>
      <c r="K3" s="14" t="inlineStr">
        <is>
          <t>Total</t>
        </is>
      </c>
      <c r="L3" s="21" t="inlineStr">
        <is>
          <t>Female</t>
        </is>
      </c>
      <c r="M3" s="14" t="inlineStr">
        <is>
          <t>Total</t>
        </is>
      </c>
      <c r="N3" s="21" t="inlineStr">
        <is>
          <t>Female</t>
        </is>
      </c>
      <c r="O3" s="14" t="inlineStr">
        <is>
          <t>Total</t>
        </is>
      </c>
      <c r="P3" s="21" t="inlineStr">
        <is>
          <t>Female</t>
        </is>
      </c>
    </row>
    <row r="4" ht="14" customHeight="1" s="227">
      <c r="A4" s="28" t="inlineStr">
        <is>
          <t>Banteay Meanchey</t>
        </is>
      </c>
      <c r="B4" s="263" t="n">
        <v>84</v>
      </c>
      <c r="C4" s="263" t="n">
        <v>0</v>
      </c>
      <c r="D4" s="266" t="n">
        <v>843</v>
      </c>
      <c r="E4" s="266" t="n">
        <v>830</v>
      </c>
      <c r="F4" s="263" t="n">
        <v>0</v>
      </c>
      <c r="G4" s="264" t="n">
        <v>39066</v>
      </c>
      <c r="H4" s="264" t="n">
        <v>21032</v>
      </c>
      <c r="I4" s="263" t="n">
        <v>791</v>
      </c>
      <c r="J4" s="263" t="n">
        <v>235</v>
      </c>
      <c r="K4" s="264" t="n">
        <v>1786</v>
      </c>
      <c r="L4" s="263" t="n">
        <v>708</v>
      </c>
      <c r="M4" s="263" t="n">
        <v>314</v>
      </c>
      <c r="N4" s="263" t="n">
        <v>94</v>
      </c>
      <c r="O4" s="264" t="n">
        <v>2100</v>
      </c>
      <c r="P4" s="263" t="n">
        <v>802</v>
      </c>
    </row>
    <row r="5" ht="14" customHeight="1" s="227">
      <c r="A5" s="28" t="inlineStr">
        <is>
          <t>Battambang</t>
        </is>
      </c>
      <c r="B5" s="266" t="n">
        <v>122</v>
      </c>
      <c r="C5" s="263" t="n">
        <v>1</v>
      </c>
      <c r="D5" s="265" t="n">
        <v>1321</v>
      </c>
      <c r="E5" s="265" t="n">
        <v>1248</v>
      </c>
      <c r="F5" s="263" t="n">
        <v>8</v>
      </c>
      <c r="G5" s="264" t="n">
        <v>63003</v>
      </c>
      <c r="H5" s="264" t="n">
        <v>34123</v>
      </c>
      <c r="I5" s="264" t="n">
        <v>1742</v>
      </c>
      <c r="J5" s="263" t="n">
        <v>621</v>
      </c>
      <c r="K5" s="264" t="n">
        <v>2699</v>
      </c>
      <c r="L5" s="264" t="n">
        <v>1265</v>
      </c>
      <c r="M5" s="263" t="n">
        <v>514</v>
      </c>
      <c r="N5" s="263" t="n">
        <v>168</v>
      </c>
      <c r="O5" s="264" t="n">
        <v>3213</v>
      </c>
      <c r="P5" s="264" t="n">
        <v>1433</v>
      </c>
    </row>
    <row r="6" ht="15" customHeight="1" s="227">
      <c r="A6" s="28" t="inlineStr">
        <is>
          <t>Kampong Cham</t>
        </is>
      </c>
      <c r="B6" s="266" t="n">
        <v>123</v>
      </c>
      <c r="C6" s="263" t="n">
        <v>0</v>
      </c>
      <c r="D6" s="265" t="n">
        <v>1477</v>
      </c>
      <c r="E6" s="265" t="n">
        <v>1404</v>
      </c>
      <c r="F6" s="263" t="n">
        <v>7</v>
      </c>
      <c r="G6" s="264" t="n">
        <v>64566</v>
      </c>
      <c r="H6" s="264" t="n">
        <v>35212</v>
      </c>
      <c r="I6" s="264" t="n">
        <v>1837</v>
      </c>
      <c r="J6" s="263" t="n">
        <v>629</v>
      </c>
      <c r="K6" s="264" t="n">
        <v>2867</v>
      </c>
      <c r="L6" s="264" t="n">
        <v>1382</v>
      </c>
      <c r="M6" s="263" t="n">
        <v>643</v>
      </c>
      <c r="N6" s="263" t="n">
        <v>236</v>
      </c>
      <c r="O6" s="264" t="n">
        <v>3510</v>
      </c>
      <c r="P6" s="264" t="n">
        <v>1618</v>
      </c>
    </row>
    <row r="7" ht="14" customHeight="1" s="227">
      <c r="A7" s="28" t="inlineStr">
        <is>
          <t>Kampong Chhnang</t>
        </is>
      </c>
      <c r="B7" s="263" t="n">
        <v>76</v>
      </c>
      <c r="C7" s="263" t="n">
        <v>0</v>
      </c>
      <c r="D7" s="266" t="n">
        <v>765</v>
      </c>
      <c r="E7" s="266" t="n">
        <v>718</v>
      </c>
      <c r="F7" s="263" t="n">
        <v>4</v>
      </c>
      <c r="G7" s="264" t="n">
        <v>36956</v>
      </c>
      <c r="H7" s="264" t="n">
        <v>20068</v>
      </c>
      <c r="I7" s="263" t="n">
        <v>748</v>
      </c>
      <c r="J7" s="263" t="n">
        <v>239</v>
      </c>
      <c r="K7" s="264" t="n">
        <v>1567</v>
      </c>
      <c r="L7" s="263" t="n">
        <v>641</v>
      </c>
      <c r="M7" s="263" t="n">
        <v>254</v>
      </c>
      <c r="N7" s="263" t="n">
        <v>68</v>
      </c>
      <c r="O7" s="264" t="n">
        <v>1821</v>
      </c>
      <c r="P7" s="263" t="n">
        <v>709</v>
      </c>
    </row>
    <row r="8" ht="14" customHeight="1" s="227">
      <c r="A8" s="28" t="inlineStr">
        <is>
          <t>Kampong Speu</t>
        </is>
      </c>
      <c r="B8" s="263" t="n">
        <v>95</v>
      </c>
      <c r="C8" s="263" t="n">
        <v>0</v>
      </c>
      <c r="D8" s="266" t="n">
        <v>963</v>
      </c>
      <c r="E8" s="266" t="n">
        <v>871</v>
      </c>
      <c r="F8" s="263" t="n">
        <v>0</v>
      </c>
      <c r="G8" s="264" t="n">
        <v>49462</v>
      </c>
      <c r="H8" s="264" t="n">
        <v>25383</v>
      </c>
      <c r="I8" s="263" t="n">
        <v>585</v>
      </c>
      <c r="J8" s="263" t="n">
        <v>157</v>
      </c>
      <c r="K8" s="264" t="n">
        <v>1976</v>
      </c>
      <c r="L8" s="263" t="n">
        <v>685</v>
      </c>
      <c r="M8" s="263" t="n">
        <v>272</v>
      </c>
      <c r="N8" s="263" t="n">
        <v>42</v>
      </c>
      <c r="O8" s="264" t="n">
        <v>2248</v>
      </c>
      <c r="P8" s="263" t="n">
        <v>727</v>
      </c>
    </row>
    <row r="9" ht="14" customHeight="1" s="227">
      <c r="A9" s="28" t="inlineStr">
        <is>
          <t>Kampong Thom</t>
        </is>
      </c>
      <c r="B9" s="263" t="n">
        <v>91</v>
      </c>
      <c r="C9" s="263" t="n">
        <v>0</v>
      </c>
      <c r="D9" s="266" t="n">
        <v>976</v>
      </c>
      <c r="E9" s="266" t="n">
        <v>929</v>
      </c>
      <c r="F9" s="263" t="n">
        <v>0</v>
      </c>
      <c r="G9" s="264" t="n">
        <v>45466</v>
      </c>
      <c r="H9" s="264" t="n">
        <v>24991</v>
      </c>
      <c r="I9" s="263" t="n">
        <v>969</v>
      </c>
      <c r="J9" s="263" t="n">
        <v>343</v>
      </c>
      <c r="K9" s="264" t="n">
        <v>1723</v>
      </c>
      <c r="L9" s="263" t="n">
        <v>781</v>
      </c>
      <c r="M9" s="263" t="n">
        <v>303</v>
      </c>
      <c r="N9" s="263" t="n">
        <v>55</v>
      </c>
      <c r="O9" s="264" t="n">
        <v>2026</v>
      </c>
      <c r="P9" s="263" t="n">
        <v>836</v>
      </c>
    </row>
    <row r="10" ht="14" customHeight="1" s="227">
      <c r="A10" s="28" t="inlineStr">
        <is>
          <t>Kampot</t>
        </is>
      </c>
      <c r="B10" s="266" t="n">
        <v>100</v>
      </c>
      <c r="C10" s="263" t="n">
        <v>0</v>
      </c>
      <c r="D10" s="266" t="n">
        <v>988</v>
      </c>
      <c r="E10" s="266" t="n">
        <v>923</v>
      </c>
      <c r="F10" s="263" t="n">
        <v>0</v>
      </c>
      <c r="G10" s="264" t="n">
        <v>44203</v>
      </c>
      <c r="H10" s="264" t="n">
        <v>22667</v>
      </c>
      <c r="I10" s="263" t="n">
        <v>898</v>
      </c>
      <c r="J10" s="263" t="n">
        <v>240</v>
      </c>
      <c r="K10" s="264" t="n">
        <v>2187</v>
      </c>
      <c r="L10" s="263" t="n">
        <v>899</v>
      </c>
      <c r="M10" s="263" t="n">
        <v>408</v>
      </c>
      <c r="N10" s="263" t="n">
        <v>87</v>
      </c>
      <c r="O10" s="264" t="n">
        <v>2595</v>
      </c>
      <c r="P10" s="263" t="n">
        <v>986</v>
      </c>
    </row>
    <row r="11" ht="14" customHeight="1" s="227">
      <c r="A11" s="28" t="inlineStr">
        <is>
          <t>Kandal</t>
        </is>
      </c>
      <c r="B11" s="266" t="n">
        <v>140</v>
      </c>
      <c r="C11" s="263" t="n">
        <v>2</v>
      </c>
      <c r="D11" s="265" t="n">
        <v>1756</v>
      </c>
      <c r="E11" s="265" t="n">
        <v>1617</v>
      </c>
      <c r="F11" s="263" t="n">
        <v>15</v>
      </c>
      <c r="G11" s="264" t="n">
        <v>75907</v>
      </c>
      <c r="H11" s="264" t="n">
        <v>40395</v>
      </c>
      <c r="I11" s="264" t="n">
        <v>1881</v>
      </c>
      <c r="J11" s="263" t="n">
        <v>611</v>
      </c>
      <c r="K11" s="264" t="n">
        <v>4297</v>
      </c>
      <c r="L11" s="264" t="n">
        <v>1979</v>
      </c>
      <c r="M11" s="263" t="n">
        <v>611</v>
      </c>
      <c r="N11" s="263" t="n">
        <v>138</v>
      </c>
      <c r="O11" s="264" t="n">
        <v>4908</v>
      </c>
      <c r="P11" s="264" t="n">
        <v>2117</v>
      </c>
    </row>
    <row r="12" ht="14" customHeight="1" s="227">
      <c r="A12" s="28" t="inlineStr">
        <is>
          <t>Kep</t>
        </is>
      </c>
      <c r="B12" s="263" t="n">
        <v>6</v>
      </c>
      <c r="C12" s="263" t="n">
        <v>0</v>
      </c>
      <c r="D12" s="268" t="n">
        <v>71</v>
      </c>
      <c r="E12" s="263" t="n">
        <v>71</v>
      </c>
      <c r="F12" s="263" t="n">
        <v>0</v>
      </c>
      <c r="G12" s="264" t="n">
        <v>2676</v>
      </c>
      <c r="H12" s="264" t="n">
        <v>1365</v>
      </c>
      <c r="I12" s="263" t="n">
        <v>61</v>
      </c>
      <c r="J12" s="263" t="n">
        <v>20</v>
      </c>
      <c r="K12" s="263" t="n">
        <v>223</v>
      </c>
      <c r="L12" s="263" t="n">
        <v>94</v>
      </c>
      <c r="M12" s="263" t="n">
        <v>31</v>
      </c>
      <c r="N12" s="263" t="n">
        <v>6</v>
      </c>
      <c r="O12" s="263" t="n">
        <v>254</v>
      </c>
      <c r="P12" s="263" t="n">
        <v>100</v>
      </c>
    </row>
    <row r="13" ht="14" customHeight="1" s="227">
      <c r="A13" s="28" t="inlineStr">
        <is>
          <t>Koh Kong</t>
        </is>
      </c>
      <c r="B13" s="263" t="n">
        <v>32</v>
      </c>
      <c r="C13" s="263" t="n">
        <v>2</v>
      </c>
      <c r="D13" s="266" t="n">
        <v>232</v>
      </c>
      <c r="E13" s="266" t="n">
        <v>181</v>
      </c>
      <c r="F13" s="263" t="n">
        <v>0</v>
      </c>
      <c r="G13" s="264" t="n">
        <v>7746</v>
      </c>
      <c r="H13" s="264" t="n">
        <v>3829</v>
      </c>
      <c r="I13" s="263" t="n">
        <v>110</v>
      </c>
      <c r="J13" s="263" t="n">
        <v>36</v>
      </c>
      <c r="K13" s="263" t="n">
        <v>428</v>
      </c>
      <c r="L13" s="263" t="n">
        <v>149</v>
      </c>
      <c r="M13" s="263" t="n">
        <v>59</v>
      </c>
      <c r="N13" s="263" t="n">
        <v>10</v>
      </c>
      <c r="O13" s="263" t="n">
        <v>487</v>
      </c>
      <c r="P13" s="263" t="n">
        <v>159</v>
      </c>
    </row>
    <row r="14" ht="14" customHeight="1" s="227">
      <c r="A14" s="28" t="inlineStr">
        <is>
          <t>Kratie</t>
        </is>
      </c>
      <c r="B14" s="263" t="n">
        <v>54</v>
      </c>
      <c r="C14" s="263" t="n">
        <v>0</v>
      </c>
      <c r="D14" s="266" t="n">
        <v>423</v>
      </c>
      <c r="E14" s="266" t="n">
        <v>427</v>
      </c>
      <c r="F14" s="263" t="n">
        <v>30</v>
      </c>
      <c r="G14" s="264" t="n">
        <v>18956</v>
      </c>
      <c r="H14" s="264" t="n">
        <v>10153</v>
      </c>
      <c r="I14" s="263" t="n">
        <v>366</v>
      </c>
      <c r="J14" s="263" t="n">
        <v>125</v>
      </c>
      <c r="K14" s="263" t="n">
        <v>961</v>
      </c>
      <c r="L14" s="263" t="n">
        <v>487</v>
      </c>
      <c r="M14" s="263" t="n">
        <v>113</v>
      </c>
      <c r="N14" s="263" t="n">
        <v>26</v>
      </c>
      <c r="O14" s="264" t="n">
        <v>1074</v>
      </c>
      <c r="P14" s="263" t="n">
        <v>513</v>
      </c>
    </row>
    <row r="15" ht="14" customHeight="1" s="227">
      <c r="A15" s="28" t="inlineStr">
        <is>
          <t>Mondul Kiri</t>
        </is>
      </c>
      <c r="B15" s="263" t="n">
        <v>14</v>
      </c>
      <c r="C15" s="263" t="n">
        <v>0</v>
      </c>
      <c r="D15" s="266" t="n">
        <v>102</v>
      </c>
      <c r="E15" s="266" t="n">
        <v>100</v>
      </c>
      <c r="F15" s="263" t="n">
        <v>0</v>
      </c>
      <c r="G15" s="264" t="n">
        <v>4598</v>
      </c>
      <c r="H15" s="264" t="n">
        <v>2453</v>
      </c>
      <c r="I15" s="263" t="n">
        <v>104</v>
      </c>
      <c r="J15" s="263" t="n">
        <v>27</v>
      </c>
      <c r="K15" s="263" t="n">
        <v>219</v>
      </c>
      <c r="L15" s="263" t="n">
        <v>78</v>
      </c>
      <c r="M15" s="263" t="n">
        <v>14</v>
      </c>
      <c r="N15" s="263" t="n">
        <v>1</v>
      </c>
      <c r="O15" s="263" t="n">
        <v>233</v>
      </c>
      <c r="P15" s="263" t="n">
        <v>79</v>
      </c>
    </row>
    <row r="16" ht="14" customHeight="1" s="227">
      <c r="A16" s="28" t="inlineStr">
        <is>
          <t>Otdar Meanchey</t>
        </is>
      </c>
      <c r="B16" s="263" t="n">
        <v>38</v>
      </c>
      <c r="C16" s="263" t="n">
        <v>0</v>
      </c>
      <c r="D16" s="266" t="n">
        <v>305</v>
      </c>
      <c r="E16" s="266" t="n">
        <v>293</v>
      </c>
      <c r="F16" s="263" t="n">
        <v>0</v>
      </c>
      <c r="G16" s="264" t="n">
        <v>13690</v>
      </c>
      <c r="H16" s="264" t="n">
        <v>6923</v>
      </c>
      <c r="I16" s="263" t="n">
        <v>356</v>
      </c>
      <c r="J16" s="263" t="n">
        <v>112</v>
      </c>
      <c r="K16" s="263" t="n">
        <v>485</v>
      </c>
      <c r="L16" s="263" t="n">
        <v>166</v>
      </c>
      <c r="M16" s="263" t="n">
        <v>65</v>
      </c>
      <c r="N16" s="263" t="n">
        <v>10</v>
      </c>
      <c r="O16" s="263" t="n">
        <v>550</v>
      </c>
      <c r="P16" s="263" t="n">
        <v>176</v>
      </c>
    </row>
    <row r="17" ht="14" customHeight="1" s="227">
      <c r="A17" s="28" t="inlineStr">
        <is>
          <t>Pailin</t>
        </is>
      </c>
      <c r="B17" s="263" t="n">
        <v>9</v>
      </c>
      <c r="C17" s="263" t="n">
        <v>0</v>
      </c>
      <c r="D17" s="266" t="n">
        <v>105</v>
      </c>
      <c r="E17" s="266" t="n">
        <v>105</v>
      </c>
      <c r="F17" s="263" t="n">
        <v>0</v>
      </c>
      <c r="G17" s="264" t="n">
        <v>4689</v>
      </c>
      <c r="H17" s="264" t="n">
        <v>2453</v>
      </c>
      <c r="I17" s="263" t="n">
        <v>196</v>
      </c>
      <c r="J17" s="263" t="n">
        <v>62</v>
      </c>
      <c r="K17" s="263" t="n">
        <v>299</v>
      </c>
      <c r="L17" s="263" t="n">
        <v>121</v>
      </c>
      <c r="M17" s="263" t="n">
        <v>36</v>
      </c>
      <c r="N17" s="263" t="n">
        <v>8</v>
      </c>
      <c r="O17" s="263" t="n">
        <v>335</v>
      </c>
      <c r="P17" s="263" t="n">
        <v>129</v>
      </c>
    </row>
    <row r="18" ht="14" customHeight="1" s="227">
      <c r="A18" s="28" t="inlineStr">
        <is>
          <t>Phnom Penh</t>
        </is>
      </c>
      <c r="B18" s="263" t="n">
        <v>66</v>
      </c>
      <c r="C18" s="263" t="n">
        <v>0</v>
      </c>
      <c r="D18" s="265" t="n">
        <v>1965</v>
      </c>
      <c r="E18" s="265" t="n">
        <v>1370</v>
      </c>
      <c r="F18" s="263" t="n">
        <v>0</v>
      </c>
      <c r="G18" s="264" t="n">
        <v>86663</v>
      </c>
      <c r="H18" s="264" t="n">
        <v>43411</v>
      </c>
      <c r="I18" s="264" t="n">
        <v>2644</v>
      </c>
      <c r="J18" s="263" t="n">
        <v>926</v>
      </c>
      <c r="K18" s="264" t="n">
        <v>5865</v>
      </c>
      <c r="L18" s="264" t="n">
        <v>2676</v>
      </c>
      <c r="M18" s="263" t="n">
        <v>485</v>
      </c>
      <c r="N18" s="263" t="n">
        <v>147</v>
      </c>
      <c r="O18" s="264" t="n">
        <v>6350</v>
      </c>
      <c r="P18" s="264" t="n">
        <v>2823</v>
      </c>
    </row>
    <row r="19" ht="14" customHeight="1" s="227">
      <c r="A19" s="28" t="inlineStr">
        <is>
          <t>Preah Sihanouk</t>
        </is>
      </c>
      <c r="B19" s="263" t="n">
        <v>27</v>
      </c>
      <c r="C19" s="263" t="n">
        <v>1</v>
      </c>
      <c r="D19" s="266" t="n">
        <v>287</v>
      </c>
      <c r="E19" s="266" t="n">
        <v>336</v>
      </c>
      <c r="F19" s="263" t="n">
        <v>0</v>
      </c>
      <c r="G19" s="264" t="n">
        <v>12166</v>
      </c>
      <c r="H19" s="264" t="n">
        <v>6169</v>
      </c>
      <c r="I19" s="263" t="n">
        <v>344</v>
      </c>
      <c r="J19" s="263" t="n">
        <v>92</v>
      </c>
      <c r="K19" s="263" t="n">
        <v>689</v>
      </c>
      <c r="L19" s="263" t="n">
        <v>238</v>
      </c>
      <c r="M19" s="263" t="n">
        <v>90</v>
      </c>
      <c r="N19" s="263" t="n">
        <v>24</v>
      </c>
      <c r="O19" s="263" t="n">
        <v>779</v>
      </c>
      <c r="P19" s="263" t="n">
        <v>262</v>
      </c>
    </row>
    <row r="20" ht="14" customHeight="1" s="227">
      <c r="A20" s="28" t="inlineStr">
        <is>
          <t>Preah Vihear</t>
        </is>
      </c>
      <c r="B20" s="263" t="n">
        <v>64</v>
      </c>
      <c r="C20" s="263" t="n">
        <v>2</v>
      </c>
      <c r="D20" s="266" t="n">
        <v>356</v>
      </c>
      <c r="E20" s="266" t="n">
        <v>351</v>
      </c>
      <c r="F20" s="263" t="n">
        <v>0</v>
      </c>
      <c r="G20" s="264" t="n">
        <v>14221</v>
      </c>
      <c r="H20" s="264" t="n">
        <v>7737</v>
      </c>
      <c r="I20" s="263" t="n">
        <v>139</v>
      </c>
      <c r="J20" s="263" t="n">
        <v>47</v>
      </c>
      <c r="K20" s="263" t="n">
        <v>723</v>
      </c>
      <c r="L20" s="263" t="n">
        <v>287</v>
      </c>
      <c r="M20" s="263" t="n">
        <v>67</v>
      </c>
      <c r="N20" s="263" t="n">
        <v>21</v>
      </c>
      <c r="O20" s="263" t="n">
        <v>790</v>
      </c>
      <c r="P20" s="263" t="n">
        <v>308</v>
      </c>
    </row>
    <row r="21" ht="14" customHeight="1" s="227">
      <c r="A21" s="28" t="inlineStr">
        <is>
          <t>Prey Veng</t>
        </is>
      </c>
      <c r="B21" s="266" t="n">
        <v>123</v>
      </c>
      <c r="C21" s="263" t="n">
        <v>0</v>
      </c>
      <c r="D21" s="265" t="n">
        <v>1537</v>
      </c>
      <c r="E21" s="265" t="n">
        <v>1600</v>
      </c>
      <c r="F21" s="263" t="n">
        <v>2</v>
      </c>
      <c r="G21" s="264" t="n">
        <v>70192</v>
      </c>
      <c r="H21" s="264" t="n">
        <v>36838</v>
      </c>
      <c r="I21" s="263" t="n">
        <v>728</v>
      </c>
      <c r="J21" s="263" t="n">
        <v>253</v>
      </c>
      <c r="K21" s="264" t="n">
        <v>2485</v>
      </c>
      <c r="L21" s="263" t="n">
        <v>910</v>
      </c>
      <c r="M21" s="263" t="n">
        <v>578</v>
      </c>
      <c r="N21" s="263" t="n">
        <v>119</v>
      </c>
      <c r="O21" s="264" t="n">
        <v>3063</v>
      </c>
      <c r="P21" s="264" t="n">
        <v>1029</v>
      </c>
    </row>
    <row r="22" ht="14" customHeight="1" s="227">
      <c r="A22" s="28" t="inlineStr">
        <is>
          <t>Pursat</t>
        </is>
      </c>
      <c r="B22" s="263" t="n">
        <v>59</v>
      </c>
      <c r="C22" s="263" t="n">
        <v>0</v>
      </c>
      <c r="D22" s="266" t="n">
        <v>631</v>
      </c>
      <c r="E22" s="266" t="n">
        <v>610</v>
      </c>
      <c r="F22" s="263" t="n">
        <v>0</v>
      </c>
      <c r="G22" s="264" t="n">
        <v>27073</v>
      </c>
      <c r="H22" s="264" t="n">
        <v>14414</v>
      </c>
      <c r="I22" s="263" t="n">
        <v>492</v>
      </c>
      <c r="J22" s="263" t="n">
        <v>170</v>
      </c>
      <c r="K22" s="264" t="n">
        <v>1424</v>
      </c>
      <c r="L22" s="263" t="n">
        <v>522</v>
      </c>
      <c r="M22" s="263" t="n">
        <v>202</v>
      </c>
      <c r="N22" s="263" t="n">
        <v>41</v>
      </c>
      <c r="O22" s="264" t="n">
        <v>1626</v>
      </c>
      <c r="P22" s="263" t="n">
        <v>563</v>
      </c>
    </row>
    <row r="23" ht="14" customHeight="1" s="227">
      <c r="A23" s="28" t="inlineStr">
        <is>
          <t>Ratanak Kiri</t>
        </is>
      </c>
      <c r="B23" s="263" t="n">
        <v>25</v>
      </c>
      <c r="C23" s="263" t="n">
        <v>0</v>
      </c>
      <c r="D23" s="266" t="n">
        <v>219</v>
      </c>
      <c r="E23" s="266" t="n">
        <v>200</v>
      </c>
      <c r="F23" s="263" t="n">
        <v>0</v>
      </c>
      <c r="G23" s="264" t="n">
        <v>10747</v>
      </c>
      <c r="H23" s="264" t="n">
        <v>5188</v>
      </c>
      <c r="I23" s="263" t="n">
        <v>113</v>
      </c>
      <c r="J23" s="263" t="n">
        <v>39</v>
      </c>
      <c r="K23" s="263" t="n">
        <v>433</v>
      </c>
      <c r="L23" s="263" t="n">
        <v>174</v>
      </c>
      <c r="M23" s="263" t="n">
        <v>41</v>
      </c>
      <c r="N23" s="263" t="n">
        <v>12</v>
      </c>
      <c r="O23" s="263" t="n">
        <v>474</v>
      </c>
      <c r="P23" s="263" t="n">
        <v>186</v>
      </c>
    </row>
    <row r="24" ht="14" customHeight="1" s="227">
      <c r="A24" s="28" t="inlineStr">
        <is>
          <t>Siemreap</t>
        </is>
      </c>
      <c r="B24" s="266" t="n">
        <v>121</v>
      </c>
      <c r="C24" s="263" t="n">
        <v>0</v>
      </c>
      <c r="D24" s="265" t="n">
        <v>1528</v>
      </c>
      <c r="E24" s="265" t="n">
        <v>1321</v>
      </c>
      <c r="F24" s="263" t="n">
        <v>55</v>
      </c>
      <c r="G24" s="264" t="n">
        <v>75258</v>
      </c>
      <c r="H24" s="264" t="n">
        <v>41055</v>
      </c>
      <c r="I24" s="264" t="n">
        <v>2380</v>
      </c>
      <c r="J24" s="263" t="n">
        <v>833</v>
      </c>
      <c r="K24" s="264" t="n">
        <v>2418</v>
      </c>
      <c r="L24" s="264" t="n">
        <v>1131</v>
      </c>
      <c r="M24" s="263" t="n">
        <v>414</v>
      </c>
      <c r="N24" s="263" t="n">
        <v>150</v>
      </c>
      <c r="O24" s="264" t="n">
        <v>2832</v>
      </c>
      <c r="P24" s="264" t="n">
        <v>1281</v>
      </c>
    </row>
    <row r="25" ht="14" customHeight="1" s="227">
      <c r="A25" s="28" t="inlineStr">
        <is>
          <t>Stung Treng</t>
        </is>
      </c>
      <c r="B25" s="263" t="n">
        <v>31</v>
      </c>
      <c r="C25" s="263" t="n">
        <v>1</v>
      </c>
      <c r="D25" s="266" t="n">
        <v>179</v>
      </c>
      <c r="E25" s="266" t="n">
        <v>177</v>
      </c>
      <c r="F25" s="263" t="n">
        <v>0</v>
      </c>
      <c r="G25" s="264" t="n">
        <v>6952</v>
      </c>
      <c r="H25" s="264" t="n">
        <v>3610</v>
      </c>
      <c r="I25" s="263" t="n">
        <v>42</v>
      </c>
      <c r="J25" s="263" t="n">
        <v>15</v>
      </c>
      <c r="K25" s="263" t="n">
        <v>433</v>
      </c>
      <c r="L25" s="263" t="n">
        <v>172</v>
      </c>
      <c r="M25" s="263" t="n">
        <v>54</v>
      </c>
      <c r="N25" s="263" t="n">
        <v>12</v>
      </c>
      <c r="O25" s="263" t="n">
        <v>487</v>
      </c>
      <c r="P25" s="263" t="n">
        <v>184</v>
      </c>
    </row>
    <row r="26" ht="14" customHeight="1" s="227">
      <c r="A26" s="28" t="inlineStr">
        <is>
          <t>Svay Rieng</t>
        </is>
      </c>
      <c r="B26" s="263" t="n">
        <v>74</v>
      </c>
      <c r="C26" s="263" t="n">
        <v>0</v>
      </c>
      <c r="D26" s="266" t="n">
        <v>865</v>
      </c>
      <c r="E26" s="266" t="n">
        <v>811</v>
      </c>
      <c r="F26" s="263" t="n">
        <v>0</v>
      </c>
      <c r="G26" s="264" t="n">
        <v>38203</v>
      </c>
      <c r="H26" s="264" t="n">
        <v>19530</v>
      </c>
      <c r="I26" s="263" t="n">
        <v>708</v>
      </c>
      <c r="J26" s="263" t="n">
        <v>203</v>
      </c>
      <c r="K26" s="264" t="n">
        <v>1816</v>
      </c>
      <c r="L26" s="263" t="n">
        <v>529</v>
      </c>
      <c r="M26" s="263" t="n">
        <v>373</v>
      </c>
      <c r="N26" s="263" t="n">
        <v>88</v>
      </c>
      <c r="O26" s="264" t="n">
        <v>2189</v>
      </c>
      <c r="P26" s="263" t="n">
        <v>617</v>
      </c>
    </row>
    <row r="27" ht="14" customHeight="1" s="227">
      <c r="A27" s="28" t="inlineStr">
        <is>
          <t>Takeo</t>
        </is>
      </c>
      <c r="B27" s="266" t="n">
        <v>118</v>
      </c>
      <c r="C27" s="263" t="n">
        <v>0</v>
      </c>
      <c r="D27" s="265" t="n">
        <v>1782</v>
      </c>
      <c r="E27" s="265" t="n">
        <v>1747</v>
      </c>
      <c r="F27" s="263" t="n">
        <v>6</v>
      </c>
      <c r="G27" s="264" t="n">
        <v>75784</v>
      </c>
      <c r="H27" s="264" t="n">
        <v>38371</v>
      </c>
      <c r="I27" s="264" t="n">
        <v>1861</v>
      </c>
      <c r="J27" s="263" t="n">
        <v>576</v>
      </c>
      <c r="K27" s="264" t="n">
        <v>3162</v>
      </c>
      <c r="L27" s="263" t="n">
        <v>976</v>
      </c>
      <c r="M27" s="263" t="n">
        <v>713</v>
      </c>
      <c r="N27" s="263" t="n">
        <v>159</v>
      </c>
      <c r="O27" s="264" t="n">
        <v>3875</v>
      </c>
      <c r="P27" s="264" t="n">
        <v>1135</v>
      </c>
    </row>
    <row r="28" ht="14" customHeight="1" s="227">
      <c r="A28" s="28" t="inlineStr">
        <is>
          <t>Tbaung Khmum</t>
        </is>
      </c>
      <c r="B28" s="263" t="n">
        <v>79</v>
      </c>
      <c r="C28" s="263" t="n">
        <v>0</v>
      </c>
      <c r="D28" s="266" t="n">
        <v>891</v>
      </c>
      <c r="E28" s="266" t="n">
        <v>880</v>
      </c>
      <c r="F28" s="263" t="n">
        <v>0</v>
      </c>
      <c r="G28" s="264" t="n">
        <v>43163</v>
      </c>
      <c r="H28" s="264" t="n">
        <v>23021</v>
      </c>
      <c r="I28" s="264" t="n">
        <v>1095</v>
      </c>
      <c r="J28" s="263" t="n">
        <v>374</v>
      </c>
      <c r="K28" s="264" t="n">
        <v>1367</v>
      </c>
      <c r="L28" s="263" t="n">
        <v>551</v>
      </c>
      <c r="M28" s="263" t="n">
        <v>213</v>
      </c>
      <c r="N28" s="263" t="n">
        <v>64</v>
      </c>
      <c r="O28" s="264" t="n">
        <v>1580</v>
      </c>
      <c r="P28" s="263" t="n">
        <v>615</v>
      </c>
    </row>
    <row r="29" ht="17" customHeight="1" s="227">
      <c r="A29" s="22" t="inlineStr">
        <is>
          <t>Whole Kingdom</t>
        </is>
      </c>
      <c r="B29" s="265" t="n">
        <v>1771</v>
      </c>
      <c r="C29" s="263" t="n">
        <v>9</v>
      </c>
      <c r="D29" s="267" t="n">
        <v>20567</v>
      </c>
      <c r="E29" s="267" t="n">
        <v>19120</v>
      </c>
      <c r="F29" s="266" t="n">
        <v>127</v>
      </c>
      <c r="G29" s="264" t="n">
        <v>931406</v>
      </c>
      <c r="H29" s="264" t="n">
        <v>490391</v>
      </c>
      <c r="I29" s="264" t="n">
        <v>21190</v>
      </c>
      <c r="J29" s="264" t="n">
        <v>6985</v>
      </c>
      <c r="K29" s="264" t="n">
        <v>42532</v>
      </c>
      <c r="L29" s="264" t="n">
        <v>17601</v>
      </c>
      <c r="M29" s="264" t="n">
        <v>6867</v>
      </c>
      <c r="N29" s="264" t="n">
        <v>1786</v>
      </c>
      <c r="O29" s="264" t="n">
        <v>49399</v>
      </c>
      <c r="P29" s="264" t="n">
        <v>19387</v>
      </c>
    </row>
    <row r="30" ht="14" customHeight="1" s="227">
      <c r="A30" s="28" t="inlineStr">
        <is>
          <t>-  Urban Area</t>
        </is>
      </c>
      <c r="B30" s="266" t="n">
        <v>230</v>
      </c>
      <c r="C30" s="263" t="n">
        <v>0</v>
      </c>
      <c r="D30" s="265" t="n">
        <v>4887</v>
      </c>
      <c r="E30" s="265" t="n">
        <v>4209</v>
      </c>
      <c r="F30" s="263" t="n">
        <v>30</v>
      </c>
      <c r="G30" s="264" t="n">
        <v>216592</v>
      </c>
      <c r="H30" s="264" t="n">
        <v>110920</v>
      </c>
      <c r="I30" s="264" t="n">
        <v>6264</v>
      </c>
      <c r="J30" s="264" t="n">
        <v>2238</v>
      </c>
      <c r="K30" s="264" t="n">
        <v>12871</v>
      </c>
      <c r="L30" s="264" t="n">
        <v>5832</v>
      </c>
      <c r="M30" s="264" t="n">
        <v>1534</v>
      </c>
      <c r="N30" s="263" t="n">
        <v>528</v>
      </c>
      <c r="O30" s="264" t="n">
        <v>14405</v>
      </c>
      <c r="P30" s="264" t="n">
        <v>6360</v>
      </c>
    </row>
    <row r="31" ht="14" customHeight="1" s="227">
      <c r="A31" s="28" t="inlineStr">
        <is>
          <t>-  Rural Area</t>
        </is>
      </c>
      <c r="B31" s="265" t="n">
        <v>1541</v>
      </c>
      <c r="C31" s="263" t="n">
        <v>9</v>
      </c>
      <c r="D31" s="267" t="n">
        <v>15680</v>
      </c>
      <c r="E31" s="267" t="n">
        <v>14911</v>
      </c>
      <c r="F31" s="263" t="n">
        <v>97</v>
      </c>
      <c r="G31" s="264" t="n">
        <v>714814</v>
      </c>
      <c r="H31" s="264" t="n">
        <v>379471</v>
      </c>
      <c r="I31" s="264" t="n">
        <v>14926</v>
      </c>
      <c r="J31" s="264" t="n">
        <v>4747</v>
      </c>
      <c r="K31" s="264" t="n">
        <v>29661</v>
      </c>
      <c r="L31" s="264" t="n">
        <v>11769</v>
      </c>
      <c r="M31" s="264" t="n">
        <v>5333</v>
      </c>
      <c r="N31" s="264" t="n">
        <v>1258</v>
      </c>
      <c r="O31" s="264" t="n">
        <v>34994</v>
      </c>
      <c r="P31" s="264" t="n">
        <v>13027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O31"/>
  <sheetViews>
    <sheetView tabSelected="1" workbookViewId="0">
      <selection activeCell="A1" sqref="A1"/>
    </sheetView>
  </sheetViews>
  <sheetFormatPr baseColWidth="8" defaultRowHeight="15"/>
  <cols>
    <col width="24.222222" customWidth="1" style="227" min="1" max="1"/>
    <col width="10.222222" customWidth="1" style="227" min="2" max="2"/>
    <col width="10" customWidth="1" style="227" min="3" max="3"/>
    <col width="10.222222" customWidth="1" style="227" min="4" max="4"/>
    <col width="10.444444" customWidth="1" style="227" min="5" max="5"/>
    <col width="10" customWidth="1" style="227" min="6" max="6"/>
    <col width="10.222222" customWidth="1" style="227" min="7" max="7"/>
    <col width="10.222222" customWidth="1" style="227" min="8" max="8"/>
    <col width="10.222222" customWidth="1" style="227" min="9" max="9"/>
    <col width="10.222222" customWidth="1" style="227" min="10" max="10"/>
    <col width="10.222222" customWidth="1" style="227" min="11" max="11"/>
    <col width="10.222222" customWidth="1" style="227" min="12" max="12"/>
    <col width="10.222222" customWidth="1" style="227" min="13" max="13"/>
    <col width="10" customWidth="1" style="227" min="14" max="14"/>
    <col width="10.222222" customWidth="1" style="227" min="15" max="15"/>
  </cols>
  <sheetData>
    <row r="1" ht="31" customHeight="1" s="227">
      <c r="A1" s="2" t="inlineStr">
        <is>
          <t>Table 9: Characteristics of Schools and School Principals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</row>
    <row r="2" ht="19" customHeight="1" s="227">
      <c r="A2" s="3" t="inlineStr">
        <is>
          <t>Province</t>
        </is>
      </c>
      <c r="B2" s="47" t="inlineStr">
        <is>
          <t>Number of Schools</t>
        </is>
      </c>
      <c r="C2" s="269" t="n"/>
      <c r="D2" s="269" t="n"/>
      <c r="E2" s="257" t="n"/>
      <c r="F2" s="38" t="inlineStr">
        <is>
          <t>2 - Shift</t>
        </is>
      </c>
      <c r="G2" s="38" t="inlineStr">
        <is>
          <t>Floating</t>
        </is>
      </c>
      <c r="H2" s="38" t="inlineStr">
        <is>
          <t>Schools</t>
        </is>
      </c>
      <c r="I2" s="7" t="inlineStr">
        <is>
          <t>Attached</t>
        </is>
      </c>
      <c r="J2" s="11" t="inlineStr">
        <is>
          <t>Schools Without</t>
        </is>
      </c>
      <c r="K2" s="257" t="n"/>
      <c r="L2" s="11" t="inlineStr">
        <is>
          <t>Characteristics of School Principals (Incharge)</t>
        </is>
      </c>
      <c r="M2" s="269" t="n"/>
      <c r="N2" s="269" t="n"/>
      <c r="O2" s="257" t="n"/>
    </row>
    <row r="3" ht="18" customHeight="1" s="227">
      <c r="A3" s="258" t="n"/>
      <c r="B3" s="21" t="inlineStr">
        <is>
          <t>Pre-Sch.</t>
        </is>
      </c>
      <c r="C3" s="14" t="inlineStr">
        <is>
          <t>Primary</t>
        </is>
      </c>
      <c r="D3" s="14" t="inlineStr">
        <is>
          <t>College</t>
        </is>
      </c>
      <c r="E3" s="14" t="inlineStr">
        <is>
          <t>Lycee</t>
        </is>
      </c>
      <c r="F3" s="17" t="inlineStr">
        <is>
          <t>Schools</t>
        </is>
      </c>
      <c r="G3" s="17" t="inlineStr">
        <is>
          <t>Schools</t>
        </is>
      </c>
      <c r="H3" s="19" t="inlineStr">
        <is>
          <t>in Pagoda</t>
        </is>
      </c>
      <c r="I3" s="17" t="inlineStr">
        <is>
          <t>Pre-Sch.</t>
        </is>
      </c>
      <c r="J3" s="52" t="inlineStr">
        <is>
          <t>Water Sup.</t>
        </is>
      </c>
      <c r="K3" s="14" t="inlineStr">
        <is>
          <t>Latrine</t>
        </is>
      </c>
      <c r="L3" s="21" t="inlineStr">
        <is>
          <t>Avg. Age</t>
        </is>
      </c>
      <c r="M3" s="52" t="inlineStr">
        <is>
          <t>Avg.Service</t>
        </is>
      </c>
      <c r="N3" s="52" t="inlineStr">
        <is>
          <t>U.Sec+ Ed.</t>
        </is>
      </c>
      <c r="O3" s="14" t="inlineStr">
        <is>
          <t>Female</t>
        </is>
      </c>
    </row>
    <row r="4" ht="14" customHeight="1" s="227">
      <c r="A4" s="28" t="inlineStr">
        <is>
          <t>Banteay Meanchey</t>
        </is>
      </c>
      <c r="B4" s="270" t="n">
        <v>324</v>
      </c>
      <c r="C4" s="270" t="n">
        <v>410</v>
      </c>
      <c r="D4" s="270" t="n">
        <v>56</v>
      </c>
      <c r="E4" s="270" t="n">
        <v>28</v>
      </c>
      <c r="F4" s="270" t="n">
        <v>285</v>
      </c>
      <c r="G4" s="270" t="n">
        <v>0</v>
      </c>
      <c r="H4" s="270" t="n">
        <v>22</v>
      </c>
      <c r="I4" s="270" t="n">
        <v>304</v>
      </c>
      <c r="J4" s="270" t="n">
        <v>568</v>
      </c>
      <c r="K4" s="270" t="n">
        <v>323</v>
      </c>
      <c r="L4" s="271" t="n">
        <v>45.1</v>
      </c>
      <c r="M4" s="271" t="n">
        <v>22.9</v>
      </c>
      <c r="N4" s="270" t="n">
        <v>464</v>
      </c>
      <c r="O4" s="270" t="n">
        <v>84</v>
      </c>
    </row>
    <row r="5" ht="14" customHeight="1" s="227">
      <c r="A5" s="28" t="inlineStr">
        <is>
          <t>Battambang</t>
        </is>
      </c>
      <c r="B5" s="270" t="n">
        <v>367</v>
      </c>
      <c r="C5" s="270" t="n">
        <v>644</v>
      </c>
      <c r="D5" s="270" t="n">
        <v>95</v>
      </c>
      <c r="E5" s="270" t="n">
        <v>27</v>
      </c>
      <c r="F5" s="270" t="n">
        <v>570</v>
      </c>
      <c r="G5" s="270" t="n">
        <v>6</v>
      </c>
      <c r="H5" s="270" t="n">
        <v>94</v>
      </c>
      <c r="I5" s="270" t="n">
        <v>345</v>
      </c>
      <c r="J5" s="270" t="n">
        <v>716</v>
      </c>
      <c r="K5" s="270" t="n">
        <v>281</v>
      </c>
      <c r="L5" s="271" t="n">
        <v>43.7</v>
      </c>
      <c r="M5" s="271" t="n">
        <v>21.5</v>
      </c>
      <c r="N5" s="270" t="n">
        <v>734</v>
      </c>
      <c r="O5" s="270" t="n">
        <v>218</v>
      </c>
    </row>
    <row r="6" ht="15" customHeight="1" s="227">
      <c r="A6" s="28" t="inlineStr">
        <is>
          <t>Kampong Cham</t>
        </is>
      </c>
      <c r="B6" s="270" t="n">
        <v>273</v>
      </c>
      <c r="C6" s="270" t="n">
        <v>408</v>
      </c>
      <c r="D6" s="270" t="n">
        <v>80</v>
      </c>
      <c r="E6" s="270" t="n">
        <v>43</v>
      </c>
      <c r="F6" s="270" t="n">
        <v>332</v>
      </c>
      <c r="G6" s="270" t="n">
        <v>0</v>
      </c>
      <c r="H6" s="270" t="n">
        <v>137</v>
      </c>
      <c r="I6" s="270" t="n">
        <v>267</v>
      </c>
      <c r="J6" s="270" t="n">
        <v>465</v>
      </c>
      <c r="K6" s="270" t="n">
        <v>300</v>
      </c>
      <c r="L6" s="271" t="n">
        <v>46.5</v>
      </c>
      <c r="M6" s="271" t="n">
        <v>26</v>
      </c>
      <c r="N6" s="270" t="n">
        <v>465</v>
      </c>
      <c r="O6" s="270" t="n">
        <v>101</v>
      </c>
    </row>
    <row r="7" ht="14" customHeight="1" s="227">
      <c r="A7" s="28" t="inlineStr">
        <is>
          <t>Kampong Chhnang</t>
        </is>
      </c>
      <c r="B7" s="270" t="n">
        <v>112</v>
      </c>
      <c r="C7" s="270" t="n">
        <v>278</v>
      </c>
      <c r="D7" s="270" t="n">
        <v>60</v>
      </c>
      <c r="E7" s="270" t="n">
        <v>16</v>
      </c>
      <c r="F7" s="270" t="n">
        <v>186</v>
      </c>
      <c r="G7" s="270" t="n">
        <v>7</v>
      </c>
      <c r="H7" s="270" t="n">
        <v>43</v>
      </c>
      <c r="I7" s="270" t="n">
        <v>94</v>
      </c>
      <c r="J7" s="270" t="n">
        <v>147</v>
      </c>
      <c r="K7" s="270" t="n">
        <v>96</v>
      </c>
      <c r="L7" s="271" t="n">
        <v>42.6</v>
      </c>
      <c r="M7" s="271" t="n">
        <v>22.1</v>
      </c>
      <c r="N7" s="270" t="n">
        <v>357</v>
      </c>
      <c r="O7" s="270" t="n">
        <v>78</v>
      </c>
    </row>
    <row r="8" ht="14" customHeight="1" s="227">
      <c r="A8" s="28" t="inlineStr">
        <is>
          <t>Kampong Speu</t>
        </is>
      </c>
      <c r="B8" s="270" t="n">
        <v>195</v>
      </c>
      <c r="C8" s="270" t="n">
        <v>313</v>
      </c>
      <c r="D8" s="270" t="n">
        <v>71</v>
      </c>
      <c r="E8" s="270" t="n">
        <v>24</v>
      </c>
      <c r="F8" s="270" t="n">
        <v>265</v>
      </c>
      <c r="G8" s="270" t="n">
        <v>0</v>
      </c>
      <c r="H8" s="270" t="n">
        <v>46</v>
      </c>
      <c r="I8" s="270" t="n">
        <v>192</v>
      </c>
      <c r="J8" s="270" t="n">
        <v>224</v>
      </c>
      <c r="K8" s="270" t="n">
        <v>167</v>
      </c>
      <c r="L8" s="271" t="n">
        <v>44.3</v>
      </c>
      <c r="M8" s="271" t="n">
        <v>23</v>
      </c>
      <c r="N8" s="270" t="n">
        <v>441</v>
      </c>
      <c r="O8" s="270" t="n">
        <v>47</v>
      </c>
    </row>
    <row r="9" ht="14" customHeight="1" s="227">
      <c r="A9" s="28" t="inlineStr">
        <is>
          <t>Kampong Thom</t>
        </is>
      </c>
      <c r="B9" s="270" t="n">
        <v>204</v>
      </c>
      <c r="C9" s="270" t="n">
        <v>487</v>
      </c>
      <c r="D9" s="270" t="n">
        <v>66</v>
      </c>
      <c r="E9" s="270" t="n">
        <v>25</v>
      </c>
      <c r="F9" s="270" t="n">
        <v>306</v>
      </c>
      <c r="G9" s="270" t="n">
        <v>6</v>
      </c>
      <c r="H9" s="270" t="n">
        <v>103</v>
      </c>
      <c r="I9" s="270" t="n">
        <v>204</v>
      </c>
      <c r="J9" s="270" t="n">
        <v>298</v>
      </c>
      <c r="K9" s="270" t="n">
        <v>192</v>
      </c>
      <c r="L9" s="271" t="n">
        <v>42.6</v>
      </c>
      <c r="M9" s="271" t="n">
        <v>21.4</v>
      </c>
      <c r="N9" s="270" t="n">
        <v>562</v>
      </c>
      <c r="O9" s="270" t="n">
        <v>144</v>
      </c>
    </row>
    <row r="10" ht="14" customHeight="1" s="227">
      <c r="A10" s="28" t="inlineStr">
        <is>
          <t>Kampot</t>
        </is>
      </c>
      <c r="B10" s="270" t="n">
        <v>197</v>
      </c>
      <c r="C10" s="270" t="n">
        <v>311</v>
      </c>
      <c r="D10" s="270" t="n">
        <v>76</v>
      </c>
      <c r="E10" s="270" t="n">
        <v>24</v>
      </c>
      <c r="F10" s="270" t="n">
        <v>191</v>
      </c>
      <c r="G10" s="270" t="n">
        <v>0</v>
      </c>
      <c r="H10" s="270" t="n">
        <v>290</v>
      </c>
      <c r="I10" s="270" t="n">
        <v>192</v>
      </c>
      <c r="J10" s="270" t="n">
        <v>178</v>
      </c>
      <c r="K10" s="270" t="n">
        <v>168</v>
      </c>
      <c r="L10" s="271" t="n">
        <v>45.3</v>
      </c>
      <c r="M10" s="271" t="n">
        <v>24.5</v>
      </c>
      <c r="N10" s="270" t="n">
        <v>521</v>
      </c>
      <c r="O10" s="270" t="n">
        <v>31</v>
      </c>
    </row>
    <row r="11" ht="14" customHeight="1" s="227">
      <c r="A11" s="28" t="inlineStr">
        <is>
          <t>Kandal</t>
        </is>
      </c>
      <c r="B11" s="270" t="n">
        <v>234</v>
      </c>
      <c r="C11" s="270" t="n">
        <v>374</v>
      </c>
      <c r="D11" s="270" t="n">
        <v>102</v>
      </c>
      <c r="E11" s="270" t="n">
        <v>38</v>
      </c>
      <c r="F11" s="270" t="n">
        <v>346</v>
      </c>
      <c r="G11" s="270" t="n">
        <v>0</v>
      </c>
      <c r="H11" s="270" t="n">
        <v>210</v>
      </c>
      <c r="I11" s="270" t="n">
        <v>208</v>
      </c>
      <c r="J11" s="270" t="n">
        <v>393</v>
      </c>
      <c r="K11" s="270" t="n">
        <v>210</v>
      </c>
      <c r="L11" s="271" t="n">
        <v>46.9</v>
      </c>
      <c r="M11" s="271" t="n">
        <v>26.4</v>
      </c>
      <c r="N11" s="270" t="n">
        <v>508</v>
      </c>
      <c r="O11" s="270" t="n">
        <v>124</v>
      </c>
    </row>
    <row r="12" ht="14" customHeight="1" s="227">
      <c r="A12" s="28" t="inlineStr">
        <is>
          <t>Kep</t>
        </is>
      </c>
      <c r="B12" s="270" t="n">
        <v>22</v>
      </c>
      <c r="C12" s="270" t="n">
        <v>22</v>
      </c>
      <c r="D12" s="270" t="n">
        <v>4</v>
      </c>
      <c r="E12" s="270" t="n">
        <v>2</v>
      </c>
      <c r="F12" s="270" t="n">
        <v>9</v>
      </c>
      <c r="G12" s="270" t="n">
        <v>0</v>
      </c>
      <c r="H12" s="270" t="n">
        <v>11</v>
      </c>
      <c r="I12" s="270" t="n">
        <v>22</v>
      </c>
      <c r="J12" s="270" t="n">
        <v>23</v>
      </c>
      <c r="K12" s="270" t="n">
        <v>19</v>
      </c>
      <c r="L12" s="271" t="n">
        <v>41.7</v>
      </c>
      <c r="M12" s="271" t="n">
        <v>21.2</v>
      </c>
      <c r="N12" s="270" t="n">
        <v>45</v>
      </c>
      <c r="O12" s="270" t="n">
        <v>4</v>
      </c>
    </row>
    <row r="13" ht="14" customHeight="1" s="227">
      <c r="A13" s="28" t="inlineStr">
        <is>
          <t>Koh Kong</t>
        </is>
      </c>
      <c r="B13" s="270" t="n">
        <v>65</v>
      </c>
      <c r="C13" s="270" t="n">
        <v>121</v>
      </c>
      <c r="D13" s="270" t="n">
        <v>21</v>
      </c>
      <c r="E13" s="270" t="n">
        <v>11</v>
      </c>
      <c r="F13" s="270" t="n">
        <v>78</v>
      </c>
      <c r="G13" s="270" t="n">
        <v>0</v>
      </c>
      <c r="H13" s="270" t="n">
        <v>6</v>
      </c>
      <c r="I13" s="270" t="n">
        <v>65</v>
      </c>
      <c r="J13" s="270" t="n">
        <v>148</v>
      </c>
      <c r="K13" s="270" t="n">
        <v>93</v>
      </c>
      <c r="L13" s="271" t="n">
        <v>37.6</v>
      </c>
      <c r="M13" s="271" t="n">
        <v>17.5</v>
      </c>
      <c r="N13" s="270" t="n">
        <v>159</v>
      </c>
      <c r="O13" s="270" t="n">
        <v>10</v>
      </c>
    </row>
    <row r="14" ht="14" customHeight="1" s="227">
      <c r="A14" s="28" t="inlineStr">
        <is>
          <t>Kratie</t>
        </is>
      </c>
      <c r="B14" s="270" t="n">
        <v>90</v>
      </c>
      <c r="C14" s="270" t="n">
        <v>274</v>
      </c>
      <c r="D14" s="270" t="n">
        <v>43</v>
      </c>
      <c r="E14" s="270" t="n">
        <v>11</v>
      </c>
      <c r="F14" s="270" t="n">
        <v>194</v>
      </c>
      <c r="G14" s="270" t="n">
        <v>0</v>
      </c>
      <c r="H14" s="270" t="n">
        <v>69</v>
      </c>
      <c r="I14" s="270" t="n">
        <v>84</v>
      </c>
      <c r="J14" s="270" t="n">
        <v>264</v>
      </c>
      <c r="K14" s="270" t="n">
        <v>117</v>
      </c>
      <c r="L14" s="271" t="n">
        <v>41.6</v>
      </c>
      <c r="M14" s="271" t="n">
        <v>20.6</v>
      </c>
      <c r="N14" s="270" t="n">
        <v>180</v>
      </c>
      <c r="O14" s="270" t="n">
        <v>76</v>
      </c>
    </row>
    <row r="15" ht="14" customHeight="1" s="227">
      <c r="A15" s="28" t="inlineStr">
        <is>
          <t>Mondul Kiri</t>
        </is>
      </c>
      <c r="B15" s="270" t="n">
        <v>23</v>
      </c>
      <c r="C15" s="270" t="n">
        <v>89</v>
      </c>
      <c r="D15" s="270" t="n">
        <v>9</v>
      </c>
      <c r="E15" s="270" t="n">
        <v>5</v>
      </c>
      <c r="F15" s="270" t="n">
        <v>44</v>
      </c>
      <c r="G15" s="270" t="n">
        <v>0</v>
      </c>
      <c r="H15" s="270" t="n">
        <v>2</v>
      </c>
      <c r="I15" s="270" t="n">
        <v>20</v>
      </c>
      <c r="J15" s="270" t="n">
        <v>98</v>
      </c>
      <c r="K15" s="270" t="n">
        <v>60</v>
      </c>
      <c r="L15" s="271" t="n">
        <v>35.5</v>
      </c>
      <c r="M15" s="271" t="n">
        <v>14.9</v>
      </c>
      <c r="N15" s="270" t="n">
        <v>38</v>
      </c>
      <c r="O15" s="270" t="n">
        <v>27</v>
      </c>
    </row>
    <row r="16" ht="14" customHeight="1" s="227">
      <c r="A16" s="28" t="inlineStr">
        <is>
          <t>Otdar Meanchey</t>
        </is>
      </c>
      <c r="B16" s="270" t="n">
        <v>102</v>
      </c>
      <c r="C16" s="270" t="n">
        <v>218</v>
      </c>
      <c r="D16" s="270" t="n">
        <v>29</v>
      </c>
      <c r="E16" s="270" t="n">
        <v>9</v>
      </c>
      <c r="F16" s="270" t="n">
        <v>109</v>
      </c>
      <c r="G16" s="270" t="n">
        <v>0</v>
      </c>
      <c r="H16" s="270" t="n">
        <v>7</v>
      </c>
      <c r="I16" s="270" t="n">
        <v>102</v>
      </c>
      <c r="J16" s="270" t="n">
        <v>247</v>
      </c>
      <c r="K16" s="270" t="n">
        <v>99</v>
      </c>
      <c r="L16" s="271" t="n">
        <v>39.6</v>
      </c>
      <c r="M16" s="271" t="n">
        <v>16.7</v>
      </c>
      <c r="N16" s="270" t="n">
        <v>194</v>
      </c>
      <c r="O16" s="270" t="n">
        <v>13</v>
      </c>
    </row>
    <row r="17" ht="14" customHeight="1" s="227">
      <c r="A17" s="28" t="inlineStr">
        <is>
          <t>Pailin</t>
        </is>
      </c>
      <c r="B17" s="270" t="n">
        <v>25</v>
      </c>
      <c r="C17" s="270" t="n">
        <v>48</v>
      </c>
      <c r="D17" s="270" t="n">
        <v>7</v>
      </c>
      <c r="E17" s="270" t="n">
        <v>2</v>
      </c>
      <c r="F17" s="270" t="n">
        <v>27</v>
      </c>
      <c r="G17" s="270" t="n">
        <v>0</v>
      </c>
      <c r="H17" s="270" t="n">
        <v>2</v>
      </c>
      <c r="I17" s="270" t="n">
        <v>23</v>
      </c>
      <c r="J17" s="270" t="n">
        <v>65</v>
      </c>
      <c r="K17" s="270" t="n">
        <v>22</v>
      </c>
      <c r="L17" s="271" t="n">
        <v>38.9</v>
      </c>
      <c r="M17" s="271" t="n">
        <v>17.5</v>
      </c>
      <c r="N17" s="270" t="n">
        <v>60</v>
      </c>
      <c r="O17" s="270" t="n">
        <v>14</v>
      </c>
    </row>
    <row r="18" ht="14" customHeight="1" s="227">
      <c r="A18" s="28" t="inlineStr">
        <is>
          <t>Phnom Penh</t>
        </is>
      </c>
      <c r="B18" s="270" t="n">
        <v>146</v>
      </c>
      <c r="C18" s="270" t="n">
        <v>164</v>
      </c>
      <c r="D18" s="270" t="n">
        <v>28</v>
      </c>
      <c r="E18" s="270" t="n">
        <v>38</v>
      </c>
      <c r="F18" s="270" t="n">
        <v>168</v>
      </c>
      <c r="G18" s="270" t="n">
        <v>0</v>
      </c>
      <c r="H18" s="270" t="n">
        <v>85</v>
      </c>
      <c r="I18" s="270" t="n">
        <v>128</v>
      </c>
      <c r="J18" s="270" t="n">
        <v>131</v>
      </c>
      <c r="K18" s="270" t="n">
        <v>102</v>
      </c>
      <c r="L18" s="271" t="n">
        <v>48.3</v>
      </c>
      <c r="M18" s="271" t="n">
        <v>27.9</v>
      </c>
      <c r="N18" s="270" t="n">
        <v>299</v>
      </c>
      <c r="O18" s="270" t="n">
        <v>82</v>
      </c>
    </row>
    <row r="19" ht="14" customHeight="1" s="227">
      <c r="A19" s="28" t="inlineStr">
        <is>
          <t>Preah Sihanouk</t>
        </is>
      </c>
      <c r="B19" s="270" t="n">
        <v>57</v>
      </c>
      <c r="C19" s="270" t="n">
        <v>72</v>
      </c>
      <c r="D19" s="270" t="n">
        <v>18</v>
      </c>
      <c r="E19" s="270" t="n">
        <v>9</v>
      </c>
      <c r="F19" s="270" t="n">
        <v>69</v>
      </c>
      <c r="G19" s="270" t="n">
        <v>0</v>
      </c>
      <c r="H19" s="270" t="n">
        <v>20</v>
      </c>
      <c r="I19" s="270" t="n">
        <v>56</v>
      </c>
      <c r="J19" s="270" t="n">
        <v>151</v>
      </c>
      <c r="K19" s="270" t="n">
        <v>54</v>
      </c>
      <c r="L19" s="271" t="n">
        <v>42.8</v>
      </c>
      <c r="M19" s="271" t="n">
        <v>21.5</v>
      </c>
      <c r="N19" s="270" t="n">
        <v>120</v>
      </c>
      <c r="O19" s="270" t="n">
        <v>23</v>
      </c>
    </row>
    <row r="20" ht="14" customHeight="1" s="227">
      <c r="A20" s="28" t="inlineStr">
        <is>
          <t>Preah Vihear</t>
        </is>
      </c>
      <c r="B20" s="270" t="n">
        <v>109</v>
      </c>
      <c r="C20" s="270" t="n">
        <v>228</v>
      </c>
      <c r="D20" s="270" t="n">
        <v>48</v>
      </c>
      <c r="E20" s="270" t="n">
        <v>16</v>
      </c>
      <c r="F20" s="270" t="n">
        <v>62</v>
      </c>
      <c r="G20" s="270" t="n">
        <v>0</v>
      </c>
      <c r="H20" s="270" t="n">
        <v>1</v>
      </c>
      <c r="I20" s="270" t="n">
        <v>103</v>
      </c>
      <c r="J20" s="270" t="n">
        <v>278</v>
      </c>
      <c r="K20" s="270" t="n">
        <v>130</v>
      </c>
      <c r="L20" s="271" t="n">
        <v>37.6</v>
      </c>
      <c r="M20" s="271" t="n">
        <v>16.2</v>
      </c>
      <c r="N20" s="270" t="n">
        <v>235</v>
      </c>
      <c r="O20" s="270" t="n">
        <v>68</v>
      </c>
    </row>
    <row r="21" ht="14" customHeight="1" s="227">
      <c r="A21" s="28" t="inlineStr">
        <is>
          <t>Prey Veng</t>
        </is>
      </c>
      <c r="B21" s="270" t="n">
        <v>368</v>
      </c>
      <c r="C21" s="270" t="n">
        <v>544</v>
      </c>
      <c r="D21" s="270" t="n">
        <v>91</v>
      </c>
      <c r="E21" s="270" t="n">
        <v>32</v>
      </c>
      <c r="F21" s="270" t="n">
        <v>455</v>
      </c>
      <c r="G21" s="270" t="n">
        <v>0</v>
      </c>
      <c r="H21" s="270" t="n">
        <v>252</v>
      </c>
      <c r="I21" s="270" t="n">
        <v>358</v>
      </c>
      <c r="J21" s="270" t="n">
        <v>488</v>
      </c>
      <c r="K21" s="270" t="n">
        <v>368</v>
      </c>
      <c r="L21" s="271" t="n">
        <v>45.4</v>
      </c>
      <c r="M21" s="271" t="n">
        <v>24.9</v>
      </c>
      <c r="N21" s="270" t="n">
        <v>625</v>
      </c>
      <c r="O21" s="270" t="n">
        <v>122</v>
      </c>
    </row>
    <row r="22" ht="14" customHeight="1" s="227">
      <c r="A22" s="28" t="inlineStr">
        <is>
          <t>Pursat</t>
        </is>
      </c>
      <c r="B22" s="270" t="n">
        <v>173</v>
      </c>
      <c r="C22" s="270" t="n">
        <v>305</v>
      </c>
      <c r="D22" s="270" t="n">
        <v>44</v>
      </c>
      <c r="E22" s="270" t="n">
        <v>15</v>
      </c>
      <c r="F22" s="270" t="n">
        <v>218</v>
      </c>
      <c r="G22" s="270" t="n">
        <v>11</v>
      </c>
      <c r="H22" s="270" t="n">
        <v>11</v>
      </c>
      <c r="I22" s="270" t="n">
        <v>155</v>
      </c>
      <c r="J22" s="270" t="n">
        <v>305</v>
      </c>
      <c r="K22" s="270" t="n">
        <v>176</v>
      </c>
      <c r="L22" s="271" t="n">
        <v>43.5</v>
      </c>
      <c r="M22" s="271" t="n">
        <v>22.5</v>
      </c>
      <c r="N22" s="270" t="n">
        <v>391</v>
      </c>
      <c r="O22" s="270" t="n">
        <v>87</v>
      </c>
    </row>
    <row r="23" ht="14" customHeight="1" s="227">
      <c r="A23" s="28" t="inlineStr">
        <is>
          <t>Ratanak Kiri</t>
        </is>
      </c>
      <c r="B23" s="270" t="n">
        <v>58</v>
      </c>
      <c r="C23" s="270" t="n">
        <v>220</v>
      </c>
      <c r="D23" s="270" t="n">
        <v>16</v>
      </c>
      <c r="E23" s="270" t="n">
        <v>9</v>
      </c>
      <c r="F23" s="270" t="n">
        <v>151</v>
      </c>
      <c r="G23" s="270" t="n">
        <v>0</v>
      </c>
      <c r="H23" s="270" t="n">
        <v>24</v>
      </c>
      <c r="I23" s="270" t="n">
        <v>57</v>
      </c>
      <c r="J23" s="270" t="n">
        <v>199</v>
      </c>
      <c r="K23" s="270" t="n">
        <v>82</v>
      </c>
      <c r="L23" s="271" t="n">
        <v>36.3</v>
      </c>
      <c r="M23" s="271" t="n">
        <v>15</v>
      </c>
      <c r="N23" s="270" t="n">
        <v>179</v>
      </c>
      <c r="O23" s="270" t="n">
        <v>37</v>
      </c>
    </row>
    <row r="24" ht="14" customHeight="1" s="227">
      <c r="A24" s="28" t="inlineStr">
        <is>
          <t>Siemreap</t>
        </is>
      </c>
      <c r="B24" s="270" t="n">
        <v>443</v>
      </c>
      <c r="C24" s="270" t="n">
        <v>503</v>
      </c>
      <c r="D24" s="270" t="n">
        <v>83</v>
      </c>
      <c r="E24" s="270" t="n">
        <v>38</v>
      </c>
      <c r="F24" s="270" t="n">
        <v>424</v>
      </c>
      <c r="G24" s="270" t="n">
        <v>3</v>
      </c>
      <c r="H24" s="270" t="n">
        <v>66</v>
      </c>
      <c r="I24" s="270" t="n">
        <v>424</v>
      </c>
      <c r="J24" s="270" t="n">
        <v>612</v>
      </c>
      <c r="K24" s="270" t="n">
        <v>443</v>
      </c>
      <c r="L24" s="271" t="n">
        <v>40.8</v>
      </c>
      <c r="M24" s="271" t="n">
        <v>19.3</v>
      </c>
      <c r="N24" s="270" t="n">
        <v>575</v>
      </c>
      <c r="O24" s="270" t="n">
        <v>211</v>
      </c>
    </row>
    <row r="25" ht="14" customHeight="1" s="227">
      <c r="A25" s="28" t="inlineStr">
        <is>
          <t>Stung Treng</t>
        </is>
      </c>
      <c r="B25" s="270" t="n">
        <v>35</v>
      </c>
      <c r="C25" s="270" t="n">
        <v>152</v>
      </c>
      <c r="D25" s="270" t="n">
        <v>23</v>
      </c>
      <c r="E25" s="270" t="n">
        <v>8</v>
      </c>
      <c r="F25" s="270" t="n">
        <v>103</v>
      </c>
      <c r="G25" s="270" t="n">
        <v>0</v>
      </c>
      <c r="H25" s="270" t="n">
        <v>4</v>
      </c>
      <c r="I25" s="270" t="n">
        <v>34</v>
      </c>
      <c r="J25" s="270" t="n">
        <v>147</v>
      </c>
      <c r="K25" s="270" t="n">
        <v>41</v>
      </c>
      <c r="L25" s="271" t="n">
        <v>37</v>
      </c>
      <c r="M25" s="271" t="n">
        <v>16.4</v>
      </c>
      <c r="N25" s="270" t="n">
        <v>131</v>
      </c>
      <c r="O25" s="270" t="n">
        <v>42</v>
      </c>
    </row>
    <row r="26" ht="14" customHeight="1" s="227">
      <c r="A26" s="28" t="inlineStr">
        <is>
          <t>Svay Rieng</t>
        </is>
      </c>
      <c r="B26" s="270" t="n">
        <v>172</v>
      </c>
      <c r="C26" s="270" t="n">
        <v>262</v>
      </c>
      <c r="D26" s="270" t="n">
        <v>55</v>
      </c>
      <c r="E26" s="270" t="n">
        <v>19</v>
      </c>
      <c r="F26" s="270" t="n">
        <v>175</v>
      </c>
      <c r="G26" s="270" t="n">
        <v>0</v>
      </c>
      <c r="H26" s="270" t="n">
        <v>89</v>
      </c>
      <c r="I26" s="270" t="n">
        <v>166</v>
      </c>
      <c r="J26" s="270" t="n">
        <v>249</v>
      </c>
      <c r="K26" s="270" t="n">
        <v>170</v>
      </c>
      <c r="L26" s="271" t="n">
        <v>46.4</v>
      </c>
      <c r="M26" s="271" t="n">
        <v>25.9</v>
      </c>
      <c r="N26" s="270" t="n">
        <v>430</v>
      </c>
      <c r="O26" s="270" t="n">
        <v>56</v>
      </c>
    </row>
    <row r="27" ht="14" customHeight="1" s="227">
      <c r="A27" s="28" t="inlineStr">
        <is>
          <t>Takeo</t>
        </is>
      </c>
      <c r="B27" s="270" t="n">
        <v>282</v>
      </c>
      <c r="C27" s="270" t="n">
        <v>382</v>
      </c>
      <c r="D27" s="270" t="n">
        <v>66</v>
      </c>
      <c r="E27" s="270" t="n">
        <v>52</v>
      </c>
      <c r="F27" s="270" t="n">
        <v>196</v>
      </c>
      <c r="G27" s="270" t="n">
        <v>0</v>
      </c>
      <c r="H27" s="270" t="n">
        <v>213</v>
      </c>
      <c r="I27" s="270" t="n">
        <v>278</v>
      </c>
      <c r="J27" s="270" t="n">
        <v>292</v>
      </c>
      <c r="K27" s="270" t="n">
        <v>196</v>
      </c>
      <c r="L27" s="271" t="n">
        <v>47.9</v>
      </c>
      <c r="M27" s="271" t="n">
        <v>27.3</v>
      </c>
      <c r="N27" s="270" t="n">
        <v>603</v>
      </c>
      <c r="O27" s="270" t="n">
        <v>65</v>
      </c>
    </row>
    <row r="28" ht="14" customHeight="1" s="227">
      <c r="A28" s="28" t="inlineStr">
        <is>
          <t>Tbaung Khmum</t>
        </is>
      </c>
      <c r="B28" s="270" t="n">
        <v>225</v>
      </c>
      <c r="C28" s="270" t="n">
        <v>399</v>
      </c>
      <c r="D28" s="270" t="n">
        <v>55</v>
      </c>
      <c r="E28" s="270" t="n">
        <v>24</v>
      </c>
      <c r="F28" s="270" t="n">
        <v>320</v>
      </c>
      <c r="G28" s="270" t="n">
        <v>0</v>
      </c>
      <c r="H28" s="270" t="n">
        <v>74</v>
      </c>
      <c r="I28" s="270" t="n">
        <v>221</v>
      </c>
      <c r="J28" s="270" t="n">
        <v>402</v>
      </c>
      <c r="K28" s="270" t="n">
        <v>252</v>
      </c>
      <c r="L28" s="271" t="n">
        <v>43.1</v>
      </c>
      <c r="M28" s="271" t="n">
        <v>21.6</v>
      </c>
      <c r="N28" s="270" t="n">
        <v>453</v>
      </c>
      <c r="O28" s="270" t="n">
        <v>69</v>
      </c>
    </row>
    <row r="29" ht="17" customHeight="1" s="227">
      <c r="A29" s="22" t="inlineStr">
        <is>
          <t>Whole Kingdom</t>
        </is>
      </c>
      <c r="B29" s="272" t="n">
        <v>4301</v>
      </c>
      <c r="C29" s="272" t="n">
        <v>7228</v>
      </c>
      <c r="D29" s="272" t="n">
        <v>1246</v>
      </c>
      <c r="E29" s="270" t="n">
        <v>525</v>
      </c>
      <c r="F29" s="272" t="n">
        <v>5283</v>
      </c>
      <c r="G29" s="270" t="n">
        <v>33</v>
      </c>
      <c r="H29" s="272" t="n">
        <v>1881</v>
      </c>
      <c r="I29" s="272" t="n">
        <v>4102</v>
      </c>
      <c r="J29" s="272" t="n">
        <v>7088</v>
      </c>
      <c r="K29" s="272" t="n">
        <v>4161</v>
      </c>
      <c r="L29" s="271" t="n">
        <v>43.6</v>
      </c>
      <c r="M29" s="271" t="n">
        <v>22.5</v>
      </c>
      <c r="N29" s="272" t="n">
        <v>8769</v>
      </c>
      <c r="O29" s="272" t="n">
        <v>1833</v>
      </c>
    </row>
    <row r="30" ht="14" customHeight="1" s="227">
      <c r="A30" s="28" t="inlineStr">
        <is>
          <t>-  Urban Area</t>
        </is>
      </c>
      <c r="B30" s="270" t="n">
        <v>517</v>
      </c>
      <c r="C30" s="270" t="n">
        <v>675</v>
      </c>
      <c r="D30" s="270" t="n">
        <v>121</v>
      </c>
      <c r="E30" s="270" t="n">
        <v>109</v>
      </c>
      <c r="F30" s="270" t="n">
        <v>514</v>
      </c>
      <c r="G30" s="270" t="n">
        <v>0</v>
      </c>
      <c r="H30" s="270" t="n">
        <v>179</v>
      </c>
      <c r="I30" s="270" t="n">
        <v>458</v>
      </c>
      <c r="J30" s="270" t="n">
        <v>679</v>
      </c>
      <c r="K30" s="270" t="n">
        <v>415</v>
      </c>
      <c r="L30" s="271" t="n">
        <v>46.2</v>
      </c>
      <c r="M30" s="271" t="n">
        <v>25.3</v>
      </c>
      <c r="N30" s="272" t="n">
        <v>1067</v>
      </c>
      <c r="O30" s="270" t="n">
        <v>341</v>
      </c>
    </row>
    <row r="31" ht="14" customHeight="1" s="227">
      <c r="A31" s="28" t="inlineStr">
        <is>
          <t>-  Rural Area</t>
        </is>
      </c>
      <c r="B31" s="272" t="n">
        <v>3784</v>
      </c>
      <c r="C31" s="272" t="n">
        <v>6553</v>
      </c>
      <c r="D31" s="272" t="n">
        <v>1125</v>
      </c>
      <c r="E31" s="270" t="n">
        <v>416</v>
      </c>
      <c r="F31" s="272" t="n">
        <v>4769</v>
      </c>
      <c r="G31" s="270" t="n">
        <v>33</v>
      </c>
      <c r="H31" s="272" t="n">
        <v>1702</v>
      </c>
      <c r="I31" s="272" t="n">
        <v>3644</v>
      </c>
      <c r="J31" s="272" t="n">
        <v>6409</v>
      </c>
      <c r="K31" s="272" t="n">
        <v>3746</v>
      </c>
      <c r="L31" s="271" t="n">
        <v>43.3</v>
      </c>
      <c r="M31" s="271" t="n">
        <v>22.1</v>
      </c>
      <c r="N31" s="272" t="n">
        <v>7702</v>
      </c>
      <c r="O31" s="272" t="n">
        <v>1492</v>
      </c>
    </row>
  </sheetData>
  <mergeCells count="5">
    <mergeCell ref="J2:K2"/>
    <mergeCell ref="A1:O1"/>
    <mergeCell ref="L2:O2"/>
    <mergeCell ref="A2:A3"/>
    <mergeCell ref="B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M32"/>
  <sheetViews>
    <sheetView tabSelected="1" workbookViewId="0">
      <selection activeCell="A1" sqref="A1"/>
    </sheetView>
  </sheetViews>
  <sheetFormatPr baseColWidth="8" defaultRowHeight="15"/>
  <cols>
    <col width="24.666667" customWidth="1" style="227" min="1" max="1"/>
    <col width="12.444444" customWidth="1" style="227" min="2" max="2"/>
    <col width="12.444444" customWidth="1" style="227" min="3" max="3"/>
    <col width="12.888889" customWidth="1" style="227" min="4" max="4"/>
    <col width="13.111111" customWidth="1" style="227" min="5" max="5"/>
    <col width="11.111111" customWidth="1" style="227" min="6" max="6"/>
    <col width="11.555556" customWidth="1" style="227" min="7" max="7"/>
    <col width="11.555556" customWidth="1" style="227" min="8" max="8"/>
    <col width="11.333333" customWidth="1" style="227" min="9" max="9"/>
    <col width="11.555556" customWidth="1" style="227" min="10" max="10"/>
    <col width="11.555556" customWidth="1" style="227" min="11" max="11"/>
    <col width="11.333333" customWidth="1" style="227" min="12" max="12"/>
    <col width="11.555556" customWidth="1" style="227" min="13" max="13"/>
  </cols>
  <sheetData>
    <row r="1" ht="18" customHeight="1" s="227">
      <c r="A1" s="56" t="inlineStr">
        <is>
          <t>Table 10: Number of Cluster schools and Schools in Pagoda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6" customHeight="1" s="227">
      <c r="A2" s="20" t="inlineStr">
        <is>
          <t>Province</t>
        </is>
      </c>
      <c r="B2" s="40" t="inlineStr">
        <is>
          <t>Number of Primary Schools</t>
        </is>
      </c>
      <c r="C2" s="40" t="inlineStr">
        <is>
          <t>Number of Cluster Schools</t>
        </is>
      </c>
      <c r="D2" s="29" t="inlineStr">
        <is>
          <t>Satelite School</t>
        </is>
      </c>
      <c r="E2" s="257" t="n"/>
      <c r="F2" s="20" t="inlineStr">
        <is>
          <t>Number of schools in Pagoda</t>
        </is>
      </c>
      <c r="G2" s="269" t="n"/>
      <c r="H2" s="269" t="n"/>
      <c r="I2" s="269" t="n"/>
      <c r="J2" s="269" t="n"/>
      <c r="K2" s="269" t="n"/>
      <c r="L2" s="269" t="n"/>
      <c r="M2" s="257" t="n"/>
    </row>
    <row r="3" ht="12" customHeight="1" s="227">
      <c r="A3" s="273" t="n"/>
      <c r="B3" s="273" t="n"/>
      <c r="C3" s="273" t="n"/>
      <c r="D3" s="64" t="inlineStr">
        <is>
          <t>Schools</t>
        </is>
      </c>
      <c r="E3" s="64" t="inlineStr">
        <is>
          <t>Classes</t>
        </is>
      </c>
      <c r="F3" s="29" t="inlineStr">
        <is>
          <t>Pre school</t>
        </is>
      </c>
      <c r="G3" s="257" t="n"/>
      <c r="H3" s="8" t="inlineStr">
        <is>
          <t>Primary School</t>
        </is>
      </c>
      <c r="I3" s="257" t="n"/>
      <c r="J3" s="11" t="inlineStr">
        <is>
          <t>Junior high school</t>
        </is>
      </c>
      <c r="K3" s="257" t="n"/>
      <c r="L3" s="11" t="inlineStr">
        <is>
          <t>Senior high school</t>
        </is>
      </c>
      <c r="M3" s="257" t="n"/>
    </row>
    <row r="4" ht="15" customHeight="1" s="227">
      <c r="A4" s="258" t="n"/>
      <c r="B4" s="258" t="n"/>
      <c r="C4" s="258" t="n"/>
      <c r="D4" s="258" t="n"/>
      <c r="E4" s="258" t="n"/>
      <c r="F4" s="14" t="inlineStr">
        <is>
          <t>Schools</t>
        </is>
      </c>
      <c r="G4" s="14" t="inlineStr">
        <is>
          <t>Classes</t>
        </is>
      </c>
      <c r="H4" s="14" t="inlineStr">
        <is>
          <t>Schools</t>
        </is>
      </c>
      <c r="I4" s="14" t="inlineStr">
        <is>
          <t>Classes</t>
        </is>
      </c>
      <c r="J4" s="14" t="inlineStr">
        <is>
          <t>Schools</t>
        </is>
      </c>
      <c r="K4" s="14" t="inlineStr">
        <is>
          <t>Classes</t>
        </is>
      </c>
      <c r="L4" s="14" t="inlineStr">
        <is>
          <t>Schools</t>
        </is>
      </c>
      <c r="M4" s="14" t="inlineStr">
        <is>
          <t>Classes</t>
        </is>
      </c>
    </row>
    <row r="5" ht="15" customHeight="1" s="227">
      <c r="A5" s="28" t="inlineStr">
        <is>
          <t>Banteay Meanchey</t>
        </is>
      </c>
      <c r="B5" s="263" t="n">
        <v>410</v>
      </c>
      <c r="C5" s="263" t="n">
        <v>86</v>
      </c>
      <c r="D5" s="263" t="n">
        <v>324</v>
      </c>
      <c r="E5" s="264" t="n">
        <v>2211</v>
      </c>
      <c r="F5" s="263" t="n">
        <v>8</v>
      </c>
      <c r="G5" s="263" t="n">
        <v>8</v>
      </c>
      <c r="H5" s="263" t="n">
        <v>13</v>
      </c>
      <c r="I5" s="263" t="n">
        <v>96</v>
      </c>
      <c r="J5" s="263" t="n">
        <v>1</v>
      </c>
      <c r="K5" s="263" t="n">
        <v>3</v>
      </c>
      <c r="L5" s="263" t="n">
        <v>0</v>
      </c>
      <c r="M5" s="263" t="n">
        <v>0</v>
      </c>
    </row>
    <row r="6" ht="14" customHeight="1" s="227">
      <c r="A6" s="28" t="inlineStr">
        <is>
          <t>Battambang</t>
        </is>
      </c>
      <c r="B6" s="263" t="n">
        <v>644</v>
      </c>
      <c r="C6" s="263" t="n">
        <v>153</v>
      </c>
      <c r="D6" s="263" t="n">
        <v>491</v>
      </c>
      <c r="E6" s="264" t="n">
        <v>3613</v>
      </c>
      <c r="F6" s="263" t="n">
        <v>56</v>
      </c>
      <c r="G6" s="263" t="n">
        <v>97</v>
      </c>
      <c r="H6" s="263" t="n">
        <v>36</v>
      </c>
      <c r="I6" s="263" t="n">
        <v>321</v>
      </c>
      <c r="J6" s="263" t="n">
        <v>2</v>
      </c>
      <c r="K6" s="263" t="n">
        <v>14</v>
      </c>
      <c r="L6" s="263" t="n">
        <v>0</v>
      </c>
      <c r="M6" s="263" t="n">
        <v>0</v>
      </c>
    </row>
    <row r="7" ht="15" customHeight="1" s="227">
      <c r="A7" s="28" t="inlineStr">
        <is>
          <t>Kampong Cham</t>
        </is>
      </c>
      <c r="B7" s="263" t="n">
        <v>408</v>
      </c>
      <c r="C7" s="263" t="n">
        <v>66</v>
      </c>
      <c r="D7" s="263" t="n">
        <v>342</v>
      </c>
      <c r="E7" s="264" t="n">
        <v>2880</v>
      </c>
      <c r="F7" s="263" t="n">
        <v>42</v>
      </c>
      <c r="G7" s="263" t="n">
        <v>62</v>
      </c>
      <c r="H7" s="263" t="n">
        <v>83</v>
      </c>
      <c r="I7" s="263" t="n">
        <v>709</v>
      </c>
      <c r="J7" s="263" t="n">
        <v>11</v>
      </c>
      <c r="K7" s="263" t="n">
        <v>74</v>
      </c>
      <c r="L7" s="263" t="n">
        <v>1</v>
      </c>
      <c r="M7" s="263" t="n">
        <v>16</v>
      </c>
    </row>
    <row r="8" ht="15" customHeight="1" s="227">
      <c r="A8" s="28" t="inlineStr">
        <is>
          <t>Kampong Chhnang</t>
        </is>
      </c>
      <c r="B8" s="263" t="n">
        <v>278</v>
      </c>
      <c r="C8" s="263" t="n">
        <v>48</v>
      </c>
      <c r="D8" s="263" t="n">
        <v>230</v>
      </c>
      <c r="E8" s="264" t="n">
        <v>1680</v>
      </c>
      <c r="F8" s="263" t="n">
        <v>11</v>
      </c>
      <c r="G8" s="263" t="n">
        <v>19</v>
      </c>
      <c r="H8" s="263" t="n">
        <v>24</v>
      </c>
      <c r="I8" s="263" t="n">
        <v>197</v>
      </c>
      <c r="J8" s="263" t="n">
        <v>8</v>
      </c>
      <c r="K8" s="263" t="n">
        <v>32</v>
      </c>
      <c r="L8" s="263" t="n">
        <v>0</v>
      </c>
      <c r="M8" s="263" t="n">
        <v>0</v>
      </c>
    </row>
    <row r="9" ht="15" customHeight="1" s="227">
      <c r="A9" s="28" t="inlineStr">
        <is>
          <t>Kampong Speu</t>
        </is>
      </c>
      <c r="B9" s="263" t="n">
        <v>313</v>
      </c>
      <c r="C9" s="263" t="n">
        <v>48</v>
      </c>
      <c r="D9" s="263" t="n">
        <v>265</v>
      </c>
      <c r="E9" s="264" t="n">
        <v>2264</v>
      </c>
      <c r="F9" s="263" t="n">
        <v>14</v>
      </c>
      <c r="G9" s="263" t="n">
        <v>21</v>
      </c>
      <c r="H9" s="263" t="n">
        <v>29</v>
      </c>
      <c r="I9" s="263" t="n">
        <v>260</v>
      </c>
      <c r="J9" s="263" t="n">
        <v>2</v>
      </c>
      <c r="K9" s="263" t="n">
        <v>12</v>
      </c>
      <c r="L9" s="263" t="n">
        <v>1</v>
      </c>
      <c r="M9" s="263" t="n">
        <v>11</v>
      </c>
    </row>
    <row r="10" ht="14" customHeight="1" s="227">
      <c r="A10" s="28" t="inlineStr">
        <is>
          <t>Kampong Thom</t>
        </is>
      </c>
      <c r="B10" s="263" t="n">
        <v>487</v>
      </c>
      <c r="C10" s="263" t="n">
        <v>75</v>
      </c>
      <c r="D10" s="263" t="n">
        <v>412</v>
      </c>
      <c r="E10" s="264" t="n">
        <v>2537</v>
      </c>
      <c r="F10" s="263" t="n">
        <v>57</v>
      </c>
      <c r="G10" s="263" t="n">
        <v>75</v>
      </c>
      <c r="H10" s="263" t="n">
        <v>44</v>
      </c>
      <c r="I10" s="263" t="n">
        <v>307</v>
      </c>
      <c r="J10" s="263" t="n">
        <v>2</v>
      </c>
      <c r="K10" s="263" t="n">
        <v>12</v>
      </c>
      <c r="L10" s="263" t="n">
        <v>0</v>
      </c>
      <c r="M10" s="263" t="n">
        <v>0</v>
      </c>
    </row>
    <row r="11" ht="15" customHeight="1" s="227">
      <c r="A11" s="28" t="inlineStr">
        <is>
          <t>Kampot</t>
        </is>
      </c>
      <c r="B11" s="263" t="n">
        <v>311</v>
      </c>
      <c r="C11" s="263" t="n">
        <v>63</v>
      </c>
      <c r="D11" s="263" t="n">
        <v>248</v>
      </c>
      <c r="E11" s="264" t="n">
        <v>1764</v>
      </c>
      <c r="F11" s="263" t="n">
        <v>107</v>
      </c>
      <c r="G11" s="263" t="n">
        <v>140</v>
      </c>
      <c r="H11" s="263" t="n">
        <v>154</v>
      </c>
      <c r="I11" s="264" t="n">
        <v>1311</v>
      </c>
      <c r="J11" s="263" t="n">
        <v>28</v>
      </c>
      <c r="K11" s="263" t="n">
        <v>131</v>
      </c>
      <c r="L11" s="263" t="n">
        <v>1</v>
      </c>
      <c r="M11" s="263" t="n">
        <v>10</v>
      </c>
    </row>
    <row r="12" ht="15" customHeight="1" s="227">
      <c r="A12" s="28" t="inlineStr">
        <is>
          <t>Kandal</t>
        </is>
      </c>
      <c r="B12" s="263" t="n">
        <v>374</v>
      </c>
      <c r="C12" s="263" t="n">
        <v>76</v>
      </c>
      <c r="D12" s="263" t="n">
        <v>636</v>
      </c>
      <c r="E12" s="264" t="n">
        <v>5133</v>
      </c>
      <c r="F12" s="263" t="n">
        <v>78</v>
      </c>
      <c r="G12" s="263" t="n">
        <v>173</v>
      </c>
      <c r="H12" s="263" t="n">
        <v>113</v>
      </c>
      <c r="I12" s="264" t="n">
        <v>1247</v>
      </c>
      <c r="J12" s="263" t="n">
        <v>16</v>
      </c>
      <c r="K12" s="263" t="n">
        <v>95</v>
      </c>
      <c r="L12" s="263" t="n">
        <v>3</v>
      </c>
      <c r="M12" s="263" t="n">
        <v>45</v>
      </c>
    </row>
    <row r="13" ht="15" customHeight="1" s="227">
      <c r="A13" s="28" t="inlineStr">
        <is>
          <t>Kep</t>
        </is>
      </c>
      <c r="B13" s="263" t="n">
        <v>22</v>
      </c>
      <c r="C13" s="263" t="n">
        <v>6</v>
      </c>
      <c r="D13" s="263" t="n">
        <v>16</v>
      </c>
      <c r="E13" s="263" t="n">
        <v>109</v>
      </c>
      <c r="F13" s="263" t="n">
        <v>5</v>
      </c>
      <c r="G13" s="263" t="n">
        <v>7</v>
      </c>
      <c r="H13" s="263" t="n">
        <v>6</v>
      </c>
      <c r="I13" s="263" t="n">
        <v>49</v>
      </c>
      <c r="J13" s="263" t="n">
        <v>0</v>
      </c>
      <c r="K13" s="263" t="n">
        <v>0</v>
      </c>
      <c r="L13" s="263" t="n">
        <v>0</v>
      </c>
      <c r="M13" s="263" t="n">
        <v>0</v>
      </c>
    </row>
    <row r="14" ht="15" customHeight="1" s="227">
      <c r="A14" s="28" t="inlineStr">
        <is>
          <t>Koh Kong</t>
        </is>
      </c>
      <c r="B14" s="263" t="n">
        <v>121</v>
      </c>
      <c r="C14" s="263" t="n">
        <v>23</v>
      </c>
      <c r="D14" s="263" t="n">
        <v>98</v>
      </c>
      <c r="E14" s="263" t="n">
        <v>562</v>
      </c>
      <c r="F14" s="263" t="n">
        <v>4</v>
      </c>
      <c r="G14" s="263" t="n">
        <v>4</v>
      </c>
      <c r="H14" s="263" t="n">
        <v>2</v>
      </c>
      <c r="I14" s="263" t="n">
        <v>13</v>
      </c>
      <c r="J14" s="263" t="n">
        <v>0</v>
      </c>
      <c r="K14" s="263" t="n">
        <v>0</v>
      </c>
      <c r="L14" s="263" t="n">
        <v>0</v>
      </c>
      <c r="M14" s="263" t="n">
        <v>0</v>
      </c>
    </row>
    <row r="15" ht="14" customHeight="1" s="227">
      <c r="A15" s="28" t="inlineStr">
        <is>
          <t>Kratie</t>
        </is>
      </c>
      <c r="B15" s="263" t="n">
        <v>274</v>
      </c>
      <c r="C15" s="263" t="n">
        <v>53</v>
      </c>
      <c r="D15" s="263" t="n">
        <v>221</v>
      </c>
      <c r="E15" s="264" t="n">
        <v>1610</v>
      </c>
      <c r="F15" s="263" t="n">
        <v>31</v>
      </c>
      <c r="G15" s="263" t="n">
        <v>55</v>
      </c>
      <c r="H15" s="263" t="n">
        <v>31</v>
      </c>
      <c r="I15" s="263" t="n">
        <v>243</v>
      </c>
      <c r="J15" s="263" t="n">
        <v>5</v>
      </c>
      <c r="K15" s="263" t="n">
        <v>17</v>
      </c>
      <c r="L15" s="263" t="n">
        <v>2</v>
      </c>
      <c r="M15" s="263" t="n">
        <v>37</v>
      </c>
    </row>
    <row r="16" ht="15" customHeight="1" s="227">
      <c r="A16" s="28" t="inlineStr">
        <is>
          <t>Mondul Kiri</t>
        </is>
      </c>
      <c r="B16" s="263" t="n">
        <v>89</v>
      </c>
      <c r="C16" s="263" t="n">
        <v>10</v>
      </c>
      <c r="D16" s="263" t="n">
        <v>79</v>
      </c>
      <c r="E16" s="263" t="n">
        <v>527</v>
      </c>
      <c r="F16" s="263" t="n">
        <v>1</v>
      </c>
      <c r="G16" s="263" t="n">
        <v>1</v>
      </c>
      <c r="H16" s="263" t="n">
        <v>1</v>
      </c>
      <c r="I16" s="263" t="n">
        <v>6</v>
      </c>
      <c r="J16" s="263" t="n">
        <v>0</v>
      </c>
      <c r="K16" s="263" t="n">
        <v>0</v>
      </c>
      <c r="L16" s="263" t="n">
        <v>0</v>
      </c>
      <c r="M16" s="263" t="n">
        <v>0</v>
      </c>
    </row>
    <row r="17" ht="15" customHeight="1" s="227">
      <c r="A17" s="28" t="inlineStr">
        <is>
          <t>Otdar Meanchey</t>
        </is>
      </c>
      <c r="B17" s="263" t="n">
        <v>218</v>
      </c>
      <c r="C17" s="263" t="n">
        <v>27</v>
      </c>
      <c r="D17" s="263" t="n">
        <v>191</v>
      </c>
      <c r="E17" s="264" t="n">
        <v>1242</v>
      </c>
      <c r="F17" s="263" t="n">
        <v>5</v>
      </c>
      <c r="G17" s="263" t="n">
        <v>5</v>
      </c>
      <c r="H17" s="263" t="n">
        <v>2</v>
      </c>
      <c r="I17" s="263" t="n">
        <v>22</v>
      </c>
      <c r="J17" s="263" t="n">
        <v>0</v>
      </c>
      <c r="K17" s="263" t="n">
        <v>0</v>
      </c>
      <c r="L17" s="263" t="n">
        <v>0</v>
      </c>
      <c r="M17" s="263" t="n">
        <v>0</v>
      </c>
    </row>
    <row r="18" ht="15" customHeight="1" s="227">
      <c r="A18" s="28" t="inlineStr">
        <is>
          <t>Pailin</t>
        </is>
      </c>
      <c r="B18" s="263" t="n">
        <v>48</v>
      </c>
      <c r="C18" s="263" t="n">
        <v>8</v>
      </c>
      <c r="D18" s="263" t="n">
        <v>40</v>
      </c>
      <c r="E18" s="263" t="n">
        <v>278</v>
      </c>
      <c r="F18" s="263" t="n">
        <v>1</v>
      </c>
      <c r="G18" s="263" t="n">
        <v>1</v>
      </c>
      <c r="H18" s="263" t="n">
        <v>1</v>
      </c>
      <c r="I18" s="263" t="n">
        <v>12</v>
      </c>
      <c r="J18" s="263" t="n">
        <v>0</v>
      </c>
      <c r="K18" s="263" t="n">
        <v>0</v>
      </c>
      <c r="L18" s="263" t="n">
        <v>0</v>
      </c>
      <c r="M18" s="263" t="n">
        <v>0</v>
      </c>
    </row>
    <row r="19" ht="14" customHeight="1" s="227">
      <c r="A19" s="28" t="inlineStr">
        <is>
          <t>Phnom Penh</t>
        </is>
      </c>
      <c r="B19" s="263" t="n">
        <v>164</v>
      </c>
      <c r="C19" s="263" t="n">
        <v>37</v>
      </c>
      <c r="D19" s="263" t="n">
        <v>127</v>
      </c>
      <c r="E19" s="264" t="n">
        <v>2096</v>
      </c>
      <c r="F19" s="263" t="n">
        <v>34</v>
      </c>
      <c r="G19" s="263" t="n">
        <v>45</v>
      </c>
      <c r="H19" s="263" t="n">
        <v>46</v>
      </c>
      <c r="I19" s="263" t="n">
        <v>578</v>
      </c>
      <c r="J19" s="263" t="n">
        <v>4</v>
      </c>
      <c r="K19" s="263" t="n">
        <v>32</v>
      </c>
      <c r="L19" s="263" t="n">
        <v>1</v>
      </c>
      <c r="M19" s="263" t="n">
        <v>16</v>
      </c>
    </row>
    <row r="20" ht="15" customHeight="1" s="227">
      <c r="A20" s="28" t="inlineStr">
        <is>
          <t>Preah Sihanouk</t>
        </is>
      </c>
      <c r="B20" s="263" t="n">
        <v>72</v>
      </c>
      <c r="C20" s="263" t="n">
        <v>15</v>
      </c>
      <c r="D20" s="263" t="n">
        <v>57</v>
      </c>
      <c r="E20" s="263" t="n">
        <v>549</v>
      </c>
      <c r="F20" s="263" t="n">
        <v>12</v>
      </c>
      <c r="G20" s="263" t="n">
        <v>13</v>
      </c>
      <c r="H20" s="263" t="n">
        <v>6</v>
      </c>
      <c r="I20" s="263" t="n">
        <v>71</v>
      </c>
      <c r="J20" s="263" t="n">
        <v>2</v>
      </c>
      <c r="K20" s="263" t="n">
        <v>9</v>
      </c>
      <c r="L20" s="263" t="n">
        <v>0</v>
      </c>
      <c r="M20" s="263" t="n">
        <v>0</v>
      </c>
    </row>
    <row r="21" ht="15" customHeight="1" s="227">
      <c r="A21" s="28" t="inlineStr">
        <is>
          <t>Preah Vihear</t>
        </is>
      </c>
      <c r="B21" s="263" t="n">
        <v>228</v>
      </c>
      <c r="C21" s="263" t="n">
        <v>31</v>
      </c>
      <c r="D21" s="263" t="n">
        <v>197</v>
      </c>
      <c r="E21" s="264" t="n">
        <v>1227</v>
      </c>
      <c r="F21" s="263" t="n">
        <v>0</v>
      </c>
      <c r="G21" s="263" t="n">
        <v>0</v>
      </c>
      <c r="H21" s="263" t="n">
        <v>1</v>
      </c>
      <c r="I21" s="263" t="n">
        <v>3</v>
      </c>
      <c r="J21" s="263" t="n">
        <v>0</v>
      </c>
      <c r="K21" s="263" t="n">
        <v>0</v>
      </c>
      <c r="L21" s="263" t="n">
        <v>0</v>
      </c>
      <c r="M21" s="263" t="n">
        <v>0</v>
      </c>
    </row>
    <row r="22" ht="15" customHeight="1" s="227">
      <c r="A22" s="28" t="inlineStr">
        <is>
          <t>Prey Veng</t>
        </is>
      </c>
      <c r="B22" s="263" t="n">
        <v>544</v>
      </c>
      <c r="C22" s="263" t="n">
        <v>96</v>
      </c>
      <c r="D22" s="263" t="n">
        <v>448</v>
      </c>
      <c r="E22" s="264" t="n">
        <v>3452</v>
      </c>
      <c r="F22" s="263" t="n">
        <v>99</v>
      </c>
      <c r="G22" s="263" t="n">
        <v>147</v>
      </c>
      <c r="H22" s="263" t="n">
        <v>140</v>
      </c>
      <c r="I22" s="264" t="n">
        <v>1124</v>
      </c>
      <c r="J22" s="263" t="n">
        <v>12</v>
      </c>
      <c r="K22" s="263" t="n">
        <v>78</v>
      </c>
      <c r="L22" s="263" t="n">
        <v>1</v>
      </c>
      <c r="M22" s="263" t="n">
        <v>31</v>
      </c>
    </row>
    <row r="23" ht="14" customHeight="1" s="227">
      <c r="A23" s="28" t="inlineStr">
        <is>
          <t>Pursat</t>
        </is>
      </c>
      <c r="B23" s="263" t="n">
        <v>305</v>
      </c>
      <c r="C23" s="263" t="n">
        <v>51</v>
      </c>
      <c r="D23" s="263" t="n">
        <v>254</v>
      </c>
      <c r="E23" s="264" t="n">
        <v>1652</v>
      </c>
      <c r="F23" s="263" t="n">
        <v>4</v>
      </c>
      <c r="G23" s="263" t="n">
        <v>6</v>
      </c>
      <c r="H23" s="263" t="n">
        <v>6</v>
      </c>
      <c r="I23" s="263" t="n">
        <v>42</v>
      </c>
      <c r="J23" s="263" t="n">
        <v>1</v>
      </c>
      <c r="K23" s="263" t="n">
        <v>10</v>
      </c>
      <c r="L23" s="263" t="n">
        <v>0</v>
      </c>
      <c r="M23" s="263" t="n">
        <v>0</v>
      </c>
    </row>
    <row r="24" ht="15" customHeight="1" s="227">
      <c r="A24" s="28" t="inlineStr">
        <is>
          <t>Ratanak Kiri</t>
        </is>
      </c>
      <c r="B24" s="263" t="n">
        <v>220</v>
      </c>
      <c r="C24" s="263" t="n">
        <v>29</v>
      </c>
      <c r="D24" s="263" t="n">
        <v>191</v>
      </c>
      <c r="E24" s="264" t="n">
        <v>1083</v>
      </c>
      <c r="F24" s="263" t="n">
        <v>18</v>
      </c>
      <c r="G24" s="263" t="n">
        <v>28</v>
      </c>
      <c r="H24" s="263" t="n">
        <v>5</v>
      </c>
      <c r="I24" s="263" t="n">
        <v>24</v>
      </c>
      <c r="J24" s="263" t="n">
        <v>1</v>
      </c>
      <c r="K24" s="263" t="n">
        <v>8</v>
      </c>
      <c r="L24" s="263" t="n">
        <v>0</v>
      </c>
      <c r="M24" s="263" t="n">
        <v>0</v>
      </c>
    </row>
    <row r="25" ht="15" customHeight="1" s="227">
      <c r="A25" s="28" t="inlineStr">
        <is>
          <t>Siemreap</t>
        </is>
      </c>
      <c r="B25" s="263" t="n">
        <v>503</v>
      </c>
      <c r="C25" s="263" t="n">
        <v>79</v>
      </c>
      <c r="D25" s="263" t="n">
        <v>424</v>
      </c>
      <c r="E25" s="264" t="n">
        <v>3366</v>
      </c>
      <c r="F25" s="263" t="n">
        <v>39</v>
      </c>
      <c r="G25" s="263" t="n">
        <v>64</v>
      </c>
      <c r="H25" s="263" t="n">
        <v>23</v>
      </c>
      <c r="I25" s="263" t="n">
        <v>207</v>
      </c>
      <c r="J25" s="263" t="n">
        <v>3</v>
      </c>
      <c r="K25" s="263" t="n">
        <v>36</v>
      </c>
      <c r="L25" s="263" t="n">
        <v>1</v>
      </c>
      <c r="M25" s="263" t="n">
        <v>6</v>
      </c>
    </row>
    <row r="26" ht="15" customHeight="1" s="227">
      <c r="A26" s="28" t="inlineStr">
        <is>
          <t>Stung Treng</t>
        </is>
      </c>
      <c r="B26" s="263" t="n">
        <v>152</v>
      </c>
      <c r="C26" s="263" t="n">
        <v>22</v>
      </c>
      <c r="D26" s="263" t="n">
        <v>130</v>
      </c>
      <c r="E26" s="263" t="n">
        <v>939</v>
      </c>
      <c r="F26" s="263" t="n">
        <v>3</v>
      </c>
      <c r="G26" s="263" t="n">
        <v>3</v>
      </c>
      <c r="H26" s="263" t="n">
        <v>1</v>
      </c>
      <c r="I26" s="263" t="n">
        <v>6</v>
      </c>
      <c r="J26" s="263" t="n">
        <v>0</v>
      </c>
      <c r="K26" s="263" t="n">
        <v>0</v>
      </c>
      <c r="L26" s="263" t="n">
        <v>0</v>
      </c>
      <c r="M26" s="263" t="n">
        <v>0</v>
      </c>
    </row>
    <row r="27" ht="14" customHeight="1" s="227">
      <c r="A27" s="28" t="inlineStr">
        <is>
          <t>Svay Rieng</t>
        </is>
      </c>
      <c r="B27" s="263" t="n">
        <v>262</v>
      </c>
      <c r="C27" s="263" t="n">
        <v>38</v>
      </c>
      <c r="D27" s="263" t="n">
        <v>224</v>
      </c>
      <c r="E27" s="264" t="n">
        <v>1699</v>
      </c>
      <c r="F27" s="263" t="n">
        <v>27</v>
      </c>
      <c r="G27" s="263" t="n">
        <v>37</v>
      </c>
      <c r="H27" s="263" t="n">
        <v>61</v>
      </c>
      <c r="I27" s="263" t="n">
        <v>435</v>
      </c>
      <c r="J27" s="263" t="n">
        <v>1</v>
      </c>
      <c r="K27" s="263" t="n">
        <v>6</v>
      </c>
      <c r="L27" s="263" t="n">
        <v>0</v>
      </c>
      <c r="M27" s="263" t="n">
        <v>0</v>
      </c>
    </row>
    <row r="28" ht="15" customHeight="1" s="227">
      <c r="A28" s="28" t="inlineStr">
        <is>
          <t>Takeo</t>
        </is>
      </c>
      <c r="B28" s="263" t="n">
        <v>382</v>
      </c>
      <c r="C28" s="263" t="n">
        <v>71</v>
      </c>
      <c r="D28" s="263" t="n">
        <v>311</v>
      </c>
      <c r="E28" s="264" t="n">
        <v>2682</v>
      </c>
      <c r="F28" s="263" t="n">
        <v>77</v>
      </c>
      <c r="G28" s="263" t="n">
        <v>111</v>
      </c>
      <c r="H28" s="263" t="n">
        <v>120</v>
      </c>
      <c r="I28" s="264" t="n">
        <v>1062</v>
      </c>
      <c r="J28" s="263" t="n">
        <v>15</v>
      </c>
      <c r="K28" s="263" t="n">
        <v>80</v>
      </c>
      <c r="L28" s="263" t="n">
        <v>1</v>
      </c>
      <c r="M28" s="263" t="n">
        <v>24</v>
      </c>
    </row>
    <row r="29" ht="15" customHeight="1" s="227">
      <c r="A29" s="28" t="inlineStr">
        <is>
          <t>Tbaung Khmum</t>
        </is>
      </c>
      <c r="B29" s="263" t="n">
        <v>399</v>
      </c>
      <c r="C29" s="263" t="n">
        <v>52</v>
      </c>
      <c r="D29" s="263" t="n">
        <v>347</v>
      </c>
      <c r="E29" s="264" t="n">
        <v>2543</v>
      </c>
      <c r="F29" s="263" t="n">
        <v>23</v>
      </c>
      <c r="G29" s="263" t="n">
        <v>42</v>
      </c>
      <c r="H29" s="263" t="n">
        <v>46</v>
      </c>
      <c r="I29" s="263" t="n">
        <v>333</v>
      </c>
      <c r="J29" s="263" t="n">
        <v>3</v>
      </c>
      <c r="K29" s="263" t="n">
        <v>13</v>
      </c>
      <c r="L29" s="263" t="n">
        <v>2</v>
      </c>
      <c r="M29" s="263" t="n">
        <v>30</v>
      </c>
    </row>
    <row r="30" ht="15" customHeight="1" s="227">
      <c r="A30" s="22" t="inlineStr">
        <is>
          <t>Whole Kingdom</t>
        </is>
      </c>
      <c r="B30" s="264" t="n">
        <v>7228</v>
      </c>
      <c r="C30" s="264" t="n">
        <v>1263</v>
      </c>
      <c r="D30" s="264" t="n">
        <v>6303</v>
      </c>
      <c r="E30" s="264" t="n">
        <v>47698</v>
      </c>
      <c r="F30" s="263" t="n">
        <v>756</v>
      </c>
      <c r="G30" s="264" t="n">
        <v>1164</v>
      </c>
      <c r="H30" s="263" t="n">
        <v>994</v>
      </c>
      <c r="I30" s="264" t="n">
        <v>8678</v>
      </c>
      <c r="J30" s="263" t="n">
        <v>117</v>
      </c>
      <c r="K30" s="263" t="n">
        <v>662</v>
      </c>
      <c r="L30" s="263" t="n">
        <v>14</v>
      </c>
      <c r="M30" s="263" t="n">
        <v>226</v>
      </c>
    </row>
    <row r="31" ht="15" customHeight="1" s="227">
      <c r="A31" s="28" t="inlineStr">
        <is>
          <t>-  Urban Area</t>
        </is>
      </c>
      <c r="B31" s="263" t="n">
        <v>675</v>
      </c>
      <c r="C31" s="263" t="n">
        <v>142</v>
      </c>
      <c r="D31" s="263" t="n">
        <v>541</v>
      </c>
      <c r="E31" s="264" t="n">
        <v>5954</v>
      </c>
      <c r="F31" s="263" t="n">
        <v>78</v>
      </c>
      <c r="G31" s="263" t="n">
        <v>129</v>
      </c>
      <c r="H31" s="263" t="n">
        <v>92</v>
      </c>
      <c r="I31" s="264" t="n">
        <v>1059</v>
      </c>
      <c r="J31" s="263" t="n">
        <v>8</v>
      </c>
      <c r="K31" s="263" t="n">
        <v>73</v>
      </c>
      <c r="L31" s="263" t="n">
        <v>1</v>
      </c>
      <c r="M31" s="263" t="n">
        <v>16</v>
      </c>
    </row>
    <row r="32" ht="14.25" customHeight="1" s="227">
      <c r="A32" s="28" t="inlineStr">
        <is>
          <t>-  Rural Area</t>
        </is>
      </c>
      <c r="B32" s="264" t="n">
        <v>6553</v>
      </c>
      <c r="C32" s="264" t="n">
        <v>1121</v>
      </c>
      <c r="D32" s="264" t="n">
        <v>5762</v>
      </c>
      <c r="E32" s="264" t="n">
        <v>41744</v>
      </c>
      <c r="F32" s="263" t="n">
        <v>678</v>
      </c>
      <c r="G32" s="264" t="n">
        <v>1035</v>
      </c>
      <c r="H32" s="263" t="n">
        <v>902</v>
      </c>
      <c r="I32" s="264" t="n">
        <v>7619</v>
      </c>
      <c r="J32" s="263" t="n">
        <v>109</v>
      </c>
      <c r="K32" s="263" t="n">
        <v>589</v>
      </c>
      <c r="L32" s="263" t="n">
        <v>13</v>
      </c>
      <c r="M32" s="263" t="n">
        <v>210</v>
      </c>
    </row>
  </sheetData>
  <mergeCells count="12">
    <mergeCell ref="F3:G3"/>
    <mergeCell ref="L3:M3"/>
    <mergeCell ref="J3:K3"/>
    <mergeCell ref="F2:M2"/>
    <mergeCell ref="A1:M1"/>
    <mergeCell ref="D2:E2"/>
    <mergeCell ref="A2:A4"/>
    <mergeCell ref="C2:C4"/>
    <mergeCell ref="E3:E4"/>
    <mergeCell ref="D3:D4"/>
    <mergeCell ref="B2:B4"/>
    <mergeCell ref="H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O31"/>
  <sheetViews>
    <sheetView tabSelected="1" workbookViewId="0">
      <selection activeCell="A1" sqref="A1"/>
    </sheetView>
  </sheetViews>
  <sheetFormatPr baseColWidth="8" defaultRowHeight="15"/>
  <cols>
    <col width="25.111111" customWidth="1" style="227" min="1" max="1"/>
    <col width="10.222222" customWidth="1" style="227" min="2" max="2"/>
    <col width="10.222222" customWidth="1" style="227" min="3" max="3"/>
    <col width="10.222222" customWidth="1" style="227" min="4" max="4"/>
    <col width="10.222222" customWidth="1" style="227" min="5" max="5"/>
    <col width="10" customWidth="1" style="227" min="6" max="6"/>
    <col width="10.222222" customWidth="1" style="227" min="7" max="7"/>
    <col width="10.222222" customWidth="1" style="227" min="8" max="8"/>
    <col width="10.222222" customWidth="1" style="227" min="9" max="9"/>
    <col width="10.222222" customWidth="1" style="227" min="10" max="10"/>
    <col width="10.222222" customWidth="1" style="227" min="11" max="11"/>
    <col width="10.222222" customWidth="1" style="227" min="12" max="12"/>
    <col width="10.222222" customWidth="1" style="227" min="13" max="13"/>
    <col width="10.222222" customWidth="1" style="227" min="14" max="14"/>
    <col width="10.222222" customWidth="1" style="227" min="15" max="15"/>
  </cols>
  <sheetData>
    <row r="1" ht="31" customHeight="1" s="227">
      <c r="A1" s="2" t="inlineStr">
        <is>
          <t>Table 11: Number of Schools by Highest Grade Taught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</row>
    <row r="2" ht="19" customHeight="1" s="227">
      <c r="A2" s="3" t="inlineStr">
        <is>
          <t>Province</t>
        </is>
      </c>
      <c r="B2" s="8" t="inlineStr">
        <is>
          <t>Pre-school</t>
        </is>
      </c>
      <c r="C2" s="257" t="n"/>
      <c r="D2" s="20" t="inlineStr">
        <is>
          <t>Primary</t>
        </is>
      </c>
      <c r="E2" s="269" t="n"/>
      <c r="F2" s="269" t="n"/>
      <c r="G2" s="269" t="n"/>
      <c r="H2" s="269" t="n"/>
      <c r="I2" s="257" t="n"/>
      <c r="J2" s="20" t="inlineStr">
        <is>
          <t>College</t>
        </is>
      </c>
      <c r="K2" s="269" t="n"/>
      <c r="L2" s="257" t="n"/>
      <c r="M2" s="20" t="inlineStr">
        <is>
          <t>Lycee</t>
        </is>
      </c>
      <c r="N2" s="269" t="n"/>
      <c r="O2" s="257" t="n"/>
    </row>
    <row r="3" ht="18" customHeight="1" s="227">
      <c r="A3" s="258" t="n"/>
      <c r="B3" s="11" t="inlineStr">
        <is>
          <t>Total</t>
        </is>
      </c>
      <c r="C3" s="52" t="inlineStr">
        <is>
          <t>Mixed Step</t>
        </is>
      </c>
      <c r="D3" s="21" t="inlineStr">
        <is>
          <t>Grade 1</t>
        </is>
      </c>
      <c r="E3" s="21" t="inlineStr">
        <is>
          <t>Grade 2</t>
        </is>
      </c>
      <c r="F3" s="21" t="inlineStr">
        <is>
          <t>Grade 3</t>
        </is>
      </c>
      <c r="G3" s="21" t="inlineStr">
        <is>
          <t>Grade 4</t>
        </is>
      </c>
      <c r="H3" s="21" t="inlineStr">
        <is>
          <t>Grade 5</t>
        </is>
      </c>
      <c r="I3" s="21" t="inlineStr">
        <is>
          <t>Grade 6</t>
        </is>
      </c>
      <c r="J3" s="21" t="inlineStr">
        <is>
          <t>Grade 7</t>
        </is>
      </c>
      <c r="K3" s="21" t="inlineStr">
        <is>
          <t>Grade 8</t>
        </is>
      </c>
      <c r="L3" s="21" t="inlineStr">
        <is>
          <t>Grade 9</t>
        </is>
      </c>
      <c r="M3" s="21" t="inlineStr">
        <is>
          <t>Grade 10</t>
        </is>
      </c>
      <c r="N3" s="21" t="inlineStr">
        <is>
          <t>Grade 11</t>
        </is>
      </c>
      <c r="O3" s="21" t="inlineStr">
        <is>
          <t>Grade 12</t>
        </is>
      </c>
    </row>
    <row r="4" ht="14" customHeight="1" s="227">
      <c r="A4" s="28" t="inlineStr">
        <is>
          <t>Banteay Meanchey</t>
        </is>
      </c>
      <c r="B4" s="263" t="n">
        <v>324</v>
      </c>
      <c r="C4" s="263" t="n">
        <v>170</v>
      </c>
      <c r="D4" s="263" t="n">
        <v>2</v>
      </c>
      <c r="E4" s="263" t="n">
        <v>2</v>
      </c>
      <c r="F4" s="263" t="n">
        <v>4</v>
      </c>
      <c r="G4" s="263" t="n">
        <v>17</v>
      </c>
      <c r="H4" s="263" t="n">
        <v>7</v>
      </c>
      <c r="I4" s="263" t="n">
        <v>378</v>
      </c>
      <c r="J4" s="263" t="n">
        <v>0</v>
      </c>
      <c r="K4" s="263" t="n">
        <v>1</v>
      </c>
      <c r="L4" s="263" t="n">
        <v>55</v>
      </c>
      <c r="M4" s="263" t="n">
        <v>1</v>
      </c>
      <c r="N4" s="263" t="n">
        <v>2</v>
      </c>
      <c r="O4" s="263" t="n">
        <v>25</v>
      </c>
    </row>
    <row r="5" ht="14" customHeight="1" s="227">
      <c r="A5" s="28" t="inlineStr">
        <is>
          <t>Battambang</t>
        </is>
      </c>
      <c r="B5" s="263" t="n">
        <v>367</v>
      </c>
      <c r="C5" s="263" t="n">
        <v>152</v>
      </c>
      <c r="D5" s="263" t="n">
        <v>0</v>
      </c>
      <c r="E5" s="263" t="n">
        <v>3</v>
      </c>
      <c r="F5" s="263" t="n">
        <v>6</v>
      </c>
      <c r="G5" s="263" t="n">
        <v>14</v>
      </c>
      <c r="H5" s="263" t="n">
        <v>13</v>
      </c>
      <c r="I5" s="263" t="n">
        <v>608</v>
      </c>
      <c r="J5" s="263" t="n">
        <v>1</v>
      </c>
      <c r="K5" s="263" t="n">
        <v>1</v>
      </c>
      <c r="L5" s="263" t="n">
        <v>93</v>
      </c>
      <c r="M5" s="263" t="n">
        <v>0</v>
      </c>
      <c r="N5" s="263" t="n">
        <v>1</v>
      </c>
      <c r="O5" s="263" t="n">
        <v>26</v>
      </c>
    </row>
    <row r="6" ht="15" customHeight="1" s="227">
      <c r="A6" s="28" t="inlineStr">
        <is>
          <t>Kampong Cham</t>
        </is>
      </c>
      <c r="B6" s="263" t="n">
        <v>273</v>
      </c>
      <c r="C6" s="263" t="n">
        <v>40</v>
      </c>
      <c r="D6" s="263" t="n">
        <v>1</v>
      </c>
      <c r="E6" s="263" t="n">
        <v>3</v>
      </c>
      <c r="F6" s="263" t="n">
        <v>5</v>
      </c>
      <c r="G6" s="263" t="n">
        <v>4</v>
      </c>
      <c r="H6" s="263" t="n">
        <v>5</v>
      </c>
      <c r="I6" s="263" t="n">
        <v>390</v>
      </c>
      <c r="J6" s="263" t="n">
        <v>0</v>
      </c>
      <c r="K6" s="263" t="n">
        <v>1</v>
      </c>
      <c r="L6" s="263" t="n">
        <v>79</v>
      </c>
      <c r="M6" s="263" t="n">
        <v>0</v>
      </c>
      <c r="N6" s="263" t="n">
        <v>1</v>
      </c>
      <c r="O6" s="263" t="n">
        <v>42</v>
      </c>
    </row>
    <row r="7" ht="14" customHeight="1" s="227">
      <c r="A7" s="28" t="inlineStr">
        <is>
          <t>Kampong Chhnang</t>
        </is>
      </c>
      <c r="B7" s="263" t="n">
        <v>112</v>
      </c>
      <c r="C7" s="263" t="n">
        <v>31</v>
      </c>
      <c r="D7" s="263" t="n">
        <v>0</v>
      </c>
      <c r="E7" s="263" t="n">
        <v>0</v>
      </c>
      <c r="F7" s="263" t="n">
        <v>0</v>
      </c>
      <c r="G7" s="263" t="n">
        <v>3</v>
      </c>
      <c r="H7" s="263" t="n">
        <v>1</v>
      </c>
      <c r="I7" s="263" t="n">
        <v>274</v>
      </c>
      <c r="J7" s="263" t="n">
        <v>0</v>
      </c>
      <c r="K7" s="263" t="n">
        <v>0</v>
      </c>
      <c r="L7" s="263" t="n">
        <v>60</v>
      </c>
      <c r="M7" s="263" t="n">
        <v>0</v>
      </c>
      <c r="N7" s="263" t="n">
        <v>0</v>
      </c>
      <c r="O7" s="263" t="n">
        <v>16</v>
      </c>
    </row>
    <row r="8" ht="14" customHeight="1" s="227">
      <c r="A8" s="28" t="inlineStr">
        <is>
          <t>Kampong Speu</t>
        </is>
      </c>
      <c r="B8" s="263" t="n">
        <v>195</v>
      </c>
      <c r="C8" s="263" t="n">
        <v>57</v>
      </c>
      <c r="D8" s="263" t="n">
        <v>0</v>
      </c>
      <c r="E8" s="263" t="n">
        <v>0</v>
      </c>
      <c r="F8" s="263" t="n">
        <v>0</v>
      </c>
      <c r="G8" s="263" t="n">
        <v>1</v>
      </c>
      <c r="H8" s="263" t="n">
        <v>2</v>
      </c>
      <c r="I8" s="263" t="n">
        <v>310</v>
      </c>
      <c r="J8" s="263" t="n">
        <v>1</v>
      </c>
      <c r="K8" s="263" t="n">
        <v>1</v>
      </c>
      <c r="L8" s="263" t="n">
        <v>69</v>
      </c>
      <c r="M8" s="263" t="n">
        <v>0</v>
      </c>
      <c r="N8" s="263" t="n">
        <v>1</v>
      </c>
      <c r="O8" s="263" t="n">
        <v>23</v>
      </c>
    </row>
    <row r="9" ht="14" customHeight="1" s="227">
      <c r="A9" s="28" t="inlineStr">
        <is>
          <t>Kampong Thom</t>
        </is>
      </c>
      <c r="B9" s="263" t="n">
        <v>204</v>
      </c>
      <c r="C9" s="263" t="n">
        <v>76</v>
      </c>
      <c r="D9" s="263" t="n">
        <v>4</v>
      </c>
      <c r="E9" s="263" t="n">
        <v>9</v>
      </c>
      <c r="F9" s="263" t="n">
        <v>16</v>
      </c>
      <c r="G9" s="263" t="n">
        <v>11</v>
      </c>
      <c r="H9" s="263" t="n">
        <v>6</v>
      </c>
      <c r="I9" s="263" t="n">
        <v>441</v>
      </c>
      <c r="J9" s="263" t="n">
        <v>0</v>
      </c>
      <c r="K9" s="263" t="n">
        <v>0</v>
      </c>
      <c r="L9" s="263" t="n">
        <v>66</v>
      </c>
      <c r="M9" s="263" t="n">
        <v>1</v>
      </c>
      <c r="N9" s="263" t="n">
        <v>0</v>
      </c>
      <c r="O9" s="263" t="n">
        <v>24</v>
      </c>
    </row>
    <row r="10" ht="14" customHeight="1" s="227">
      <c r="A10" s="28" t="inlineStr">
        <is>
          <t>Kampot</t>
        </is>
      </c>
      <c r="B10" s="263" t="n">
        <v>197</v>
      </c>
      <c r="C10" s="263" t="n">
        <v>20</v>
      </c>
      <c r="D10" s="263" t="n">
        <v>0</v>
      </c>
      <c r="E10" s="263" t="n">
        <v>0</v>
      </c>
      <c r="F10" s="263" t="n">
        <v>0</v>
      </c>
      <c r="G10" s="263" t="n">
        <v>1</v>
      </c>
      <c r="H10" s="263" t="n">
        <v>4</v>
      </c>
      <c r="I10" s="263" t="n">
        <v>306</v>
      </c>
      <c r="J10" s="263" t="n">
        <v>1</v>
      </c>
      <c r="K10" s="263" t="n">
        <v>0</v>
      </c>
      <c r="L10" s="263" t="n">
        <v>75</v>
      </c>
      <c r="M10" s="263" t="n">
        <v>1</v>
      </c>
      <c r="N10" s="263" t="n">
        <v>1</v>
      </c>
      <c r="O10" s="263" t="n">
        <v>22</v>
      </c>
    </row>
    <row r="11" ht="14" customHeight="1" s="227">
      <c r="A11" s="28" t="inlineStr">
        <is>
          <t>Kandal</t>
        </is>
      </c>
      <c r="B11" s="263" t="n">
        <v>234</v>
      </c>
      <c r="C11" s="263" t="n">
        <v>20</v>
      </c>
      <c r="D11" s="263" t="n">
        <v>0</v>
      </c>
      <c r="E11" s="263" t="n">
        <v>4</v>
      </c>
      <c r="F11" s="263" t="n">
        <v>1</v>
      </c>
      <c r="G11" s="263" t="n">
        <v>4</v>
      </c>
      <c r="H11" s="263" t="n">
        <v>1</v>
      </c>
      <c r="I11" s="263" t="n">
        <v>364</v>
      </c>
      <c r="J11" s="263" t="n">
        <v>0</v>
      </c>
      <c r="K11" s="263" t="n">
        <v>0</v>
      </c>
      <c r="L11" s="263" t="n">
        <v>102</v>
      </c>
      <c r="M11" s="263" t="n">
        <v>0</v>
      </c>
      <c r="N11" s="263" t="n">
        <v>0</v>
      </c>
      <c r="O11" s="263" t="n">
        <v>38</v>
      </c>
    </row>
    <row r="12" ht="14" customHeight="1" s="227">
      <c r="A12" s="28" t="inlineStr">
        <is>
          <t>Kep</t>
        </is>
      </c>
      <c r="B12" s="263" t="n">
        <v>22</v>
      </c>
      <c r="C12" s="263" t="n">
        <v>9</v>
      </c>
      <c r="D12" s="263" t="n">
        <v>0</v>
      </c>
      <c r="E12" s="263" t="n">
        <v>0</v>
      </c>
      <c r="F12" s="263" t="n">
        <v>0</v>
      </c>
      <c r="G12" s="263" t="n">
        <v>0</v>
      </c>
      <c r="H12" s="263" t="n">
        <v>0</v>
      </c>
      <c r="I12" s="263" t="n">
        <v>22</v>
      </c>
      <c r="J12" s="263" t="n">
        <v>0</v>
      </c>
      <c r="K12" s="263" t="n">
        <v>0</v>
      </c>
      <c r="L12" s="263" t="n">
        <v>4</v>
      </c>
      <c r="M12" s="263" t="n">
        <v>0</v>
      </c>
      <c r="N12" s="263" t="n">
        <v>0</v>
      </c>
      <c r="O12" s="263" t="n">
        <v>2</v>
      </c>
    </row>
    <row r="13" ht="14" customHeight="1" s="227">
      <c r="A13" s="28" t="inlineStr">
        <is>
          <t>Koh Kong</t>
        </is>
      </c>
      <c r="B13" s="263" t="n">
        <v>65</v>
      </c>
      <c r="C13" s="263" t="n">
        <v>52</v>
      </c>
      <c r="D13" s="263" t="n">
        <v>1</v>
      </c>
      <c r="E13" s="263" t="n">
        <v>4</v>
      </c>
      <c r="F13" s="263" t="n">
        <v>2</v>
      </c>
      <c r="G13" s="263" t="n">
        <v>7</v>
      </c>
      <c r="H13" s="263" t="n">
        <v>8</v>
      </c>
      <c r="I13" s="263" t="n">
        <v>99</v>
      </c>
      <c r="J13" s="263" t="n">
        <v>0</v>
      </c>
      <c r="K13" s="263" t="n">
        <v>1</v>
      </c>
      <c r="L13" s="263" t="n">
        <v>20</v>
      </c>
      <c r="M13" s="263" t="n">
        <v>2</v>
      </c>
      <c r="N13" s="263" t="n">
        <v>2</v>
      </c>
      <c r="O13" s="263" t="n">
        <v>7</v>
      </c>
    </row>
    <row r="14" ht="14" customHeight="1" s="227">
      <c r="A14" s="28" t="inlineStr">
        <is>
          <t>Kratie</t>
        </is>
      </c>
      <c r="B14" s="263" t="n">
        <v>90</v>
      </c>
      <c r="C14" s="263" t="n">
        <v>21</v>
      </c>
      <c r="D14" s="263" t="n">
        <v>1</v>
      </c>
      <c r="E14" s="263" t="n">
        <v>7</v>
      </c>
      <c r="F14" s="263" t="n">
        <v>3</v>
      </c>
      <c r="G14" s="263" t="n">
        <v>13</v>
      </c>
      <c r="H14" s="263" t="n">
        <v>8</v>
      </c>
      <c r="I14" s="263" t="n">
        <v>242</v>
      </c>
      <c r="J14" s="263" t="n">
        <v>2</v>
      </c>
      <c r="K14" s="263" t="n">
        <v>1</v>
      </c>
      <c r="L14" s="263" t="n">
        <v>40</v>
      </c>
      <c r="M14" s="263" t="n">
        <v>0</v>
      </c>
      <c r="N14" s="263" t="n">
        <v>1</v>
      </c>
      <c r="O14" s="263" t="n">
        <v>10</v>
      </c>
    </row>
    <row r="15" ht="14" customHeight="1" s="227">
      <c r="A15" s="28" t="inlineStr">
        <is>
          <t>Mondul Kiri</t>
        </is>
      </c>
      <c r="B15" s="263" t="n">
        <v>23</v>
      </c>
      <c r="C15" s="263" t="n">
        <v>20</v>
      </c>
      <c r="D15" s="263" t="n">
        <v>1</v>
      </c>
      <c r="E15" s="263" t="n">
        <v>0</v>
      </c>
      <c r="F15" s="263" t="n">
        <v>0</v>
      </c>
      <c r="G15" s="263" t="n">
        <v>2</v>
      </c>
      <c r="H15" s="263" t="n">
        <v>1</v>
      </c>
      <c r="I15" s="263" t="n">
        <v>85</v>
      </c>
      <c r="J15" s="263" t="n">
        <v>0</v>
      </c>
      <c r="K15" s="263" t="n">
        <v>0</v>
      </c>
      <c r="L15" s="263" t="n">
        <v>9</v>
      </c>
      <c r="M15" s="263" t="n">
        <v>0</v>
      </c>
      <c r="N15" s="263" t="n">
        <v>1</v>
      </c>
      <c r="O15" s="263" t="n">
        <v>4</v>
      </c>
    </row>
    <row r="16" ht="14" customHeight="1" s="227">
      <c r="A16" s="28" t="inlineStr">
        <is>
          <t>Otdar Meanchey</t>
        </is>
      </c>
      <c r="B16" s="263" t="n">
        <v>102</v>
      </c>
      <c r="C16" s="263" t="n">
        <v>65</v>
      </c>
      <c r="D16" s="263" t="n">
        <v>0</v>
      </c>
      <c r="E16" s="263" t="n">
        <v>0</v>
      </c>
      <c r="F16" s="263" t="n">
        <v>3</v>
      </c>
      <c r="G16" s="263" t="n">
        <v>5</v>
      </c>
      <c r="H16" s="263" t="n">
        <v>4</v>
      </c>
      <c r="I16" s="263" t="n">
        <v>206</v>
      </c>
      <c r="J16" s="263" t="n">
        <v>1</v>
      </c>
      <c r="K16" s="263" t="n">
        <v>1</v>
      </c>
      <c r="L16" s="263" t="n">
        <v>27</v>
      </c>
      <c r="M16" s="263" t="n">
        <v>0</v>
      </c>
      <c r="N16" s="263" t="n">
        <v>2</v>
      </c>
      <c r="O16" s="263" t="n">
        <v>7</v>
      </c>
    </row>
    <row r="17" ht="14" customHeight="1" s="227">
      <c r="A17" s="28" t="inlineStr">
        <is>
          <t>Pailin</t>
        </is>
      </c>
      <c r="B17" s="263" t="n">
        <v>25</v>
      </c>
      <c r="C17" s="263" t="n">
        <v>14</v>
      </c>
      <c r="D17" s="263" t="n">
        <v>0</v>
      </c>
      <c r="E17" s="263" t="n">
        <v>0</v>
      </c>
      <c r="F17" s="263" t="n">
        <v>1</v>
      </c>
      <c r="G17" s="263" t="n">
        <v>0</v>
      </c>
      <c r="H17" s="263" t="n">
        <v>0</v>
      </c>
      <c r="I17" s="263" t="n">
        <v>47</v>
      </c>
      <c r="J17" s="263" t="n">
        <v>0</v>
      </c>
      <c r="K17" s="263" t="n">
        <v>0</v>
      </c>
      <c r="L17" s="263" t="n">
        <v>7</v>
      </c>
      <c r="M17" s="263" t="n">
        <v>0</v>
      </c>
      <c r="N17" s="263" t="n">
        <v>0</v>
      </c>
      <c r="O17" s="263" t="n">
        <v>2</v>
      </c>
    </row>
    <row r="18" ht="14" customHeight="1" s="227">
      <c r="A18" s="28" t="inlineStr">
        <is>
          <t>Phnom Penh</t>
        </is>
      </c>
      <c r="B18" s="263" t="n">
        <v>146</v>
      </c>
      <c r="C18" s="263" t="n">
        <v>1</v>
      </c>
      <c r="D18" s="263" t="n">
        <v>0</v>
      </c>
      <c r="E18" s="263" t="n">
        <v>2</v>
      </c>
      <c r="F18" s="263" t="n">
        <v>1</v>
      </c>
      <c r="G18" s="263" t="n">
        <v>0</v>
      </c>
      <c r="H18" s="263" t="n">
        <v>0</v>
      </c>
      <c r="I18" s="263" t="n">
        <v>161</v>
      </c>
      <c r="J18" s="263" t="n">
        <v>0</v>
      </c>
      <c r="K18" s="263" t="n">
        <v>0</v>
      </c>
      <c r="L18" s="263" t="n">
        <v>28</v>
      </c>
      <c r="M18" s="263" t="n">
        <v>2</v>
      </c>
      <c r="N18" s="263" t="n">
        <v>0</v>
      </c>
      <c r="O18" s="263" t="n">
        <v>36</v>
      </c>
    </row>
    <row r="19" ht="14" customHeight="1" s="227">
      <c r="A19" s="28" t="inlineStr">
        <is>
          <t>Preah Sihanouk</t>
        </is>
      </c>
      <c r="B19" s="263" t="n">
        <v>57</v>
      </c>
      <c r="C19" s="263" t="n">
        <v>28</v>
      </c>
      <c r="D19" s="263" t="n">
        <v>0</v>
      </c>
      <c r="E19" s="263" t="n">
        <v>0</v>
      </c>
      <c r="F19" s="263" t="n">
        <v>0</v>
      </c>
      <c r="G19" s="263" t="n">
        <v>1</v>
      </c>
      <c r="H19" s="263" t="n">
        <v>0</v>
      </c>
      <c r="I19" s="263" t="n">
        <v>71</v>
      </c>
      <c r="J19" s="263" t="n">
        <v>0</v>
      </c>
      <c r="K19" s="263" t="n">
        <v>0</v>
      </c>
      <c r="L19" s="263" t="n">
        <v>18</v>
      </c>
      <c r="M19" s="263" t="n">
        <v>1</v>
      </c>
      <c r="N19" s="263" t="n">
        <v>0</v>
      </c>
      <c r="O19" s="263" t="n">
        <v>8</v>
      </c>
    </row>
    <row r="20" ht="14" customHeight="1" s="227">
      <c r="A20" s="28" t="inlineStr">
        <is>
          <t>Preah Vihear</t>
        </is>
      </c>
      <c r="B20" s="263" t="n">
        <v>109</v>
      </c>
      <c r="C20" s="263" t="n">
        <v>82</v>
      </c>
      <c r="D20" s="263" t="n">
        <v>1</v>
      </c>
      <c r="E20" s="263" t="n">
        <v>0</v>
      </c>
      <c r="F20" s="263" t="n">
        <v>7</v>
      </c>
      <c r="G20" s="263" t="n">
        <v>3</v>
      </c>
      <c r="H20" s="263" t="n">
        <v>10</v>
      </c>
      <c r="I20" s="263" t="n">
        <v>207</v>
      </c>
      <c r="J20" s="263" t="n">
        <v>0</v>
      </c>
      <c r="K20" s="263" t="n">
        <v>4</v>
      </c>
      <c r="L20" s="263" t="n">
        <v>44</v>
      </c>
      <c r="M20" s="263" t="n">
        <v>1</v>
      </c>
      <c r="N20" s="263" t="n">
        <v>3</v>
      </c>
      <c r="O20" s="263" t="n">
        <v>12</v>
      </c>
    </row>
    <row r="21" ht="14" customHeight="1" s="227">
      <c r="A21" s="28" t="inlineStr">
        <is>
          <t>Prey Veng</t>
        </is>
      </c>
      <c r="B21" s="263" t="n">
        <v>368</v>
      </c>
      <c r="C21" s="263" t="n">
        <v>8</v>
      </c>
      <c r="D21" s="263" t="n">
        <v>0</v>
      </c>
      <c r="E21" s="263" t="n">
        <v>3</v>
      </c>
      <c r="F21" s="263" t="n">
        <v>3</v>
      </c>
      <c r="G21" s="263" t="n">
        <v>10</v>
      </c>
      <c r="H21" s="263" t="n">
        <v>8</v>
      </c>
      <c r="I21" s="263" t="n">
        <v>520</v>
      </c>
      <c r="J21" s="263" t="n">
        <v>0</v>
      </c>
      <c r="K21" s="263" t="n">
        <v>2</v>
      </c>
      <c r="L21" s="263" t="n">
        <v>89</v>
      </c>
      <c r="M21" s="263" t="n">
        <v>1</v>
      </c>
      <c r="N21" s="263" t="n">
        <v>3</v>
      </c>
      <c r="O21" s="263" t="n">
        <v>28</v>
      </c>
    </row>
    <row r="22" ht="14" customHeight="1" s="227">
      <c r="A22" s="28" t="inlineStr">
        <is>
          <t>Pursat</t>
        </is>
      </c>
      <c r="B22" s="263" t="n">
        <v>173</v>
      </c>
      <c r="C22" s="263" t="n">
        <v>78</v>
      </c>
      <c r="D22" s="263" t="n">
        <v>3</v>
      </c>
      <c r="E22" s="263" t="n">
        <v>6</v>
      </c>
      <c r="F22" s="263" t="n">
        <v>6</v>
      </c>
      <c r="G22" s="263" t="n">
        <v>13</v>
      </c>
      <c r="H22" s="263" t="n">
        <v>9</v>
      </c>
      <c r="I22" s="263" t="n">
        <v>268</v>
      </c>
      <c r="J22" s="263" t="n">
        <v>0</v>
      </c>
      <c r="K22" s="263" t="n">
        <v>0</v>
      </c>
      <c r="L22" s="263" t="n">
        <v>44</v>
      </c>
      <c r="M22" s="263" t="n">
        <v>0</v>
      </c>
      <c r="N22" s="263" t="n">
        <v>0</v>
      </c>
      <c r="O22" s="263" t="n">
        <v>15</v>
      </c>
    </row>
    <row r="23" ht="14" customHeight="1" s="227">
      <c r="A23" s="28" t="inlineStr">
        <is>
          <t>Ratanak Kiri</t>
        </is>
      </c>
      <c r="B23" s="263" t="n">
        <v>58</v>
      </c>
      <c r="C23" s="263" t="n">
        <v>19</v>
      </c>
      <c r="D23" s="263" t="n">
        <v>4</v>
      </c>
      <c r="E23" s="263" t="n">
        <v>6</v>
      </c>
      <c r="F23" s="263" t="n">
        <v>10</v>
      </c>
      <c r="G23" s="263" t="n">
        <v>18</v>
      </c>
      <c r="H23" s="263" t="n">
        <v>36</v>
      </c>
      <c r="I23" s="263" t="n">
        <v>146</v>
      </c>
      <c r="J23" s="263" t="n">
        <v>4</v>
      </c>
      <c r="K23" s="263" t="n">
        <v>0</v>
      </c>
      <c r="L23" s="263" t="n">
        <v>12</v>
      </c>
      <c r="M23" s="263" t="n">
        <v>0</v>
      </c>
      <c r="N23" s="263" t="n">
        <v>1</v>
      </c>
      <c r="O23" s="263" t="n">
        <v>8</v>
      </c>
    </row>
    <row r="24" ht="14" customHeight="1" s="227">
      <c r="A24" s="28" t="inlineStr">
        <is>
          <t>Siemreap</t>
        </is>
      </c>
      <c r="B24" s="263" t="n">
        <v>443</v>
      </c>
      <c r="C24" s="263" t="n">
        <v>117</v>
      </c>
      <c r="D24" s="263" t="n">
        <v>0</v>
      </c>
      <c r="E24" s="263" t="n">
        <v>3</v>
      </c>
      <c r="F24" s="263" t="n">
        <v>1</v>
      </c>
      <c r="G24" s="263" t="n">
        <v>3</v>
      </c>
      <c r="H24" s="263" t="n">
        <v>6</v>
      </c>
      <c r="I24" s="263" t="n">
        <v>490</v>
      </c>
      <c r="J24" s="263" t="n">
        <v>1</v>
      </c>
      <c r="K24" s="263" t="n">
        <v>0</v>
      </c>
      <c r="L24" s="263" t="n">
        <v>83</v>
      </c>
      <c r="M24" s="263" t="n">
        <v>2</v>
      </c>
      <c r="N24" s="263" t="n">
        <v>4</v>
      </c>
      <c r="O24" s="263" t="n">
        <v>31</v>
      </c>
    </row>
    <row r="25" ht="14" customHeight="1" s="227">
      <c r="A25" s="28" t="inlineStr">
        <is>
          <t>Stung Treng</t>
        </is>
      </c>
      <c r="B25" s="263" t="n">
        <v>35</v>
      </c>
      <c r="C25" s="263" t="n">
        <v>23</v>
      </c>
      <c r="D25" s="263" t="n">
        <v>0</v>
      </c>
      <c r="E25" s="263" t="n">
        <v>0</v>
      </c>
      <c r="F25" s="263" t="n">
        <v>0</v>
      </c>
      <c r="G25" s="263" t="n">
        <v>1</v>
      </c>
      <c r="H25" s="263" t="n">
        <v>3</v>
      </c>
      <c r="I25" s="263" t="n">
        <v>148</v>
      </c>
      <c r="J25" s="263" t="n">
        <v>0</v>
      </c>
      <c r="K25" s="263" t="n">
        <v>0</v>
      </c>
      <c r="L25" s="263" t="n">
        <v>23</v>
      </c>
      <c r="M25" s="263" t="n">
        <v>0</v>
      </c>
      <c r="N25" s="263" t="n">
        <v>1</v>
      </c>
      <c r="O25" s="263" t="n">
        <v>7</v>
      </c>
    </row>
    <row r="26" ht="14" customHeight="1" s="227">
      <c r="A26" s="28" t="inlineStr">
        <is>
          <t>Svay Rieng</t>
        </is>
      </c>
      <c r="B26" s="263" t="n">
        <v>172</v>
      </c>
      <c r="C26" s="263" t="n">
        <v>78</v>
      </c>
      <c r="D26" s="263" t="n">
        <v>1</v>
      </c>
      <c r="E26" s="263" t="n">
        <v>1</v>
      </c>
      <c r="F26" s="263" t="n">
        <v>1</v>
      </c>
      <c r="G26" s="263" t="n">
        <v>1</v>
      </c>
      <c r="H26" s="263" t="n">
        <v>2</v>
      </c>
      <c r="I26" s="263" t="n">
        <v>256</v>
      </c>
      <c r="J26" s="263" t="n">
        <v>0</v>
      </c>
      <c r="K26" s="263" t="n">
        <v>1</v>
      </c>
      <c r="L26" s="263" t="n">
        <v>54</v>
      </c>
      <c r="M26" s="263" t="n">
        <v>0</v>
      </c>
      <c r="N26" s="263" t="n">
        <v>0</v>
      </c>
      <c r="O26" s="263" t="n">
        <v>19</v>
      </c>
    </row>
    <row r="27" ht="14" customHeight="1" s="227">
      <c r="A27" s="28" t="inlineStr">
        <is>
          <t>Takeo</t>
        </is>
      </c>
      <c r="B27" s="263" t="n">
        <v>282</v>
      </c>
      <c r="C27" s="263" t="n">
        <v>39</v>
      </c>
      <c r="D27" s="263" t="n">
        <v>0</v>
      </c>
      <c r="E27" s="263" t="n">
        <v>1</v>
      </c>
      <c r="F27" s="263" t="n">
        <v>0</v>
      </c>
      <c r="G27" s="263" t="n">
        <v>1</v>
      </c>
      <c r="H27" s="263" t="n">
        <v>0</v>
      </c>
      <c r="I27" s="263" t="n">
        <v>380</v>
      </c>
      <c r="J27" s="263" t="n">
        <v>0</v>
      </c>
      <c r="K27" s="263" t="n">
        <v>1</v>
      </c>
      <c r="L27" s="263" t="n">
        <v>65</v>
      </c>
      <c r="M27" s="263" t="n">
        <v>2</v>
      </c>
      <c r="N27" s="263" t="n">
        <v>1</v>
      </c>
      <c r="O27" s="263" t="n">
        <v>49</v>
      </c>
    </row>
    <row r="28" ht="14" customHeight="1" s="227">
      <c r="A28" s="28" t="inlineStr">
        <is>
          <t>Tbaung Khmum</t>
        </is>
      </c>
      <c r="B28" s="263" t="n">
        <v>225</v>
      </c>
      <c r="C28" s="263" t="n">
        <v>52</v>
      </c>
      <c r="D28" s="263" t="n">
        <v>3</v>
      </c>
      <c r="E28" s="263" t="n">
        <v>14</v>
      </c>
      <c r="F28" s="263" t="n">
        <v>10</v>
      </c>
      <c r="G28" s="263" t="n">
        <v>16</v>
      </c>
      <c r="H28" s="263" t="n">
        <v>11</v>
      </c>
      <c r="I28" s="263" t="n">
        <v>345</v>
      </c>
      <c r="J28" s="263" t="n">
        <v>1</v>
      </c>
      <c r="K28" s="263" t="n">
        <v>1</v>
      </c>
      <c r="L28" s="263" t="n">
        <v>53</v>
      </c>
      <c r="M28" s="263" t="n">
        <v>0</v>
      </c>
      <c r="N28" s="263" t="n">
        <v>1</v>
      </c>
      <c r="O28" s="263" t="n">
        <v>23</v>
      </c>
    </row>
    <row r="29" ht="17" customHeight="1" s="227">
      <c r="A29" s="22" t="inlineStr">
        <is>
          <t>Whole Kingdom</t>
        </is>
      </c>
      <c r="B29" s="264" t="n">
        <v>4301</v>
      </c>
      <c r="C29" s="265" t="n">
        <v>1272</v>
      </c>
      <c r="D29" s="263" t="n">
        <v>22</v>
      </c>
      <c r="E29" s="263" t="n">
        <v>68</v>
      </c>
      <c r="F29" s="263" t="n">
        <v>80</v>
      </c>
      <c r="G29" s="263" t="n">
        <v>149</v>
      </c>
      <c r="H29" s="263" t="n">
        <v>145</v>
      </c>
      <c r="I29" s="264" t="n">
        <v>6764</v>
      </c>
      <c r="J29" s="263" t="n">
        <v>12</v>
      </c>
      <c r="K29" s="263" t="n">
        <v>16</v>
      </c>
      <c r="L29" s="264" t="n">
        <v>1219</v>
      </c>
      <c r="M29" s="263" t="n">
        <v>14</v>
      </c>
      <c r="N29" s="263" t="n">
        <v>26</v>
      </c>
      <c r="O29" s="263" t="n">
        <v>484</v>
      </c>
    </row>
    <row r="30" ht="14" customHeight="1" s="227">
      <c r="A30" s="28" t="inlineStr">
        <is>
          <t>-  Urban Area</t>
        </is>
      </c>
      <c r="B30" s="263" t="n">
        <v>517</v>
      </c>
      <c r="C30" s="263" t="n">
        <v>129</v>
      </c>
      <c r="D30" s="263" t="n">
        <v>0</v>
      </c>
      <c r="E30" s="263" t="n">
        <v>4</v>
      </c>
      <c r="F30" s="263" t="n">
        <v>6</v>
      </c>
      <c r="G30" s="263" t="n">
        <v>6</v>
      </c>
      <c r="H30" s="263" t="n">
        <v>5</v>
      </c>
      <c r="I30" s="263" t="n">
        <v>654</v>
      </c>
      <c r="J30" s="263" t="n">
        <v>1</v>
      </c>
      <c r="K30" s="263" t="n">
        <v>1</v>
      </c>
      <c r="L30" s="263" t="n">
        <v>119</v>
      </c>
      <c r="M30" s="263" t="n">
        <v>4</v>
      </c>
      <c r="N30" s="263" t="n">
        <v>5</v>
      </c>
      <c r="O30" s="263" t="n">
        <v>100</v>
      </c>
    </row>
    <row r="31" ht="14" customHeight="1" s="227">
      <c r="A31" s="28" t="inlineStr">
        <is>
          <t>-  Rural Area</t>
        </is>
      </c>
      <c r="B31" s="264" t="n">
        <v>3784</v>
      </c>
      <c r="C31" s="265" t="n">
        <v>1143</v>
      </c>
      <c r="D31" s="263" t="n">
        <v>22</v>
      </c>
      <c r="E31" s="263" t="n">
        <v>64</v>
      </c>
      <c r="F31" s="263" t="n">
        <v>74</v>
      </c>
      <c r="G31" s="263" t="n">
        <v>143</v>
      </c>
      <c r="H31" s="263" t="n">
        <v>140</v>
      </c>
      <c r="I31" s="264" t="n">
        <v>6110</v>
      </c>
      <c r="J31" s="263" t="n">
        <v>11</v>
      </c>
      <c r="K31" s="263" t="n">
        <v>15</v>
      </c>
      <c r="L31" s="264" t="n">
        <v>1100</v>
      </c>
      <c r="M31" s="263" t="n">
        <v>10</v>
      </c>
      <c r="N31" s="263" t="n">
        <v>21</v>
      </c>
      <c r="O31" s="263" t="n">
        <v>384</v>
      </c>
    </row>
  </sheetData>
  <mergeCells count="6">
    <mergeCell ref="B2:C2"/>
    <mergeCell ref="J2:L2"/>
    <mergeCell ref="D2:I2"/>
    <mergeCell ref="A1:O1"/>
    <mergeCell ref="A2:A3"/>
    <mergeCell ref="M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V31"/>
  <sheetViews>
    <sheetView tabSelected="1" workbookViewId="0">
      <selection activeCell="A1" sqref="A1"/>
    </sheetView>
  </sheetViews>
  <sheetFormatPr baseColWidth="8" defaultRowHeight="15"/>
  <cols>
    <col width="17.777778" customWidth="1" style="227" min="1" max="1"/>
    <col width="5.777778" customWidth="1" style="227" min="2" max="2"/>
    <col width="6.444444" customWidth="1" style="227" min="3" max="3"/>
    <col width="6.444444" customWidth="1" style="227" min="4" max="4"/>
    <col width="6.666667" customWidth="1" style="227" min="5" max="5"/>
    <col width="7.555556" customWidth="1" style="227" min="6" max="6"/>
    <col width="7.555556" customWidth="1" style="227" min="7" max="7"/>
    <col width="7.777778" customWidth="1" style="227" min="8" max="8"/>
    <col width="7.333333" customWidth="1" style="227" min="9" max="9"/>
    <col width="6.666667" customWidth="1" style="227" min="10" max="10"/>
    <col width="6.888889" customWidth="1" style="227" min="11" max="11"/>
    <col width="6.888889" customWidth="1" style="227" min="12" max="12"/>
    <col width="6.666667" customWidth="1" style="227" min="13" max="13"/>
    <col width="6.888889" customWidth="1" style="227" min="14" max="14"/>
    <col width="6.888889" customWidth="1" style="227" min="15" max="15"/>
    <col width="6.666667" customWidth="1" style="227" min="16" max="16"/>
    <col width="7.333333" customWidth="1" style="227" min="17" max="17"/>
    <col width="8" customWidth="1" style="227" min="18" max="18"/>
    <col width="7.777778" customWidth="1" style="227" min="19" max="19"/>
    <col width="7.555556" customWidth="1" style="227" min="20" max="20"/>
    <col width="6.888889" customWidth="1" style="227" min="21" max="21"/>
    <col width="7.555556" customWidth="1" style="227" min="22" max="22"/>
  </cols>
  <sheetData>
    <row r="1" ht="31" customHeight="1" s="227">
      <c r="A1" s="2" t="inlineStr">
        <is>
          <t>Table 12: Number of Classes by Grade and Education level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  <c r="Q1" s="256" t="n"/>
      <c r="R1" s="256" t="n"/>
      <c r="S1" s="256" t="n"/>
      <c r="T1" s="256" t="n"/>
      <c r="U1" s="256" t="n"/>
      <c r="V1" s="256" t="n"/>
    </row>
    <row r="2" ht="18" customHeight="1" s="227">
      <c r="A2" s="3" t="inlineStr">
        <is>
          <t>Province</t>
        </is>
      </c>
      <c r="B2" s="20" t="inlineStr">
        <is>
          <t>Pre-school</t>
        </is>
      </c>
      <c r="C2" s="269" t="n"/>
      <c r="D2" s="269" t="n"/>
      <c r="E2" s="257" t="n"/>
      <c r="F2" s="20" t="inlineStr">
        <is>
          <t>Primary School</t>
        </is>
      </c>
      <c r="G2" s="269" t="n"/>
      <c r="H2" s="269" t="n"/>
      <c r="I2" s="269" t="n"/>
      <c r="J2" s="269" t="n"/>
      <c r="K2" s="257" t="n"/>
      <c r="L2" s="11" t="inlineStr">
        <is>
          <t>Lower Secondary</t>
        </is>
      </c>
      <c r="M2" s="269" t="n"/>
      <c r="N2" s="257" t="n"/>
      <c r="O2" s="11" t="inlineStr">
        <is>
          <t>Upper Secondary</t>
        </is>
      </c>
      <c r="P2" s="269" t="n"/>
      <c r="Q2" s="257" t="n"/>
      <c r="R2" s="20" t="inlineStr">
        <is>
          <t>Classes</t>
        </is>
      </c>
      <c r="S2" s="269" t="n"/>
      <c r="T2" s="269" t="n"/>
      <c r="U2" s="269" t="n"/>
      <c r="V2" s="257" t="n"/>
    </row>
    <row r="3" ht="18" customHeight="1" s="227">
      <c r="A3" s="258" t="n"/>
      <c r="B3" s="52" t="inlineStr">
        <is>
          <t>Low</t>
        </is>
      </c>
      <c r="C3" s="52" t="inlineStr">
        <is>
          <t>Med</t>
        </is>
      </c>
      <c r="D3" s="52" t="inlineStr">
        <is>
          <t>High</t>
        </is>
      </c>
      <c r="E3" s="21" t="inlineStr">
        <is>
          <t>Mix</t>
        </is>
      </c>
      <c r="F3" s="52" t="inlineStr">
        <is>
          <t>Grade 1</t>
        </is>
      </c>
      <c r="G3" s="52" t="inlineStr">
        <is>
          <t>Grade 2</t>
        </is>
      </c>
      <c r="H3" s="52" t="inlineStr">
        <is>
          <t>Grade 3</t>
        </is>
      </c>
      <c r="I3" s="40" t="inlineStr">
        <is>
          <t>Grade 4</t>
        </is>
      </c>
      <c r="J3" s="40" t="inlineStr">
        <is>
          <t>Grade 5</t>
        </is>
      </c>
      <c r="K3" s="40" t="inlineStr">
        <is>
          <t>Grade 6</t>
        </is>
      </c>
      <c r="L3" s="40" t="inlineStr">
        <is>
          <t>Grade 7</t>
        </is>
      </c>
      <c r="M3" s="40" t="inlineStr">
        <is>
          <t>Grade 8</t>
        </is>
      </c>
      <c r="N3" s="52" t="inlineStr">
        <is>
          <t>Grade 9</t>
        </is>
      </c>
      <c r="O3" s="52" t="inlineStr">
        <is>
          <t>Grade 10</t>
        </is>
      </c>
      <c r="P3" s="40" t="inlineStr">
        <is>
          <t>Grade 11</t>
        </is>
      </c>
      <c r="Q3" s="40" t="inlineStr">
        <is>
          <t>Grade 12</t>
        </is>
      </c>
      <c r="R3" s="52" t="inlineStr">
        <is>
          <t>Pre-school</t>
        </is>
      </c>
      <c r="S3" s="52" t="inlineStr">
        <is>
          <t>Primary</t>
        </is>
      </c>
      <c r="T3" s="21" t="inlineStr">
        <is>
          <t>L.Sec</t>
        </is>
      </c>
      <c r="U3" s="52" t="inlineStr">
        <is>
          <t>U.Sec</t>
        </is>
      </c>
      <c r="V3" s="21" t="inlineStr">
        <is>
          <t>Total</t>
        </is>
      </c>
    </row>
    <row r="4" ht="14" customHeight="1" s="227">
      <c r="A4" s="28" t="inlineStr">
        <is>
          <t>Banteay Meanchey</t>
        </is>
      </c>
      <c r="B4" s="260" t="n">
        <v>34</v>
      </c>
      <c r="C4" s="260" t="n">
        <v>97</v>
      </c>
      <c r="D4" s="260" t="n">
        <v>186</v>
      </c>
      <c r="E4" s="260" t="n">
        <v>225</v>
      </c>
      <c r="F4" s="266" t="n">
        <v>570</v>
      </c>
      <c r="G4" s="260" t="n">
        <v>561</v>
      </c>
      <c r="H4" s="260" t="n">
        <v>556</v>
      </c>
      <c r="I4" s="274" t="n">
        <v>550</v>
      </c>
      <c r="J4" s="274" t="n">
        <v>501</v>
      </c>
      <c r="K4" s="274" t="n">
        <v>475</v>
      </c>
      <c r="L4" s="274" t="n">
        <v>222</v>
      </c>
      <c r="M4" s="274" t="n">
        <v>188</v>
      </c>
      <c r="N4" s="260" t="n">
        <v>160</v>
      </c>
      <c r="O4" s="274" t="n">
        <v>109</v>
      </c>
      <c r="P4" s="266" t="n">
        <v>91</v>
      </c>
      <c r="Q4" s="266" t="n">
        <v>73</v>
      </c>
      <c r="R4" s="266" t="n">
        <v>542</v>
      </c>
      <c r="S4" s="259" t="n">
        <v>3213</v>
      </c>
      <c r="T4" s="260" t="n">
        <v>570</v>
      </c>
      <c r="U4" s="260" t="n">
        <v>273</v>
      </c>
      <c r="V4" s="259" t="n">
        <v>4598</v>
      </c>
    </row>
    <row r="5" ht="14" customHeight="1" s="227">
      <c r="A5" s="28" t="inlineStr">
        <is>
          <t>Battambang</t>
        </is>
      </c>
      <c r="B5" s="260" t="n">
        <v>33</v>
      </c>
      <c r="C5" s="260" t="n">
        <v>127</v>
      </c>
      <c r="D5" s="260" t="n">
        <v>270</v>
      </c>
      <c r="E5" s="260" t="n">
        <v>200</v>
      </c>
      <c r="F5" s="267" t="n">
        <v>1053</v>
      </c>
      <c r="G5" s="260" t="n">
        <v>993</v>
      </c>
      <c r="H5" s="260" t="n">
        <v>944</v>
      </c>
      <c r="I5" s="274" t="n">
        <v>899</v>
      </c>
      <c r="J5" s="274" t="n">
        <v>854</v>
      </c>
      <c r="K5" s="274" t="n">
        <v>800</v>
      </c>
      <c r="L5" s="274" t="n">
        <v>376</v>
      </c>
      <c r="M5" s="274" t="n">
        <v>288</v>
      </c>
      <c r="N5" s="260" t="n">
        <v>252</v>
      </c>
      <c r="O5" s="274" t="n">
        <v>158</v>
      </c>
      <c r="P5" s="274" t="n">
        <v>130</v>
      </c>
      <c r="Q5" s="274" t="n">
        <v>117</v>
      </c>
      <c r="R5" s="266" t="n">
        <v>630</v>
      </c>
      <c r="S5" s="259" t="n">
        <v>5543</v>
      </c>
      <c r="T5" s="260" t="n">
        <v>916</v>
      </c>
      <c r="U5" s="260" t="n">
        <v>405</v>
      </c>
      <c r="V5" s="259" t="n">
        <v>7494</v>
      </c>
    </row>
    <row r="6" ht="14" customHeight="1" s="227">
      <c r="A6" s="28" t="inlineStr">
        <is>
          <t>Kampong Cham</t>
        </is>
      </c>
      <c r="B6" s="260" t="n">
        <v>14</v>
      </c>
      <c r="C6" s="260" t="n">
        <v>97</v>
      </c>
      <c r="D6" s="260" t="n">
        <v>348</v>
      </c>
      <c r="E6" s="260" t="n">
        <v>43</v>
      </c>
      <c r="F6" s="266" t="n">
        <v>717</v>
      </c>
      <c r="G6" s="260" t="n">
        <v>696</v>
      </c>
      <c r="H6" s="260" t="n">
        <v>661</v>
      </c>
      <c r="I6" s="274" t="n">
        <v>638</v>
      </c>
      <c r="J6" s="274" t="n">
        <v>600</v>
      </c>
      <c r="K6" s="274" t="n">
        <v>555</v>
      </c>
      <c r="L6" s="274" t="n">
        <v>371</v>
      </c>
      <c r="M6" s="274" t="n">
        <v>316</v>
      </c>
      <c r="N6" s="260" t="n">
        <v>263</v>
      </c>
      <c r="O6" s="274" t="n">
        <v>204</v>
      </c>
      <c r="P6" s="274" t="n">
        <v>171</v>
      </c>
      <c r="Q6" s="274" t="n">
        <v>152</v>
      </c>
      <c r="R6" s="266" t="n">
        <v>502</v>
      </c>
      <c r="S6" s="259" t="n">
        <v>3867</v>
      </c>
      <c r="T6" s="260" t="n">
        <v>950</v>
      </c>
      <c r="U6" s="260" t="n">
        <v>527</v>
      </c>
      <c r="V6" s="259" t="n">
        <v>5846</v>
      </c>
    </row>
    <row r="7" ht="14" customHeight="1" s="227">
      <c r="A7" s="28" t="inlineStr">
        <is>
          <t>Kampong Chhnang</t>
        </is>
      </c>
      <c r="B7" s="260" t="n">
        <v>19</v>
      </c>
      <c r="C7" s="260" t="n">
        <v>45</v>
      </c>
      <c r="D7" s="260" t="n">
        <v>111</v>
      </c>
      <c r="E7" s="260" t="n">
        <v>43</v>
      </c>
      <c r="F7" s="266" t="n">
        <v>394</v>
      </c>
      <c r="G7" s="260" t="n">
        <v>379</v>
      </c>
      <c r="H7" s="260" t="n">
        <v>381</v>
      </c>
      <c r="I7" s="274" t="n">
        <v>374</v>
      </c>
      <c r="J7" s="274" t="n">
        <v>363</v>
      </c>
      <c r="K7" s="274" t="n">
        <v>346</v>
      </c>
      <c r="L7" s="274" t="n">
        <v>195</v>
      </c>
      <c r="M7" s="274" t="n">
        <v>163</v>
      </c>
      <c r="N7" s="260" t="n">
        <v>148</v>
      </c>
      <c r="O7" s="266" t="n">
        <v>99</v>
      </c>
      <c r="P7" s="266" t="n">
        <v>85</v>
      </c>
      <c r="Q7" s="266" t="n">
        <v>75</v>
      </c>
      <c r="R7" s="266" t="n">
        <v>218</v>
      </c>
      <c r="S7" s="259" t="n">
        <v>2237</v>
      </c>
      <c r="T7" s="260" t="n">
        <v>506</v>
      </c>
      <c r="U7" s="260" t="n">
        <v>259</v>
      </c>
      <c r="V7" s="259" t="n">
        <v>3220</v>
      </c>
    </row>
    <row r="8" ht="14" customHeight="1" s="227">
      <c r="A8" s="28" t="inlineStr">
        <is>
          <t>Kampong Speu</t>
        </is>
      </c>
      <c r="B8" s="260" t="n">
        <v>11</v>
      </c>
      <c r="C8" s="260" t="n">
        <v>39</v>
      </c>
      <c r="D8" s="260" t="n">
        <v>178</v>
      </c>
      <c r="E8" s="260" t="n">
        <v>68</v>
      </c>
      <c r="F8" s="266" t="n">
        <v>489</v>
      </c>
      <c r="G8" s="260" t="n">
        <v>496</v>
      </c>
      <c r="H8" s="260" t="n">
        <v>497</v>
      </c>
      <c r="I8" s="274" t="n">
        <v>497</v>
      </c>
      <c r="J8" s="274" t="n">
        <v>473</v>
      </c>
      <c r="K8" s="274" t="n">
        <v>451</v>
      </c>
      <c r="L8" s="274" t="n">
        <v>259</v>
      </c>
      <c r="M8" s="274" t="n">
        <v>221</v>
      </c>
      <c r="N8" s="260" t="n">
        <v>181</v>
      </c>
      <c r="O8" s="274" t="n">
        <v>116</v>
      </c>
      <c r="P8" s="266" t="n">
        <v>99</v>
      </c>
      <c r="Q8" s="266" t="n">
        <v>87</v>
      </c>
      <c r="R8" s="266" t="n">
        <v>296</v>
      </c>
      <c r="S8" s="259" t="n">
        <v>2903</v>
      </c>
      <c r="T8" s="260" t="n">
        <v>661</v>
      </c>
      <c r="U8" s="260" t="n">
        <v>302</v>
      </c>
      <c r="V8" s="259" t="n">
        <v>4162</v>
      </c>
    </row>
    <row r="9" ht="14" customHeight="1" s="227">
      <c r="A9" s="28" t="inlineStr">
        <is>
          <t>Kampong Thom</t>
        </is>
      </c>
      <c r="B9" s="260" t="n">
        <v>16</v>
      </c>
      <c r="C9" s="260" t="n">
        <v>65</v>
      </c>
      <c r="D9" s="260" t="n">
        <v>149</v>
      </c>
      <c r="E9" s="260" t="n">
        <v>78</v>
      </c>
      <c r="F9" s="266" t="n">
        <v>597</v>
      </c>
      <c r="G9" s="260" t="n">
        <v>583</v>
      </c>
      <c r="H9" s="260" t="n">
        <v>565</v>
      </c>
      <c r="I9" s="274" t="n">
        <v>538</v>
      </c>
      <c r="J9" s="274" t="n">
        <v>519</v>
      </c>
      <c r="K9" s="274" t="n">
        <v>507</v>
      </c>
      <c r="L9" s="274" t="n">
        <v>254</v>
      </c>
      <c r="M9" s="274" t="n">
        <v>206</v>
      </c>
      <c r="N9" s="260" t="n">
        <v>180</v>
      </c>
      <c r="O9" s="274" t="n">
        <v>130</v>
      </c>
      <c r="P9" s="274" t="n">
        <v>112</v>
      </c>
      <c r="Q9" s="266" t="n">
        <v>94</v>
      </c>
      <c r="R9" s="266" t="n">
        <v>308</v>
      </c>
      <c r="S9" s="259" t="n">
        <v>3309</v>
      </c>
      <c r="T9" s="260" t="n">
        <v>640</v>
      </c>
      <c r="U9" s="260" t="n">
        <v>336</v>
      </c>
      <c r="V9" s="259" t="n">
        <v>4593</v>
      </c>
    </row>
    <row r="10" ht="15" customHeight="1" s="227">
      <c r="A10" s="28" t="inlineStr">
        <is>
          <t>Kampot</t>
        </is>
      </c>
      <c r="B10" s="260" t="n">
        <v>8</v>
      </c>
      <c r="C10" s="260" t="n">
        <v>21</v>
      </c>
      <c r="D10" s="260" t="n">
        <v>207</v>
      </c>
      <c r="E10" s="260" t="n">
        <v>24</v>
      </c>
      <c r="F10" s="266" t="n">
        <v>426</v>
      </c>
      <c r="G10" s="260" t="n">
        <v>413</v>
      </c>
      <c r="H10" s="260" t="n">
        <v>410</v>
      </c>
      <c r="I10" s="274" t="n">
        <v>411</v>
      </c>
      <c r="J10" s="274" t="n">
        <v>397</v>
      </c>
      <c r="K10" s="274" t="n">
        <v>394</v>
      </c>
      <c r="L10" s="274" t="n">
        <v>232</v>
      </c>
      <c r="M10" s="274" t="n">
        <v>214</v>
      </c>
      <c r="N10" s="260" t="n">
        <v>194</v>
      </c>
      <c r="O10" s="274" t="n">
        <v>131</v>
      </c>
      <c r="P10" s="274" t="n">
        <v>115</v>
      </c>
      <c r="Q10" s="274" t="n">
        <v>102</v>
      </c>
      <c r="R10" s="266" t="n">
        <v>260</v>
      </c>
      <c r="S10" s="259" t="n">
        <v>2451</v>
      </c>
      <c r="T10" s="260" t="n">
        <v>640</v>
      </c>
      <c r="U10" s="260" t="n">
        <v>348</v>
      </c>
      <c r="V10" s="259" t="n">
        <v>3699</v>
      </c>
    </row>
    <row r="11" ht="14" customHeight="1" s="227">
      <c r="A11" s="28" t="inlineStr">
        <is>
          <t>Kandal</t>
        </is>
      </c>
      <c r="B11" s="260" t="n">
        <v>34</v>
      </c>
      <c r="C11" s="260" t="n">
        <v>116</v>
      </c>
      <c r="D11" s="260" t="n">
        <v>324</v>
      </c>
      <c r="E11" s="260" t="n">
        <v>24</v>
      </c>
      <c r="F11" s="266" t="n">
        <v>794</v>
      </c>
      <c r="G11" s="260" t="n">
        <v>758</v>
      </c>
      <c r="H11" s="260" t="n">
        <v>753</v>
      </c>
      <c r="I11" s="274" t="n">
        <v>711</v>
      </c>
      <c r="J11" s="274" t="n">
        <v>670</v>
      </c>
      <c r="K11" s="274" t="n">
        <v>607</v>
      </c>
      <c r="L11" s="274" t="n">
        <v>440</v>
      </c>
      <c r="M11" s="274" t="n">
        <v>369</v>
      </c>
      <c r="N11" s="260" t="n">
        <v>325</v>
      </c>
      <c r="O11" s="274" t="n">
        <v>235</v>
      </c>
      <c r="P11" s="274" t="n">
        <v>207</v>
      </c>
      <c r="Q11" s="274" t="n">
        <v>180</v>
      </c>
      <c r="R11" s="266" t="n">
        <v>498</v>
      </c>
      <c r="S11" s="259" t="n">
        <v>4293</v>
      </c>
      <c r="T11" s="259" t="n">
        <v>1134</v>
      </c>
      <c r="U11" s="260" t="n">
        <v>622</v>
      </c>
      <c r="V11" s="259" t="n">
        <v>6547</v>
      </c>
    </row>
    <row r="12" ht="14" customHeight="1" s="227">
      <c r="A12" s="28" t="inlineStr">
        <is>
          <t>Kep</t>
        </is>
      </c>
      <c r="B12" s="260" t="n">
        <v>0</v>
      </c>
      <c r="C12" s="260" t="n">
        <v>3</v>
      </c>
      <c r="D12" s="260" t="n">
        <v>18</v>
      </c>
      <c r="E12" s="260" t="n">
        <v>9</v>
      </c>
      <c r="F12" s="260" t="n">
        <v>34</v>
      </c>
      <c r="G12" s="260" t="n">
        <v>29</v>
      </c>
      <c r="H12" s="260" t="n">
        <v>29</v>
      </c>
      <c r="I12" s="266" t="n">
        <v>28</v>
      </c>
      <c r="J12" s="266" t="n">
        <v>26</v>
      </c>
      <c r="K12" s="266" t="n">
        <v>25</v>
      </c>
      <c r="L12" s="266" t="n">
        <v>17</v>
      </c>
      <c r="M12" s="266" t="n">
        <v>14</v>
      </c>
      <c r="N12" s="260" t="n">
        <v>13</v>
      </c>
      <c r="O12" s="260" t="n">
        <v>9</v>
      </c>
      <c r="P12" s="260" t="n">
        <v>9</v>
      </c>
      <c r="Q12" s="260" t="n">
        <v>9</v>
      </c>
      <c r="R12" s="260" t="n">
        <v>30</v>
      </c>
      <c r="S12" s="260" t="n">
        <v>171</v>
      </c>
      <c r="T12" s="260" t="n">
        <v>44</v>
      </c>
      <c r="U12" s="260" t="n">
        <v>27</v>
      </c>
      <c r="V12" s="260" t="n">
        <v>272</v>
      </c>
    </row>
    <row r="13" ht="14" customHeight="1" s="227">
      <c r="A13" s="28" t="inlineStr">
        <is>
          <t>Koh Kong</t>
        </is>
      </c>
      <c r="B13" s="260" t="n">
        <v>5</v>
      </c>
      <c r="C13" s="260" t="n">
        <v>10</v>
      </c>
      <c r="D13" s="260" t="n">
        <v>15</v>
      </c>
      <c r="E13" s="260" t="n">
        <v>53</v>
      </c>
      <c r="F13" s="266" t="n">
        <v>140</v>
      </c>
      <c r="G13" s="260" t="n">
        <v>145</v>
      </c>
      <c r="H13" s="260" t="n">
        <v>137</v>
      </c>
      <c r="I13" s="274" t="n">
        <v>133</v>
      </c>
      <c r="J13" s="274" t="n">
        <v>123</v>
      </c>
      <c r="K13" s="274" t="n">
        <v>120</v>
      </c>
      <c r="L13" s="266" t="n">
        <v>81</v>
      </c>
      <c r="M13" s="266" t="n">
        <v>45</v>
      </c>
      <c r="N13" s="260" t="n">
        <v>44</v>
      </c>
      <c r="O13" s="266" t="n">
        <v>28</v>
      </c>
      <c r="P13" s="266" t="n">
        <v>19</v>
      </c>
      <c r="Q13" s="266" t="n">
        <v>15</v>
      </c>
      <c r="R13" s="260" t="n">
        <v>83</v>
      </c>
      <c r="S13" s="260" t="n">
        <v>798</v>
      </c>
      <c r="T13" s="260" t="n">
        <v>170</v>
      </c>
      <c r="U13" s="260" t="n">
        <v>62</v>
      </c>
      <c r="V13" s="259" t="n">
        <v>1113</v>
      </c>
    </row>
    <row r="14" ht="14" customHeight="1" s="227">
      <c r="A14" s="28" t="inlineStr">
        <is>
          <t>Kratie</t>
        </is>
      </c>
      <c r="B14" s="260" t="n">
        <v>6</v>
      </c>
      <c r="C14" s="260" t="n">
        <v>23</v>
      </c>
      <c r="D14" s="260" t="n">
        <v>84</v>
      </c>
      <c r="E14" s="260" t="n">
        <v>21</v>
      </c>
      <c r="F14" s="266" t="n">
        <v>441</v>
      </c>
      <c r="G14" s="260" t="n">
        <v>406</v>
      </c>
      <c r="H14" s="260" t="n">
        <v>383</v>
      </c>
      <c r="I14" s="274" t="n">
        <v>354</v>
      </c>
      <c r="J14" s="274" t="n">
        <v>312</v>
      </c>
      <c r="K14" s="274" t="n">
        <v>283</v>
      </c>
      <c r="L14" s="274" t="n">
        <v>116</v>
      </c>
      <c r="M14" s="266" t="n">
        <v>94</v>
      </c>
      <c r="N14" s="260" t="n">
        <v>84</v>
      </c>
      <c r="O14" s="266" t="n">
        <v>48</v>
      </c>
      <c r="P14" s="266" t="n">
        <v>44</v>
      </c>
      <c r="Q14" s="266" t="n">
        <v>37</v>
      </c>
      <c r="R14" s="266" t="n">
        <v>134</v>
      </c>
      <c r="S14" s="259" t="n">
        <v>2179</v>
      </c>
      <c r="T14" s="260" t="n">
        <v>294</v>
      </c>
      <c r="U14" s="260" t="n">
        <v>129</v>
      </c>
      <c r="V14" s="259" t="n">
        <v>2736</v>
      </c>
    </row>
    <row r="15" ht="14" customHeight="1" s="227">
      <c r="A15" s="28" t="inlineStr">
        <is>
          <t>Mondul Kiri</t>
        </is>
      </c>
      <c r="B15" s="260" t="n">
        <v>3</v>
      </c>
      <c r="C15" s="260" t="n">
        <v>3</v>
      </c>
      <c r="D15" s="260" t="n">
        <v>5</v>
      </c>
      <c r="E15" s="260" t="n">
        <v>20</v>
      </c>
      <c r="F15" s="266" t="n">
        <v>125</v>
      </c>
      <c r="G15" s="260" t="n">
        <v>118</v>
      </c>
      <c r="H15" s="260" t="n">
        <v>115</v>
      </c>
      <c r="I15" s="274" t="n">
        <v>106</v>
      </c>
      <c r="J15" s="266" t="n">
        <v>95</v>
      </c>
      <c r="K15" s="266" t="n">
        <v>91</v>
      </c>
      <c r="L15" s="266" t="n">
        <v>28</v>
      </c>
      <c r="M15" s="266" t="n">
        <v>23</v>
      </c>
      <c r="N15" s="260" t="n">
        <v>20</v>
      </c>
      <c r="O15" s="266" t="n">
        <v>13</v>
      </c>
      <c r="P15" s="266" t="n">
        <v>10</v>
      </c>
      <c r="Q15" s="260" t="n">
        <v>8</v>
      </c>
      <c r="R15" s="260" t="n">
        <v>31</v>
      </c>
      <c r="S15" s="260" t="n">
        <v>650</v>
      </c>
      <c r="T15" s="260" t="n">
        <v>71</v>
      </c>
      <c r="U15" s="260" t="n">
        <v>31</v>
      </c>
      <c r="V15" s="260" t="n">
        <v>783</v>
      </c>
    </row>
    <row r="16" ht="14" customHeight="1" s="227">
      <c r="A16" s="28" t="inlineStr">
        <is>
          <t>Otdar Meanchey</t>
        </is>
      </c>
      <c r="B16" s="260" t="n">
        <v>4</v>
      </c>
      <c r="C16" s="260" t="n">
        <v>12</v>
      </c>
      <c r="D16" s="260" t="n">
        <v>40</v>
      </c>
      <c r="E16" s="260" t="n">
        <v>69</v>
      </c>
      <c r="F16" s="266" t="n">
        <v>266</v>
      </c>
      <c r="G16" s="260" t="n">
        <v>266</v>
      </c>
      <c r="H16" s="260" t="n">
        <v>259</v>
      </c>
      <c r="I16" s="274" t="n">
        <v>254</v>
      </c>
      <c r="J16" s="274" t="n">
        <v>230</v>
      </c>
      <c r="K16" s="274" t="n">
        <v>229</v>
      </c>
      <c r="L16" s="266" t="n">
        <v>83</v>
      </c>
      <c r="M16" s="266" t="n">
        <v>68</v>
      </c>
      <c r="N16" s="260" t="n">
        <v>58</v>
      </c>
      <c r="O16" s="266" t="n">
        <v>39</v>
      </c>
      <c r="P16" s="266" t="n">
        <v>33</v>
      </c>
      <c r="Q16" s="266" t="n">
        <v>24</v>
      </c>
      <c r="R16" s="266" t="n">
        <v>125</v>
      </c>
      <c r="S16" s="259" t="n">
        <v>1504</v>
      </c>
      <c r="T16" s="260" t="n">
        <v>209</v>
      </c>
      <c r="U16" s="260" t="n">
        <v>96</v>
      </c>
      <c r="V16" s="259" t="n">
        <v>1934</v>
      </c>
    </row>
    <row r="17" ht="14" customHeight="1" s="227">
      <c r="A17" s="28" t="inlineStr">
        <is>
          <t>Pailin</t>
        </is>
      </c>
      <c r="B17" s="260" t="n">
        <v>4</v>
      </c>
      <c r="C17" s="260" t="n">
        <v>7</v>
      </c>
      <c r="D17" s="260" t="n">
        <v>12</v>
      </c>
      <c r="E17" s="260" t="n">
        <v>16</v>
      </c>
      <c r="F17" s="260" t="n">
        <v>64</v>
      </c>
      <c r="G17" s="260" t="n">
        <v>62</v>
      </c>
      <c r="H17" s="260" t="n">
        <v>61</v>
      </c>
      <c r="I17" s="266" t="n">
        <v>60</v>
      </c>
      <c r="J17" s="266" t="n">
        <v>56</v>
      </c>
      <c r="K17" s="266" t="n">
        <v>54</v>
      </c>
      <c r="L17" s="266" t="n">
        <v>30</v>
      </c>
      <c r="M17" s="266" t="n">
        <v>25</v>
      </c>
      <c r="N17" s="260" t="n">
        <v>20</v>
      </c>
      <c r="O17" s="266" t="n">
        <v>12</v>
      </c>
      <c r="P17" s="260" t="n">
        <v>9</v>
      </c>
      <c r="Q17" s="260" t="n">
        <v>9</v>
      </c>
      <c r="R17" s="260" t="n">
        <v>39</v>
      </c>
      <c r="S17" s="260" t="n">
        <v>357</v>
      </c>
      <c r="T17" s="260" t="n">
        <v>75</v>
      </c>
      <c r="U17" s="260" t="n">
        <v>30</v>
      </c>
      <c r="V17" s="260" t="n">
        <v>501</v>
      </c>
    </row>
    <row r="18" ht="14" customHeight="1" s="227">
      <c r="A18" s="28" t="inlineStr">
        <is>
          <t>Phnom Penh</t>
        </is>
      </c>
      <c r="B18" s="260" t="n">
        <v>22</v>
      </c>
      <c r="C18" s="260" t="n">
        <v>30</v>
      </c>
      <c r="D18" s="260" t="n">
        <v>228</v>
      </c>
      <c r="E18" s="260" t="n">
        <v>4</v>
      </c>
      <c r="F18" s="266" t="n">
        <v>578</v>
      </c>
      <c r="G18" s="260" t="n">
        <v>579</v>
      </c>
      <c r="H18" s="260" t="n">
        <v>560</v>
      </c>
      <c r="I18" s="274" t="n">
        <v>577</v>
      </c>
      <c r="J18" s="274" t="n">
        <v>551</v>
      </c>
      <c r="K18" s="274" t="n">
        <v>515</v>
      </c>
      <c r="L18" s="274" t="n">
        <v>390</v>
      </c>
      <c r="M18" s="274" t="n">
        <v>363</v>
      </c>
      <c r="N18" s="260" t="n">
        <v>349</v>
      </c>
      <c r="O18" s="274" t="n">
        <v>282</v>
      </c>
      <c r="P18" s="274" t="n">
        <v>262</v>
      </c>
      <c r="Q18" s="274" t="n">
        <v>319</v>
      </c>
      <c r="R18" s="266" t="n">
        <v>284</v>
      </c>
      <c r="S18" s="259" t="n">
        <v>3360</v>
      </c>
      <c r="T18" s="259" t="n">
        <v>1102</v>
      </c>
      <c r="U18" s="260" t="n">
        <v>863</v>
      </c>
      <c r="V18" s="259" t="n">
        <v>5609</v>
      </c>
    </row>
    <row r="19" ht="14" customHeight="1" s="227">
      <c r="A19" s="28" t="inlineStr">
        <is>
          <t>Preah Sihanouk</t>
        </is>
      </c>
      <c r="B19" s="260" t="n">
        <v>1</v>
      </c>
      <c r="C19" s="260" t="n">
        <v>7</v>
      </c>
      <c r="D19" s="260" t="n">
        <v>39</v>
      </c>
      <c r="E19" s="260" t="n">
        <v>31</v>
      </c>
      <c r="F19" s="266" t="n">
        <v>143</v>
      </c>
      <c r="G19" s="260" t="n">
        <v>144</v>
      </c>
      <c r="H19" s="260" t="n">
        <v>138</v>
      </c>
      <c r="I19" s="274" t="n">
        <v>137</v>
      </c>
      <c r="J19" s="274" t="n">
        <v>132</v>
      </c>
      <c r="K19" s="274" t="n">
        <v>128</v>
      </c>
      <c r="L19" s="266" t="n">
        <v>74</v>
      </c>
      <c r="M19" s="266" t="n">
        <v>58</v>
      </c>
      <c r="N19" s="260" t="n">
        <v>55</v>
      </c>
      <c r="O19" s="266" t="n">
        <v>35</v>
      </c>
      <c r="P19" s="266" t="n">
        <v>33</v>
      </c>
      <c r="Q19" s="266" t="n">
        <v>32</v>
      </c>
      <c r="R19" s="260" t="n">
        <v>78</v>
      </c>
      <c r="S19" s="260" t="n">
        <v>822</v>
      </c>
      <c r="T19" s="260" t="n">
        <v>187</v>
      </c>
      <c r="U19" s="260" t="n">
        <v>100</v>
      </c>
      <c r="V19" s="259" t="n">
        <v>1187</v>
      </c>
    </row>
    <row r="20" ht="14" customHeight="1" s="227">
      <c r="A20" s="28" t="inlineStr">
        <is>
          <t>Preah Vihear</t>
        </is>
      </c>
      <c r="B20" s="260" t="n">
        <v>7</v>
      </c>
      <c r="C20" s="260" t="n">
        <v>14</v>
      </c>
      <c r="D20" s="260" t="n">
        <v>31</v>
      </c>
      <c r="E20" s="260" t="n">
        <v>91</v>
      </c>
      <c r="F20" s="266" t="n">
        <v>283</v>
      </c>
      <c r="G20" s="260" t="n">
        <v>271</v>
      </c>
      <c r="H20" s="260" t="n">
        <v>264</v>
      </c>
      <c r="I20" s="274" t="n">
        <v>252</v>
      </c>
      <c r="J20" s="274" t="n">
        <v>241</v>
      </c>
      <c r="K20" s="274" t="n">
        <v>228</v>
      </c>
      <c r="L20" s="266" t="n">
        <v>87</v>
      </c>
      <c r="M20" s="266" t="n">
        <v>81</v>
      </c>
      <c r="N20" s="260" t="n">
        <v>71</v>
      </c>
      <c r="O20" s="266" t="n">
        <v>43</v>
      </c>
      <c r="P20" s="266" t="n">
        <v>40</v>
      </c>
      <c r="Q20" s="266" t="n">
        <v>34</v>
      </c>
      <c r="R20" s="266" t="n">
        <v>143</v>
      </c>
      <c r="S20" s="259" t="n">
        <v>1539</v>
      </c>
      <c r="T20" s="260" t="n">
        <v>239</v>
      </c>
      <c r="U20" s="260" t="n">
        <v>117</v>
      </c>
      <c r="V20" s="259" t="n">
        <v>2038</v>
      </c>
    </row>
    <row r="21" ht="14" customHeight="1" s="227">
      <c r="A21" s="28" t="inlineStr">
        <is>
          <t>Prey Veng</t>
        </is>
      </c>
      <c r="B21" s="260" t="n">
        <v>14</v>
      </c>
      <c r="C21" s="260" t="n">
        <v>98</v>
      </c>
      <c r="D21" s="260" t="n">
        <v>424</v>
      </c>
      <c r="E21" s="260" t="n">
        <v>11</v>
      </c>
      <c r="F21" s="266" t="n">
        <v>786</v>
      </c>
      <c r="G21" s="260" t="n">
        <v>779</v>
      </c>
      <c r="H21" s="260" t="n">
        <v>777</v>
      </c>
      <c r="I21" s="274" t="n">
        <v>771</v>
      </c>
      <c r="J21" s="274" t="n">
        <v>738</v>
      </c>
      <c r="K21" s="274" t="n">
        <v>680</v>
      </c>
      <c r="L21" s="274" t="n">
        <v>392</v>
      </c>
      <c r="M21" s="274" t="n">
        <v>337</v>
      </c>
      <c r="N21" s="260" t="n">
        <v>297</v>
      </c>
      <c r="O21" s="274" t="n">
        <v>207</v>
      </c>
      <c r="P21" s="274" t="n">
        <v>163</v>
      </c>
      <c r="Q21" s="274" t="n">
        <v>141</v>
      </c>
      <c r="R21" s="266" t="n">
        <v>547</v>
      </c>
      <c r="S21" s="259" t="n">
        <v>4531</v>
      </c>
      <c r="T21" s="259" t="n">
        <v>1026</v>
      </c>
      <c r="U21" s="260" t="n">
        <v>511</v>
      </c>
      <c r="V21" s="259" t="n">
        <v>6615</v>
      </c>
    </row>
    <row r="22" ht="14" customHeight="1" s="227">
      <c r="A22" s="28" t="inlineStr">
        <is>
          <t>Pursat</t>
        </is>
      </c>
      <c r="B22" s="260" t="n">
        <v>18</v>
      </c>
      <c r="C22" s="260" t="n">
        <v>48</v>
      </c>
      <c r="D22" s="260" t="n">
        <v>115</v>
      </c>
      <c r="E22" s="260" t="n">
        <v>80</v>
      </c>
      <c r="F22" s="266" t="n">
        <v>444</v>
      </c>
      <c r="G22" s="260" t="n">
        <v>413</v>
      </c>
      <c r="H22" s="260" t="n">
        <v>398</v>
      </c>
      <c r="I22" s="274" t="n">
        <v>376</v>
      </c>
      <c r="J22" s="274" t="n">
        <v>351</v>
      </c>
      <c r="K22" s="274" t="n">
        <v>333</v>
      </c>
      <c r="L22" s="274" t="n">
        <v>167</v>
      </c>
      <c r="M22" s="274" t="n">
        <v>135</v>
      </c>
      <c r="N22" s="260" t="n">
        <v>121</v>
      </c>
      <c r="O22" s="266" t="n">
        <v>82</v>
      </c>
      <c r="P22" s="266" t="n">
        <v>69</v>
      </c>
      <c r="Q22" s="266" t="n">
        <v>57</v>
      </c>
      <c r="R22" s="266" t="n">
        <v>261</v>
      </c>
      <c r="S22" s="259" t="n">
        <v>2315</v>
      </c>
      <c r="T22" s="260" t="n">
        <v>423</v>
      </c>
      <c r="U22" s="260" t="n">
        <v>208</v>
      </c>
      <c r="V22" s="259" t="n">
        <v>3207</v>
      </c>
    </row>
    <row r="23" ht="14" customHeight="1" s="227">
      <c r="A23" s="28" t="inlineStr">
        <is>
          <t>Ratanak Kiri</t>
        </is>
      </c>
      <c r="B23" s="260" t="n">
        <v>8</v>
      </c>
      <c r="C23" s="260" t="n">
        <v>17</v>
      </c>
      <c r="D23" s="260" t="n">
        <v>43</v>
      </c>
      <c r="E23" s="260" t="n">
        <v>23</v>
      </c>
      <c r="F23" s="266" t="n">
        <v>280</v>
      </c>
      <c r="G23" s="260" t="n">
        <v>258</v>
      </c>
      <c r="H23" s="260" t="n">
        <v>250</v>
      </c>
      <c r="I23" s="274" t="n">
        <v>231</v>
      </c>
      <c r="J23" s="274" t="n">
        <v>207</v>
      </c>
      <c r="K23" s="274" t="n">
        <v>167</v>
      </c>
      <c r="L23" s="266" t="n">
        <v>64</v>
      </c>
      <c r="M23" s="266" t="n">
        <v>48</v>
      </c>
      <c r="N23" s="260" t="n">
        <v>40</v>
      </c>
      <c r="O23" s="266" t="n">
        <v>27</v>
      </c>
      <c r="P23" s="266" t="n">
        <v>21</v>
      </c>
      <c r="Q23" s="266" t="n">
        <v>19</v>
      </c>
      <c r="R23" s="260" t="n">
        <v>91</v>
      </c>
      <c r="S23" s="259" t="n">
        <v>1393</v>
      </c>
      <c r="T23" s="260" t="n">
        <v>152</v>
      </c>
      <c r="U23" s="260" t="n">
        <v>67</v>
      </c>
      <c r="V23" s="259" t="n">
        <v>1703</v>
      </c>
    </row>
    <row r="24" ht="14" customHeight="1" s="227">
      <c r="A24" s="28" t="inlineStr">
        <is>
          <t>Siemreap</t>
        </is>
      </c>
      <c r="B24" s="260" t="n">
        <v>43</v>
      </c>
      <c r="C24" s="260" t="n">
        <v>189</v>
      </c>
      <c r="D24" s="260" t="n">
        <v>442</v>
      </c>
      <c r="E24" s="260" t="n">
        <v>189</v>
      </c>
      <c r="F24" s="266" t="n">
        <v>846</v>
      </c>
      <c r="G24" s="260" t="n">
        <v>796</v>
      </c>
      <c r="H24" s="260" t="n">
        <v>774</v>
      </c>
      <c r="I24" s="274" t="n">
        <v>752</v>
      </c>
      <c r="J24" s="274" t="n">
        <v>704</v>
      </c>
      <c r="K24" s="274" t="n">
        <v>655</v>
      </c>
      <c r="L24" s="274" t="n">
        <v>401</v>
      </c>
      <c r="M24" s="274" t="n">
        <v>324</v>
      </c>
      <c r="N24" s="260" t="n">
        <v>273</v>
      </c>
      <c r="O24" s="274" t="n">
        <v>187</v>
      </c>
      <c r="P24" s="274" t="n">
        <v>168</v>
      </c>
      <c r="Q24" s="274" t="n">
        <v>175</v>
      </c>
      <c r="R24" s="266" t="n">
        <v>863</v>
      </c>
      <c r="S24" s="259" t="n">
        <v>4527</v>
      </c>
      <c r="T24" s="260" t="n">
        <v>998</v>
      </c>
      <c r="U24" s="260" t="n">
        <v>530</v>
      </c>
      <c r="V24" s="259" t="n">
        <v>6918</v>
      </c>
    </row>
    <row r="25" ht="14" customHeight="1" s="227">
      <c r="A25" s="28" t="inlineStr">
        <is>
          <t>Stung Treng</t>
        </is>
      </c>
      <c r="B25" s="260" t="n">
        <v>0</v>
      </c>
      <c r="C25" s="260" t="n">
        <v>1</v>
      </c>
      <c r="D25" s="260" t="n">
        <v>12</v>
      </c>
      <c r="E25" s="260" t="n">
        <v>27</v>
      </c>
      <c r="F25" s="266" t="n">
        <v>215</v>
      </c>
      <c r="G25" s="260" t="n">
        <v>213</v>
      </c>
      <c r="H25" s="260" t="n">
        <v>196</v>
      </c>
      <c r="I25" s="274" t="n">
        <v>179</v>
      </c>
      <c r="J25" s="274" t="n">
        <v>174</v>
      </c>
      <c r="K25" s="274" t="n">
        <v>163</v>
      </c>
      <c r="L25" s="266" t="n">
        <v>48</v>
      </c>
      <c r="M25" s="266" t="n">
        <v>42</v>
      </c>
      <c r="N25" s="260" t="n">
        <v>37</v>
      </c>
      <c r="O25" s="266" t="n">
        <v>20</v>
      </c>
      <c r="P25" s="266" t="n">
        <v>17</v>
      </c>
      <c r="Q25" s="266" t="n">
        <v>15</v>
      </c>
      <c r="R25" s="260" t="n">
        <v>40</v>
      </c>
      <c r="S25" s="259" t="n">
        <v>1140</v>
      </c>
      <c r="T25" s="260" t="n">
        <v>127</v>
      </c>
      <c r="U25" s="260" t="n">
        <v>52</v>
      </c>
      <c r="V25" s="259" t="n">
        <v>1359</v>
      </c>
    </row>
    <row r="26" ht="14" customHeight="1" s="227">
      <c r="A26" s="28" t="inlineStr">
        <is>
          <t>Svay Rieng</t>
        </is>
      </c>
      <c r="B26" s="260" t="n">
        <v>9</v>
      </c>
      <c r="C26" s="260" t="n">
        <v>39</v>
      </c>
      <c r="D26" s="260" t="n">
        <v>108</v>
      </c>
      <c r="E26" s="260" t="n">
        <v>96</v>
      </c>
      <c r="F26" s="266" t="n">
        <v>388</v>
      </c>
      <c r="G26" s="260" t="n">
        <v>380</v>
      </c>
      <c r="H26" s="260" t="n">
        <v>375</v>
      </c>
      <c r="I26" s="274" t="n">
        <v>381</v>
      </c>
      <c r="J26" s="274" t="n">
        <v>361</v>
      </c>
      <c r="K26" s="274" t="n">
        <v>342</v>
      </c>
      <c r="L26" s="274" t="n">
        <v>217</v>
      </c>
      <c r="M26" s="274" t="n">
        <v>184</v>
      </c>
      <c r="N26" s="260" t="n">
        <v>163</v>
      </c>
      <c r="O26" s="274" t="n">
        <v>116</v>
      </c>
      <c r="P26" s="274" t="n">
        <v>100</v>
      </c>
      <c r="Q26" s="266" t="n">
        <v>85</v>
      </c>
      <c r="R26" s="266" t="n">
        <v>252</v>
      </c>
      <c r="S26" s="259" t="n">
        <v>2227</v>
      </c>
      <c r="T26" s="260" t="n">
        <v>564</v>
      </c>
      <c r="U26" s="260" t="n">
        <v>301</v>
      </c>
      <c r="V26" s="259" t="n">
        <v>3344</v>
      </c>
    </row>
    <row r="27" ht="14" customHeight="1" s="227">
      <c r="A27" s="28" t="inlineStr">
        <is>
          <t>Takeo</t>
        </is>
      </c>
      <c r="B27" s="260" t="n">
        <v>13</v>
      </c>
      <c r="C27" s="260" t="n">
        <v>66</v>
      </c>
      <c r="D27" s="260" t="n">
        <v>289</v>
      </c>
      <c r="E27" s="260" t="n">
        <v>53</v>
      </c>
      <c r="F27" s="266" t="n">
        <v>607</v>
      </c>
      <c r="G27" s="260" t="n">
        <v>594</v>
      </c>
      <c r="H27" s="260" t="n">
        <v>597</v>
      </c>
      <c r="I27" s="274" t="n">
        <v>598</v>
      </c>
      <c r="J27" s="274" t="n">
        <v>601</v>
      </c>
      <c r="K27" s="274" t="n">
        <v>577</v>
      </c>
      <c r="L27" s="274" t="n">
        <v>388</v>
      </c>
      <c r="M27" s="274" t="n">
        <v>366</v>
      </c>
      <c r="N27" s="260" t="n">
        <v>334</v>
      </c>
      <c r="O27" s="274" t="n">
        <v>255</v>
      </c>
      <c r="P27" s="274" t="n">
        <v>226</v>
      </c>
      <c r="Q27" s="274" t="n">
        <v>213</v>
      </c>
      <c r="R27" s="266" t="n">
        <v>421</v>
      </c>
      <c r="S27" s="259" t="n">
        <v>3574</v>
      </c>
      <c r="T27" s="259" t="n">
        <v>1088</v>
      </c>
      <c r="U27" s="260" t="n">
        <v>694</v>
      </c>
      <c r="V27" s="259" t="n">
        <v>5777</v>
      </c>
    </row>
    <row r="28" ht="14" customHeight="1" s="227">
      <c r="A28" s="28" t="inlineStr">
        <is>
          <t>Tbaung Khmum</t>
        </is>
      </c>
      <c r="B28" s="260" t="n">
        <v>19</v>
      </c>
      <c r="C28" s="260" t="n">
        <v>129</v>
      </c>
      <c r="D28" s="260" t="n">
        <v>240</v>
      </c>
      <c r="E28" s="260" t="n">
        <v>58</v>
      </c>
      <c r="F28" s="266" t="n">
        <v>621</v>
      </c>
      <c r="G28" s="260" t="n">
        <v>596</v>
      </c>
      <c r="H28" s="260" t="n">
        <v>559</v>
      </c>
      <c r="I28" s="274" t="n">
        <v>546</v>
      </c>
      <c r="J28" s="274" t="n">
        <v>511</v>
      </c>
      <c r="K28" s="274" t="n">
        <v>472</v>
      </c>
      <c r="L28" s="274" t="n">
        <v>246</v>
      </c>
      <c r="M28" s="274" t="n">
        <v>195</v>
      </c>
      <c r="N28" s="260" t="n">
        <v>161</v>
      </c>
      <c r="O28" s="274" t="n">
        <v>120</v>
      </c>
      <c r="P28" s="266" t="n">
        <v>91</v>
      </c>
      <c r="Q28" s="266" t="n">
        <v>78</v>
      </c>
      <c r="R28" s="266" t="n">
        <v>446</v>
      </c>
      <c r="S28" s="259" t="n">
        <v>3305</v>
      </c>
      <c r="T28" s="260" t="n">
        <v>602</v>
      </c>
      <c r="U28" s="260" t="n">
        <v>289</v>
      </c>
      <c r="V28" s="259" t="n">
        <v>4642</v>
      </c>
    </row>
    <row r="29" ht="17" customHeight="1" s="227">
      <c r="A29" s="22" t="inlineStr">
        <is>
          <t>Whole Kingdom</t>
        </is>
      </c>
      <c r="B29" s="260" t="n">
        <v>345</v>
      </c>
      <c r="C29" s="259" t="n">
        <v>1303</v>
      </c>
      <c r="D29" s="259" t="n">
        <v>3918</v>
      </c>
      <c r="E29" s="259" t="n">
        <v>1556</v>
      </c>
      <c r="F29" s="275" t="n">
        <v>11301</v>
      </c>
      <c r="G29" s="259" t="n">
        <v>10928</v>
      </c>
      <c r="H29" s="259" t="n">
        <v>10639</v>
      </c>
      <c r="I29" s="275" t="n">
        <v>10353</v>
      </c>
      <c r="J29" s="275" t="n">
        <v>9790</v>
      </c>
      <c r="K29" s="275" t="n">
        <v>9197</v>
      </c>
      <c r="L29" s="275" t="n">
        <v>5178</v>
      </c>
      <c r="M29" s="275" t="n">
        <v>4367</v>
      </c>
      <c r="N29" s="259" t="n">
        <v>3843</v>
      </c>
      <c r="O29" s="275" t="n">
        <v>2705</v>
      </c>
      <c r="P29" s="275" t="n">
        <v>2324</v>
      </c>
      <c r="Q29" s="267" t="n">
        <v>2150</v>
      </c>
      <c r="R29" s="267" t="n">
        <v>7122</v>
      </c>
      <c r="S29" s="259" t="n">
        <v>62208</v>
      </c>
      <c r="T29" s="259" t="n">
        <v>13388</v>
      </c>
      <c r="U29" s="259" t="n">
        <v>7179</v>
      </c>
      <c r="V29" s="259" t="n">
        <v>89897</v>
      </c>
    </row>
    <row r="30" ht="14" customHeight="1" s="227">
      <c r="A30" s="28" t="inlineStr">
        <is>
          <t>-  Urban Area</t>
        </is>
      </c>
      <c r="B30" s="260" t="n">
        <v>103</v>
      </c>
      <c r="C30" s="260" t="n">
        <v>223</v>
      </c>
      <c r="D30" s="260" t="n">
        <v>609</v>
      </c>
      <c r="E30" s="260" t="n">
        <v>151</v>
      </c>
      <c r="F30" s="267" t="n">
        <v>1640</v>
      </c>
      <c r="G30" s="259" t="n">
        <v>1611</v>
      </c>
      <c r="H30" s="259" t="n">
        <v>1560</v>
      </c>
      <c r="I30" s="267" t="n">
        <v>1555</v>
      </c>
      <c r="J30" s="275" t="n">
        <v>1451</v>
      </c>
      <c r="K30" s="275" t="n">
        <v>1351</v>
      </c>
      <c r="L30" s="274" t="n">
        <v>995</v>
      </c>
      <c r="M30" s="274" t="n">
        <v>890</v>
      </c>
      <c r="N30" s="260" t="n">
        <v>835</v>
      </c>
      <c r="O30" s="274" t="n">
        <v>750</v>
      </c>
      <c r="P30" s="274" t="n">
        <v>694</v>
      </c>
      <c r="Q30" s="274" t="n">
        <v>723</v>
      </c>
      <c r="R30" s="267" t="n">
        <v>1086</v>
      </c>
      <c r="S30" s="259" t="n">
        <v>9168</v>
      </c>
      <c r="T30" s="259" t="n">
        <v>2720</v>
      </c>
      <c r="U30" s="259" t="n">
        <v>2167</v>
      </c>
      <c r="V30" s="259" t="n">
        <v>15141</v>
      </c>
    </row>
    <row r="31" ht="13.75" customHeight="1" s="227">
      <c r="A31" s="28" t="inlineStr">
        <is>
          <t>-  Rural Area</t>
        </is>
      </c>
      <c r="B31" s="260" t="n">
        <v>242</v>
      </c>
      <c r="C31" s="259" t="n">
        <v>1080</v>
      </c>
      <c r="D31" s="259" t="n">
        <v>3309</v>
      </c>
      <c r="E31" s="259" t="n">
        <v>1405</v>
      </c>
      <c r="F31" s="267" t="n">
        <v>9661</v>
      </c>
      <c r="G31" s="259" t="n">
        <v>9317</v>
      </c>
      <c r="H31" s="259" t="n">
        <v>9079</v>
      </c>
      <c r="I31" s="267" t="n">
        <v>8798</v>
      </c>
      <c r="J31" s="275" t="n">
        <v>8339</v>
      </c>
      <c r="K31" s="275" t="n">
        <v>7846</v>
      </c>
      <c r="L31" s="275" t="n">
        <v>4183</v>
      </c>
      <c r="M31" s="275" t="n">
        <v>3477</v>
      </c>
      <c r="N31" s="259" t="n">
        <v>3008</v>
      </c>
      <c r="O31" s="275" t="n">
        <v>1955</v>
      </c>
      <c r="P31" s="275" t="n">
        <v>1630</v>
      </c>
      <c r="Q31" s="267" t="n">
        <v>1427</v>
      </c>
      <c r="R31" s="267" t="n">
        <v>6036</v>
      </c>
      <c r="S31" s="259" t="n">
        <v>53040</v>
      </c>
      <c r="T31" s="259" t="n">
        <v>10668</v>
      </c>
      <c r="U31" s="259" t="n">
        <v>5012</v>
      </c>
      <c r="V31" s="259" t="n">
        <v>74756</v>
      </c>
    </row>
  </sheetData>
  <mergeCells count="7">
    <mergeCell ref="A1:V1"/>
    <mergeCell ref="R2:V2"/>
    <mergeCell ref="A2:A3"/>
    <mergeCell ref="B2:E2"/>
    <mergeCell ref="F2:K2"/>
    <mergeCell ref="L2:N2"/>
    <mergeCell ref="O2:Q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005B9BD5"/>
    <outlinePr summaryBelow="1" summaryRight="1"/>
    <pageSetUpPr/>
  </sheetPr>
  <dimension ref="A1:N31"/>
  <sheetViews>
    <sheetView tabSelected="1" workbookViewId="0">
      <selection activeCell="A1" sqref="A1"/>
    </sheetView>
  </sheetViews>
  <sheetFormatPr baseColWidth="8" defaultRowHeight="15"/>
  <cols>
    <col width="25.333333" customWidth="1" style="227" min="1" max="1"/>
    <col width="11.555556" customWidth="1" style="227" min="2" max="2"/>
    <col width="10.888889" customWidth="1" style="227" min="3" max="3"/>
    <col width="10.888889" customWidth="1" style="227" min="4" max="4"/>
    <col width="10.888889" customWidth="1" style="227" min="5" max="5"/>
    <col width="10.888889" customWidth="1" style="227" min="6" max="6"/>
    <col width="10.888889" customWidth="1" style="227" min="7" max="7"/>
    <col width="10.888889" customWidth="1" style="227" min="8" max="8"/>
    <col width="10.888889" customWidth="1" style="227" min="9" max="9"/>
    <col width="10.888889" customWidth="1" style="227" min="10" max="10"/>
    <col width="11.111111" customWidth="1" style="227" min="11" max="11"/>
    <col width="10.888889" customWidth="1" style="227" min="12" max="12"/>
    <col width="10.888889" customWidth="1" style="227" min="13" max="13"/>
    <col width="10.888889" customWidth="1" style="227" min="14" max="14"/>
  </cols>
  <sheetData>
    <row r="1" ht="31" customHeight="1" s="227">
      <c r="A1" s="2" t="inlineStr">
        <is>
          <t>Table 13: Enrollment by Level of Education,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</row>
    <row r="2" ht="19" customHeight="1" s="227">
      <c r="A2" s="35" t="inlineStr">
        <is>
          <t>Province</t>
        </is>
      </c>
      <c r="B2" s="7" t="inlineStr">
        <is>
          <t>Number of</t>
        </is>
      </c>
      <c r="C2" s="29" t="inlineStr">
        <is>
          <t>Pre-school</t>
        </is>
      </c>
      <c r="D2" s="257" t="n"/>
      <c r="E2" s="20" t="inlineStr">
        <is>
          <t>Primary</t>
        </is>
      </c>
      <c r="F2" s="257" t="n"/>
      <c r="G2" s="29" t="inlineStr">
        <is>
          <t>Lower Sec.</t>
        </is>
      </c>
      <c r="H2" s="257" t="n"/>
      <c r="I2" s="29" t="inlineStr">
        <is>
          <t>Upper Sec.</t>
        </is>
      </c>
      <c r="J2" s="257" t="n"/>
      <c r="K2" s="20" t="inlineStr">
        <is>
          <t>Total</t>
        </is>
      </c>
      <c r="L2" s="257" t="n"/>
      <c r="M2" s="29" t="inlineStr">
        <is>
          <t>% Female</t>
        </is>
      </c>
      <c r="N2" s="257" t="n"/>
    </row>
    <row r="3" ht="18" customHeight="1" s="227">
      <c r="A3" s="258" t="n"/>
      <c r="B3" s="17" t="inlineStr">
        <is>
          <t>Schools</t>
        </is>
      </c>
      <c r="C3" s="11" t="inlineStr">
        <is>
          <t>Total</t>
        </is>
      </c>
      <c r="D3" s="20" t="inlineStr">
        <is>
          <t>Girl</t>
        </is>
      </c>
      <c r="E3" s="11" t="inlineStr">
        <is>
          <t>Total</t>
        </is>
      </c>
      <c r="F3" s="20" t="inlineStr">
        <is>
          <t>Girl</t>
        </is>
      </c>
      <c r="G3" s="11" t="inlineStr">
        <is>
          <t>Total</t>
        </is>
      </c>
      <c r="H3" s="20" t="inlineStr">
        <is>
          <t>Girl</t>
        </is>
      </c>
      <c r="I3" s="11" t="inlineStr">
        <is>
          <t>Total</t>
        </is>
      </c>
      <c r="J3" s="20" t="inlineStr">
        <is>
          <t>Girl</t>
        </is>
      </c>
      <c r="K3" s="11" t="inlineStr">
        <is>
          <t>Total</t>
        </is>
      </c>
      <c r="L3" s="20" t="inlineStr">
        <is>
          <t>Girl</t>
        </is>
      </c>
      <c r="M3" s="14" t="inlineStr">
        <is>
          <t>Primary</t>
        </is>
      </c>
      <c r="N3" s="14" t="inlineStr">
        <is>
          <t>All Level</t>
        </is>
      </c>
    </row>
    <row r="4" ht="14" customHeight="1" s="227">
      <c r="A4" s="28" t="inlineStr">
        <is>
          <t>Banteay Meanchey</t>
        </is>
      </c>
      <c r="B4" s="260" t="n">
        <v>812</v>
      </c>
      <c r="C4" s="259" t="n">
        <v>15557</v>
      </c>
      <c r="D4" s="259" t="n">
        <v>7918</v>
      </c>
      <c r="E4" s="259" t="n">
        <v>94915</v>
      </c>
      <c r="F4" s="259" t="n">
        <v>46200</v>
      </c>
      <c r="G4" s="259" t="n">
        <v>25910</v>
      </c>
      <c r="H4" s="259" t="n">
        <v>13554</v>
      </c>
      <c r="I4" s="259" t="n">
        <v>11310</v>
      </c>
      <c r="J4" s="259" t="n">
        <v>6084</v>
      </c>
      <c r="K4" s="259" t="n">
        <v>147692</v>
      </c>
      <c r="L4" s="259" t="n">
        <v>73756</v>
      </c>
      <c r="M4" s="276" t="n">
        <v>48.7</v>
      </c>
      <c r="N4" s="276" t="n">
        <v>49.9</v>
      </c>
    </row>
    <row r="5" ht="14" customHeight="1" s="227">
      <c r="A5" s="28" t="inlineStr">
        <is>
          <t>Battambang</t>
        </is>
      </c>
      <c r="B5" s="259" t="n">
        <v>1112</v>
      </c>
      <c r="C5" s="259" t="n">
        <v>17632</v>
      </c>
      <c r="D5" s="259" t="n">
        <v>8861</v>
      </c>
      <c r="E5" s="259" t="n">
        <v>169379</v>
      </c>
      <c r="F5" s="259" t="n">
        <v>81087</v>
      </c>
      <c r="G5" s="259" t="n">
        <v>41845</v>
      </c>
      <c r="H5" s="259" t="n">
        <v>22018</v>
      </c>
      <c r="I5" s="259" t="n">
        <v>18794</v>
      </c>
      <c r="J5" s="259" t="n">
        <v>10357</v>
      </c>
      <c r="K5" s="259" t="n">
        <v>247650</v>
      </c>
      <c r="L5" s="259" t="n">
        <v>122323</v>
      </c>
      <c r="M5" s="276" t="n">
        <v>47.9</v>
      </c>
      <c r="N5" s="276" t="n">
        <v>49.4</v>
      </c>
    </row>
    <row r="6" ht="15" customHeight="1" s="227">
      <c r="A6" s="28" t="inlineStr">
        <is>
          <t>Kampong Cham</t>
        </is>
      </c>
      <c r="B6" s="260" t="n">
        <v>798</v>
      </c>
      <c r="C6" s="259" t="n">
        <v>15352</v>
      </c>
      <c r="D6" s="259" t="n">
        <v>7500</v>
      </c>
      <c r="E6" s="259" t="n">
        <v>141993</v>
      </c>
      <c r="F6" s="259" t="n">
        <v>67851</v>
      </c>
      <c r="G6" s="259" t="n">
        <v>41941</v>
      </c>
      <c r="H6" s="259" t="n">
        <v>22412</v>
      </c>
      <c r="I6" s="259" t="n">
        <v>21704</v>
      </c>
      <c r="J6" s="259" t="n">
        <v>11998</v>
      </c>
      <c r="K6" s="259" t="n">
        <v>220990</v>
      </c>
      <c r="L6" s="259" t="n">
        <v>109761</v>
      </c>
      <c r="M6" s="276" t="n">
        <v>47.8</v>
      </c>
      <c r="N6" s="276" t="n">
        <v>49.7</v>
      </c>
    </row>
    <row r="7" ht="14" customHeight="1" s="227">
      <c r="A7" s="28" t="inlineStr">
        <is>
          <t>Kampong Chhnang</t>
        </is>
      </c>
      <c r="B7" s="260" t="n">
        <v>461</v>
      </c>
      <c r="C7" s="259" t="n">
        <v>6536</v>
      </c>
      <c r="D7" s="259" t="n">
        <v>3273</v>
      </c>
      <c r="E7" s="259" t="n">
        <v>74114</v>
      </c>
      <c r="F7" s="259" t="n">
        <v>36176</v>
      </c>
      <c r="G7" s="259" t="n">
        <v>24620</v>
      </c>
      <c r="H7" s="259" t="n">
        <v>13096</v>
      </c>
      <c r="I7" s="259" t="n">
        <v>12075</v>
      </c>
      <c r="J7" s="259" t="n">
        <v>6575</v>
      </c>
      <c r="K7" s="259" t="n">
        <v>117345</v>
      </c>
      <c r="L7" s="259" t="n">
        <v>59120</v>
      </c>
      <c r="M7" s="276" t="n">
        <v>48.8</v>
      </c>
      <c r="N7" s="276" t="n">
        <v>50.4</v>
      </c>
    </row>
    <row r="8" ht="14" customHeight="1" s="227">
      <c r="A8" s="28" t="inlineStr">
        <is>
          <t>Kampong Speu</t>
        </is>
      </c>
      <c r="B8" s="260" t="n">
        <v>586</v>
      </c>
      <c r="C8" s="259" t="n">
        <v>8915</v>
      </c>
      <c r="D8" s="259" t="n">
        <v>4510</v>
      </c>
      <c r="E8" s="259" t="n">
        <v>111387</v>
      </c>
      <c r="F8" s="259" t="n">
        <v>53573</v>
      </c>
      <c r="G8" s="259" t="n">
        <v>35061</v>
      </c>
      <c r="H8" s="259" t="n">
        <v>18245</v>
      </c>
      <c r="I8" s="259" t="n">
        <v>14791</v>
      </c>
      <c r="J8" s="259" t="n">
        <v>7382</v>
      </c>
      <c r="K8" s="259" t="n">
        <v>170154</v>
      </c>
      <c r="L8" s="259" t="n">
        <v>83710</v>
      </c>
      <c r="M8" s="276" t="n">
        <v>48.1</v>
      </c>
      <c r="N8" s="276" t="n">
        <v>49.2</v>
      </c>
    </row>
    <row r="9" ht="14" customHeight="1" s="227">
      <c r="A9" s="28" t="inlineStr">
        <is>
          <t>Kampong Thom</t>
        </is>
      </c>
      <c r="B9" s="260" t="n">
        <v>770</v>
      </c>
      <c r="C9" s="259" t="n">
        <v>9460</v>
      </c>
      <c r="D9" s="259" t="n">
        <v>4722</v>
      </c>
      <c r="E9" s="259" t="n">
        <v>100844</v>
      </c>
      <c r="F9" s="259" t="n">
        <v>49180</v>
      </c>
      <c r="G9" s="259" t="n">
        <v>29372</v>
      </c>
      <c r="H9" s="259" t="n">
        <v>15827</v>
      </c>
      <c r="I9" s="259" t="n">
        <v>13723</v>
      </c>
      <c r="J9" s="259" t="n">
        <v>7584</v>
      </c>
      <c r="K9" s="259" t="n">
        <v>153399</v>
      </c>
      <c r="L9" s="259" t="n">
        <v>77313</v>
      </c>
      <c r="M9" s="276" t="n">
        <v>48.8</v>
      </c>
      <c r="N9" s="276" t="n">
        <v>50.4</v>
      </c>
    </row>
    <row r="10" ht="14" customHeight="1" s="227">
      <c r="A10" s="28" t="inlineStr">
        <is>
          <t>Kampot</t>
        </is>
      </c>
      <c r="B10" s="260" t="n">
        <v>600</v>
      </c>
      <c r="C10" s="259" t="n">
        <v>6840</v>
      </c>
      <c r="D10" s="259" t="n">
        <v>3322</v>
      </c>
      <c r="E10" s="259" t="n">
        <v>79261</v>
      </c>
      <c r="F10" s="259" t="n">
        <v>38151</v>
      </c>
      <c r="G10" s="259" t="n">
        <v>30190</v>
      </c>
      <c r="H10" s="259" t="n">
        <v>15245</v>
      </c>
      <c r="I10" s="259" t="n">
        <v>15600</v>
      </c>
      <c r="J10" s="259" t="n">
        <v>7948</v>
      </c>
      <c r="K10" s="259" t="n">
        <v>131891</v>
      </c>
      <c r="L10" s="259" t="n">
        <v>64666</v>
      </c>
      <c r="M10" s="276" t="n">
        <v>48.1</v>
      </c>
      <c r="N10" s="276" t="n">
        <v>49</v>
      </c>
    </row>
    <row r="11" ht="14" customHeight="1" s="227">
      <c r="A11" s="28" t="inlineStr">
        <is>
          <t>Kandal</t>
        </is>
      </c>
      <c r="B11" s="260" t="n">
        <v>743</v>
      </c>
      <c r="C11" s="259" t="n">
        <v>14874</v>
      </c>
      <c r="D11" s="259" t="n">
        <v>7385</v>
      </c>
      <c r="E11" s="259" t="n">
        <v>158005</v>
      </c>
      <c r="F11" s="259" t="n">
        <v>74455</v>
      </c>
      <c r="G11" s="259" t="n">
        <v>48249</v>
      </c>
      <c r="H11" s="259" t="n">
        <v>25119</v>
      </c>
      <c r="I11" s="259" t="n">
        <v>25386</v>
      </c>
      <c r="J11" s="259" t="n">
        <v>13625</v>
      </c>
      <c r="K11" s="259" t="n">
        <v>246514</v>
      </c>
      <c r="L11" s="259" t="n">
        <v>120584</v>
      </c>
      <c r="M11" s="276" t="n">
        <v>47.1</v>
      </c>
      <c r="N11" s="276" t="n">
        <v>48.9</v>
      </c>
    </row>
    <row r="12" ht="14" customHeight="1" s="227">
      <c r="A12" s="28" t="inlineStr">
        <is>
          <t>Kep</t>
        </is>
      </c>
      <c r="B12" s="260" t="n">
        <v>50</v>
      </c>
      <c r="C12" s="260" t="n">
        <v>898</v>
      </c>
      <c r="D12" s="260" t="n">
        <v>447</v>
      </c>
      <c r="E12" s="259" t="n">
        <v>4918</v>
      </c>
      <c r="F12" s="259" t="n">
        <v>2408</v>
      </c>
      <c r="G12" s="259" t="n">
        <v>1767</v>
      </c>
      <c r="H12" s="260" t="n">
        <v>853</v>
      </c>
      <c r="I12" s="259" t="n">
        <v>1032</v>
      </c>
      <c r="J12" s="260" t="n">
        <v>545</v>
      </c>
      <c r="K12" s="259" t="n">
        <v>8615</v>
      </c>
      <c r="L12" s="259" t="n">
        <v>4253</v>
      </c>
      <c r="M12" s="276" t="n">
        <v>49</v>
      </c>
      <c r="N12" s="276" t="n">
        <v>49.4</v>
      </c>
    </row>
    <row r="13" ht="14" customHeight="1" s="227">
      <c r="A13" s="28" t="inlineStr">
        <is>
          <t>Koh Kong</t>
        </is>
      </c>
      <c r="B13" s="260" t="n">
        <v>215</v>
      </c>
      <c r="C13" s="259" t="n">
        <v>2105</v>
      </c>
      <c r="D13" s="259" t="n">
        <v>1037</v>
      </c>
      <c r="E13" s="259" t="n">
        <v>16755</v>
      </c>
      <c r="F13" s="259" t="n">
        <v>8154</v>
      </c>
      <c r="G13" s="259" t="n">
        <v>4714</v>
      </c>
      <c r="H13" s="259" t="n">
        <v>2386</v>
      </c>
      <c r="I13" s="259" t="n">
        <v>2395</v>
      </c>
      <c r="J13" s="259" t="n">
        <v>1128</v>
      </c>
      <c r="K13" s="259" t="n">
        <v>25969</v>
      </c>
      <c r="L13" s="259" t="n">
        <v>12705</v>
      </c>
      <c r="M13" s="276" t="n">
        <v>48.7</v>
      </c>
      <c r="N13" s="276" t="n">
        <v>48.9</v>
      </c>
    </row>
    <row r="14" ht="14" customHeight="1" s="227">
      <c r="A14" s="28" t="inlineStr">
        <is>
          <t>Kratie</t>
        </is>
      </c>
      <c r="B14" s="260" t="n">
        <v>410</v>
      </c>
      <c r="C14" s="259" t="n">
        <v>3782</v>
      </c>
      <c r="D14" s="259" t="n">
        <v>1950</v>
      </c>
      <c r="E14" s="259" t="n">
        <v>61926</v>
      </c>
      <c r="F14" s="259" t="n">
        <v>29894</v>
      </c>
      <c r="G14" s="259" t="n">
        <v>12974</v>
      </c>
      <c r="H14" s="259" t="n">
        <v>7023</v>
      </c>
      <c r="I14" s="259" t="n">
        <v>5780</v>
      </c>
      <c r="J14" s="259" t="n">
        <v>3043</v>
      </c>
      <c r="K14" s="259" t="n">
        <v>84462</v>
      </c>
      <c r="L14" s="259" t="n">
        <v>41910</v>
      </c>
      <c r="M14" s="276" t="n">
        <v>48.3</v>
      </c>
      <c r="N14" s="276" t="n">
        <v>49.6</v>
      </c>
    </row>
    <row r="15" ht="14" customHeight="1" s="227">
      <c r="A15" s="28" t="inlineStr">
        <is>
          <t>Mondul Kiri</t>
        </is>
      </c>
      <c r="B15" s="260" t="n">
        <v>125</v>
      </c>
      <c r="C15" s="260" t="n">
        <v>891</v>
      </c>
      <c r="D15" s="260" t="n">
        <v>466</v>
      </c>
      <c r="E15" s="259" t="n">
        <v>14167</v>
      </c>
      <c r="F15" s="259" t="n">
        <v>7016</v>
      </c>
      <c r="G15" s="259" t="n">
        <v>2936</v>
      </c>
      <c r="H15" s="259" t="n">
        <v>1549</v>
      </c>
      <c r="I15" s="259" t="n">
        <v>1235</v>
      </c>
      <c r="J15" s="260" t="n">
        <v>659</v>
      </c>
      <c r="K15" s="259" t="n">
        <v>19229</v>
      </c>
      <c r="L15" s="259" t="n">
        <v>9690</v>
      </c>
      <c r="M15" s="276" t="n">
        <v>49.5</v>
      </c>
      <c r="N15" s="276" t="n">
        <v>50.4</v>
      </c>
    </row>
    <row r="16" ht="14" customHeight="1" s="227">
      <c r="A16" s="28" t="inlineStr">
        <is>
          <t>Otdar Meanchey</t>
        </is>
      </c>
      <c r="B16" s="260" t="n">
        <v>348</v>
      </c>
      <c r="C16" s="259" t="n">
        <v>3385</v>
      </c>
      <c r="D16" s="259" t="n">
        <v>1690</v>
      </c>
      <c r="E16" s="259" t="n">
        <v>36937</v>
      </c>
      <c r="F16" s="259" t="n">
        <v>17735</v>
      </c>
      <c r="G16" s="259" t="n">
        <v>9058</v>
      </c>
      <c r="H16" s="259" t="n">
        <v>4610</v>
      </c>
      <c r="I16" s="259" t="n">
        <v>3552</v>
      </c>
      <c r="J16" s="259" t="n">
        <v>1797</v>
      </c>
      <c r="K16" s="259" t="n">
        <v>52932</v>
      </c>
      <c r="L16" s="259" t="n">
        <v>25832</v>
      </c>
      <c r="M16" s="276" t="n">
        <v>48</v>
      </c>
      <c r="N16" s="276" t="n">
        <v>48.8</v>
      </c>
    </row>
    <row r="17" ht="14" customHeight="1" s="227">
      <c r="A17" s="28" t="inlineStr">
        <is>
          <t>Pailin</t>
        </is>
      </c>
      <c r="B17" s="260" t="n">
        <v>83</v>
      </c>
      <c r="C17" s="260" t="n">
        <v>957</v>
      </c>
      <c r="D17" s="260" t="n">
        <v>501</v>
      </c>
      <c r="E17" s="259" t="n">
        <v>10281</v>
      </c>
      <c r="F17" s="259" t="n">
        <v>4891</v>
      </c>
      <c r="G17" s="259" t="n">
        <v>3040</v>
      </c>
      <c r="H17" s="259" t="n">
        <v>1539</v>
      </c>
      <c r="I17" s="259" t="n">
        <v>1251</v>
      </c>
      <c r="J17" s="260" t="n">
        <v>654</v>
      </c>
      <c r="K17" s="259" t="n">
        <v>15529</v>
      </c>
      <c r="L17" s="259" t="n">
        <v>7585</v>
      </c>
      <c r="M17" s="276" t="n">
        <v>47.6</v>
      </c>
      <c r="N17" s="276" t="n">
        <v>48.8</v>
      </c>
    </row>
    <row r="18" ht="14" customHeight="1" s="227">
      <c r="A18" s="28" t="inlineStr">
        <is>
          <t>Phnom Penh</t>
        </is>
      </c>
      <c r="B18" s="260" t="n">
        <v>375</v>
      </c>
      <c r="C18" s="259" t="n">
        <v>10904</v>
      </c>
      <c r="D18" s="259" t="n">
        <v>5254</v>
      </c>
      <c r="E18" s="259" t="n">
        <v>136863</v>
      </c>
      <c r="F18" s="259" t="n">
        <v>65768</v>
      </c>
      <c r="G18" s="259" t="n">
        <v>49082</v>
      </c>
      <c r="H18" s="259" t="n">
        <v>24285</v>
      </c>
      <c r="I18" s="259" t="n">
        <v>37325</v>
      </c>
      <c r="J18" s="259" t="n">
        <v>18455</v>
      </c>
      <c r="K18" s="259" t="n">
        <v>234174</v>
      </c>
      <c r="L18" s="259" t="n">
        <v>113762</v>
      </c>
      <c r="M18" s="276" t="n">
        <v>48.1</v>
      </c>
      <c r="N18" s="276" t="n">
        <v>48.6</v>
      </c>
    </row>
    <row r="19" ht="14" customHeight="1" s="227">
      <c r="A19" s="28" t="inlineStr">
        <is>
          <t>Preah Sihanouk</t>
        </is>
      </c>
      <c r="B19" s="260" t="n">
        <v>153</v>
      </c>
      <c r="C19" s="259" t="n">
        <v>2107</v>
      </c>
      <c r="D19" s="259" t="n">
        <v>1066</v>
      </c>
      <c r="E19" s="259" t="n">
        <v>26492</v>
      </c>
      <c r="F19" s="259" t="n">
        <v>12867</v>
      </c>
      <c r="G19" s="259" t="n">
        <v>8013</v>
      </c>
      <c r="H19" s="259" t="n">
        <v>4020</v>
      </c>
      <c r="I19" s="259" t="n">
        <v>4152</v>
      </c>
      <c r="J19" s="259" t="n">
        <v>2059</v>
      </c>
      <c r="K19" s="259" t="n">
        <v>40764</v>
      </c>
      <c r="L19" s="259" t="n">
        <v>20012</v>
      </c>
      <c r="M19" s="276" t="n">
        <v>48.6</v>
      </c>
      <c r="N19" s="276" t="n">
        <v>49.1</v>
      </c>
    </row>
    <row r="20" ht="14" customHeight="1" s="227">
      <c r="A20" s="28" t="inlineStr">
        <is>
          <t>Preah Vihear</t>
        </is>
      </c>
      <c r="B20" s="260" t="n">
        <v>391</v>
      </c>
      <c r="C20" s="259" t="n">
        <v>3417</v>
      </c>
      <c r="D20" s="259" t="n">
        <v>1758</v>
      </c>
      <c r="E20" s="259" t="n">
        <v>37189</v>
      </c>
      <c r="F20" s="259" t="n">
        <v>18373</v>
      </c>
      <c r="G20" s="259" t="n">
        <v>9324</v>
      </c>
      <c r="H20" s="259" t="n">
        <v>5039</v>
      </c>
      <c r="I20" s="259" t="n">
        <v>4180</v>
      </c>
      <c r="J20" s="259" t="n">
        <v>2168</v>
      </c>
      <c r="K20" s="259" t="n">
        <v>54110</v>
      </c>
      <c r="L20" s="259" t="n">
        <v>27338</v>
      </c>
      <c r="M20" s="276" t="n">
        <v>49.4</v>
      </c>
      <c r="N20" s="276" t="n">
        <v>50.5</v>
      </c>
    </row>
    <row r="21" ht="14" customHeight="1" s="227">
      <c r="A21" s="28" t="inlineStr">
        <is>
          <t>Prey Veng</t>
        </is>
      </c>
      <c r="B21" s="259" t="n">
        <v>1013</v>
      </c>
      <c r="C21" s="259" t="n">
        <v>14331</v>
      </c>
      <c r="D21" s="259" t="n">
        <v>7153</v>
      </c>
      <c r="E21" s="259" t="n">
        <v>149122</v>
      </c>
      <c r="F21" s="259" t="n">
        <v>70406</v>
      </c>
      <c r="G21" s="259" t="n">
        <v>48042</v>
      </c>
      <c r="H21" s="259" t="n">
        <v>24970</v>
      </c>
      <c r="I21" s="259" t="n">
        <v>21197</v>
      </c>
      <c r="J21" s="259" t="n">
        <v>10851</v>
      </c>
      <c r="K21" s="259" t="n">
        <v>232692</v>
      </c>
      <c r="L21" s="259" t="n">
        <v>113380</v>
      </c>
      <c r="M21" s="276" t="n">
        <v>47.2</v>
      </c>
      <c r="N21" s="276" t="n">
        <v>48.7</v>
      </c>
    </row>
    <row r="22" ht="14" customHeight="1" s="227">
      <c r="A22" s="28" t="inlineStr">
        <is>
          <t>Pursat</t>
        </is>
      </c>
      <c r="B22" s="260" t="n">
        <v>529</v>
      </c>
      <c r="C22" s="259" t="n">
        <v>7786</v>
      </c>
      <c r="D22" s="259" t="n">
        <v>4012</v>
      </c>
      <c r="E22" s="259" t="n">
        <v>68486</v>
      </c>
      <c r="F22" s="259" t="n">
        <v>33180</v>
      </c>
      <c r="G22" s="259" t="n">
        <v>17898</v>
      </c>
      <c r="H22" s="259" t="n">
        <v>9391</v>
      </c>
      <c r="I22" s="259" t="n">
        <v>8188</v>
      </c>
      <c r="J22" s="259" t="n">
        <v>4238</v>
      </c>
      <c r="K22" s="259" t="n">
        <v>102358</v>
      </c>
      <c r="L22" s="259" t="n">
        <v>50821</v>
      </c>
      <c r="M22" s="276" t="n">
        <v>48.4</v>
      </c>
      <c r="N22" s="276" t="n">
        <v>49.7</v>
      </c>
    </row>
    <row r="23" ht="14" customHeight="1" s="227">
      <c r="A23" s="28" t="inlineStr">
        <is>
          <t>Ratanak Kiri</t>
        </is>
      </c>
      <c r="B23" s="260" t="n">
        <v>292</v>
      </c>
      <c r="C23" s="259" t="n">
        <v>2141</v>
      </c>
      <c r="D23" s="259" t="n">
        <v>1066</v>
      </c>
      <c r="E23" s="259" t="n">
        <v>40384</v>
      </c>
      <c r="F23" s="259" t="n">
        <v>19640</v>
      </c>
      <c r="G23" s="259" t="n">
        <v>6744</v>
      </c>
      <c r="H23" s="259" t="n">
        <v>3234</v>
      </c>
      <c r="I23" s="259" t="n">
        <v>2551</v>
      </c>
      <c r="J23" s="259" t="n">
        <v>1216</v>
      </c>
      <c r="K23" s="259" t="n">
        <v>51820</v>
      </c>
      <c r="L23" s="259" t="n">
        <v>25156</v>
      </c>
      <c r="M23" s="276" t="n">
        <v>48.6</v>
      </c>
      <c r="N23" s="276" t="n">
        <v>48.5</v>
      </c>
    </row>
    <row r="24" ht="14" customHeight="1" s="227">
      <c r="A24" s="28" t="inlineStr">
        <is>
          <t>Siemreap</t>
        </is>
      </c>
      <c r="B24" s="259" t="n">
        <v>1052</v>
      </c>
      <c r="C24" s="259" t="n">
        <v>24113</v>
      </c>
      <c r="D24" s="259" t="n">
        <v>12162</v>
      </c>
      <c r="E24" s="259" t="n">
        <v>163114</v>
      </c>
      <c r="F24" s="259" t="n">
        <v>78400</v>
      </c>
      <c r="G24" s="259" t="n">
        <v>46495</v>
      </c>
      <c r="H24" s="259" t="n">
        <v>25366</v>
      </c>
      <c r="I24" s="259" t="n">
        <v>23008</v>
      </c>
      <c r="J24" s="259" t="n">
        <v>13012</v>
      </c>
      <c r="K24" s="259" t="n">
        <v>256730</v>
      </c>
      <c r="L24" s="259" t="n">
        <v>128940</v>
      </c>
      <c r="M24" s="276" t="n">
        <v>48.1</v>
      </c>
      <c r="N24" s="276" t="n">
        <v>50.2</v>
      </c>
    </row>
    <row r="25" ht="14" customHeight="1" s="227">
      <c r="A25" s="28" t="inlineStr">
        <is>
          <t>Stung Treng</t>
        </is>
      </c>
      <c r="B25" s="260" t="n">
        <v>207</v>
      </c>
      <c r="C25" s="259" t="n">
        <v>1017</v>
      </c>
      <c r="D25" s="260" t="n">
        <v>549</v>
      </c>
      <c r="E25" s="259" t="n">
        <v>25047</v>
      </c>
      <c r="F25" s="259" t="n">
        <v>12372</v>
      </c>
      <c r="G25" s="259" t="n">
        <v>4175</v>
      </c>
      <c r="H25" s="259" t="n">
        <v>2149</v>
      </c>
      <c r="I25" s="259" t="n">
        <v>1953</v>
      </c>
      <c r="J25" s="260" t="n">
        <v>966</v>
      </c>
      <c r="K25" s="259" t="n">
        <v>32192</v>
      </c>
      <c r="L25" s="259" t="n">
        <v>16036</v>
      </c>
      <c r="M25" s="276" t="n">
        <v>49.4</v>
      </c>
      <c r="N25" s="276" t="n">
        <v>49.8</v>
      </c>
    </row>
    <row r="26" ht="14" customHeight="1" s="227">
      <c r="A26" s="28" t="inlineStr">
        <is>
          <t>Svay Rieng</t>
        </is>
      </c>
      <c r="B26" s="260" t="n">
        <v>506</v>
      </c>
      <c r="C26" s="259" t="n">
        <v>7467</v>
      </c>
      <c r="D26" s="259" t="n">
        <v>3713</v>
      </c>
      <c r="E26" s="259" t="n">
        <v>71906</v>
      </c>
      <c r="F26" s="259" t="n">
        <v>34866</v>
      </c>
      <c r="G26" s="259" t="n">
        <v>25116</v>
      </c>
      <c r="H26" s="259" t="n">
        <v>12567</v>
      </c>
      <c r="I26" s="259" t="n">
        <v>12352</v>
      </c>
      <c r="J26" s="259" t="n">
        <v>6062</v>
      </c>
      <c r="K26" s="259" t="n">
        <v>116841</v>
      </c>
      <c r="L26" s="259" t="n">
        <v>57208</v>
      </c>
      <c r="M26" s="276" t="n">
        <v>48.5</v>
      </c>
      <c r="N26" s="276" t="n">
        <v>49</v>
      </c>
    </row>
    <row r="27" ht="14" customHeight="1" s="227">
      <c r="A27" s="28" t="inlineStr">
        <is>
          <t>Takeo</t>
        </is>
      </c>
      <c r="B27" s="260" t="n">
        <v>779</v>
      </c>
      <c r="C27" s="259" t="n">
        <v>12083</v>
      </c>
      <c r="D27" s="259" t="n">
        <v>5874</v>
      </c>
      <c r="E27" s="259" t="n">
        <v>119706</v>
      </c>
      <c r="F27" s="259" t="n">
        <v>57141</v>
      </c>
      <c r="G27" s="259" t="n">
        <v>48583</v>
      </c>
      <c r="H27" s="259" t="n">
        <v>24168</v>
      </c>
      <c r="I27" s="259" t="n">
        <v>28604</v>
      </c>
      <c r="J27" s="259" t="n">
        <v>14323</v>
      </c>
      <c r="K27" s="259" t="n">
        <v>208976</v>
      </c>
      <c r="L27" s="259" t="n">
        <v>101506</v>
      </c>
      <c r="M27" s="276" t="n">
        <v>47.7</v>
      </c>
      <c r="N27" s="276" t="n">
        <v>48.6</v>
      </c>
    </row>
    <row r="28" ht="14" customHeight="1" s="227">
      <c r="A28" s="28" t="inlineStr">
        <is>
          <t>Tbaung Khmum</t>
        </is>
      </c>
      <c r="B28" s="260" t="n">
        <v>702</v>
      </c>
      <c r="C28" s="259" t="n">
        <v>12942</v>
      </c>
      <c r="D28" s="259" t="n">
        <v>6350</v>
      </c>
      <c r="E28" s="259" t="n">
        <v>115503</v>
      </c>
      <c r="F28" s="259" t="n">
        <v>55779</v>
      </c>
      <c r="G28" s="259" t="n">
        <v>29842</v>
      </c>
      <c r="H28" s="259" t="n">
        <v>15941</v>
      </c>
      <c r="I28" s="259" t="n">
        <v>11809</v>
      </c>
      <c r="J28" s="259" t="n">
        <v>6489</v>
      </c>
      <c r="K28" s="259" t="n">
        <v>170096</v>
      </c>
      <c r="L28" s="259" t="n">
        <v>84559</v>
      </c>
      <c r="M28" s="276" t="n">
        <v>48.3</v>
      </c>
      <c r="N28" s="276" t="n">
        <v>49.7</v>
      </c>
    </row>
    <row r="29" ht="17" customHeight="1" s="227">
      <c r="A29" s="22" t="inlineStr">
        <is>
          <t>Whole Kingdom</t>
        </is>
      </c>
      <c r="B29" s="259" t="n">
        <v>13112</v>
      </c>
      <c r="C29" s="259" t="n">
        <v>205492</v>
      </c>
      <c r="D29" s="259" t="n">
        <v>102539</v>
      </c>
      <c r="E29" s="259" t="n">
        <v>2028694</v>
      </c>
      <c r="F29" s="259" t="n">
        <v>975563</v>
      </c>
      <c r="G29" s="259" t="n">
        <v>604991</v>
      </c>
      <c r="H29" s="259" t="n">
        <v>314606</v>
      </c>
      <c r="I29" s="259" t="n">
        <v>303947</v>
      </c>
      <c r="J29" s="259" t="n">
        <v>159218</v>
      </c>
      <c r="K29" s="259" t="n">
        <v>3143124</v>
      </c>
      <c r="L29" s="259" t="n">
        <v>1551926</v>
      </c>
      <c r="M29" s="276" t="n">
        <v>48.1</v>
      </c>
      <c r="N29" s="276" t="n">
        <v>49.4</v>
      </c>
    </row>
    <row r="30" ht="14" customHeight="1" s="227">
      <c r="A30" s="28" t="inlineStr">
        <is>
          <t>-  Urban Area</t>
        </is>
      </c>
      <c r="B30" s="259" t="n">
        <v>1272</v>
      </c>
      <c r="C30" s="259" t="n">
        <v>34568</v>
      </c>
      <c r="D30" s="259" t="n">
        <v>17070</v>
      </c>
      <c r="E30" s="259" t="n">
        <v>301725</v>
      </c>
      <c r="F30" s="259" t="n">
        <v>145080</v>
      </c>
      <c r="G30" s="259" t="n">
        <v>108472</v>
      </c>
      <c r="H30" s="259" t="n">
        <v>54715</v>
      </c>
      <c r="I30" s="259" t="n">
        <v>88419</v>
      </c>
      <c r="J30" s="259" t="n">
        <v>45053</v>
      </c>
      <c r="K30" s="259" t="n">
        <v>533184</v>
      </c>
      <c r="L30" s="259" t="n">
        <v>261918</v>
      </c>
      <c r="M30" s="276" t="n">
        <v>48.1</v>
      </c>
      <c r="N30" s="276" t="n">
        <v>49.1</v>
      </c>
    </row>
    <row r="31" ht="14" customHeight="1" s="227">
      <c r="A31" s="28" t="inlineStr">
        <is>
          <t>-  Rural Area</t>
        </is>
      </c>
      <c r="B31" s="259" t="n">
        <v>11840</v>
      </c>
      <c r="C31" s="259" t="n">
        <v>170924</v>
      </c>
      <c r="D31" s="259" t="n">
        <v>85469</v>
      </c>
      <c r="E31" s="259" t="n">
        <v>1726969</v>
      </c>
      <c r="F31" s="259" t="n">
        <v>830483</v>
      </c>
      <c r="G31" s="259" t="n">
        <v>496519</v>
      </c>
      <c r="H31" s="259" t="n">
        <v>259891</v>
      </c>
      <c r="I31" s="259" t="n">
        <v>215528</v>
      </c>
      <c r="J31" s="259" t="n">
        <v>114165</v>
      </c>
      <c r="K31" s="259" t="n">
        <v>2609940</v>
      </c>
      <c r="L31" s="259" t="n">
        <v>1290008</v>
      </c>
      <c r="M31" s="276" t="n">
        <v>48.1</v>
      </c>
      <c r="N31" s="276" t="n">
        <v>49.4</v>
      </c>
    </row>
  </sheetData>
  <mergeCells count="8">
    <mergeCell ref="M2:N2"/>
    <mergeCell ref="C2:D2"/>
    <mergeCell ref="G2:H2"/>
    <mergeCell ref="E2:F2"/>
    <mergeCell ref="K2:L2"/>
    <mergeCell ref="I2:J2"/>
    <mergeCell ref="A2:A3"/>
    <mergeCell ref="A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005B9BD5"/>
    <outlinePr summaryBelow="1" summaryRight="1"/>
    <pageSetUpPr/>
  </sheetPr>
  <dimension ref="A1:N31"/>
  <sheetViews>
    <sheetView tabSelected="1" workbookViewId="0">
      <selection activeCell="A1" sqref="A1"/>
    </sheetView>
  </sheetViews>
  <sheetFormatPr baseColWidth="8" defaultRowHeight="15"/>
  <cols>
    <col width="22.222222" customWidth="1" style="227" min="1" max="1"/>
    <col width="12.888889" customWidth="1" style="227" min="2" max="2"/>
    <col width="11.111111" customWidth="1" style="227" min="3" max="3"/>
    <col width="10.888889" customWidth="1" style="227" min="4" max="4"/>
    <col width="11.111111" customWidth="1" style="227" min="5" max="5"/>
    <col width="10.888889" customWidth="1" style="227" min="6" max="6"/>
    <col width="11.111111" customWidth="1" style="227" min="7" max="7"/>
    <col width="10.888889" customWidth="1" style="227" min="8" max="8"/>
    <col width="11.111111" customWidth="1" style="227" min="9" max="9"/>
    <col width="10.888889" customWidth="1" style="227" min="10" max="10"/>
    <col width="11.111111" customWidth="1" style="227" min="11" max="11"/>
    <col width="10.888889" customWidth="1" style="227" min="12" max="12"/>
    <col width="11.111111" customWidth="1" style="227" min="13" max="13"/>
    <col width="10.888889" customWidth="1" style="227" min="14" max="14"/>
  </cols>
  <sheetData>
    <row r="1" ht="31" customHeight="1" s="227">
      <c r="A1" s="2" t="inlineStr">
        <is>
          <t>Table 14: Enrollment by Level of Education, 2018 - 2019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</row>
    <row r="2" ht="19" customHeight="1" s="227">
      <c r="A2" s="3" t="inlineStr">
        <is>
          <t>Province</t>
        </is>
      </c>
      <c r="B2" s="38" t="inlineStr">
        <is>
          <t>Number of</t>
        </is>
      </c>
      <c r="C2" s="29" t="inlineStr">
        <is>
          <t>Pre-school</t>
        </is>
      </c>
      <c r="D2" s="257" t="n"/>
      <c r="E2" s="20" t="inlineStr">
        <is>
          <t>Primary</t>
        </is>
      </c>
      <c r="F2" s="257" t="n"/>
      <c r="G2" s="29" t="inlineStr">
        <is>
          <t>Lower Sec.</t>
        </is>
      </c>
      <c r="H2" s="257" t="n"/>
      <c r="I2" s="29" t="inlineStr">
        <is>
          <t>Upper Sec.</t>
        </is>
      </c>
      <c r="J2" s="257" t="n"/>
      <c r="K2" s="20" t="inlineStr">
        <is>
          <t>Total</t>
        </is>
      </c>
      <c r="L2" s="257" t="n"/>
      <c r="M2" s="29" t="inlineStr">
        <is>
          <t>% Female</t>
        </is>
      </c>
      <c r="N2" s="257" t="n"/>
    </row>
    <row r="3" ht="18" customHeight="1" s="227">
      <c r="A3" s="258" t="n"/>
      <c r="B3" s="46" t="inlineStr">
        <is>
          <t>Schools</t>
        </is>
      </c>
      <c r="C3" s="11" t="inlineStr">
        <is>
          <t>Total</t>
        </is>
      </c>
      <c r="D3" s="20" t="inlineStr">
        <is>
          <t>Girl</t>
        </is>
      </c>
      <c r="E3" s="11" t="inlineStr">
        <is>
          <t>Total</t>
        </is>
      </c>
      <c r="F3" s="20" t="inlineStr">
        <is>
          <t>Girl</t>
        </is>
      </c>
      <c r="G3" s="11" t="inlineStr">
        <is>
          <t>Total</t>
        </is>
      </c>
      <c r="H3" s="20" t="inlineStr">
        <is>
          <t>Girl</t>
        </is>
      </c>
      <c r="I3" s="11" t="inlineStr">
        <is>
          <t>Total</t>
        </is>
      </c>
      <c r="J3" s="20" t="inlineStr">
        <is>
          <t>Girl</t>
        </is>
      </c>
      <c r="K3" s="11" t="inlineStr">
        <is>
          <t>Total</t>
        </is>
      </c>
      <c r="L3" s="20" t="inlineStr">
        <is>
          <t>Girl</t>
        </is>
      </c>
      <c r="M3" s="14" t="inlineStr">
        <is>
          <t>Primary</t>
        </is>
      </c>
      <c r="N3" s="21" t="inlineStr">
        <is>
          <t>All Level</t>
        </is>
      </c>
    </row>
    <row r="4" ht="14" customHeight="1" s="227">
      <c r="A4" s="28" t="inlineStr">
        <is>
          <t>Banteay Meanchey</t>
        </is>
      </c>
      <c r="B4" s="260" t="n">
        <v>818</v>
      </c>
      <c r="C4" s="259" t="n">
        <v>16624</v>
      </c>
      <c r="D4" s="259" t="n">
        <v>8212</v>
      </c>
      <c r="E4" s="259" t="n">
        <v>96900</v>
      </c>
      <c r="F4" s="259" t="n">
        <v>46855</v>
      </c>
      <c r="G4" s="259" t="n">
        <v>26777</v>
      </c>
      <c r="H4" s="259" t="n">
        <v>14245</v>
      </c>
      <c r="I4" s="259" t="n">
        <v>12289</v>
      </c>
      <c r="J4" s="259" t="n">
        <v>6787</v>
      </c>
      <c r="K4" s="259" t="n">
        <v>152590</v>
      </c>
      <c r="L4" s="259" t="n">
        <v>76099</v>
      </c>
      <c r="M4" s="276" t="n">
        <v>48.4</v>
      </c>
      <c r="N4" s="276" t="n">
        <v>49.9</v>
      </c>
    </row>
    <row r="5" ht="14" customHeight="1" s="227">
      <c r="A5" s="28" t="inlineStr">
        <is>
          <t>Battambang</t>
        </is>
      </c>
      <c r="B5" s="259" t="n">
        <v>1133</v>
      </c>
      <c r="C5" s="259" t="n">
        <v>18765</v>
      </c>
      <c r="D5" s="259" t="n">
        <v>9360</v>
      </c>
      <c r="E5" s="259" t="n">
        <v>171713</v>
      </c>
      <c r="F5" s="259" t="n">
        <v>82096</v>
      </c>
      <c r="G5" s="259" t="n">
        <v>43372</v>
      </c>
      <c r="H5" s="259" t="n">
        <v>23034</v>
      </c>
      <c r="I5" s="259" t="n">
        <v>19631</v>
      </c>
      <c r="J5" s="259" t="n">
        <v>11089</v>
      </c>
      <c r="K5" s="259" t="n">
        <v>253481</v>
      </c>
      <c r="L5" s="259" t="n">
        <v>125579</v>
      </c>
      <c r="M5" s="276" t="n">
        <v>47.8</v>
      </c>
      <c r="N5" s="276" t="n">
        <v>49.5</v>
      </c>
    </row>
    <row r="6" ht="15" customHeight="1" s="227">
      <c r="A6" s="28" t="inlineStr">
        <is>
          <t>Kampong Cham</t>
        </is>
      </c>
      <c r="B6" s="260" t="n">
        <v>804</v>
      </c>
      <c r="C6" s="259" t="n">
        <v>15704</v>
      </c>
      <c r="D6" s="259" t="n">
        <v>7756</v>
      </c>
      <c r="E6" s="259" t="n">
        <v>141437</v>
      </c>
      <c r="F6" s="259" t="n">
        <v>67395</v>
      </c>
      <c r="G6" s="259" t="n">
        <v>42139</v>
      </c>
      <c r="H6" s="259" t="n">
        <v>22561</v>
      </c>
      <c r="I6" s="259" t="n">
        <v>22427</v>
      </c>
      <c r="J6" s="259" t="n">
        <v>12651</v>
      </c>
      <c r="K6" s="259" t="n">
        <v>221707</v>
      </c>
      <c r="L6" s="259" t="n">
        <v>110363</v>
      </c>
      <c r="M6" s="276" t="n">
        <v>47.7</v>
      </c>
      <c r="N6" s="276" t="n">
        <v>49.8</v>
      </c>
    </row>
    <row r="7" ht="14" customHeight="1" s="227">
      <c r="A7" s="28" t="inlineStr">
        <is>
          <t>Kampong Chhnang</t>
        </is>
      </c>
      <c r="B7" s="260" t="n">
        <v>466</v>
      </c>
      <c r="C7" s="259" t="n">
        <v>6914</v>
      </c>
      <c r="D7" s="259" t="n">
        <v>3452</v>
      </c>
      <c r="E7" s="259" t="n">
        <v>74274</v>
      </c>
      <c r="F7" s="259" t="n">
        <v>36121</v>
      </c>
      <c r="G7" s="259" t="n">
        <v>24396</v>
      </c>
      <c r="H7" s="259" t="n">
        <v>13059</v>
      </c>
      <c r="I7" s="259" t="n">
        <v>12560</v>
      </c>
      <c r="J7" s="259" t="n">
        <v>7009</v>
      </c>
      <c r="K7" s="259" t="n">
        <v>118144</v>
      </c>
      <c r="L7" s="259" t="n">
        <v>59641</v>
      </c>
      <c r="M7" s="276" t="n">
        <v>48.6</v>
      </c>
      <c r="N7" s="276" t="n">
        <v>50.5</v>
      </c>
    </row>
    <row r="8" ht="14" customHeight="1" s="227">
      <c r="A8" s="28" t="inlineStr">
        <is>
          <t>Kampong Speu</t>
        </is>
      </c>
      <c r="B8" s="260" t="n">
        <v>603</v>
      </c>
      <c r="C8" s="259" t="n">
        <v>9886</v>
      </c>
      <c r="D8" s="259" t="n">
        <v>4992</v>
      </c>
      <c r="E8" s="259" t="n">
        <v>110874</v>
      </c>
      <c r="F8" s="259" t="n">
        <v>53596</v>
      </c>
      <c r="G8" s="259" t="n">
        <v>34034</v>
      </c>
      <c r="H8" s="259" t="n">
        <v>17505</v>
      </c>
      <c r="I8" s="259" t="n">
        <v>15428</v>
      </c>
      <c r="J8" s="259" t="n">
        <v>7878</v>
      </c>
      <c r="K8" s="259" t="n">
        <v>170222</v>
      </c>
      <c r="L8" s="259" t="n">
        <v>83971</v>
      </c>
      <c r="M8" s="276" t="n">
        <v>48.3</v>
      </c>
      <c r="N8" s="276" t="n">
        <v>49.3</v>
      </c>
    </row>
    <row r="9" ht="14" customHeight="1" s="227">
      <c r="A9" s="28" t="inlineStr">
        <is>
          <t>Kampong Thom</t>
        </is>
      </c>
      <c r="B9" s="260" t="n">
        <v>782</v>
      </c>
      <c r="C9" s="259" t="n">
        <v>10080</v>
      </c>
      <c r="D9" s="259" t="n">
        <v>5071</v>
      </c>
      <c r="E9" s="259" t="n">
        <v>100565</v>
      </c>
      <c r="F9" s="259" t="n">
        <v>48939</v>
      </c>
      <c r="G9" s="259" t="n">
        <v>30503</v>
      </c>
      <c r="H9" s="259" t="n">
        <v>16654</v>
      </c>
      <c r="I9" s="259" t="n">
        <v>14963</v>
      </c>
      <c r="J9" s="259" t="n">
        <v>8337</v>
      </c>
      <c r="K9" s="259" t="n">
        <v>156111</v>
      </c>
      <c r="L9" s="259" t="n">
        <v>79001</v>
      </c>
      <c r="M9" s="276" t="n">
        <v>48.7</v>
      </c>
      <c r="N9" s="276" t="n">
        <v>50.6</v>
      </c>
    </row>
    <row r="10" ht="14" customHeight="1" s="227">
      <c r="A10" s="28" t="inlineStr">
        <is>
          <t>Kampot</t>
        </is>
      </c>
      <c r="B10" s="260" t="n">
        <v>608</v>
      </c>
      <c r="C10" s="259" t="n">
        <v>7056</v>
      </c>
      <c r="D10" s="259" t="n">
        <v>3396</v>
      </c>
      <c r="E10" s="259" t="n">
        <v>78535</v>
      </c>
      <c r="F10" s="259" t="n">
        <v>37379</v>
      </c>
      <c r="G10" s="259" t="n">
        <v>28240</v>
      </c>
      <c r="H10" s="259" t="n">
        <v>14436</v>
      </c>
      <c r="I10" s="259" t="n">
        <v>15963</v>
      </c>
      <c r="J10" s="259" t="n">
        <v>8231</v>
      </c>
      <c r="K10" s="259" t="n">
        <v>129794</v>
      </c>
      <c r="L10" s="259" t="n">
        <v>63442</v>
      </c>
      <c r="M10" s="276" t="n">
        <v>47.6</v>
      </c>
      <c r="N10" s="276" t="n">
        <v>48.9</v>
      </c>
    </row>
    <row r="11" ht="14" customHeight="1" s="227">
      <c r="A11" s="28" t="inlineStr">
        <is>
          <t>Kandal</t>
        </is>
      </c>
      <c r="B11" s="260" t="n">
        <v>748</v>
      </c>
      <c r="C11" s="259" t="n">
        <v>15755</v>
      </c>
      <c r="D11" s="259" t="n">
        <v>7748</v>
      </c>
      <c r="E11" s="259" t="n">
        <v>159688</v>
      </c>
      <c r="F11" s="259" t="n">
        <v>75273</v>
      </c>
      <c r="G11" s="259" t="n">
        <v>48495</v>
      </c>
      <c r="H11" s="259" t="n">
        <v>25225</v>
      </c>
      <c r="I11" s="259" t="n">
        <v>27412</v>
      </c>
      <c r="J11" s="259" t="n">
        <v>15170</v>
      </c>
      <c r="K11" s="259" t="n">
        <v>251350</v>
      </c>
      <c r="L11" s="259" t="n">
        <v>123416</v>
      </c>
      <c r="M11" s="276" t="n">
        <v>47.1</v>
      </c>
      <c r="N11" s="276" t="n">
        <v>49.1</v>
      </c>
    </row>
    <row r="12" ht="14" customHeight="1" s="227">
      <c r="A12" s="28" t="inlineStr">
        <is>
          <t>Kep</t>
        </is>
      </c>
      <c r="B12" s="260" t="n">
        <v>50</v>
      </c>
      <c r="C12" s="260" t="n">
        <v>909</v>
      </c>
      <c r="D12" s="260" t="n">
        <v>452</v>
      </c>
      <c r="E12" s="259" t="n">
        <v>5104</v>
      </c>
      <c r="F12" s="259" t="n">
        <v>2523</v>
      </c>
      <c r="G12" s="259" t="n">
        <v>1606</v>
      </c>
      <c r="H12" s="260" t="n">
        <v>793</v>
      </c>
      <c r="I12" s="259" t="n">
        <v>1070</v>
      </c>
      <c r="J12" s="260" t="n">
        <v>572</v>
      </c>
      <c r="K12" s="259" t="n">
        <v>8689</v>
      </c>
      <c r="L12" s="259" t="n">
        <v>4340</v>
      </c>
      <c r="M12" s="276" t="n">
        <v>49.4</v>
      </c>
      <c r="N12" s="276" t="n">
        <v>49.9</v>
      </c>
    </row>
    <row r="13" ht="14" customHeight="1" s="227">
      <c r="A13" s="28" t="inlineStr">
        <is>
          <t>Koh Kong</t>
        </is>
      </c>
      <c r="B13" s="260" t="n">
        <v>218</v>
      </c>
      <c r="C13" s="259" t="n">
        <v>2078</v>
      </c>
      <c r="D13" s="260" t="n">
        <v>982</v>
      </c>
      <c r="E13" s="259" t="n">
        <v>16689</v>
      </c>
      <c r="F13" s="259" t="n">
        <v>8006</v>
      </c>
      <c r="G13" s="259" t="n">
        <v>5136</v>
      </c>
      <c r="H13" s="259" t="n">
        <v>2610</v>
      </c>
      <c r="I13" s="259" t="n">
        <v>2610</v>
      </c>
      <c r="J13" s="259" t="n">
        <v>1219</v>
      </c>
      <c r="K13" s="259" t="n">
        <v>26513</v>
      </c>
      <c r="L13" s="259" t="n">
        <v>12817</v>
      </c>
      <c r="M13" s="276" t="n">
        <v>48</v>
      </c>
      <c r="N13" s="276" t="n">
        <v>48.3</v>
      </c>
    </row>
    <row r="14" ht="14" customHeight="1" s="227">
      <c r="A14" s="28" t="inlineStr">
        <is>
          <t>Kratie</t>
        </is>
      </c>
      <c r="B14" s="260" t="n">
        <v>418</v>
      </c>
      <c r="C14" s="259" t="n">
        <v>3896</v>
      </c>
      <c r="D14" s="259" t="n">
        <v>1925</v>
      </c>
      <c r="E14" s="259" t="n">
        <v>63323</v>
      </c>
      <c r="F14" s="259" t="n">
        <v>30637</v>
      </c>
      <c r="G14" s="259" t="n">
        <v>12917</v>
      </c>
      <c r="H14" s="259" t="n">
        <v>6892</v>
      </c>
      <c r="I14" s="259" t="n">
        <v>6039</v>
      </c>
      <c r="J14" s="259" t="n">
        <v>3261</v>
      </c>
      <c r="K14" s="259" t="n">
        <v>86175</v>
      </c>
      <c r="L14" s="259" t="n">
        <v>42715</v>
      </c>
      <c r="M14" s="276" t="n">
        <v>48.4</v>
      </c>
      <c r="N14" s="276" t="n">
        <v>49.6</v>
      </c>
    </row>
    <row r="15" ht="14" customHeight="1" s="227">
      <c r="A15" s="28" t="inlineStr">
        <is>
          <t>Mondul Kiri</t>
        </is>
      </c>
      <c r="B15" s="260" t="n">
        <v>126</v>
      </c>
      <c r="C15" s="259" t="n">
        <v>1079</v>
      </c>
      <c r="D15" s="260" t="n">
        <v>530</v>
      </c>
      <c r="E15" s="259" t="n">
        <v>14576</v>
      </c>
      <c r="F15" s="259" t="n">
        <v>7211</v>
      </c>
      <c r="G15" s="259" t="n">
        <v>3212</v>
      </c>
      <c r="H15" s="259" t="n">
        <v>1706</v>
      </c>
      <c r="I15" s="259" t="n">
        <v>1386</v>
      </c>
      <c r="J15" s="260" t="n">
        <v>747</v>
      </c>
      <c r="K15" s="259" t="n">
        <v>20253</v>
      </c>
      <c r="L15" s="259" t="n">
        <v>10194</v>
      </c>
      <c r="M15" s="276" t="n">
        <v>49.5</v>
      </c>
      <c r="N15" s="276" t="n">
        <v>50.3</v>
      </c>
    </row>
    <row r="16" ht="14" customHeight="1" s="227">
      <c r="A16" s="28" t="inlineStr">
        <is>
          <t>Otdar Meanchey</t>
        </is>
      </c>
      <c r="B16" s="260" t="n">
        <v>358</v>
      </c>
      <c r="C16" s="259" t="n">
        <v>3652</v>
      </c>
      <c r="D16" s="259" t="n">
        <v>1788</v>
      </c>
      <c r="E16" s="259" t="n">
        <v>37379</v>
      </c>
      <c r="F16" s="259" t="n">
        <v>17940</v>
      </c>
      <c r="G16" s="259" t="n">
        <v>9509</v>
      </c>
      <c r="H16" s="259" t="n">
        <v>4773</v>
      </c>
      <c r="I16" s="259" t="n">
        <v>4181</v>
      </c>
      <c r="J16" s="259" t="n">
        <v>2150</v>
      </c>
      <c r="K16" s="259" t="n">
        <v>54721</v>
      </c>
      <c r="L16" s="259" t="n">
        <v>26651</v>
      </c>
      <c r="M16" s="276" t="n">
        <v>48</v>
      </c>
      <c r="N16" s="276" t="n">
        <v>48.7</v>
      </c>
    </row>
    <row r="17" ht="14" customHeight="1" s="227">
      <c r="A17" s="28" t="inlineStr">
        <is>
          <t>Pailin</t>
        </is>
      </c>
      <c r="B17" s="260" t="n">
        <v>82</v>
      </c>
      <c r="C17" s="259" t="n">
        <v>1092</v>
      </c>
      <c r="D17" s="260" t="n">
        <v>565</v>
      </c>
      <c r="E17" s="259" t="n">
        <v>10316</v>
      </c>
      <c r="F17" s="259" t="n">
        <v>4960</v>
      </c>
      <c r="G17" s="259" t="n">
        <v>3210</v>
      </c>
      <c r="H17" s="259" t="n">
        <v>1655</v>
      </c>
      <c r="I17" s="259" t="n">
        <v>1479</v>
      </c>
      <c r="J17" s="260" t="n">
        <v>798</v>
      </c>
      <c r="K17" s="259" t="n">
        <v>16097</v>
      </c>
      <c r="L17" s="259" t="n">
        <v>7978</v>
      </c>
      <c r="M17" s="276" t="n">
        <v>48.1</v>
      </c>
      <c r="N17" s="276" t="n">
        <v>49.6</v>
      </c>
    </row>
    <row r="18" ht="14" customHeight="1" s="227">
      <c r="A18" s="28" t="inlineStr">
        <is>
          <t>Phnom Penh</t>
        </is>
      </c>
      <c r="B18" s="260" t="n">
        <v>376</v>
      </c>
      <c r="C18" s="259" t="n">
        <v>10901</v>
      </c>
      <c r="D18" s="259" t="n">
        <v>5247</v>
      </c>
      <c r="E18" s="259" t="n">
        <v>138900</v>
      </c>
      <c r="F18" s="259" t="n">
        <v>66114</v>
      </c>
      <c r="G18" s="259" t="n">
        <v>49761</v>
      </c>
      <c r="H18" s="259" t="n">
        <v>24849</v>
      </c>
      <c r="I18" s="259" t="n">
        <v>36902</v>
      </c>
      <c r="J18" s="259" t="n">
        <v>18562</v>
      </c>
      <c r="K18" s="259" t="n">
        <v>236464</v>
      </c>
      <c r="L18" s="259" t="n">
        <v>114772</v>
      </c>
      <c r="M18" s="276" t="n">
        <v>47.6</v>
      </c>
      <c r="N18" s="276" t="n">
        <v>48.5</v>
      </c>
    </row>
    <row r="19" ht="14" customHeight="1" s="227">
      <c r="A19" s="28" t="inlineStr">
        <is>
          <t>Preah Sihanouk</t>
        </is>
      </c>
      <c r="B19" s="260" t="n">
        <v>156</v>
      </c>
      <c r="C19" s="259" t="n">
        <v>2395</v>
      </c>
      <c r="D19" s="259" t="n">
        <v>1233</v>
      </c>
      <c r="E19" s="259" t="n">
        <v>26923</v>
      </c>
      <c r="F19" s="259" t="n">
        <v>13117</v>
      </c>
      <c r="G19" s="259" t="n">
        <v>8156</v>
      </c>
      <c r="H19" s="259" t="n">
        <v>4094</v>
      </c>
      <c r="I19" s="259" t="n">
        <v>4010</v>
      </c>
      <c r="J19" s="259" t="n">
        <v>2075</v>
      </c>
      <c r="K19" s="259" t="n">
        <v>41484</v>
      </c>
      <c r="L19" s="259" t="n">
        <v>20519</v>
      </c>
      <c r="M19" s="276" t="n">
        <v>48.7</v>
      </c>
      <c r="N19" s="276" t="n">
        <v>49.5</v>
      </c>
    </row>
    <row r="20" ht="14" customHeight="1" s="227">
      <c r="A20" s="28" t="inlineStr">
        <is>
          <t>Preah Vihear</t>
        </is>
      </c>
      <c r="B20" s="260" t="n">
        <v>401</v>
      </c>
      <c r="C20" s="259" t="n">
        <v>3822</v>
      </c>
      <c r="D20" s="259" t="n">
        <v>1940</v>
      </c>
      <c r="E20" s="259" t="n">
        <v>37343</v>
      </c>
      <c r="F20" s="259" t="n">
        <v>18183</v>
      </c>
      <c r="G20" s="259" t="n">
        <v>9828</v>
      </c>
      <c r="H20" s="259" t="n">
        <v>5446</v>
      </c>
      <c r="I20" s="259" t="n">
        <v>4393</v>
      </c>
      <c r="J20" s="259" t="n">
        <v>2291</v>
      </c>
      <c r="K20" s="259" t="n">
        <v>55386</v>
      </c>
      <c r="L20" s="259" t="n">
        <v>27860</v>
      </c>
      <c r="M20" s="276" t="n">
        <v>48.7</v>
      </c>
      <c r="N20" s="276" t="n">
        <v>50.3</v>
      </c>
    </row>
    <row r="21" ht="14" customHeight="1" s="227">
      <c r="A21" s="28" t="inlineStr">
        <is>
          <t>Prey Veng</t>
        </is>
      </c>
      <c r="B21" s="259" t="n">
        <v>1035</v>
      </c>
      <c r="C21" s="259" t="n">
        <v>15501</v>
      </c>
      <c r="D21" s="259" t="n">
        <v>7625</v>
      </c>
      <c r="E21" s="259" t="n">
        <v>149003</v>
      </c>
      <c r="F21" s="259" t="n">
        <v>70067</v>
      </c>
      <c r="G21" s="259" t="n">
        <v>47242</v>
      </c>
      <c r="H21" s="259" t="n">
        <v>24689</v>
      </c>
      <c r="I21" s="259" t="n">
        <v>22950</v>
      </c>
      <c r="J21" s="259" t="n">
        <v>12149</v>
      </c>
      <c r="K21" s="259" t="n">
        <v>234696</v>
      </c>
      <c r="L21" s="259" t="n">
        <v>114530</v>
      </c>
      <c r="M21" s="276" t="n">
        <v>47</v>
      </c>
      <c r="N21" s="276" t="n">
        <v>48.8</v>
      </c>
    </row>
    <row r="22" ht="14" customHeight="1" s="227">
      <c r="A22" s="28" t="inlineStr">
        <is>
          <t>Pursat</t>
        </is>
      </c>
      <c r="B22" s="260" t="n">
        <v>537</v>
      </c>
      <c r="C22" s="259" t="n">
        <v>8387</v>
      </c>
      <c r="D22" s="259" t="n">
        <v>4267</v>
      </c>
      <c r="E22" s="259" t="n">
        <v>69224</v>
      </c>
      <c r="F22" s="259" t="n">
        <v>33569</v>
      </c>
      <c r="G22" s="259" t="n">
        <v>18276</v>
      </c>
      <c r="H22" s="259" t="n">
        <v>9702</v>
      </c>
      <c r="I22" s="259" t="n">
        <v>8797</v>
      </c>
      <c r="J22" s="259" t="n">
        <v>4712</v>
      </c>
      <c r="K22" s="259" t="n">
        <v>104684</v>
      </c>
      <c r="L22" s="259" t="n">
        <v>52250</v>
      </c>
      <c r="M22" s="276" t="n">
        <v>48.5</v>
      </c>
      <c r="N22" s="276" t="n">
        <v>49.9</v>
      </c>
    </row>
    <row r="23" ht="14" customHeight="1" s="227">
      <c r="A23" s="28" t="inlineStr">
        <is>
          <t>Ratanak Kiri</t>
        </is>
      </c>
      <c r="B23" s="260" t="n">
        <v>303</v>
      </c>
      <c r="C23" s="259" t="n">
        <v>2422</v>
      </c>
      <c r="D23" s="259" t="n">
        <v>1178</v>
      </c>
      <c r="E23" s="259" t="n">
        <v>40979</v>
      </c>
      <c r="F23" s="259" t="n">
        <v>19760</v>
      </c>
      <c r="G23" s="259" t="n">
        <v>7645</v>
      </c>
      <c r="H23" s="259" t="n">
        <v>3741</v>
      </c>
      <c r="I23" s="259" t="n">
        <v>3102</v>
      </c>
      <c r="J23" s="259" t="n">
        <v>1447</v>
      </c>
      <c r="K23" s="259" t="n">
        <v>54148</v>
      </c>
      <c r="L23" s="259" t="n">
        <v>26126</v>
      </c>
      <c r="M23" s="276" t="n">
        <v>48.2</v>
      </c>
      <c r="N23" s="276" t="n">
        <v>48.2</v>
      </c>
    </row>
    <row r="24" ht="14" customHeight="1" s="227">
      <c r="A24" s="28" t="inlineStr">
        <is>
          <t>Siemreap</t>
        </is>
      </c>
      <c r="B24" s="259" t="n">
        <v>1067</v>
      </c>
      <c r="C24" s="259" t="n">
        <v>26016</v>
      </c>
      <c r="D24" s="259" t="n">
        <v>13294</v>
      </c>
      <c r="E24" s="259" t="n">
        <v>164652</v>
      </c>
      <c r="F24" s="259" t="n">
        <v>79415</v>
      </c>
      <c r="G24" s="259" t="n">
        <v>49012</v>
      </c>
      <c r="H24" s="259" t="n">
        <v>26447</v>
      </c>
      <c r="I24" s="259" t="n">
        <v>26246</v>
      </c>
      <c r="J24" s="259" t="n">
        <v>14608</v>
      </c>
      <c r="K24" s="259" t="n">
        <v>265926</v>
      </c>
      <c r="L24" s="259" t="n">
        <v>133764</v>
      </c>
      <c r="M24" s="276" t="n">
        <v>48.2</v>
      </c>
      <c r="N24" s="276" t="n">
        <v>50.3</v>
      </c>
    </row>
    <row r="25" ht="14" customHeight="1" s="227">
      <c r="A25" s="28" t="inlineStr">
        <is>
          <t>Stung Treng</t>
        </is>
      </c>
      <c r="B25" s="260" t="n">
        <v>218</v>
      </c>
      <c r="C25" s="259" t="n">
        <v>1215</v>
      </c>
      <c r="D25" s="260" t="n">
        <v>580</v>
      </c>
      <c r="E25" s="259" t="n">
        <v>25807</v>
      </c>
      <c r="F25" s="259" t="n">
        <v>12648</v>
      </c>
      <c r="G25" s="259" t="n">
        <v>4719</v>
      </c>
      <c r="H25" s="259" t="n">
        <v>2490</v>
      </c>
      <c r="I25" s="259" t="n">
        <v>2233</v>
      </c>
      <c r="J25" s="259" t="n">
        <v>1120</v>
      </c>
      <c r="K25" s="259" t="n">
        <v>33974</v>
      </c>
      <c r="L25" s="259" t="n">
        <v>16838</v>
      </c>
      <c r="M25" s="276" t="n">
        <v>49</v>
      </c>
      <c r="N25" s="276" t="n">
        <v>49.6</v>
      </c>
    </row>
    <row r="26" ht="14" customHeight="1" s="227">
      <c r="A26" s="28" t="inlineStr">
        <is>
          <t>Svay Rieng</t>
        </is>
      </c>
      <c r="B26" s="260" t="n">
        <v>508</v>
      </c>
      <c r="C26" s="259" t="n">
        <v>7757</v>
      </c>
      <c r="D26" s="259" t="n">
        <v>3933</v>
      </c>
      <c r="E26" s="259" t="n">
        <v>72118</v>
      </c>
      <c r="F26" s="259" t="n">
        <v>34824</v>
      </c>
      <c r="G26" s="259" t="n">
        <v>25222</v>
      </c>
      <c r="H26" s="259" t="n">
        <v>12954</v>
      </c>
      <c r="I26" s="259" t="n">
        <v>12981</v>
      </c>
      <c r="J26" s="259" t="n">
        <v>6576</v>
      </c>
      <c r="K26" s="259" t="n">
        <v>118078</v>
      </c>
      <c r="L26" s="259" t="n">
        <v>58287</v>
      </c>
      <c r="M26" s="276" t="n">
        <v>48.3</v>
      </c>
      <c r="N26" s="276" t="n">
        <v>49.4</v>
      </c>
    </row>
    <row r="27" ht="14" customHeight="1" s="227">
      <c r="A27" s="28" t="inlineStr">
        <is>
          <t>Takeo</t>
        </is>
      </c>
      <c r="B27" s="260" t="n">
        <v>782</v>
      </c>
      <c r="C27" s="259" t="n">
        <v>12229</v>
      </c>
      <c r="D27" s="259" t="n">
        <v>6025</v>
      </c>
      <c r="E27" s="259" t="n">
        <v>118349</v>
      </c>
      <c r="F27" s="259" t="n">
        <v>56317</v>
      </c>
      <c r="G27" s="259" t="n">
        <v>46704</v>
      </c>
      <c r="H27" s="259" t="n">
        <v>23432</v>
      </c>
      <c r="I27" s="259" t="n">
        <v>29080</v>
      </c>
      <c r="J27" s="259" t="n">
        <v>14939</v>
      </c>
      <c r="K27" s="259" t="n">
        <v>206362</v>
      </c>
      <c r="L27" s="259" t="n">
        <v>100713</v>
      </c>
      <c r="M27" s="276" t="n">
        <v>47.6</v>
      </c>
      <c r="N27" s="276" t="n">
        <v>48.8</v>
      </c>
    </row>
    <row r="28" ht="14" customHeight="1" s="227">
      <c r="A28" s="28" t="inlineStr">
        <is>
          <t>Tbaung Khmum</t>
        </is>
      </c>
      <c r="B28" s="260" t="n">
        <v>703</v>
      </c>
      <c r="C28" s="259" t="n">
        <v>13374</v>
      </c>
      <c r="D28" s="259" t="n">
        <v>6529</v>
      </c>
      <c r="E28" s="259" t="n">
        <v>115586</v>
      </c>
      <c r="F28" s="259" t="n">
        <v>55855</v>
      </c>
      <c r="G28" s="259" t="n">
        <v>30150</v>
      </c>
      <c r="H28" s="259" t="n">
        <v>15905</v>
      </c>
      <c r="I28" s="259" t="n">
        <v>13013</v>
      </c>
      <c r="J28" s="259" t="n">
        <v>7116</v>
      </c>
      <c r="K28" s="259" t="n">
        <v>172123</v>
      </c>
      <c r="L28" s="259" t="n">
        <v>85405</v>
      </c>
      <c r="M28" s="276" t="n">
        <v>48.3</v>
      </c>
      <c r="N28" s="276" t="n">
        <v>49.6</v>
      </c>
    </row>
    <row r="29" ht="17" customHeight="1" s="227">
      <c r="A29" s="22" t="inlineStr">
        <is>
          <t>Whole Kingdom</t>
        </is>
      </c>
      <c r="B29" s="259" t="n">
        <v>13300</v>
      </c>
      <c r="C29" s="259" t="n">
        <v>217509</v>
      </c>
      <c r="D29" s="259" t="n">
        <v>108080</v>
      </c>
      <c r="E29" s="259" t="n">
        <v>2040257</v>
      </c>
      <c r="F29" s="259" t="n">
        <v>978800</v>
      </c>
      <c r="G29" s="259" t="n">
        <v>610261</v>
      </c>
      <c r="H29" s="259" t="n">
        <v>318897</v>
      </c>
      <c r="I29" s="259" t="n">
        <v>321145</v>
      </c>
      <c r="J29" s="259" t="n">
        <v>171494</v>
      </c>
      <c r="K29" s="259" t="n">
        <v>3189172</v>
      </c>
      <c r="L29" s="259" t="n">
        <v>1577271</v>
      </c>
      <c r="M29" s="276" t="n">
        <v>48</v>
      </c>
      <c r="N29" s="276" t="n">
        <v>49.5</v>
      </c>
    </row>
    <row r="30" ht="14" customHeight="1" s="227">
      <c r="A30" s="28" t="inlineStr">
        <is>
          <t>-  Urban Area</t>
        </is>
      </c>
      <c r="B30" s="259" t="n">
        <v>1422</v>
      </c>
      <c r="C30" s="259" t="n">
        <v>38796</v>
      </c>
      <c r="D30" s="259" t="n">
        <v>19178</v>
      </c>
      <c r="E30" s="259" t="n">
        <v>339526</v>
      </c>
      <c r="F30" s="259" t="n">
        <v>162443</v>
      </c>
      <c r="G30" s="259" t="n">
        <v>120483</v>
      </c>
      <c r="H30" s="259" t="n">
        <v>61019</v>
      </c>
      <c r="I30" s="259" t="n">
        <v>96109</v>
      </c>
      <c r="J30" s="259" t="n">
        <v>49901</v>
      </c>
      <c r="K30" s="259" t="n">
        <v>594914</v>
      </c>
      <c r="L30" s="259" t="n">
        <v>292541</v>
      </c>
      <c r="M30" s="276" t="n">
        <v>47.8</v>
      </c>
      <c r="N30" s="276" t="n">
        <v>49.2</v>
      </c>
    </row>
    <row r="31" ht="14" customHeight="1" s="227">
      <c r="A31" s="28" t="inlineStr">
        <is>
          <t>-  Rural Area</t>
        </is>
      </c>
      <c r="B31" s="259" t="n">
        <v>11878</v>
      </c>
      <c r="C31" s="259" t="n">
        <v>178713</v>
      </c>
      <c r="D31" s="259" t="n">
        <v>88902</v>
      </c>
      <c r="E31" s="259" t="n">
        <v>1700731</v>
      </c>
      <c r="F31" s="259" t="n">
        <v>816357</v>
      </c>
      <c r="G31" s="259" t="n">
        <v>489778</v>
      </c>
      <c r="H31" s="259" t="n">
        <v>257878</v>
      </c>
      <c r="I31" s="259" t="n">
        <v>225036</v>
      </c>
      <c r="J31" s="259" t="n">
        <v>121593</v>
      </c>
      <c r="K31" s="259" t="n">
        <v>2594258</v>
      </c>
      <c r="L31" s="259" t="n">
        <v>1284730</v>
      </c>
      <c r="M31" s="276" t="n">
        <v>48</v>
      </c>
      <c r="N31" s="276" t="n">
        <v>49.5</v>
      </c>
    </row>
  </sheetData>
  <mergeCells count="8">
    <mergeCell ref="M2:N2"/>
    <mergeCell ref="C2:D2"/>
    <mergeCell ref="G2:H2"/>
    <mergeCell ref="E2:F2"/>
    <mergeCell ref="K2:L2"/>
    <mergeCell ref="I2:J2"/>
    <mergeCell ref="A2:A3"/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005B9BD5"/>
    <outlinePr summaryBelow="1" summaryRight="1"/>
    <pageSetUpPr/>
  </sheetPr>
  <dimension ref="A1:K31"/>
  <sheetViews>
    <sheetView tabSelected="1" workbookViewId="0">
      <selection activeCell="A1" sqref="A1"/>
    </sheetView>
  </sheetViews>
  <sheetFormatPr baseColWidth="8" defaultRowHeight="15"/>
  <cols>
    <col width="25.333333" customWidth="1" style="227" min="1" max="1"/>
    <col width="14" customWidth="1" style="227" min="2" max="2"/>
    <col width="14.666667" customWidth="1" style="227" min="3" max="3"/>
    <col width="14.222222" customWidth="1" style="227" min="4" max="4"/>
    <col width="14.444444" customWidth="1" style="227" min="5" max="5"/>
    <col width="14.222222" customWidth="1" style="227" min="6" max="6"/>
    <col width="14.222222" customWidth="1" style="227" min="7" max="7"/>
    <col width="14.444444" customWidth="1" style="227" min="8" max="8"/>
    <col width="14.222222" customWidth="1" style="227" min="9" max="9"/>
    <col width="14.222222" customWidth="1" style="227" min="10" max="10"/>
    <col width="14.444444" customWidth="1" style="227" min="11" max="11"/>
  </cols>
  <sheetData>
    <row r="1" ht="31" customHeight="1" s="227">
      <c r="A1" s="2" t="inlineStr">
        <is>
          <t>Table 15: Pre-School Enrollment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</row>
    <row r="2" ht="19" customHeight="1" s="227">
      <c r="A2" s="3" t="inlineStr">
        <is>
          <t>Province</t>
        </is>
      </c>
      <c r="B2" s="20" t="inlineStr">
        <is>
          <t>Lowest Step</t>
        </is>
      </c>
      <c r="C2" s="257" t="n"/>
      <c r="D2" s="70" t="inlineStr">
        <is>
          <t>Medium Step</t>
        </is>
      </c>
      <c r="E2" s="257" t="n"/>
      <c r="F2" s="70" t="inlineStr">
        <is>
          <t>Highest Step</t>
        </is>
      </c>
      <c r="G2" s="257" t="n"/>
      <c r="H2" s="20" t="inlineStr">
        <is>
          <t>Mixed Step</t>
        </is>
      </c>
      <c r="I2" s="257" t="n"/>
      <c r="J2" s="20" t="inlineStr">
        <is>
          <t>Pre-School</t>
        </is>
      </c>
      <c r="K2" s="257" t="n"/>
    </row>
    <row r="3" ht="18" customHeight="1" s="227">
      <c r="A3" s="258" t="n"/>
      <c r="B3" s="20" t="inlineStr">
        <is>
          <t>Total</t>
        </is>
      </c>
      <c r="C3" s="20" t="inlineStr">
        <is>
          <t>Girl</t>
        </is>
      </c>
      <c r="D3" s="20" t="inlineStr">
        <is>
          <t>Total</t>
        </is>
      </c>
      <c r="E3" s="20" t="inlineStr">
        <is>
          <t>Girl</t>
        </is>
      </c>
      <c r="F3" s="20" t="inlineStr">
        <is>
          <t>Total</t>
        </is>
      </c>
      <c r="G3" s="20" t="inlineStr">
        <is>
          <t>Girl</t>
        </is>
      </c>
      <c r="H3" s="20" t="inlineStr">
        <is>
          <t>Total</t>
        </is>
      </c>
      <c r="I3" s="20" t="inlineStr">
        <is>
          <t>Girl</t>
        </is>
      </c>
      <c r="J3" s="20" t="inlineStr">
        <is>
          <t>Total</t>
        </is>
      </c>
      <c r="K3" s="20" t="inlineStr">
        <is>
          <t>Girl</t>
        </is>
      </c>
    </row>
    <row r="4" ht="14" customHeight="1" s="227">
      <c r="A4" s="28" t="inlineStr">
        <is>
          <t>Banteay Meanchey</t>
        </is>
      </c>
      <c r="B4" s="264" t="n">
        <v>1016</v>
      </c>
      <c r="C4" s="263" t="n">
        <v>535</v>
      </c>
      <c r="D4" s="264" t="n">
        <v>3081</v>
      </c>
      <c r="E4" s="264" t="n">
        <v>1510</v>
      </c>
      <c r="F4" s="264" t="n">
        <v>5851</v>
      </c>
      <c r="G4" s="264" t="n">
        <v>2783</v>
      </c>
      <c r="H4" s="264" t="n">
        <v>6676</v>
      </c>
      <c r="I4" s="264" t="n">
        <v>3384</v>
      </c>
      <c r="J4" s="264" t="n">
        <v>16624</v>
      </c>
      <c r="K4" s="264" t="n">
        <v>8212</v>
      </c>
    </row>
    <row r="5" ht="14" customHeight="1" s="227">
      <c r="A5" s="28" t="inlineStr">
        <is>
          <t>Battambang</t>
        </is>
      </c>
      <c r="B5" s="263" t="n">
        <v>841</v>
      </c>
      <c r="C5" s="263" t="n">
        <v>448</v>
      </c>
      <c r="D5" s="264" t="n">
        <v>3883</v>
      </c>
      <c r="E5" s="264" t="n">
        <v>2018</v>
      </c>
      <c r="F5" s="264" t="n">
        <v>8778</v>
      </c>
      <c r="G5" s="264" t="n">
        <v>4206</v>
      </c>
      <c r="H5" s="264" t="n">
        <v>5263</v>
      </c>
      <c r="I5" s="264" t="n">
        <v>2688</v>
      </c>
      <c r="J5" s="264" t="n">
        <v>18765</v>
      </c>
      <c r="K5" s="264" t="n">
        <v>9360</v>
      </c>
    </row>
    <row r="6" ht="15" customHeight="1" s="227">
      <c r="A6" s="28" t="inlineStr">
        <is>
          <t>Kampong Cham</t>
        </is>
      </c>
      <c r="B6" s="263" t="n">
        <v>388</v>
      </c>
      <c r="C6" s="263" t="n">
        <v>180</v>
      </c>
      <c r="D6" s="264" t="n">
        <v>3028</v>
      </c>
      <c r="E6" s="264" t="n">
        <v>1532</v>
      </c>
      <c r="F6" s="264" t="n">
        <v>11048</v>
      </c>
      <c r="G6" s="264" t="n">
        <v>5432</v>
      </c>
      <c r="H6" s="264" t="n">
        <v>1240</v>
      </c>
      <c r="I6" s="263" t="n">
        <v>612</v>
      </c>
      <c r="J6" s="264" t="n">
        <v>15704</v>
      </c>
      <c r="K6" s="264" t="n">
        <v>7756</v>
      </c>
    </row>
    <row r="7" ht="14" customHeight="1" s="227">
      <c r="A7" s="28" t="inlineStr">
        <is>
          <t>Kampong Chhnang</t>
        </is>
      </c>
      <c r="B7" s="263" t="n">
        <v>537</v>
      </c>
      <c r="C7" s="263" t="n">
        <v>276</v>
      </c>
      <c r="D7" s="264" t="n">
        <v>1529</v>
      </c>
      <c r="E7" s="263" t="n">
        <v>767</v>
      </c>
      <c r="F7" s="264" t="n">
        <v>3574</v>
      </c>
      <c r="G7" s="264" t="n">
        <v>1749</v>
      </c>
      <c r="H7" s="264" t="n">
        <v>1274</v>
      </c>
      <c r="I7" s="263" t="n">
        <v>660</v>
      </c>
      <c r="J7" s="264" t="n">
        <v>6914</v>
      </c>
      <c r="K7" s="264" t="n">
        <v>3452</v>
      </c>
    </row>
    <row r="8" ht="14" customHeight="1" s="227">
      <c r="A8" s="28" t="inlineStr">
        <is>
          <t>Kampong Speu</t>
        </is>
      </c>
      <c r="B8" s="263" t="n">
        <v>265</v>
      </c>
      <c r="C8" s="263" t="n">
        <v>137</v>
      </c>
      <c r="D8" s="264" t="n">
        <v>1218</v>
      </c>
      <c r="E8" s="263" t="n">
        <v>626</v>
      </c>
      <c r="F8" s="264" t="n">
        <v>6064</v>
      </c>
      <c r="G8" s="264" t="n">
        <v>3044</v>
      </c>
      <c r="H8" s="264" t="n">
        <v>2339</v>
      </c>
      <c r="I8" s="264" t="n">
        <v>1185</v>
      </c>
      <c r="J8" s="264" t="n">
        <v>9886</v>
      </c>
      <c r="K8" s="264" t="n">
        <v>4992</v>
      </c>
    </row>
    <row r="9" ht="14" customHeight="1" s="227">
      <c r="A9" s="28" t="inlineStr">
        <is>
          <t>Kampong Thom</t>
        </is>
      </c>
      <c r="B9" s="263" t="n">
        <v>496</v>
      </c>
      <c r="C9" s="263" t="n">
        <v>257</v>
      </c>
      <c r="D9" s="264" t="n">
        <v>2191</v>
      </c>
      <c r="E9" s="264" t="n">
        <v>1125</v>
      </c>
      <c r="F9" s="264" t="n">
        <v>4695</v>
      </c>
      <c r="G9" s="264" t="n">
        <v>2323</v>
      </c>
      <c r="H9" s="264" t="n">
        <v>2698</v>
      </c>
      <c r="I9" s="264" t="n">
        <v>1366</v>
      </c>
      <c r="J9" s="264" t="n">
        <v>10080</v>
      </c>
      <c r="K9" s="264" t="n">
        <v>5071</v>
      </c>
    </row>
    <row r="10" ht="14" customHeight="1" s="227">
      <c r="A10" s="28" t="inlineStr">
        <is>
          <t>Kampot</t>
        </is>
      </c>
      <c r="B10" s="263" t="n">
        <v>174</v>
      </c>
      <c r="C10" s="263" t="n">
        <v>88</v>
      </c>
      <c r="D10" s="263" t="n">
        <v>614</v>
      </c>
      <c r="E10" s="263" t="n">
        <v>287</v>
      </c>
      <c r="F10" s="264" t="n">
        <v>5613</v>
      </c>
      <c r="G10" s="264" t="n">
        <v>2734</v>
      </c>
      <c r="H10" s="263" t="n">
        <v>655</v>
      </c>
      <c r="I10" s="263" t="n">
        <v>287</v>
      </c>
      <c r="J10" s="264" t="n">
        <v>7056</v>
      </c>
      <c r="K10" s="264" t="n">
        <v>3396</v>
      </c>
    </row>
    <row r="11" ht="14" customHeight="1" s="227">
      <c r="A11" s="28" t="inlineStr">
        <is>
          <t>Kandal</t>
        </is>
      </c>
      <c r="B11" s="263" t="n">
        <v>980</v>
      </c>
      <c r="C11" s="263" t="n">
        <v>508</v>
      </c>
      <c r="D11" s="264" t="n">
        <v>3661</v>
      </c>
      <c r="E11" s="264" t="n">
        <v>1827</v>
      </c>
      <c r="F11" s="264" t="n">
        <v>10426</v>
      </c>
      <c r="G11" s="264" t="n">
        <v>5076</v>
      </c>
      <c r="H11" s="263" t="n">
        <v>688</v>
      </c>
      <c r="I11" s="263" t="n">
        <v>337</v>
      </c>
      <c r="J11" s="264" t="n">
        <v>15755</v>
      </c>
      <c r="K11" s="264" t="n">
        <v>7748</v>
      </c>
    </row>
    <row r="12" ht="14" customHeight="1" s="227">
      <c r="A12" s="28" t="inlineStr">
        <is>
          <t>Kep</t>
        </is>
      </c>
      <c r="B12" s="263" t="n">
        <v>0</v>
      </c>
      <c r="C12" s="263" t="n">
        <v>0</v>
      </c>
      <c r="D12" s="263" t="n">
        <v>110</v>
      </c>
      <c r="E12" s="263" t="n">
        <v>60</v>
      </c>
      <c r="F12" s="263" t="n">
        <v>543</v>
      </c>
      <c r="G12" s="263" t="n">
        <v>266</v>
      </c>
      <c r="H12" s="263" t="n">
        <v>256</v>
      </c>
      <c r="I12" s="263" t="n">
        <v>126</v>
      </c>
      <c r="J12" s="263" t="n">
        <v>909</v>
      </c>
      <c r="K12" s="263" t="n">
        <v>452</v>
      </c>
    </row>
    <row r="13" ht="14" customHeight="1" s="227">
      <c r="A13" s="28" t="inlineStr">
        <is>
          <t>Koh Kong</t>
        </is>
      </c>
      <c r="B13" s="263" t="n">
        <v>114</v>
      </c>
      <c r="C13" s="263" t="n">
        <v>57</v>
      </c>
      <c r="D13" s="263" t="n">
        <v>256</v>
      </c>
      <c r="E13" s="263" t="n">
        <v>120</v>
      </c>
      <c r="F13" s="263" t="n">
        <v>412</v>
      </c>
      <c r="G13" s="263" t="n">
        <v>193</v>
      </c>
      <c r="H13" s="264" t="n">
        <v>1296</v>
      </c>
      <c r="I13" s="263" t="n">
        <v>612</v>
      </c>
      <c r="J13" s="264" t="n">
        <v>2078</v>
      </c>
      <c r="K13" s="263" t="n">
        <v>982</v>
      </c>
    </row>
    <row r="14" ht="14" customHeight="1" s="227">
      <c r="A14" s="28" t="inlineStr">
        <is>
          <t>Kratie</t>
        </is>
      </c>
      <c r="B14" s="263" t="n">
        <v>131</v>
      </c>
      <c r="C14" s="263" t="n">
        <v>82</v>
      </c>
      <c r="D14" s="263" t="n">
        <v>675</v>
      </c>
      <c r="E14" s="263" t="n">
        <v>321</v>
      </c>
      <c r="F14" s="264" t="n">
        <v>2536</v>
      </c>
      <c r="G14" s="264" t="n">
        <v>1235</v>
      </c>
      <c r="H14" s="263" t="n">
        <v>554</v>
      </c>
      <c r="I14" s="263" t="n">
        <v>287</v>
      </c>
      <c r="J14" s="264" t="n">
        <v>3896</v>
      </c>
      <c r="K14" s="264" t="n">
        <v>1925</v>
      </c>
    </row>
    <row r="15" ht="14" customHeight="1" s="227">
      <c r="A15" s="28" t="inlineStr">
        <is>
          <t>Mondul Kiri</t>
        </is>
      </c>
      <c r="B15" s="263" t="n">
        <v>63</v>
      </c>
      <c r="C15" s="263" t="n">
        <v>30</v>
      </c>
      <c r="D15" s="263" t="n">
        <v>131</v>
      </c>
      <c r="E15" s="263" t="n">
        <v>74</v>
      </c>
      <c r="F15" s="263" t="n">
        <v>202</v>
      </c>
      <c r="G15" s="263" t="n">
        <v>95</v>
      </c>
      <c r="H15" s="263" t="n">
        <v>683</v>
      </c>
      <c r="I15" s="263" t="n">
        <v>331</v>
      </c>
      <c r="J15" s="264" t="n">
        <v>1079</v>
      </c>
      <c r="K15" s="263" t="n">
        <v>530</v>
      </c>
    </row>
    <row r="16" ht="14" customHeight="1" s="227">
      <c r="A16" s="28" t="inlineStr">
        <is>
          <t>Otdar Meanchey</t>
        </is>
      </c>
      <c r="B16" s="263" t="n">
        <v>73</v>
      </c>
      <c r="C16" s="263" t="n">
        <v>34</v>
      </c>
      <c r="D16" s="263" t="n">
        <v>396</v>
      </c>
      <c r="E16" s="263" t="n">
        <v>187</v>
      </c>
      <c r="F16" s="264" t="n">
        <v>1297</v>
      </c>
      <c r="G16" s="263" t="n">
        <v>638</v>
      </c>
      <c r="H16" s="264" t="n">
        <v>1886</v>
      </c>
      <c r="I16" s="263" t="n">
        <v>929</v>
      </c>
      <c r="J16" s="264" t="n">
        <v>3652</v>
      </c>
      <c r="K16" s="264" t="n">
        <v>1788</v>
      </c>
    </row>
    <row r="17" ht="14" customHeight="1" s="227">
      <c r="A17" s="28" t="inlineStr">
        <is>
          <t>Pailin</t>
        </is>
      </c>
      <c r="B17" s="263" t="n">
        <v>107</v>
      </c>
      <c r="C17" s="263" t="n">
        <v>63</v>
      </c>
      <c r="D17" s="263" t="n">
        <v>214</v>
      </c>
      <c r="E17" s="263" t="n">
        <v>112</v>
      </c>
      <c r="F17" s="263" t="n">
        <v>357</v>
      </c>
      <c r="G17" s="263" t="n">
        <v>187</v>
      </c>
      <c r="H17" s="263" t="n">
        <v>414</v>
      </c>
      <c r="I17" s="263" t="n">
        <v>203</v>
      </c>
      <c r="J17" s="264" t="n">
        <v>1092</v>
      </c>
      <c r="K17" s="263" t="n">
        <v>565</v>
      </c>
    </row>
    <row r="18" ht="14" customHeight="1" s="227">
      <c r="A18" s="28" t="inlineStr">
        <is>
          <t>Phnom Penh</t>
        </is>
      </c>
      <c r="B18" s="263" t="n">
        <v>663</v>
      </c>
      <c r="C18" s="263" t="n">
        <v>327</v>
      </c>
      <c r="D18" s="264" t="n">
        <v>1018</v>
      </c>
      <c r="E18" s="263" t="n">
        <v>528</v>
      </c>
      <c r="F18" s="264" t="n">
        <v>9035</v>
      </c>
      <c r="G18" s="264" t="n">
        <v>4297</v>
      </c>
      <c r="H18" s="263" t="n">
        <v>185</v>
      </c>
      <c r="I18" s="263" t="n">
        <v>95</v>
      </c>
      <c r="J18" s="264" t="n">
        <v>10901</v>
      </c>
      <c r="K18" s="264" t="n">
        <v>5247</v>
      </c>
    </row>
    <row r="19" ht="14" customHeight="1" s="227">
      <c r="A19" s="28" t="inlineStr">
        <is>
          <t>Preah Sihanouk</t>
        </is>
      </c>
      <c r="B19" s="263" t="n">
        <v>56</v>
      </c>
      <c r="C19" s="263" t="n">
        <v>23</v>
      </c>
      <c r="D19" s="263" t="n">
        <v>212</v>
      </c>
      <c r="E19" s="263" t="n">
        <v>107</v>
      </c>
      <c r="F19" s="264" t="n">
        <v>1181</v>
      </c>
      <c r="G19" s="263" t="n">
        <v>596</v>
      </c>
      <c r="H19" s="263" t="n">
        <v>946</v>
      </c>
      <c r="I19" s="263" t="n">
        <v>507</v>
      </c>
      <c r="J19" s="264" t="n">
        <v>2395</v>
      </c>
      <c r="K19" s="264" t="n">
        <v>1233</v>
      </c>
    </row>
    <row r="20" ht="14" customHeight="1" s="227">
      <c r="A20" s="28" t="inlineStr">
        <is>
          <t>Preah Vihear</t>
        </is>
      </c>
      <c r="B20" s="263" t="n">
        <v>198</v>
      </c>
      <c r="C20" s="263" t="n">
        <v>98</v>
      </c>
      <c r="D20" s="263" t="n">
        <v>405</v>
      </c>
      <c r="E20" s="263" t="n">
        <v>223</v>
      </c>
      <c r="F20" s="263" t="n">
        <v>967</v>
      </c>
      <c r="G20" s="263" t="n">
        <v>454</v>
      </c>
      <c r="H20" s="264" t="n">
        <v>2252</v>
      </c>
      <c r="I20" s="264" t="n">
        <v>1165</v>
      </c>
      <c r="J20" s="264" t="n">
        <v>3822</v>
      </c>
      <c r="K20" s="264" t="n">
        <v>1940</v>
      </c>
    </row>
    <row r="21" ht="14" customHeight="1" s="227">
      <c r="A21" s="28" t="inlineStr">
        <is>
          <t>Prey Veng</t>
        </is>
      </c>
      <c r="B21" s="263" t="n">
        <v>329</v>
      </c>
      <c r="C21" s="263" t="n">
        <v>169</v>
      </c>
      <c r="D21" s="264" t="n">
        <v>2695</v>
      </c>
      <c r="E21" s="264" t="n">
        <v>1348</v>
      </c>
      <c r="F21" s="264" t="n">
        <v>12185</v>
      </c>
      <c r="G21" s="264" t="n">
        <v>5952</v>
      </c>
      <c r="H21" s="263" t="n">
        <v>292</v>
      </c>
      <c r="I21" s="263" t="n">
        <v>156</v>
      </c>
      <c r="J21" s="264" t="n">
        <v>15501</v>
      </c>
      <c r="K21" s="264" t="n">
        <v>7625</v>
      </c>
    </row>
    <row r="22" ht="14" customHeight="1" s="227">
      <c r="A22" s="28" t="inlineStr">
        <is>
          <t>Pursat</t>
        </is>
      </c>
      <c r="B22" s="263" t="n">
        <v>567</v>
      </c>
      <c r="C22" s="263" t="n">
        <v>302</v>
      </c>
      <c r="D22" s="264" t="n">
        <v>1631</v>
      </c>
      <c r="E22" s="263" t="n">
        <v>830</v>
      </c>
      <c r="F22" s="264" t="n">
        <v>3758</v>
      </c>
      <c r="G22" s="264" t="n">
        <v>1876</v>
      </c>
      <c r="H22" s="264" t="n">
        <v>2431</v>
      </c>
      <c r="I22" s="264" t="n">
        <v>1259</v>
      </c>
      <c r="J22" s="264" t="n">
        <v>8387</v>
      </c>
      <c r="K22" s="264" t="n">
        <v>4267</v>
      </c>
    </row>
    <row r="23" ht="14" customHeight="1" s="227">
      <c r="A23" s="28" t="inlineStr">
        <is>
          <t>Ratanak Kiri</t>
        </is>
      </c>
      <c r="B23" s="263" t="n">
        <v>171</v>
      </c>
      <c r="C23" s="263" t="n">
        <v>77</v>
      </c>
      <c r="D23" s="263" t="n">
        <v>433</v>
      </c>
      <c r="E23" s="263" t="n">
        <v>218</v>
      </c>
      <c r="F23" s="264" t="n">
        <v>1217</v>
      </c>
      <c r="G23" s="263" t="n">
        <v>591</v>
      </c>
      <c r="H23" s="263" t="n">
        <v>601</v>
      </c>
      <c r="I23" s="263" t="n">
        <v>292</v>
      </c>
      <c r="J23" s="264" t="n">
        <v>2422</v>
      </c>
      <c r="K23" s="264" t="n">
        <v>1178</v>
      </c>
    </row>
    <row r="24" ht="14" customHeight="1" s="227">
      <c r="A24" s="28" t="inlineStr">
        <is>
          <t>Siemreap</t>
        </is>
      </c>
      <c r="B24" s="264" t="n">
        <v>1282</v>
      </c>
      <c r="C24" s="263" t="n">
        <v>665</v>
      </c>
      <c r="D24" s="264" t="n">
        <v>5710</v>
      </c>
      <c r="E24" s="264" t="n">
        <v>3017</v>
      </c>
      <c r="F24" s="264" t="n">
        <v>13673</v>
      </c>
      <c r="G24" s="264" t="n">
        <v>6884</v>
      </c>
      <c r="H24" s="264" t="n">
        <v>5351</v>
      </c>
      <c r="I24" s="264" t="n">
        <v>2728</v>
      </c>
      <c r="J24" s="264" t="n">
        <v>26016</v>
      </c>
      <c r="K24" s="264" t="n">
        <v>13294</v>
      </c>
    </row>
    <row r="25" ht="14" customHeight="1" s="227">
      <c r="A25" s="28" t="inlineStr">
        <is>
          <t>Stung Treng</t>
        </is>
      </c>
      <c r="B25" s="263" t="n">
        <v>60</v>
      </c>
      <c r="C25" s="263" t="n">
        <v>32</v>
      </c>
      <c r="D25" s="263" t="n">
        <v>119</v>
      </c>
      <c r="E25" s="263" t="n">
        <v>48</v>
      </c>
      <c r="F25" s="263" t="n">
        <v>328</v>
      </c>
      <c r="G25" s="263" t="n">
        <v>161</v>
      </c>
      <c r="H25" s="263" t="n">
        <v>708</v>
      </c>
      <c r="I25" s="263" t="n">
        <v>339</v>
      </c>
      <c r="J25" s="264" t="n">
        <v>1215</v>
      </c>
      <c r="K25" s="263" t="n">
        <v>580</v>
      </c>
    </row>
    <row r="26" ht="14" customHeight="1" s="227">
      <c r="A26" s="28" t="inlineStr">
        <is>
          <t>Svay Rieng</t>
        </is>
      </c>
      <c r="B26" s="263" t="n">
        <v>211</v>
      </c>
      <c r="C26" s="263" t="n">
        <v>108</v>
      </c>
      <c r="D26" s="264" t="n">
        <v>1155</v>
      </c>
      <c r="E26" s="263" t="n">
        <v>590</v>
      </c>
      <c r="F26" s="264" t="n">
        <v>3441</v>
      </c>
      <c r="G26" s="264" t="n">
        <v>1771</v>
      </c>
      <c r="H26" s="264" t="n">
        <v>2950</v>
      </c>
      <c r="I26" s="264" t="n">
        <v>1464</v>
      </c>
      <c r="J26" s="264" t="n">
        <v>7757</v>
      </c>
      <c r="K26" s="264" t="n">
        <v>3933</v>
      </c>
    </row>
    <row r="27" ht="14" customHeight="1" s="227">
      <c r="A27" s="28" t="inlineStr">
        <is>
          <t>Takeo</t>
        </is>
      </c>
      <c r="B27" s="263" t="n">
        <v>355</v>
      </c>
      <c r="C27" s="263" t="n">
        <v>189</v>
      </c>
      <c r="D27" s="264" t="n">
        <v>1877</v>
      </c>
      <c r="E27" s="263" t="n">
        <v>940</v>
      </c>
      <c r="F27" s="264" t="n">
        <v>8554</v>
      </c>
      <c r="G27" s="264" t="n">
        <v>4192</v>
      </c>
      <c r="H27" s="264" t="n">
        <v>1443</v>
      </c>
      <c r="I27" s="263" t="n">
        <v>704</v>
      </c>
      <c r="J27" s="264" t="n">
        <v>12229</v>
      </c>
      <c r="K27" s="264" t="n">
        <v>6025</v>
      </c>
    </row>
    <row r="28" ht="14" customHeight="1" s="227">
      <c r="A28" s="28" t="inlineStr">
        <is>
          <t>Tbaung Khmum</t>
        </is>
      </c>
      <c r="B28" s="263" t="n">
        <v>406</v>
      </c>
      <c r="C28" s="263" t="n">
        <v>218</v>
      </c>
      <c r="D28" s="264" t="n">
        <v>3814</v>
      </c>
      <c r="E28" s="264" t="n">
        <v>1869</v>
      </c>
      <c r="F28" s="264" t="n">
        <v>7407</v>
      </c>
      <c r="G28" s="264" t="n">
        <v>3620</v>
      </c>
      <c r="H28" s="264" t="n">
        <v>1747</v>
      </c>
      <c r="I28" s="263" t="n">
        <v>822</v>
      </c>
      <c r="J28" s="264" t="n">
        <v>13374</v>
      </c>
      <c r="K28" s="264" t="n">
        <v>6529</v>
      </c>
    </row>
    <row r="29" ht="17" customHeight="1" s="227">
      <c r="A29" s="22" t="inlineStr">
        <is>
          <t>Whole Kingdom</t>
        </is>
      </c>
      <c r="B29" s="264" t="n">
        <v>9483</v>
      </c>
      <c r="C29" s="264" t="n">
        <v>4903</v>
      </c>
      <c r="D29" s="264" t="n">
        <v>40056</v>
      </c>
      <c r="E29" s="264" t="n">
        <v>20284</v>
      </c>
      <c r="F29" s="264" t="n">
        <v>123142</v>
      </c>
      <c r="G29" s="264" t="n">
        <v>60355</v>
      </c>
      <c r="H29" s="264" t="n">
        <v>44828</v>
      </c>
      <c r="I29" s="264" t="n">
        <v>22538</v>
      </c>
      <c r="J29" s="264" t="n">
        <v>217509</v>
      </c>
      <c r="K29" s="264" t="n">
        <v>108080</v>
      </c>
    </row>
    <row r="30" ht="14" customHeight="1" s="227">
      <c r="A30" s="28" t="inlineStr">
        <is>
          <t>-  Urban Area</t>
        </is>
      </c>
      <c r="B30" s="264" t="n">
        <v>3276</v>
      </c>
      <c r="C30" s="264" t="n">
        <v>1654</v>
      </c>
      <c r="D30" s="264" t="n">
        <v>7984</v>
      </c>
      <c r="E30" s="264" t="n">
        <v>4036</v>
      </c>
      <c r="F30" s="264" t="n">
        <v>22849</v>
      </c>
      <c r="G30" s="264" t="n">
        <v>11144</v>
      </c>
      <c r="H30" s="264" t="n">
        <v>4687</v>
      </c>
      <c r="I30" s="264" t="n">
        <v>2344</v>
      </c>
      <c r="J30" s="264" t="n">
        <v>38796</v>
      </c>
      <c r="K30" s="264" t="n">
        <v>19178</v>
      </c>
    </row>
    <row r="31" ht="14" customHeight="1" s="227">
      <c r="A31" s="28" t="inlineStr">
        <is>
          <t>-  Rural Area</t>
        </is>
      </c>
      <c r="B31" s="264" t="n">
        <v>6207</v>
      </c>
      <c r="C31" s="264" t="n">
        <v>3249</v>
      </c>
      <c r="D31" s="264" t="n">
        <v>32072</v>
      </c>
      <c r="E31" s="264" t="n">
        <v>16248</v>
      </c>
      <c r="F31" s="264" t="n">
        <v>100293</v>
      </c>
      <c r="G31" s="264" t="n">
        <v>49211</v>
      </c>
      <c r="H31" s="264" t="n">
        <v>40141</v>
      </c>
      <c r="I31" s="264" t="n">
        <v>20194</v>
      </c>
      <c r="J31" s="264" t="n">
        <v>178713</v>
      </c>
      <c r="K31" s="264" t="n">
        <v>88902</v>
      </c>
    </row>
  </sheetData>
  <mergeCells count="7">
    <mergeCell ref="F2:G2"/>
    <mergeCell ref="B2:C2"/>
    <mergeCell ref="H2:I2"/>
    <mergeCell ref="D2:E2"/>
    <mergeCell ref="J2:K2"/>
    <mergeCell ref="A2:A3"/>
    <mergeCell ref="A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005B9BD5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5.333333" customWidth="1" style="227" min="1" max="1"/>
    <col width="12.444444" customWidth="1" style="227" min="2" max="2"/>
    <col width="12.444444" customWidth="1" style="227" min="3" max="3"/>
    <col width="11.555556" customWidth="1" style="227" min="4" max="4"/>
    <col width="11.555556" customWidth="1" style="227" min="5" max="5"/>
    <col width="11.777778" customWidth="1" style="227" min="6" max="6"/>
    <col width="11.555556" customWidth="1" style="227" min="7" max="7"/>
    <col width="11.777778" customWidth="1" style="227" min="8" max="8"/>
    <col width="11.555556" customWidth="1" style="227" min="9" max="9"/>
    <col width="11.777778" customWidth="1" style="227" min="10" max="10"/>
    <col width="11.555556" customWidth="1" style="227" min="11" max="11"/>
    <col width="11.777778" customWidth="1" style="227" min="12" max="12"/>
    <col width="11.555556" customWidth="1" style="227" min="13" max="13"/>
  </cols>
  <sheetData>
    <row r="1" ht="31" customHeight="1" s="227">
      <c r="A1" s="2" t="inlineStr">
        <is>
          <t>Table 16: Enrollment and Repeaters by Grade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" t="inlineStr">
        <is>
          <t>Province</t>
        </is>
      </c>
      <c r="B2" s="11" t="inlineStr">
        <is>
          <t>Enrollment in Grade 1</t>
        </is>
      </c>
      <c r="C2" s="257" t="n"/>
      <c r="D2" s="11" t="inlineStr">
        <is>
          <t>Repeaters in Grade 1</t>
        </is>
      </c>
      <c r="E2" s="257" t="n"/>
      <c r="F2" s="11" t="inlineStr">
        <is>
          <t>Enrollment in Grade 2</t>
        </is>
      </c>
      <c r="G2" s="257" t="n"/>
      <c r="H2" s="11" t="inlineStr">
        <is>
          <t>Repeaters in Grade 2</t>
        </is>
      </c>
      <c r="I2" s="257" t="n"/>
      <c r="J2" s="11" t="inlineStr">
        <is>
          <t>Enrollment in Grade 3</t>
        </is>
      </c>
      <c r="K2" s="257" t="n"/>
      <c r="L2" s="11" t="inlineStr">
        <is>
          <t>Repeaters in Grade 3</t>
        </is>
      </c>
      <c r="M2" s="257" t="n"/>
    </row>
    <row r="3" ht="18" customHeight="1" s="227">
      <c r="A3" s="258" t="n"/>
      <c r="B3" s="20" t="inlineStr">
        <is>
          <t>Total</t>
        </is>
      </c>
      <c r="C3" s="20" t="inlineStr">
        <is>
          <t>Girl</t>
        </is>
      </c>
      <c r="D3" s="11" t="inlineStr">
        <is>
          <t>Total</t>
        </is>
      </c>
      <c r="E3" s="20" t="inlineStr">
        <is>
          <t>Girl</t>
        </is>
      </c>
      <c r="F3" s="11" t="inlineStr">
        <is>
          <t>Total</t>
        </is>
      </c>
      <c r="G3" s="20" t="inlineStr">
        <is>
          <t>Girl</t>
        </is>
      </c>
      <c r="H3" s="11" t="inlineStr">
        <is>
          <t>Total</t>
        </is>
      </c>
      <c r="I3" s="20" t="inlineStr">
        <is>
          <t>Girl</t>
        </is>
      </c>
      <c r="J3" s="11" t="inlineStr">
        <is>
          <t>Total</t>
        </is>
      </c>
      <c r="K3" s="20" t="inlineStr">
        <is>
          <t>Girl</t>
        </is>
      </c>
      <c r="L3" s="11" t="inlineStr">
        <is>
          <t>Total</t>
        </is>
      </c>
      <c r="M3" s="20" t="inlineStr">
        <is>
          <t>Girl</t>
        </is>
      </c>
    </row>
    <row r="4" ht="14" customHeight="1" s="227">
      <c r="A4" s="28" t="inlineStr">
        <is>
          <t>Banteay Meanchey</t>
        </is>
      </c>
      <c r="B4" s="264" t="n">
        <v>18465</v>
      </c>
      <c r="C4" s="264" t="n">
        <v>8748</v>
      </c>
      <c r="D4" s="264" t="n">
        <v>1074</v>
      </c>
      <c r="E4" s="263" t="n">
        <v>412</v>
      </c>
      <c r="F4" s="264" t="n">
        <v>17049</v>
      </c>
      <c r="G4" s="264" t="n">
        <v>8062</v>
      </c>
      <c r="H4" s="263" t="n">
        <v>817</v>
      </c>
      <c r="I4" s="263" t="n">
        <v>256</v>
      </c>
      <c r="J4" s="264" t="n">
        <v>16656</v>
      </c>
      <c r="K4" s="264" t="n">
        <v>7974</v>
      </c>
      <c r="L4" s="263" t="n">
        <v>576</v>
      </c>
      <c r="M4" s="263" t="n">
        <v>211</v>
      </c>
    </row>
    <row r="5" ht="14" customHeight="1" s="227">
      <c r="A5" s="28" t="inlineStr">
        <is>
          <t>Battambang</t>
        </is>
      </c>
      <c r="B5" s="264" t="n">
        <v>34641</v>
      </c>
      <c r="C5" s="264" t="n">
        <v>16139</v>
      </c>
      <c r="D5" s="264" t="n">
        <v>4037</v>
      </c>
      <c r="E5" s="264" t="n">
        <v>1512</v>
      </c>
      <c r="F5" s="264" t="n">
        <v>31386</v>
      </c>
      <c r="G5" s="264" t="n">
        <v>14626</v>
      </c>
      <c r="H5" s="264" t="n">
        <v>2462</v>
      </c>
      <c r="I5" s="263" t="n">
        <v>852</v>
      </c>
      <c r="J5" s="264" t="n">
        <v>29023</v>
      </c>
      <c r="K5" s="264" t="n">
        <v>13746</v>
      </c>
      <c r="L5" s="264" t="n">
        <v>1708</v>
      </c>
      <c r="M5" s="263" t="n">
        <v>607</v>
      </c>
    </row>
    <row r="6" ht="15" customHeight="1" s="227">
      <c r="A6" s="28" t="inlineStr">
        <is>
          <t>Kampong Cham</t>
        </is>
      </c>
      <c r="B6" s="264" t="n">
        <v>27237</v>
      </c>
      <c r="C6" s="264" t="n">
        <v>12570</v>
      </c>
      <c r="D6" s="264" t="n">
        <v>3946</v>
      </c>
      <c r="E6" s="264" t="n">
        <v>1498</v>
      </c>
      <c r="F6" s="264" t="n">
        <v>25534</v>
      </c>
      <c r="G6" s="264" t="n">
        <v>11826</v>
      </c>
      <c r="H6" s="264" t="n">
        <v>2868</v>
      </c>
      <c r="I6" s="264" t="n">
        <v>1055</v>
      </c>
      <c r="J6" s="264" t="n">
        <v>24421</v>
      </c>
      <c r="K6" s="264" t="n">
        <v>11297</v>
      </c>
      <c r="L6" s="264" t="n">
        <v>2210</v>
      </c>
      <c r="M6" s="263" t="n">
        <v>773</v>
      </c>
    </row>
    <row r="7" ht="14" customHeight="1" s="227">
      <c r="A7" s="28" t="inlineStr">
        <is>
          <t>Kampong Chhnang</t>
        </is>
      </c>
      <c r="B7" s="264" t="n">
        <v>13264</v>
      </c>
      <c r="C7" s="264" t="n">
        <v>6211</v>
      </c>
      <c r="D7" s="264" t="n">
        <v>1395</v>
      </c>
      <c r="E7" s="263" t="n">
        <v>502</v>
      </c>
      <c r="F7" s="264" t="n">
        <v>12580</v>
      </c>
      <c r="G7" s="264" t="n">
        <v>5995</v>
      </c>
      <c r="H7" s="264" t="n">
        <v>1002</v>
      </c>
      <c r="I7" s="263" t="n">
        <v>307</v>
      </c>
      <c r="J7" s="264" t="n">
        <v>12692</v>
      </c>
      <c r="K7" s="264" t="n">
        <v>6023</v>
      </c>
      <c r="L7" s="263" t="n">
        <v>838</v>
      </c>
      <c r="M7" s="263" t="n">
        <v>283</v>
      </c>
    </row>
    <row r="8" ht="14" customHeight="1" s="227">
      <c r="A8" s="28" t="inlineStr">
        <is>
          <t>Kampong Speu</t>
        </is>
      </c>
      <c r="B8" s="264" t="n">
        <v>19320</v>
      </c>
      <c r="C8" s="264" t="n">
        <v>9030</v>
      </c>
      <c r="D8" s="264" t="n">
        <v>1679</v>
      </c>
      <c r="E8" s="263" t="n">
        <v>647</v>
      </c>
      <c r="F8" s="264" t="n">
        <v>18429</v>
      </c>
      <c r="G8" s="264" t="n">
        <v>8671</v>
      </c>
      <c r="H8" s="264" t="n">
        <v>1210</v>
      </c>
      <c r="I8" s="263" t="n">
        <v>440</v>
      </c>
      <c r="J8" s="264" t="n">
        <v>18766</v>
      </c>
      <c r="K8" s="264" t="n">
        <v>8879</v>
      </c>
      <c r="L8" s="263" t="n">
        <v>915</v>
      </c>
      <c r="M8" s="263" t="n">
        <v>322</v>
      </c>
    </row>
    <row r="9" ht="14" customHeight="1" s="227">
      <c r="A9" s="28" t="inlineStr">
        <is>
          <t>Kampong Thom</t>
        </is>
      </c>
      <c r="B9" s="264" t="n">
        <v>20195</v>
      </c>
      <c r="C9" s="264" t="n">
        <v>9510</v>
      </c>
      <c r="D9" s="264" t="n">
        <v>2600</v>
      </c>
      <c r="E9" s="264" t="n">
        <v>1052</v>
      </c>
      <c r="F9" s="264" t="n">
        <v>17887</v>
      </c>
      <c r="G9" s="264" t="n">
        <v>8373</v>
      </c>
      <c r="H9" s="264" t="n">
        <v>1713</v>
      </c>
      <c r="I9" s="263" t="n">
        <v>629</v>
      </c>
      <c r="J9" s="264" t="n">
        <v>17260</v>
      </c>
      <c r="K9" s="264" t="n">
        <v>8287</v>
      </c>
      <c r="L9" s="264" t="n">
        <v>1307</v>
      </c>
      <c r="M9" s="263" t="n">
        <v>475</v>
      </c>
    </row>
    <row r="10" ht="14" customHeight="1" s="227">
      <c r="A10" s="28" t="inlineStr">
        <is>
          <t>Kampot</t>
        </is>
      </c>
      <c r="B10" s="264" t="n">
        <v>14257</v>
      </c>
      <c r="C10" s="264" t="n">
        <v>6505</v>
      </c>
      <c r="D10" s="264" t="n">
        <v>1212</v>
      </c>
      <c r="E10" s="263" t="n">
        <v>415</v>
      </c>
      <c r="F10" s="264" t="n">
        <v>13208</v>
      </c>
      <c r="G10" s="264" t="n">
        <v>6179</v>
      </c>
      <c r="H10" s="263" t="n">
        <v>681</v>
      </c>
      <c r="I10" s="263" t="n">
        <v>229</v>
      </c>
      <c r="J10" s="264" t="n">
        <v>13185</v>
      </c>
      <c r="K10" s="264" t="n">
        <v>6234</v>
      </c>
      <c r="L10" s="263" t="n">
        <v>599</v>
      </c>
      <c r="M10" s="263" t="n">
        <v>206</v>
      </c>
    </row>
    <row r="11" ht="14" customHeight="1" s="227">
      <c r="A11" s="28" t="inlineStr">
        <is>
          <t>Kandal</t>
        </is>
      </c>
      <c r="B11" s="264" t="n">
        <v>29530</v>
      </c>
      <c r="C11" s="264" t="n">
        <v>13885</v>
      </c>
      <c r="D11" s="264" t="n">
        <v>3777</v>
      </c>
      <c r="E11" s="264" t="n">
        <v>1413</v>
      </c>
      <c r="F11" s="264" t="n">
        <v>27462</v>
      </c>
      <c r="G11" s="264" t="n">
        <v>12497</v>
      </c>
      <c r="H11" s="264" t="n">
        <v>2796</v>
      </c>
      <c r="I11" s="263" t="n">
        <v>963</v>
      </c>
      <c r="J11" s="264" t="n">
        <v>27160</v>
      </c>
      <c r="K11" s="264" t="n">
        <v>12455</v>
      </c>
      <c r="L11" s="264" t="n">
        <v>2310</v>
      </c>
      <c r="M11" s="263" t="n">
        <v>830</v>
      </c>
    </row>
    <row r="12" ht="14" customHeight="1" s="227">
      <c r="A12" s="28" t="inlineStr">
        <is>
          <t>Kep</t>
        </is>
      </c>
      <c r="B12" s="264" t="n">
        <v>1041</v>
      </c>
      <c r="C12" s="263" t="n">
        <v>510</v>
      </c>
      <c r="D12" s="263" t="n">
        <v>94</v>
      </c>
      <c r="E12" s="263" t="n">
        <v>41</v>
      </c>
      <c r="F12" s="263" t="n">
        <v>921</v>
      </c>
      <c r="G12" s="263" t="n">
        <v>428</v>
      </c>
      <c r="H12" s="263" t="n">
        <v>49</v>
      </c>
      <c r="I12" s="263" t="n">
        <v>13</v>
      </c>
      <c r="J12" s="263" t="n">
        <v>878</v>
      </c>
      <c r="K12" s="263" t="n">
        <v>437</v>
      </c>
      <c r="L12" s="263" t="n">
        <v>47</v>
      </c>
      <c r="M12" s="263" t="n">
        <v>20</v>
      </c>
    </row>
    <row r="13" ht="14" customHeight="1" s="227">
      <c r="A13" s="28" t="inlineStr">
        <is>
          <t>Koh Kong</t>
        </is>
      </c>
      <c r="B13" s="264" t="n">
        <v>3272</v>
      </c>
      <c r="C13" s="264" t="n">
        <v>1546</v>
      </c>
      <c r="D13" s="263" t="n">
        <v>258</v>
      </c>
      <c r="E13" s="263" t="n">
        <v>98</v>
      </c>
      <c r="F13" s="264" t="n">
        <v>3080</v>
      </c>
      <c r="G13" s="264" t="n">
        <v>1424</v>
      </c>
      <c r="H13" s="263" t="n">
        <v>160</v>
      </c>
      <c r="I13" s="263" t="n">
        <v>57</v>
      </c>
      <c r="J13" s="264" t="n">
        <v>2734</v>
      </c>
      <c r="K13" s="264" t="n">
        <v>1299</v>
      </c>
      <c r="L13" s="263" t="n">
        <v>109</v>
      </c>
      <c r="M13" s="263" t="n">
        <v>44</v>
      </c>
    </row>
    <row r="14" ht="14" customHeight="1" s="227">
      <c r="A14" s="28" t="inlineStr">
        <is>
          <t>Kratie</t>
        </is>
      </c>
      <c r="B14" s="264" t="n">
        <v>13865</v>
      </c>
      <c r="C14" s="264" t="n">
        <v>6541</v>
      </c>
      <c r="D14" s="264" t="n">
        <v>1820</v>
      </c>
      <c r="E14" s="263" t="n">
        <v>703</v>
      </c>
      <c r="F14" s="264" t="n">
        <v>12258</v>
      </c>
      <c r="G14" s="264" t="n">
        <v>5633</v>
      </c>
      <c r="H14" s="264" t="n">
        <v>1162</v>
      </c>
      <c r="I14" s="263" t="n">
        <v>452</v>
      </c>
      <c r="J14" s="264" t="n">
        <v>11030</v>
      </c>
      <c r="K14" s="264" t="n">
        <v>5236</v>
      </c>
      <c r="L14" s="263" t="n">
        <v>847</v>
      </c>
      <c r="M14" s="263" t="n">
        <v>314</v>
      </c>
    </row>
    <row r="15" ht="14" customHeight="1" s="227">
      <c r="A15" s="28" t="inlineStr">
        <is>
          <t>Mondul Kiri</t>
        </is>
      </c>
      <c r="B15" s="264" t="n">
        <v>3188</v>
      </c>
      <c r="C15" s="264" t="n">
        <v>1579</v>
      </c>
      <c r="D15" s="263" t="n">
        <v>241</v>
      </c>
      <c r="E15" s="263" t="n">
        <v>101</v>
      </c>
      <c r="F15" s="264" t="n">
        <v>2743</v>
      </c>
      <c r="G15" s="264" t="n">
        <v>1245</v>
      </c>
      <c r="H15" s="263" t="n">
        <v>174</v>
      </c>
      <c r="I15" s="263" t="n">
        <v>62</v>
      </c>
      <c r="J15" s="264" t="n">
        <v>2707</v>
      </c>
      <c r="K15" s="264" t="n">
        <v>1389</v>
      </c>
      <c r="L15" s="263" t="n">
        <v>125</v>
      </c>
      <c r="M15" s="263" t="n">
        <v>53</v>
      </c>
    </row>
    <row r="16" ht="14" customHeight="1" s="227">
      <c r="A16" s="28" t="inlineStr">
        <is>
          <t>Otdar Meanchey</t>
        </is>
      </c>
      <c r="B16" s="264" t="n">
        <v>7697</v>
      </c>
      <c r="C16" s="264" t="n">
        <v>3525</v>
      </c>
      <c r="D16" s="264" t="n">
        <v>1083</v>
      </c>
      <c r="E16" s="263" t="n">
        <v>406</v>
      </c>
      <c r="F16" s="264" t="n">
        <v>6826</v>
      </c>
      <c r="G16" s="264" t="n">
        <v>3139</v>
      </c>
      <c r="H16" s="263" t="n">
        <v>710</v>
      </c>
      <c r="I16" s="263" t="n">
        <v>262</v>
      </c>
      <c r="J16" s="264" t="n">
        <v>6564</v>
      </c>
      <c r="K16" s="264" t="n">
        <v>3144</v>
      </c>
      <c r="L16" s="263" t="n">
        <v>542</v>
      </c>
      <c r="M16" s="263" t="n">
        <v>202</v>
      </c>
    </row>
    <row r="17" ht="14" customHeight="1" s="227">
      <c r="A17" s="28" t="inlineStr">
        <is>
          <t>Pailin</t>
        </is>
      </c>
      <c r="B17" s="264" t="n">
        <v>2068</v>
      </c>
      <c r="C17" s="263" t="n">
        <v>998</v>
      </c>
      <c r="D17" s="263" t="n">
        <v>198</v>
      </c>
      <c r="E17" s="263" t="n">
        <v>61</v>
      </c>
      <c r="F17" s="264" t="n">
        <v>1870</v>
      </c>
      <c r="G17" s="263" t="n">
        <v>842</v>
      </c>
      <c r="H17" s="263" t="n">
        <v>144</v>
      </c>
      <c r="I17" s="263" t="n">
        <v>48</v>
      </c>
      <c r="J17" s="264" t="n">
        <v>1782</v>
      </c>
      <c r="K17" s="263" t="n">
        <v>817</v>
      </c>
      <c r="L17" s="263" t="n">
        <v>150</v>
      </c>
      <c r="M17" s="263" t="n">
        <v>48</v>
      </c>
    </row>
    <row r="18" ht="14" customHeight="1" s="227">
      <c r="A18" s="28" t="inlineStr">
        <is>
          <t>Phnom Penh</t>
        </is>
      </c>
      <c r="B18" s="264" t="n">
        <v>25905</v>
      </c>
      <c r="C18" s="264" t="n">
        <v>11913</v>
      </c>
      <c r="D18" s="264" t="n">
        <v>1373</v>
      </c>
      <c r="E18" s="263" t="n">
        <v>478</v>
      </c>
      <c r="F18" s="264" t="n">
        <v>23256</v>
      </c>
      <c r="G18" s="264" t="n">
        <v>10768</v>
      </c>
      <c r="H18" s="263" t="n">
        <v>901</v>
      </c>
      <c r="I18" s="263" t="n">
        <v>267</v>
      </c>
      <c r="J18" s="264" t="n">
        <v>21667</v>
      </c>
      <c r="K18" s="264" t="n">
        <v>10083</v>
      </c>
      <c r="L18" s="263" t="n">
        <v>681</v>
      </c>
      <c r="M18" s="263" t="n">
        <v>218</v>
      </c>
    </row>
    <row r="19" ht="14" customHeight="1" s="227">
      <c r="A19" s="28" t="inlineStr">
        <is>
          <t>Preah Sihanouk</t>
        </is>
      </c>
      <c r="B19" s="264" t="n">
        <v>5150</v>
      </c>
      <c r="C19" s="264" t="n">
        <v>2464</v>
      </c>
      <c r="D19" s="263" t="n">
        <v>301</v>
      </c>
      <c r="E19" s="263" t="n">
        <v>111</v>
      </c>
      <c r="F19" s="264" t="n">
        <v>4675</v>
      </c>
      <c r="G19" s="264" t="n">
        <v>2241</v>
      </c>
      <c r="H19" s="263" t="n">
        <v>168</v>
      </c>
      <c r="I19" s="263" t="n">
        <v>70</v>
      </c>
      <c r="J19" s="264" t="n">
        <v>4425</v>
      </c>
      <c r="K19" s="264" t="n">
        <v>2091</v>
      </c>
      <c r="L19" s="263" t="n">
        <v>140</v>
      </c>
      <c r="M19" s="263" t="n">
        <v>55</v>
      </c>
    </row>
    <row r="20" ht="14" customHeight="1" s="227">
      <c r="A20" s="28" t="inlineStr">
        <is>
          <t>Preah Vihear</t>
        </is>
      </c>
      <c r="B20" s="264" t="n">
        <v>7969</v>
      </c>
      <c r="C20" s="264" t="n">
        <v>3698</v>
      </c>
      <c r="D20" s="264" t="n">
        <v>1380</v>
      </c>
      <c r="E20" s="263" t="n">
        <v>568</v>
      </c>
      <c r="F20" s="264" t="n">
        <v>7067</v>
      </c>
      <c r="G20" s="264" t="n">
        <v>3327</v>
      </c>
      <c r="H20" s="263" t="n">
        <v>704</v>
      </c>
      <c r="I20" s="263" t="n">
        <v>301</v>
      </c>
      <c r="J20" s="264" t="n">
        <v>6356</v>
      </c>
      <c r="K20" s="264" t="n">
        <v>3040</v>
      </c>
      <c r="L20" s="263" t="n">
        <v>500</v>
      </c>
      <c r="M20" s="263" t="n">
        <v>195</v>
      </c>
    </row>
    <row r="21" ht="14" customHeight="1" s="227">
      <c r="A21" s="28" t="inlineStr">
        <is>
          <t>Prey Veng</t>
        </is>
      </c>
      <c r="B21" s="264" t="n">
        <v>26653</v>
      </c>
      <c r="C21" s="264" t="n">
        <v>12259</v>
      </c>
      <c r="D21" s="264" t="n">
        <v>3239</v>
      </c>
      <c r="E21" s="264" t="n">
        <v>1200</v>
      </c>
      <c r="F21" s="264" t="n">
        <v>25587</v>
      </c>
      <c r="G21" s="264" t="n">
        <v>11714</v>
      </c>
      <c r="H21" s="264" t="n">
        <v>2204</v>
      </c>
      <c r="I21" s="263" t="n">
        <v>772</v>
      </c>
      <c r="J21" s="264" t="n">
        <v>25671</v>
      </c>
      <c r="K21" s="264" t="n">
        <v>11920</v>
      </c>
      <c r="L21" s="264" t="n">
        <v>1710</v>
      </c>
      <c r="M21" s="263" t="n">
        <v>617</v>
      </c>
    </row>
    <row r="22" ht="14" customHeight="1" s="227">
      <c r="A22" s="28" t="inlineStr">
        <is>
          <t>Pursat</t>
        </is>
      </c>
      <c r="B22" s="264" t="n">
        <v>13749</v>
      </c>
      <c r="C22" s="264" t="n">
        <v>6537</v>
      </c>
      <c r="D22" s="264" t="n">
        <v>2075</v>
      </c>
      <c r="E22" s="263" t="n">
        <v>845</v>
      </c>
      <c r="F22" s="264" t="n">
        <v>12552</v>
      </c>
      <c r="G22" s="264" t="n">
        <v>5881</v>
      </c>
      <c r="H22" s="264" t="n">
        <v>1161</v>
      </c>
      <c r="I22" s="263" t="n">
        <v>447</v>
      </c>
      <c r="J22" s="264" t="n">
        <v>11977</v>
      </c>
      <c r="K22" s="264" t="n">
        <v>5759</v>
      </c>
      <c r="L22" s="263" t="n">
        <v>856</v>
      </c>
      <c r="M22" s="263" t="n">
        <v>331</v>
      </c>
    </row>
    <row r="23" ht="14" customHeight="1" s="227">
      <c r="A23" s="28" t="inlineStr">
        <is>
          <t>Ratanak Kiri</t>
        </is>
      </c>
      <c r="B23" s="264" t="n">
        <v>9423</v>
      </c>
      <c r="C23" s="264" t="n">
        <v>4287</v>
      </c>
      <c r="D23" s="263" t="n">
        <v>707</v>
      </c>
      <c r="E23" s="263" t="n">
        <v>318</v>
      </c>
      <c r="F23" s="264" t="n">
        <v>8088</v>
      </c>
      <c r="G23" s="264" t="n">
        <v>3926</v>
      </c>
      <c r="H23" s="263" t="n">
        <v>445</v>
      </c>
      <c r="I23" s="263" t="n">
        <v>176</v>
      </c>
      <c r="J23" s="264" t="n">
        <v>7372</v>
      </c>
      <c r="K23" s="264" t="n">
        <v>3608</v>
      </c>
      <c r="L23" s="263" t="n">
        <v>260</v>
      </c>
      <c r="M23" s="263" t="n">
        <v>107</v>
      </c>
    </row>
    <row r="24" ht="14" customHeight="1" s="227">
      <c r="A24" s="28" t="inlineStr">
        <is>
          <t>Siemreap</t>
        </is>
      </c>
      <c r="B24" s="264" t="n">
        <v>32220</v>
      </c>
      <c r="C24" s="264" t="n">
        <v>14885</v>
      </c>
      <c r="D24" s="264" t="n">
        <v>4385</v>
      </c>
      <c r="E24" s="264" t="n">
        <v>1716</v>
      </c>
      <c r="F24" s="264" t="n">
        <v>29187</v>
      </c>
      <c r="G24" s="264" t="n">
        <v>13598</v>
      </c>
      <c r="H24" s="264" t="n">
        <v>2829</v>
      </c>
      <c r="I24" s="263" t="n">
        <v>941</v>
      </c>
      <c r="J24" s="264" t="n">
        <v>28401</v>
      </c>
      <c r="K24" s="264" t="n">
        <v>13505</v>
      </c>
      <c r="L24" s="264" t="n">
        <v>2103</v>
      </c>
      <c r="M24" s="263" t="n">
        <v>725</v>
      </c>
    </row>
    <row r="25" ht="14" customHeight="1" s="227">
      <c r="A25" s="28" t="inlineStr">
        <is>
          <t>Stung Treng</t>
        </is>
      </c>
      <c r="B25" s="264" t="n">
        <v>5846</v>
      </c>
      <c r="C25" s="264" t="n">
        <v>2749</v>
      </c>
      <c r="D25" s="264" t="n">
        <v>1178</v>
      </c>
      <c r="E25" s="263" t="n">
        <v>546</v>
      </c>
      <c r="F25" s="264" t="n">
        <v>5258</v>
      </c>
      <c r="G25" s="264" t="n">
        <v>2515</v>
      </c>
      <c r="H25" s="263" t="n">
        <v>706</v>
      </c>
      <c r="I25" s="263" t="n">
        <v>307</v>
      </c>
      <c r="J25" s="264" t="n">
        <v>4680</v>
      </c>
      <c r="K25" s="264" t="n">
        <v>2268</v>
      </c>
      <c r="L25" s="263" t="n">
        <v>401</v>
      </c>
      <c r="M25" s="263" t="n">
        <v>156</v>
      </c>
    </row>
    <row r="26" ht="14" customHeight="1" s="227">
      <c r="A26" s="28" t="inlineStr">
        <is>
          <t>Svay Rieng</t>
        </is>
      </c>
      <c r="B26" s="264" t="n">
        <v>12872</v>
      </c>
      <c r="C26" s="264" t="n">
        <v>6032</v>
      </c>
      <c r="D26" s="264" t="n">
        <v>1018</v>
      </c>
      <c r="E26" s="263" t="n">
        <v>394</v>
      </c>
      <c r="F26" s="264" t="n">
        <v>12059</v>
      </c>
      <c r="G26" s="264" t="n">
        <v>5714</v>
      </c>
      <c r="H26" s="263" t="n">
        <v>695</v>
      </c>
      <c r="I26" s="263" t="n">
        <v>227</v>
      </c>
      <c r="J26" s="264" t="n">
        <v>12060</v>
      </c>
      <c r="K26" s="264" t="n">
        <v>5760</v>
      </c>
      <c r="L26" s="263" t="n">
        <v>506</v>
      </c>
      <c r="M26" s="263" t="n">
        <v>180</v>
      </c>
    </row>
    <row r="27" ht="14" customHeight="1" s="227">
      <c r="A27" s="28" t="inlineStr">
        <is>
          <t>Takeo</t>
        </is>
      </c>
      <c r="B27" s="264" t="n">
        <v>20323</v>
      </c>
      <c r="C27" s="264" t="n">
        <v>9360</v>
      </c>
      <c r="D27" s="264" t="n">
        <v>2115</v>
      </c>
      <c r="E27" s="263" t="n">
        <v>746</v>
      </c>
      <c r="F27" s="264" t="n">
        <v>19466</v>
      </c>
      <c r="G27" s="264" t="n">
        <v>9058</v>
      </c>
      <c r="H27" s="264" t="n">
        <v>1621</v>
      </c>
      <c r="I27" s="263" t="n">
        <v>589</v>
      </c>
      <c r="J27" s="264" t="n">
        <v>19920</v>
      </c>
      <c r="K27" s="264" t="n">
        <v>9365</v>
      </c>
      <c r="L27" s="264" t="n">
        <v>1317</v>
      </c>
      <c r="M27" s="263" t="n">
        <v>492</v>
      </c>
    </row>
    <row r="28" ht="14" customHeight="1" s="227">
      <c r="A28" s="28" t="inlineStr">
        <is>
          <t>Tbaung Khmum</t>
        </is>
      </c>
      <c r="B28" s="264" t="n">
        <v>23060</v>
      </c>
      <c r="C28" s="264" t="n">
        <v>10796</v>
      </c>
      <c r="D28" s="264" t="n">
        <v>2205</v>
      </c>
      <c r="E28" s="263" t="n">
        <v>857</v>
      </c>
      <c r="F28" s="264" t="n">
        <v>20891</v>
      </c>
      <c r="G28" s="264" t="n">
        <v>9916</v>
      </c>
      <c r="H28" s="264" t="n">
        <v>1575</v>
      </c>
      <c r="I28" s="263" t="n">
        <v>613</v>
      </c>
      <c r="J28" s="264" t="n">
        <v>19762</v>
      </c>
      <c r="K28" s="264" t="n">
        <v>9305</v>
      </c>
      <c r="L28" s="264" t="n">
        <v>1233</v>
      </c>
      <c r="M28" s="263" t="n">
        <v>474</v>
      </c>
    </row>
    <row r="29" ht="17" customHeight="1" s="227">
      <c r="A29" s="22" t="inlineStr">
        <is>
          <t>Whole Kingdom</t>
        </is>
      </c>
      <c r="B29" s="264" t="n">
        <v>391210</v>
      </c>
      <c r="C29" s="264" t="n">
        <v>182277</v>
      </c>
      <c r="D29" s="264" t="n">
        <v>43390</v>
      </c>
      <c r="E29" s="264" t="n">
        <v>16640</v>
      </c>
      <c r="F29" s="264" t="n">
        <v>359319</v>
      </c>
      <c r="G29" s="264" t="n">
        <v>167598</v>
      </c>
      <c r="H29" s="264" t="n">
        <v>28957</v>
      </c>
      <c r="I29" s="264" t="n">
        <v>10335</v>
      </c>
      <c r="J29" s="264" t="n">
        <v>347149</v>
      </c>
      <c r="K29" s="264" t="n">
        <v>163921</v>
      </c>
      <c r="L29" s="264" t="n">
        <v>21990</v>
      </c>
      <c r="M29" s="264" t="n">
        <v>7938</v>
      </c>
    </row>
    <row r="30" ht="14" customHeight="1" s="227">
      <c r="A30" s="28" t="inlineStr">
        <is>
          <t>-  Urban Area</t>
        </is>
      </c>
      <c r="B30" s="264" t="n">
        <v>65945</v>
      </c>
      <c r="C30" s="264" t="n">
        <v>30515</v>
      </c>
      <c r="D30" s="264" t="n">
        <v>5516</v>
      </c>
      <c r="E30" s="264" t="n">
        <v>2116</v>
      </c>
      <c r="F30" s="264" t="n">
        <v>58401</v>
      </c>
      <c r="G30" s="264" t="n">
        <v>27194</v>
      </c>
      <c r="H30" s="264" t="n">
        <v>3381</v>
      </c>
      <c r="I30" s="264" t="n">
        <v>1106</v>
      </c>
      <c r="J30" s="264" t="n">
        <v>54909</v>
      </c>
      <c r="K30" s="264" t="n">
        <v>25694</v>
      </c>
      <c r="L30" s="264" t="n">
        <v>2495</v>
      </c>
      <c r="M30" s="263" t="n">
        <v>818</v>
      </c>
    </row>
    <row r="31" ht="14" customHeight="1" s="227">
      <c r="A31" s="28" t="inlineStr">
        <is>
          <t>-  Rural Area</t>
        </is>
      </c>
      <c r="B31" s="264" t="n">
        <v>325265</v>
      </c>
      <c r="C31" s="264" t="n">
        <v>151762</v>
      </c>
      <c r="D31" s="264" t="n">
        <v>37874</v>
      </c>
      <c r="E31" s="264" t="n">
        <v>14524</v>
      </c>
      <c r="F31" s="264" t="n">
        <v>300918</v>
      </c>
      <c r="G31" s="264" t="n">
        <v>140404</v>
      </c>
      <c r="H31" s="264" t="n">
        <v>25576</v>
      </c>
      <c r="I31" s="264" t="n">
        <v>9229</v>
      </c>
      <c r="J31" s="264" t="n">
        <v>292240</v>
      </c>
      <c r="K31" s="264" t="n">
        <v>138227</v>
      </c>
      <c r="L31" s="264" t="n">
        <v>19495</v>
      </c>
      <c r="M31" s="264" t="n">
        <v>7120</v>
      </c>
    </row>
  </sheetData>
  <mergeCells count="8">
    <mergeCell ref="L2:M2"/>
    <mergeCell ref="F2:G2"/>
    <mergeCell ref="B2:C2"/>
    <mergeCell ref="H2:I2"/>
    <mergeCell ref="A1:M1"/>
    <mergeCell ref="D2:E2"/>
    <mergeCell ref="J2:K2"/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005B9BD5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4.222222" customWidth="1" style="227" min="1" max="1"/>
    <col width="12" customWidth="1" style="227" min="2" max="2"/>
    <col width="11.777778" customWidth="1" style="227" min="3" max="3"/>
    <col width="12" customWidth="1" style="227" min="4" max="4"/>
    <col width="12" customWidth="1" style="227" min="5" max="5"/>
    <col width="11.777778" customWidth="1" style="227" min="6" max="6"/>
    <col width="12" customWidth="1" style="227" min="7" max="7"/>
    <col width="11.777778" customWidth="1" style="227" min="8" max="8"/>
    <col width="12" customWidth="1" style="227" min="9" max="9"/>
    <col width="12" customWidth="1" style="227" min="10" max="10"/>
    <col width="11.777778" customWidth="1" style="227" min="11" max="11"/>
    <col width="12" customWidth="1" style="227" min="12" max="12"/>
    <col width="11.777778" customWidth="1" style="227" min="13" max="13"/>
  </cols>
  <sheetData>
    <row r="1" ht="31" customHeight="1" s="227">
      <c r="A1" s="2" t="inlineStr">
        <is>
          <t>Table 16: Enrollment and Repeaters by Grade (Continued)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" t="inlineStr">
        <is>
          <t>Province</t>
        </is>
      </c>
      <c r="B2" s="11" t="inlineStr">
        <is>
          <t>Enrollment in Grade 4</t>
        </is>
      </c>
      <c r="C2" s="257" t="n"/>
      <c r="D2" s="11" t="inlineStr">
        <is>
          <t>Repeaters in Grade 4</t>
        </is>
      </c>
      <c r="E2" s="257" t="n"/>
      <c r="F2" s="11" t="inlineStr">
        <is>
          <t>Enrollment in Grade 5</t>
        </is>
      </c>
      <c r="G2" s="257" t="n"/>
      <c r="H2" s="11" t="inlineStr">
        <is>
          <t>Repeaters in Grade 5</t>
        </is>
      </c>
      <c r="I2" s="257" t="n"/>
      <c r="J2" s="11" t="inlineStr">
        <is>
          <t>Enrollment in Grade 6</t>
        </is>
      </c>
      <c r="K2" s="257" t="n"/>
      <c r="L2" s="11" t="inlineStr">
        <is>
          <t>Repeaters in Grade 6</t>
        </is>
      </c>
      <c r="M2" s="257" t="n"/>
    </row>
    <row r="3" ht="18" customHeight="1" s="227">
      <c r="A3" s="258" t="n"/>
      <c r="B3" s="11" t="inlineStr">
        <is>
          <t>Total</t>
        </is>
      </c>
      <c r="C3" s="20" t="inlineStr">
        <is>
          <t>Girl</t>
        </is>
      </c>
      <c r="D3" s="11" t="inlineStr">
        <is>
          <t>Total</t>
        </is>
      </c>
      <c r="E3" s="20" t="inlineStr">
        <is>
          <t>Girl</t>
        </is>
      </c>
      <c r="F3" s="11" t="inlineStr">
        <is>
          <t>Total</t>
        </is>
      </c>
      <c r="G3" s="20" t="inlineStr">
        <is>
          <t>Girl</t>
        </is>
      </c>
      <c r="H3" s="11" t="inlineStr">
        <is>
          <t>Total</t>
        </is>
      </c>
      <c r="I3" s="20" t="inlineStr">
        <is>
          <t>Girl</t>
        </is>
      </c>
      <c r="J3" s="11" t="inlineStr">
        <is>
          <t>Total</t>
        </is>
      </c>
      <c r="K3" s="20" t="inlineStr">
        <is>
          <t>Girl</t>
        </is>
      </c>
      <c r="L3" s="11" t="inlineStr">
        <is>
          <t>Total</t>
        </is>
      </c>
      <c r="M3" s="20" t="inlineStr">
        <is>
          <t>Girl</t>
        </is>
      </c>
    </row>
    <row r="4" ht="14" customHeight="1" s="227">
      <c r="A4" s="28" t="inlineStr">
        <is>
          <t>Banteay Meanchey</t>
        </is>
      </c>
      <c r="B4" s="264" t="n">
        <v>16637</v>
      </c>
      <c r="C4" s="264" t="n">
        <v>7984</v>
      </c>
      <c r="D4" s="263" t="n">
        <v>400</v>
      </c>
      <c r="E4" s="263" t="n">
        <v>131</v>
      </c>
      <c r="F4" s="264" t="n">
        <v>14577</v>
      </c>
      <c r="G4" s="264" t="n">
        <v>7185</v>
      </c>
      <c r="H4" s="263" t="n">
        <v>229</v>
      </c>
      <c r="I4" s="263" t="n">
        <v>80</v>
      </c>
      <c r="J4" s="264" t="n">
        <v>13516</v>
      </c>
      <c r="K4" s="264" t="n">
        <v>6902</v>
      </c>
      <c r="L4" s="263" t="n">
        <v>164</v>
      </c>
      <c r="M4" s="263" t="n">
        <v>46</v>
      </c>
    </row>
    <row r="5" ht="14" customHeight="1" s="227">
      <c r="A5" s="28" t="inlineStr">
        <is>
          <t>Battambang</t>
        </is>
      </c>
      <c r="B5" s="264" t="n">
        <v>27697</v>
      </c>
      <c r="C5" s="264" t="n">
        <v>13171</v>
      </c>
      <c r="D5" s="264" t="n">
        <v>1124</v>
      </c>
      <c r="E5" s="263" t="n">
        <v>383</v>
      </c>
      <c r="F5" s="264" t="n">
        <v>25906</v>
      </c>
      <c r="G5" s="264" t="n">
        <v>12794</v>
      </c>
      <c r="H5" s="263" t="n">
        <v>673</v>
      </c>
      <c r="I5" s="263" t="n">
        <v>224</v>
      </c>
      <c r="J5" s="264" t="n">
        <v>23060</v>
      </c>
      <c r="K5" s="264" t="n">
        <v>11620</v>
      </c>
      <c r="L5" s="263" t="n">
        <v>498</v>
      </c>
      <c r="M5" s="263" t="n">
        <v>163</v>
      </c>
    </row>
    <row r="6" ht="15" customHeight="1" s="227">
      <c r="A6" s="28" t="inlineStr">
        <is>
          <t>Kampong Cham</t>
        </is>
      </c>
      <c r="B6" s="264" t="n">
        <v>23122</v>
      </c>
      <c r="C6" s="264" t="n">
        <v>11100</v>
      </c>
      <c r="D6" s="264" t="n">
        <v>1715</v>
      </c>
      <c r="E6" s="263" t="n">
        <v>579</v>
      </c>
      <c r="F6" s="264" t="n">
        <v>21483</v>
      </c>
      <c r="G6" s="264" t="n">
        <v>10654</v>
      </c>
      <c r="H6" s="264" t="n">
        <v>1221</v>
      </c>
      <c r="I6" s="263" t="n">
        <v>435</v>
      </c>
      <c r="J6" s="264" t="n">
        <v>19640</v>
      </c>
      <c r="K6" s="264" t="n">
        <v>9948</v>
      </c>
      <c r="L6" s="263" t="n">
        <v>747</v>
      </c>
      <c r="M6" s="263" t="n">
        <v>266</v>
      </c>
    </row>
    <row r="7" ht="14" customHeight="1" s="227">
      <c r="A7" s="28" t="inlineStr">
        <is>
          <t>Kampong Chhnang</t>
        </is>
      </c>
      <c r="B7" s="264" t="n">
        <v>12748</v>
      </c>
      <c r="C7" s="264" t="n">
        <v>6269</v>
      </c>
      <c r="D7" s="263" t="n">
        <v>566</v>
      </c>
      <c r="E7" s="263" t="n">
        <v>187</v>
      </c>
      <c r="F7" s="264" t="n">
        <v>11976</v>
      </c>
      <c r="G7" s="264" t="n">
        <v>5980</v>
      </c>
      <c r="H7" s="263" t="n">
        <v>318</v>
      </c>
      <c r="I7" s="263" t="n">
        <v>99</v>
      </c>
      <c r="J7" s="264" t="n">
        <v>11014</v>
      </c>
      <c r="K7" s="264" t="n">
        <v>5643</v>
      </c>
      <c r="L7" s="263" t="n">
        <v>213</v>
      </c>
      <c r="M7" s="263" t="n">
        <v>59</v>
      </c>
    </row>
    <row r="8" ht="14" customHeight="1" s="227">
      <c r="A8" s="28" t="inlineStr">
        <is>
          <t>Kampong Speu</t>
        </is>
      </c>
      <c r="B8" s="264" t="n">
        <v>19278</v>
      </c>
      <c r="C8" s="264" t="n">
        <v>9461</v>
      </c>
      <c r="D8" s="263" t="n">
        <v>615</v>
      </c>
      <c r="E8" s="263" t="n">
        <v>222</v>
      </c>
      <c r="F8" s="264" t="n">
        <v>18015</v>
      </c>
      <c r="G8" s="264" t="n">
        <v>8938</v>
      </c>
      <c r="H8" s="263" t="n">
        <v>430</v>
      </c>
      <c r="I8" s="263" t="n">
        <v>187</v>
      </c>
      <c r="J8" s="264" t="n">
        <v>17066</v>
      </c>
      <c r="K8" s="264" t="n">
        <v>8617</v>
      </c>
      <c r="L8" s="263" t="n">
        <v>497</v>
      </c>
      <c r="M8" s="263" t="n">
        <v>182</v>
      </c>
    </row>
    <row r="9" ht="14" customHeight="1" s="227">
      <c r="A9" s="28" t="inlineStr">
        <is>
          <t>Kampong Thom</t>
        </is>
      </c>
      <c r="B9" s="264" t="n">
        <v>16184</v>
      </c>
      <c r="C9" s="264" t="n">
        <v>7946</v>
      </c>
      <c r="D9" s="263" t="n">
        <v>805</v>
      </c>
      <c r="E9" s="263" t="n">
        <v>270</v>
      </c>
      <c r="F9" s="264" t="n">
        <v>15067</v>
      </c>
      <c r="G9" s="264" t="n">
        <v>7666</v>
      </c>
      <c r="H9" s="263" t="n">
        <v>556</v>
      </c>
      <c r="I9" s="263" t="n">
        <v>193</v>
      </c>
      <c r="J9" s="264" t="n">
        <v>13972</v>
      </c>
      <c r="K9" s="264" t="n">
        <v>7157</v>
      </c>
      <c r="L9" s="263" t="n">
        <v>352</v>
      </c>
      <c r="M9" s="263" t="n">
        <v>125</v>
      </c>
    </row>
    <row r="10" ht="14" customHeight="1" s="227">
      <c r="A10" s="28" t="inlineStr">
        <is>
          <t>Kampot</t>
        </is>
      </c>
      <c r="B10" s="264" t="n">
        <v>12943</v>
      </c>
      <c r="C10" s="264" t="n">
        <v>6191</v>
      </c>
      <c r="D10" s="263" t="n">
        <v>366</v>
      </c>
      <c r="E10" s="263" t="n">
        <v>122</v>
      </c>
      <c r="F10" s="264" t="n">
        <v>12796</v>
      </c>
      <c r="G10" s="264" t="n">
        <v>6193</v>
      </c>
      <c r="H10" s="263" t="n">
        <v>271</v>
      </c>
      <c r="I10" s="263" t="n">
        <v>96</v>
      </c>
      <c r="J10" s="264" t="n">
        <v>12146</v>
      </c>
      <c r="K10" s="264" t="n">
        <v>6077</v>
      </c>
      <c r="L10" s="263" t="n">
        <v>202</v>
      </c>
      <c r="M10" s="263" t="n">
        <v>58</v>
      </c>
    </row>
    <row r="11" ht="14" customHeight="1" s="227">
      <c r="A11" s="28" t="inlineStr">
        <is>
          <t>Kandal</t>
        </is>
      </c>
      <c r="B11" s="264" t="n">
        <v>27162</v>
      </c>
      <c r="C11" s="264" t="n">
        <v>12834</v>
      </c>
      <c r="D11" s="264" t="n">
        <v>1774</v>
      </c>
      <c r="E11" s="263" t="n">
        <v>639</v>
      </c>
      <c r="F11" s="264" t="n">
        <v>25747</v>
      </c>
      <c r="G11" s="264" t="n">
        <v>12471</v>
      </c>
      <c r="H11" s="264" t="n">
        <v>1208</v>
      </c>
      <c r="I11" s="263" t="n">
        <v>437</v>
      </c>
      <c r="J11" s="264" t="n">
        <v>22627</v>
      </c>
      <c r="K11" s="264" t="n">
        <v>11131</v>
      </c>
      <c r="L11" s="263" t="n">
        <v>777</v>
      </c>
      <c r="M11" s="263" t="n">
        <v>227</v>
      </c>
    </row>
    <row r="12" ht="14" customHeight="1" s="227">
      <c r="A12" s="28" t="inlineStr">
        <is>
          <t>Kep</t>
        </is>
      </c>
      <c r="B12" s="263" t="n">
        <v>859</v>
      </c>
      <c r="C12" s="263" t="n">
        <v>450</v>
      </c>
      <c r="D12" s="263" t="n">
        <v>34</v>
      </c>
      <c r="E12" s="263" t="n">
        <v>15</v>
      </c>
      <c r="F12" s="263" t="n">
        <v>728</v>
      </c>
      <c r="G12" s="263" t="n">
        <v>364</v>
      </c>
      <c r="H12" s="263" t="n">
        <v>17</v>
      </c>
      <c r="I12" s="263" t="n">
        <v>4</v>
      </c>
      <c r="J12" s="263" t="n">
        <v>677</v>
      </c>
      <c r="K12" s="263" t="n">
        <v>334</v>
      </c>
      <c r="L12" s="263" t="n">
        <v>22</v>
      </c>
      <c r="M12" s="263" t="n">
        <v>7</v>
      </c>
    </row>
    <row r="13" ht="14" customHeight="1" s="227">
      <c r="A13" s="28" t="inlineStr">
        <is>
          <t>Koh Kong</t>
        </is>
      </c>
      <c r="B13" s="264" t="n">
        <v>2679</v>
      </c>
      <c r="C13" s="264" t="n">
        <v>1292</v>
      </c>
      <c r="D13" s="263" t="n">
        <v>51</v>
      </c>
      <c r="E13" s="263" t="n">
        <v>20</v>
      </c>
      <c r="F13" s="264" t="n">
        <v>2519</v>
      </c>
      <c r="G13" s="264" t="n">
        <v>1246</v>
      </c>
      <c r="H13" s="263" t="n">
        <v>31</v>
      </c>
      <c r="I13" s="263" t="n">
        <v>10</v>
      </c>
      <c r="J13" s="264" t="n">
        <v>2405</v>
      </c>
      <c r="K13" s="264" t="n">
        <v>1199</v>
      </c>
      <c r="L13" s="263" t="n">
        <v>18</v>
      </c>
      <c r="M13" s="263" t="n">
        <v>9</v>
      </c>
    </row>
    <row r="14" ht="14" customHeight="1" s="227">
      <c r="A14" s="28" t="inlineStr">
        <is>
          <t>Kratie</t>
        </is>
      </c>
      <c r="B14" s="264" t="n">
        <v>10141</v>
      </c>
      <c r="C14" s="264" t="n">
        <v>5088</v>
      </c>
      <c r="D14" s="263" t="n">
        <v>592</v>
      </c>
      <c r="E14" s="263" t="n">
        <v>211</v>
      </c>
      <c r="F14" s="264" t="n">
        <v>8662</v>
      </c>
      <c r="G14" s="264" t="n">
        <v>4374</v>
      </c>
      <c r="H14" s="263" t="n">
        <v>380</v>
      </c>
      <c r="I14" s="263" t="n">
        <v>141</v>
      </c>
      <c r="J14" s="264" t="n">
        <v>7367</v>
      </c>
      <c r="K14" s="264" t="n">
        <v>3765</v>
      </c>
      <c r="L14" s="263" t="n">
        <v>211</v>
      </c>
      <c r="M14" s="263" t="n">
        <v>75</v>
      </c>
    </row>
    <row r="15" ht="14" customHeight="1" s="227">
      <c r="A15" s="28" t="inlineStr">
        <is>
          <t>Mondul Kiri</t>
        </is>
      </c>
      <c r="B15" s="264" t="n">
        <v>2319</v>
      </c>
      <c r="C15" s="264" t="n">
        <v>1102</v>
      </c>
      <c r="D15" s="263" t="n">
        <v>90</v>
      </c>
      <c r="E15" s="263" t="n">
        <v>29</v>
      </c>
      <c r="F15" s="264" t="n">
        <v>1978</v>
      </c>
      <c r="G15" s="264" t="n">
        <v>1027</v>
      </c>
      <c r="H15" s="263" t="n">
        <v>26</v>
      </c>
      <c r="I15" s="263" t="n">
        <v>12</v>
      </c>
      <c r="J15" s="264" t="n">
        <v>1641</v>
      </c>
      <c r="K15" s="263" t="n">
        <v>869</v>
      </c>
      <c r="L15" s="263" t="n">
        <v>24</v>
      </c>
      <c r="M15" s="263" t="n">
        <v>9</v>
      </c>
    </row>
    <row r="16" ht="14" customHeight="1" s="227">
      <c r="A16" s="28" t="inlineStr">
        <is>
          <t>Otdar Meanchey</t>
        </is>
      </c>
      <c r="B16" s="264" t="n">
        <v>6071</v>
      </c>
      <c r="C16" s="264" t="n">
        <v>2922</v>
      </c>
      <c r="D16" s="263" t="n">
        <v>320</v>
      </c>
      <c r="E16" s="263" t="n">
        <v>99</v>
      </c>
      <c r="F16" s="264" t="n">
        <v>5368</v>
      </c>
      <c r="G16" s="264" t="n">
        <v>2694</v>
      </c>
      <c r="H16" s="263" t="n">
        <v>225</v>
      </c>
      <c r="I16" s="263" t="n">
        <v>75</v>
      </c>
      <c r="J16" s="264" t="n">
        <v>4853</v>
      </c>
      <c r="K16" s="264" t="n">
        <v>2516</v>
      </c>
      <c r="L16" s="263" t="n">
        <v>101</v>
      </c>
      <c r="M16" s="263" t="n">
        <v>36</v>
      </c>
    </row>
    <row r="17" ht="14" customHeight="1" s="227">
      <c r="A17" s="28" t="inlineStr">
        <is>
          <t>Pailin</t>
        </is>
      </c>
      <c r="B17" s="264" t="n">
        <v>1676</v>
      </c>
      <c r="C17" s="263" t="n">
        <v>826</v>
      </c>
      <c r="D17" s="263" t="n">
        <v>83</v>
      </c>
      <c r="E17" s="263" t="n">
        <v>29</v>
      </c>
      <c r="F17" s="264" t="n">
        <v>1553</v>
      </c>
      <c r="G17" s="263" t="n">
        <v>762</v>
      </c>
      <c r="H17" s="263" t="n">
        <v>50</v>
      </c>
      <c r="I17" s="263" t="n">
        <v>9</v>
      </c>
      <c r="J17" s="264" t="n">
        <v>1367</v>
      </c>
      <c r="K17" s="263" t="n">
        <v>715</v>
      </c>
      <c r="L17" s="263" t="n">
        <v>10</v>
      </c>
      <c r="M17" s="263" t="n">
        <v>3</v>
      </c>
    </row>
    <row r="18" ht="14" customHeight="1" s="227">
      <c r="A18" s="28" t="inlineStr">
        <is>
          <t>Phnom Penh</t>
        </is>
      </c>
      <c r="B18" s="264" t="n">
        <v>23771</v>
      </c>
      <c r="C18" s="264" t="n">
        <v>11440</v>
      </c>
      <c r="D18" s="263" t="n">
        <v>465</v>
      </c>
      <c r="E18" s="263" t="n">
        <v>131</v>
      </c>
      <c r="F18" s="264" t="n">
        <v>23212</v>
      </c>
      <c r="G18" s="264" t="n">
        <v>11370</v>
      </c>
      <c r="H18" s="263" t="n">
        <v>387</v>
      </c>
      <c r="I18" s="263" t="n">
        <v>95</v>
      </c>
      <c r="J18" s="264" t="n">
        <v>21089</v>
      </c>
      <c r="K18" s="264" t="n">
        <v>10540</v>
      </c>
      <c r="L18" s="263" t="n">
        <v>146</v>
      </c>
      <c r="M18" s="263" t="n">
        <v>44</v>
      </c>
    </row>
    <row r="19" ht="14" customHeight="1" s="227">
      <c r="A19" s="28" t="inlineStr">
        <is>
          <t>Preah Sihanouk</t>
        </is>
      </c>
      <c r="B19" s="264" t="n">
        <v>4589</v>
      </c>
      <c r="C19" s="264" t="n">
        <v>2352</v>
      </c>
      <c r="D19" s="263" t="n">
        <v>84</v>
      </c>
      <c r="E19" s="263" t="n">
        <v>25</v>
      </c>
      <c r="F19" s="264" t="n">
        <v>4123</v>
      </c>
      <c r="G19" s="264" t="n">
        <v>2018</v>
      </c>
      <c r="H19" s="263" t="n">
        <v>68</v>
      </c>
      <c r="I19" s="263" t="n">
        <v>25</v>
      </c>
      <c r="J19" s="264" t="n">
        <v>3961</v>
      </c>
      <c r="K19" s="264" t="n">
        <v>1951</v>
      </c>
      <c r="L19" s="263" t="n">
        <v>64</v>
      </c>
      <c r="M19" s="263" t="n">
        <v>10</v>
      </c>
    </row>
    <row r="20" ht="14" customHeight="1" s="227">
      <c r="A20" s="28" t="inlineStr">
        <is>
          <t>Preah Vihear</t>
        </is>
      </c>
      <c r="B20" s="264" t="n">
        <v>5885</v>
      </c>
      <c r="C20" s="264" t="n">
        <v>2904</v>
      </c>
      <c r="D20" s="263" t="n">
        <v>295</v>
      </c>
      <c r="E20" s="263" t="n">
        <v>103</v>
      </c>
      <c r="F20" s="264" t="n">
        <v>5287</v>
      </c>
      <c r="G20" s="264" t="n">
        <v>2701</v>
      </c>
      <c r="H20" s="263" t="n">
        <v>150</v>
      </c>
      <c r="I20" s="263" t="n">
        <v>62</v>
      </c>
      <c r="J20" s="264" t="n">
        <v>4779</v>
      </c>
      <c r="K20" s="264" t="n">
        <v>2513</v>
      </c>
      <c r="L20" s="263" t="n">
        <v>83</v>
      </c>
      <c r="M20" s="263" t="n">
        <v>33</v>
      </c>
    </row>
    <row r="21" ht="14" customHeight="1" s="227">
      <c r="A21" s="28" t="inlineStr">
        <is>
          <t>Prey Veng</t>
        </is>
      </c>
      <c r="B21" s="264" t="n">
        <v>25315</v>
      </c>
      <c r="C21" s="264" t="n">
        <v>11987</v>
      </c>
      <c r="D21" s="264" t="n">
        <v>1287</v>
      </c>
      <c r="E21" s="263" t="n">
        <v>417</v>
      </c>
      <c r="F21" s="264" t="n">
        <v>23986</v>
      </c>
      <c r="G21" s="264" t="n">
        <v>11542</v>
      </c>
      <c r="H21" s="264" t="n">
        <v>1007</v>
      </c>
      <c r="I21" s="263" t="n">
        <v>356</v>
      </c>
      <c r="J21" s="264" t="n">
        <v>21791</v>
      </c>
      <c r="K21" s="264" t="n">
        <v>10645</v>
      </c>
      <c r="L21" s="263" t="n">
        <v>650</v>
      </c>
      <c r="M21" s="263" t="n">
        <v>225</v>
      </c>
    </row>
    <row r="22" ht="14" customHeight="1" s="227">
      <c r="A22" s="28" t="inlineStr">
        <is>
          <t>Pursat</t>
        </is>
      </c>
      <c r="B22" s="264" t="n">
        <v>11230</v>
      </c>
      <c r="C22" s="264" t="n">
        <v>5559</v>
      </c>
      <c r="D22" s="263" t="n">
        <v>629</v>
      </c>
      <c r="E22" s="263" t="n">
        <v>226</v>
      </c>
      <c r="F22" s="264" t="n">
        <v>10265</v>
      </c>
      <c r="G22" s="264" t="n">
        <v>5105</v>
      </c>
      <c r="H22" s="263" t="n">
        <v>383</v>
      </c>
      <c r="I22" s="263" t="n">
        <v>156</v>
      </c>
      <c r="J22" s="264" t="n">
        <v>9451</v>
      </c>
      <c r="K22" s="264" t="n">
        <v>4728</v>
      </c>
      <c r="L22" s="263" t="n">
        <v>224</v>
      </c>
      <c r="M22" s="263" t="n">
        <v>62</v>
      </c>
    </row>
    <row r="23" ht="14" customHeight="1" s="227">
      <c r="A23" s="28" t="inlineStr">
        <is>
          <t>Ratanak Kiri</t>
        </is>
      </c>
      <c r="B23" s="264" t="n">
        <v>6457</v>
      </c>
      <c r="C23" s="264" t="n">
        <v>3135</v>
      </c>
      <c r="D23" s="263" t="n">
        <v>163</v>
      </c>
      <c r="E23" s="263" t="n">
        <v>59</v>
      </c>
      <c r="F23" s="264" t="n">
        <v>5455</v>
      </c>
      <c r="G23" s="264" t="n">
        <v>2690</v>
      </c>
      <c r="H23" s="263" t="n">
        <v>126</v>
      </c>
      <c r="I23" s="263" t="n">
        <v>45</v>
      </c>
      <c r="J23" s="264" t="n">
        <v>4184</v>
      </c>
      <c r="K23" s="264" t="n">
        <v>2114</v>
      </c>
      <c r="L23" s="263" t="n">
        <v>48</v>
      </c>
      <c r="M23" s="263" t="n">
        <v>16</v>
      </c>
    </row>
    <row r="24" ht="14" customHeight="1" s="227">
      <c r="A24" s="28" t="inlineStr">
        <is>
          <t>Siemreap</t>
        </is>
      </c>
      <c r="B24" s="264" t="n">
        <v>27324</v>
      </c>
      <c r="C24" s="264" t="n">
        <v>13414</v>
      </c>
      <c r="D24" s="264" t="n">
        <v>1240</v>
      </c>
      <c r="E24" s="263" t="n">
        <v>399</v>
      </c>
      <c r="F24" s="264" t="n">
        <v>25247</v>
      </c>
      <c r="G24" s="264" t="n">
        <v>12615</v>
      </c>
      <c r="H24" s="263" t="n">
        <v>850</v>
      </c>
      <c r="I24" s="263" t="n">
        <v>254</v>
      </c>
      <c r="J24" s="264" t="n">
        <v>22273</v>
      </c>
      <c r="K24" s="264" t="n">
        <v>11398</v>
      </c>
      <c r="L24" s="263" t="n">
        <v>570</v>
      </c>
      <c r="M24" s="263" t="n">
        <v>168</v>
      </c>
    </row>
    <row r="25" ht="14" customHeight="1" s="227">
      <c r="A25" s="28" t="inlineStr">
        <is>
          <t>Stung Treng</t>
        </is>
      </c>
      <c r="B25" s="264" t="n">
        <v>4013</v>
      </c>
      <c r="C25" s="264" t="n">
        <v>2039</v>
      </c>
      <c r="D25" s="263" t="n">
        <v>241</v>
      </c>
      <c r="E25" s="263" t="n">
        <v>92</v>
      </c>
      <c r="F25" s="264" t="n">
        <v>3351</v>
      </c>
      <c r="G25" s="264" t="n">
        <v>1704</v>
      </c>
      <c r="H25" s="263" t="n">
        <v>133</v>
      </c>
      <c r="I25" s="263" t="n">
        <v>56</v>
      </c>
      <c r="J25" s="264" t="n">
        <v>2659</v>
      </c>
      <c r="K25" s="264" t="n">
        <v>1373</v>
      </c>
      <c r="L25" s="263" t="n">
        <v>63</v>
      </c>
      <c r="M25" s="263" t="n">
        <v>26</v>
      </c>
    </row>
    <row r="26" ht="14" customHeight="1" s="227">
      <c r="A26" s="28" t="inlineStr">
        <is>
          <t>Svay Rieng</t>
        </is>
      </c>
      <c r="B26" s="264" t="n">
        <v>12503</v>
      </c>
      <c r="C26" s="264" t="n">
        <v>6112</v>
      </c>
      <c r="D26" s="263" t="n">
        <v>371</v>
      </c>
      <c r="E26" s="263" t="n">
        <v>116</v>
      </c>
      <c r="F26" s="264" t="n">
        <v>11721</v>
      </c>
      <c r="G26" s="264" t="n">
        <v>5798</v>
      </c>
      <c r="H26" s="263" t="n">
        <v>236</v>
      </c>
      <c r="I26" s="263" t="n">
        <v>83</v>
      </c>
      <c r="J26" s="264" t="n">
        <v>10903</v>
      </c>
      <c r="K26" s="264" t="n">
        <v>5408</v>
      </c>
      <c r="L26" s="263" t="n">
        <v>174</v>
      </c>
      <c r="M26" s="263" t="n">
        <v>50</v>
      </c>
    </row>
    <row r="27" ht="14" customHeight="1" s="227">
      <c r="A27" s="28" t="inlineStr">
        <is>
          <t>Takeo</t>
        </is>
      </c>
      <c r="B27" s="264" t="n">
        <v>20295</v>
      </c>
      <c r="C27" s="264" t="n">
        <v>9752</v>
      </c>
      <c r="D27" s="264" t="n">
        <v>1062</v>
      </c>
      <c r="E27" s="263" t="n">
        <v>339</v>
      </c>
      <c r="F27" s="264" t="n">
        <v>19633</v>
      </c>
      <c r="G27" s="264" t="n">
        <v>9600</v>
      </c>
      <c r="H27" s="263" t="n">
        <v>805</v>
      </c>
      <c r="I27" s="263" t="n">
        <v>277</v>
      </c>
      <c r="J27" s="264" t="n">
        <v>18712</v>
      </c>
      <c r="K27" s="264" t="n">
        <v>9182</v>
      </c>
      <c r="L27" s="263" t="n">
        <v>626</v>
      </c>
      <c r="M27" s="263" t="n">
        <v>186</v>
      </c>
    </row>
    <row r="28" ht="14" customHeight="1" s="227">
      <c r="A28" s="28" t="inlineStr">
        <is>
          <t>Tbaung Khmum</t>
        </is>
      </c>
      <c r="B28" s="264" t="n">
        <v>19061</v>
      </c>
      <c r="C28" s="264" t="n">
        <v>9314</v>
      </c>
      <c r="D28" s="263" t="n">
        <v>893</v>
      </c>
      <c r="E28" s="263" t="n">
        <v>350</v>
      </c>
      <c r="F28" s="264" t="n">
        <v>17423</v>
      </c>
      <c r="G28" s="264" t="n">
        <v>8565</v>
      </c>
      <c r="H28" s="263" t="n">
        <v>563</v>
      </c>
      <c r="I28" s="263" t="n">
        <v>206</v>
      </c>
      <c r="J28" s="264" t="n">
        <v>15389</v>
      </c>
      <c r="K28" s="264" t="n">
        <v>7959</v>
      </c>
      <c r="L28" s="263" t="n">
        <v>402</v>
      </c>
      <c r="M28" s="263" t="n">
        <v>144</v>
      </c>
    </row>
    <row r="29" ht="17" customHeight="1" s="227">
      <c r="A29" s="22" t="inlineStr">
        <is>
          <t>Whole Kingdom</t>
        </is>
      </c>
      <c r="B29" s="264" t="n">
        <v>339959</v>
      </c>
      <c r="C29" s="264" t="n">
        <v>164644</v>
      </c>
      <c r="D29" s="264" t="n">
        <v>15265</v>
      </c>
      <c r="E29" s="264" t="n">
        <v>5193</v>
      </c>
      <c r="F29" s="264" t="n">
        <v>316078</v>
      </c>
      <c r="G29" s="264" t="n">
        <v>156056</v>
      </c>
      <c r="H29" s="264" t="n">
        <v>10343</v>
      </c>
      <c r="I29" s="264" t="n">
        <v>3617</v>
      </c>
      <c r="J29" s="264" t="n">
        <v>286542</v>
      </c>
      <c r="K29" s="264" t="n">
        <v>144304</v>
      </c>
      <c r="L29" s="264" t="n">
        <v>6886</v>
      </c>
      <c r="M29" s="264" t="n">
        <v>2229</v>
      </c>
    </row>
    <row r="30" ht="14" customHeight="1" s="227">
      <c r="A30" s="28" t="inlineStr">
        <is>
          <t>-  Urban Area</t>
        </is>
      </c>
      <c r="B30" s="264" t="n">
        <v>57191</v>
      </c>
      <c r="C30" s="264" t="n">
        <v>27647</v>
      </c>
      <c r="D30" s="264" t="n">
        <v>1560</v>
      </c>
      <c r="E30" s="263" t="n">
        <v>472</v>
      </c>
      <c r="F30" s="264" t="n">
        <v>53853</v>
      </c>
      <c r="G30" s="264" t="n">
        <v>26593</v>
      </c>
      <c r="H30" s="264" t="n">
        <v>1102</v>
      </c>
      <c r="I30" s="263" t="n">
        <v>302</v>
      </c>
      <c r="J30" s="264" t="n">
        <v>49227</v>
      </c>
      <c r="K30" s="264" t="n">
        <v>24800</v>
      </c>
      <c r="L30" s="263" t="n">
        <v>502</v>
      </c>
      <c r="M30" s="263" t="n">
        <v>152</v>
      </c>
    </row>
    <row r="31" ht="14" customHeight="1" s="227">
      <c r="A31" s="28" t="inlineStr">
        <is>
          <t>-  Rural Area</t>
        </is>
      </c>
      <c r="B31" s="264" t="n">
        <v>282768</v>
      </c>
      <c r="C31" s="264" t="n">
        <v>136997</v>
      </c>
      <c r="D31" s="264" t="n">
        <v>13705</v>
      </c>
      <c r="E31" s="264" t="n">
        <v>4721</v>
      </c>
      <c r="F31" s="264" t="n">
        <v>262225</v>
      </c>
      <c r="G31" s="264" t="n">
        <v>129463</v>
      </c>
      <c r="H31" s="264" t="n">
        <v>9241</v>
      </c>
      <c r="I31" s="264" t="n">
        <v>3315</v>
      </c>
      <c r="J31" s="264" t="n">
        <v>237315</v>
      </c>
      <c r="K31" s="264" t="n">
        <v>119504</v>
      </c>
      <c r="L31" s="264" t="n">
        <v>6384</v>
      </c>
      <c r="M31" s="264" t="n">
        <v>2077</v>
      </c>
    </row>
  </sheetData>
  <mergeCells count="8">
    <mergeCell ref="L2:M2"/>
    <mergeCell ref="F2:G2"/>
    <mergeCell ref="B2:C2"/>
    <mergeCell ref="H2:I2"/>
    <mergeCell ref="A1:M1"/>
    <mergeCell ref="D2:E2"/>
    <mergeCell ref="J2:K2"/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005B9BD5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5.111111" customWidth="1" style="227" min="1" max="1"/>
    <col width="11.777778" customWidth="1" style="227" min="2" max="2"/>
    <col width="11.777778" customWidth="1" style="227" min="3" max="3"/>
    <col width="12" customWidth="1" style="227" min="4" max="4"/>
    <col width="11.777778" customWidth="1" style="227" min="5" max="5"/>
    <col width="11.777778" customWidth="1" style="227" min="6" max="6"/>
    <col width="11.777778" customWidth="1" style="227" min="7" max="7"/>
    <col width="11.777778" customWidth="1" style="227" min="8" max="8"/>
    <col width="11.777778" customWidth="1" style="227" min="9" max="9"/>
    <col width="11.777778" customWidth="1" style="227" min="10" max="10"/>
    <col width="11.777778" customWidth="1" style="227" min="11" max="11"/>
    <col width="11.777778" customWidth="1" style="227" min="12" max="12"/>
    <col width="12" customWidth="1" style="227" min="13" max="13"/>
  </cols>
  <sheetData>
    <row r="1" ht="31" customHeight="1" s="227">
      <c r="A1" s="2" t="inlineStr">
        <is>
          <t>Table 16: Enrollment and Repeaters by Grade (Continued)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" t="inlineStr">
        <is>
          <t>Province</t>
        </is>
      </c>
      <c r="B2" s="11" t="inlineStr">
        <is>
          <t>Enrollment in Grade 7</t>
        </is>
      </c>
      <c r="C2" s="257" t="n"/>
      <c r="D2" s="11" t="inlineStr">
        <is>
          <t>Repeaters in Grade 7</t>
        </is>
      </c>
      <c r="E2" s="257" t="n"/>
      <c r="F2" s="11" t="inlineStr">
        <is>
          <t>Enrollment in Grade 8</t>
        </is>
      </c>
      <c r="G2" s="257" t="n"/>
      <c r="H2" s="11" t="inlineStr">
        <is>
          <t>Repeaters in Grade 8</t>
        </is>
      </c>
      <c r="I2" s="257" t="n"/>
      <c r="J2" s="11" t="inlineStr">
        <is>
          <t>Enrollment in Grade 9</t>
        </is>
      </c>
      <c r="K2" s="257" t="n"/>
      <c r="L2" s="11" t="inlineStr">
        <is>
          <t>Repeaters in Grade 9</t>
        </is>
      </c>
      <c r="M2" s="257" t="n"/>
    </row>
    <row r="3" ht="18" customHeight="1" s="227">
      <c r="A3" s="258" t="n"/>
      <c r="B3" s="11" t="inlineStr">
        <is>
          <t>Total</t>
        </is>
      </c>
      <c r="C3" s="20" t="inlineStr">
        <is>
          <t>Girl</t>
        </is>
      </c>
      <c r="D3" s="11" t="inlineStr">
        <is>
          <t>Total</t>
        </is>
      </c>
      <c r="E3" s="20" t="inlineStr">
        <is>
          <t>Girl</t>
        </is>
      </c>
      <c r="F3" s="11" t="inlineStr">
        <is>
          <t>Total</t>
        </is>
      </c>
      <c r="G3" s="20" t="inlineStr">
        <is>
          <t>Girl</t>
        </is>
      </c>
      <c r="H3" s="11" t="inlineStr">
        <is>
          <t>Total</t>
        </is>
      </c>
      <c r="I3" s="20" t="inlineStr">
        <is>
          <t>Girl</t>
        </is>
      </c>
      <c r="J3" s="11" t="inlineStr">
        <is>
          <t>Total</t>
        </is>
      </c>
      <c r="K3" s="20" t="inlineStr">
        <is>
          <t>Girl</t>
        </is>
      </c>
      <c r="L3" s="11" t="inlineStr">
        <is>
          <t>Total</t>
        </is>
      </c>
      <c r="M3" s="20" t="inlineStr">
        <is>
          <t>Girl</t>
        </is>
      </c>
    </row>
    <row r="4" ht="14" customHeight="1" s="227">
      <c r="A4" s="28" t="inlineStr">
        <is>
          <t>Banteay Meanchey</t>
        </is>
      </c>
      <c r="B4" s="264" t="n">
        <v>10773</v>
      </c>
      <c r="C4" s="264" t="n">
        <v>5671</v>
      </c>
      <c r="D4" s="263" t="n">
        <v>236</v>
      </c>
      <c r="E4" s="263" t="n">
        <v>55</v>
      </c>
      <c r="F4" s="264" t="n">
        <v>8656</v>
      </c>
      <c r="G4" s="264" t="n">
        <v>4605</v>
      </c>
      <c r="H4" s="263" t="n">
        <v>135</v>
      </c>
      <c r="I4" s="263" t="n">
        <v>31</v>
      </c>
      <c r="J4" s="264" t="n">
        <v>7348</v>
      </c>
      <c r="K4" s="264" t="n">
        <v>3969</v>
      </c>
      <c r="L4" s="263" t="n">
        <v>195</v>
      </c>
      <c r="M4" s="263" t="n">
        <v>57</v>
      </c>
    </row>
    <row r="5" ht="14" customHeight="1" s="227">
      <c r="A5" s="28" t="inlineStr">
        <is>
          <t>Battambang</t>
        </is>
      </c>
      <c r="B5" s="264" t="n">
        <v>18079</v>
      </c>
      <c r="C5" s="264" t="n">
        <v>9334</v>
      </c>
      <c r="D5" s="263" t="n">
        <v>575</v>
      </c>
      <c r="E5" s="263" t="n">
        <v>163</v>
      </c>
      <c r="F5" s="264" t="n">
        <v>13659</v>
      </c>
      <c r="G5" s="264" t="n">
        <v>7482</v>
      </c>
      <c r="H5" s="263" t="n">
        <v>301</v>
      </c>
      <c r="I5" s="263" t="n">
        <v>90</v>
      </c>
      <c r="J5" s="264" t="n">
        <v>11634</v>
      </c>
      <c r="K5" s="264" t="n">
        <v>6218</v>
      </c>
      <c r="L5" s="263" t="n">
        <v>458</v>
      </c>
      <c r="M5" s="263" t="n">
        <v>177</v>
      </c>
    </row>
    <row r="6" ht="15" customHeight="1" s="227">
      <c r="A6" s="28" t="inlineStr">
        <is>
          <t>Kampong Cham</t>
        </is>
      </c>
      <c r="B6" s="264" t="n">
        <v>16675</v>
      </c>
      <c r="C6" s="264" t="n">
        <v>8572</v>
      </c>
      <c r="D6" s="263" t="n">
        <v>546</v>
      </c>
      <c r="E6" s="263" t="n">
        <v>200</v>
      </c>
      <c r="F6" s="264" t="n">
        <v>13596</v>
      </c>
      <c r="G6" s="264" t="n">
        <v>7492</v>
      </c>
      <c r="H6" s="263" t="n">
        <v>370</v>
      </c>
      <c r="I6" s="263" t="n">
        <v>98</v>
      </c>
      <c r="J6" s="264" t="n">
        <v>11868</v>
      </c>
      <c r="K6" s="264" t="n">
        <v>6497</v>
      </c>
      <c r="L6" s="263" t="n">
        <v>377</v>
      </c>
      <c r="M6" s="263" t="n">
        <v>119</v>
      </c>
    </row>
    <row r="7" ht="14" customHeight="1" s="227">
      <c r="A7" s="28" t="inlineStr">
        <is>
          <t>Kampong Chhnang</t>
        </is>
      </c>
      <c r="B7" s="264" t="n">
        <v>9456</v>
      </c>
      <c r="C7" s="264" t="n">
        <v>4920</v>
      </c>
      <c r="D7" s="263" t="n">
        <v>226</v>
      </c>
      <c r="E7" s="263" t="n">
        <v>57</v>
      </c>
      <c r="F7" s="264" t="n">
        <v>8017</v>
      </c>
      <c r="G7" s="264" t="n">
        <v>4285</v>
      </c>
      <c r="H7" s="263" t="n">
        <v>124</v>
      </c>
      <c r="I7" s="263" t="n">
        <v>31</v>
      </c>
      <c r="J7" s="264" t="n">
        <v>6923</v>
      </c>
      <c r="K7" s="264" t="n">
        <v>3854</v>
      </c>
      <c r="L7" s="263" t="n">
        <v>159</v>
      </c>
      <c r="M7" s="263" t="n">
        <v>45</v>
      </c>
    </row>
    <row r="8" ht="14" customHeight="1" s="227">
      <c r="A8" s="28" t="inlineStr">
        <is>
          <t>Kampong Speu</t>
        </is>
      </c>
      <c r="B8" s="264" t="n">
        <v>13442</v>
      </c>
      <c r="C8" s="264" t="n">
        <v>6760</v>
      </c>
      <c r="D8" s="263" t="n">
        <v>181</v>
      </c>
      <c r="E8" s="263" t="n">
        <v>44</v>
      </c>
      <c r="F8" s="264" t="n">
        <v>11290</v>
      </c>
      <c r="G8" s="264" t="n">
        <v>5972</v>
      </c>
      <c r="H8" s="263" t="n">
        <v>83</v>
      </c>
      <c r="I8" s="263" t="n">
        <v>15</v>
      </c>
      <c r="J8" s="264" t="n">
        <v>9302</v>
      </c>
      <c r="K8" s="264" t="n">
        <v>4773</v>
      </c>
      <c r="L8" s="263" t="n">
        <v>217</v>
      </c>
      <c r="M8" s="263" t="n">
        <v>65</v>
      </c>
    </row>
    <row r="9" ht="14" customHeight="1" s="227">
      <c r="A9" s="28" t="inlineStr">
        <is>
          <t>Kampong Thom</t>
        </is>
      </c>
      <c r="B9" s="264" t="n">
        <v>12478</v>
      </c>
      <c r="C9" s="264" t="n">
        <v>6801</v>
      </c>
      <c r="D9" s="263" t="n">
        <v>428</v>
      </c>
      <c r="E9" s="263" t="n">
        <v>150</v>
      </c>
      <c r="F9" s="264" t="n">
        <v>9677</v>
      </c>
      <c r="G9" s="264" t="n">
        <v>5261</v>
      </c>
      <c r="H9" s="263" t="n">
        <v>133</v>
      </c>
      <c r="I9" s="263" t="n">
        <v>41</v>
      </c>
      <c r="J9" s="264" t="n">
        <v>8348</v>
      </c>
      <c r="K9" s="264" t="n">
        <v>4592</v>
      </c>
      <c r="L9" s="263" t="n">
        <v>254</v>
      </c>
      <c r="M9" s="263" t="n">
        <v>91</v>
      </c>
    </row>
    <row r="10" ht="14" customHeight="1" s="227">
      <c r="A10" s="28" t="inlineStr">
        <is>
          <t>Kampot</t>
        </is>
      </c>
      <c r="B10" s="264" t="n">
        <v>10412</v>
      </c>
      <c r="C10" s="264" t="n">
        <v>5223</v>
      </c>
      <c r="D10" s="263" t="n">
        <v>262</v>
      </c>
      <c r="E10" s="263" t="n">
        <v>63</v>
      </c>
      <c r="F10" s="264" t="n">
        <v>9516</v>
      </c>
      <c r="G10" s="264" t="n">
        <v>4933</v>
      </c>
      <c r="H10" s="263" t="n">
        <v>133</v>
      </c>
      <c r="I10" s="263" t="n">
        <v>31</v>
      </c>
      <c r="J10" s="264" t="n">
        <v>8312</v>
      </c>
      <c r="K10" s="264" t="n">
        <v>4280</v>
      </c>
      <c r="L10" s="263" t="n">
        <v>307</v>
      </c>
      <c r="M10" s="263" t="n">
        <v>76</v>
      </c>
    </row>
    <row r="11" ht="14" customHeight="1" s="227">
      <c r="A11" s="28" t="inlineStr">
        <is>
          <t>Kandal</t>
        </is>
      </c>
      <c r="B11" s="264" t="n">
        <v>19165</v>
      </c>
      <c r="C11" s="264" t="n">
        <v>9614</v>
      </c>
      <c r="D11" s="263" t="n">
        <v>634</v>
      </c>
      <c r="E11" s="263" t="n">
        <v>160</v>
      </c>
      <c r="F11" s="264" t="n">
        <v>15755</v>
      </c>
      <c r="G11" s="264" t="n">
        <v>8302</v>
      </c>
      <c r="H11" s="263" t="n">
        <v>293</v>
      </c>
      <c r="I11" s="263" t="n">
        <v>112</v>
      </c>
      <c r="J11" s="264" t="n">
        <v>13575</v>
      </c>
      <c r="K11" s="264" t="n">
        <v>7309</v>
      </c>
      <c r="L11" s="263" t="n">
        <v>355</v>
      </c>
      <c r="M11" s="263" t="n">
        <v>98</v>
      </c>
    </row>
    <row r="12" ht="14" customHeight="1" s="227">
      <c r="A12" s="28" t="inlineStr">
        <is>
          <t>Kep</t>
        </is>
      </c>
      <c r="B12" s="263" t="n">
        <v>620</v>
      </c>
      <c r="C12" s="263" t="n">
        <v>310</v>
      </c>
      <c r="D12" s="263" t="n">
        <v>29</v>
      </c>
      <c r="E12" s="263" t="n">
        <v>9</v>
      </c>
      <c r="F12" s="263" t="n">
        <v>505</v>
      </c>
      <c r="G12" s="263" t="n">
        <v>252</v>
      </c>
      <c r="H12" s="263" t="n">
        <v>5</v>
      </c>
      <c r="I12" s="263" t="n">
        <v>3</v>
      </c>
      <c r="J12" s="263" t="n">
        <v>481</v>
      </c>
      <c r="K12" s="263" t="n">
        <v>231</v>
      </c>
      <c r="L12" s="263" t="n">
        <v>17</v>
      </c>
      <c r="M12" s="263" t="n">
        <v>5</v>
      </c>
    </row>
    <row r="13" ht="14" customHeight="1" s="227">
      <c r="A13" s="28" t="inlineStr">
        <is>
          <t>Koh Kong</t>
        </is>
      </c>
      <c r="B13" s="264" t="n">
        <v>2013</v>
      </c>
      <c r="C13" s="264" t="n">
        <v>1041</v>
      </c>
      <c r="D13" s="263" t="n">
        <v>17</v>
      </c>
      <c r="E13" s="263" t="n">
        <v>8</v>
      </c>
      <c r="F13" s="264" t="n">
        <v>1645</v>
      </c>
      <c r="G13" s="263" t="n">
        <v>840</v>
      </c>
      <c r="H13" s="263" t="n">
        <v>15</v>
      </c>
      <c r="I13" s="263" t="n">
        <v>4</v>
      </c>
      <c r="J13" s="264" t="n">
        <v>1478</v>
      </c>
      <c r="K13" s="263" t="n">
        <v>729</v>
      </c>
      <c r="L13" s="263" t="n">
        <v>56</v>
      </c>
      <c r="M13" s="263" t="n">
        <v>15</v>
      </c>
    </row>
    <row r="14" ht="14" customHeight="1" s="227">
      <c r="A14" s="28" t="inlineStr">
        <is>
          <t>Kratie</t>
        </is>
      </c>
      <c r="B14" s="264" t="n">
        <v>5389</v>
      </c>
      <c r="C14" s="264" t="n">
        <v>2842</v>
      </c>
      <c r="D14" s="263" t="n">
        <v>132</v>
      </c>
      <c r="E14" s="263" t="n">
        <v>43</v>
      </c>
      <c r="F14" s="264" t="n">
        <v>4141</v>
      </c>
      <c r="G14" s="264" t="n">
        <v>2271</v>
      </c>
      <c r="H14" s="263" t="n">
        <v>37</v>
      </c>
      <c r="I14" s="263" t="n">
        <v>8</v>
      </c>
      <c r="J14" s="264" t="n">
        <v>3387</v>
      </c>
      <c r="K14" s="264" t="n">
        <v>1779</v>
      </c>
      <c r="L14" s="263" t="n">
        <v>88</v>
      </c>
      <c r="M14" s="263" t="n">
        <v>30</v>
      </c>
    </row>
    <row r="15" ht="14" customHeight="1" s="227">
      <c r="A15" s="28" t="inlineStr">
        <is>
          <t>Mondul Kiri</t>
        </is>
      </c>
      <c r="B15" s="264" t="n">
        <v>1338</v>
      </c>
      <c r="C15" s="263" t="n">
        <v>689</v>
      </c>
      <c r="D15" s="263" t="n">
        <v>40</v>
      </c>
      <c r="E15" s="263" t="n">
        <v>10</v>
      </c>
      <c r="F15" s="264" t="n">
        <v>1036</v>
      </c>
      <c r="G15" s="263" t="n">
        <v>569</v>
      </c>
      <c r="H15" s="263" t="n">
        <v>27</v>
      </c>
      <c r="I15" s="263" t="n">
        <v>5</v>
      </c>
      <c r="J15" s="263" t="n">
        <v>838</v>
      </c>
      <c r="K15" s="263" t="n">
        <v>448</v>
      </c>
      <c r="L15" s="263" t="n">
        <v>26</v>
      </c>
      <c r="M15" s="263" t="n">
        <v>9</v>
      </c>
    </row>
    <row r="16" ht="14" customHeight="1" s="227">
      <c r="A16" s="28" t="inlineStr">
        <is>
          <t>Otdar Meanchey</t>
        </is>
      </c>
      <c r="B16" s="264" t="n">
        <v>3899</v>
      </c>
      <c r="C16" s="264" t="n">
        <v>1914</v>
      </c>
      <c r="D16" s="263" t="n">
        <v>130</v>
      </c>
      <c r="E16" s="263" t="n">
        <v>37</v>
      </c>
      <c r="F16" s="264" t="n">
        <v>3036</v>
      </c>
      <c r="G16" s="264" t="n">
        <v>1561</v>
      </c>
      <c r="H16" s="263" t="n">
        <v>49</v>
      </c>
      <c r="I16" s="263" t="n">
        <v>16</v>
      </c>
      <c r="J16" s="264" t="n">
        <v>2574</v>
      </c>
      <c r="K16" s="264" t="n">
        <v>1298</v>
      </c>
      <c r="L16" s="263" t="n">
        <v>130</v>
      </c>
      <c r="M16" s="263" t="n">
        <v>47</v>
      </c>
    </row>
    <row r="17" ht="14" customHeight="1" s="227">
      <c r="A17" s="28" t="inlineStr">
        <is>
          <t>Pailin</t>
        </is>
      </c>
      <c r="B17" s="264" t="n">
        <v>1398</v>
      </c>
      <c r="C17" s="263" t="n">
        <v>729</v>
      </c>
      <c r="D17" s="263" t="n">
        <v>95</v>
      </c>
      <c r="E17" s="263" t="n">
        <v>36</v>
      </c>
      <c r="F17" s="264" t="n">
        <v>1012</v>
      </c>
      <c r="G17" s="263" t="n">
        <v>511</v>
      </c>
      <c r="H17" s="263" t="n">
        <v>31</v>
      </c>
      <c r="I17" s="263" t="n">
        <v>9</v>
      </c>
      <c r="J17" s="263" t="n">
        <v>800</v>
      </c>
      <c r="K17" s="263" t="n">
        <v>415</v>
      </c>
      <c r="L17" s="263" t="n">
        <v>18</v>
      </c>
      <c r="M17" s="263" t="n">
        <v>4</v>
      </c>
    </row>
    <row r="18" ht="14" customHeight="1" s="227">
      <c r="A18" s="28" t="inlineStr">
        <is>
          <t>Phnom Penh</t>
        </is>
      </c>
      <c r="B18" s="264" t="n">
        <v>18389</v>
      </c>
      <c r="C18" s="264" t="n">
        <v>9043</v>
      </c>
      <c r="D18" s="263" t="n">
        <v>594</v>
      </c>
      <c r="E18" s="263" t="n">
        <v>156</v>
      </c>
      <c r="F18" s="264" t="n">
        <v>16220</v>
      </c>
      <c r="G18" s="264" t="n">
        <v>8216</v>
      </c>
      <c r="H18" s="263" t="n">
        <v>360</v>
      </c>
      <c r="I18" s="263" t="n">
        <v>132</v>
      </c>
      <c r="J18" s="264" t="n">
        <v>15152</v>
      </c>
      <c r="K18" s="264" t="n">
        <v>7590</v>
      </c>
      <c r="L18" s="263" t="n">
        <v>484</v>
      </c>
      <c r="M18" s="263" t="n">
        <v>150</v>
      </c>
    </row>
    <row r="19" ht="14" customHeight="1" s="227">
      <c r="A19" s="28" t="inlineStr">
        <is>
          <t>Preah Sihanouk</t>
        </is>
      </c>
      <c r="B19" s="264" t="n">
        <v>3448</v>
      </c>
      <c r="C19" s="264" t="n">
        <v>1719</v>
      </c>
      <c r="D19" s="263" t="n">
        <v>177</v>
      </c>
      <c r="E19" s="263" t="n">
        <v>42</v>
      </c>
      <c r="F19" s="264" t="n">
        <v>2470</v>
      </c>
      <c r="G19" s="264" t="n">
        <v>1271</v>
      </c>
      <c r="H19" s="263" t="n">
        <v>45</v>
      </c>
      <c r="I19" s="263" t="n">
        <v>16</v>
      </c>
      <c r="J19" s="264" t="n">
        <v>2238</v>
      </c>
      <c r="K19" s="264" t="n">
        <v>1104</v>
      </c>
      <c r="L19" s="263" t="n">
        <v>73</v>
      </c>
      <c r="M19" s="263" t="n">
        <v>20</v>
      </c>
    </row>
    <row r="20" ht="14" customHeight="1" s="227">
      <c r="A20" s="28" t="inlineStr">
        <is>
          <t>Preah Vihear</t>
        </is>
      </c>
      <c r="B20" s="264" t="n">
        <v>3967</v>
      </c>
      <c r="C20" s="264" t="n">
        <v>2242</v>
      </c>
      <c r="D20" s="263" t="n">
        <v>61</v>
      </c>
      <c r="E20" s="263" t="n">
        <v>21</v>
      </c>
      <c r="F20" s="264" t="n">
        <v>3155</v>
      </c>
      <c r="G20" s="264" t="n">
        <v>1716</v>
      </c>
      <c r="H20" s="263" t="n">
        <v>29</v>
      </c>
      <c r="I20" s="263" t="n">
        <v>13</v>
      </c>
      <c r="J20" s="264" t="n">
        <v>2706</v>
      </c>
      <c r="K20" s="264" t="n">
        <v>1488</v>
      </c>
      <c r="L20" s="263" t="n">
        <v>33</v>
      </c>
      <c r="M20" s="263" t="n">
        <v>8</v>
      </c>
    </row>
    <row r="21" ht="14" customHeight="1" s="227">
      <c r="A21" s="28" t="inlineStr">
        <is>
          <t>Prey Veng</t>
        </is>
      </c>
      <c r="B21" s="264" t="n">
        <v>18143</v>
      </c>
      <c r="C21" s="264" t="n">
        <v>9320</v>
      </c>
      <c r="D21" s="263" t="n">
        <v>151</v>
      </c>
      <c r="E21" s="263" t="n">
        <v>44</v>
      </c>
      <c r="F21" s="264" t="n">
        <v>15591</v>
      </c>
      <c r="G21" s="264" t="n">
        <v>8201</v>
      </c>
      <c r="H21" s="263" t="n">
        <v>64</v>
      </c>
      <c r="I21" s="263" t="n">
        <v>22</v>
      </c>
      <c r="J21" s="264" t="n">
        <v>13508</v>
      </c>
      <c r="K21" s="264" t="n">
        <v>7168</v>
      </c>
      <c r="L21" s="263" t="n">
        <v>207</v>
      </c>
      <c r="M21" s="263" t="n">
        <v>58</v>
      </c>
    </row>
    <row r="22" ht="14" customHeight="1" s="227">
      <c r="A22" s="28" t="inlineStr">
        <is>
          <t>Pursat</t>
        </is>
      </c>
      <c r="B22" s="264" t="n">
        <v>7417</v>
      </c>
      <c r="C22" s="264" t="n">
        <v>3922</v>
      </c>
      <c r="D22" s="263" t="n">
        <v>139</v>
      </c>
      <c r="E22" s="263" t="n">
        <v>45</v>
      </c>
      <c r="F22" s="264" t="n">
        <v>5965</v>
      </c>
      <c r="G22" s="264" t="n">
        <v>3171</v>
      </c>
      <c r="H22" s="263" t="n">
        <v>74</v>
      </c>
      <c r="I22" s="263" t="n">
        <v>21</v>
      </c>
      <c r="J22" s="264" t="n">
        <v>4894</v>
      </c>
      <c r="K22" s="264" t="n">
        <v>2609</v>
      </c>
      <c r="L22" s="263" t="n">
        <v>128</v>
      </c>
      <c r="M22" s="263" t="n">
        <v>42</v>
      </c>
    </row>
    <row r="23" ht="14" customHeight="1" s="227">
      <c r="A23" s="28" t="inlineStr">
        <is>
          <t>Ratanak Kiri</t>
        </is>
      </c>
      <c r="B23" s="264" t="n">
        <v>3239</v>
      </c>
      <c r="C23" s="264" t="n">
        <v>1582</v>
      </c>
      <c r="D23" s="263" t="n">
        <v>20</v>
      </c>
      <c r="E23" s="263" t="n">
        <v>4</v>
      </c>
      <c r="F23" s="264" t="n">
        <v>2366</v>
      </c>
      <c r="G23" s="264" t="n">
        <v>1178</v>
      </c>
      <c r="H23" s="263" t="n">
        <v>11</v>
      </c>
      <c r="I23" s="263" t="n">
        <v>3</v>
      </c>
      <c r="J23" s="264" t="n">
        <v>2040</v>
      </c>
      <c r="K23" s="263" t="n">
        <v>981</v>
      </c>
      <c r="L23" s="263" t="n">
        <v>78</v>
      </c>
      <c r="M23" s="263" t="n">
        <v>32</v>
      </c>
    </row>
    <row r="24" ht="14" customHeight="1" s="227">
      <c r="A24" s="28" t="inlineStr">
        <is>
          <t>Siemreap</t>
        </is>
      </c>
      <c r="B24" s="264" t="n">
        <v>19678</v>
      </c>
      <c r="C24" s="264" t="n">
        <v>10277</v>
      </c>
      <c r="D24" s="263" t="n">
        <v>881</v>
      </c>
      <c r="E24" s="263" t="n">
        <v>273</v>
      </c>
      <c r="F24" s="264" t="n">
        <v>15831</v>
      </c>
      <c r="G24" s="264" t="n">
        <v>8640</v>
      </c>
      <c r="H24" s="263" t="n">
        <v>430</v>
      </c>
      <c r="I24" s="263" t="n">
        <v>143</v>
      </c>
      <c r="J24" s="264" t="n">
        <v>13503</v>
      </c>
      <c r="K24" s="264" t="n">
        <v>7530</v>
      </c>
      <c r="L24" s="263" t="n">
        <v>538</v>
      </c>
      <c r="M24" s="263" t="n">
        <v>198</v>
      </c>
    </row>
    <row r="25" ht="14" customHeight="1" s="227">
      <c r="A25" s="28" t="inlineStr">
        <is>
          <t>Stung Treng</t>
        </is>
      </c>
      <c r="B25" s="264" t="n">
        <v>1934</v>
      </c>
      <c r="C25" s="264" t="n">
        <v>1041</v>
      </c>
      <c r="D25" s="263" t="n">
        <v>14</v>
      </c>
      <c r="E25" s="263" t="n">
        <v>3</v>
      </c>
      <c r="F25" s="264" t="n">
        <v>1528</v>
      </c>
      <c r="G25" s="263" t="n">
        <v>812</v>
      </c>
      <c r="H25" s="263" t="n">
        <v>5</v>
      </c>
      <c r="I25" s="263" t="n">
        <v>3</v>
      </c>
      <c r="J25" s="264" t="n">
        <v>1257</v>
      </c>
      <c r="K25" s="263" t="n">
        <v>637</v>
      </c>
      <c r="L25" s="263" t="n">
        <v>14</v>
      </c>
      <c r="M25" s="263" t="n">
        <v>4</v>
      </c>
    </row>
    <row r="26" ht="14" customHeight="1" s="227">
      <c r="A26" s="28" t="inlineStr">
        <is>
          <t>Svay Rieng</t>
        </is>
      </c>
      <c r="B26" s="264" t="n">
        <v>9820</v>
      </c>
      <c r="C26" s="264" t="n">
        <v>5035</v>
      </c>
      <c r="D26" s="263" t="n">
        <v>240</v>
      </c>
      <c r="E26" s="263" t="n">
        <v>67</v>
      </c>
      <c r="F26" s="264" t="n">
        <v>8195</v>
      </c>
      <c r="G26" s="264" t="n">
        <v>4181</v>
      </c>
      <c r="H26" s="263" t="n">
        <v>150</v>
      </c>
      <c r="I26" s="263" t="n">
        <v>35</v>
      </c>
      <c r="J26" s="264" t="n">
        <v>7207</v>
      </c>
      <c r="K26" s="264" t="n">
        <v>3738</v>
      </c>
      <c r="L26" s="263" t="n">
        <v>204</v>
      </c>
      <c r="M26" s="263" t="n">
        <v>55</v>
      </c>
    </row>
    <row r="27" ht="14" customHeight="1" s="227">
      <c r="A27" s="28" t="inlineStr">
        <is>
          <t>Takeo</t>
        </is>
      </c>
      <c r="B27" s="264" t="n">
        <v>16899</v>
      </c>
      <c r="C27" s="264" t="n">
        <v>8385</v>
      </c>
      <c r="D27" s="263" t="n">
        <v>434</v>
      </c>
      <c r="E27" s="263" t="n">
        <v>123</v>
      </c>
      <c r="F27" s="264" t="n">
        <v>15422</v>
      </c>
      <c r="G27" s="264" t="n">
        <v>7779</v>
      </c>
      <c r="H27" s="263" t="n">
        <v>330</v>
      </c>
      <c r="I27" s="263" t="n">
        <v>93</v>
      </c>
      <c r="J27" s="264" t="n">
        <v>14383</v>
      </c>
      <c r="K27" s="264" t="n">
        <v>7268</v>
      </c>
      <c r="L27" s="263" t="n">
        <v>382</v>
      </c>
      <c r="M27" s="263" t="n">
        <v>84</v>
      </c>
    </row>
    <row r="28" ht="14" customHeight="1" s="227">
      <c r="A28" s="28" t="inlineStr">
        <is>
          <t>Tbaung Khmum</t>
        </is>
      </c>
      <c r="B28" s="264" t="n">
        <v>12509</v>
      </c>
      <c r="C28" s="264" t="n">
        <v>6404</v>
      </c>
      <c r="D28" s="263" t="n">
        <v>402</v>
      </c>
      <c r="E28" s="263" t="n">
        <v>141</v>
      </c>
      <c r="F28" s="264" t="n">
        <v>9786</v>
      </c>
      <c r="G28" s="264" t="n">
        <v>5301</v>
      </c>
      <c r="H28" s="263" t="n">
        <v>178</v>
      </c>
      <c r="I28" s="263" t="n">
        <v>53</v>
      </c>
      <c r="J28" s="264" t="n">
        <v>7855</v>
      </c>
      <c r="K28" s="264" t="n">
        <v>4200</v>
      </c>
      <c r="L28" s="263" t="n">
        <v>278</v>
      </c>
      <c r="M28" s="263" t="n">
        <v>84</v>
      </c>
    </row>
    <row r="29" ht="17" customHeight="1" s="227">
      <c r="A29" s="22" t="inlineStr">
        <is>
          <t>Whole Kingdom</t>
        </is>
      </c>
      <c r="B29" s="264" t="n">
        <v>240580</v>
      </c>
      <c r="C29" s="264" t="n">
        <v>123390</v>
      </c>
      <c r="D29" s="264" t="n">
        <v>6644</v>
      </c>
      <c r="E29" s="264" t="n">
        <v>1954</v>
      </c>
      <c r="F29" s="264" t="n">
        <v>198070</v>
      </c>
      <c r="G29" s="264" t="n">
        <v>104802</v>
      </c>
      <c r="H29" s="264" t="n">
        <v>3412</v>
      </c>
      <c r="I29" s="264" t="n">
        <v>1028</v>
      </c>
      <c r="J29" s="264" t="n">
        <v>171611</v>
      </c>
      <c r="K29" s="264" t="n">
        <v>90705</v>
      </c>
      <c r="L29" s="264" t="n">
        <v>5076</v>
      </c>
      <c r="M29" s="264" t="n">
        <v>1573</v>
      </c>
    </row>
    <row r="30" ht="14" customHeight="1" s="227">
      <c r="A30" s="28" t="inlineStr">
        <is>
          <t>-  Urban Area</t>
        </is>
      </c>
      <c r="B30" s="264" t="n">
        <v>45809</v>
      </c>
      <c r="C30" s="264" t="n">
        <v>22822</v>
      </c>
      <c r="D30" s="264" t="n">
        <v>1688</v>
      </c>
      <c r="E30" s="263" t="n">
        <v>461</v>
      </c>
      <c r="F30" s="264" t="n">
        <v>38764</v>
      </c>
      <c r="G30" s="264" t="n">
        <v>19791</v>
      </c>
      <c r="H30" s="263" t="n">
        <v>852</v>
      </c>
      <c r="I30" s="263" t="n">
        <v>309</v>
      </c>
      <c r="J30" s="264" t="n">
        <v>35910</v>
      </c>
      <c r="K30" s="264" t="n">
        <v>18406</v>
      </c>
      <c r="L30" s="264" t="n">
        <v>1323</v>
      </c>
      <c r="M30" s="263" t="n">
        <v>472</v>
      </c>
    </row>
    <row r="31" ht="14" customHeight="1" s="227">
      <c r="A31" s="28" t="inlineStr">
        <is>
          <t>-  Rural Area</t>
        </is>
      </c>
      <c r="B31" s="264" t="n">
        <v>194771</v>
      </c>
      <c r="C31" s="264" t="n">
        <v>100568</v>
      </c>
      <c r="D31" s="264" t="n">
        <v>4956</v>
      </c>
      <c r="E31" s="264" t="n">
        <v>1493</v>
      </c>
      <c r="F31" s="264" t="n">
        <v>159306</v>
      </c>
      <c r="G31" s="264" t="n">
        <v>85011</v>
      </c>
      <c r="H31" s="264" t="n">
        <v>2560</v>
      </c>
      <c r="I31" s="263" t="n">
        <v>719</v>
      </c>
      <c r="J31" s="264" t="n">
        <v>135701</v>
      </c>
      <c r="K31" s="264" t="n">
        <v>72299</v>
      </c>
      <c r="L31" s="264" t="n">
        <v>3753</v>
      </c>
      <c r="M31" s="264" t="n">
        <v>1101</v>
      </c>
    </row>
  </sheetData>
  <mergeCells count="8">
    <mergeCell ref="L2:M2"/>
    <mergeCell ref="F2:G2"/>
    <mergeCell ref="B2:C2"/>
    <mergeCell ref="H2:I2"/>
    <mergeCell ref="A1:M1"/>
    <mergeCell ref="D2:E2"/>
    <mergeCell ref="J2:K2"/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005B9BD5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3.333333" customWidth="1" style="227" min="1" max="1"/>
    <col width="12" customWidth="1" style="227" min="2" max="2"/>
    <col width="11.777778" customWidth="1" style="227" min="3" max="3"/>
    <col width="12" customWidth="1" style="227" min="4" max="4"/>
    <col width="12" customWidth="1" style="227" min="5" max="5"/>
    <col width="11.777778" customWidth="1" style="227" min="6" max="6"/>
    <col width="12" customWidth="1" style="227" min="7" max="7"/>
    <col width="11.777778" customWidth="1" style="227" min="8" max="8"/>
    <col width="12" customWidth="1" style="227" min="9" max="9"/>
    <col width="12" customWidth="1" style="227" min="10" max="10"/>
    <col width="11.777778" customWidth="1" style="227" min="11" max="11"/>
    <col width="12" customWidth="1" style="227" min="12" max="12"/>
    <col width="11.777778" customWidth="1" style="227" min="13" max="13"/>
  </cols>
  <sheetData>
    <row r="1" ht="31" customHeight="1" s="227">
      <c r="A1" s="2" t="inlineStr">
        <is>
          <t>Table 16: Enrollment and Repeaters by Grade (Continued)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" t="inlineStr">
        <is>
          <t>Province</t>
        </is>
      </c>
      <c r="B2" s="11" t="inlineStr">
        <is>
          <t>Enrollment in Grade 10</t>
        </is>
      </c>
      <c r="C2" s="257" t="n"/>
      <c r="D2" s="11" t="inlineStr">
        <is>
          <t>Repeaters in Grade 10</t>
        </is>
      </c>
      <c r="E2" s="257" t="n"/>
      <c r="F2" s="11" t="inlineStr">
        <is>
          <t>Enrollment in Grade 11</t>
        </is>
      </c>
      <c r="G2" s="257" t="n"/>
      <c r="H2" s="11" t="inlineStr">
        <is>
          <t>Repeaters in Grade 11</t>
        </is>
      </c>
      <c r="I2" s="257" t="n"/>
      <c r="J2" s="11" t="inlineStr">
        <is>
          <t>Enrollment in Grade 12</t>
        </is>
      </c>
      <c r="K2" s="257" t="n"/>
      <c r="L2" s="11" t="inlineStr">
        <is>
          <t>Repeaters in Grade 12</t>
        </is>
      </c>
      <c r="M2" s="257" t="n"/>
    </row>
    <row r="3" ht="18" customHeight="1" s="227">
      <c r="A3" s="258" t="n"/>
      <c r="B3" s="11" t="inlineStr">
        <is>
          <t>Total</t>
        </is>
      </c>
      <c r="C3" s="20" t="inlineStr">
        <is>
          <t>Girl</t>
        </is>
      </c>
      <c r="D3" s="11" t="inlineStr">
        <is>
          <t>Total</t>
        </is>
      </c>
      <c r="E3" s="20" t="inlineStr">
        <is>
          <t>Girl</t>
        </is>
      </c>
      <c r="F3" s="11" t="inlineStr">
        <is>
          <t>Total</t>
        </is>
      </c>
      <c r="G3" s="20" t="inlineStr">
        <is>
          <t>Girl</t>
        </is>
      </c>
      <c r="H3" s="11" t="inlineStr">
        <is>
          <t>Total</t>
        </is>
      </c>
      <c r="I3" s="20" t="inlineStr">
        <is>
          <t>Girl</t>
        </is>
      </c>
      <c r="J3" s="11" t="inlineStr">
        <is>
          <t>Total</t>
        </is>
      </c>
      <c r="K3" s="20" t="inlineStr">
        <is>
          <t>Girl</t>
        </is>
      </c>
      <c r="L3" s="11" t="inlineStr">
        <is>
          <t>Total</t>
        </is>
      </c>
      <c r="M3" s="20" t="inlineStr">
        <is>
          <t>Girl</t>
        </is>
      </c>
    </row>
    <row r="4" ht="14" customHeight="1" s="227">
      <c r="A4" s="28" t="inlineStr">
        <is>
          <t>Banteay Meanchey</t>
        </is>
      </c>
      <c r="B4" s="264" t="n">
        <v>4956</v>
      </c>
      <c r="C4" s="264" t="n">
        <v>2818</v>
      </c>
      <c r="D4" s="263" t="n">
        <v>30</v>
      </c>
      <c r="E4" s="263" t="n">
        <v>8</v>
      </c>
      <c r="F4" s="264" t="n">
        <v>4061</v>
      </c>
      <c r="G4" s="264" t="n">
        <v>2188</v>
      </c>
      <c r="H4" s="263" t="n">
        <v>24</v>
      </c>
      <c r="I4" s="263" t="n">
        <v>10</v>
      </c>
      <c r="J4" s="264" t="n">
        <v>3272</v>
      </c>
      <c r="K4" s="264" t="n">
        <v>1781</v>
      </c>
      <c r="L4" s="263" t="n">
        <v>171</v>
      </c>
      <c r="M4" s="263" t="n">
        <v>74</v>
      </c>
    </row>
    <row r="5" ht="14" customHeight="1" s="227">
      <c r="A5" s="28" t="inlineStr">
        <is>
          <t>Battambang</t>
        </is>
      </c>
      <c r="B5" s="264" t="n">
        <v>8003</v>
      </c>
      <c r="C5" s="264" t="n">
        <v>4458</v>
      </c>
      <c r="D5" s="263" t="n">
        <v>88</v>
      </c>
      <c r="E5" s="263" t="n">
        <v>31</v>
      </c>
      <c r="F5" s="264" t="n">
        <v>6338</v>
      </c>
      <c r="G5" s="264" t="n">
        <v>3554</v>
      </c>
      <c r="H5" s="263" t="n">
        <v>72</v>
      </c>
      <c r="I5" s="263" t="n">
        <v>28</v>
      </c>
      <c r="J5" s="264" t="n">
        <v>5290</v>
      </c>
      <c r="K5" s="264" t="n">
        <v>3077</v>
      </c>
      <c r="L5" s="263" t="n">
        <v>248</v>
      </c>
      <c r="M5" s="263" t="n">
        <v>132</v>
      </c>
    </row>
    <row r="6" ht="15" customHeight="1" s="227">
      <c r="A6" s="28" t="inlineStr">
        <is>
          <t>Kampong Cham</t>
        </is>
      </c>
      <c r="B6" s="264" t="n">
        <v>9011</v>
      </c>
      <c r="C6" s="264" t="n">
        <v>5093</v>
      </c>
      <c r="D6" s="263" t="n">
        <v>175</v>
      </c>
      <c r="E6" s="263" t="n">
        <v>54</v>
      </c>
      <c r="F6" s="264" t="n">
        <v>7188</v>
      </c>
      <c r="G6" s="264" t="n">
        <v>4100</v>
      </c>
      <c r="H6" s="263" t="n">
        <v>40</v>
      </c>
      <c r="I6" s="263" t="n">
        <v>9</v>
      </c>
      <c r="J6" s="264" t="n">
        <v>6228</v>
      </c>
      <c r="K6" s="264" t="n">
        <v>3458</v>
      </c>
      <c r="L6" s="263" t="n">
        <v>329</v>
      </c>
      <c r="M6" s="263" t="n">
        <v>149</v>
      </c>
    </row>
    <row r="7" ht="14" customHeight="1" s="227">
      <c r="A7" s="28" t="inlineStr">
        <is>
          <t>Kampong Chhnang</t>
        </is>
      </c>
      <c r="B7" s="264" t="n">
        <v>5024</v>
      </c>
      <c r="C7" s="264" t="n">
        <v>2800</v>
      </c>
      <c r="D7" s="263" t="n">
        <v>39</v>
      </c>
      <c r="E7" s="263" t="n">
        <v>11</v>
      </c>
      <c r="F7" s="264" t="n">
        <v>4075</v>
      </c>
      <c r="G7" s="264" t="n">
        <v>2292</v>
      </c>
      <c r="H7" s="263" t="n">
        <v>21</v>
      </c>
      <c r="I7" s="263" t="n">
        <v>7</v>
      </c>
      <c r="J7" s="264" t="n">
        <v>3461</v>
      </c>
      <c r="K7" s="264" t="n">
        <v>1917</v>
      </c>
      <c r="L7" s="263" t="n">
        <v>179</v>
      </c>
      <c r="M7" s="263" t="n">
        <v>88</v>
      </c>
    </row>
    <row r="8" ht="14" customHeight="1" s="227">
      <c r="A8" s="28" t="inlineStr">
        <is>
          <t>Kampong Speu</t>
        </is>
      </c>
      <c r="B8" s="264" t="n">
        <v>6336</v>
      </c>
      <c r="C8" s="264" t="n">
        <v>3227</v>
      </c>
      <c r="D8" s="263" t="n">
        <v>19</v>
      </c>
      <c r="E8" s="263" t="n">
        <v>2</v>
      </c>
      <c r="F8" s="264" t="n">
        <v>4967</v>
      </c>
      <c r="G8" s="264" t="n">
        <v>2559</v>
      </c>
      <c r="H8" s="263" t="n">
        <v>9</v>
      </c>
      <c r="I8" s="263" t="n">
        <v>0</v>
      </c>
      <c r="J8" s="264" t="n">
        <v>4125</v>
      </c>
      <c r="K8" s="264" t="n">
        <v>2092</v>
      </c>
      <c r="L8" s="263" t="n">
        <v>76</v>
      </c>
      <c r="M8" s="263" t="n">
        <v>31</v>
      </c>
    </row>
    <row r="9" ht="14" customHeight="1" s="227">
      <c r="A9" s="28" t="inlineStr">
        <is>
          <t>Kampong Thom</t>
        </is>
      </c>
      <c r="B9" s="264" t="n">
        <v>6047</v>
      </c>
      <c r="C9" s="264" t="n">
        <v>3347</v>
      </c>
      <c r="D9" s="263" t="n">
        <v>37</v>
      </c>
      <c r="E9" s="263" t="n">
        <v>9</v>
      </c>
      <c r="F9" s="264" t="n">
        <v>4964</v>
      </c>
      <c r="G9" s="264" t="n">
        <v>2801</v>
      </c>
      <c r="H9" s="263" t="n">
        <v>30</v>
      </c>
      <c r="I9" s="263" t="n">
        <v>9</v>
      </c>
      <c r="J9" s="264" t="n">
        <v>3952</v>
      </c>
      <c r="K9" s="264" t="n">
        <v>2189</v>
      </c>
      <c r="L9" s="263" t="n">
        <v>87</v>
      </c>
      <c r="M9" s="263" t="n">
        <v>43</v>
      </c>
    </row>
    <row r="10" ht="14" customHeight="1" s="227">
      <c r="A10" s="28" t="inlineStr">
        <is>
          <t>Kampot</t>
        </is>
      </c>
      <c r="B10" s="264" t="n">
        <v>6241</v>
      </c>
      <c r="C10" s="264" t="n">
        <v>3226</v>
      </c>
      <c r="D10" s="263" t="n">
        <v>71</v>
      </c>
      <c r="E10" s="263" t="n">
        <v>19</v>
      </c>
      <c r="F10" s="264" t="n">
        <v>5176</v>
      </c>
      <c r="G10" s="264" t="n">
        <v>2694</v>
      </c>
      <c r="H10" s="263" t="n">
        <v>34</v>
      </c>
      <c r="I10" s="263" t="n">
        <v>9</v>
      </c>
      <c r="J10" s="264" t="n">
        <v>4546</v>
      </c>
      <c r="K10" s="264" t="n">
        <v>2311</v>
      </c>
      <c r="L10" s="263" t="n">
        <v>91</v>
      </c>
      <c r="M10" s="263" t="n">
        <v>42</v>
      </c>
    </row>
    <row r="11" ht="14" customHeight="1" s="227">
      <c r="A11" s="28" t="inlineStr">
        <is>
          <t>Kandal</t>
        </is>
      </c>
      <c r="B11" s="264" t="n">
        <v>10959</v>
      </c>
      <c r="C11" s="264" t="n">
        <v>6109</v>
      </c>
      <c r="D11" s="263" t="n">
        <v>118</v>
      </c>
      <c r="E11" s="263" t="n">
        <v>34</v>
      </c>
      <c r="F11" s="264" t="n">
        <v>8999</v>
      </c>
      <c r="G11" s="264" t="n">
        <v>4998</v>
      </c>
      <c r="H11" s="263" t="n">
        <v>59</v>
      </c>
      <c r="I11" s="263" t="n">
        <v>22</v>
      </c>
      <c r="J11" s="264" t="n">
        <v>7454</v>
      </c>
      <c r="K11" s="264" t="n">
        <v>4063</v>
      </c>
      <c r="L11" s="263" t="n">
        <v>422</v>
      </c>
      <c r="M11" s="263" t="n">
        <v>185</v>
      </c>
    </row>
    <row r="12" ht="14" customHeight="1" s="227">
      <c r="A12" s="28" t="inlineStr">
        <is>
          <t>Kep</t>
        </is>
      </c>
      <c r="B12" s="263" t="n">
        <v>368</v>
      </c>
      <c r="C12" s="263" t="n">
        <v>195</v>
      </c>
      <c r="D12" s="263" t="n">
        <v>7</v>
      </c>
      <c r="E12" s="263" t="n">
        <v>2</v>
      </c>
      <c r="F12" s="263" t="n">
        <v>377</v>
      </c>
      <c r="G12" s="263" t="n">
        <v>197</v>
      </c>
      <c r="H12" s="263" t="n">
        <v>1</v>
      </c>
      <c r="I12" s="263" t="n">
        <v>0</v>
      </c>
      <c r="J12" s="263" t="n">
        <v>325</v>
      </c>
      <c r="K12" s="263" t="n">
        <v>180</v>
      </c>
      <c r="L12" s="263" t="n">
        <v>2</v>
      </c>
      <c r="M12" s="263" t="n">
        <v>1</v>
      </c>
    </row>
    <row r="13" ht="14" customHeight="1" s="227">
      <c r="A13" s="28" t="inlineStr">
        <is>
          <t>Koh Kong</t>
        </is>
      </c>
      <c r="B13" s="264" t="n">
        <v>1101</v>
      </c>
      <c r="C13" s="263" t="n">
        <v>509</v>
      </c>
      <c r="D13" s="263" t="n">
        <v>5</v>
      </c>
      <c r="E13" s="263" t="n">
        <v>0</v>
      </c>
      <c r="F13" s="263" t="n">
        <v>824</v>
      </c>
      <c r="G13" s="263" t="n">
        <v>367</v>
      </c>
      <c r="H13" s="263" t="n">
        <v>1</v>
      </c>
      <c r="I13" s="263" t="n">
        <v>0</v>
      </c>
      <c r="J13" s="263" t="n">
        <v>685</v>
      </c>
      <c r="K13" s="263" t="n">
        <v>343</v>
      </c>
      <c r="L13" s="263" t="n">
        <v>16</v>
      </c>
      <c r="M13" s="263" t="n">
        <v>9</v>
      </c>
    </row>
    <row r="14" ht="14" customHeight="1" s="227">
      <c r="A14" s="28" t="inlineStr">
        <is>
          <t>Kratie</t>
        </is>
      </c>
      <c r="B14" s="264" t="n">
        <v>2324</v>
      </c>
      <c r="C14" s="264" t="n">
        <v>1290</v>
      </c>
      <c r="D14" s="263" t="n">
        <v>22</v>
      </c>
      <c r="E14" s="263" t="n">
        <v>7</v>
      </c>
      <c r="F14" s="264" t="n">
        <v>2047</v>
      </c>
      <c r="G14" s="264" t="n">
        <v>1126</v>
      </c>
      <c r="H14" s="263" t="n">
        <v>11</v>
      </c>
      <c r="I14" s="263" t="n">
        <v>5</v>
      </c>
      <c r="J14" s="264" t="n">
        <v>1668</v>
      </c>
      <c r="K14" s="263" t="n">
        <v>845</v>
      </c>
      <c r="L14" s="263" t="n">
        <v>76</v>
      </c>
      <c r="M14" s="263" t="n">
        <v>32</v>
      </c>
    </row>
    <row r="15" ht="14" customHeight="1" s="227">
      <c r="A15" s="28" t="inlineStr">
        <is>
          <t>Mondul Kiri</t>
        </is>
      </c>
      <c r="B15" s="263" t="n">
        <v>567</v>
      </c>
      <c r="C15" s="263" t="n">
        <v>300</v>
      </c>
      <c r="D15" s="263" t="n">
        <v>6</v>
      </c>
      <c r="E15" s="263" t="n">
        <v>2</v>
      </c>
      <c r="F15" s="263" t="n">
        <v>483</v>
      </c>
      <c r="G15" s="263" t="n">
        <v>264</v>
      </c>
      <c r="H15" s="263" t="n">
        <v>3</v>
      </c>
      <c r="I15" s="263" t="n">
        <v>0</v>
      </c>
      <c r="J15" s="263" t="n">
        <v>336</v>
      </c>
      <c r="K15" s="263" t="n">
        <v>183</v>
      </c>
      <c r="L15" s="263" t="n">
        <v>2</v>
      </c>
      <c r="M15" s="263" t="n">
        <v>1</v>
      </c>
    </row>
    <row r="16" ht="14" customHeight="1" s="227">
      <c r="A16" s="28" t="inlineStr">
        <is>
          <t>Otdar Meanchey</t>
        </is>
      </c>
      <c r="B16" s="264" t="n">
        <v>1796</v>
      </c>
      <c r="C16" s="263" t="n">
        <v>939</v>
      </c>
      <c r="D16" s="263" t="n">
        <v>37</v>
      </c>
      <c r="E16" s="263" t="n">
        <v>8</v>
      </c>
      <c r="F16" s="264" t="n">
        <v>1375</v>
      </c>
      <c r="G16" s="263" t="n">
        <v>727</v>
      </c>
      <c r="H16" s="263" t="n">
        <v>2</v>
      </c>
      <c r="I16" s="263" t="n">
        <v>0</v>
      </c>
      <c r="J16" s="264" t="n">
        <v>1010</v>
      </c>
      <c r="K16" s="263" t="n">
        <v>484</v>
      </c>
      <c r="L16" s="263" t="n">
        <v>8</v>
      </c>
      <c r="M16" s="263" t="n">
        <v>4</v>
      </c>
    </row>
    <row r="17" ht="14" customHeight="1" s="227">
      <c r="A17" s="28" t="inlineStr">
        <is>
          <t>Pailin</t>
        </is>
      </c>
      <c r="B17" s="263" t="n">
        <v>622</v>
      </c>
      <c r="C17" s="263" t="n">
        <v>346</v>
      </c>
      <c r="D17" s="263" t="n">
        <v>9</v>
      </c>
      <c r="E17" s="263" t="n">
        <v>5</v>
      </c>
      <c r="F17" s="263" t="n">
        <v>440</v>
      </c>
      <c r="G17" s="263" t="n">
        <v>239</v>
      </c>
      <c r="H17" s="263" t="n">
        <v>7</v>
      </c>
      <c r="I17" s="263" t="n">
        <v>1</v>
      </c>
      <c r="J17" s="263" t="n">
        <v>417</v>
      </c>
      <c r="K17" s="263" t="n">
        <v>213</v>
      </c>
      <c r="L17" s="263" t="n">
        <v>36</v>
      </c>
      <c r="M17" s="263" t="n">
        <v>7</v>
      </c>
    </row>
    <row r="18" ht="14" customHeight="1" s="227">
      <c r="A18" s="28" t="inlineStr">
        <is>
          <t>Phnom Penh</t>
        </is>
      </c>
      <c r="B18" s="264" t="n">
        <v>12840</v>
      </c>
      <c r="C18" s="264" t="n">
        <v>6544</v>
      </c>
      <c r="D18" s="263" t="n">
        <v>140</v>
      </c>
      <c r="E18" s="263" t="n">
        <v>43</v>
      </c>
      <c r="F18" s="264" t="n">
        <v>11546</v>
      </c>
      <c r="G18" s="264" t="n">
        <v>5855</v>
      </c>
      <c r="H18" s="263" t="n">
        <v>128</v>
      </c>
      <c r="I18" s="263" t="n">
        <v>43</v>
      </c>
      <c r="J18" s="264" t="n">
        <v>12516</v>
      </c>
      <c r="K18" s="264" t="n">
        <v>6163</v>
      </c>
      <c r="L18" s="263" t="n">
        <v>938</v>
      </c>
      <c r="M18" s="263" t="n">
        <v>402</v>
      </c>
    </row>
    <row r="19" ht="14" customHeight="1" s="227">
      <c r="A19" s="28" t="inlineStr">
        <is>
          <t>Preah Sihanouk</t>
        </is>
      </c>
      <c r="B19" s="264" t="n">
        <v>1389</v>
      </c>
      <c r="C19" s="263" t="n">
        <v>757</v>
      </c>
      <c r="D19" s="263" t="n">
        <v>16</v>
      </c>
      <c r="E19" s="263" t="n">
        <v>5</v>
      </c>
      <c r="F19" s="264" t="n">
        <v>1438</v>
      </c>
      <c r="G19" s="263" t="n">
        <v>744</v>
      </c>
      <c r="H19" s="263" t="n">
        <v>8</v>
      </c>
      <c r="I19" s="263" t="n">
        <v>1</v>
      </c>
      <c r="J19" s="264" t="n">
        <v>1183</v>
      </c>
      <c r="K19" s="263" t="n">
        <v>574</v>
      </c>
      <c r="L19" s="263" t="n">
        <v>25</v>
      </c>
      <c r="M19" s="263" t="n">
        <v>8</v>
      </c>
    </row>
    <row r="20" ht="14" customHeight="1" s="227">
      <c r="A20" s="28" t="inlineStr">
        <is>
          <t>Preah Vihear</t>
        </is>
      </c>
      <c r="B20" s="264" t="n">
        <v>1894</v>
      </c>
      <c r="C20" s="264" t="n">
        <v>1038</v>
      </c>
      <c r="D20" s="263" t="n">
        <v>1</v>
      </c>
      <c r="E20" s="263" t="n">
        <v>0</v>
      </c>
      <c r="F20" s="264" t="n">
        <v>1387</v>
      </c>
      <c r="G20" s="263" t="n">
        <v>696</v>
      </c>
      <c r="H20" s="263" t="n">
        <v>0</v>
      </c>
      <c r="I20" s="263" t="n">
        <v>0</v>
      </c>
      <c r="J20" s="264" t="n">
        <v>1112</v>
      </c>
      <c r="K20" s="263" t="n">
        <v>557</v>
      </c>
      <c r="L20" s="263" t="n">
        <v>15</v>
      </c>
      <c r="M20" s="263" t="n">
        <v>5</v>
      </c>
    </row>
    <row r="21" ht="14" customHeight="1" s="227">
      <c r="A21" s="28" t="inlineStr">
        <is>
          <t>Prey Veng</t>
        </is>
      </c>
      <c r="B21" s="264" t="n">
        <v>9678</v>
      </c>
      <c r="C21" s="264" t="n">
        <v>5207</v>
      </c>
      <c r="D21" s="263" t="n">
        <v>78</v>
      </c>
      <c r="E21" s="263" t="n">
        <v>32</v>
      </c>
      <c r="F21" s="264" t="n">
        <v>7240</v>
      </c>
      <c r="G21" s="264" t="n">
        <v>3750</v>
      </c>
      <c r="H21" s="263" t="n">
        <v>54</v>
      </c>
      <c r="I21" s="263" t="n">
        <v>21</v>
      </c>
      <c r="J21" s="264" t="n">
        <v>6032</v>
      </c>
      <c r="K21" s="264" t="n">
        <v>3192</v>
      </c>
      <c r="L21" s="263" t="n">
        <v>174</v>
      </c>
      <c r="M21" s="263" t="n">
        <v>76</v>
      </c>
    </row>
    <row r="22" ht="14" customHeight="1" s="227">
      <c r="A22" s="28" t="inlineStr">
        <is>
          <t>Pursat</t>
        </is>
      </c>
      <c r="B22" s="264" t="n">
        <v>3686</v>
      </c>
      <c r="C22" s="264" t="n">
        <v>2013</v>
      </c>
      <c r="D22" s="263" t="n">
        <v>40</v>
      </c>
      <c r="E22" s="263" t="n">
        <v>13</v>
      </c>
      <c r="F22" s="264" t="n">
        <v>2816</v>
      </c>
      <c r="G22" s="264" t="n">
        <v>1480</v>
      </c>
      <c r="H22" s="263" t="n">
        <v>14</v>
      </c>
      <c r="I22" s="263" t="n">
        <v>9</v>
      </c>
      <c r="J22" s="264" t="n">
        <v>2295</v>
      </c>
      <c r="K22" s="264" t="n">
        <v>1219</v>
      </c>
      <c r="L22" s="263" t="n">
        <v>97</v>
      </c>
      <c r="M22" s="263" t="n">
        <v>40</v>
      </c>
    </row>
    <row r="23" ht="14" customHeight="1" s="227">
      <c r="A23" s="28" t="inlineStr">
        <is>
          <t>Ratanak Kiri</t>
        </is>
      </c>
      <c r="B23" s="264" t="n">
        <v>1357</v>
      </c>
      <c r="C23" s="263" t="n">
        <v>637</v>
      </c>
      <c r="D23" s="263" t="n">
        <v>2</v>
      </c>
      <c r="E23" s="263" t="n">
        <v>0</v>
      </c>
      <c r="F23" s="264" t="n">
        <v>1029</v>
      </c>
      <c r="G23" s="263" t="n">
        <v>470</v>
      </c>
      <c r="H23" s="263" t="n">
        <v>2</v>
      </c>
      <c r="I23" s="263" t="n">
        <v>0</v>
      </c>
      <c r="J23" s="263" t="n">
        <v>716</v>
      </c>
      <c r="K23" s="263" t="n">
        <v>340</v>
      </c>
      <c r="L23" s="263" t="n">
        <v>0</v>
      </c>
      <c r="M23" s="263" t="n">
        <v>0</v>
      </c>
    </row>
    <row r="24" ht="14" customHeight="1" s="227">
      <c r="A24" s="28" t="inlineStr">
        <is>
          <t>Siemreap</t>
        </is>
      </c>
      <c r="B24" s="264" t="n">
        <v>10187</v>
      </c>
      <c r="C24" s="264" t="n">
        <v>5884</v>
      </c>
      <c r="D24" s="263" t="n">
        <v>224</v>
      </c>
      <c r="E24" s="263" t="n">
        <v>89</v>
      </c>
      <c r="F24" s="264" t="n">
        <v>9130</v>
      </c>
      <c r="G24" s="264" t="n">
        <v>4858</v>
      </c>
      <c r="H24" s="263" t="n">
        <v>87</v>
      </c>
      <c r="I24" s="263" t="n">
        <v>37</v>
      </c>
      <c r="J24" s="264" t="n">
        <v>6929</v>
      </c>
      <c r="K24" s="264" t="n">
        <v>3866</v>
      </c>
      <c r="L24" s="263" t="n">
        <v>220</v>
      </c>
      <c r="M24" s="263" t="n">
        <v>93</v>
      </c>
    </row>
    <row r="25" ht="14" customHeight="1" s="227">
      <c r="A25" s="28" t="inlineStr">
        <is>
          <t>Stung Treng</t>
        </is>
      </c>
      <c r="B25" s="263" t="n">
        <v>966</v>
      </c>
      <c r="C25" s="263" t="n">
        <v>489</v>
      </c>
      <c r="D25" s="263" t="n">
        <v>3</v>
      </c>
      <c r="E25" s="263" t="n">
        <v>2</v>
      </c>
      <c r="F25" s="263" t="n">
        <v>678</v>
      </c>
      <c r="G25" s="263" t="n">
        <v>342</v>
      </c>
      <c r="H25" s="263" t="n">
        <v>0</v>
      </c>
      <c r="I25" s="263" t="n">
        <v>0</v>
      </c>
      <c r="J25" s="263" t="n">
        <v>589</v>
      </c>
      <c r="K25" s="263" t="n">
        <v>289</v>
      </c>
      <c r="L25" s="263" t="n">
        <v>6</v>
      </c>
      <c r="M25" s="263" t="n">
        <v>3</v>
      </c>
    </row>
    <row r="26" ht="14" customHeight="1" s="227">
      <c r="A26" s="28" t="inlineStr">
        <is>
          <t>Svay Rieng</t>
        </is>
      </c>
      <c r="B26" s="264" t="n">
        <v>5218</v>
      </c>
      <c r="C26" s="264" t="n">
        <v>2670</v>
      </c>
      <c r="D26" s="263" t="n">
        <v>28</v>
      </c>
      <c r="E26" s="263" t="n">
        <v>7</v>
      </c>
      <c r="F26" s="264" t="n">
        <v>4282</v>
      </c>
      <c r="G26" s="264" t="n">
        <v>2241</v>
      </c>
      <c r="H26" s="263" t="n">
        <v>19</v>
      </c>
      <c r="I26" s="263" t="n">
        <v>6</v>
      </c>
      <c r="J26" s="264" t="n">
        <v>3481</v>
      </c>
      <c r="K26" s="264" t="n">
        <v>1665</v>
      </c>
      <c r="L26" s="263" t="n">
        <v>67</v>
      </c>
      <c r="M26" s="263" t="n">
        <v>33</v>
      </c>
    </row>
    <row r="27" ht="14" customHeight="1" s="227">
      <c r="A27" s="28" t="inlineStr">
        <is>
          <t>Takeo</t>
        </is>
      </c>
      <c r="B27" s="264" t="n">
        <v>11365</v>
      </c>
      <c r="C27" s="264" t="n">
        <v>5870</v>
      </c>
      <c r="D27" s="263" t="n">
        <v>144</v>
      </c>
      <c r="E27" s="263" t="n">
        <v>44</v>
      </c>
      <c r="F27" s="264" t="n">
        <v>9268</v>
      </c>
      <c r="G27" s="264" t="n">
        <v>4769</v>
      </c>
      <c r="H27" s="263" t="n">
        <v>114</v>
      </c>
      <c r="I27" s="263" t="n">
        <v>35</v>
      </c>
      <c r="J27" s="264" t="n">
        <v>8447</v>
      </c>
      <c r="K27" s="264" t="n">
        <v>4300</v>
      </c>
      <c r="L27" s="263" t="n">
        <v>457</v>
      </c>
      <c r="M27" s="263" t="n">
        <v>197</v>
      </c>
    </row>
    <row r="28" ht="14" customHeight="1" s="227">
      <c r="A28" s="28" t="inlineStr">
        <is>
          <t>Tbaung Khmum</t>
        </is>
      </c>
      <c r="B28" s="264" t="n">
        <v>5362</v>
      </c>
      <c r="C28" s="264" t="n">
        <v>2858</v>
      </c>
      <c r="D28" s="263" t="n">
        <v>57</v>
      </c>
      <c r="E28" s="263" t="n">
        <v>15</v>
      </c>
      <c r="F28" s="264" t="n">
        <v>4203</v>
      </c>
      <c r="G28" s="264" t="n">
        <v>2386</v>
      </c>
      <c r="H28" s="263" t="n">
        <v>30</v>
      </c>
      <c r="I28" s="263" t="n">
        <v>11</v>
      </c>
      <c r="J28" s="264" t="n">
        <v>3448</v>
      </c>
      <c r="K28" s="264" t="n">
        <v>1872</v>
      </c>
      <c r="L28" s="263" t="n">
        <v>150</v>
      </c>
      <c r="M28" s="263" t="n">
        <v>70</v>
      </c>
    </row>
    <row r="29" ht="17" customHeight="1" s="227">
      <c r="A29" s="22" t="inlineStr">
        <is>
          <t>Whole Kingdom</t>
        </is>
      </c>
      <c r="B29" s="264" t="n">
        <v>127297</v>
      </c>
      <c r="C29" s="264" t="n">
        <v>68624</v>
      </c>
      <c r="D29" s="264" t="n">
        <v>1396</v>
      </c>
      <c r="E29" s="263" t="n">
        <v>442</v>
      </c>
      <c r="F29" s="264" t="n">
        <v>104331</v>
      </c>
      <c r="G29" s="264" t="n">
        <v>55697</v>
      </c>
      <c r="H29" s="263" t="n">
        <v>770</v>
      </c>
      <c r="I29" s="263" t="n">
        <v>263</v>
      </c>
      <c r="J29" s="264" t="n">
        <v>89517</v>
      </c>
      <c r="K29" s="264" t="n">
        <v>47173</v>
      </c>
      <c r="L29" s="264" t="n">
        <v>3892</v>
      </c>
      <c r="M29" s="264" t="n">
        <v>1725</v>
      </c>
    </row>
    <row r="30" ht="14" customHeight="1" s="227">
      <c r="A30" s="28" t="inlineStr">
        <is>
          <t>-  Urban Area</t>
        </is>
      </c>
      <c r="B30" s="264" t="n">
        <v>34946</v>
      </c>
      <c r="C30" s="264" t="n">
        <v>18296</v>
      </c>
      <c r="D30" s="263" t="n">
        <v>438</v>
      </c>
      <c r="E30" s="263" t="n">
        <v>156</v>
      </c>
      <c r="F30" s="264" t="n">
        <v>30929</v>
      </c>
      <c r="G30" s="264" t="n">
        <v>16148</v>
      </c>
      <c r="H30" s="263" t="n">
        <v>283</v>
      </c>
      <c r="I30" s="263" t="n">
        <v>113</v>
      </c>
      <c r="J30" s="264" t="n">
        <v>30234</v>
      </c>
      <c r="K30" s="264" t="n">
        <v>15457</v>
      </c>
      <c r="L30" s="264" t="n">
        <v>1680</v>
      </c>
      <c r="M30" s="263" t="n">
        <v>727</v>
      </c>
    </row>
    <row r="31" ht="14" customHeight="1" s="227">
      <c r="A31" s="28" t="inlineStr">
        <is>
          <t>-  Rural Area</t>
        </is>
      </c>
      <c r="B31" s="264" t="n">
        <v>92351</v>
      </c>
      <c r="C31" s="264" t="n">
        <v>50328</v>
      </c>
      <c r="D31" s="263" t="n">
        <v>958</v>
      </c>
      <c r="E31" s="263" t="n">
        <v>286</v>
      </c>
      <c r="F31" s="264" t="n">
        <v>73402</v>
      </c>
      <c r="G31" s="264" t="n">
        <v>39549</v>
      </c>
      <c r="H31" s="263" t="n">
        <v>487</v>
      </c>
      <c r="I31" s="263" t="n">
        <v>150</v>
      </c>
      <c r="J31" s="264" t="n">
        <v>59283</v>
      </c>
      <c r="K31" s="264" t="n">
        <v>31716</v>
      </c>
      <c r="L31" s="264" t="n">
        <v>2212</v>
      </c>
      <c r="M31" s="263" t="n">
        <v>998</v>
      </c>
    </row>
  </sheetData>
  <mergeCells count="8">
    <mergeCell ref="L2:M2"/>
    <mergeCell ref="F2:G2"/>
    <mergeCell ref="B2:C2"/>
    <mergeCell ref="H2:I2"/>
    <mergeCell ref="A1:M1"/>
    <mergeCell ref="D2:E2"/>
    <mergeCell ref="J2:K2"/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005B9BD5"/>
    <outlinePr summaryBelow="1" summaryRight="1"/>
    <pageSetUpPr/>
  </sheetPr>
  <dimension ref="A1:P31"/>
  <sheetViews>
    <sheetView tabSelected="1" workbookViewId="0">
      <selection activeCell="A1" sqref="A1"/>
    </sheetView>
  </sheetViews>
  <sheetFormatPr baseColWidth="8" defaultRowHeight="15"/>
  <cols>
    <col width="25.333333" customWidth="1" style="227" min="1" max="1"/>
    <col width="9.777778" customWidth="1" style="227" min="2" max="2"/>
    <col width="9.777778" customWidth="1" style="227" min="3" max="3"/>
    <col width="10" customWidth="1" style="227" min="4" max="4"/>
    <col width="10" customWidth="1" style="227" min="5" max="5"/>
    <col width="9.555555999999999" customWidth="1" style="227" min="6" max="6"/>
    <col width="9.555555999999999" customWidth="1" style="227" min="7" max="7"/>
    <col width="9.333333" customWidth="1" style="227" min="8" max="8"/>
    <col width="9.333333" customWidth="1" style="227" min="9" max="9"/>
    <col width="9.333333" customWidth="1" style="227" min="10" max="10"/>
    <col width="8.888889000000001" customWidth="1" style="227" min="11" max="11"/>
    <col width="9.333333" customWidth="1" style="227" min="12" max="12"/>
    <col width="9.333333" customWidth="1" style="227" min="13" max="13"/>
    <col width="9.333333" customWidth="1" style="227" min="14" max="14"/>
    <col width="9.333333" customWidth="1" style="227" min="15" max="15"/>
    <col width="9.333333" customWidth="1" style="227" min="16" max="16"/>
  </cols>
  <sheetData>
    <row r="1" ht="31" customHeight="1" s="227">
      <c r="A1" s="2" t="inlineStr">
        <is>
          <t>Table 17: New Intake and Enrollment by Level and Age (Both Sexes)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</row>
    <row r="2" ht="19" customHeight="1" s="227">
      <c r="A2" s="3" t="inlineStr">
        <is>
          <t>Province</t>
        </is>
      </c>
      <c r="B2" s="11" t="inlineStr">
        <is>
          <t>Grade 1 Intake</t>
        </is>
      </c>
      <c r="C2" s="257" t="n"/>
      <c r="D2" s="14" t="inlineStr">
        <is>
          <t>Primary Enrollment</t>
        </is>
      </c>
      <c r="E2" s="257" t="n"/>
      <c r="F2" s="11" t="inlineStr">
        <is>
          <t>Grade 7 Intake</t>
        </is>
      </c>
      <c r="G2" s="257" t="n"/>
      <c r="H2" s="14" t="inlineStr">
        <is>
          <t>L. Sec. Enrollment</t>
        </is>
      </c>
      <c r="I2" s="257" t="n"/>
      <c r="J2" s="11" t="inlineStr">
        <is>
          <t>Grade 10 Intake</t>
        </is>
      </c>
      <c r="K2" s="257" t="n"/>
      <c r="L2" s="14" t="inlineStr">
        <is>
          <t>U. Sec. Enrollment</t>
        </is>
      </c>
      <c r="M2" s="257" t="n"/>
      <c r="N2" s="11" t="inlineStr">
        <is>
          <t>% Over-age Enrollment in</t>
        </is>
      </c>
      <c r="O2" s="269" t="n"/>
      <c r="P2" s="257" t="n"/>
    </row>
    <row r="3" ht="18" customHeight="1" s="227">
      <c r="A3" s="258" t="n"/>
      <c r="B3" s="14" t="inlineStr">
        <is>
          <t>Total</t>
        </is>
      </c>
      <c r="C3" s="14" t="inlineStr">
        <is>
          <t>Aged 6</t>
        </is>
      </c>
      <c r="D3" s="11" t="inlineStr">
        <is>
          <t>Total</t>
        </is>
      </c>
      <c r="E3" s="52" t="inlineStr">
        <is>
          <t>Aged 11+</t>
        </is>
      </c>
      <c r="F3" s="14" t="inlineStr">
        <is>
          <t>Total</t>
        </is>
      </c>
      <c r="G3" s="21" t="inlineStr">
        <is>
          <t>Aged 12</t>
        </is>
      </c>
      <c r="H3" s="14" t="inlineStr">
        <is>
          <t>Total</t>
        </is>
      </c>
      <c r="I3" s="52" t="inlineStr">
        <is>
          <t>Aged 14+</t>
        </is>
      </c>
      <c r="J3" s="14" t="inlineStr">
        <is>
          <t>Total</t>
        </is>
      </c>
      <c r="K3" s="52" t="inlineStr">
        <is>
          <t>Aged 15</t>
        </is>
      </c>
      <c r="L3" s="14" t="inlineStr">
        <is>
          <t>Total</t>
        </is>
      </c>
      <c r="M3" s="52" t="inlineStr">
        <is>
          <t>Aged 17+</t>
        </is>
      </c>
      <c r="N3" s="21" t="inlineStr">
        <is>
          <t>Primary</t>
        </is>
      </c>
      <c r="O3" s="14" t="inlineStr">
        <is>
          <t>L. Sec.</t>
        </is>
      </c>
      <c r="P3" s="14" t="inlineStr">
        <is>
          <t>U. Sec.</t>
        </is>
      </c>
    </row>
    <row r="4" ht="14" customHeight="1" s="227">
      <c r="A4" s="28" t="inlineStr">
        <is>
          <t>Banteay Meanchey</t>
        </is>
      </c>
      <c r="B4" s="259" t="n">
        <v>17391</v>
      </c>
      <c r="C4" s="259" t="n">
        <v>14085</v>
      </c>
      <c r="D4" s="259" t="n">
        <v>96900</v>
      </c>
      <c r="E4" s="259" t="n">
        <v>11708</v>
      </c>
      <c r="F4" s="259" t="n">
        <v>10537</v>
      </c>
      <c r="G4" s="259" t="n">
        <v>6419</v>
      </c>
      <c r="H4" s="259" t="n">
        <v>26777</v>
      </c>
      <c r="I4" s="259" t="n">
        <v>4427</v>
      </c>
      <c r="J4" s="259" t="n">
        <v>4926</v>
      </c>
      <c r="K4" s="259" t="n">
        <v>3432</v>
      </c>
      <c r="L4" s="259" t="n">
        <v>12289</v>
      </c>
      <c r="M4" s="259" t="n">
        <v>2201</v>
      </c>
      <c r="N4" s="276" t="n">
        <v>12.1</v>
      </c>
      <c r="O4" s="276" t="n">
        <v>16.5</v>
      </c>
      <c r="P4" s="276" t="n">
        <v>17.9</v>
      </c>
    </row>
    <row r="5" ht="14" customHeight="1" s="227">
      <c r="A5" s="28" t="inlineStr">
        <is>
          <t>Battambang</t>
        </is>
      </c>
      <c r="B5" s="259" t="n">
        <v>30604</v>
      </c>
      <c r="C5" s="259" t="n">
        <v>23554</v>
      </c>
      <c r="D5" s="259" t="n">
        <v>171713</v>
      </c>
      <c r="E5" s="259" t="n">
        <v>23436</v>
      </c>
      <c r="F5" s="259" t="n">
        <v>17504</v>
      </c>
      <c r="G5" s="259" t="n">
        <v>9387</v>
      </c>
      <c r="H5" s="259" t="n">
        <v>43372</v>
      </c>
      <c r="I5" s="259" t="n">
        <v>8828</v>
      </c>
      <c r="J5" s="259" t="n">
        <v>7915</v>
      </c>
      <c r="K5" s="259" t="n">
        <v>4445</v>
      </c>
      <c r="L5" s="259" t="n">
        <v>19631</v>
      </c>
      <c r="M5" s="259" t="n">
        <v>4646</v>
      </c>
      <c r="N5" s="276" t="n">
        <v>13.6</v>
      </c>
      <c r="O5" s="276" t="n">
        <v>20.4</v>
      </c>
      <c r="P5" s="276" t="n">
        <v>23.7</v>
      </c>
    </row>
    <row r="6" ht="15" customHeight="1" s="227">
      <c r="A6" s="28" t="inlineStr">
        <is>
          <t>Kampong Cham</t>
        </is>
      </c>
      <c r="B6" s="259" t="n">
        <v>23291</v>
      </c>
      <c r="C6" s="259" t="n">
        <v>17251</v>
      </c>
      <c r="D6" s="259" t="n">
        <v>141437</v>
      </c>
      <c r="E6" s="259" t="n">
        <v>20770</v>
      </c>
      <c r="F6" s="259" t="n">
        <v>16129</v>
      </c>
      <c r="G6" s="259" t="n">
        <v>9312</v>
      </c>
      <c r="H6" s="259" t="n">
        <v>42139</v>
      </c>
      <c r="I6" s="259" t="n">
        <v>7295</v>
      </c>
      <c r="J6" s="259" t="n">
        <v>8836</v>
      </c>
      <c r="K6" s="259" t="n">
        <v>5915</v>
      </c>
      <c r="L6" s="259" t="n">
        <v>22427</v>
      </c>
      <c r="M6" s="259" t="n">
        <v>3686</v>
      </c>
      <c r="N6" s="276" t="n">
        <v>14.7</v>
      </c>
      <c r="O6" s="276" t="n">
        <v>17.3</v>
      </c>
      <c r="P6" s="276" t="n">
        <v>16.4</v>
      </c>
    </row>
    <row r="7" ht="14" customHeight="1" s="227">
      <c r="A7" s="28" t="inlineStr">
        <is>
          <t>Kampong Chhnang</t>
        </is>
      </c>
      <c r="B7" s="259" t="n">
        <v>11869</v>
      </c>
      <c r="C7" s="259" t="n">
        <v>10633</v>
      </c>
      <c r="D7" s="259" t="n">
        <v>74274</v>
      </c>
      <c r="E7" s="259" t="n">
        <v>7222</v>
      </c>
      <c r="F7" s="259" t="n">
        <v>9230</v>
      </c>
      <c r="G7" s="259" t="n">
        <v>5690</v>
      </c>
      <c r="H7" s="259" t="n">
        <v>24396</v>
      </c>
      <c r="I7" s="259" t="n">
        <v>4409</v>
      </c>
      <c r="J7" s="259" t="n">
        <v>4985</v>
      </c>
      <c r="K7" s="259" t="n">
        <v>3297</v>
      </c>
      <c r="L7" s="259" t="n">
        <v>12560</v>
      </c>
      <c r="M7" s="259" t="n">
        <v>2403</v>
      </c>
      <c r="N7" s="276" t="n">
        <v>9.699999999999999</v>
      </c>
      <c r="O7" s="276" t="n">
        <v>18.1</v>
      </c>
      <c r="P7" s="276" t="n">
        <v>19.1</v>
      </c>
    </row>
    <row r="8" ht="14" customHeight="1" s="227">
      <c r="A8" s="28" t="inlineStr">
        <is>
          <t>Kampong Speu</t>
        </is>
      </c>
      <c r="B8" s="259" t="n">
        <v>17641</v>
      </c>
      <c r="C8" s="259" t="n">
        <v>15365</v>
      </c>
      <c r="D8" s="259" t="n">
        <v>110874</v>
      </c>
      <c r="E8" s="259" t="n">
        <v>11285</v>
      </c>
      <c r="F8" s="259" t="n">
        <v>13261</v>
      </c>
      <c r="G8" s="259" t="n">
        <v>7613</v>
      </c>
      <c r="H8" s="259" t="n">
        <v>34034</v>
      </c>
      <c r="I8" s="259" t="n">
        <v>6803</v>
      </c>
      <c r="J8" s="259" t="n">
        <v>6317</v>
      </c>
      <c r="K8" s="259" t="n">
        <v>3374</v>
      </c>
      <c r="L8" s="259" t="n">
        <v>15428</v>
      </c>
      <c r="M8" s="259" t="n">
        <v>3246</v>
      </c>
      <c r="N8" s="276" t="n">
        <v>10.2</v>
      </c>
      <c r="O8" s="276" t="n">
        <v>20</v>
      </c>
      <c r="P8" s="276" t="n">
        <v>21</v>
      </c>
    </row>
    <row r="9" ht="14" customHeight="1" s="227">
      <c r="A9" s="28" t="inlineStr">
        <is>
          <t>Kampong Thom</t>
        </is>
      </c>
      <c r="B9" s="259" t="n">
        <v>17595</v>
      </c>
      <c r="C9" s="259" t="n">
        <v>14284</v>
      </c>
      <c r="D9" s="259" t="n">
        <v>100565</v>
      </c>
      <c r="E9" s="259" t="n">
        <v>13307</v>
      </c>
      <c r="F9" s="259" t="n">
        <v>12050</v>
      </c>
      <c r="G9" s="259" t="n">
        <v>5674</v>
      </c>
      <c r="H9" s="259" t="n">
        <v>30503</v>
      </c>
      <c r="I9" s="259" t="n">
        <v>7187</v>
      </c>
      <c r="J9" s="259" t="n">
        <v>6010</v>
      </c>
      <c r="K9" s="259" t="n">
        <v>3325</v>
      </c>
      <c r="L9" s="259" t="n">
        <v>14963</v>
      </c>
      <c r="M9" s="259" t="n">
        <v>3452</v>
      </c>
      <c r="N9" s="276" t="n">
        <v>13.2</v>
      </c>
      <c r="O9" s="276" t="n">
        <v>23.6</v>
      </c>
      <c r="P9" s="276" t="n">
        <v>23.1</v>
      </c>
    </row>
    <row r="10" ht="14" customHeight="1" s="227">
      <c r="A10" s="28" t="inlineStr">
        <is>
          <t>Kampot</t>
        </is>
      </c>
      <c r="B10" s="259" t="n">
        <v>13045</v>
      </c>
      <c r="C10" s="259" t="n">
        <v>11244</v>
      </c>
      <c r="D10" s="259" t="n">
        <v>78535</v>
      </c>
      <c r="E10" s="259" t="n">
        <v>8753</v>
      </c>
      <c r="F10" s="259" t="n">
        <v>10150</v>
      </c>
      <c r="G10" s="259" t="n">
        <v>6099</v>
      </c>
      <c r="H10" s="259" t="n">
        <v>28240</v>
      </c>
      <c r="I10" s="259" t="n">
        <v>5858</v>
      </c>
      <c r="J10" s="259" t="n">
        <v>6170</v>
      </c>
      <c r="K10" s="259" t="n">
        <v>3904</v>
      </c>
      <c r="L10" s="259" t="n">
        <v>15963</v>
      </c>
      <c r="M10" s="259" t="n">
        <v>3512</v>
      </c>
      <c r="N10" s="276" t="n">
        <v>11.1</v>
      </c>
      <c r="O10" s="276" t="n">
        <v>20.7</v>
      </c>
      <c r="P10" s="276" t="n">
        <v>22</v>
      </c>
    </row>
    <row r="11" ht="14" customHeight="1" s="227">
      <c r="A11" s="28" t="inlineStr">
        <is>
          <t>Kandal</t>
        </is>
      </c>
      <c r="B11" s="259" t="n">
        <v>25753</v>
      </c>
      <c r="C11" s="259" t="n">
        <v>22086</v>
      </c>
      <c r="D11" s="259" t="n">
        <v>159688</v>
      </c>
      <c r="E11" s="259" t="n">
        <v>20064</v>
      </c>
      <c r="F11" s="259" t="n">
        <v>18531</v>
      </c>
      <c r="G11" s="259" t="n">
        <v>10929</v>
      </c>
      <c r="H11" s="259" t="n">
        <v>48495</v>
      </c>
      <c r="I11" s="259" t="n">
        <v>8314</v>
      </c>
      <c r="J11" s="259" t="n">
        <v>10841</v>
      </c>
      <c r="K11" s="259" t="n">
        <v>6797</v>
      </c>
      <c r="L11" s="259" t="n">
        <v>27412</v>
      </c>
      <c r="M11" s="259" t="n">
        <v>5607</v>
      </c>
      <c r="N11" s="276" t="n">
        <v>12.6</v>
      </c>
      <c r="O11" s="276" t="n">
        <v>17.1</v>
      </c>
      <c r="P11" s="276" t="n">
        <v>20.5</v>
      </c>
    </row>
    <row r="12" ht="14" customHeight="1" s="227">
      <c r="A12" s="28" t="inlineStr">
        <is>
          <t>Kep</t>
        </is>
      </c>
      <c r="B12" s="260" t="n">
        <v>947</v>
      </c>
      <c r="C12" s="260" t="n">
        <v>786</v>
      </c>
      <c r="D12" s="259" t="n">
        <v>5104</v>
      </c>
      <c r="E12" s="260" t="n">
        <v>501</v>
      </c>
      <c r="F12" s="260" t="n">
        <v>591</v>
      </c>
      <c r="G12" s="260" t="n">
        <v>334</v>
      </c>
      <c r="H12" s="259" t="n">
        <v>1606</v>
      </c>
      <c r="I12" s="260" t="n">
        <v>254</v>
      </c>
      <c r="J12" s="260" t="n">
        <v>361</v>
      </c>
      <c r="K12" s="260" t="n">
        <v>234</v>
      </c>
      <c r="L12" s="259" t="n">
        <v>1070</v>
      </c>
      <c r="M12" s="260" t="n">
        <v>260</v>
      </c>
      <c r="N12" s="276" t="n">
        <v>9.800000000000001</v>
      </c>
      <c r="O12" s="276" t="n">
        <v>15.8</v>
      </c>
      <c r="P12" s="276" t="n">
        <v>24.3</v>
      </c>
    </row>
    <row r="13" ht="14" customHeight="1" s="227">
      <c r="A13" s="28" t="inlineStr">
        <is>
          <t>Koh Kong</t>
        </is>
      </c>
      <c r="B13" s="259" t="n">
        <v>3014</v>
      </c>
      <c r="C13" s="259" t="n">
        <v>2193</v>
      </c>
      <c r="D13" s="259" t="n">
        <v>16689</v>
      </c>
      <c r="E13" s="259" t="n">
        <v>3313</v>
      </c>
      <c r="F13" s="259" t="n">
        <v>1996</v>
      </c>
      <c r="G13" s="260" t="n">
        <v>760</v>
      </c>
      <c r="H13" s="259" t="n">
        <v>5136</v>
      </c>
      <c r="I13" s="259" t="n">
        <v>1587</v>
      </c>
      <c r="J13" s="259" t="n">
        <v>1096</v>
      </c>
      <c r="K13" s="260" t="n">
        <v>394</v>
      </c>
      <c r="L13" s="259" t="n">
        <v>2610</v>
      </c>
      <c r="M13" s="260" t="n">
        <v>849</v>
      </c>
      <c r="N13" s="276" t="n">
        <v>19.9</v>
      </c>
      <c r="O13" s="276" t="n">
        <v>30.9</v>
      </c>
      <c r="P13" s="276" t="n">
        <v>32.5</v>
      </c>
    </row>
    <row r="14" ht="14" customHeight="1" s="227">
      <c r="A14" s="28" t="inlineStr">
        <is>
          <t>Kratie</t>
        </is>
      </c>
      <c r="B14" s="259" t="n">
        <v>12045</v>
      </c>
      <c r="C14" s="259" t="n">
        <v>8792</v>
      </c>
      <c r="D14" s="259" t="n">
        <v>63323</v>
      </c>
      <c r="E14" s="259" t="n">
        <v>9125</v>
      </c>
      <c r="F14" s="259" t="n">
        <v>5257</v>
      </c>
      <c r="G14" s="259" t="n">
        <v>2554</v>
      </c>
      <c r="H14" s="259" t="n">
        <v>12917</v>
      </c>
      <c r="I14" s="259" t="n">
        <v>2810</v>
      </c>
      <c r="J14" s="259" t="n">
        <v>2302</v>
      </c>
      <c r="K14" s="259" t="n">
        <v>1392</v>
      </c>
      <c r="L14" s="259" t="n">
        <v>6039</v>
      </c>
      <c r="M14" s="259" t="n">
        <v>1212</v>
      </c>
      <c r="N14" s="276" t="n">
        <v>14.4</v>
      </c>
      <c r="O14" s="276" t="n">
        <v>21.8</v>
      </c>
      <c r="P14" s="276" t="n">
        <v>20.1</v>
      </c>
    </row>
    <row r="15" ht="14" customHeight="1" s="227">
      <c r="A15" s="28" t="inlineStr">
        <is>
          <t>Mondul Kiri</t>
        </is>
      </c>
      <c r="B15" s="259" t="n">
        <v>2947</v>
      </c>
      <c r="C15" s="259" t="n">
        <v>1929</v>
      </c>
      <c r="D15" s="259" t="n">
        <v>14576</v>
      </c>
      <c r="E15" s="259" t="n">
        <v>3133</v>
      </c>
      <c r="F15" s="259" t="n">
        <v>1298</v>
      </c>
      <c r="G15" s="260" t="n">
        <v>465</v>
      </c>
      <c r="H15" s="259" t="n">
        <v>3212</v>
      </c>
      <c r="I15" s="259" t="n">
        <v>1147</v>
      </c>
      <c r="J15" s="260" t="n">
        <v>561</v>
      </c>
      <c r="K15" s="260" t="n">
        <v>203</v>
      </c>
      <c r="L15" s="259" t="n">
        <v>1386</v>
      </c>
      <c r="M15" s="260" t="n">
        <v>512</v>
      </c>
      <c r="N15" s="276" t="n">
        <v>21.5</v>
      </c>
      <c r="O15" s="276" t="n">
        <v>35.7</v>
      </c>
      <c r="P15" s="276" t="n">
        <v>36.9</v>
      </c>
    </row>
    <row r="16" ht="14" customHeight="1" s="227">
      <c r="A16" s="28" t="inlineStr">
        <is>
          <t>Otdar Meanchey</t>
        </is>
      </c>
      <c r="B16" s="259" t="n">
        <v>6614</v>
      </c>
      <c r="C16" s="259" t="n">
        <v>5299</v>
      </c>
      <c r="D16" s="259" t="n">
        <v>37379</v>
      </c>
      <c r="E16" s="259" t="n">
        <v>5493</v>
      </c>
      <c r="F16" s="259" t="n">
        <v>3769</v>
      </c>
      <c r="G16" s="259" t="n">
        <v>1763</v>
      </c>
      <c r="H16" s="259" t="n">
        <v>9509</v>
      </c>
      <c r="I16" s="259" t="n">
        <v>2549</v>
      </c>
      <c r="J16" s="259" t="n">
        <v>1759</v>
      </c>
      <c r="K16" s="260" t="n">
        <v>840</v>
      </c>
      <c r="L16" s="259" t="n">
        <v>4181</v>
      </c>
      <c r="M16" s="259" t="n">
        <v>1130</v>
      </c>
      <c r="N16" s="276" t="n">
        <v>14.7</v>
      </c>
      <c r="O16" s="276" t="n">
        <v>26.8</v>
      </c>
      <c r="P16" s="276" t="n">
        <v>27</v>
      </c>
    </row>
    <row r="17" ht="14" customHeight="1" s="227">
      <c r="A17" s="28" t="inlineStr">
        <is>
          <t>Pailin</t>
        </is>
      </c>
      <c r="B17" s="259" t="n">
        <v>1870</v>
      </c>
      <c r="C17" s="259" t="n">
        <v>1529</v>
      </c>
      <c r="D17" s="259" t="n">
        <v>10316</v>
      </c>
      <c r="E17" s="259" t="n">
        <v>1584</v>
      </c>
      <c r="F17" s="259" t="n">
        <v>1303</v>
      </c>
      <c r="G17" s="260" t="n">
        <v>691</v>
      </c>
      <c r="H17" s="259" t="n">
        <v>3210</v>
      </c>
      <c r="I17" s="260" t="n">
        <v>664</v>
      </c>
      <c r="J17" s="260" t="n">
        <v>613</v>
      </c>
      <c r="K17" s="260" t="n">
        <v>325</v>
      </c>
      <c r="L17" s="259" t="n">
        <v>1479</v>
      </c>
      <c r="M17" s="260" t="n">
        <v>394</v>
      </c>
      <c r="N17" s="276" t="n">
        <v>15.4</v>
      </c>
      <c r="O17" s="276" t="n">
        <v>20.7</v>
      </c>
      <c r="P17" s="276" t="n">
        <v>26.6</v>
      </c>
    </row>
    <row r="18" ht="14" customHeight="1" s="227">
      <c r="A18" s="28" t="inlineStr">
        <is>
          <t>Phnom Penh</t>
        </is>
      </c>
      <c r="B18" s="259" t="n">
        <v>24532</v>
      </c>
      <c r="C18" s="259" t="n">
        <v>20670</v>
      </c>
      <c r="D18" s="259" t="n">
        <v>138900</v>
      </c>
      <c r="E18" s="259" t="n">
        <v>12079</v>
      </c>
      <c r="F18" s="259" t="n">
        <v>17795</v>
      </c>
      <c r="G18" s="259" t="n">
        <v>11862</v>
      </c>
      <c r="H18" s="259" t="n">
        <v>49761</v>
      </c>
      <c r="I18" s="259" t="n">
        <v>7454</v>
      </c>
      <c r="J18" s="259" t="n">
        <v>12700</v>
      </c>
      <c r="K18" s="259" t="n">
        <v>8341</v>
      </c>
      <c r="L18" s="259" t="n">
        <v>36902</v>
      </c>
      <c r="M18" s="259" t="n">
        <v>7090</v>
      </c>
      <c r="N18" s="276" t="n">
        <v>8.699999999999999</v>
      </c>
      <c r="O18" s="276" t="n">
        <v>15</v>
      </c>
      <c r="P18" s="276" t="n">
        <v>19.2</v>
      </c>
    </row>
    <row r="19" ht="14" customHeight="1" s="227">
      <c r="A19" s="28" t="inlineStr">
        <is>
          <t>Preah Sihanouk</t>
        </is>
      </c>
      <c r="B19" s="259" t="n">
        <v>4849</v>
      </c>
      <c r="C19" s="259" t="n">
        <v>3581</v>
      </c>
      <c r="D19" s="259" t="n">
        <v>26923</v>
      </c>
      <c r="E19" s="259" t="n">
        <v>3634</v>
      </c>
      <c r="F19" s="259" t="n">
        <v>3271</v>
      </c>
      <c r="G19" s="259" t="n">
        <v>1870</v>
      </c>
      <c r="H19" s="259" t="n">
        <v>8156</v>
      </c>
      <c r="I19" s="259" t="n">
        <v>1604</v>
      </c>
      <c r="J19" s="259" t="n">
        <v>1373</v>
      </c>
      <c r="K19" s="260" t="n">
        <v>824</v>
      </c>
      <c r="L19" s="259" t="n">
        <v>4010</v>
      </c>
      <c r="M19" s="260" t="n">
        <v>771</v>
      </c>
      <c r="N19" s="276" t="n">
        <v>13.5</v>
      </c>
      <c r="O19" s="276" t="n">
        <v>19.7</v>
      </c>
      <c r="P19" s="276" t="n">
        <v>19.2</v>
      </c>
    </row>
    <row r="20" ht="14" customHeight="1" s="227">
      <c r="A20" s="28" t="inlineStr">
        <is>
          <t>Preah Vihear</t>
        </is>
      </c>
      <c r="B20" s="259" t="n">
        <v>6589</v>
      </c>
      <c r="C20" s="259" t="n">
        <v>4286</v>
      </c>
      <c r="D20" s="259" t="n">
        <v>37343</v>
      </c>
      <c r="E20" s="259" t="n">
        <v>10762</v>
      </c>
      <c r="F20" s="259" t="n">
        <v>3906</v>
      </c>
      <c r="G20" s="259" t="n">
        <v>1500</v>
      </c>
      <c r="H20" s="259" t="n">
        <v>9828</v>
      </c>
      <c r="I20" s="259" t="n">
        <v>3266</v>
      </c>
      <c r="J20" s="259" t="n">
        <v>1893</v>
      </c>
      <c r="K20" s="260" t="n">
        <v>850</v>
      </c>
      <c r="L20" s="259" t="n">
        <v>4393</v>
      </c>
      <c r="M20" s="259" t="n">
        <v>1261</v>
      </c>
      <c r="N20" s="276" t="n">
        <v>28.8</v>
      </c>
      <c r="O20" s="276" t="n">
        <v>33.2</v>
      </c>
      <c r="P20" s="276" t="n">
        <v>28.7</v>
      </c>
    </row>
    <row r="21" ht="14" customHeight="1" s="227">
      <c r="A21" s="28" t="inlineStr">
        <is>
          <t>Prey Veng</t>
        </is>
      </c>
      <c r="B21" s="259" t="n">
        <v>23414</v>
      </c>
      <c r="C21" s="259" t="n">
        <v>19240</v>
      </c>
      <c r="D21" s="259" t="n">
        <v>149003</v>
      </c>
      <c r="E21" s="259" t="n">
        <v>20719</v>
      </c>
      <c r="F21" s="259" t="n">
        <v>17992</v>
      </c>
      <c r="G21" s="259" t="n">
        <v>10678</v>
      </c>
      <c r="H21" s="259" t="n">
        <v>47242</v>
      </c>
      <c r="I21" s="259" t="n">
        <v>8519</v>
      </c>
      <c r="J21" s="259" t="n">
        <v>9600</v>
      </c>
      <c r="K21" s="259" t="n">
        <v>5570</v>
      </c>
      <c r="L21" s="259" t="n">
        <v>22950</v>
      </c>
      <c r="M21" s="259" t="n">
        <v>4323</v>
      </c>
      <c r="N21" s="276" t="n">
        <v>13.9</v>
      </c>
      <c r="O21" s="276" t="n">
        <v>18</v>
      </c>
      <c r="P21" s="276" t="n">
        <v>18.8</v>
      </c>
    </row>
    <row r="22" ht="14" customHeight="1" s="227">
      <c r="A22" s="28" t="inlineStr">
        <is>
          <t>Pursat</t>
        </is>
      </c>
      <c r="B22" s="259" t="n">
        <v>11674</v>
      </c>
      <c r="C22" s="259" t="n">
        <v>9059</v>
      </c>
      <c r="D22" s="259" t="n">
        <v>69224</v>
      </c>
      <c r="E22" s="259" t="n">
        <v>10800</v>
      </c>
      <c r="F22" s="259" t="n">
        <v>7278</v>
      </c>
      <c r="G22" s="259" t="n">
        <v>3304</v>
      </c>
      <c r="H22" s="259" t="n">
        <v>18276</v>
      </c>
      <c r="I22" s="259" t="n">
        <v>4577</v>
      </c>
      <c r="J22" s="259" t="n">
        <v>3646</v>
      </c>
      <c r="K22" s="259" t="n">
        <v>1772</v>
      </c>
      <c r="L22" s="259" t="n">
        <v>8797</v>
      </c>
      <c r="M22" s="259" t="n">
        <v>2263</v>
      </c>
      <c r="N22" s="276" t="n">
        <v>15.6</v>
      </c>
      <c r="O22" s="276" t="n">
        <v>25</v>
      </c>
      <c r="P22" s="276" t="n">
        <v>25.7</v>
      </c>
    </row>
    <row r="23" ht="14" customHeight="1" s="227">
      <c r="A23" s="28" t="inlineStr">
        <is>
          <t>Ratanak Kiri</t>
        </is>
      </c>
      <c r="B23" s="259" t="n">
        <v>8716</v>
      </c>
      <c r="C23" s="259" t="n">
        <v>4560</v>
      </c>
      <c r="D23" s="259" t="n">
        <v>40979</v>
      </c>
      <c r="E23" s="259" t="n">
        <v>11967</v>
      </c>
      <c r="F23" s="259" t="n">
        <v>3219</v>
      </c>
      <c r="G23" s="260" t="n">
        <v>767</v>
      </c>
      <c r="H23" s="259" t="n">
        <v>7645</v>
      </c>
      <c r="I23" s="259" t="n">
        <v>3752</v>
      </c>
      <c r="J23" s="259" t="n">
        <v>1355</v>
      </c>
      <c r="K23" s="260" t="n">
        <v>482</v>
      </c>
      <c r="L23" s="259" t="n">
        <v>3102</v>
      </c>
      <c r="M23" s="259" t="n">
        <v>1202</v>
      </c>
      <c r="N23" s="276" t="n">
        <v>29.2</v>
      </c>
      <c r="O23" s="276" t="n">
        <v>49.1</v>
      </c>
      <c r="P23" s="276" t="n">
        <v>38.7</v>
      </c>
    </row>
    <row r="24" ht="14" customHeight="1" s="227">
      <c r="A24" s="28" t="inlineStr">
        <is>
          <t>Siemreap</t>
        </is>
      </c>
      <c r="B24" s="259" t="n">
        <v>27835</v>
      </c>
      <c r="C24" s="259" t="n">
        <v>23168</v>
      </c>
      <c r="D24" s="259" t="n">
        <v>164652</v>
      </c>
      <c r="E24" s="259" t="n">
        <v>23092</v>
      </c>
      <c r="F24" s="259" t="n">
        <v>18797</v>
      </c>
      <c r="G24" s="259" t="n">
        <v>9778</v>
      </c>
      <c r="H24" s="259" t="n">
        <v>49012</v>
      </c>
      <c r="I24" s="259" t="n">
        <v>11198</v>
      </c>
      <c r="J24" s="259" t="n">
        <v>9963</v>
      </c>
      <c r="K24" s="259" t="n">
        <v>4868</v>
      </c>
      <c r="L24" s="259" t="n">
        <v>26246</v>
      </c>
      <c r="M24" s="259" t="n">
        <v>7029</v>
      </c>
      <c r="N24" s="276" t="n">
        <v>14</v>
      </c>
      <c r="O24" s="276" t="n">
        <v>22.8</v>
      </c>
      <c r="P24" s="276" t="n">
        <v>26.8</v>
      </c>
    </row>
    <row r="25" ht="14" customHeight="1" s="227">
      <c r="A25" s="28" t="inlineStr">
        <is>
          <t>Stung Treng</t>
        </is>
      </c>
      <c r="B25" s="259" t="n">
        <v>4668</v>
      </c>
      <c r="C25" s="259" t="n">
        <v>2810</v>
      </c>
      <c r="D25" s="259" t="n">
        <v>25807</v>
      </c>
      <c r="E25" s="259" t="n">
        <v>6931</v>
      </c>
      <c r="F25" s="259" t="n">
        <v>1920</v>
      </c>
      <c r="G25" s="260" t="n">
        <v>665</v>
      </c>
      <c r="H25" s="259" t="n">
        <v>4719</v>
      </c>
      <c r="I25" s="259" t="n">
        <v>1543</v>
      </c>
      <c r="J25" s="260" t="n">
        <v>963</v>
      </c>
      <c r="K25" s="260" t="n">
        <v>482</v>
      </c>
      <c r="L25" s="259" t="n">
        <v>2233</v>
      </c>
      <c r="M25" s="260" t="n">
        <v>612</v>
      </c>
      <c r="N25" s="276" t="n">
        <v>26.9</v>
      </c>
      <c r="O25" s="276" t="n">
        <v>32.7</v>
      </c>
      <c r="P25" s="276" t="n">
        <v>27.4</v>
      </c>
    </row>
    <row r="26" ht="14" customHeight="1" s="227">
      <c r="A26" s="28" t="inlineStr">
        <is>
          <t>Svay Rieng</t>
        </is>
      </c>
      <c r="B26" s="259" t="n">
        <v>11854</v>
      </c>
      <c r="C26" s="259" t="n">
        <v>8996</v>
      </c>
      <c r="D26" s="259" t="n">
        <v>72118</v>
      </c>
      <c r="E26" s="259" t="n">
        <v>10994</v>
      </c>
      <c r="F26" s="259" t="n">
        <v>9580</v>
      </c>
      <c r="G26" s="259" t="n">
        <v>6362</v>
      </c>
      <c r="H26" s="259" t="n">
        <v>25222</v>
      </c>
      <c r="I26" s="259" t="n">
        <v>3760</v>
      </c>
      <c r="J26" s="259" t="n">
        <v>5190</v>
      </c>
      <c r="K26" s="259" t="n">
        <v>3245</v>
      </c>
      <c r="L26" s="259" t="n">
        <v>12981</v>
      </c>
      <c r="M26" s="259" t="n">
        <v>2611</v>
      </c>
      <c r="N26" s="276" t="n">
        <v>15.2</v>
      </c>
      <c r="O26" s="276" t="n">
        <v>14.9</v>
      </c>
      <c r="P26" s="276" t="n">
        <v>20.1</v>
      </c>
    </row>
    <row r="27" ht="14" customHeight="1" s="227">
      <c r="A27" s="28" t="inlineStr">
        <is>
          <t>Takeo</t>
        </is>
      </c>
      <c r="B27" s="259" t="n">
        <v>18208</v>
      </c>
      <c r="C27" s="259" t="n">
        <v>16741</v>
      </c>
      <c r="D27" s="259" t="n">
        <v>118349</v>
      </c>
      <c r="E27" s="259" t="n">
        <v>9671</v>
      </c>
      <c r="F27" s="259" t="n">
        <v>16465</v>
      </c>
      <c r="G27" s="259" t="n">
        <v>10252</v>
      </c>
      <c r="H27" s="259" t="n">
        <v>46704</v>
      </c>
      <c r="I27" s="259" t="n">
        <v>8295</v>
      </c>
      <c r="J27" s="259" t="n">
        <v>11221</v>
      </c>
      <c r="K27" s="259" t="n">
        <v>7056</v>
      </c>
      <c r="L27" s="259" t="n">
        <v>29080</v>
      </c>
      <c r="M27" s="259" t="n">
        <v>6186</v>
      </c>
      <c r="N27" s="276" t="n">
        <v>8.199999999999999</v>
      </c>
      <c r="O27" s="276" t="n">
        <v>17.8</v>
      </c>
      <c r="P27" s="276" t="n">
        <v>21.3</v>
      </c>
    </row>
    <row r="28" ht="14" customHeight="1" s="227">
      <c r="A28" s="28" t="inlineStr">
        <is>
          <t>Tbaung Khmum</t>
        </is>
      </c>
      <c r="B28" s="259" t="n">
        <v>20855</v>
      </c>
      <c r="C28" s="259" t="n">
        <v>14687</v>
      </c>
      <c r="D28" s="259" t="n">
        <v>115586</v>
      </c>
      <c r="E28" s="259" t="n">
        <v>18519</v>
      </c>
      <c r="F28" s="259" t="n">
        <v>12107</v>
      </c>
      <c r="G28" s="259" t="n">
        <v>6094</v>
      </c>
      <c r="H28" s="259" t="n">
        <v>30150</v>
      </c>
      <c r="I28" s="259" t="n">
        <v>7193</v>
      </c>
      <c r="J28" s="259" t="n">
        <v>5305</v>
      </c>
      <c r="K28" s="259" t="n">
        <v>2341</v>
      </c>
      <c r="L28" s="259" t="n">
        <v>13013</v>
      </c>
      <c r="M28" s="259" t="n">
        <v>4316</v>
      </c>
      <c r="N28" s="276" t="n">
        <v>16</v>
      </c>
      <c r="O28" s="276" t="n">
        <v>23.9</v>
      </c>
      <c r="P28" s="276" t="n">
        <v>33.2</v>
      </c>
    </row>
    <row r="29" ht="17" customHeight="1" s="227">
      <c r="A29" s="22" t="inlineStr">
        <is>
          <t>Whole Kingdom</t>
        </is>
      </c>
      <c r="B29" s="259" t="n">
        <v>347820</v>
      </c>
      <c r="C29" s="259" t="n">
        <v>276828</v>
      </c>
      <c r="D29" s="259" t="n">
        <v>2040257</v>
      </c>
      <c r="E29" s="259" t="n">
        <v>278862</v>
      </c>
      <c r="F29" s="259" t="n">
        <v>233936</v>
      </c>
      <c r="G29" s="259" t="n">
        <v>130822</v>
      </c>
      <c r="H29" s="259" t="n">
        <v>610261</v>
      </c>
      <c r="I29" s="259" t="n">
        <v>123293</v>
      </c>
      <c r="J29" s="259" t="n">
        <v>125901</v>
      </c>
      <c r="K29" s="259" t="n">
        <v>73708</v>
      </c>
      <c r="L29" s="259" t="n">
        <v>321145</v>
      </c>
      <c r="M29" s="259" t="n">
        <v>70774</v>
      </c>
      <c r="N29" s="276" t="n">
        <v>13.7</v>
      </c>
      <c r="O29" s="276" t="n">
        <v>20.2</v>
      </c>
      <c r="P29" s="276" t="n">
        <v>22</v>
      </c>
    </row>
    <row r="30" ht="14" customHeight="1" s="227">
      <c r="A30" s="28" t="inlineStr">
        <is>
          <t>-  Urban Area</t>
        </is>
      </c>
      <c r="B30" s="259" t="n">
        <v>60429</v>
      </c>
      <c r="C30" s="259" t="n">
        <v>49457</v>
      </c>
      <c r="D30" s="259" t="n">
        <v>339526</v>
      </c>
      <c r="E30" s="259" t="n">
        <v>35899</v>
      </c>
      <c r="F30" s="259" t="n">
        <v>44121</v>
      </c>
      <c r="G30" s="259" t="n">
        <v>27540</v>
      </c>
      <c r="H30" s="259" t="n">
        <v>120483</v>
      </c>
      <c r="I30" s="259" t="n">
        <v>21578</v>
      </c>
      <c r="J30" s="259" t="n">
        <v>34508</v>
      </c>
      <c r="K30" s="259" t="n">
        <v>21685</v>
      </c>
      <c r="L30" s="259" t="n">
        <v>96109</v>
      </c>
      <c r="M30" s="259" t="n">
        <v>20243</v>
      </c>
      <c r="N30" s="276" t="n">
        <v>10.6</v>
      </c>
      <c r="O30" s="276" t="n">
        <v>17.9</v>
      </c>
      <c r="P30" s="276" t="n">
        <v>21.1</v>
      </c>
    </row>
    <row r="31" ht="14" customHeight="1" s="227">
      <c r="A31" s="28" t="inlineStr">
        <is>
          <t>-  Rural Area</t>
        </is>
      </c>
      <c r="B31" s="259" t="n">
        <v>287391</v>
      </c>
      <c r="C31" s="259" t="n">
        <v>227371</v>
      </c>
      <c r="D31" s="259" t="n">
        <v>1700731</v>
      </c>
      <c r="E31" s="259" t="n">
        <v>242963</v>
      </c>
      <c r="F31" s="259" t="n">
        <v>189815</v>
      </c>
      <c r="G31" s="259" t="n">
        <v>103282</v>
      </c>
      <c r="H31" s="259" t="n">
        <v>489778</v>
      </c>
      <c r="I31" s="259" t="n">
        <v>101715</v>
      </c>
      <c r="J31" s="259" t="n">
        <v>91393</v>
      </c>
      <c r="K31" s="259" t="n">
        <v>52023</v>
      </c>
      <c r="L31" s="259" t="n">
        <v>225036</v>
      </c>
      <c r="M31" s="259" t="n">
        <v>50531</v>
      </c>
      <c r="N31" s="276" t="n">
        <v>14.3</v>
      </c>
      <c r="O31" s="276" t="n">
        <v>20.8</v>
      </c>
      <c r="P31" s="276" t="n">
        <v>22.5</v>
      </c>
    </row>
  </sheetData>
  <mergeCells count="9">
    <mergeCell ref="L2:M2"/>
    <mergeCell ref="F2:G2"/>
    <mergeCell ref="B2:C2"/>
    <mergeCell ref="H2:I2"/>
    <mergeCell ref="N2:P2"/>
    <mergeCell ref="D2:E2"/>
    <mergeCell ref="A1:P1"/>
    <mergeCell ref="J2:K2"/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005B9BD5"/>
    <outlinePr summaryBelow="1" summaryRight="1"/>
    <pageSetUpPr/>
  </sheetPr>
  <dimension ref="A1:P31"/>
  <sheetViews>
    <sheetView tabSelected="1" workbookViewId="0">
      <selection activeCell="A1" sqref="A1"/>
    </sheetView>
  </sheetViews>
  <sheetFormatPr baseColWidth="8" defaultRowHeight="15"/>
  <cols>
    <col width="25.333333" customWidth="1" style="227" min="1" max="1"/>
    <col width="9.777778" customWidth="1" style="227" min="2" max="2"/>
    <col width="9.777778" customWidth="1" style="227" min="3" max="3"/>
    <col width="9.777778" customWidth="1" style="227" min="4" max="4"/>
    <col width="9.777778" customWidth="1" style="227" min="5" max="5"/>
    <col width="10.222222" customWidth="1" style="227" min="6" max="6"/>
    <col width="10" customWidth="1" style="227" min="7" max="7"/>
    <col width="9.333333" customWidth="1" style="227" min="8" max="8"/>
    <col width="9.333333" customWidth="1" style="227" min="9" max="9"/>
    <col width="9.333333" customWidth="1" style="227" min="10" max="10"/>
    <col width="9.333333" customWidth="1" style="227" min="11" max="11"/>
    <col width="9.333333" customWidth="1" style="227" min="12" max="12"/>
    <col width="9.333333" customWidth="1" style="227" min="13" max="13"/>
    <col width="8.888889000000001" customWidth="1" style="227" min="14" max="14"/>
    <col width="9.333333" customWidth="1" style="227" min="15" max="15"/>
    <col width="9.333333" customWidth="1" style="227" min="16" max="16"/>
  </cols>
  <sheetData>
    <row r="1" ht="31" customHeight="1" s="227">
      <c r="A1" s="2" t="inlineStr">
        <is>
          <t>Table 18: New Intake and Enrollment by Level and Age (Female)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</row>
    <row r="2" ht="19" customHeight="1" s="227">
      <c r="A2" s="3" t="inlineStr">
        <is>
          <t>Province</t>
        </is>
      </c>
      <c r="B2" s="11" t="inlineStr">
        <is>
          <t>Grade 1 Intake</t>
        </is>
      </c>
      <c r="C2" s="257" t="n"/>
      <c r="D2" s="14" t="inlineStr">
        <is>
          <t>Primary Enrollment</t>
        </is>
      </c>
      <c r="E2" s="257" t="n"/>
      <c r="F2" s="11" t="inlineStr">
        <is>
          <t>Grade 7 Intake</t>
        </is>
      </c>
      <c r="G2" s="257" t="n"/>
      <c r="H2" s="14" t="inlineStr">
        <is>
          <t>L. Sec. Enrollment</t>
        </is>
      </c>
      <c r="I2" s="257" t="n"/>
      <c r="J2" s="11" t="inlineStr">
        <is>
          <t>Grade 10 Intake</t>
        </is>
      </c>
      <c r="K2" s="257" t="n"/>
      <c r="L2" s="14" t="inlineStr">
        <is>
          <t>U. Sec. Enrollment</t>
        </is>
      </c>
      <c r="M2" s="257" t="n"/>
      <c r="N2" s="11" t="inlineStr">
        <is>
          <t>% Over-age Enrollment in</t>
        </is>
      </c>
      <c r="O2" s="269" t="n"/>
      <c r="P2" s="257" t="n"/>
    </row>
    <row r="3" ht="18" customHeight="1" s="227">
      <c r="A3" s="258" t="n"/>
      <c r="B3" s="14" t="inlineStr">
        <is>
          <t>Total</t>
        </is>
      </c>
      <c r="C3" s="14" t="inlineStr">
        <is>
          <t>Aged 6</t>
        </is>
      </c>
      <c r="D3" s="14" t="inlineStr">
        <is>
          <t>Total</t>
        </is>
      </c>
      <c r="E3" s="52" t="inlineStr">
        <is>
          <t>Aged 11+</t>
        </is>
      </c>
      <c r="F3" s="11" t="inlineStr">
        <is>
          <t>Total</t>
        </is>
      </c>
      <c r="G3" s="14" t="inlineStr">
        <is>
          <t>Aged 12</t>
        </is>
      </c>
      <c r="H3" s="14" t="inlineStr">
        <is>
          <t>Total</t>
        </is>
      </c>
      <c r="I3" s="52" t="inlineStr">
        <is>
          <t>Aged 14+</t>
        </is>
      </c>
      <c r="J3" s="14" t="inlineStr">
        <is>
          <t>Total</t>
        </is>
      </c>
      <c r="K3" s="52" t="inlineStr">
        <is>
          <t>Aged 15</t>
        </is>
      </c>
      <c r="L3" s="14" t="inlineStr">
        <is>
          <t>Total</t>
        </is>
      </c>
      <c r="M3" s="52" t="inlineStr">
        <is>
          <t>Aged 17+</t>
        </is>
      </c>
      <c r="N3" s="21" t="inlineStr">
        <is>
          <t>Primary</t>
        </is>
      </c>
      <c r="O3" s="14" t="inlineStr">
        <is>
          <t>L. Sec.</t>
        </is>
      </c>
      <c r="P3" s="21" t="inlineStr">
        <is>
          <t>U. Sec.</t>
        </is>
      </c>
    </row>
    <row r="4" ht="14" customHeight="1" s="227">
      <c r="A4" s="28" t="inlineStr">
        <is>
          <t>Banteay Meanchey</t>
        </is>
      </c>
      <c r="B4" s="259" t="n">
        <v>8336</v>
      </c>
      <c r="C4" s="259" t="n">
        <v>6928</v>
      </c>
      <c r="D4" s="259" t="n">
        <v>46855</v>
      </c>
      <c r="E4" s="259" t="n">
        <v>5129</v>
      </c>
      <c r="F4" s="259" t="n">
        <v>5616</v>
      </c>
      <c r="G4" s="259" t="n">
        <v>3678</v>
      </c>
      <c r="H4" s="259" t="n">
        <v>14245</v>
      </c>
      <c r="I4" s="259" t="n">
        <v>1953</v>
      </c>
      <c r="J4" s="259" t="n">
        <v>2810</v>
      </c>
      <c r="K4" s="259" t="n">
        <v>2072</v>
      </c>
      <c r="L4" s="259" t="n">
        <v>6787</v>
      </c>
      <c r="M4" s="259" t="n">
        <v>1018</v>
      </c>
      <c r="N4" s="276" t="n">
        <v>10.9</v>
      </c>
      <c r="O4" s="276" t="n">
        <v>13.7</v>
      </c>
      <c r="P4" s="276" t="n">
        <v>15</v>
      </c>
    </row>
    <row r="5" ht="14" customHeight="1" s="227">
      <c r="A5" s="28" t="inlineStr">
        <is>
          <t>Battambang</t>
        </is>
      </c>
      <c r="B5" s="259" t="n">
        <v>14627</v>
      </c>
      <c r="C5" s="259" t="n">
        <v>11513</v>
      </c>
      <c r="D5" s="259" t="n">
        <v>82096</v>
      </c>
      <c r="E5" s="259" t="n">
        <v>10138</v>
      </c>
      <c r="F5" s="259" t="n">
        <v>9171</v>
      </c>
      <c r="G5" s="259" t="n">
        <v>5364</v>
      </c>
      <c r="H5" s="259" t="n">
        <v>23034</v>
      </c>
      <c r="I5" s="259" t="n">
        <v>4101</v>
      </c>
      <c r="J5" s="259" t="n">
        <v>4427</v>
      </c>
      <c r="K5" s="259" t="n">
        <v>2705</v>
      </c>
      <c r="L5" s="259" t="n">
        <v>11089</v>
      </c>
      <c r="M5" s="259" t="n">
        <v>2427</v>
      </c>
      <c r="N5" s="276" t="n">
        <v>12.3</v>
      </c>
      <c r="O5" s="276" t="n">
        <v>17.8</v>
      </c>
      <c r="P5" s="276" t="n">
        <v>21.9</v>
      </c>
    </row>
    <row r="6" ht="15" customHeight="1" s="227">
      <c r="A6" s="28" t="inlineStr">
        <is>
          <t>Kampong Cham</t>
        </is>
      </c>
      <c r="B6" s="259" t="n">
        <v>11072</v>
      </c>
      <c r="C6" s="259" t="n">
        <v>8424</v>
      </c>
      <c r="D6" s="259" t="n">
        <v>67395</v>
      </c>
      <c r="E6" s="259" t="n">
        <v>8667</v>
      </c>
      <c r="F6" s="259" t="n">
        <v>8372</v>
      </c>
      <c r="G6" s="259" t="n">
        <v>5184</v>
      </c>
      <c r="H6" s="259" t="n">
        <v>22561</v>
      </c>
      <c r="I6" s="259" t="n">
        <v>3517</v>
      </c>
      <c r="J6" s="259" t="n">
        <v>5039</v>
      </c>
      <c r="K6" s="259" t="n">
        <v>3530</v>
      </c>
      <c r="L6" s="259" t="n">
        <v>12651</v>
      </c>
      <c r="M6" s="259" t="n">
        <v>1813</v>
      </c>
      <c r="N6" s="276" t="n">
        <v>12.9</v>
      </c>
      <c r="O6" s="276" t="n">
        <v>15.6</v>
      </c>
      <c r="P6" s="276" t="n">
        <v>14.3</v>
      </c>
    </row>
    <row r="7" ht="14" customHeight="1" s="227">
      <c r="A7" s="28" t="inlineStr">
        <is>
          <t>Kampong Chhnang</t>
        </is>
      </c>
      <c r="B7" s="259" t="n">
        <v>5709</v>
      </c>
      <c r="C7" s="259" t="n">
        <v>5172</v>
      </c>
      <c r="D7" s="259" t="n">
        <v>36121</v>
      </c>
      <c r="E7" s="259" t="n">
        <v>3158</v>
      </c>
      <c r="F7" s="259" t="n">
        <v>4863</v>
      </c>
      <c r="G7" s="259" t="n">
        <v>3151</v>
      </c>
      <c r="H7" s="259" t="n">
        <v>13059</v>
      </c>
      <c r="I7" s="259" t="n">
        <v>2107</v>
      </c>
      <c r="J7" s="259" t="n">
        <v>2789</v>
      </c>
      <c r="K7" s="259" t="n">
        <v>1960</v>
      </c>
      <c r="L7" s="259" t="n">
        <v>7009</v>
      </c>
      <c r="M7" s="259" t="n">
        <v>1186</v>
      </c>
      <c r="N7" s="276" t="n">
        <v>8.699999999999999</v>
      </c>
      <c r="O7" s="276" t="n">
        <v>16.1</v>
      </c>
      <c r="P7" s="276" t="n">
        <v>16.9</v>
      </c>
    </row>
    <row r="8" ht="14" customHeight="1" s="227">
      <c r="A8" s="28" t="inlineStr">
        <is>
          <t>Kampong Speu</t>
        </is>
      </c>
      <c r="B8" s="259" t="n">
        <v>8383</v>
      </c>
      <c r="C8" s="259" t="n">
        <v>7443</v>
      </c>
      <c r="D8" s="259" t="n">
        <v>53596</v>
      </c>
      <c r="E8" s="259" t="n">
        <v>4889</v>
      </c>
      <c r="F8" s="259" t="n">
        <v>6716</v>
      </c>
      <c r="G8" s="259" t="n">
        <v>4184</v>
      </c>
      <c r="H8" s="259" t="n">
        <v>17505</v>
      </c>
      <c r="I8" s="259" t="n">
        <v>3029</v>
      </c>
      <c r="J8" s="259" t="n">
        <v>3225</v>
      </c>
      <c r="K8" s="259" t="n">
        <v>1898</v>
      </c>
      <c r="L8" s="259" t="n">
        <v>7878</v>
      </c>
      <c r="M8" s="259" t="n">
        <v>1482</v>
      </c>
      <c r="N8" s="276" t="n">
        <v>9.1</v>
      </c>
      <c r="O8" s="276" t="n">
        <v>17.3</v>
      </c>
      <c r="P8" s="276" t="n">
        <v>18.8</v>
      </c>
    </row>
    <row r="9" ht="14" customHeight="1" s="227">
      <c r="A9" s="28" t="inlineStr">
        <is>
          <t>Kampong Thom</t>
        </is>
      </c>
      <c r="B9" s="259" t="n">
        <v>8458</v>
      </c>
      <c r="C9" s="259" t="n">
        <v>6910</v>
      </c>
      <c r="D9" s="259" t="n">
        <v>48939</v>
      </c>
      <c r="E9" s="259" t="n">
        <v>6029</v>
      </c>
      <c r="F9" s="259" t="n">
        <v>6651</v>
      </c>
      <c r="G9" s="259" t="n">
        <v>3356</v>
      </c>
      <c r="H9" s="259" t="n">
        <v>16654</v>
      </c>
      <c r="I9" s="259" t="n">
        <v>3558</v>
      </c>
      <c r="J9" s="259" t="n">
        <v>3338</v>
      </c>
      <c r="K9" s="259" t="n">
        <v>1986</v>
      </c>
      <c r="L9" s="259" t="n">
        <v>8337</v>
      </c>
      <c r="M9" s="259" t="n">
        <v>1671</v>
      </c>
      <c r="N9" s="276" t="n">
        <v>12.3</v>
      </c>
      <c r="O9" s="276" t="n">
        <v>21.4</v>
      </c>
      <c r="P9" s="276" t="n">
        <v>20</v>
      </c>
    </row>
    <row r="10" ht="14" customHeight="1" s="227">
      <c r="A10" s="28" t="inlineStr">
        <is>
          <t>Kampot</t>
        </is>
      </c>
      <c r="B10" s="259" t="n">
        <v>6090</v>
      </c>
      <c r="C10" s="259" t="n">
        <v>5331</v>
      </c>
      <c r="D10" s="259" t="n">
        <v>37379</v>
      </c>
      <c r="E10" s="259" t="n">
        <v>3722</v>
      </c>
      <c r="F10" s="259" t="n">
        <v>5160</v>
      </c>
      <c r="G10" s="259" t="n">
        <v>3301</v>
      </c>
      <c r="H10" s="259" t="n">
        <v>14436</v>
      </c>
      <c r="I10" s="259" t="n">
        <v>2632</v>
      </c>
      <c r="J10" s="259" t="n">
        <v>3207</v>
      </c>
      <c r="K10" s="259" t="n">
        <v>2165</v>
      </c>
      <c r="L10" s="259" t="n">
        <v>8231</v>
      </c>
      <c r="M10" s="259" t="n">
        <v>1510</v>
      </c>
      <c r="N10" s="276" t="n">
        <v>10</v>
      </c>
      <c r="O10" s="276" t="n">
        <v>18.2</v>
      </c>
      <c r="P10" s="276" t="n">
        <v>18.3</v>
      </c>
    </row>
    <row r="11" ht="14" customHeight="1" s="227">
      <c r="A11" s="28" t="inlineStr">
        <is>
          <t>Kandal</t>
        </is>
      </c>
      <c r="B11" s="259" t="n">
        <v>12472</v>
      </c>
      <c r="C11" s="259" t="n">
        <v>10738</v>
      </c>
      <c r="D11" s="259" t="n">
        <v>75273</v>
      </c>
      <c r="E11" s="259" t="n">
        <v>7995</v>
      </c>
      <c r="F11" s="259" t="n">
        <v>9454</v>
      </c>
      <c r="G11" s="259" t="n">
        <v>6060</v>
      </c>
      <c r="H11" s="259" t="n">
        <v>25225</v>
      </c>
      <c r="I11" s="259" t="n">
        <v>3611</v>
      </c>
      <c r="J11" s="259" t="n">
        <v>6075</v>
      </c>
      <c r="K11" s="259" t="n">
        <v>4105</v>
      </c>
      <c r="L11" s="259" t="n">
        <v>15170</v>
      </c>
      <c r="M11" s="259" t="n">
        <v>2675</v>
      </c>
      <c r="N11" s="276" t="n">
        <v>10.6</v>
      </c>
      <c r="O11" s="276" t="n">
        <v>14.3</v>
      </c>
      <c r="P11" s="276" t="n">
        <v>17.6</v>
      </c>
    </row>
    <row r="12" ht="14" customHeight="1" s="227">
      <c r="A12" s="28" t="inlineStr">
        <is>
          <t>Kep</t>
        </is>
      </c>
      <c r="B12" s="260" t="n">
        <v>469</v>
      </c>
      <c r="C12" s="260" t="n">
        <v>389</v>
      </c>
      <c r="D12" s="259" t="n">
        <v>2523</v>
      </c>
      <c r="E12" s="260" t="n">
        <v>239</v>
      </c>
      <c r="F12" s="260" t="n">
        <v>301</v>
      </c>
      <c r="G12" s="260" t="n">
        <v>175</v>
      </c>
      <c r="H12" s="260" t="n">
        <v>793</v>
      </c>
      <c r="I12" s="260" t="n">
        <v>106</v>
      </c>
      <c r="J12" s="260" t="n">
        <v>193</v>
      </c>
      <c r="K12" s="260" t="n">
        <v>128</v>
      </c>
      <c r="L12" s="260" t="n">
        <v>572</v>
      </c>
      <c r="M12" s="260" t="n">
        <v>122</v>
      </c>
      <c r="N12" s="276" t="n">
        <v>9.5</v>
      </c>
      <c r="O12" s="276" t="n">
        <v>13.4</v>
      </c>
      <c r="P12" s="276" t="n">
        <v>21.3</v>
      </c>
    </row>
    <row r="13" ht="14" customHeight="1" s="227">
      <c r="A13" s="28" t="inlineStr">
        <is>
          <t>Koh Kong</t>
        </is>
      </c>
      <c r="B13" s="259" t="n">
        <v>1448</v>
      </c>
      <c r="C13" s="259" t="n">
        <v>1075</v>
      </c>
      <c r="D13" s="259" t="n">
        <v>8006</v>
      </c>
      <c r="E13" s="259" t="n">
        <v>1499</v>
      </c>
      <c r="F13" s="259" t="n">
        <v>1033</v>
      </c>
      <c r="G13" s="260" t="n">
        <v>457</v>
      </c>
      <c r="H13" s="259" t="n">
        <v>2610</v>
      </c>
      <c r="I13" s="260" t="n">
        <v>671</v>
      </c>
      <c r="J13" s="260" t="n">
        <v>509</v>
      </c>
      <c r="K13" s="260" t="n">
        <v>207</v>
      </c>
      <c r="L13" s="259" t="n">
        <v>1219</v>
      </c>
      <c r="M13" s="260" t="n">
        <v>372</v>
      </c>
      <c r="N13" s="276" t="n">
        <v>18.7</v>
      </c>
      <c r="O13" s="276" t="n">
        <v>25.7</v>
      </c>
      <c r="P13" s="276" t="n">
        <v>30.5</v>
      </c>
    </row>
    <row r="14" ht="14" customHeight="1" s="227">
      <c r="A14" s="28" t="inlineStr">
        <is>
          <t>Kratie</t>
        </is>
      </c>
      <c r="B14" s="259" t="n">
        <v>5838</v>
      </c>
      <c r="C14" s="259" t="n">
        <v>4367</v>
      </c>
      <c r="D14" s="259" t="n">
        <v>30637</v>
      </c>
      <c r="E14" s="259" t="n">
        <v>4126</v>
      </c>
      <c r="F14" s="259" t="n">
        <v>2799</v>
      </c>
      <c r="G14" s="259" t="n">
        <v>1492</v>
      </c>
      <c r="H14" s="259" t="n">
        <v>6892</v>
      </c>
      <c r="I14" s="259" t="n">
        <v>1286</v>
      </c>
      <c r="J14" s="259" t="n">
        <v>1283</v>
      </c>
      <c r="K14" s="260" t="n">
        <v>835</v>
      </c>
      <c r="L14" s="259" t="n">
        <v>3261</v>
      </c>
      <c r="M14" s="260" t="n">
        <v>528</v>
      </c>
      <c r="N14" s="276" t="n">
        <v>13.5</v>
      </c>
      <c r="O14" s="276" t="n">
        <v>18.7</v>
      </c>
      <c r="P14" s="276" t="n">
        <v>16.2</v>
      </c>
    </row>
    <row r="15" ht="14" customHeight="1" s="227">
      <c r="A15" s="28" t="inlineStr">
        <is>
          <t>Mondul Kiri</t>
        </is>
      </c>
      <c r="B15" s="259" t="n">
        <v>1478</v>
      </c>
      <c r="C15" s="260" t="n">
        <v>990</v>
      </c>
      <c r="D15" s="259" t="n">
        <v>7211</v>
      </c>
      <c r="E15" s="259" t="n">
        <v>1444</v>
      </c>
      <c r="F15" s="260" t="n">
        <v>679</v>
      </c>
      <c r="G15" s="260" t="n">
        <v>276</v>
      </c>
      <c r="H15" s="259" t="n">
        <v>1706</v>
      </c>
      <c r="I15" s="260" t="n">
        <v>534</v>
      </c>
      <c r="J15" s="260" t="n">
        <v>298</v>
      </c>
      <c r="K15" s="260" t="n">
        <v>124</v>
      </c>
      <c r="L15" s="260" t="n">
        <v>747</v>
      </c>
      <c r="M15" s="260" t="n">
        <v>232</v>
      </c>
      <c r="N15" s="276" t="n">
        <v>20</v>
      </c>
      <c r="O15" s="276" t="n">
        <v>31.3</v>
      </c>
      <c r="P15" s="276" t="n">
        <v>31.1</v>
      </c>
    </row>
    <row r="16" ht="14" customHeight="1" s="227">
      <c r="A16" s="28" t="inlineStr">
        <is>
          <t>Otdar Meanchey</t>
        </is>
      </c>
      <c r="B16" s="259" t="n">
        <v>3119</v>
      </c>
      <c r="C16" s="259" t="n">
        <v>2571</v>
      </c>
      <c r="D16" s="259" t="n">
        <v>17940</v>
      </c>
      <c r="E16" s="259" t="n">
        <v>2392</v>
      </c>
      <c r="F16" s="259" t="n">
        <v>1877</v>
      </c>
      <c r="G16" s="260" t="n">
        <v>958</v>
      </c>
      <c r="H16" s="259" t="n">
        <v>4773</v>
      </c>
      <c r="I16" s="259" t="n">
        <v>1099</v>
      </c>
      <c r="J16" s="260" t="n">
        <v>931</v>
      </c>
      <c r="K16" s="260" t="n">
        <v>476</v>
      </c>
      <c r="L16" s="259" t="n">
        <v>2150</v>
      </c>
      <c r="M16" s="260" t="n">
        <v>496</v>
      </c>
      <c r="N16" s="276" t="n">
        <v>13.3</v>
      </c>
      <c r="O16" s="276" t="n">
        <v>23</v>
      </c>
      <c r="P16" s="276" t="n">
        <v>23.1</v>
      </c>
    </row>
    <row r="17" ht="14" customHeight="1" s="227">
      <c r="A17" s="28" t="inlineStr">
        <is>
          <t>Pailin</t>
        </is>
      </c>
      <c r="B17" s="260" t="n">
        <v>937</v>
      </c>
      <c r="C17" s="260" t="n">
        <v>789</v>
      </c>
      <c r="D17" s="259" t="n">
        <v>4960</v>
      </c>
      <c r="E17" s="260" t="n">
        <v>692</v>
      </c>
      <c r="F17" s="260" t="n">
        <v>693</v>
      </c>
      <c r="G17" s="260" t="n">
        <v>397</v>
      </c>
      <c r="H17" s="259" t="n">
        <v>1655</v>
      </c>
      <c r="I17" s="260" t="n">
        <v>269</v>
      </c>
      <c r="J17" s="260" t="n">
        <v>341</v>
      </c>
      <c r="K17" s="260" t="n">
        <v>194</v>
      </c>
      <c r="L17" s="260" t="n">
        <v>798</v>
      </c>
      <c r="M17" s="260" t="n">
        <v>177</v>
      </c>
      <c r="N17" s="276" t="n">
        <v>14</v>
      </c>
      <c r="O17" s="276" t="n">
        <v>16.3</v>
      </c>
      <c r="P17" s="276" t="n">
        <v>22.2</v>
      </c>
    </row>
    <row r="18" ht="14" customHeight="1" s="227">
      <c r="A18" s="28" t="inlineStr">
        <is>
          <t>Phnom Penh</t>
        </is>
      </c>
      <c r="B18" s="259" t="n">
        <v>11435</v>
      </c>
      <c r="C18" s="259" t="n">
        <v>9918</v>
      </c>
      <c r="D18" s="259" t="n">
        <v>66114</v>
      </c>
      <c r="E18" s="259" t="n">
        <v>4819</v>
      </c>
      <c r="F18" s="259" t="n">
        <v>8887</v>
      </c>
      <c r="G18" s="259" t="n">
        <v>6189</v>
      </c>
      <c r="H18" s="259" t="n">
        <v>24849</v>
      </c>
      <c r="I18" s="259" t="n">
        <v>3156</v>
      </c>
      <c r="J18" s="259" t="n">
        <v>6501</v>
      </c>
      <c r="K18" s="259" t="n">
        <v>4486</v>
      </c>
      <c r="L18" s="259" t="n">
        <v>18562</v>
      </c>
      <c r="M18" s="259" t="n">
        <v>3172</v>
      </c>
      <c r="N18" s="276" t="n">
        <v>7.3</v>
      </c>
      <c r="O18" s="276" t="n">
        <v>12.7</v>
      </c>
      <c r="P18" s="276" t="n">
        <v>17.1</v>
      </c>
    </row>
    <row r="19" ht="14" customHeight="1" s="227">
      <c r="A19" s="28" t="inlineStr">
        <is>
          <t>Preah Sihanouk</t>
        </is>
      </c>
      <c r="B19" s="259" t="n">
        <v>2353</v>
      </c>
      <c r="C19" s="259" t="n">
        <v>1776</v>
      </c>
      <c r="D19" s="259" t="n">
        <v>13117</v>
      </c>
      <c r="E19" s="259" t="n">
        <v>1574</v>
      </c>
      <c r="F19" s="259" t="n">
        <v>1677</v>
      </c>
      <c r="G19" s="259" t="n">
        <v>1043</v>
      </c>
      <c r="H19" s="259" t="n">
        <v>4094</v>
      </c>
      <c r="I19" s="260" t="n">
        <v>666</v>
      </c>
      <c r="J19" s="260" t="n">
        <v>752</v>
      </c>
      <c r="K19" s="260" t="n">
        <v>491</v>
      </c>
      <c r="L19" s="259" t="n">
        <v>2075</v>
      </c>
      <c r="M19" s="260" t="n">
        <v>308</v>
      </c>
      <c r="N19" s="276" t="n">
        <v>12</v>
      </c>
      <c r="O19" s="276" t="n">
        <v>16.3</v>
      </c>
      <c r="P19" s="276" t="n">
        <v>14.8</v>
      </c>
    </row>
    <row r="20" ht="14" customHeight="1" s="227">
      <c r="A20" s="28" t="inlineStr">
        <is>
          <t>Preah Vihear</t>
        </is>
      </c>
      <c r="B20" s="259" t="n">
        <v>3130</v>
      </c>
      <c r="C20" s="259" t="n">
        <v>2075</v>
      </c>
      <c r="D20" s="259" t="n">
        <v>18183</v>
      </c>
      <c r="E20" s="259" t="n">
        <v>5190</v>
      </c>
      <c r="F20" s="259" t="n">
        <v>2221</v>
      </c>
      <c r="G20" s="260" t="n">
        <v>928</v>
      </c>
      <c r="H20" s="259" t="n">
        <v>5446</v>
      </c>
      <c r="I20" s="259" t="n">
        <v>1570</v>
      </c>
      <c r="J20" s="259" t="n">
        <v>1038</v>
      </c>
      <c r="K20" s="260" t="n">
        <v>549</v>
      </c>
      <c r="L20" s="259" t="n">
        <v>2291</v>
      </c>
      <c r="M20" s="260" t="n">
        <v>515</v>
      </c>
      <c r="N20" s="276" t="n">
        <v>28.5</v>
      </c>
      <c r="O20" s="276" t="n">
        <v>28.8</v>
      </c>
      <c r="P20" s="276" t="n">
        <v>22.5</v>
      </c>
    </row>
    <row r="21" ht="14" customHeight="1" s="227">
      <c r="A21" s="28" t="inlineStr">
        <is>
          <t>Prey Veng</t>
        </is>
      </c>
      <c r="B21" s="259" t="n">
        <v>11059</v>
      </c>
      <c r="C21" s="259" t="n">
        <v>9180</v>
      </c>
      <c r="D21" s="259" t="n">
        <v>70067</v>
      </c>
      <c r="E21" s="259" t="n">
        <v>8600</v>
      </c>
      <c r="F21" s="259" t="n">
        <v>9276</v>
      </c>
      <c r="G21" s="259" t="n">
        <v>5803</v>
      </c>
      <c r="H21" s="259" t="n">
        <v>24689</v>
      </c>
      <c r="I21" s="259" t="n">
        <v>4003</v>
      </c>
      <c r="J21" s="259" t="n">
        <v>5175</v>
      </c>
      <c r="K21" s="259" t="n">
        <v>3134</v>
      </c>
      <c r="L21" s="259" t="n">
        <v>12149</v>
      </c>
      <c r="M21" s="259" t="n">
        <v>1957</v>
      </c>
      <c r="N21" s="276" t="n">
        <v>12.3</v>
      </c>
      <c r="O21" s="276" t="n">
        <v>16.2</v>
      </c>
      <c r="P21" s="276" t="n">
        <v>16.1</v>
      </c>
    </row>
    <row r="22" ht="14" customHeight="1" s="227">
      <c r="A22" s="28" t="inlineStr">
        <is>
          <t>Pursat</t>
        </is>
      </c>
      <c r="B22" s="259" t="n">
        <v>5692</v>
      </c>
      <c r="C22" s="259" t="n">
        <v>4438</v>
      </c>
      <c r="D22" s="259" t="n">
        <v>33569</v>
      </c>
      <c r="E22" s="259" t="n">
        <v>5186</v>
      </c>
      <c r="F22" s="259" t="n">
        <v>3877</v>
      </c>
      <c r="G22" s="259" t="n">
        <v>1931</v>
      </c>
      <c r="H22" s="259" t="n">
        <v>9702</v>
      </c>
      <c r="I22" s="259" t="n">
        <v>2153</v>
      </c>
      <c r="J22" s="259" t="n">
        <v>2000</v>
      </c>
      <c r="K22" s="259" t="n">
        <v>1054</v>
      </c>
      <c r="L22" s="259" t="n">
        <v>4712</v>
      </c>
      <c r="M22" s="259" t="n">
        <v>1085</v>
      </c>
      <c r="N22" s="276" t="n">
        <v>15.4</v>
      </c>
      <c r="O22" s="276" t="n">
        <v>22.2</v>
      </c>
      <c r="P22" s="276" t="n">
        <v>23</v>
      </c>
    </row>
    <row r="23" ht="14" customHeight="1" s="227">
      <c r="A23" s="28" t="inlineStr">
        <is>
          <t>Ratanak Kiri</t>
        </is>
      </c>
      <c r="B23" s="259" t="n">
        <v>3969</v>
      </c>
      <c r="C23" s="259" t="n">
        <v>2193</v>
      </c>
      <c r="D23" s="259" t="n">
        <v>19760</v>
      </c>
      <c r="E23" s="259" t="n">
        <v>5605</v>
      </c>
      <c r="F23" s="259" t="n">
        <v>1578</v>
      </c>
      <c r="G23" s="260" t="n">
        <v>423</v>
      </c>
      <c r="H23" s="259" t="n">
        <v>3741</v>
      </c>
      <c r="I23" s="259" t="n">
        <v>1573</v>
      </c>
      <c r="J23" s="260" t="n">
        <v>637</v>
      </c>
      <c r="K23" s="260" t="n">
        <v>259</v>
      </c>
      <c r="L23" s="259" t="n">
        <v>1447</v>
      </c>
      <c r="M23" s="260" t="n">
        <v>428</v>
      </c>
      <c r="N23" s="276" t="n">
        <v>28.4</v>
      </c>
      <c r="O23" s="276" t="n">
        <v>42</v>
      </c>
      <c r="P23" s="276" t="n">
        <v>29.6</v>
      </c>
    </row>
    <row r="24" ht="14" customHeight="1" s="227">
      <c r="A24" s="28" t="inlineStr">
        <is>
          <t>Siemreap</t>
        </is>
      </c>
      <c r="B24" s="259" t="n">
        <v>13169</v>
      </c>
      <c r="C24" s="259" t="n">
        <v>11214</v>
      </c>
      <c r="D24" s="259" t="n">
        <v>79415</v>
      </c>
      <c r="E24" s="259" t="n">
        <v>9903</v>
      </c>
      <c r="F24" s="259" t="n">
        <v>10004</v>
      </c>
      <c r="G24" s="259" t="n">
        <v>5585</v>
      </c>
      <c r="H24" s="259" t="n">
        <v>26447</v>
      </c>
      <c r="I24" s="259" t="n">
        <v>5330</v>
      </c>
      <c r="J24" s="259" t="n">
        <v>5795</v>
      </c>
      <c r="K24" s="259" t="n">
        <v>2972</v>
      </c>
      <c r="L24" s="259" t="n">
        <v>14608</v>
      </c>
      <c r="M24" s="259" t="n">
        <v>3630</v>
      </c>
      <c r="N24" s="276" t="n">
        <v>12.5</v>
      </c>
      <c r="O24" s="276" t="n">
        <v>20.2</v>
      </c>
      <c r="P24" s="276" t="n">
        <v>24.8</v>
      </c>
    </row>
    <row r="25" ht="14" customHeight="1" s="227">
      <c r="A25" s="28" t="inlineStr">
        <is>
          <t>Stung Treng</t>
        </is>
      </c>
      <c r="B25" s="259" t="n">
        <v>2203</v>
      </c>
      <c r="C25" s="259" t="n">
        <v>1311</v>
      </c>
      <c r="D25" s="259" t="n">
        <v>12648</v>
      </c>
      <c r="E25" s="259" t="n">
        <v>3424</v>
      </c>
      <c r="F25" s="259" t="n">
        <v>1038</v>
      </c>
      <c r="G25" s="260" t="n">
        <v>407</v>
      </c>
      <c r="H25" s="259" t="n">
        <v>2490</v>
      </c>
      <c r="I25" s="260" t="n">
        <v>691</v>
      </c>
      <c r="J25" s="260" t="n">
        <v>487</v>
      </c>
      <c r="K25" s="260" t="n">
        <v>255</v>
      </c>
      <c r="L25" s="259" t="n">
        <v>1120</v>
      </c>
      <c r="M25" s="260" t="n">
        <v>254</v>
      </c>
      <c r="N25" s="276" t="n">
        <v>27.1</v>
      </c>
      <c r="O25" s="276" t="n">
        <v>27.8</v>
      </c>
      <c r="P25" s="276" t="n">
        <v>22.7</v>
      </c>
    </row>
    <row r="26" ht="14" customHeight="1" s="227">
      <c r="A26" s="28" t="inlineStr">
        <is>
          <t>Svay Rieng</t>
        </is>
      </c>
      <c r="B26" s="259" t="n">
        <v>5638</v>
      </c>
      <c r="C26" s="259" t="n">
        <v>4417</v>
      </c>
      <c r="D26" s="259" t="n">
        <v>34824</v>
      </c>
      <c r="E26" s="259" t="n">
        <v>4794</v>
      </c>
      <c r="F26" s="259" t="n">
        <v>4968</v>
      </c>
      <c r="G26" s="259" t="n">
        <v>3444</v>
      </c>
      <c r="H26" s="259" t="n">
        <v>12954</v>
      </c>
      <c r="I26" s="259" t="n">
        <v>1625</v>
      </c>
      <c r="J26" s="259" t="n">
        <v>2663</v>
      </c>
      <c r="K26" s="259" t="n">
        <v>1769</v>
      </c>
      <c r="L26" s="259" t="n">
        <v>6576</v>
      </c>
      <c r="M26" s="259" t="n">
        <v>1078</v>
      </c>
      <c r="N26" s="276" t="n">
        <v>13.8</v>
      </c>
      <c r="O26" s="276" t="n">
        <v>12.5</v>
      </c>
      <c r="P26" s="276" t="n">
        <v>16.4</v>
      </c>
    </row>
    <row r="27" ht="14" customHeight="1" s="227">
      <c r="A27" s="28" t="inlineStr">
        <is>
          <t>Takeo</t>
        </is>
      </c>
      <c r="B27" s="259" t="n">
        <v>8614</v>
      </c>
      <c r="C27" s="259" t="n">
        <v>8019</v>
      </c>
      <c r="D27" s="259" t="n">
        <v>56317</v>
      </c>
      <c r="E27" s="259" t="n">
        <v>3958</v>
      </c>
      <c r="F27" s="259" t="n">
        <v>8262</v>
      </c>
      <c r="G27" s="259" t="n">
        <v>5531</v>
      </c>
      <c r="H27" s="259" t="n">
        <v>23432</v>
      </c>
      <c r="I27" s="259" t="n">
        <v>3561</v>
      </c>
      <c r="J27" s="259" t="n">
        <v>5826</v>
      </c>
      <c r="K27" s="259" t="n">
        <v>3844</v>
      </c>
      <c r="L27" s="259" t="n">
        <v>14939</v>
      </c>
      <c r="M27" s="259" t="n">
        <v>2801</v>
      </c>
      <c r="N27" s="276" t="n">
        <v>7</v>
      </c>
      <c r="O27" s="276" t="n">
        <v>15.2</v>
      </c>
      <c r="P27" s="276" t="n">
        <v>18.7</v>
      </c>
    </row>
    <row r="28" ht="14" customHeight="1" s="227">
      <c r="A28" s="28" t="inlineStr">
        <is>
          <t>Tbaung Khmum</t>
        </is>
      </c>
      <c r="B28" s="259" t="n">
        <v>9939</v>
      </c>
      <c r="C28" s="259" t="n">
        <v>7196</v>
      </c>
      <c r="D28" s="259" t="n">
        <v>55855</v>
      </c>
      <c r="E28" s="259" t="n">
        <v>8188</v>
      </c>
      <c r="F28" s="259" t="n">
        <v>6263</v>
      </c>
      <c r="G28" s="259" t="n">
        <v>3406</v>
      </c>
      <c r="H28" s="259" t="n">
        <v>15905</v>
      </c>
      <c r="I28" s="259" t="n">
        <v>3388</v>
      </c>
      <c r="J28" s="259" t="n">
        <v>2843</v>
      </c>
      <c r="K28" s="259" t="n">
        <v>1333</v>
      </c>
      <c r="L28" s="259" t="n">
        <v>7116</v>
      </c>
      <c r="M28" s="259" t="n">
        <v>2122</v>
      </c>
      <c r="N28" s="276" t="n">
        <v>14.7</v>
      </c>
      <c r="O28" s="276" t="n">
        <v>21.3</v>
      </c>
      <c r="P28" s="276" t="n">
        <v>29.8</v>
      </c>
    </row>
    <row r="29" ht="17" customHeight="1" s="227">
      <c r="A29" s="22" t="inlineStr">
        <is>
          <t>Whole Kingdom</t>
        </is>
      </c>
      <c r="B29" s="259" t="n">
        <v>165637</v>
      </c>
      <c r="C29" s="259" t="n">
        <v>134377</v>
      </c>
      <c r="D29" s="259" t="n">
        <v>978800</v>
      </c>
      <c r="E29" s="259" t="n">
        <v>121360</v>
      </c>
      <c r="F29" s="259" t="n">
        <v>121436</v>
      </c>
      <c r="G29" s="259" t="n">
        <v>72723</v>
      </c>
      <c r="H29" s="259" t="n">
        <v>318897</v>
      </c>
      <c r="I29" s="259" t="n">
        <v>56189</v>
      </c>
      <c r="J29" s="259" t="n">
        <v>68182</v>
      </c>
      <c r="K29" s="259" t="n">
        <v>42531</v>
      </c>
      <c r="L29" s="259" t="n">
        <v>171494</v>
      </c>
      <c r="M29" s="259" t="n">
        <v>33059</v>
      </c>
      <c r="N29" s="276" t="n">
        <v>12.4</v>
      </c>
      <c r="O29" s="276" t="n">
        <v>17.6</v>
      </c>
      <c r="P29" s="276" t="n">
        <v>19.3</v>
      </c>
    </row>
    <row r="30" ht="14" customHeight="1" s="227">
      <c r="A30" s="28" t="inlineStr">
        <is>
          <t>-  Urban Area</t>
        </is>
      </c>
      <c r="B30" s="259" t="n">
        <v>28399</v>
      </c>
      <c r="C30" s="259" t="n">
        <v>23864</v>
      </c>
      <c r="D30" s="259" t="n">
        <v>162443</v>
      </c>
      <c r="E30" s="259" t="n">
        <v>14937</v>
      </c>
      <c r="F30" s="259" t="n">
        <v>22361</v>
      </c>
      <c r="G30" s="259" t="n">
        <v>14775</v>
      </c>
      <c r="H30" s="259" t="n">
        <v>61019</v>
      </c>
      <c r="I30" s="259" t="n">
        <v>9304</v>
      </c>
      <c r="J30" s="259" t="n">
        <v>18140</v>
      </c>
      <c r="K30" s="259" t="n">
        <v>12106</v>
      </c>
      <c r="L30" s="259" t="n">
        <v>49901</v>
      </c>
      <c r="M30" s="259" t="n">
        <v>9225</v>
      </c>
      <c r="N30" s="276" t="n">
        <v>9.199999999999999</v>
      </c>
      <c r="O30" s="276" t="n">
        <v>15.2</v>
      </c>
      <c r="P30" s="276" t="n">
        <v>18.5</v>
      </c>
    </row>
    <row r="31" ht="14" customHeight="1" s="227">
      <c r="A31" s="28" t="inlineStr">
        <is>
          <t>-  Rural Area</t>
        </is>
      </c>
      <c r="B31" s="259" t="n">
        <v>137238</v>
      </c>
      <c r="C31" s="259" t="n">
        <v>110513</v>
      </c>
      <c r="D31" s="259" t="n">
        <v>816357</v>
      </c>
      <c r="E31" s="259" t="n">
        <v>106423</v>
      </c>
      <c r="F31" s="259" t="n">
        <v>99075</v>
      </c>
      <c r="G31" s="259" t="n">
        <v>57948</v>
      </c>
      <c r="H31" s="259" t="n">
        <v>257878</v>
      </c>
      <c r="I31" s="259" t="n">
        <v>46885</v>
      </c>
      <c r="J31" s="259" t="n">
        <v>50042</v>
      </c>
      <c r="K31" s="259" t="n">
        <v>30425</v>
      </c>
      <c r="L31" s="259" t="n">
        <v>121593</v>
      </c>
      <c r="M31" s="259" t="n">
        <v>23834</v>
      </c>
      <c r="N31" s="276" t="n">
        <v>13</v>
      </c>
      <c r="O31" s="276" t="n">
        <v>18.2</v>
      </c>
      <c r="P31" s="276" t="n">
        <v>19.6</v>
      </c>
    </row>
  </sheetData>
  <mergeCells count="9">
    <mergeCell ref="L2:M2"/>
    <mergeCell ref="F2:G2"/>
    <mergeCell ref="B2:C2"/>
    <mergeCell ref="H2:I2"/>
    <mergeCell ref="N2:P2"/>
    <mergeCell ref="D2:E2"/>
    <mergeCell ref="A1:P1"/>
    <mergeCell ref="J2:K2"/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00FFC000"/>
    <outlinePr summaryBelow="1" summaryRight="1"/>
    <pageSetUpPr/>
  </sheetPr>
  <dimension ref="A1:S31"/>
  <sheetViews>
    <sheetView tabSelected="1" workbookViewId="0">
      <selection activeCell="A1" sqref="A1"/>
    </sheetView>
  </sheetViews>
  <sheetFormatPr baseColWidth="8" defaultRowHeight="15"/>
  <cols>
    <col width="22.444444" customWidth="1" style="227" min="1" max="1"/>
    <col width="7.777778" customWidth="1" style="227" min="2" max="2"/>
    <col width="8" customWidth="1" style="227" min="3" max="3"/>
    <col width="8" customWidth="1" style="227" min="4" max="4"/>
    <col width="8" customWidth="1" style="227" min="5" max="5"/>
    <col width="8" customWidth="1" style="227" min="6" max="6"/>
    <col width="7.777778" customWidth="1" style="227" min="7" max="7"/>
    <col width="8" customWidth="1" style="227" min="8" max="8"/>
    <col width="8" customWidth="1" style="227" min="9" max="9"/>
    <col width="8" customWidth="1" style="227" min="10" max="10"/>
    <col width="8" customWidth="1" style="227" min="11" max="11"/>
    <col width="7.777778" customWidth="1" style="227" min="12" max="12"/>
    <col width="8" customWidth="1" style="227" min="13" max="13"/>
    <col width="8" customWidth="1" style="227" min="14" max="14"/>
    <col width="8" customWidth="1" style="227" min="15" max="15"/>
    <col width="8" customWidth="1" style="227" min="16" max="16"/>
    <col width="8" customWidth="1" style="227" min="17" max="17"/>
    <col width="7.777778" customWidth="1" style="227" min="18" max="18"/>
    <col width="8" customWidth="1" style="227" min="19" max="19"/>
  </cols>
  <sheetData>
    <row r="1" ht="31" customHeight="1" s="227">
      <c r="A1" s="2" t="inlineStr">
        <is>
          <t>Table 19: School Staff by Education and Pedagogical Training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  <c r="Q1" s="256" t="n"/>
      <c r="R1" s="256" t="n"/>
      <c r="S1" s="256" t="n"/>
    </row>
    <row r="2" ht="19" customHeight="1" s="227">
      <c r="A2" s="3" t="inlineStr">
        <is>
          <t>Province</t>
        </is>
      </c>
      <c r="B2" s="73" t="inlineStr">
        <is>
          <t>Education Level of Teaching Staff</t>
        </is>
      </c>
      <c r="C2" s="269" t="n"/>
      <c r="D2" s="269" t="n"/>
      <c r="E2" s="269" t="n"/>
      <c r="F2" s="269" t="n"/>
      <c r="G2" s="257" t="n"/>
      <c r="H2" s="70" t="inlineStr">
        <is>
          <t>Education Level of Non-Teaching Staff</t>
        </is>
      </c>
      <c r="I2" s="269" t="n"/>
      <c r="J2" s="269" t="n"/>
      <c r="K2" s="269" t="n"/>
      <c r="L2" s="269" t="n"/>
      <c r="M2" s="257" t="n"/>
      <c r="N2" s="70" t="inlineStr">
        <is>
          <t>Teaching Staff without Pedagogy Training</t>
        </is>
      </c>
      <c r="O2" s="269" t="n"/>
      <c r="P2" s="269" t="n"/>
      <c r="Q2" s="269" t="n"/>
      <c r="R2" s="269" t="n"/>
      <c r="S2" s="257" t="n"/>
    </row>
    <row r="3" ht="19.5" customHeight="1" s="227">
      <c r="A3" s="258" t="n"/>
      <c r="B3" s="52" t="inlineStr">
        <is>
          <t>Primary</t>
        </is>
      </c>
      <c r="C3" s="21" t="inlineStr">
        <is>
          <t>L.Sec.</t>
        </is>
      </c>
      <c r="D3" s="21" t="inlineStr">
        <is>
          <t>U.Sec.</t>
        </is>
      </c>
      <c r="E3" s="40" t="inlineStr">
        <is>
          <t>Graduate</t>
        </is>
      </c>
      <c r="F3" s="78" t="inlineStr">
        <is>
          <t>Post
Gaduate</t>
        </is>
      </c>
      <c r="G3" s="14" t="inlineStr">
        <is>
          <t>PhD</t>
        </is>
      </c>
      <c r="H3" s="52" t="inlineStr">
        <is>
          <t>Primary</t>
        </is>
      </c>
      <c r="I3" s="21" t="inlineStr">
        <is>
          <t>L.Sec.</t>
        </is>
      </c>
      <c r="J3" s="21" t="inlineStr">
        <is>
          <t>U.Sec.</t>
        </is>
      </c>
      <c r="K3" s="40" t="inlineStr">
        <is>
          <t>Graduate</t>
        </is>
      </c>
      <c r="L3" s="78" t="inlineStr">
        <is>
          <t>Post
Graduate</t>
        </is>
      </c>
      <c r="M3" s="21" t="inlineStr">
        <is>
          <t>PhD</t>
        </is>
      </c>
      <c r="N3" s="40" t="inlineStr">
        <is>
          <t>Primary</t>
        </is>
      </c>
      <c r="O3" s="21" t="inlineStr">
        <is>
          <t>L.Sec.</t>
        </is>
      </c>
      <c r="P3" s="21" t="inlineStr">
        <is>
          <t>U.Sec.</t>
        </is>
      </c>
      <c r="Q3" s="52" t="inlineStr">
        <is>
          <t>Graduate</t>
        </is>
      </c>
      <c r="R3" s="78" t="inlineStr">
        <is>
          <t>Post
Graduate</t>
        </is>
      </c>
      <c r="S3" s="21" t="inlineStr">
        <is>
          <t>PhD</t>
        </is>
      </c>
    </row>
    <row r="4" ht="14" customHeight="1" s="227">
      <c r="A4" s="28" t="inlineStr">
        <is>
          <t>Banteay Meanchey</t>
        </is>
      </c>
      <c r="B4" s="263" t="n">
        <v>49</v>
      </c>
      <c r="C4" s="263" t="n">
        <v>779</v>
      </c>
      <c r="D4" s="264" t="n">
        <v>2697</v>
      </c>
      <c r="E4" s="267" t="n">
        <v>1188</v>
      </c>
      <c r="F4" s="263" t="n">
        <v>51</v>
      </c>
      <c r="G4" s="263" t="n">
        <v>0</v>
      </c>
      <c r="H4" s="266" t="n">
        <v>14</v>
      </c>
      <c r="I4" s="263" t="n">
        <v>204</v>
      </c>
      <c r="J4" s="263" t="n">
        <v>393</v>
      </c>
      <c r="K4" s="266" t="n">
        <v>232</v>
      </c>
      <c r="L4" s="263" t="n">
        <v>42</v>
      </c>
      <c r="M4" s="263" t="n">
        <v>0</v>
      </c>
      <c r="N4" s="268" t="n">
        <v>0</v>
      </c>
      <c r="O4" s="263" t="n">
        <v>0</v>
      </c>
      <c r="P4" s="263" t="n">
        <v>10</v>
      </c>
      <c r="Q4" s="263" t="n">
        <v>1</v>
      </c>
      <c r="R4" s="263" t="n">
        <v>0</v>
      </c>
      <c r="S4" s="263" t="n">
        <v>0</v>
      </c>
    </row>
    <row r="5" ht="14" customHeight="1" s="227">
      <c r="A5" s="28" t="inlineStr">
        <is>
          <t>Battambang</t>
        </is>
      </c>
      <c r="B5" s="263" t="n">
        <v>79</v>
      </c>
      <c r="C5" s="264" t="n">
        <v>1132</v>
      </c>
      <c r="D5" s="264" t="n">
        <v>3450</v>
      </c>
      <c r="E5" s="267" t="n">
        <v>2146</v>
      </c>
      <c r="F5" s="263" t="n">
        <v>145</v>
      </c>
      <c r="G5" s="263" t="n">
        <v>5</v>
      </c>
      <c r="H5" s="266" t="n">
        <v>41</v>
      </c>
      <c r="I5" s="263" t="n">
        <v>352</v>
      </c>
      <c r="J5" s="263" t="n">
        <v>735</v>
      </c>
      <c r="K5" s="266" t="n">
        <v>599</v>
      </c>
      <c r="L5" s="263" t="n">
        <v>78</v>
      </c>
      <c r="M5" s="263" t="n">
        <v>3</v>
      </c>
      <c r="N5" s="268" t="n">
        <v>2</v>
      </c>
      <c r="O5" s="263" t="n">
        <v>13</v>
      </c>
      <c r="P5" s="263" t="n">
        <v>22</v>
      </c>
      <c r="Q5" s="266" t="n">
        <v>10</v>
      </c>
      <c r="R5" s="263" t="n">
        <v>0</v>
      </c>
      <c r="S5" s="263" t="n">
        <v>0</v>
      </c>
    </row>
    <row r="6" ht="15" customHeight="1" s="227">
      <c r="A6" s="28" t="inlineStr">
        <is>
          <t>Kampong Cham</t>
        </is>
      </c>
      <c r="B6" s="263" t="n">
        <v>127</v>
      </c>
      <c r="C6" s="264" t="n">
        <v>1713</v>
      </c>
      <c r="D6" s="264" t="n">
        <v>3043</v>
      </c>
      <c r="E6" s="266" t="n">
        <v>914</v>
      </c>
      <c r="F6" s="263" t="n">
        <v>38</v>
      </c>
      <c r="G6" s="263" t="n">
        <v>0</v>
      </c>
      <c r="H6" s="266" t="n">
        <v>59</v>
      </c>
      <c r="I6" s="263" t="n">
        <v>531</v>
      </c>
      <c r="J6" s="263" t="n">
        <v>893</v>
      </c>
      <c r="K6" s="266" t="n">
        <v>186</v>
      </c>
      <c r="L6" s="263" t="n">
        <v>29</v>
      </c>
      <c r="M6" s="263" t="n">
        <v>0</v>
      </c>
      <c r="N6" s="268" t="n">
        <v>6</v>
      </c>
      <c r="O6" s="263" t="n">
        <v>17</v>
      </c>
      <c r="P6" s="263" t="n">
        <v>34</v>
      </c>
      <c r="Q6" s="263" t="n">
        <v>5</v>
      </c>
      <c r="R6" s="263" t="n">
        <v>0</v>
      </c>
      <c r="S6" s="263" t="n">
        <v>0</v>
      </c>
    </row>
    <row r="7" ht="14" customHeight="1" s="227">
      <c r="A7" s="28" t="inlineStr">
        <is>
          <t>Kampong Chhnang</t>
        </is>
      </c>
      <c r="B7" s="263" t="n">
        <v>19</v>
      </c>
      <c r="C7" s="263" t="n">
        <v>595</v>
      </c>
      <c r="D7" s="264" t="n">
        <v>1912</v>
      </c>
      <c r="E7" s="266" t="n">
        <v>932</v>
      </c>
      <c r="F7" s="263" t="n">
        <v>40</v>
      </c>
      <c r="G7" s="263" t="n">
        <v>0</v>
      </c>
      <c r="H7" s="266" t="n">
        <v>10</v>
      </c>
      <c r="I7" s="263" t="n">
        <v>158</v>
      </c>
      <c r="J7" s="263" t="n">
        <v>341</v>
      </c>
      <c r="K7" s="266" t="n">
        <v>169</v>
      </c>
      <c r="L7" s="263" t="n">
        <v>22</v>
      </c>
      <c r="M7" s="263" t="n">
        <v>0</v>
      </c>
      <c r="N7" s="268" t="n">
        <v>0</v>
      </c>
      <c r="O7" s="263" t="n">
        <v>1</v>
      </c>
      <c r="P7" s="263" t="n">
        <v>1</v>
      </c>
      <c r="Q7" s="263" t="n">
        <v>4</v>
      </c>
      <c r="R7" s="263" t="n">
        <v>0</v>
      </c>
      <c r="S7" s="263" t="n">
        <v>0</v>
      </c>
    </row>
    <row r="8" ht="14" customHeight="1" s="227">
      <c r="A8" s="28" t="inlineStr">
        <is>
          <t>Kampong Speu</t>
        </is>
      </c>
      <c r="B8" s="263" t="n">
        <v>53</v>
      </c>
      <c r="C8" s="263" t="n">
        <v>921</v>
      </c>
      <c r="D8" s="264" t="n">
        <v>2174</v>
      </c>
      <c r="E8" s="267" t="n">
        <v>1276</v>
      </c>
      <c r="F8" s="263" t="n">
        <v>47</v>
      </c>
      <c r="G8" s="263" t="n">
        <v>0</v>
      </c>
      <c r="H8" s="266" t="n">
        <v>10</v>
      </c>
      <c r="I8" s="263" t="n">
        <v>187</v>
      </c>
      <c r="J8" s="263" t="n">
        <v>286</v>
      </c>
      <c r="K8" s="266" t="n">
        <v>224</v>
      </c>
      <c r="L8" s="263" t="n">
        <v>33</v>
      </c>
      <c r="M8" s="263" t="n">
        <v>2</v>
      </c>
      <c r="N8" s="268" t="n">
        <v>0</v>
      </c>
      <c r="O8" s="263" t="n">
        <v>4</v>
      </c>
      <c r="P8" s="263" t="n">
        <v>1</v>
      </c>
      <c r="Q8" s="263" t="n">
        <v>2</v>
      </c>
      <c r="R8" s="263" t="n">
        <v>0</v>
      </c>
      <c r="S8" s="263" t="n">
        <v>0</v>
      </c>
    </row>
    <row r="9" ht="14" customHeight="1" s="227">
      <c r="A9" s="28" t="inlineStr">
        <is>
          <t>Kampong Thom</t>
        </is>
      </c>
      <c r="B9" s="263" t="n">
        <v>63</v>
      </c>
      <c r="C9" s="263" t="n">
        <v>669</v>
      </c>
      <c r="D9" s="264" t="n">
        <v>2396</v>
      </c>
      <c r="E9" s="267" t="n">
        <v>1232</v>
      </c>
      <c r="F9" s="263" t="n">
        <v>75</v>
      </c>
      <c r="G9" s="263" t="n">
        <v>0</v>
      </c>
      <c r="H9" s="266" t="n">
        <v>13</v>
      </c>
      <c r="I9" s="263" t="n">
        <v>129</v>
      </c>
      <c r="J9" s="263" t="n">
        <v>299</v>
      </c>
      <c r="K9" s="266" t="n">
        <v>267</v>
      </c>
      <c r="L9" s="263" t="n">
        <v>23</v>
      </c>
      <c r="M9" s="263" t="n">
        <v>0</v>
      </c>
      <c r="N9" s="268" t="n">
        <v>4</v>
      </c>
      <c r="O9" s="263" t="n">
        <v>13</v>
      </c>
      <c r="P9" s="263" t="n">
        <v>44</v>
      </c>
      <c r="Q9" s="266" t="n">
        <v>38</v>
      </c>
      <c r="R9" s="263" t="n">
        <v>6</v>
      </c>
      <c r="S9" s="263" t="n">
        <v>0</v>
      </c>
    </row>
    <row r="10" ht="14" customHeight="1" s="227">
      <c r="A10" s="28" t="inlineStr">
        <is>
          <t>Kampot</t>
        </is>
      </c>
      <c r="B10" s="263" t="n">
        <v>101</v>
      </c>
      <c r="C10" s="263" t="n">
        <v>828</v>
      </c>
      <c r="D10" s="264" t="n">
        <v>2642</v>
      </c>
      <c r="E10" s="267" t="n">
        <v>1125</v>
      </c>
      <c r="F10" s="263" t="n">
        <v>51</v>
      </c>
      <c r="G10" s="263" t="n">
        <v>0</v>
      </c>
      <c r="H10" s="266" t="n">
        <v>14</v>
      </c>
      <c r="I10" s="263" t="n">
        <v>178</v>
      </c>
      <c r="J10" s="263" t="n">
        <v>447</v>
      </c>
      <c r="K10" s="266" t="n">
        <v>260</v>
      </c>
      <c r="L10" s="263" t="n">
        <v>39</v>
      </c>
      <c r="M10" s="263" t="n">
        <v>0</v>
      </c>
      <c r="N10" s="268" t="n">
        <v>0</v>
      </c>
      <c r="O10" s="263" t="n">
        <v>5</v>
      </c>
      <c r="P10" s="263" t="n">
        <v>9</v>
      </c>
      <c r="Q10" s="263" t="n">
        <v>4</v>
      </c>
      <c r="R10" s="263" t="n">
        <v>0</v>
      </c>
      <c r="S10" s="263" t="n">
        <v>0</v>
      </c>
    </row>
    <row r="11" ht="14" customHeight="1" s="227">
      <c r="A11" s="28" t="inlineStr">
        <is>
          <t>Kandal</t>
        </is>
      </c>
      <c r="B11" s="263" t="n">
        <v>130</v>
      </c>
      <c r="C11" s="264" t="n">
        <v>1438</v>
      </c>
      <c r="D11" s="264" t="n">
        <v>3424</v>
      </c>
      <c r="E11" s="267" t="n">
        <v>2111</v>
      </c>
      <c r="F11" s="263" t="n">
        <v>143</v>
      </c>
      <c r="G11" s="263" t="n">
        <v>0</v>
      </c>
      <c r="H11" s="266" t="n">
        <v>40</v>
      </c>
      <c r="I11" s="263" t="n">
        <v>349</v>
      </c>
      <c r="J11" s="263" t="n">
        <v>625</v>
      </c>
      <c r="K11" s="266" t="n">
        <v>383</v>
      </c>
      <c r="L11" s="263" t="n">
        <v>85</v>
      </c>
      <c r="M11" s="263" t="n">
        <v>0</v>
      </c>
      <c r="N11" s="268" t="n">
        <v>4</v>
      </c>
      <c r="O11" s="263" t="n">
        <v>7</v>
      </c>
      <c r="P11" s="263" t="n">
        <v>26</v>
      </c>
      <c r="Q11" s="266" t="n">
        <v>35</v>
      </c>
      <c r="R11" s="263" t="n">
        <v>2</v>
      </c>
      <c r="S11" s="263" t="n">
        <v>0</v>
      </c>
    </row>
    <row r="12" ht="14" customHeight="1" s="227">
      <c r="A12" s="28" t="inlineStr">
        <is>
          <t>Kep</t>
        </is>
      </c>
      <c r="B12" s="263" t="n">
        <v>0</v>
      </c>
      <c r="C12" s="263" t="n">
        <v>21</v>
      </c>
      <c r="D12" s="263" t="n">
        <v>273</v>
      </c>
      <c r="E12" s="266" t="n">
        <v>158</v>
      </c>
      <c r="F12" s="263" t="n">
        <v>3</v>
      </c>
      <c r="G12" s="263" t="n">
        <v>0</v>
      </c>
      <c r="H12" s="263" t="n">
        <v>0</v>
      </c>
      <c r="I12" s="263" t="n">
        <v>5</v>
      </c>
      <c r="J12" s="263" t="n">
        <v>47</v>
      </c>
      <c r="K12" s="266" t="n">
        <v>37</v>
      </c>
      <c r="L12" s="263" t="n">
        <v>3</v>
      </c>
      <c r="M12" s="263" t="n">
        <v>0</v>
      </c>
      <c r="N12" s="268" t="n">
        <v>0</v>
      </c>
      <c r="O12" s="263" t="n">
        <v>0</v>
      </c>
      <c r="P12" s="263" t="n">
        <v>0</v>
      </c>
      <c r="Q12" s="263" t="n">
        <v>5</v>
      </c>
      <c r="R12" s="263" t="n">
        <v>0</v>
      </c>
      <c r="S12" s="263" t="n">
        <v>0</v>
      </c>
    </row>
    <row r="13" ht="14" customHeight="1" s="227">
      <c r="A13" s="28" t="inlineStr">
        <is>
          <t>Koh Kong</t>
        </is>
      </c>
      <c r="B13" s="263" t="n">
        <v>12</v>
      </c>
      <c r="C13" s="263" t="n">
        <v>141</v>
      </c>
      <c r="D13" s="263" t="n">
        <v>753</v>
      </c>
      <c r="E13" s="266" t="n">
        <v>150</v>
      </c>
      <c r="F13" s="263" t="n">
        <v>1</v>
      </c>
      <c r="G13" s="263" t="n">
        <v>0</v>
      </c>
      <c r="H13" s="263" t="n">
        <v>0</v>
      </c>
      <c r="I13" s="263" t="n">
        <v>32</v>
      </c>
      <c r="J13" s="263" t="n">
        <v>88</v>
      </c>
      <c r="K13" s="266" t="n">
        <v>39</v>
      </c>
      <c r="L13" s="263" t="n">
        <v>2</v>
      </c>
      <c r="M13" s="263" t="n">
        <v>0</v>
      </c>
      <c r="N13" s="268" t="n">
        <v>0</v>
      </c>
      <c r="O13" s="263" t="n">
        <v>0</v>
      </c>
      <c r="P13" s="263" t="n">
        <v>1</v>
      </c>
      <c r="Q13" s="263" t="n">
        <v>2</v>
      </c>
      <c r="R13" s="263" t="n">
        <v>0</v>
      </c>
      <c r="S13" s="263" t="n">
        <v>0</v>
      </c>
    </row>
    <row r="14" ht="14" customHeight="1" s="227">
      <c r="A14" s="28" t="inlineStr">
        <is>
          <t>Kratie</t>
        </is>
      </c>
      <c r="B14" s="263" t="n">
        <v>74</v>
      </c>
      <c r="C14" s="263" t="n">
        <v>657</v>
      </c>
      <c r="D14" s="264" t="n">
        <v>1606</v>
      </c>
      <c r="E14" s="266" t="n">
        <v>233</v>
      </c>
      <c r="F14" s="263" t="n">
        <v>3</v>
      </c>
      <c r="G14" s="263" t="n">
        <v>0</v>
      </c>
      <c r="H14" s="266" t="n">
        <v>12</v>
      </c>
      <c r="I14" s="263" t="n">
        <v>130</v>
      </c>
      <c r="J14" s="263" t="n">
        <v>178</v>
      </c>
      <c r="K14" s="266" t="n">
        <v>32</v>
      </c>
      <c r="L14" s="263" t="n">
        <v>3</v>
      </c>
      <c r="M14" s="263" t="n">
        <v>0</v>
      </c>
      <c r="N14" s="268" t="n">
        <v>2</v>
      </c>
      <c r="O14" s="263" t="n">
        <v>19</v>
      </c>
      <c r="P14" s="263" t="n">
        <v>10</v>
      </c>
      <c r="Q14" s="263" t="n">
        <v>0</v>
      </c>
      <c r="R14" s="263" t="n">
        <v>0</v>
      </c>
      <c r="S14" s="263" t="n">
        <v>0</v>
      </c>
    </row>
    <row r="15" ht="14" customHeight="1" s="227">
      <c r="A15" s="28" t="inlineStr">
        <is>
          <t>Mondul Kiri</t>
        </is>
      </c>
      <c r="B15" s="263" t="n">
        <v>23</v>
      </c>
      <c r="C15" s="263" t="n">
        <v>256</v>
      </c>
      <c r="D15" s="263" t="n">
        <v>473</v>
      </c>
      <c r="E15" s="266" t="n">
        <v>60</v>
      </c>
      <c r="F15" s="263" t="n">
        <v>0</v>
      </c>
      <c r="G15" s="263" t="n">
        <v>0</v>
      </c>
      <c r="H15" s="263" t="n">
        <v>4</v>
      </c>
      <c r="I15" s="263" t="n">
        <v>11</v>
      </c>
      <c r="J15" s="263" t="n">
        <v>24</v>
      </c>
      <c r="K15" s="268" t="n">
        <v>6</v>
      </c>
      <c r="L15" s="263" t="n">
        <v>1</v>
      </c>
      <c r="M15" s="263" t="n">
        <v>0</v>
      </c>
      <c r="N15" s="268" t="n">
        <v>0</v>
      </c>
      <c r="O15" s="263" t="n">
        <v>0</v>
      </c>
      <c r="P15" s="263" t="n">
        <v>0</v>
      </c>
      <c r="Q15" s="263" t="n">
        <v>0</v>
      </c>
      <c r="R15" s="263" t="n">
        <v>0</v>
      </c>
      <c r="S15" s="263" t="n">
        <v>0</v>
      </c>
    </row>
    <row r="16" ht="14" customHeight="1" s="227">
      <c r="A16" s="28" t="inlineStr">
        <is>
          <t>Otdar Meanchey</t>
        </is>
      </c>
      <c r="B16" s="263" t="n">
        <v>85</v>
      </c>
      <c r="C16" s="263" t="n">
        <v>276</v>
      </c>
      <c r="D16" s="263" t="n">
        <v>967</v>
      </c>
      <c r="E16" s="266" t="n">
        <v>189</v>
      </c>
      <c r="F16" s="263" t="n">
        <v>9</v>
      </c>
      <c r="G16" s="263" t="n">
        <v>0</v>
      </c>
      <c r="H16" s="266" t="n">
        <v>24</v>
      </c>
      <c r="I16" s="263" t="n">
        <v>69</v>
      </c>
      <c r="J16" s="263" t="n">
        <v>174</v>
      </c>
      <c r="K16" s="266" t="n">
        <v>26</v>
      </c>
      <c r="L16" s="263" t="n">
        <v>9</v>
      </c>
      <c r="M16" s="263" t="n">
        <v>0</v>
      </c>
      <c r="N16" s="268" t="n">
        <v>0</v>
      </c>
      <c r="O16" s="263" t="n">
        <v>3</v>
      </c>
      <c r="P16" s="263" t="n">
        <v>6</v>
      </c>
      <c r="Q16" s="263" t="n">
        <v>0</v>
      </c>
      <c r="R16" s="263" t="n">
        <v>0</v>
      </c>
      <c r="S16" s="263" t="n">
        <v>0</v>
      </c>
    </row>
    <row r="17" ht="14" customHeight="1" s="227">
      <c r="A17" s="28" t="inlineStr">
        <is>
          <t>Pailin</t>
        </is>
      </c>
      <c r="B17" s="263" t="n">
        <v>11</v>
      </c>
      <c r="C17" s="263" t="n">
        <v>49</v>
      </c>
      <c r="D17" s="263" t="n">
        <v>451</v>
      </c>
      <c r="E17" s="266" t="n">
        <v>113</v>
      </c>
      <c r="F17" s="263" t="n">
        <v>1</v>
      </c>
      <c r="G17" s="263" t="n">
        <v>0</v>
      </c>
      <c r="H17" s="263" t="n">
        <v>1</v>
      </c>
      <c r="I17" s="263" t="n">
        <v>9</v>
      </c>
      <c r="J17" s="263" t="n">
        <v>38</v>
      </c>
      <c r="K17" s="266" t="n">
        <v>26</v>
      </c>
      <c r="L17" s="263" t="n">
        <v>2</v>
      </c>
      <c r="M17" s="263" t="n">
        <v>0</v>
      </c>
      <c r="N17" s="268" t="n">
        <v>2</v>
      </c>
      <c r="O17" s="263" t="n">
        <v>0</v>
      </c>
      <c r="P17" s="263" t="n">
        <v>2</v>
      </c>
      <c r="Q17" s="263" t="n">
        <v>0</v>
      </c>
      <c r="R17" s="263" t="n">
        <v>0</v>
      </c>
      <c r="S17" s="263" t="n">
        <v>0</v>
      </c>
    </row>
    <row r="18" ht="14" customHeight="1" s="227">
      <c r="A18" s="28" t="inlineStr">
        <is>
          <t>Phnom Penh</t>
        </is>
      </c>
      <c r="B18" s="263" t="n">
        <v>238</v>
      </c>
      <c r="C18" s="264" t="n">
        <v>1875</v>
      </c>
      <c r="D18" s="264" t="n">
        <v>4126</v>
      </c>
      <c r="E18" s="267" t="n">
        <v>3183</v>
      </c>
      <c r="F18" s="263" t="n">
        <v>428</v>
      </c>
      <c r="G18" s="263" t="n">
        <v>2</v>
      </c>
      <c r="H18" s="266" t="n">
        <v>35</v>
      </c>
      <c r="I18" s="263" t="n">
        <v>192</v>
      </c>
      <c r="J18" s="263" t="n">
        <v>369</v>
      </c>
      <c r="K18" s="266" t="n">
        <v>310</v>
      </c>
      <c r="L18" s="263" t="n">
        <v>129</v>
      </c>
      <c r="M18" s="263" t="n">
        <v>3</v>
      </c>
      <c r="N18" s="268" t="n">
        <v>4</v>
      </c>
      <c r="O18" s="263" t="n">
        <v>5</v>
      </c>
      <c r="P18" s="263" t="n">
        <v>4</v>
      </c>
      <c r="Q18" s="263" t="n">
        <v>7</v>
      </c>
      <c r="R18" s="263" t="n">
        <v>1</v>
      </c>
      <c r="S18" s="263" t="n">
        <v>0</v>
      </c>
    </row>
    <row r="19" ht="14" customHeight="1" s="227">
      <c r="A19" s="28" t="inlineStr">
        <is>
          <t>Preah Sihanouk</t>
        </is>
      </c>
      <c r="B19" s="263" t="n">
        <v>24</v>
      </c>
      <c r="C19" s="263" t="n">
        <v>196</v>
      </c>
      <c r="D19" s="263" t="n">
        <v>944</v>
      </c>
      <c r="E19" s="266" t="n">
        <v>386</v>
      </c>
      <c r="F19" s="263" t="n">
        <v>27</v>
      </c>
      <c r="G19" s="263" t="n">
        <v>0</v>
      </c>
      <c r="H19" s="263" t="n">
        <v>3</v>
      </c>
      <c r="I19" s="263" t="n">
        <v>20</v>
      </c>
      <c r="J19" s="263" t="n">
        <v>119</v>
      </c>
      <c r="K19" s="266" t="n">
        <v>67</v>
      </c>
      <c r="L19" s="263" t="n">
        <v>6</v>
      </c>
      <c r="M19" s="263" t="n">
        <v>0</v>
      </c>
      <c r="N19" s="268" t="n">
        <v>0</v>
      </c>
      <c r="O19" s="263" t="n">
        <v>0</v>
      </c>
      <c r="P19" s="263" t="n">
        <v>1</v>
      </c>
      <c r="Q19" s="263" t="n">
        <v>2</v>
      </c>
      <c r="R19" s="263" t="n">
        <v>0</v>
      </c>
      <c r="S19" s="263" t="n">
        <v>0</v>
      </c>
    </row>
    <row r="20" ht="14" customHeight="1" s="227">
      <c r="A20" s="28" t="inlineStr">
        <is>
          <t>Preah Vihear</t>
        </is>
      </c>
      <c r="B20" s="263" t="n">
        <v>113</v>
      </c>
      <c r="C20" s="263" t="n">
        <v>340</v>
      </c>
      <c r="D20" s="264" t="n">
        <v>1280</v>
      </c>
      <c r="E20" s="266" t="n">
        <v>257</v>
      </c>
      <c r="F20" s="263" t="n">
        <v>9</v>
      </c>
      <c r="G20" s="263" t="n">
        <v>0</v>
      </c>
      <c r="H20" s="266" t="n">
        <v>35</v>
      </c>
      <c r="I20" s="263" t="n">
        <v>72</v>
      </c>
      <c r="J20" s="263" t="n">
        <v>109</v>
      </c>
      <c r="K20" s="266" t="n">
        <v>45</v>
      </c>
      <c r="L20" s="263" t="n">
        <v>5</v>
      </c>
      <c r="M20" s="263" t="n">
        <v>0</v>
      </c>
      <c r="N20" s="268" t="n">
        <v>5</v>
      </c>
      <c r="O20" s="263" t="n">
        <v>8</v>
      </c>
      <c r="P20" s="263" t="n">
        <v>12</v>
      </c>
      <c r="Q20" s="263" t="n">
        <v>0</v>
      </c>
      <c r="R20" s="263" t="n">
        <v>0</v>
      </c>
      <c r="S20" s="263" t="n">
        <v>0</v>
      </c>
    </row>
    <row r="21" ht="14" customHeight="1" s="227">
      <c r="A21" s="28" t="inlineStr">
        <is>
          <t>Prey Veng</t>
        </is>
      </c>
      <c r="B21" s="263" t="n">
        <v>36</v>
      </c>
      <c r="C21" s="264" t="n">
        <v>1535</v>
      </c>
      <c r="D21" s="264" t="n">
        <v>2622</v>
      </c>
      <c r="E21" s="267" t="n">
        <v>1505</v>
      </c>
      <c r="F21" s="263" t="n">
        <v>33</v>
      </c>
      <c r="G21" s="263" t="n">
        <v>1</v>
      </c>
      <c r="H21" s="266" t="n">
        <v>22</v>
      </c>
      <c r="I21" s="263" t="n">
        <v>606</v>
      </c>
      <c r="J21" s="263" t="n">
        <v>697</v>
      </c>
      <c r="K21" s="266" t="n">
        <v>438</v>
      </c>
      <c r="L21" s="263" t="n">
        <v>32</v>
      </c>
      <c r="M21" s="263" t="n">
        <v>0</v>
      </c>
      <c r="N21" s="268" t="n">
        <v>0</v>
      </c>
      <c r="O21" s="263" t="n">
        <v>6</v>
      </c>
      <c r="P21" s="263" t="n">
        <v>10</v>
      </c>
      <c r="Q21" s="263" t="n">
        <v>8</v>
      </c>
      <c r="R21" s="263" t="n">
        <v>0</v>
      </c>
      <c r="S21" s="263" t="n">
        <v>0</v>
      </c>
    </row>
    <row r="22" ht="14" customHeight="1" s="227">
      <c r="A22" s="28" t="inlineStr">
        <is>
          <t>Pursat</t>
        </is>
      </c>
      <c r="B22" s="263" t="n">
        <v>53</v>
      </c>
      <c r="C22" s="263" t="n">
        <v>665</v>
      </c>
      <c r="D22" s="264" t="n">
        <v>1818</v>
      </c>
      <c r="E22" s="266" t="n">
        <v>585</v>
      </c>
      <c r="F22" s="263" t="n">
        <v>35</v>
      </c>
      <c r="G22" s="263" t="n">
        <v>0</v>
      </c>
      <c r="H22" s="263" t="n">
        <v>8</v>
      </c>
      <c r="I22" s="263" t="n">
        <v>201</v>
      </c>
      <c r="J22" s="263" t="n">
        <v>299</v>
      </c>
      <c r="K22" s="266" t="n">
        <v>87</v>
      </c>
      <c r="L22" s="263" t="n">
        <v>15</v>
      </c>
      <c r="M22" s="263" t="n">
        <v>0</v>
      </c>
      <c r="N22" s="268" t="n">
        <v>0</v>
      </c>
      <c r="O22" s="263" t="n">
        <v>1</v>
      </c>
      <c r="P22" s="263" t="n">
        <v>4</v>
      </c>
      <c r="Q22" s="263" t="n">
        <v>1</v>
      </c>
      <c r="R22" s="263" t="n">
        <v>0</v>
      </c>
      <c r="S22" s="263" t="n">
        <v>0</v>
      </c>
    </row>
    <row r="23" ht="14" customHeight="1" s="227">
      <c r="A23" s="28" t="inlineStr">
        <is>
          <t>Ratanak Kiri</t>
        </is>
      </c>
      <c r="B23" s="263" t="n">
        <v>77</v>
      </c>
      <c r="C23" s="263" t="n">
        <v>226</v>
      </c>
      <c r="D23" s="263" t="n">
        <v>805</v>
      </c>
      <c r="E23" s="266" t="n">
        <v>164</v>
      </c>
      <c r="F23" s="263" t="n">
        <v>3</v>
      </c>
      <c r="G23" s="263" t="n">
        <v>0</v>
      </c>
      <c r="H23" s="266" t="n">
        <v>16</v>
      </c>
      <c r="I23" s="263" t="n">
        <v>22</v>
      </c>
      <c r="J23" s="263" t="n">
        <v>53</v>
      </c>
      <c r="K23" s="266" t="n">
        <v>26</v>
      </c>
      <c r="L23" s="263" t="n">
        <v>6</v>
      </c>
      <c r="M23" s="263" t="n">
        <v>0</v>
      </c>
      <c r="N23" s="268" t="n">
        <v>0</v>
      </c>
      <c r="O23" s="263" t="n">
        <v>1</v>
      </c>
      <c r="P23" s="263" t="n">
        <v>0</v>
      </c>
      <c r="Q23" s="263" t="n">
        <v>0</v>
      </c>
      <c r="R23" s="263" t="n">
        <v>0</v>
      </c>
      <c r="S23" s="263" t="n">
        <v>0</v>
      </c>
    </row>
    <row r="24" ht="14" customHeight="1" s="227">
      <c r="A24" s="28" t="inlineStr">
        <is>
          <t>Siemreap</t>
        </is>
      </c>
      <c r="B24" s="263" t="n">
        <v>69</v>
      </c>
      <c r="C24" s="263" t="n">
        <v>626</v>
      </c>
      <c r="D24" s="264" t="n">
        <v>3786</v>
      </c>
      <c r="E24" s="267" t="n">
        <v>1350</v>
      </c>
      <c r="F24" s="263" t="n">
        <v>112</v>
      </c>
      <c r="G24" s="263" t="n">
        <v>1</v>
      </c>
      <c r="H24" s="266" t="n">
        <v>26</v>
      </c>
      <c r="I24" s="263" t="n">
        <v>205</v>
      </c>
      <c r="J24" s="263" t="n">
        <v>893</v>
      </c>
      <c r="K24" s="266" t="n">
        <v>270</v>
      </c>
      <c r="L24" s="263" t="n">
        <v>52</v>
      </c>
      <c r="M24" s="263" t="n">
        <v>0</v>
      </c>
      <c r="N24" s="268" t="n">
        <v>0</v>
      </c>
      <c r="O24" s="263" t="n">
        <v>1</v>
      </c>
      <c r="P24" s="263" t="n">
        <v>20</v>
      </c>
      <c r="Q24" s="266" t="n">
        <v>22</v>
      </c>
      <c r="R24" s="263" t="n">
        <v>0</v>
      </c>
      <c r="S24" s="263" t="n">
        <v>0</v>
      </c>
    </row>
    <row r="25" ht="14" customHeight="1" s="227">
      <c r="A25" s="28" t="inlineStr">
        <is>
          <t>Stung Treng</t>
        </is>
      </c>
      <c r="B25" s="263" t="n">
        <v>59</v>
      </c>
      <c r="C25" s="263" t="n">
        <v>342</v>
      </c>
      <c r="D25" s="263" t="n">
        <v>769</v>
      </c>
      <c r="E25" s="266" t="n">
        <v>82</v>
      </c>
      <c r="F25" s="263" t="n">
        <v>2</v>
      </c>
      <c r="G25" s="263" t="n">
        <v>0</v>
      </c>
      <c r="H25" s="266" t="n">
        <v>11</v>
      </c>
      <c r="I25" s="263" t="n">
        <v>40</v>
      </c>
      <c r="J25" s="263" t="n">
        <v>80</v>
      </c>
      <c r="K25" s="266" t="n">
        <v>18</v>
      </c>
      <c r="L25" s="263" t="n">
        <v>3</v>
      </c>
      <c r="M25" s="263" t="n">
        <v>0</v>
      </c>
      <c r="N25" s="268" t="n">
        <v>0</v>
      </c>
      <c r="O25" s="263" t="n">
        <v>2</v>
      </c>
      <c r="P25" s="263" t="n">
        <v>6</v>
      </c>
      <c r="Q25" s="263" t="n">
        <v>0</v>
      </c>
      <c r="R25" s="263" t="n">
        <v>0</v>
      </c>
      <c r="S25" s="263" t="n">
        <v>0</v>
      </c>
    </row>
    <row r="26" ht="14" customHeight="1" s="227">
      <c r="A26" s="28" t="inlineStr">
        <is>
          <t>Svay Rieng</t>
        </is>
      </c>
      <c r="B26" s="263" t="n">
        <v>52</v>
      </c>
      <c r="C26" s="263" t="n">
        <v>431</v>
      </c>
      <c r="D26" s="264" t="n">
        <v>2231</v>
      </c>
      <c r="E26" s="266" t="n">
        <v>939</v>
      </c>
      <c r="F26" s="263" t="n">
        <v>35</v>
      </c>
      <c r="G26" s="263" t="n">
        <v>0</v>
      </c>
      <c r="H26" s="266" t="n">
        <v>23</v>
      </c>
      <c r="I26" s="263" t="n">
        <v>168</v>
      </c>
      <c r="J26" s="263" t="n">
        <v>536</v>
      </c>
      <c r="K26" s="266" t="n">
        <v>190</v>
      </c>
      <c r="L26" s="263" t="n">
        <v>12</v>
      </c>
      <c r="M26" s="263" t="n">
        <v>0</v>
      </c>
      <c r="N26" s="268" t="n">
        <v>0</v>
      </c>
      <c r="O26" s="263" t="n">
        <v>1</v>
      </c>
      <c r="P26" s="263" t="n">
        <v>0</v>
      </c>
      <c r="Q26" s="263" t="n">
        <v>0</v>
      </c>
      <c r="R26" s="263" t="n">
        <v>0</v>
      </c>
      <c r="S26" s="263" t="n">
        <v>0</v>
      </c>
    </row>
    <row r="27" ht="14" customHeight="1" s="227">
      <c r="A27" s="28" t="inlineStr">
        <is>
          <t>Takeo</t>
        </is>
      </c>
      <c r="B27" s="263" t="n">
        <v>58</v>
      </c>
      <c r="C27" s="263" t="n">
        <v>846</v>
      </c>
      <c r="D27" s="264" t="n">
        <v>3671</v>
      </c>
      <c r="E27" s="267" t="n">
        <v>1847</v>
      </c>
      <c r="F27" s="263" t="n">
        <v>63</v>
      </c>
      <c r="G27" s="263" t="n">
        <v>0</v>
      </c>
      <c r="H27" s="266" t="n">
        <v>28</v>
      </c>
      <c r="I27" s="263" t="n">
        <v>283</v>
      </c>
      <c r="J27" s="263" t="n">
        <v>962</v>
      </c>
      <c r="K27" s="266" t="n">
        <v>397</v>
      </c>
      <c r="L27" s="263" t="n">
        <v>26</v>
      </c>
      <c r="M27" s="263" t="n">
        <v>0</v>
      </c>
      <c r="N27" s="268" t="n">
        <v>0</v>
      </c>
      <c r="O27" s="263" t="n">
        <v>3</v>
      </c>
      <c r="P27" s="263" t="n">
        <v>18</v>
      </c>
      <c r="Q27" s="263" t="n">
        <v>8</v>
      </c>
      <c r="R27" s="263" t="n">
        <v>1</v>
      </c>
      <c r="S27" s="263" t="n">
        <v>0</v>
      </c>
    </row>
    <row r="28" ht="14" customHeight="1" s="227">
      <c r="A28" s="28" t="inlineStr">
        <is>
          <t>Tbaung Khmum</t>
        </is>
      </c>
      <c r="B28" s="263" t="n">
        <v>46</v>
      </c>
      <c r="C28" s="263" t="n">
        <v>660</v>
      </c>
      <c r="D28" s="264" t="n">
        <v>2495</v>
      </c>
      <c r="E28" s="266" t="n">
        <v>532</v>
      </c>
      <c r="F28" s="263" t="n">
        <v>23</v>
      </c>
      <c r="G28" s="263" t="n">
        <v>1</v>
      </c>
      <c r="H28" s="266" t="n">
        <v>10</v>
      </c>
      <c r="I28" s="263" t="n">
        <v>176</v>
      </c>
      <c r="J28" s="263" t="n">
        <v>413</v>
      </c>
      <c r="K28" s="266" t="n">
        <v>94</v>
      </c>
      <c r="L28" s="263" t="n">
        <v>18</v>
      </c>
      <c r="M28" s="263" t="n">
        <v>1</v>
      </c>
      <c r="N28" s="268" t="n">
        <v>1</v>
      </c>
      <c r="O28" s="263" t="n">
        <v>21</v>
      </c>
      <c r="P28" s="263" t="n">
        <v>42</v>
      </c>
      <c r="Q28" s="266" t="n">
        <v>27</v>
      </c>
      <c r="R28" s="263" t="n">
        <v>0</v>
      </c>
      <c r="S28" s="263" t="n">
        <v>0</v>
      </c>
    </row>
    <row r="29" ht="17" customHeight="1" s="227">
      <c r="A29" s="22" t="inlineStr">
        <is>
          <t>Whole Kingdom</t>
        </is>
      </c>
      <c r="B29" s="264" t="n">
        <v>1651</v>
      </c>
      <c r="C29" s="264" t="n">
        <v>17217</v>
      </c>
      <c r="D29" s="264" t="n">
        <v>50808</v>
      </c>
      <c r="E29" s="275" t="n">
        <v>22657</v>
      </c>
      <c r="F29" s="264" t="n">
        <v>1377</v>
      </c>
      <c r="G29" s="263" t="n">
        <v>10</v>
      </c>
      <c r="H29" s="266" t="n">
        <v>459</v>
      </c>
      <c r="I29" s="264" t="n">
        <v>4329</v>
      </c>
      <c r="J29" s="264" t="n">
        <v>9098</v>
      </c>
      <c r="K29" s="267" t="n">
        <v>4428</v>
      </c>
      <c r="L29" s="263" t="n">
        <v>675</v>
      </c>
      <c r="M29" s="263" t="n">
        <v>9</v>
      </c>
      <c r="N29" s="266" t="n">
        <v>30</v>
      </c>
      <c r="O29" s="263" t="n">
        <v>131</v>
      </c>
      <c r="P29" s="263" t="n">
        <v>283</v>
      </c>
      <c r="Q29" s="266" t="n">
        <v>181</v>
      </c>
      <c r="R29" s="263" t="n">
        <v>10</v>
      </c>
      <c r="S29" s="263" t="n">
        <v>0</v>
      </c>
    </row>
    <row r="30" ht="14" customHeight="1" s="227">
      <c r="A30" s="28" t="inlineStr">
        <is>
          <t>-  Urban Area</t>
        </is>
      </c>
      <c r="B30" s="263" t="n">
        <v>388</v>
      </c>
      <c r="C30" s="264" t="n">
        <v>4062</v>
      </c>
      <c r="D30" s="264" t="n">
        <v>10991</v>
      </c>
      <c r="E30" s="267" t="n">
        <v>7246</v>
      </c>
      <c r="F30" s="263" t="n">
        <v>803</v>
      </c>
      <c r="G30" s="263" t="n">
        <v>4</v>
      </c>
      <c r="H30" s="266" t="n">
        <v>89</v>
      </c>
      <c r="I30" s="263" t="n">
        <v>676</v>
      </c>
      <c r="J30" s="264" t="n">
        <v>1440</v>
      </c>
      <c r="K30" s="266" t="n">
        <v>998</v>
      </c>
      <c r="L30" s="263" t="n">
        <v>272</v>
      </c>
      <c r="M30" s="263" t="n">
        <v>3</v>
      </c>
      <c r="N30" s="268" t="n">
        <v>6</v>
      </c>
      <c r="O30" s="263" t="n">
        <v>5</v>
      </c>
      <c r="P30" s="263" t="n">
        <v>18</v>
      </c>
      <c r="Q30" s="266" t="n">
        <v>37</v>
      </c>
      <c r="R30" s="263" t="n">
        <v>7</v>
      </c>
      <c r="S30" s="263" t="n">
        <v>0</v>
      </c>
    </row>
    <row r="31" ht="14" customHeight="1" s="227">
      <c r="A31" s="28" t="inlineStr">
        <is>
          <t>-  Rural Area</t>
        </is>
      </c>
      <c r="B31" s="264" t="n">
        <v>1263</v>
      </c>
      <c r="C31" s="264" t="n">
        <v>13155</v>
      </c>
      <c r="D31" s="264" t="n">
        <v>39817</v>
      </c>
      <c r="E31" s="275" t="n">
        <v>15411</v>
      </c>
      <c r="F31" s="263" t="n">
        <v>574</v>
      </c>
      <c r="G31" s="263" t="n">
        <v>6</v>
      </c>
      <c r="H31" s="266" t="n">
        <v>370</v>
      </c>
      <c r="I31" s="264" t="n">
        <v>3653</v>
      </c>
      <c r="J31" s="264" t="n">
        <v>7658</v>
      </c>
      <c r="K31" s="267" t="n">
        <v>3430</v>
      </c>
      <c r="L31" s="263" t="n">
        <v>403</v>
      </c>
      <c r="M31" s="263" t="n">
        <v>6</v>
      </c>
      <c r="N31" s="266" t="n">
        <v>24</v>
      </c>
      <c r="O31" s="263" t="n">
        <v>126</v>
      </c>
      <c r="P31" s="263" t="n">
        <v>265</v>
      </c>
      <c r="Q31" s="266" t="n">
        <v>144</v>
      </c>
      <c r="R31" s="263" t="n">
        <v>3</v>
      </c>
      <c r="S31" s="263" t="n">
        <v>0</v>
      </c>
    </row>
  </sheetData>
  <mergeCells count="5">
    <mergeCell ref="B2:G2"/>
    <mergeCell ref="N2:S2"/>
    <mergeCell ref="A1:S1"/>
    <mergeCell ref="A2:A3"/>
    <mergeCell ref="H2:M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00FFC00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6.222222" customWidth="1" style="227" min="1" max="1"/>
    <col width="11.333333" customWidth="1" style="227" min="2" max="2"/>
    <col width="11.333333" customWidth="1" style="227" min="3" max="3"/>
    <col width="11.555556" customWidth="1" style="227" min="4" max="4"/>
    <col width="11.555556" customWidth="1" style="227" min="5" max="5"/>
    <col width="11.333333" customWidth="1" style="227" min="6" max="6"/>
    <col width="11.555556" customWidth="1" style="227" min="7" max="7"/>
    <col width="11.333333" customWidth="1" style="227" min="8" max="8"/>
    <col width="11.555556" customWidth="1" style="227" min="9" max="9"/>
    <col width="11.333333" customWidth="1" style="227" min="10" max="10"/>
    <col width="11.555556" customWidth="1" style="227" min="11" max="11"/>
    <col width="13.111111" customWidth="1" style="227" min="12" max="12"/>
    <col width="13.333333" customWidth="1" style="227" min="13" max="13"/>
  </cols>
  <sheetData>
    <row r="1" ht="31" customHeight="1" s="227">
      <c r="A1" s="2" t="inlineStr">
        <is>
          <t>Table 20: School Staff with Special Functions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" t="inlineStr">
        <is>
          <t>Province</t>
        </is>
      </c>
      <c r="B2" s="20" t="inlineStr">
        <is>
          <t>Number of Schools with</t>
        </is>
      </c>
      <c r="C2" s="269" t="n"/>
      <c r="D2" s="269" t="n"/>
      <c r="E2" s="269" t="n"/>
      <c r="F2" s="269" t="n"/>
      <c r="G2" s="269" t="n"/>
      <c r="H2" s="269" t="n"/>
      <c r="I2" s="269" t="n"/>
      <c r="J2" s="269" t="n"/>
      <c r="K2" s="257" t="n"/>
      <c r="L2" s="79" t="inlineStr">
        <is>
          <t>Literacy</t>
        </is>
      </c>
      <c r="M2" s="7" t="inlineStr">
        <is>
          <t>Contracted</t>
        </is>
      </c>
    </row>
    <row r="3" ht="18" customHeight="1" s="227">
      <c r="A3" s="258" t="n"/>
      <c r="B3" s="21" t="inlineStr">
        <is>
          <t>Secretary</t>
        </is>
      </c>
      <c r="C3" s="21" t="inlineStr">
        <is>
          <t>Librarian</t>
        </is>
      </c>
      <c r="D3" s="21" t="inlineStr">
        <is>
          <t>Home.Eco.</t>
        </is>
      </c>
      <c r="E3" s="20" t="inlineStr">
        <is>
          <t>Arts</t>
        </is>
      </c>
      <c r="F3" s="11" t="inlineStr">
        <is>
          <t>Agri.</t>
        </is>
      </c>
      <c r="G3" s="11" t="inlineStr">
        <is>
          <t>Sports</t>
        </is>
      </c>
      <c r="H3" s="20" t="inlineStr">
        <is>
          <t>ICT</t>
        </is>
      </c>
      <c r="I3" s="21" t="inlineStr">
        <is>
          <t>Account</t>
        </is>
      </c>
      <c r="J3" s="21" t="inlineStr">
        <is>
          <t>Laboratory</t>
        </is>
      </c>
      <c r="K3" s="11" t="inlineStr">
        <is>
          <t>Youth</t>
        </is>
      </c>
      <c r="L3" s="46" t="inlineStr">
        <is>
          <t>Teachers</t>
        </is>
      </c>
      <c r="M3" s="46" t="inlineStr">
        <is>
          <t>Teachers</t>
        </is>
      </c>
    </row>
    <row r="4" ht="14" customHeight="1" s="227">
      <c r="A4" s="28" t="inlineStr">
        <is>
          <t>Banteay Meanchey</t>
        </is>
      </c>
      <c r="B4" s="263" t="n">
        <v>177</v>
      </c>
      <c r="C4" s="263" t="n">
        <v>258</v>
      </c>
      <c r="D4" s="263" t="n">
        <v>101</v>
      </c>
      <c r="E4" s="263" t="n">
        <v>50</v>
      </c>
      <c r="F4" s="263" t="n">
        <v>93</v>
      </c>
      <c r="G4" s="263" t="n">
        <v>123</v>
      </c>
      <c r="H4" s="263" t="n">
        <v>38</v>
      </c>
      <c r="I4" s="263" t="n">
        <v>86</v>
      </c>
      <c r="J4" s="263" t="n">
        <v>23</v>
      </c>
      <c r="K4" s="263" t="n">
        <v>38</v>
      </c>
      <c r="L4" s="263" t="n">
        <v>18</v>
      </c>
      <c r="M4" s="263" t="n">
        <v>325</v>
      </c>
    </row>
    <row r="5" ht="14" customHeight="1" s="227">
      <c r="A5" s="28" t="inlineStr">
        <is>
          <t>Battambang</t>
        </is>
      </c>
      <c r="B5" s="263" t="n">
        <v>454</v>
      </c>
      <c r="C5" s="263" t="n">
        <v>424</v>
      </c>
      <c r="D5" s="263" t="n">
        <v>150</v>
      </c>
      <c r="E5" s="263" t="n">
        <v>8</v>
      </c>
      <c r="F5" s="263" t="n">
        <v>46</v>
      </c>
      <c r="G5" s="263" t="n">
        <v>130</v>
      </c>
      <c r="H5" s="263" t="n">
        <v>35</v>
      </c>
      <c r="I5" s="263" t="n">
        <v>227</v>
      </c>
      <c r="J5" s="263" t="n">
        <v>27</v>
      </c>
      <c r="K5" s="263" t="n">
        <v>81</v>
      </c>
      <c r="L5" s="263" t="n">
        <v>107</v>
      </c>
      <c r="M5" s="263" t="n">
        <v>674</v>
      </c>
    </row>
    <row r="6" ht="15" customHeight="1" s="227">
      <c r="A6" s="28" t="inlineStr">
        <is>
          <t>Kampong Cham</t>
        </is>
      </c>
      <c r="B6" s="263" t="n">
        <v>312</v>
      </c>
      <c r="C6" s="263" t="n">
        <v>388</v>
      </c>
      <c r="D6" s="263" t="n">
        <v>115</v>
      </c>
      <c r="E6" s="263" t="n">
        <v>16</v>
      </c>
      <c r="F6" s="263" t="n">
        <v>36</v>
      </c>
      <c r="G6" s="263" t="n">
        <v>137</v>
      </c>
      <c r="H6" s="263" t="n">
        <v>28</v>
      </c>
      <c r="I6" s="263" t="n">
        <v>156</v>
      </c>
      <c r="J6" s="263" t="n">
        <v>54</v>
      </c>
      <c r="K6" s="263" t="n">
        <v>76</v>
      </c>
      <c r="L6" s="263" t="n">
        <v>79</v>
      </c>
      <c r="M6" s="263" t="n">
        <v>384</v>
      </c>
    </row>
    <row r="7" ht="14" customHeight="1" s="227">
      <c r="A7" s="28" t="inlineStr">
        <is>
          <t>Kampong Chhnang</t>
        </is>
      </c>
      <c r="B7" s="263" t="n">
        <v>111</v>
      </c>
      <c r="C7" s="263" t="n">
        <v>145</v>
      </c>
      <c r="D7" s="263" t="n">
        <v>98</v>
      </c>
      <c r="E7" s="263" t="n">
        <v>4</v>
      </c>
      <c r="F7" s="263" t="n">
        <v>58</v>
      </c>
      <c r="G7" s="263" t="n">
        <v>95</v>
      </c>
      <c r="H7" s="263" t="n">
        <v>12</v>
      </c>
      <c r="I7" s="263" t="n">
        <v>103</v>
      </c>
      <c r="J7" s="263" t="n">
        <v>9</v>
      </c>
      <c r="K7" s="263" t="n">
        <v>142</v>
      </c>
      <c r="L7" s="263" t="n">
        <v>5</v>
      </c>
      <c r="M7" s="263" t="n">
        <v>0</v>
      </c>
    </row>
    <row r="8" ht="14" customHeight="1" s="227">
      <c r="A8" s="28" t="inlineStr">
        <is>
          <t>Kampong Speu</t>
        </is>
      </c>
      <c r="B8" s="263" t="n">
        <v>206</v>
      </c>
      <c r="C8" s="263" t="n">
        <v>216</v>
      </c>
      <c r="D8" s="263" t="n">
        <v>70</v>
      </c>
      <c r="E8" s="263" t="n">
        <v>13</v>
      </c>
      <c r="F8" s="263" t="n">
        <v>104</v>
      </c>
      <c r="G8" s="263" t="n">
        <v>286</v>
      </c>
      <c r="H8" s="263" t="n">
        <v>43</v>
      </c>
      <c r="I8" s="263" t="n">
        <v>472</v>
      </c>
      <c r="J8" s="263" t="n">
        <v>9</v>
      </c>
      <c r="K8" s="263" t="n">
        <v>399</v>
      </c>
      <c r="L8" s="263" t="n">
        <v>26</v>
      </c>
      <c r="M8" s="263" t="n">
        <v>35</v>
      </c>
    </row>
    <row r="9" ht="14" customHeight="1" s="227">
      <c r="A9" s="28" t="inlineStr">
        <is>
          <t>Kampong Thom</t>
        </is>
      </c>
      <c r="B9" s="263" t="n">
        <v>136</v>
      </c>
      <c r="C9" s="263" t="n">
        <v>258</v>
      </c>
      <c r="D9" s="263" t="n">
        <v>76</v>
      </c>
      <c r="E9" s="263" t="n">
        <v>36</v>
      </c>
      <c r="F9" s="263" t="n">
        <v>51</v>
      </c>
      <c r="G9" s="263" t="n">
        <v>96</v>
      </c>
      <c r="H9" s="263" t="n">
        <v>11</v>
      </c>
      <c r="I9" s="263" t="n">
        <v>104</v>
      </c>
      <c r="J9" s="263" t="n">
        <v>16</v>
      </c>
      <c r="K9" s="263" t="n">
        <v>44</v>
      </c>
      <c r="L9" s="263" t="n">
        <v>39</v>
      </c>
      <c r="M9" s="263" t="n">
        <v>764</v>
      </c>
    </row>
    <row r="10" ht="14" customHeight="1" s="227">
      <c r="A10" s="28" t="inlineStr">
        <is>
          <t>Kampot</t>
        </is>
      </c>
      <c r="B10" s="263" t="n">
        <v>195</v>
      </c>
      <c r="C10" s="263" t="n">
        <v>226</v>
      </c>
      <c r="D10" s="263" t="n">
        <v>84</v>
      </c>
      <c r="E10" s="263" t="n">
        <v>27</v>
      </c>
      <c r="F10" s="263" t="n">
        <v>59</v>
      </c>
      <c r="G10" s="263" t="n">
        <v>162</v>
      </c>
      <c r="H10" s="263" t="n">
        <v>18</v>
      </c>
      <c r="I10" s="263" t="n">
        <v>107</v>
      </c>
      <c r="J10" s="263" t="n">
        <v>16</v>
      </c>
      <c r="K10" s="263" t="n">
        <v>58</v>
      </c>
      <c r="L10" s="263" t="n">
        <v>4</v>
      </c>
      <c r="M10" s="263" t="n">
        <v>0</v>
      </c>
    </row>
    <row r="11" ht="14" customHeight="1" s="227">
      <c r="A11" s="28" t="inlineStr">
        <is>
          <t>Kandal</t>
        </is>
      </c>
      <c r="B11" s="263" t="n">
        <v>296</v>
      </c>
      <c r="C11" s="263" t="n">
        <v>412</v>
      </c>
      <c r="D11" s="263" t="n">
        <v>127</v>
      </c>
      <c r="E11" s="263" t="n">
        <v>14</v>
      </c>
      <c r="F11" s="263" t="n">
        <v>84</v>
      </c>
      <c r="G11" s="263" t="n">
        <v>179</v>
      </c>
      <c r="H11" s="263" t="n">
        <v>31</v>
      </c>
      <c r="I11" s="263" t="n">
        <v>117</v>
      </c>
      <c r="J11" s="263" t="n">
        <v>63</v>
      </c>
      <c r="K11" s="263" t="n">
        <v>85</v>
      </c>
      <c r="L11" s="263" t="n">
        <v>169</v>
      </c>
      <c r="M11" s="264" t="n">
        <v>1044</v>
      </c>
    </row>
    <row r="12" ht="14" customHeight="1" s="227">
      <c r="A12" s="28" t="inlineStr">
        <is>
          <t>Kep</t>
        </is>
      </c>
      <c r="B12" s="263" t="n">
        <v>22</v>
      </c>
      <c r="C12" s="263" t="n">
        <v>25</v>
      </c>
      <c r="D12" s="263" t="n">
        <v>9</v>
      </c>
      <c r="E12" s="263" t="n">
        <v>10</v>
      </c>
      <c r="F12" s="263" t="n">
        <v>12</v>
      </c>
      <c r="G12" s="263" t="n">
        <v>12</v>
      </c>
      <c r="H12" s="263" t="n">
        <v>3</v>
      </c>
      <c r="I12" s="263" t="n">
        <v>11</v>
      </c>
      <c r="J12" s="263" t="n">
        <v>4</v>
      </c>
      <c r="K12" s="263" t="n">
        <v>7</v>
      </c>
      <c r="L12" s="263" t="n">
        <v>0</v>
      </c>
      <c r="M12" s="263" t="n">
        <v>0</v>
      </c>
    </row>
    <row r="13" ht="14" customHeight="1" s="227">
      <c r="A13" s="28" t="inlineStr">
        <is>
          <t>Koh Kong</t>
        </is>
      </c>
      <c r="B13" s="263" t="n">
        <v>63</v>
      </c>
      <c r="C13" s="263" t="n">
        <v>52</v>
      </c>
      <c r="D13" s="263" t="n">
        <v>15</v>
      </c>
      <c r="E13" s="263" t="n">
        <v>1</v>
      </c>
      <c r="F13" s="263" t="n">
        <v>6</v>
      </c>
      <c r="G13" s="263" t="n">
        <v>34</v>
      </c>
      <c r="H13" s="263" t="n">
        <v>11</v>
      </c>
      <c r="I13" s="263" t="n">
        <v>50</v>
      </c>
      <c r="J13" s="263" t="n">
        <v>7</v>
      </c>
      <c r="K13" s="263" t="n">
        <v>18</v>
      </c>
      <c r="L13" s="263" t="n">
        <v>6</v>
      </c>
      <c r="M13" s="263" t="n">
        <v>36</v>
      </c>
    </row>
    <row r="14" ht="14" customHeight="1" s="227">
      <c r="A14" s="28" t="inlineStr">
        <is>
          <t>Kratie</t>
        </is>
      </c>
      <c r="B14" s="263" t="n">
        <v>68</v>
      </c>
      <c r="C14" s="263" t="n">
        <v>94</v>
      </c>
      <c r="D14" s="263" t="n">
        <v>44</v>
      </c>
      <c r="E14" s="263" t="n">
        <v>14</v>
      </c>
      <c r="F14" s="263" t="n">
        <v>18</v>
      </c>
      <c r="G14" s="263" t="n">
        <v>59</v>
      </c>
      <c r="H14" s="263" t="n">
        <v>17</v>
      </c>
      <c r="I14" s="263" t="n">
        <v>80</v>
      </c>
      <c r="J14" s="263" t="n">
        <v>5</v>
      </c>
      <c r="K14" s="263" t="n">
        <v>61</v>
      </c>
      <c r="L14" s="263" t="n">
        <v>0</v>
      </c>
      <c r="M14" s="263" t="n">
        <v>361</v>
      </c>
    </row>
    <row r="15" ht="14" customHeight="1" s="227">
      <c r="A15" s="28" t="inlineStr">
        <is>
          <t>Mondul Kiri</t>
        </is>
      </c>
      <c r="B15" s="263" t="n">
        <v>12</v>
      </c>
      <c r="C15" s="263" t="n">
        <v>10</v>
      </c>
      <c r="D15" s="263" t="n">
        <v>12</v>
      </c>
      <c r="E15" s="263" t="n">
        <v>6</v>
      </c>
      <c r="F15" s="263" t="n">
        <v>5</v>
      </c>
      <c r="G15" s="263" t="n">
        <v>23</v>
      </c>
      <c r="H15" s="263" t="n">
        <v>8</v>
      </c>
      <c r="I15" s="263" t="n">
        <v>20</v>
      </c>
      <c r="J15" s="263" t="n">
        <v>4</v>
      </c>
      <c r="K15" s="263" t="n">
        <v>9</v>
      </c>
      <c r="L15" s="263" t="n">
        <v>1</v>
      </c>
      <c r="M15" s="263" t="n">
        <v>3</v>
      </c>
    </row>
    <row r="16" ht="14" customHeight="1" s="227">
      <c r="A16" s="28" t="inlineStr">
        <is>
          <t>Otdar Meanchey</t>
        </is>
      </c>
      <c r="B16" s="263" t="n">
        <v>93</v>
      </c>
      <c r="C16" s="263" t="n">
        <v>60</v>
      </c>
      <c r="D16" s="263" t="n">
        <v>21</v>
      </c>
      <c r="E16" s="263" t="n">
        <v>2</v>
      </c>
      <c r="F16" s="263" t="n">
        <v>17</v>
      </c>
      <c r="G16" s="263" t="n">
        <v>41</v>
      </c>
      <c r="H16" s="263" t="n">
        <v>10</v>
      </c>
      <c r="I16" s="263" t="n">
        <v>55</v>
      </c>
      <c r="J16" s="263" t="n">
        <v>1</v>
      </c>
      <c r="K16" s="263" t="n">
        <v>15</v>
      </c>
      <c r="L16" s="263" t="n">
        <v>11</v>
      </c>
      <c r="M16" s="263" t="n">
        <v>326</v>
      </c>
    </row>
    <row r="17" ht="14" customHeight="1" s="227">
      <c r="A17" s="28" t="inlineStr">
        <is>
          <t>Pailin</t>
        </is>
      </c>
      <c r="B17" s="263" t="n">
        <v>14</v>
      </c>
      <c r="C17" s="263" t="n">
        <v>22</v>
      </c>
      <c r="D17" s="263" t="n">
        <v>10</v>
      </c>
      <c r="E17" s="263" t="n">
        <v>5</v>
      </c>
      <c r="F17" s="263" t="n">
        <v>9</v>
      </c>
      <c r="G17" s="263" t="n">
        <v>16</v>
      </c>
      <c r="H17" s="263" t="n">
        <v>4</v>
      </c>
      <c r="I17" s="263" t="n">
        <v>11</v>
      </c>
      <c r="J17" s="263" t="n">
        <v>7</v>
      </c>
      <c r="K17" s="263" t="n">
        <v>16</v>
      </c>
      <c r="L17" s="263" t="n">
        <v>0</v>
      </c>
      <c r="M17" s="263" t="n">
        <v>13</v>
      </c>
    </row>
    <row r="18" ht="14" customHeight="1" s="227">
      <c r="A18" s="28" t="inlineStr">
        <is>
          <t>Phnom Penh</t>
        </is>
      </c>
      <c r="B18" s="263" t="n">
        <v>140</v>
      </c>
      <c r="C18" s="263" t="n">
        <v>212</v>
      </c>
      <c r="D18" s="263" t="n">
        <v>229</v>
      </c>
      <c r="E18" s="263" t="n">
        <v>172</v>
      </c>
      <c r="F18" s="263" t="n">
        <v>167</v>
      </c>
      <c r="G18" s="263" t="n">
        <v>255</v>
      </c>
      <c r="H18" s="263" t="n">
        <v>58</v>
      </c>
      <c r="I18" s="263" t="n">
        <v>119</v>
      </c>
      <c r="J18" s="263" t="n">
        <v>70</v>
      </c>
      <c r="K18" s="263" t="n">
        <v>142</v>
      </c>
      <c r="L18" s="263" t="n">
        <v>7</v>
      </c>
      <c r="M18" s="263" t="n">
        <v>17</v>
      </c>
    </row>
    <row r="19" ht="14" customHeight="1" s="227">
      <c r="A19" s="28" t="inlineStr">
        <is>
          <t>Preah Sihanouk</t>
        </is>
      </c>
      <c r="B19" s="263" t="n">
        <v>55</v>
      </c>
      <c r="C19" s="263" t="n">
        <v>71</v>
      </c>
      <c r="D19" s="263" t="n">
        <v>20</v>
      </c>
      <c r="E19" s="263" t="n">
        <v>1</v>
      </c>
      <c r="F19" s="263" t="n">
        <v>12</v>
      </c>
      <c r="G19" s="263" t="n">
        <v>24</v>
      </c>
      <c r="H19" s="263" t="n">
        <v>6</v>
      </c>
      <c r="I19" s="263" t="n">
        <v>29</v>
      </c>
      <c r="J19" s="263" t="n">
        <v>2</v>
      </c>
      <c r="K19" s="263" t="n">
        <v>25</v>
      </c>
      <c r="L19" s="263" t="n">
        <v>0</v>
      </c>
      <c r="M19" s="263" t="n">
        <v>0</v>
      </c>
    </row>
    <row r="20" ht="14" customHeight="1" s="227">
      <c r="A20" s="28" t="inlineStr">
        <is>
          <t>Preah Vihear</t>
        </is>
      </c>
      <c r="B20" s="263" t="n">
        <v>108</v>
      </c>
      <c r="C20" s="263" t="n">
        <v>63</v>
      </c>
      <c r="D20" s="263" t="n">
        <v>30</v>
      </c>
      <c r="E20" s="263" t="n">
        <v>11</v>
      </c>
      <c r="F20" s="263" t="n">
        <v>24</v>
      </c>
      <c r="G20" s="263" t="n">
        <v>52</v>
      </c>
      <c r="H20" s="263" t="n">
        <v>8</v>
      </c>
      <c r="I20" s="263" t="n">
        <v>174</v>
      </c>
      <c r="J20" s="263" t="n">
        <v>12</v>
      </c>
      <c r="K20" s="263" t="n">
        <v>33</v>
      </c>
      <c r="L20" s="263" t="n">
        <v>11</v>
      </c>
      <c r="M20" s="263" t="n">
        <v>218</v>
      </c>
    </row>
    <row r="21" ht="14" customHeight="1" s="227">
      <c r="A21" s="28" t="inlineStr">
        <is>
          <t>Prey Veng</t>
        </is>
      </c>
      <c r="B21" s="263" t="n">
        <v>461</v>
      </c>
      <c r="C21" s="263" t="n">
        <v>334</v>
      </c>
      <c r="D21" s="263" t="n">
        <v>112</v>
      </c>
      <c r="E21" s="263" t="n">
        <v>31</v>
      </c>
      <c r="F21" s="263" t="n">
        <v>128</v>
      </c>
      <c r="G21" s="263" t="n">
        <v>207</v>
      </c>
      <c r="H21" s="263" t="n">
        <v>51</v>
      </c>
      <c r="I21" s="263" t="n">
        <v>269</v>
      </c>
      <c r="J21" s="263" t="n">
        <v>49</v>
      </c>
      <c r="K21" s="263" t="n">
        <v>158</v>
      </c>
      <c r="L21" s="263" t="n">
        <v>113</v>
      </c>
      <c r="M21" s="263" t="n">
        <v>166</v>
      </c>
    </row>
    <row r="22" ht="14" customHeight="1" s="227">
      <c r="A22" s="28" t="inlineStr">
        <is>
          <t>Pursat</t>
        </is>
      </c>
      <c r="B22" s="263" t="n">
        <v>98</v>
      </c>
      <c r="C22" s="263" t="n">
        <v>140</v>
      </c>
      <c r="D22" s="263" t="n">
        <v>51</v>
      </c>
      <c r="E22" s="263" t="n">
        <v>7</v>
      </c>
      <c r="F22" s="263" t="n">
        <v>54</v>
      </c>
      <c r="G22" s="263" t="n">
        <v>100</v>
      </c>
      <c r="H22" s="263" t="n">
        <v>16</v>
      </c>
      <c r="I22" s="263" t="n">
        <v>195</v>
      </c>
      <c r="J22" s="263" t="n">
        <v>6</v>
      </c>
      <c r="K22" s="263" t="n">
        <v>96</v>
      </c>
      <c r="L22" s="263" t="n">
        <v>14</v>
      </c>
      <c r="M22" s="263" t="n">
        <v>281</v>
      </c>
    </row>
    <row r="23" ht="14" customHeight="1" s="227">
      <c r="A23" s="28" t="inlineStr">
        <is>
          <t>Ratanak Kiri</t>
        </is>
      </c>
      <c r="B23" s="263" t="n">
        <v>32</v>
      </c>
      <c r="C23" s="263" t="n">
        <v>32</v>
      </c>
      <c r="D23" s="263" t="n">
        <v>11</v>
      </c>
      <c r="E23" s="263" t="n">
        <v>0</v>
      </c>
      <c r="F23" s="263" t="n">
        <v>13</v>
      </c>
      <c r="G23" s="263" t="n">
        <v>21</v>
      </c>
      <c r="H23" s="263" t="n">
        <v>9</v>
      </c>
      <c r="I23" s="263" t="n">
        <v>26</v>
      </c>
      <c r="J23" s="263" t="n">
        <v>5</v>
      </c>
      <c r="K23" s="263" t="n">
        <v>16</v>
      </c>
      <c r="L23" s="263" t="n">
        <v>14</v>
      </c>
      <c r="M23" s="263" t="n">
        <v>299</v>
      </c>
    </row>
    <row r="24" ht="14" customHeight="1" s="227">
      <c r="A24" s="28" t="inlineStr">
        <is>
          <t>Siemreap</t>
        </is>
      </c>
      <c r="B24" s="263" t="n">
        <v>288</v>
      </c>
      <c r="C24" s="263" t="n">
        <v>450</v>
      </c>
      <c r="D24" s="263" t="n">
        <v>71</v>
      </c>
      <c r="E24" s="263" t="n">
        <v>7</v>
      </c>
      <c r="F24" s="263" t="n">
        <v>65</v>
      </c>
      <c r="G24" s="263" t="n">
        <v>95</v>
      </c>
      <c r="H24" s="263" t="n">
        <v>35</v>
      </c>
      <c r="I24" s="263" t="n">
        <v>134</v>
      </c>
      <c r="J24" s="263" t="n">
        <v>8</v>
      </c>
      <c r="K24" s="263" t="n">
        <v>79</v>
      </c>
      <c r="L24" s="263" t="n">
        <v>71</v>
      </c>
      <c r="M24" s="264" t="n">
        <v>1878</v>
      </c>
    </row>
    <row r="25" ht="14" customHeight="1" s="227">
      <c r="A25" s="28" t="inlineStr">
        <is>
          <t>Stung Treng</t>
        </is>
      </c>
      <c r="B25" s="263" t="n">
        <v>69</v>
      </c>
      <c r="C25" s="263" t="n">
        <v>46</v>
      </c>
      <c r="D25" s="263" t="n">
        <v>37</v>
      </c>
      <c r="E25" s="263" t="n">
        <v>6</v>
      </c>
      <c r="F25" s="263" t="n">
        <v>23</v>
      </c>
      <c r="G25" s="263" t="n">
        <v>31</v>
      </c>
      <c r="H25" s="263" t="n">
        <v>8</v>
      </c>
      <c r="I25" s="263" t="n">
        <v>53</v>
      </c>
      <c r="J25" s="263" t="n">
        <v>11</v>
      </c>
      <c r="K25" s="263" t="n">
        <v>20</v>
      </c>
      <c r="L25" s="263" t="n">
        <v>4</v>
      </c>
      <c r="M25" s="263" t="n">
        <v>92</v>
      </c>
    </row>
    <row r="26" ht="14" customHeight="1" s="227">
      <c r="A26" s="28" t="inlineStr">
        <is>
          <t>Svay Rieng</t>
        </is>
      </c>
      <c r="B26" s="263" t="n">
        <v>170</v>
      </c>
      <c r="C26" s="263" t="n">
        <v>241</v>
      </c>
      <c r="D26" s="263" t="n">
        <v>71</v>
      </c>
      <c r="E26" s="263" t="n">
        <v>6</v>
      </c>
      <c r="F26" s="263" t="n">
        <v>34</v>
      </c>
      <c r="G26" s="263" t="n">
        <v>89</v>
      </c>
      <c r="H26" s="263" t="n">
        <v>44</v>
      </c>
      <c r="I26" s="263" t="n">
        <v>327</v>
      </c>
      <c r="J26" s="263" t="n">
        <v>14</v>
      </c>
      <c r="K26" s="263" t="n">
        <v>91</v>
      </c>
      <c r="L26" s="263" t="n">
        <v>5</v>
      </c>
      <c r="M26" s="263" t="n">
        <v>529</v>
      </c>
    </row>
    <row r="27" ht="14" customHeight="1" s="227">
      <c r="A27" s="28" t="inlineStr">
        <is>
          <t>Takeo</t>
        </is>
      </c>
      <c r="B27" s="263" t="n">
        <v>333</v>
      </c>
      <c r="C27" s="263" t="n">
        <v>400</v>
      </c>
      <c r="D27" s="263" t="n">
        <v>121</v>
      </c>
      <c r="E27" s="263" t="n">
        <v>53</v>
      </c>
      <c r="F27" s="263" t="n">
        <v>83</v>
      </c>
      <c r="G27" s="263" t="n">
        <v>249</v>
      </c>
      <c r="H27" s="263" t="n">
        <v>36</v>
      </c>
      <c r="I27" s="263" t="n">
        <v>159</v>
      </c>
      <c r="J27" s="263" t="n">
        <v>63</v>
      </c>
      <c r="K27" s="263" t="n">
        <v>118</v>
      </c>
      <c r="L27" s="263" t="n">
        <v>58</v>
      </c>
      <c r="M27" s="263" t="n">
        <v>183</v>
      </c>
    </row>
    <row r="28" ht="14" customHeight="1" s="227">
      <c r="A28" s="28" t="inlineStr">
        <is>
          <t>Tbaung Khmum</t>
        </is>
      </c>
      <c r="B28" s="263" t="n">
        <v>202</v>
      </c>
      <c r="C28" s="263" t="n">
        <v>196</v>
      </c>
      <c r="D28" s="263" t="n">
        <v>47</v>
      </c>
      <c r="E28" s="263" t="n">
        <v>13</v>
      </c>
      <c r="F28" s="263" t="n">
        <v>43</v>
      </c>
      <c r="G28" s="263" t="n">
        <v>63</v>
      </c>
      <c r="H28" s="263" t="n">
        <v>12</v>
      </c>
      <c r="I28" s="263" t="n">
        <v>151</v>
      </c>
      <c r="J28" s="263" t="n">
        <v>13</v>
      </c>
      <c r="K28" s="263" t="n">
        <v>53</v>
      </c>
      <c r="L28" s="263" t="n">
        <v>94</v>
      </c>
      <c r="M28" s="263" t="n">
        <v>388</v>
      </c>
    </row>
    <row r="29" ht="17" customHeight="1" s="227">
      <c r="A29" s="22" t="inlineStr">
        <is>
          <t>Whole Kingdom</t>
        </is>
      </c>
      <c r="B29" s="264" t="n">
        <v>4115</v>
      </c>
      <c r="C29" s="264" t="n">
        <v>4775</v>
      </c>
      <c r="D29" s="264" t="n">
        <v>1732</v>
      </c>
      <c r="E29" s="263" t="n">
        <v>513</v>
      </c>
      <c r="F29" s="264" t="n">
        <v>1244</v>
      </c>
      <c r="G29" s="264" t="n">
        <v>2579</v>
      </c>
      <c r="H29" s="263" t="n">
        <v>552</v>
      </c>
      <c r="I29" s="264" t="n">
        <v>3235</v>
      </c>
      <c r="J29" s="263" t="n">
        <v>498</v>
      </c>
      <c r="K29" s="264" t="n">
        <v>1880</v>
      </c>
      <c r="L29" s="263" t="n">
        <v>856</v>
      </c>
      <c r="M29" s="264" t="n">
        <v>8016</v>
      </c>
    </row>
    <row r="30" ht="14" customHeight="1" s="227">
      <c r="A30" s="28" t="inlineStr">
        <is>
          <t>-  Urban Area</t>
        </is>
      </c>
      <c r="B30" s="263" t="n">
        <v>605</v>
      </c>
      <c r="C30" s="263" t="n">
        <v>827</v>
      </c>
      <c r="D30" s="263" t="n">
        <v>615</v>
      </c>
      <c r="E30" s="263" t="n">
        <v>257</v>
      </c>
      <c r="F30" s="263" t="n">
        <v>333</v>
      </c>
      <c r="G30" s="263" t="n">
        <v>605</v>
      </c>
      <c r="H30" s="263" t="n">
        <v>163</v>
      </c>
      <c r="I30" s="263" t="n">
        <v>416</v>
      </c>
      <c r="J30" s="263" t="n">
        <v>195</v>
      </c>
      <c r="K30" s="263" t="n">
        <v>387</v>
      </c>
      <c r="L30" s="263" t="n">
        <v>12</v>
      </c>
      <c r="M30" s="263" t="n">
        <v>460</v>
      </c>
    </row>
    <row r="31" ht="14" customHeight="1" s="227">
      <c r="A31" s="28" t="inlineStr">
        <is>
          <t>-  Rural Area</t>
        </is>
      </c>
      <c r="B31" s="264" t="n">
        <v>3510</v>
      </c>
      <c r="C31" s="264" t="n">
        <v>3948</v>
      </c>
      <c r="D31" s="264" t="n">
        <v>1117</v>
      </c>
      <c r="E31" s="263" t="n">
        <v>256</v>
      </c>
      <c r="F31" s="263" t="n">
        <v>911</v>
      </c>
      <c r="G31" s="264" t="n">
        <v>1974</v>
      </c>
      <c r="H31" s="263" t="n">
        <v>389</v>
      </c>
      <c r="I31" s="264" t="n">
        <v>2819</v>
      </c>
      <c r="J31" s="263" t="n">
        <v>303</v>
      </c>
      <c r="K31" s="264" t="n">
        <v>1493</v>
      </c>
      <c r="L31" s="263" t="n">
        <v>844</v>
      </c>
      <c r="M31" s="264" t="n">
        <v>7556</v>
      </c>
    </row>
  </sheetData>
  <mergeCells count="3">
    <mergeCell ref="A2:A3"/>
    <mergeCell ref="A1:M1"/>
    <mergeCell ref="B2:K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FFC000"/>
    <outlinePr summaryBelow="1" summaryRight="1"/>
    <pageSetUpPr/>
  </sheetPr>
  <dimension ref="A1:T31"/>
  <sheetViews>
    <sheetView tabSelected="1" workbookViewId="0">
      <selection activeCell="A1" sqref="A1"/>
    </sheetView>
  </sheetViews>
  <sheetFormatPr baseColWidth="8" defaultRowHeight="15"/>
  <cols>
    <col width="22.888889" customWidth="1" style="227" min="1" max="1"/>
    <col width="7.333333" customWidth="1" style="227" min="2" max="2"/>
    <col width="7.333333" customWidth="1" style="227" min="3" max="3"/>
    <col width="7.555556" customWidth="1" style="227" min="4" max="4"/>
    <col width="7.333333" customWidth="1" style="227" min="5" max="5"/>
    <col width="7.333333" customWidth="1" style="227" min="6" max="6"/>
    <col width="7.333333" customWidth="1" style="227" min="7" max="7"/>
    <col width="7.555556" customWidth="1" style="227" min="8" max="8"/>
    <col width="7.333333" customWidth="1" style="227" min="9" max="9"/>
    <col width="7.555556" customWidth="1" style="227" min="10" max="10"/>
    <col width="7.555556" customWidth="1" style="227" min="11" max="11"/>
    <col width="7.333333" customWidth="1" style="227" min="12" max="12"/>
    <col width="7.555556" customWidth="1" style="227" min="13" max="13"/>
    <col width="7.333333" customWidth="1" style="227" min="14" max="14"/>
    <col width="7.333333" customWidth="1" style="227" min="15" max="15"/>
    <col width="7.333333" customWidth="1" style="227" min="16" max="16"/>
    <col width="7.555556" customWidth="1" style="227" min="17" max="17"/>
    <col width="7.333333" customWidth="1" style="227" min="18" max="18"/>
    <col width="7.333333" customWidth="1" style="227" min="19" max="19"/>
    <col width="8.666667" customWidth="1" style="227" min="20" max="20"/>
  </cols>
  <sheetData>
    <row r="1" ht="25" customHeight="1" s="227">
      <c r="A1" s="2" t="inlineStr">
        <is>
          <t>Table 21: Teaching Staff and Pedagogical Trainning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  <c r="Q1" s="256" t="n"/>
      <c r="R1" s="256" t="n"/>
      <c r="S1" s="256" t="n"/>
      <c r="T1" s="256" t="n"/>
    </row>
    <row r="2" ht="19" customHeight="1" s="227">
      <c r="A2" s="3" t="inlineStr">
        <is>
          <t>Province</t>
        </is>
      </c>
      <c r="B2" s="20" t="inlineStr">
        <is>
          <t>Preschool Level</t>
        </is>
      </c>
      <c r="C2" s="269" t="n"/>
      <c r="D2" s="269" t="n"/>
      <c r="E2" s="269" t="n"/>
      <c r="F2" s="269" t="n"/>
      <c r="G2" s="257" t="n"/>
      <c r="H2" s="20" t="inlineStr">
        <is>
          <t>Primary Level</t>
        </is>
      </c>
      <c r="I2" s="269" t="n"/>
      <c r="J2" s="269" t="n"/>
      <c r="K2" s="269" t="n"/>
      <c r="L2" s="269" t="n"/>
      <c r="M2" s="257" t="n"/>
      <c r="N2" s="20" t="inlineStr">
        <is>
          <t>Secondary Level</t>
        </is>
      </c>
      <c r="O2" s="269" t="n"/>
      <c r="P2" s="269" t="n"/>
      <c r="Q2" s="269" t="n"/>
      <c r="R2" s="269" t="n"/>
      <c r="S2" s="257" t="n"/>
      <c r="T2" s="39" t="inlineStr">
        <is>
          <t>w/o Pedag.</t>
        </is>
      </c>
    </row>
    <row r="3" ht="20" customHeight="1" s="227">
      <c r="A3" s="258" t="n"/>
      <c r="B3" s="52" t="inlineStr">
        <is>
          <t>Primary</t>
        </is>
      </c>
      <c r="C3" s="52" t="inlineStr">
        <is>
          <t>L.Sec.</t>
        </is>
      </c>
      <c r="D3" s="52" t="inlineStr">
        <is>
          <t>U.Sec.</t>
        </is>
      </c>
      <c r="E3" s="40" t="inlineStr">
        <is>
          <t>Graduate</t>
        </is>
      </c>
      <c r="F3" s="78" t="inlineStr">
        <is>
          <t>Post
Graduate</t>
        </is>
      </c>
      <c r="G3" s="21" t="inlineStr">
        <is>
          <t>PhD</t>
        </is>
      </c>
      <c r="H3" s="40" t="inlineStr">
        <is>
          <t>Primary</t>
        </is>
      </c>
      <c r="I3" s="52" t="inlineStr">
        <is>
          <t>L.Sec.</t>
        </is>
      </c>
      <c r="J3" s="52" t="inlineStr">
        <is>
          <t>U.Sec.</t>
        </is>
      </c>
      <c r="K3" s="40" t="inlineStr">
        <is>
          <t>Graduate</t>
        </is>
      </c>
      <c r="L3" s="78" t="inlineStr">
        <is>
          <t>Post
Graduate</t>
        </is>
      </c>
      <c r="M3" s="21" t="inlineStr">
        <is>
          <t>PhD</t>
        </is>
      </c>
      <c r="N3" s="40" t="inlineStr">
        <is>
          <t>Primary</t>
        </is>
      </c>
      <c r="O3" s="52" t="inlineStr">
        <is>
          <t>L.Sec.</t>
        </is>
      </c>
      <c r="P3" s="52" t="inlineStr">
        <is>
          <t>U.Sec.</t>
        </is>
      </c>
      <c r="Q3" s="40" t="inlineStr">
        <is>
          <t>Graduate</t>
        </is>
      </c>
      <c r="R3" s="78" t="inlineStr">
        <is>
          <t>Post
Graduate</t>
        </is>
      </c>
      <c r="S3" s="21" t="inlineStr">
        <is>
          <t>PhD</t>
        </is>
      </c>
      <c r="T3" s="41" t="inlineStr">
        <is>
          <t>Training</t>
        </is>
      </c>
    </row>
    <row r="4" ht="14" customHeight="1" s="227">
      <c r="A4" s="28" t="inlineStr">
        <is>
          <t>Banteay Meanchey</t>
        </is>
      </c>
      <c r="B4" s="263" t="n">
        <v>1</v>
      </c>
      <c r="C4" s="263" t="n">
        <v>21</v>
      </c>
      <c r="D4" s="263" t="n">
        <v>55</v>
      </c>
      <c r="E4" s="266" t="n">
        <v>8</v>
      </c>
      <c r="F4" s="263" t="n">
        <v>0</v>
      </c>
      <c r="G4" s="263" t="n">
        <v>0</v>
      </c>
      <c r="H4" s="266" t="n">
        <v>46</v>
      </c>
      <c r="I4" s="263" t="n">
        <v>665</v>
      </c>
      <c r="J4" s="264" t="n">
        <v>1847</v>
      </c>
      <c r="K4" s="274" t="n">
        <v>337</v>
      </c>
      <c r="L4" s="263" t="n">
        <v>11</v>
      </c>
      <c r="M4" s="263" t="n">
        <v>0</v>
      </c>
      <c r="N4" s="266" t="n">
        <v>2</v>
      </c>
      <c r="O4" s="263" t="n">
        <v>93</v>
      </c>
      <c r="P4" s="263" t="n">
        <v>795</v>
      </c>
      <c r="Q4" s="274" t="n">
        <v>843</v>
      </c>
      <c r="R4" s="263" t="n">
        <v>40</v>
      </c>
      <c r="S4" s="263" t="n">
        <v>0</v>
      </c>
      <c r="T4" s="266" t="n">
        <v>11</v>
      </c>
    </row>
    <row r="5" ht="14" customHeight="1" s="227">
      <c r="A5" s="28" t="inlineStr">
        <is>
          <t>Battambang</t>
        </is>
      </c>
      <c r="B5" s="266" t="n">
        <v>17</v>
      </c>
      <c r="C5" s="263" t="n">
        <v>147</v>
      </c>
      <c r="D5" s="263" t="n">
        <v>344</v>
      </c>
      <c r="E5" s="274" t="n">
        <v>109</v>
      </c>
      <c r="F5" s="263" t="n">
        <v>4</v>
      </c>
      <c r="G5" s="263" t="n">
        <v>0</v>
      </c>
      <c r="H5" s="266" t="n">
        <v>60</v>
      </c>
      <c r="I5" s="263" t="n">
        <v>753</v>
      </c>
      <c r="J5" s="264" t="n">
        <v>1928</v>
      </c>
      <c r="K5" s="274" t="n">
        <v>867</v>
      </c>
      <c r="L5" s="263" t="n">
        <v>27</v>
      </c>
      <c r="M5" s="263" t="n">
        <v>0</v>
      </c>
      <c r="N5" s="266" t="n">
        <v>2</v>
      </c>
      <c r="O5" s="263" t="n">
        <v>232</v>
      </c>
      <c r="P5" s="264" t="n">
        <v>1178</v>
      </c>
      <c r="Q5" s="275" t="n">
        <v>1170</v>
      </c>
      <c r="R5" s="263" t="n">
        <v>114</v>
      </c>
      <c r="S5" s="263" t="n">
        <v>5</v>
      </c>
      <c r="T5" s="266" t="n">
        <v>47</v>
      </c>
    </row>
    <row r="6" ht="14" customHeight="1" s="227">
      <c r="A6" s="28" t="inlineStr">
        <is>
          <t>Kampong Cham</t>
        </is>
      </c>
      <c r="B6" s="266" t="n">
        <v>21</v>
      </c>
      <c r="C6" s="263" t="n">
        <v>138</v>
      </c>
      <c r="D6" s="263" t="n">
        <v>199</v>
      </c>
      <c r="E6" s="266" t="n">
        <v>9</v>
      </c>
      <c r="F6" s="263" t="n">
        <v>0</v>
      </c>
      <c r="G6" s="263" t="n">
        <v>0</v>
      </c>
      <c r="H6" s="266" t="n">
        <v>60</v>
      </c>
      <c r="I6" s="263" t="n">
        <v>976</v>
      </c>
      <c r="J6" s="264" t="n">
        <v>1454</v>
      </c>
      <c r="K6" s="274" t="n">
        <v>108</v>
      </c>
      <c r="L6" s="263" t="n">
        <v>3</v>
      </c>
      <c r="M6" s="263" t="n">
        <v>0</v>
      </c>
      <c r="N6" s="266" t="n">
        <v>46</v>
      </c>
      <c r="O6" s="263" t="n">
        <v>599</v>
      </c>
      <c r="P6" s="264" t="n">
        <v>1390</v>
      </c>
      <c r="Q6" s="274" t="n">
        <v>797</v>
      </c>
      <c r="R6" s="263" t="n">
        <v>35</v>
      </c>
      <c r="S6" s="263" t="n">
        <v>0</v>
      </c>
      <c r="T6" s="266" t="n">
        <v>62</v>
      </c>
    </row>
    <row r="7" ht="14" customHeight="1" s="227">
      <c r="A7" s="28" t="inlineStr">
        <is>
          <t>Kampong Chhnang</t>
        </is>
      </c>
      <c r="B7" s="263" t="n">
        <v>2</v>
      </c>
      <c r="C7" s="263" t="n">
        <v>64</v>
      </c>
      <c r="D7" s="263" t="n">
        <v>75</v>
      </c>
      <c r="E7" s="266" t="n">
        <v>11</v>
      </c>
      <c r="F7" s="263" t="n">
        <v>0</v>
      </c>
      <c r="G7" s="263" t="n">
        <v>0</v>
      </c>
      <c r="H7" s="266" t="n">
        <v>11</v>
      </c>
      <c r="I7" s="263" t="n">
        <v>302</v>
      </c>
      <c r="J7" s="264" t="n">
        <v>1215</v>
      </c>
      <c r="K7" s="274" t="n">
        <v>249</v>
      </c>
      <c r="L7" s="263" t="n">
        <v>2</v>
      </c>
      <c r="M7" s="263" t="n">
        <v>0</v>
      </c>
      <c r="N7" s="266" t="n">
        <v>6</v>
      </c>
      <c r="O7" s="263" t="n">
        <v>229</v>
      </c>
      <c r="P7" s="263" t="n">
        <v>622</v>
      </c>
      <c r="Q7" s="274" t="n">
        <v>672</v>
      </c>
      <c r="R7" s="263" t="n">
        <v>38</v>
      </c>
      <c r="S7" s="263" t="n">
        <v>0</v>
      </c>
      <c r="T7" s="263" t="n">
        <v>6</v>
      </c>
    </row>
    <row r="8" ht="14" customHeight="1" s="227">
      <c r="A8" s="28" t="inlineStr">
        <is>
          <t>Kampong Speu</t>
        </is>
      </c>
      <c r="B8" s="266" t="n">
        <v>14</v>
      </c>
      <c r="C8" s="263" t="n">
        <v>93</v>
      </c>
      <c r="D8" s="263" t="n">
        <v>149</v>
      </c>
      <c r="E8" s="266" t="n">
        <v>14</v>
      </c>
      <c r="F8" s="263" t="n">
        <v>0</v>
      </c>
      <c r="G8" s="263" t="n">
        <v>0</v>
      </c>
      <c r="H8" s="266" t="n">
        <v>28</v>
      </c>
      <c r="I8" s="263" t="n">
        <v>586</v>
      </c>
      <c r="J8" s="264" t="n">
        <v>1301</v>
      </c>
      <c r="K8" s="274" t="n">
        <v>302</v>
      </c>
      <c r="L8" s="263" t="n">
        <v>8</v>
      </c>
      <c r="M8" s="263" t="n">
        <v>0</v>
      </c>
      <c r="N8" s="266" t="n">
        <v>11</v>
      </c>
      <c r="O8" s="263" t="n">
        <v>242</v>
      </c>
      <c r="P8" s="263" t="n">
        <v>724</v>
      </c>
      <c r="Q8" s="274" t="n">
        <v>960</v>
      </c>
      <c r="R8" s="263" t="n">
        <v>39</v>
      </c>
      <c r="S8" s="263" t="n">
        <v>0</v>
      </c>
      <c r="T8" s="263" t="n">
        <v>7</v>
      </c>
    </row>
    <row r="9" ht="14" customHeight="1" s="227">
      <c r="A9" s="28" t="inlineStr">
        <is>
          <t>Kampong Thom</t>
        </is>
      </c>
      <c r="B9" s="263" t="n">
        <v>7</v>
      </c>
      <c r="C9" s="263" t="n">
        <v>64</v>
      </c>
      <c r="D9" s="263" t="n">
        <v>189</v>
      </c>
      <c r="E9" s="266" t="n">
        <v>27</v>
      </c>
      <c r="F9" s="263" t="n">
        <v>0</v>
      </c>
      <c r="G9" s="263" t="n">
        <v>0</v>
      </c>
      <c r="H9" s="266" t="n">
        <v>48</v>
      </c>
      <c r="I9" s="263" t="n">
        <v>422</v>
      </c>
      <c r="J9" s="264" t="n">
        <v>1435</v>
      </c>
      <c r="K9" s="274" t="n">
        <v>508</v>
      </c>
      <c r="L9" s="263" t="n">
        <v>12</v>
      </c>
      <c r="M9" s="263" t="n">
        <v>0</v>
      </c>
      <c r="N9" s="266" t="n">
        <v>8</v>
      </c>
      <c r="O9" s="263" t="n">
        <v>183</v>
      </c>
      <c r="P9" s="263" t="n">
        <v>772</v>
      </c>
      <c r="Q9" s="274" t="n">
        <v>697</v>
      </c>
      <c r="R9" s="263" t="n">
        <v>63</v>
      </c>
      <c r="S9" s="263" t="n">
        <v>0</v>
      </c>
      <c r="T9" s="266" t="n">
        <v>99</v>
      </c>
    </row>
    <row r="10" ht="14" customHeight="1" s="227">
      <c r="A10" s="28" t="inlineStr">
        <is>
          <t>Kampot</t>
        </is>
      </c>
      <c r="B10" s="263" t="n">
        <v>6</v>
      </c>
      <c r="C10" s="263" t="n">
        <v>75</v>
      </c>
      <c r="D10" s="263" t="n">
        <v>163</v>
      </c>
      <c r="E10" s="266" t="n">
        <v>11</v>
      </c>
      <c r="F10" s="263" t="n">
        <v>0</v>
      </c>
      <c r="G10" s="263" t="n">
        <v>0</v>
      </c>
      <c r="H10" s="266" t="n">
        <v>19</v>
      </c>
      <c r="I10" s="263" t="n">
        <v>462</v>
      </c>
      <c r="J10" s="264" t="n">
        <v>1504</v>
      </c>
      <c r="K10" s="274" t="n">
        <v>311</v>
      </c>
      <c r="L10" s="263" t="n">
        <v>9</v>
      </c>
      <c r="M10" s="263" t="n">
        <v>0</v>
      </c>
      <c r="N10" s="266" t="n">
        <v>76</v>
      </c>
      <c r="O10" s="263" t="n">
        <v>291</v>
      </c>
      <c r="P10" s="263" t="n">
        <v>975</v>
      </c>
      <c r="Q10" s="274" t="n">
        <v>803</v>
      </c>
      <c r="R10" s="263" t="n">
        <v>42</v>
      </c>
      <c r="S10" s="263" t="n">
        <v>0</v>
      </c>
      <c r="T10" s="266" t="n">
        <v>18</v>
      </c>
    </row>
    <row r="11" ht="14" customHeight="1" s="227">
      <c r="A11" s="28" t="inlineStr">
        <is>
          <t>Kandal</t>
        </is>
      </c>
      <c r="B11" s="266" t="n">
        <v>19</v>
      </c>
      <c r="C11" s="263" t="n">
        <v>181</v>
      </c>
      <c r="D11" s="263" t="n">
        <v>254</v>
      </c>
      <c r="E11" s="266" t="n">
        <v>37</v>
      </c>
      <c r="F11" s="263" t="n">
        <v>0</v>
      </c>
      <c r="G11" s="263" t="n">
        <v>0</v>
      </c>
      <c r="H11" s="266" t="n">
        <v>54</v>
      </c>
      <c r="I11" s="263" t="n">
        <v>785</v>
      </c>
      <c r="J11" s="264" t="n">
        <v>1418</v>
      </c>
      <c r="K11" s="274" t="n">
        <v>198</v>
      </c>
      <c r="L11" s="263" t="n">
        <v>3</v>
      </c>
      <c r="M11" s="263" t="n">
        <v>0</v>
      </c>
      <c r="N11" s="266" t="n">
        <v>57</v>
      </c>
      <c r="O11" s="263" t="n">
        <v>472</v>
      </c>
      <c r="P11" s="264" t="n">
        <v>1752</v>
      </c>
      <c r="Q11" s="275" t="n">
        <v>1876</v>
      </c>
      <c r="R11" s="263" t="n">
        <v>140</v>
      </c>
      <c r="S11" s="263" t="n">
        <v>0</v>
      </c>
      <c r="T11" s="266" t="n">
        <v>72</v>
      </c>
    </row>
    <row r="12" ht="14" customHeight="1" s="227">
      <c r="A12" s="28" t="inlineStr">
        <is>
          <t>Kep</t>
        </is>
      </c>
      <c r="B12" s="263" t="n">
        <v>0</v>
      </c>
      <c r="C12" s="263" t="n">
        <v>3</v>
      </c>
      <c r="D12" s="263" t="n">
        <v>24</v>
      </c>
      <c r="E12" s="266" t="n">
        <v>3</v>
      </c>
      <c r="F12" s="263" t="n">
        <v>0</v>
      </c>
      <c r="G12" s="263" t="n">
        <v>0</v>
      </c>
      <c r="H12" s="266" t="n">
        <v>0</v>
      </c>
      <c r="I12" s="263" t="n">
        <v>12</v>
      </c>
      <c r="J12" s="263" t="n">
        <v>129</v>
      </c>
      <c r="K12" s="266" t="n">
        <v>61</v>
      </c>
      <c r="L12" s="263" t="n">
        <v>0</v>
      </c>
      <c r="M12" s="263" t="n">
        <v>0</v>
      </c>
      <c r="N12" s="266" t="n">
        <v>0</v>
      </c>
      <c r="O12" s="263" t="n">
        <v>6</v>
      </c>
      <c r="P12" s="263" t="n">
        <v>120</v>
      </c>
      <c r="Q12" s="266" t="n">
        <v>94</v>
      </c>
      <c r="R12" s="263" t="n">
        <v>3</v>
      </c>
      <c r="S12" s="263" t="n">
        <v>0</v>
      </c>
      <c r="T12" s="263" t="n">
        <v>5</v>
      </c>
    </row>
    <row r="13" ht="14" customHeight="1" s="227">
      <c r="A13" s="28" t="inlineStr">
        <is>
          <t>Koh Kong</t>
        </is>
      </c>
      <c r="B13" s="263" t="n">
        <v>1</v>
      </c>
      <c r="C13" s="263" t="n">
        <v>11</v>
      </c>
      <c r="D13" s="263" t="n">
        <v>19</v>
      </c>
      <c r="E13" s="266" t="n">
        <v>0</v>
      </c>
      <c r="F13" s="263" t="n">
        <v>0</v>
      </c>
      <c r="G13" s="263" t="n">
        <v>0</v>
      </c>
      <c r="H13" s="266" t="n">
        <v>11</v>
      </c>
      <c r="I13" s="263" t="n">
        <v>115</v>
      </c>
      <c r="J13" s="263" t="n">
        <v>473</v>
      </c>
      <c r="K13" s="266" t="n">
        <v>16</v>
      </c>
      <c r="L13" s="263" t="n">
        <v>0</v>
      </c>
      <c r="M13" s="263" t="n">
        <v>0</v>
      </c>
      <c r="N13" s="266" t="n">
        <v>0</v>
      </c>
      <c r="O13" s="263" t="n">
        <v>15</v>
      </c>
      <c r="P13" s="263" t="n">
        <v>261</v>
      </c>
      <c r="Q13" s="274" t="n">
        <v>134</v>
      </c>
      <c r="R13" s="263" t="n">
        <v>1</v>
      </c>
      <c r="S13" s="263" t="n">
        <v>0</v>
      </c>
      <c r="T13" s="263" t="n">
        <v>3</v>
      </c>
    </row>
    <row r="14" ht="14" customHeight="1" s="227">
      <c r="A14" s="28" t="inlineStr">
        <is>
          <t>Kratie</t>
        </is>
      </c>
      <c r="B14" s="266" t="n">
        <v>18</v>
      </c>
      <c r="C14" s="263" t="n">
        <v>63</v>
      </c>
      <c r="D14" s="263" t="n">
        <v>55</v>
      </c>
      <c r="E14" s="266" t="n">
        <v>0</v>
      </c>
      <c r="F14" s="263" t="n">
        <v>0</v>
      </c>
      <c r="G14" s="263" t="n">
        <v>0</v>
      </c>
      <c r="H14" s="266" t="n">
        <v>34</v>
      </c>
      <c r="I14" s="263" t="n">
        <v>416</v>
      </c>
      <c r="J14" s="263" t="n">
        <v>994</v>
      </c>
      <c r="K14" s="266" t="n">
        <v>29</v>
      </c>
      <c r="L14" s="263" t="n">
        <v>2</v>
      </c>
      <c r="M14" s="263" t="n">
        <v>0</v>
      </c>
      <c r="N14" s="266" t="n">
        <v>22</v>
      </c>
      <c r="O14" s="263" t="n">
        <v>178</v>
      </c>
      <c r="P14" s="263" t="n">
        <v>557</v>
      </c>
      <c r="Q14" s="274" t="n">
        <v>204</v>
      </c>
      <c r="R14" s="263" t="n">
        <v>1</v>
      </c>
      <c r="S14" s="263" t="n">
        <v>0</v>
      </c>
      <c r="T14" s="266" t="n">
        <v>31</v>
      </c>
    </row>
    <row r="15" ht="14" customHeight="1" s="227">
      <c r="A15" s="28" t="inlineStr">
        <is>
          <t>Mondul Kiri</t>
        </is>
      </c>
      <c r="B15" s="263" t="n">
        <v>0</v>
      </c>
      <c r="C15" s="263" t="n">
        <v>14</v>
      </c>
      <c r="D15" s="263" t="n">
        <v>16</v>
      </c>
      <c r="E15" s="266" t="n">
        <v>0</v>
      </c>
      <c r="F15" s="263" t="n">
        <v>0</v>
      </c>
      <c r="G15" s="263" t="n">
        <v>0</v>
      </c>
      <c r="H15" s="266" t="n">
        <v>23</v>
      </c>
      <c r="I15" s="263" t="n">
        <v>242</v>
      </c>
      <c r="J15" s="263" t="n">
        <v>294</v>
      </c>
      <c r="K15" s="266" t="n">
        <v>4</v>
      </c>
      <c r="L15" s="263" t="n">
        <v>0</v>
      </c>
      <c r="M15" s="263" t="n">
        <v>0</v>
      </c>
      <c r="N15" s="266" t="n">
        <v>0</v>
      </c>
      <c r="O15" s="263" t="n">
        <v>0</v>
      </c>
      <c r="P15" s="263" t="n">
        <v>163</v>
      </c>
      <c r="Q15" s="266" t="n">
        <v>56</v>
      </c>
      <c r="R15" s="263" t="n">
        <v>0</v>
      </c>
      <c r="S15" s="263" t="n">
        <v>0</v>
      </c>
      <c r="T15" s="263" t="n">
        <v>0</v>
      </c>
    </row>
    <row r="16" ht="14" customHeight="1" s="227">
      <c r="A16" s="28" t="inlineStr">
        <is>
          <t>Otdar Meanchey</t>
        </is>
      </c>
      <c r="B16" s="263" t="n">
        <v>5</v>
      </c>
      <c r="C16" s="263" t="n">
        <v>17</v>
      </c>
      <c r="D16" s="263" t="n">
        <v>61</v>
      </c>
      <c r="E16" s="266" t="n">
        <v>0</v>
      </c>
      <c r="F16" s="263" t="n">
        <v>0</v>
      </c>
      <c r="G16" s="263" t="n">
        <v>0</v>
      </c>
      <c r="H16" s="266" t="n">
        <v>80</v>
      </c>
      <c r="I16" s="263" t="n">
        <v>225</v>
      </c>
      <c r="J16" s="263" t="n">
        <v>625</v>
      </c>
      <c r="K16" s="266" t="n">
        <v>27</v>
      </c>
      <c r="L16" s="263" t="n">
        <v>1</v>
      </c>
      <c r="M16" s="263" t="n">
        <v>0</v>
      </c>
      <c r="N16" s="266" t="n">
        <v>0</v>
      </c>
      <c r="O16" s="263" t="n">
        <v>34</v>
      </c>
      <c r="P16" s="263" t="n">
        <v>281</v>
      </c>
      <c r="Q16" s="274" t="n">
        <v>162</v>
      </c>
      <c r="R16" s="263" t="n">
        <v>8</v>
      </c>
      <c r="S16" s="263" t="n">
        <v>0</v>
      </c>
      <c r="T16" s="263" t="n">
        <v>9</v>
      </c>
    </row>
    <row r="17" ht="14" customHeight="1" s="227">
      <c r="A17" s="28" t="inlineStr">
        <is>
          <t>Pailin</t>
        </is>
      </c>
      <c r="B17" s="263" t="n">
        <v>0</v>
      </c>
      <c r="C17" s="263" t="n">
        <v>4</v>
      </c>
      <c r="D17" s="263" t="n">
        <v>26</v>
      </c>
      <c r="E17" s="266" t="n">
        <v>3</v>
      </c>
      <c r="F17" s="263" t="n">
        <v>0</v>
      </c>
      <c r="G17" s="263" t="n">
        <v>0</v>
      </c>
      <c r="H17" s="266" t="n">
        <v>11</v>
      </c>
      <c r="I17" s="263" t="n">
        <v>43</v>
      </c>
      <c r="J17" s="263" t="n">
        <v>208</v>
      </c>
      <c r="K17" s="266" t="n">
        <v>30</v>
      </c>
      <c r="L17" s="263" t="n">
        <v>1</v>
      </c>
      <c r="M17" s="263" t="n">
        <v>0</v>
      </c>
      <c r="N17" s="266" t="n">
        <v>0</v>
      </c>
      <c r="O17" s="263" t="n">
        <v>2</v>
      </c>
      <c r="P17" s="263" t="n">
        <v>217</v>
      </c>
      <c r="Q17" s="266" t="n">
        <v>80</v>
      </c>
      <c r="R17" s="263" t="n">
        <v>0</v>
      </c>
      <c r="S17" s="263" t="n">
        <v>0</v>
      </c>
      <c r="T17" s="263" t="n">
        <v>4</v>
      </c>
    </row>
    <row r="18" ht="14" customHeight="1" s="227">
      <c r="A18" s="28" t="inlineStr">
        <is>
          <t>Phnom Penh</t>
        </is>
      </c>
      <c r="B18" s="266" t="n">
        <v>11</v>
      </c>
      <c r="C18" s="263" t="n">
        <v>146</v>
      </c>
      <c r="D18" s="263" t="n">
        <v>139</v>
      </c>
      <c r="E18" s="266" t="n">
        <v>31</v>
      </c>
      <c r="F18" s="263" t="n">
        <v>1</v>
      </c>
      <c r="G18" s="263" t="n">
        <v>0</v>
      </c>
      <c r="H18" s="266" t="n">
        <v>40</v>
      </c>
      <c r="I18" s="263" t="n">
        <v>915</v>
      </c>
      <c r="J18" s="264" t="n">
        <v>2079</v>
      </c>
      <c r="K18" s="274" t="n">
        <v>559</v>
      </c>
      <c r="L18" s="263" t="n">
        <v>54</v>
      </c>
      <c r="M18" s="263" t="n">
        <v>0</v>
      </c>
      <c r="N18" s="274" t="n">
        <v>187</v>
      </c>
      <c r="O18" s="263" t="n">
        <v>814</v>
      </c>
      <c r="P18" s="264" t="n">
        <v>1908</v>
      </c>
      <c r="Q18" s="275" t="n">
        <v>2593</v>
      </c>
      <c r="R18" s="263" t="n">
        <v>373</v>
      </c>
      <c r="S18" s="263" t="n">
        <v>2</v>
      </c>
      <c r="T18" s="266" t="n">
        <v>20</v>
      </c>
    </row>
    <row r="19" ht="14" customHeight="1" s="227">
      <c r="A19" s="28" t="inlineStr">
        <is>
          <t>Preah Sihanouk</t>
        </is>
      </c>
      <c r="B19" s="263" t="n">
        <v>3</v>
      </c>
      <c r="C19" s="263" t="n">
        <v>20</v>
      </c>
      <c r="D19" s="263" t="n">
        <v>28</v>
      </c>
      <c r="E19" s="266" t="n">
        <v>3</v>
      </c>
      <c r="F19" s="263" t="n">
        <v>0</v>
      </c>
      <c r="G19" s="263" t="n">
        <v>0</v>
      </c>
      <c r="H19" s="266" t="n">
        <v>4</v>
      </c>
      <c r="I19" s="263" t="n">
        <v>139</v>
      </c>
      <c r="J19" s="263" t="n">
        <v>591</v>
      </c>
      <c r="K19" s="266" t="n">
        <v>95</v>
      </c>
      <c r="L19" s="263" t="n">
        <v>2</v>
      </c>
      <c r="M19" s="263" t="n">
        <v>0</v>
      </c>
      <c r="N19" s="266" t="n">
        <v>17</v>
      </c>
      <c r="O19" s="263" t="n">
        <v>37</v>
      </c>
      <c r="P19" s="263" t="n">
        <v>325</v>
      </c>
      <c r="Q19" s="274" t="n">
        <v>288</v>
      </c>
      <c r="R19" s="263" t="n">
        <v>25</v>
      </c>
      <c r="S19" s="263" t="n">
        <v>0</v>
      </c>
      <c r="T19" s="263" t="n">
        <v>3</v>
      </c>
    </row>
    <row r="20" ht="14" customHeight="1" s="227">
      <c r="A20" s="28" t="inlineStr">
        <is>
          <t>Preah Vihear</t>
        </is>
      </c>
      <c r="B20" s="266" t="n">
        <v>14</v>
      </c>
      <c r="C20" s="263" t="n">
        <v>16</v>
      </c>
      <c r="D20" s="263" t="n">
        <v>43</v>
      </c>
      <c r="E20" s="266" t="n">
        <v>0</v>
      </c>
      <c r="F20" s="263" t="n">
        <v>0</v>
      </c>
      <c r="G20" s="263" t="n">
        <v>0</v>
      </c>
      <c r="H20" s="266" t="n">
        <v>92</v>
      </c>
      <c r="I20" s="263" t="n">
        <v>295</v>
      </c>
      <c r="J20" s="263" t="n">
        <v>782</v>
      </c>
      <c r="K20" s="266" t="n">
        <v>34</v>
      </c>
      <c r="L20" s="263" t="n">
        <v>0</v>
      </c>
      <c r="M20" s="263" t="n">
        <v>0</v>
      </c>
      <c r="N20" s="266" t="n">
        <v>7</v>
      </c>
      <c r="O20" s="263" t="n">
        <v>29</v>
      </c>
      <c r="P20" s="263" t="n">
        <v>455</v>
      </c>
      <c r="Q20" s="274" t="n">
        <v>223</v>
      </c>
      <c r="R20" s="263" t="n">
        <v>9</v>
      </c>
      <c r="S20" s="263" t="n">
        <v>0</v>
      </c>
      <c r="T20" s="266" t="n">
        <v>25</v>
      </c>
    </row>
    <row r="21" ht="14" customHeight="1" s="227">
      <c r="A21" s="28" t="inlineStr">
        <is>
          <t>Prey Veng</t>
        </is>
      </c>
      <c r="B21" s="266" t="n">
        <v>10</v>
      </c>
      <c r="C21" s="263" t="n">
        <v>193</v>
      </c>
      <c r="D21" s="263" t="n">
        <v>230</v>
      </c>
      <c r="E21" s="266" t="n">
        <v>53</v>
      </c>
      <c r="F21" s="263" t="n">
        <v>0</v>
      </c>
      <c r="G21" s="263" t="n">
        <v>0</v>
      </c>
      <c r="H21" s="266" t="n">
        <v>26</v>
      </c>
      <c r="I21" s="263" t="n">
        <v>902</v>
      </c>
      <c r="J21" s="264" t="n">
        <v>1392</v>
      </c>
      <c r="K21" s="274" t="n">
        <v>440</v>
      </c>
      <c r="L21" s="263" t="n">
        <v>2</v>
      </c>
      <c r="M21" s="263" t="n">
        <v>0</v>
      </c>
      <c r="N21" s="266" t="n">
        <v>0</v>
      </c>
      <c r="O21" s="263" t="n">
        <v>440</v>
      </c>
      <c r="P21" s="264" t="n">
        <v>1000</v>
      </c>
      <c r="Q21" s="275" t="n">
        <v>1012</v>
      </c>
      <c r="R21" s="263" t="n">
        <v>31</v>
      </c>
      <c r="S21" s="263" t="n">
        <v>1</v>
      </c>
      <c r="T21" s="266" t="n">
        <v>24</v>
      </c>
    </row>
    <row r="22" ht="14" customHeight="1" s="227">
      <c r="A22" s="28" t="inlineStr">
        <is>
          <t>Pursat</t>
        </is>
      </c>
      <c r="B22" s="263" t="n">
        <v>4</v>
      </c>
      <c r="C22" s="263" t="n">
        <v>65</v>
      </c>
      <c r="D22" s="263" t="n">
        <v>86</v>
      </c>
      <c r="E22" s="266" t="n">
        <v>5</v>
      </c>
      <c r="F22" s="263" t="n">
        <v>0</v>
      </c>
      <c r="G22" s="263" t="n">
        <v>0</v>
      </c>
      <c r="H22" s="266" t="n">
        <v>28</v>
      </c>
      <c r="I22" s="263" t="n">
        <v>434</v>
      </c>
      <c r="J22" s="263" t="n">
        <v>969</v>
      </c>
      <c r="K22" s="274" t="n">
        <v>139</v>
      </c>
      <c r="L22" s="263" t="n">
        <v>2</v>
      </c>
      <c r="M22" s="263" t="n">
        <v>0</v>
      </c>
      <c r="N22" s="266" t="n">
        <v>21</v>
      </c>
      <c r="O22" s="263" t="n">
        <v>166</v>
      </c>
      <c r="P22" s="263" t="n">
        <v>763</v>
      </c>
      <c r="Q22" s="274" t="n">
        <v>441</v>
      </c>
      <c r="R22" s="263" t="n">
        <v>33</v>
      </c>
      <c r="S22" s="263" t="n">
        <v>0</v>
      </c>
      <c r="T22" s="263" t="n">
        <v>6</v>
      </c>
    </row>
    <row r="23" ht="14" customHeight="1" s="227">
      <c r="A23" s="28" t="inlineStr">
        <is>
          <t>Ratanak Kiri</t>
        </is>
      </c>
      <c r="B23" s="263" t="n">
        <v>5</v>
      </c>
      <c r="C23" s="263" t="n">
        <v>12</v>
      </c>
      <c r="D23" s="263" t="n">
        <v>46</v>
      </c>
      <c r="E23" s="266" t="n">
        <v>3</v>
      </c>
      <c r="F23" s="263" t="n">
        <v>0</v>
      </c>
      <c r="G23" s="263" t="n">
        <v>0</v>
      </c>
      <c r="H23" s="266" t="n">
        <v>72</v>
      </c>
      <c r="I23" s="263" t="n">
        <v>208</v>
      </c>
      <c r="J23" s="263" t="n">
        <v>476</v>
      </c>
      <c r="K23" s="266" t="n">
        <v>20</v>
      </c>
      <c r="L23" s="263" t="n">
        <v>0</v>
      </c>
      <c r="M23" s="263" t="n">
        <v>0</v>
      </c>
      <c r="N23" s="266" t="n">
        <v>0</v>
      </c>
      <c r="O23" s="263" t="n">
        <v>6</v>
      </c>
      <c r="P23" s="263" t="n">
        <v>283</v>
      </c>
      <c r="Q23" s="274" t="n">
        <v>141</v>
      </c>
      <c r="R23" s="263" t="n">
        <v>3</v>
      </c>
      <c r="S23" s="263" t="n">
        <v>0</v>
      </c>
      <c r="T23" s="263" t="n">
        <v>1</v>
      </c>
    </row>
    <row r="24" ht="14" customHeight="1" s="227">
      <c r="A24" s="28" t="inlineStr">
        <is>
          <t>Siemreap</t>
        </is>
      </c>
      <c r="B24" s="263" t="n">
        <v>2</v>
      </c>
      <c r="C24" s="263" t="n">
        <v>76</v>
      </c>
      <c r="D24" s="263" t="n">
        <v>327</v>
      </c>
      <c r="E24" s="266" t="n">
        <v>15</v>
      </c>
      <c r="F24" s="263" t="n">
        <v>1</v>
      </c>
      <c r="G24" s="263" t="n">
        <v>0</v>
      </c>
      <c r="H24" s="266" t="n">
        <v>54</v>
      </c>
      <c r="I24" s="263" t="n">
        <v>343</v>
      </c>
      <c r="J24" s="264" t="n">
        <v>2470</v>
      </c>
      <c r="K24" s="274" t="n">
        <v>220</v>
      </c>
      <c r="L24" s="263" t="n">
        <v>24</v>
      </c>
      <c r="M24" s="263" t="n">
        <v>0</v>
      </c>
      <c r="N24" s="266" t="n">
        <v>13</v>
      </c>
      <c r="O24" s="263" t="n">
        <v>207</v>
      </c>
      <c r="P24" s="263" t="n">
        <v>989</v>
      </c>
      <c r="Q24" s="275" t="n">
        <v>1115</v>
      </c>
      <c r="R24" s="263" t="n">
        <v>87</v>
      </c>
      <c r="S24" s="263" t="n">
        <v>1</v>
      </c>
      <c r="T24" s="266" t="n">
        <v>43</v>
      </c>
    </row>
    <row r="25" ht="15" customHeight="1" s="227">
      <c r="A25" s="28" t="inlineStr">
        <is>
          <t>Stung Treng</t>
        </is>
      </c>
      <c r="B25" s="263" t="n">
        <v>5</v>
      </c>
      <c r="C25" s="263" t="n">
        <v>7</v>
      </c>
      <c r="D25" s="263" t="n">
        <v>29</v>
      </c>
      <c r="E25" s="266" t="n">
        <v>0</v>
      </c>
      <c r="F25" s="263" t="n">
        <v>0</v>
      </c>
      <c r="G25" s="263" t="n">
        <v>0</v>
      </c>
      <c r="H25" s="266" t="n">
        <v>54</v>
      </c>
      <c r="I25" s="263" t="n">
        <v>233</v>
      </c>
      <c r="J25" s="263" t="n">
        <v>483</v>
      </c>
      <c r="K25" s="266" t="n">
        <v>9</v>
      </c>
      <c r="L25" s="263" t="n">
        <v>1</v>
      </c>
      <c r="M25" s="263" t="n">
        <v>0</v>
      </c>
      <c r="N25" s="266" t="n">
        <v>0</v>
      </c>
      <c r="O25" s="263" t="n">
        <v>102</v>
      </c>
      <c r="P25" s="263" t="n">
        <v>257</v>
      </c>
      <c r="Q25" s="266" t="n">
        <v>73</v>
      </c>
      <c r="R25" s="263" t="n">
        <v>1</v>
      </c>
      <c r="S25" s="263" t="n">
        <v>0</v>
      </c>
      <c r="T25" s="263" t="n">
        <v>8</v>
      </c>
    </row>
    <row r="26" ht="14" customHeight="1" s="227">
      <c r="A26" s="28" t="inlineStr">
        <is>
          <t>Svay Rieng</t>
        </is>
      </c>
      <c r="B26" s="263" t="n">
        <v>2</v>
      </c>
      <c r="C26" s="263" t="n">
        <v>54</v>
      </c>
      <c r="D26" s="263" t="n">
        <v>113</v>
      </c>
      <c r="E26" s="266" t="n">
        <v>18</v>
      </c>
      <c r="F26" s="263" t="n">
        <v>0</v>
      </c>
      <c r="G26" s="263" t="n">
        <v>0</v>
      </c>
      <c r="H26" s="266" t="n">
        <v>16</v>
      </c>
      <c r="I26" s="263" t="n">
        <v>207</v>
      </c>
      <c r="J26" s="264" t="n">
        <v>1250</v>
      </c>
      <c r="K26" s="274" t="n">
        <v>210</v>
      </c>
      <c r="L26" s="263" t="n">
        <v>2</v>
      </c>
      <c r="M26" s="263" t="n">
        <v>0</v>
      </c>
      <c r="N26" s="266" t="n">
        <v>34</v>
      </c>
      <c r="O26" s="263" t="n">
        <v>170</v>
      </c>
      <c r="P26" s="263" t="n">
        <v>868</v>
      </c>
      <c r="Q26" s="274" t="n">
        <v>711</v>
      </c>
      <c r="R26" s="263" t="n">
        <v>33</v>
      </c>
      <c r="S26" s="263" t="n">
        <v>0</v>
      </c>
      <c r="T26" s="263" t="n">
        <v>1</v>
      </c>
    </row>
    <row r="27" ht="14" customHeight="1" s="227">
      <c r="A27" s="28" t="inlineStr">
        <is>
          <t>Takeo</t>
        </is>
      </c>
      <c r="B27" s="266" t="n">
        <v>11</v>
      </c>
      <c r="C27" s="263" t="n">
        <v>111</v>
      </c>
      <c r="D27" s="263" t="n">
        <v>274</v>
      </c>
      <c r="E27" s="266" t="n">
        <v>32</v>
      </c>
      <c r="F27" s="263" t="n">
        <v>1</v>
      </c>
      <c r="G27" s="263" t="n">
        <v>0</v>
      </c>
      <c r="H27" s="266" t="n">
        <v>47</v>
      </c>
      <c r="I27" s="263" t="n">
        <v>473</v>
      </c>
      <c r="J27" s="264" t="n">
        <v>1972</v>
      </c>
      <c r="K27" s="274" t="n">
        <v>395</v>
      </c>
      <c r="L27" s="263" t="n">
        <v>7</v>
      </c>
      <c r="M27" s="263" t="n">
        <v>0</v>
      </c>
      <c r="N27" s="266" t="n">
        <v>0</v>
      </c>
      <c r="O27" s="263" t="n">
        <v>262</v>
      </c>
      <c r="P27" s="264" t="n">
        <v>1425</v>
      </c>
      <c r="Q27" s="275" t="n">
        <v>1420</v>
      </c>
      <c r="R27" s="263" t="n">
        <v>55</v>
      </c>
      <c r="S27" s="263" t="n">
        <v>0</v>
      </c>
      <c r="T27" s="266" t="n">
        <v>29</v>
      </c>
    </row>
    <row r="28" ht="14" customHeight="1" s="227">
      <c r="A28" s="28" t="inlineStr">
        <is>
          <t>Tbaung Khmum</t>
        </is>
      </c>
      <c r="B28" s="263" t="n">
        <v>3</v>
      </c>
      <c r="C28" s="263" t="n">
        <v>37</v>
      </c>
      <c r="D28" s="263" t="n">
        <v>149</v>
      </c>
      <c r="E28" s="266" t="n">
        <v>9</v>
      </c>
      <c r="F28" s="263" t="n">
        <v>0</v>
      </c>
      <c r="G28" s="263" t="n">
        <v>0</v>
      </c>
      <c r="H28" s="266" t="n">
        <v>40</v>
      </c>
      <c r="I28" s="263" t="n">
        <v>416</v>
      </c>
      <c r="J28" s="264" t="n">
        <v>1627</v>
      </c>
      <c r="K28" s="274" t="n">
        <v>103</v>
      </c>
      <c r="L28" s="263" t="n">
        <v>6</v>
      </c>
      <c r="M28" s="263" t="n">
        <v>0</v>
      </c>
      <c r="N28" s="266" t="n">
        <v>3</v>
      </c>
      <c r="O28" s="263" t="n">
        <v>207</v>
      </c>
      <c r="P28" s="263" t="n">
        <v>719</v>
      </c>
      <c r="Q28" s="274" t="n">
        <v>420</v>
      </c>
      <c r="R28" s="263" t="n">
        <v>17</v>
      </c>
      <c r="S28" s="263" t="n">
        <v>1</v>
      </c>
      <c r="T28" s="266" t="n">
        <v>91</v>
      </c>
    </row>
    <row r="29" ht="16" customHeight="1" s="227">
      <c r="A29" s="22" t="inlineStr">
        <is>
          <t>Whole Kingdom</t>
        </is>
      </c>
      <c r="B29" s="274" t="n">
        <v>181</v>
      </c>
      <c r="C29" s="264" t="n">
        <v>1632</v>
      </c>
      <c r="D29" s="264" t="n">
        <v>3093</v>
      </c>
      <c r="E29" s="274" t="n">
        <v>401</v>
      </c>
      <c r="F29" s="263" t="n">
        <v>7</v>
      </c>
      <c r="G29" s="263" t="n">
        <v>0</v>
      </c>
      <c r="H29" s="274" t="n">
        <v>958</v>
      </c>
      <c r="I29" s="264" t="n">
        <v>10569</v>
      </c>
      <c r="J29" s="264" t="n">
        <v>28916</v>
      </c>
      <c r="K29" s="275" t="n">
        <v>5271</v>
      </c>
      <c r="L29" s="263" t="n">
        <v>179</v>
      </c>
      <c r="M29" s="263" t="n">
        <v>0</v>
      </c>
      <c r="N29" s="274" t="n">
        <v>512</v>
      </c>
      <c r="O29" s="264" t="n">
        <v>5016</v>
      </c>
      <c r="P29" s="264" t="n">
        <v>18799</v>
      </c>
      <c r="Q29" s="275" t="n">
        <v>16985</v>
      </c>
      <c r="R29" s="264" t="n">
        <v>1191</v>
      </c>
      <c r="S29" s="263" t="n">
        <v>10</v>
      </c>
      <c r="T29" s="266" t="n">
        <v>625</v>
      </c>
    </row>
    <row r="30" ht="14" customHeight="1" s="227">
      <c r="A30" s="28" t="inlineStr">
        <is>
          <t>-  Urban Area</t>
        </is>
      </c>
      <c r="B30" s="266" t="n">
        <v>39</v>
      </c>
      <c r="C30" s="263" t="n">
        <v>327</v>
      </c>
      <c r="D30" s="263" t="n">
        <v>537</v>
      </c>
      <c r="E30" s="274" t="n">
        <v>109</v>
      </c>
      <c r="F30" s="263" t="n">
        <v>2</v>
      </c>
      <c r="G30" s="263" t="n">
        <v>0</v>
      </c>
      <c r="H30" s="274" t="n">
        <v>116</v>
      </c>
      <c r="I30" s="264" t="n">
        <v>2029</v>
      </c>
      <c r="J30" s="264" t="n">
        <v>5800</v>
      </c>
      <c r="K30" s="275" t="n">
        <v>1547</v>
      </c>
      <c r="L30" s="263" t="n">
        <v>104</v>
      </c>
      <c r="M30" s="263" t="n">
        <v>0</v>
      </c>
      <c r="N30" s="274" t="n">
        <v>233</v>
      </c>
      <c r="O30" s="264" t="n">
        <v>1706</v>
      </c>
      <c r="P30" s="264" t="n">
        <v>4654</v>
      </c>
      <c r="Q30" s="275" t="n">
        <v>5590</v>
      </c>
      <c r="R30" s="263" t="n">
        <v>697</v>
      </c>
      <c r="S30" s="263" t="n">
        <v>4</v>
      </c>
      <c r="T30" s="266" t="n">
        <v>66</v>
      </c>
    </row>
    <row r="31" ht="14" customHeight="1" s="227">
      <c r="A31" s="28" t="inlineStr">
        <is>
          <t>-  Rural Area</t>
        </is>
      </c>
      <c r="B31" s="274" t="n">
        <v>142</v>
      </c>
      <c r="C31" s="264" t="n">
        <v>1305</v>
      </c>
      <c r="D31" s="264" t="n">
        <v>2556</v>
      </c>
      <c r="E31" s="274" t="n">
        <v>292</v>
      </c>
      <c r="F31" s="263" t="n">
        <v>5</v>
      </c>
      <c r="G31" s="263" t="n">
        <v>0</v>
      </c>
      <c r="H31" s="274" t="n">
        <v>842</v>
      </c>
      <c r="I31" s="264" t="n">
        <v>8540</v>
      </c>
      <c r="J31" s="264" t="n">
        <v>23116</v>
      </c>
      <c r="K31" s="275" t="n">
        <v>3724</v>
      </c>
      <c r="L31" s="263" t="n">
        <v>75</v>
      </c>
      <c r="M31" s="263" t="n">
        <v>0</v>
      </c>
      <c r="N31" s="274" t="n">
        <v>279</v>
      </c>
      <c r="O31" s="264" t="n">
        <v>3310</v>
      </c>
      <c r="P31" s="264" t="n">
        <v>14145</v>
      </c>
      <c r="Q31" s="275" t="n">
        <v>11395</v>
      </c>
      <c r="R31" s="263" t="n">
        <v>494</v>
      </c>
      <c r="S31" s="263" t="n">
        <v>6</v>
      </c>
      <c r="T31" s="266" t="n">
        <v>559</v>
      </c>
    </row>
  </sheetData>
  <mergeCells count="5">
    <mergeCell ref="A1:T1"/>
    <mergeCell ref="B2:G2"/>
    <mergeCell ref="N2:S2"/>
    <mergeCell ref="A2:A3"/>
    <mergeCell ref="H2:M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00A9D18E"/>
    <outlinePr summaryBelow="1" summaryRight="1"/>
    <pageSetUpPr/>
  </sheetPr>
  <dimension ref="A1:N31"/>
  <sheetViews>
    <sheetView tabSelected="1" workbookViewId="0">
      <selection activeCell="A1" sqref="A1"/>
    </sheetView>
  </sheetViews>
  <sheetFormatPr baseColWidth="8" defaultRowHeight="15"/>
  <cols>
    <col width="27.555556" customWidth="1" style="227" min="1" max="1"/>
    <col width="10.666667" customWidth="1" style="227" min="2" max="2"/>
    <col width="10.666667" customWidth="1" style="227" min="3" max="3"/>
    <col width="10.888889" customWidth="1" style="227" min="4" max="4"/>
    <col width="10.666667" customWidth="1" style="227" min="5" max="5"/>
    <col width="10.888889" customWidth="1" style="227" min="6" max="6"/>
    <col width="10.666667" customWidth="1" style="227" min="7" max="7"/>
    <col width="10.666667" customWidth="1" style="227" min="8" max="8"/>
    <col width="10.888889" customWidth="1" style="227" min="9" max="9"/>
    <col width="10.666667" customWidth="1" style="227" min="10" max="10"/>
    <col width="10.888889" customWidth="1" style="227" min="11" max="11"/>
    <col width="10.666667" customWidth="1" style="227" min="12" max="12"/>
    <col width="10.666667" customWidth="1" style="227" min="13" max="13"/>
    <col width="10.888889" customWidth="1" style="227" min="14" max="14"/>
  </cols>
  <sheetData>
    <row r="1" ht="31" customHeight="1" s="227">
      <c r="A1" s="2" t="inlineStr">
        <is>
          <t>Table 22: Condition of School Buildings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</row>
    <row r="2" ht="19" customHeight="1" s="227">
      <c r="A2" s="3" t="inlineStr">
        <is>
          <t>Province</t>
        </is>
      </c>
      <c r="B2" s="11" t="inlineStr">
        <is>
          <t>Total Number of</t>
        </is>
      </c>
      <c r="C2" s="257" t="n"/>
      <c r="D2" s="14" t="inlineStr">
        <is>
          <t>Concrete/Brick Structure</t>
        </is>
      </c>
      <c r="E2" s="257" t="n"/>
      <c r="F2" s="11" t="inlineStr">
        <is>
          <t>Wooden Structure</t>
        </is>
      </c>
      <c r="G2" s="257" t="n"/>
      <c r="H2" s="11" t="inlineStr">
        <is>
          <t>Bamboo Structure</t>
        </is>
      </c>
      <c r="I2" s="257" t="n"/>
      <c r="J2" s="8" t="inlineStr">
        <is>
          <t>New Buildings</t>
        </is>
      </c>
      <c r="K2" s="257" t="n"/>
      <c r="L2" s="29" t="inlineStr">
        <is>
          <t>Buildings Without Good</t>
        </is>
      </c>
      <c r="M2" s="269" t="n"/>
      <c r="N2" s="257" t="n"/>
    </row>
    <row r="3" ht="18" customHeight="1" s="227">
      <c r="A3" s="258" t="n"/>
      <c r="B3" s="21" t="inlineStr">
        <is>
          <t>Buildings</t>
        </is>
      </c>
      <c r="C3" s="14" t="inlineStr">
        <is>
          <t>Rooms</t>
        </is>
      </c>
      <c r="D3" s="21" t="inlineStr">
        <is>
          <t>Buildings</t>
        </is>
      </c>
      <c r="E3" s="14" t="inlineStr">
        <is>
          <t>Rooms</t>
        </is>
      </c>
      <c r="F3" s="21" t="inlineStr">
        <is>
          <t>Buildings</t>
        </is>
      </c>
      <c r="G3" s="14" t="inlineStr">
        <is>
          <t>Rooms</t>
        </is>
      </c>
      <c r="H3" s="21" t="inlineStr">
        <is>
          <t>Buildings</t>
        </is>
      </c>
      <c r="I3" s="14" t="inlineStr">
        <is>
          <t>Rooms</t>
        </is>
      </c>
      <c r="J3" s="21" t="inlineStr">
        <is>
          <t>Repaired</t>
        </is>
      </c>
      <c r="K3" s="52" t="inlineStr">
        <is>
          <t>Constructed</t>
        </is>
      </c>
      <c r="L3" s="11" t="inlineStr">
        <is>
          <t>Floor</t>
        </is>
      </c>
      <c r="M3" s="11" t="inlineStr">
        <is>
          <t>Roof</t>
        </is>
      </c>
      <c r="N3" s="11" t="inlineStr">
        <is>
          <t>Wall</t>
        </is>
      </c>
    </row>
    <row r="4" ht="14" customHeight="1" s="227">
      <c r="A4" s="28" t="inlineStr">
        <is>
          <t>Banteay Meanchey</t>
        </is>
      </c>
      <c r="B4" s="264" t="n">
        <v>1235</v>
      </c>
      <c r="C4" s="264" t="n">
        <v>5435</v>
      </c>
      <c r="D4" s="263" t="n">
        <v>950</v>
      </c>
      <c r="E4" s="264" t="n">
        <v>4554</v>
      </c>
      <c r="F4" s="263" t="n">
        <v>280</v>
      </c>
      <c r="G4" s="263" t="n">
        <v>874</v>
      </c>
      <c r="H4" s="263" t="n">
        <v>5</v>
      </c>
      <c r="I4" s="263" t="n">
        <v>7</v>
      </c>
      <c r="J4" s="263" t="n">
        <v>40</v>
      </c>
      <c r="K4" s="263" t="n">
        <v>129</v>
      </c>
      <c r="L4" s="263" t="n">
        <v>231</v>
      </c>
      <c r="M4" s="263" t="n">
        <v>192</v>
      </c>
      <c r="N4" s="263" t="n">
        <v>220</v>
      </c>
    </row>
    <row r="5" ht="14" customHeight="1" s="227">
      <c r="A5" s="28" t="inlineStr">
        <is>
          <t>Battambang</t>
        </is>
      </c>
      <c r="B5" s="264" t="n">
        <v>1897</v>
      </c>
      <c r="C5" s="264" t="n">
        <v>7611</v>
      </c>
      <c r="D5" s="264" t="n">
        <v>1435</v>
      </c>
      <c r="E5" s="264" t="n">
        <v>6150</v>
      </c>
      <c r="F5" s="263" t="n">
        <v>451</v>
      </c>
      <c r="G5" s="264" t="n">
        <v>1439</v>
      </c>
      <c r="H5" s="263" t="n">
        <v>11</v>
      </c>
      <c r="I5" s="263" t="n">
        <v>22</v>
      </c>
      <c r="J5" s="263" t="n">
        <v>75</v>
      </c>
      <c r="K5" s="263" t="n">
        <v>153</v>
      </c>
      <c r="L5" s="263" t="n">
        <v>358</v>
      </c>
      <c r="M5" s="263" t="n">
        <v>296</v>
      </c>
      <c r="N5" s="263" t="n">
        <v>493</v>
      </c>
    </row>
    <row r="6" ht="15" customHeight="1" s="227">
      <c r="A6" s="28" t="inlineStr">
        <is>
          <t>Kampong Cham</t>
        </is>
      </c>
      <c r="B6" s="264" t="n">
        <v>1631</v>
      </c>
      <c r="C6" s="264" t="n">
        <v>6584</v>
      </c>
      <c r="D6" s="264" t="n">
        <v>1552</v>
      </c>
      <c r="E6" s="264" t="n">
        <v>6345</v>
      </c>
      <c r="F6" s="263" t="n">
        <v>78</v>
      </c>
      <c r="G6" s="263" t="n">
        <v>238</v>
      </c>
      <c r="H6" s="263" t="n">
        <v>1</v>
      </c>
      <c r="I6" s="263" t="n">
        <v>1</v>
      </c>
      <c r="J6" s="263" t="n">
        <v>77</v>
      </c>
      <c r="K6" s="263" t="n">
        <v>66</v>
      </c>
      <c r="L6" s="263" t="n">
        <v>269</v>
      </c>
      <c r="M6" s="263" t="n">
        <v>146</v>
      </c>
      <c r="N6" s="263" t="n">
        <v>183</v>
      </c>
    </row>
    <row r="7" ht="14" customHeight="1" s="227">
      <c r="A7" s="28" t="inlineStr">
        <is>
          <t>Kampong Chhnang</t>
        </is>
      </c>
      <c r="B7" s="263" t="n">
        <v>851</v>
      </c>
      <c r="C7" s="264" t="n">
        <v>3682</v>
      </c>
      <c r="D7" s="263" t="n">
        <v>780</v>
      </c>
      <c r="E7" s="264" t="n">
        <v>3496</v>
      </c>
      <c r="F7" s="263" t="n">
        <v>68</v>
      </c>
      <c r="G7" s="263" t="n">
        <v>180</v>
      </c>
      <c r="H7" s="263" t="n">
        <v>3</v>
      </c>
      <c r="I7" s="263" t="n">
        <v>6</v>
      </c>
      <c r="J7" s="263" t="n">
        <v>23</v>
      </c>
      <c r="K7" s="263" t="n">
        <v>55</v>
      </c>
      <c r="L7" s="263" t="n">
        <v>113</v>
      </c>
      <c r="M7" s="263" t="n">
        <v>96</v>
      </c>
      <c r="N7" s="263" t="n">
        <v>111</v>
      </c>
    </row>
    <row r="8" ht="14" customHeight="1" s="227">
      <c r="A8" s="28" t="inlineStr">
        <is>
          <t>Kampong Speu</t>
        </is>
      </c>
      <c r="B8" s="264" t="n">
        <v>1160</v>
      </c>
      <c r="C8" s="264" t="n">
        <v>5052</v>
      </c>
      <c r="D8" s="264" t="n">
        <v>1076</v>
      </c>
      <c r="E8" s="264" t="n">
        <v>4820</v>
      </c>
      <c r="F8" s="263" t="n">
        <v>84</v>
      </c>
      <c r="G8" s="263" t="n">
        <v>232</v>
      </c>
      <c r="H8" s="263" t="n">
        <v>0</v>
      </c>
      <c r="I8" s="263" t="n">
        <v>0</v>
      </c>
      <c r="J8" s="263" t="n">
        <v>46</v>
      </c>
      <c r="K8" s="263" t="n">
        <v>46</v>
      </c>
      <c r="L8" s="263" t="n">
        <v>263</v>
      </c>
      <c r="M8" s="263" t="n">
        <v>171</v>
      </c>
      <c r="N8" s="263" t="n">
        <v>206</v>
      </c>
    </row>
    <row r="9" ht="14" customHeight="1" s="227">
      <c r="A9" s="28" t="inlineStr">
        <is>
          <t>Kampong Thom</t>
        </is>
      </c>
      <c r="B9" s="264" t="n">
        <v>1385</v>
      </c>
      <c r="C9" s="264" t="n">
        <v>5340</v>
      </c>
      <c r="D9" s="264" t="n">
        <v>1259</v>
      </c>
      <c r="E9" s="264" t="n">
        <v>5066</v>
      </c>
      <c r="F9" s="263" t="n">
        <v>119</v>
      </c>
      <c r="G9" s="263" t="n">
        <v>264</v>
      </c>
      <c r="H9" s="263" t="n">
        <v>7</v>
      </c>
      <c r="I9" s="263" t="n">
        <v>10</v>
      </c>
      <c r="J9" s="263" t="n">
        <v>36</v>
      </c>
      <c r="K9" s="263" t="n">
        <v>91</v>
      </c>
      <c r="L9" s="263" t="n">
        <v>193</v>
      </c>
      <c r="M9" s="263" t="n">
        <v>109</v>
      </c>
      <c r="N9" s="263" t="n">
        <v>154</v>
      </c>
    </row>
    <row r="10" ht="14" customHeight="1" s="227">
      <c r="A10" s="28" t="inlineStr">
        <is>
          <t>Kampot</t>
        </is>
      </c>
      <c r="B10" s="264" t="n">
        <v>1010</v>
      </c>
      <c r="C10" s="264" t="n">
        <v>4519</v>
      </c>
      <c r="D10" s="263" t="n">
        <v>965</v>
      </c>
      <c r="E10" s="264" t="n">
        <v>4392</v>
      </c>
      <c r="F10" s="263" t="n">
        <v>43</v>
      </c>
      <c r="G10" s="263" t="n">
        <v>121</v>
      </c>
      <c r="H10" s="263" t="n">
        <v>2</v>
      </c>
      <c r="I10" s="263" t="n">
        <v>6</v>
      </c>
      <c r="J10" s="263" t="n">
        <v>26</v>
      </c>
      <c r="K10" s="263" t="n">
        <v>55</v>
      </c>
      <c r="L10" s="263" t="n">
        <v>173</v>
      </c>
      <c r="M10" s="263" t="n">
        <v>125</v>
      </c>
      <c r="N10" s="263" t="n">
        <v>131</v>
      </c>
    </row>
    <row r="11" ht="14" customHeight="1" s="227">
      <c r="A11" s="28" t="inlineStr">
        <is>
          <t>Kandal</t>
        </is>
      </c>
      <c r="B11" s="264" t="n">
        <v>1681</v>
      </c>
      <c r="C11" s="264" t="n">
        <v>7592</v>
      </c>
      <c r="D11" s="264" t="n">
        <v>1640</v>
      </c>
      <c r="E11" s="264" t="n">
        <v>7487</v>
      </c>
      <c r="F11" s="263" t="n">
        <v>40</v>
      </c>
      <c r="G11" s="263" t="n">
        <v>102</v>
      </c>
      <c r="H11" s="263" t="n">
        <v>1</v>
      </c>
      <c r="I11" s="263" t="n">
        <v>3</v>
      </c>
      <c r="J11" s="263" t="n">
        <v>76</v>
      </c>
      <c r="K11" s="263" t="n">
        <v>76</v>
      </c>
      <c r="L11" s="263" t="n">
        <v>295</v>
      </c>
      <c r="M11" s="263" t="n">
        <v>191</v>
      </c>
      <c r="N11" s="263" t="n">
        <v>414</v>
      </c>
    </row>
    <row r="12" ht="14" customHeight="1" s="227">
      <c r="A12" s="28" t="inlineStr">
        <is>
          <t>Kep</t>
        </is>
      </c>
      <c r="B12" s="263" t="n">
        <v>87</v>
      </c>
      <c r="C12" s="263" t="n">
        <v>443</v>
      </c>
      <c r="D12" s="263" t="n">
        <v>87</v>
      </c>
      <c r="E12" s="263" t="n">
        <v>443</v>
      </c>
      <c r="F12" s="263" t="n">
        <v>0</v>
      </c>
      <c r="G12" s="263" t="n">
        <v>0</v>
      </c>
      <c r="H12" s="263" t="n">
        <v>0</v>
      </c>
      <c r="I12" s="263" t="n">
        <v>0</v>
      </c>
      <c r="J12" s="263" t="n">
        <v>4</v>
      </c>
      <c r="K12" s="263" t="n">
        <v>7</v>
      </c>
      <c r="L12" s="263" t="n">
        <v>13</v>
      </c>
      <c r="M12" s="263" t="n">
        <v>6</v>
      </c>
      <c r="N12" s="263" t="n">
        <v>8</v>
      </c>
    </row>
    <row r="13" ht="14" customHeight="1" s="227">
      <c r="A13" s="28" t="inlineStr">
        <is>
          <t>Koh Kong</t>
        </is>
      </c>
      <c r="B13" s="263" t="n">
        <v>275</v>
      </c>
      <c r="C13" s="263" t="n">
        <v>996</v>
      </c>
      <c r="D13" s="263" t="n">
        <v>203</v>
      </c>
      <c r="E13" s="263" t="n">
        <v>873</v>
      </c>
      <c r="F13" s="263" t="n">
        <v>71</v>
      </c>
      <c r="G13" s="263" t="n">
        <v>122</v>
      </c>
      <c r="H13" s="263" t="n">
        <v>1</v>
      </c>
      <c r="I13" s="263" t="n">
        <v>1</v>
      </c>
      <c r="J13" s="263" t="n">
        <v>22</v>
      </c>
      <c r="K13" s="263" t="n">
        <v>35</v>
      </c>
      <c r="L13" s="263" t="n">
        <v>25</v>
      </c>
      <c r="M13" s="263" t="n">
        <v>18</v>
      </c>
      <c r="N13" s="263" t="n">
        <v>39</v>
      </c>
    </row>
    <row r="14" ht="14" customHeight="1" s="227">
      <c r="A14" s="28" t="inlineStr">
        <is>
          <t>Kratie</t>
        </is>
      </c>
      <c r="B14" s="263" t="n">
        <v>653</v>
      </c>
      <c r="C14" s="264" t="n">
        <v>2537</v>
      </c>
      <c r="D14" s="263" t="n">
        <v>443</v>
      </c>
      <c r="E14" s="264" t="n">
        <v>1990</v>
      </c>
      <c r="F14" s="263" t="n">
        <v>207</v>
      </c>
      <c r="G14" s="263" t="n">
        <v>544</v>
      </c>
      <c r="H14" s="263" t="n">
        <v>3</v>
      </c>
      <c r="I14" s="263" t="n">
        <v>3</v>
      </c>
      <c r="J14" s="263" t="n">
        <v>16</v>
      </c>
      <c r="K14" s="263" t="n">
        <v>37</v>
      </c>
      <c r="L14" s="263" t="n">
        <v>133</v>
      </c>
      <c r="M14" s="263" t="n">
        <v>100</v>
      </c>
      <c r="N14" s="263" t="n">
        <v>207</v>
      </c>
    </row>
    <row r="15" ht="14" customHeight="1" s="227">
      <c r="A15" s="28" t="inlineStr">
        <is>
          <t>Mondul Kiri</t>
        </is>
      </c>
      <c r="B15" s="263" t="n">
        <v>241</v>
      </c>
      <c r="C15" s="263" t="n">
        <v>699</v>
      </c>
      <c r="D15" s="263" t="n">
        <v>124</v>
      </c>
      <c r="E15" s="263" t="n">
        <v>445</v>
      </c>
      <c r="F15" s="263" t="n">
        <v>117</v>
      </c>
      <c r="G15" s="263" t="n">
        <v>253</v>
      </c>
      <c r="H15" s="263" t="n">
        <v>0</v>
      </c>
      <c r="I15" s="263" t="n">
        <v>1</v>
      </c>
      <c r="J15" s="263" t="n">
        <v>10</v>
      </c>
      <c r="K15" s="263" t="n">
        <v>24</v>
      </c>
      <c r="L15" s="263" t="n">
        <v>64</v>
      </c>
      <c r="M15" s="263" t="n">
        <v>32</v>
      </c>
      <c r="N15" s="263" t="n">
        <v>45</v>
      </c>
    </row>
    <row r="16" ht="14" customHeight="1" s="227">
      <c r="A16" s="28" t="inlineStr">
        <is>
          <t>Otdar Meanchey</t>
        </is>
      </c>
      <c r="B16" s="263" t="n">
        <v>436</v>
      </c>
      <c r="C16" s="264" t="n">
        <v>1951</v>
      </c>
      <c r="D16" s="263" t="n">
        <v>328</v>
      </c>
      <c r="E16" s="264" t="n">
        <v>1672</v>
      </c>
      <c r="F16" s="263" t="n">
        <v>98</v>
      </c>
      <c r="G16" s="263" t="n">
        <v>259</v>
      </c>
      <c r="H16" s="263" t="n">
        <v>10</v>
      </c>
      <c r="I16" s="263" t="n">
        <v>20</v>
      </c>
      <c r="J16" s="263" t="n">
        <v>11</v>
      </c>
      <c r="K16" s="263" t="n">
        <v>43</v>
      </c>
      <c r="L16" s="263" t="n">
        <v>62</v>
      </c>
      <c r="M16" s="263" t="n">
        <v>38</v>
      </c>
      <c r="N16" s="263" t="n">
        <v>70</v>
      </c>
    </row>
    <row r="17" ht="14" customHeight="1" s="227">
      <c r="A17" s="28" t="inlineStr">
        <is>
          <t>Pailin</t>
        </is>
      </c>
      <c r="B17" s="263" t="n">
        <v>135</v>
      </c>
      <c r="C17" s="263" t="n">
        <v>756</v>
      </c>
      <c r="D17" s="263" t="n">
        <v>120</v>
      </c>
      <c r="E17" s="263" t="n">
        <v>721</v>
      </c>
      <c r="F17" s="263" t="n">
        <v>15</v>
      </c>
      <c r="G17" s="263" t="n">
        <v>35</v>
      </c>
      <c r="H17" s="263" t="n">
        <v>0</v>
      </c>
      <c r="I17" s="263" t="n">
        <v>0</v>
      </c>
      <c r="J17" s="263" t="n">
        <v>6</v>
      </c>
      <c r="K17" s="263" t="n">
        <v>22</v>
      </c>
      <c r="L17" s="263" t="n">
        <v>12</v>
      </c>
      <c r="M17" s="263" t="n">
        <v>4</v>
      </c>
      <c r="N17" s="263" t="n">
        <v>12</v>
      </c>
    </row>
    <row r="18" ht="14" customHeight="1" s="227">
      <c r="A18" s="28" t="inlineStr">
        <is>
          <t>Phnom Penh</t>
        </is>
      </c>
      <c r="B18" s="264" t="n">
        <v>1159</v>
      </c>
      <c r="C18" s="264" t="n">
        <v>5926</v>
      </c>
      <c r="D18" s="264" t="n">
        <v>1145</v>
      </c>
      <c r="E18" s="264" t="n">
        <v>5898</v>
      </c>
      <c r="F18" s="263" t="n">
        <v>14</v>
      </c>
      <c r="G18" s="263" t="n">
        <v>28</v>
      </c>
      <c r="H18" s="263" t="n">
        <v>0</v>
      </c>
      <c r="I18" s="263" t="n">
        <v>0</v>
      </c>
      <c r="J18" s="263" t="n">
        <v>82</v>
      </c>
      <c r="K18" s="263" t="n">
        <v>31</v>
      </c>
      <c r="L18" s="263" t="n">
        <v>203</v>
      </c>
      <c r="M18" s="263" t="n">
        <v>143</v>
      </c>
      <c r="N18" s="263" t="n">
        <v>147</v>
      </c>
    </row>
    <row r="19" ht="14" customHeight="1" s="227">
      <c r="A19" s="28" t="inlineStr">
        <is>
          <t>Preah Sihanouk</t>
        </is>
      </c>
      <c r="B19" s="263" t="n">
        <v>267</v>
      </c>
      <c r="C19" s="264" t="n">
        <v>1389</v>
      </c>
      <c r="D19" s="263" t="n">
        <v>256</v>
      </c>
      <c r="E19" s="264" t="n">
        <v>1363</v>
      </c>
      <c r="F19" s="263" t="n">
        <v>11</v>
      </c>
      <c r="G19" s="263" t="n">
        <v>26</v>
      </c>
      <c r="H19" s="263" t="n">
        <v>0</v>
      </c>
      <c r="I19" s="263" t="n">
        <v>0</v>
      </c>
      <c r="J19" s="263" t="n">
        <v>1</v>
      </c>
      <c r="K19" s="263" t="n">
        <v>14</v>
      </c>
      <c r="L19" s="263" t="n">
        <v>13</v>
      </c>
      <c r="M19" s="263" t="n">
        <v>7</v>
      </c>
      <c r="N19" s="263" t="n">
        <v>12</v>
      </c>
    </row>
    <row r="20" ht="14" customHeight="1" s="227">
      <c r="A20" s="28" t="inlineStr">
        <is>
          <t>Preah Vihear</t>
        </is>
      </c>
      <c r="B20" s="263" t="n">
        <v>518</v>
      </c>
      <c r="C20" s="264" t="n">
        <v>2134</v>
      </c>
      <c r="D20" s="263" t="n">
        <v>336</v>
      </c>
      <c r="E20" s="264" t="n">
        <v>1749</v>
      </c>
      <c r="F20" s="263" t="n">
        <v>173</v>
      </c>
      <c r="G20" s="263" t="n">
        <v>366</v>
      </c>
      <c r="H20" s="263" t="n">
        <v>9</v>
      </c>
      <c r="I20" s="263" t="n">
        <v>19</v>
      </c>
      <c r="J20" s="263" t="n">
        <v>19</v>
      </c>
      <c r="K20" s="263" t="n">
        <v>73</v>
      </c>
      <c r="L20" s="263" t="n">
        <v>120</v>
      </c>
      <c r="M20" s="263" t="n">
        <v>54</v>
      </c>
      <c r="N20" s="263" t="n">
        <v>133</v>
      </c>
    </row>
    <row r="21" ht="14" customHeight="1" s="227">
      <c r="A21" s="28" t="inlineStr">
        <is>
          <t>Prey Veng</t>
        </is>
      </c>
      <c r="B21" s="264" t="n">
        <v>1840</v>
      </c>
      <c r="C21" s="264" t="n">
        <v>7958</v>
      </c>
      <c r="D21" s="264" t="n">
        <v>1749</v>
      </c>
      <c r="E21" s="264" t="n">
        <v>7679</v>
      </c>
      <c r="F21" s="263" t="n">
        <v>91</v>
      </c>
      <c r="G21" s="263" t="n">
        <v>279</v>
      </c>
      <c r="H21" s="263" t="n">
        <v>0</v>
      </c>
      <c r="I21" s="263" t="n">
        <v>0</v>
      </c>
      <c r="J21" s="263" t="n">
        <v>65</v>
      </c>
      <c r="K21" s="263" t="n">
        <v>110</v>
      </c>
      <c r="L21" s="263" t="n">
        <v>327</v>
      </c>
      <c r="M21" s="263" t="n">
        <v>230</v>
      </c>
      <c r="N21" s="263" t="n">
        <v>261</v>
      </c>
    </row>
    <row r="22" ht="14" customHeight="1" s="227">
      <c r="A22" s="28" t="inlineStr">
        <is>
          <t>Pursat</t>
        </is>
      </c>
      <c r="B22" s="263" t="n">
        <v>812</v>
      </c>
      <c r="C22" s="264" t="n">
        <v>3249</v>
      </c>
      <c r="D22" s="263" t="n">
        <v>615</v>
      </c>
      <c r="E22" s="264" t="n">
        <v>2781</v>
      </c>
      <c r="F22" s="263" t="n">
        <v>192</v>
      </c>
      <c r="G22" s="263" t="n">
        <v>459</v>
      </c>
      <c r="H22" s="263" t="n">
        <v>5</v>
      </c>
      <c r="I22" s="263" t="n">
        <v>9</v>
      </c>
      <c r="J22" s="263" t="n">
        <v>18</v>
      </c>
      <c r="K22" s="263" t="n">
        <v>41</v>
      </c>
      <c r="L22" s="263" t="n">
        <v>114</v>
      </c>
      <c r="M22" s="263" t="n">
        <v>142</v>
      </c>
      <c r="N22" s="263" t="n">
        <v>128</v>
      </c>
    </row>
    <row r="23" ht="14" customHeight="1" s="227">
      <c r="A23" s="28" t="inlineStr">
        <is>
          <t>Ratanak Kiri</t>
        </is>
      </c>
      <c r="B23" s="263" t="n">
        <v>494</v>
      </c>
      <c r="C23" s="264" t="n">
        <v>1686</v>
      </c>
      <c r="D23" s="263" t="n">
        <v>268</v>
      </c>
      <c r="E23" s="264" t="n">
        <v>1196</v>
      </c>
      <c r="F23" s="263" t="n">
        <v>222</v>
      </c>
      <c r="G23" s="263" t="n">
        <v>482</v>
      </c>
      <c r="H23" s="263" t="n">
        <v>4</v>
      </c>
      <c r="I23" s="263" t="n">
        <v>8</v>
      </c>
      <c r="J23" s="263" t="n">
        <v>38</v>
      </c>
      <c r="K23" s="263" t="n">
        <v>77</v>
      </c>
      <c r="L23" s="263" t="n">
        <v>93</v>
      </c>
      <c r="M23" s="263" t="n">
        <v>88</v>
      </c>
      <c r="N23" s="263" t="n">
        <v>83</v>
      </c>
    </row>
    <row r="24" ht="14" customHeight="1" s="227">
      <c r="A24" s="28" t="inlineStr">
        <is>
          <t>Siemreap</t>
        </is>
      </c>
      <c r="B24" s="264" t="n">
        <v>1906</v>
      </c>
      <c r="C24" s="264" t="n">
        <v>6801</v>
      </c>
      <c r="D24" s="264" t="n">
        <v>1656</v>
      </c>
      <c r="E24" s="264" t="n">
        <v>6263</v>
      </c>
      <c r="F24" s="263" t="n">
        <v>207</v>
      </c>
      <c r="G24" s="263" t="n">
        <v>475</v>
      </c>
      <c r="H24" s="263" t="n">
        <v>43</v>
      </c>
      <c r="I24" s="263" t="n">
        <v>63</v>
      </c>
      <c r="J24" s="263" t="n">
        <v>53</v>
      </c>
      <c r="K24" s="263" t="n">
        <v>99</v>
      </c>
      <c r="L24" s="263" t="n">
        <v>354</v>
      </c>
      <c r="M24" s="263" t="n">
        <v>237</v>
      </c>
      <c r="N24" s="263" t="n">
        <v>222</v>
      </c>
    </row>
    <row r="25" ht="14" customHeight="1" s="227">
      <c r="A25" s="28" t="inlineStr">
        <is>
          <t>Stung Treng</t>
        </is>
      </c>
      <c r="B25" s="263" t="n">
        <v>361</v>
      </c>
      <c r="C25" s="264" t="n">
        <v>1275</v>
      </c>
      <c r="D25" s="263" t="n">
        <v>189</v>
      </c>
      <c r="E25" s="263" t="n">
        <v>816</v>
      </c>
      <c r="F25" s="263" t="n">
        <v>163</v>
      </c>
      <c r="G25" s="263" t="n">
        <v>439</v>
      </c>
      <c r="H25" s="263" t="n">
        <v>9</v>
      </c>
      <c r="I25" s="263" t="n">
        <v>20</v>
      </c>
      <c r="J25" s="263" t="n">
        <v>10</v>
      </c>
      <c r="K25" s="263" t="n">
        <v>65</v>
      </c>
      <c r="L25" s="263" t="n">
        <v>62</v>
      </c>
      <c r="M25" s="263" t="n">
        <v>67</v>
      </c>
      <c r="N25" s="263" t="n">
        <v>79</v>
      </c>
    </row>
    <row r="26" ht="14" customHeight="1" s="227">
      <c r="A26" s="28" t="inlineStr">
        <is>
          <t>Svay Rieng</t>
        </is>
      </c>
      <c r="B26" s="263" t="n">
        <v>935</v>
      </c>
      <c r="C26" s="264" t="n">
        <v>4156</v>
      </c>
      <c r="D26" s="263" t="n">
        <v>894</v>
      </c>
      <c r="E26" s="264" t="n">
        <v>4057</v>
      </c>
      <c r="F26" s="263" t="n">
        <v>38</v>
      </c>
      <c r="G26" s="263" t="n">
        <v>92</v>
      </c>
      <c r="H26" s="263" t="n">
        <v>3</v>
      </c>
      <c r="I26" s="263" t="n">
        <v>7</v>
      </c>
      <c r="J26" s="263" t="n">
        <v>31</v>
      </c>
      <c r="K26" s="263" t="n">
        <v>46</v>
      </c>
      <c r="L26" s="263" t="n">
        <v>191</v>
      </c>
      <c r="M26" s="263" t="n">
        <v>83</v>
      </c>
      <c r="N26" s="263" t="n">
        <v>135</v>
      </c>
    </row>
    <row r="27" ht="14" customHeight="1" s="227">
      <c r="A27" s="28" t="inlineStr">
        <is>
          <t>Takeo</t>
        </is>
      </c>
      <c r="B27" s="264" t="n">
        <v>1770</v>
      </c>
      <c r="C27" s="264" t="n">
        <v>8139</v>
      </c>
      <c r="D27" s="264" t="n">
        <v>1723</v>
      </c>
      <c r="E27" s="264" t="n">
        <v>7999</v>
      </c>
      <c r="F27" s="263" t="n">
        <v>43</v>
      </c>
      <c r="G27" s="263" t="n">
        <v>133</v>
      </c>
      <c r="H27" s="263" t="n">
        <v>4</v>
      </c>
      <c r="I27" s="263" t="n">
        <v>7</v>
      </c>
      <c r="J27" s="263" t="n">
        <v>79</v>
      </c>
      <c r="K27" s="263" t="n">
        <v>75</v>
      </c>
      <c r="L27" s="263" t="n">
        <v>455</v>
      </c>
      <c r="M27" s="263" t="n">
        <v>279</v>
      </c>
      <c r="N27" s="263" t="n">
        <v>357</v>
      </c>
    </row>
    <row r="28" ht="14" customHeight="1" s="227">
      <c r="A28" s="28" t="inlineStr">
        <is>
          <t>Tbaung Khmum</t>
        </is>
      </c>
      <c r="B28" s="264" t="n">
        <v>1085</v>
      </c>
      <c r="C28" s="264" t="n">
        <v>4948</v>
      </c>
      <c r="D28" s="264" t="n">
        <v>1022</v>
      </c>
      <c r="E28" s="264" t="n">
        <v>4774</v>
      </c>
      <c r="F28" s="263" t="n">
        <v>56</v>
      </c>
      <c r="G28" s="263" t="n">
        <v>151</v>
      </c>
      <c r="H28" s="263" t="n">
        <v>7</v>
      </c>
      <c r="I28" s="263" t="n">
        <v>23</v>
      </c>
      <c r="J28" s="263" t="n">
        <v>45</v>
      </c>
      <c r="K28" s="263" t="n">
        <v>59</v>
      </c>
      <c r="L28" s="263" t="n">
        <v>252</v>
      </c>
      <c r="M28" s="263" t="n">
        <v>155</v>
      </c>
      <c r="N28" s="263" t="n">
        <v>172</v>
      </c>
    </row>
    <row r="29" ht="17" customHeight="1" s="227">
      <c r="A29" s="22" t="inlineStr">
        <is>
          <t>Whole Kingdom</t>
        </is>
      </c>
      <c r="B29" s="264" t="n">
        <v>23824</v>
      </c>
      <c r="C29" s="264" t="n">
        <v>100858</v>
      </c>
      <c r="D29" s="264" t="n">
        <v>20815</v>
      </c>
      <c r="E29" s="264" t="n">
        <v>93029</v>
      </c>
      <c r="F29" s="264" t="n">
        <v>2881</v>
      </c>
      <c r="G29" s="264" t="n">
        <v>7593</v>
      </c>
      <c r="H29" s="263" t="n">
        <v>128</v>
      </c>
      <c r="I29" s="263" t="n">
        <v>236</v>
      </c>
      <c r="J29" s="263" t="n">
        <v>909</v>
      </c>
      <c r="K29" s="264" t="n">
        <v>1529</v>
      </c>
      <c r="L29" s="264" t="n">
        <v>4388</v>
      </c>
      <c r="M29" s="264" t="n">
        <v>3009</v>
      </c>
      <c r="N29" s="264" t="n">
        <v>4022</v>
      </c>
    </row>
    <row r="30" ht="14" customHeight="1" s="227">
      <c r="A30" s="28" t="inlineStr">
        <is>
          <t>-  Urban Area</t>
        </is>
      </c>
      <c r="B30" s="264" t="n">
        <v>3534</v>
      </c>
      <c r="C30" s="264" t="n">
        <v>17480</v>
      </c>
      <c r="D30" s="264" t="n">
        <v>3260</v>
      </c>
      <c r="E30" s="264" t="n">
        <v>16669</v>
      </c>
      <c r="F30" s="263" t="n">
        <v>270</v>
      </c>
      <c r="G30" s="263" t="n">
        <v>805</v>
      </c>
      <c r="H30" s="263" t="n">
        <v>4</v>
      </c>
      <c r="I30" s="263" t="n">
        <v>6</v>
      </c>
      <c r="J30" s="263" t="n">
        <v>172</v>
      </c>
      <c r="K30" s="263" t="n">
        <v>222</v>
      </c>
      <c r="L30" s="263" t="n">
        <v>588</v>
      </c>
      <c r="M30" s="263" t="n">
        <v>434</v>
      </c>
      <c r="N30" s="263" t="n">
        <v>434</v>
      </c>
    </row>
    <row r="31" ht="14" customHeight="1" s="227">
      <c r="A31" s="28" t="inlineStr">
        <is>
          <t>-  Rural Area</t>
        </is>
      </c>
      <c r="B31" s="264" t="n">
        <v>20290</v>
      </c>
      <c r="C31" s="264" t="n">
        <v>83378</v>
      </c>
      <c r="D31" s="264" t="n">
        <v>17555</v>
      </c>
      <c r="E31" s="264" t="n">
        <v>76360</v>
      </c>
      <c r="F31" s="264" t="n">
        <v>2611</v>
      </c>
      <c r="G31" s="264" t="n">
        <v>6788</v>
      </c>
      <c r="H31" s="263" t="n">
        <v>124</v>
      </c>
      <c r="I31" s="263" t="n">
        <v>230</v>
      </c>
      <c r="J31" s="263" t="n">
        <v>737</v>
      </c>
      <c r="K31" s="264" t="n">
        <v>1307</v>
      </c>
      <c r="L31" s="264" t="n">
        <v>3800</v>
      </c>
      <c r="M31" s="264" t="n">
        <v>2575</v>
      </c>
      <c r="N31" s="264" t="n">
        <v>3588</v>
      </c>
    </row>
  </sheetData>
  <mergeCells count="8">
    <mergeCell ref="F2:G2"/>
    <mergeCell ref="B2:C2"/>
    <mergeCell ref="H2:I2"/>
    <mergeCell ref="D2:E2"/>
    <mergeCell ref="J2:K2"/>
    <mergeCell ref="A2:A3"/>
    <mergeCell ref="L2:N2"/>
    <mergeCell ref="A1: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00A9D18E"/>
    <outlinePr summaryBelow="1" summaryRight="1"/>
    <pageSetUpPr/>
  </sheetPr>
  <dimension ref="A1:J31"/>
  <sheetViews>
    <sheetView tabSelected="1" workbookViewId="0">
      <selection activeCell="A1" sqref="A1"/>
    </sheetView>
  </sheetViews>
  <sheetFormatPr baseColWidth="8" defaultRowHeight="15"/>
  <cols>
    <col width="29.333333" customWidth="1" style="227" min="1" max="1"/>
    <col width="14.444444" customWidth="1" style="227" min="2" max="2"/>
    <col width="15.333333" customWidth="1" style="227" min="3" max="3"/>
    <col width="15.555556" customWidth="1" style="227" min="4" max="4"/>
    <col width="15.555556" customWidth="1" style="227" min="5" max="5"/>
    <col width="15.555556" customWidth="1" style="227" min="6" max="6"/>
    <col width="15.555556" customWidth="1" style="227" min="7" max="7"/>
    <col width="15.555556" customWidth="1" style="227" min="8" max="8"/>
    <col width="15.555556" customWidth="1" style="227" min="9" max="9"/>
    <col width="15.555556" customWidth="1" style="227" min="10" max="10"/>
  </cols>
  <sheetData>
    <row r="1" ht="31" customHeight="1" s="227">
      <c r="A1" s="2" t="inlineStr">
        <is>
          <t>Table 23: Condition of Classrooms and Existence of Separate School Office and Library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</row>
    <row r="2" ht="19" customHeight="1" s="227">
      <c r="A2" s="3" t="inlineStr">
        <is>
          <t>Province</t>
        </is>
      </c>
      <c r="B2" s="79" t="inlineStr">
        <is>
          <t>Number of</t>
        </is>
      </c>
      <c r="C2" s="81" t="inlineStr">
        <is>
          <t>Number of Classrooms</t>
        </is>
      </c>
      <c r="D2" s="269" t="n"/>
      <c r="E2" s="257" t="n"/>
      <c r="F2" s="81" t="inlineStr">
        <is>
          <t>Classrooms Without Good</t>
        </is>
      </c>
      <c r="G2" s="269" t="n"/>
      <c r="H2" s="257" t="n"/>
      <c r="I2" s="29" t="inlineStr">
        <is>
          <t>Schools with Separate</t>
        </is>
      </c>
      <c r="J2" s="257" t="n"/>
    </row>
    <row r="3" ht="18" customHeight="1" s="227">
      <c r="A3" s="258" t="n"/>
      <c r="B3" s="17" t="inlineStr">
        <is>
          <t>Classrooms</t>
        </is>
      </c>
      <c r="C3" s="11" t="inlineStr">
        <is>
          <t>in Pagoda</t>
        </is>
      </c>
      <c r="D3" s="14" t="inlineStr">
        <is>
          <t>New Repaired</t>
        </is>
      </c>
      <c r="E3" s="11" t="inlineStr">
        <is>
          <t>New Constr.</t>
        </is>
      </c>
      <c r="F3" s="20" t="inlineStr">
        <is>
          <t>Floor</t>
        </is>
      </c>
      <c r="G3" s="20" t="inlineStr">
        <is>
          <t>Roof</t>
        </is>
      </c>
      <c r="H3" s="20" t="inlineStr">
        <is>
          <t>Wall</t>
        </is>
      </c>
      <c r="I3" s="20" t="inlineStr">
        <is>
          <t>Office</t>
        </is>
      </c>
      <c r="J3" s="8" t="inlineStr">
        <is>
          <t>Library</t>
        </is>
      </c>
    </row>
    <row r="4" ht="14" customHeight="1" s="227">
      <c r="A4" s="28" t="inlineStr">
        <is>
          <t>Banteay Meanchey</t>
        </is>
      </c>
      <c r="B4" s="264" t="n">
        <v>3618</v>
      </c>
      <c r="C4" s="263" t="n">
        <v>11</v>
      </c>
      <c r="D4" s="263" t="n">
        <v>127</v>
      </c>
      <c r="E4" s="264" t="n">
        <v>1004</v>
      </c>
      <c r="F4" s="263" t="n">
        <v>818</v>
      </c>
      <c r="G4" s="263" t="n">
        <v>638</v>
      </c>
      <c r="H4" s="264" t="n">
        <v>1021</v>
      </c>
      <c r="I4" s="263" t="n">
        <v>316</v>
      </c>
      <c r="J4" s="263" t="n">
        <v>248</v>
      </c>
    </row>
    <row r="5" ht="14" customHeight="1" s="227">
      <c r="A5" s="28" t="inlineStr">
        <is>
          <t>Battambang</t>
        </is>
      </c>
      <c r="B5" s="264" t="n">
        <v>5561</v>
      </c>
      <c r="C5" s="263" t="n">
        <v>17</v>
      </c>
      <c r="D5" s="263" t="n">
        <v>254</v>
      </c>
      <c r="E5" s="263" t="n">
        <v>677</v>
      </c>
      <c r="F5" s="264" t="n">
        <v>1295</v>
      </c>
      <c r="G5" s="263" t="n">
        <v>995</v>
      </c>
      <c r="H5" s="264" t="n">
        <v>1225</v>
      </c>
      <c r="I5" s="263" t="n">
        <v>522</v>
      </c>
      <c r="J5" s="263" t="n">
        <v>343</v>
      </c>
    </row>
    <row r="6" ht="15" customHeight="1" s="227">
      <c r="A6" s="28" t="inlineStr">
        <is>
          <t>Kampong Cham</t>
        </is>
      </c>
      <c r="B6" s="264" t="n">
        <v>4633</v>
      </c>
      <c r="C6" s="263" t="n">
        <v>111</v>
      </c>
      <c r="D6" s="263" t="n">
        <v>287</v>
      </c>
      <c r="E6" s="263" t="n">
        <v>323</v>
      </c>
      <c r="F6" s="264" t="n">
        <v>1064</v>
      </c>
      <c r="G6" s="263" t="n">
        <v>525</v>
      </c>
      <c r="H6" s="263" t="n">
        <v>668</v>
      </c>
      <c r="I6" s="263" t="n">
        <v>360</v>
      </c>
      <c r="J6" s="263" t="n">
        <v>334</v>
      </c>
    </row>
    <row r="7" ht="14" customHeight="1" s="227">
      <c r="A7" s="28" t="inlineStr">
        <is>
          <t>Kampong Chhnang</t>
        </is>
      </c>
      <c r="B7" s="264" t="n">
        <v>2443</v>
      </c>
      <c r="C7" s="263" t="n">
        <v>7</v>
      </c>
      <c r="D7" s="263" t="n">
        <v>63</v>
      </c>
      <c r="E7" s="263" t="n">
        <v>438</v>
      </c>
      <c r="F7" s="263" t="n">
        <v>427</v>
      </c>
      <c r="G7" s="263" t="n">
        <v>396</v>
      </c>
      <c r="H7" s="263" t="n">
        <v>394</v>
      </c>
      <c r="I7" s="263" t="n">
        <v>229</v>
      </c>
      <c r="J7" s="263" t="n">
        <v>153</v>
      </c>
    </row>
    <row r="8" ht="14" customHeight="1" s="227">
      <c r="A8" s="28" t="inlineStr">
        <is>
          <t>Kampong Speu</t>
        </is>
      </c>
      <c r="B8" s="264" t="n">
        <v>3288</v>
      </c>
      <c r="C8" s="263" t="n">
        <v>11</v>
      </c>
      <c r="D8" s="263" t="n">
        <v>164</v>
      </c>
      <c r="E8" s="263" t="n">
        <v>203</v>
      </c>
      <c r="F8" s="264" t="n">
        <v>1036</v>
      </c>
      <c r="G8" s="263" t="n">
        <v>670</v>
      </c>
      <c r="H8" s="263" t="n">
        <v>778</v>
      </c>
      <c r="I8" s="263" t="n">
        <v>336</v>
      </c>
      <c r="J8" s="263" t="n">
        <v>231</v>
      </c>
    </row>
    <row r="9" ht="14" customHeight="1" s="227">
      <c r="A9" s="28" t="inlineStr">
        <is>
          <t>Kampong Thom</t>
        </is>
      </c>
      <c r="B9" s="264" t="n">
        <v>3583</v>
      </c>
      <c r="C9" s="263" t="n">
        <v>20</v>
      </c>
      <c r="D9" s="263" t="n">
        <v>121</v>
      </c>
      <c r="E9" s="263" t="n">
        <v>463</v>
      </c>
      <c r="F9" s="263" t="n">
        <v>700</v>
      </c>
      <c r="G9" s="263" t="n">
        <v>372</v>
      </c>
      <c r="H9" s="263" t="n">
        <v>369</v>
      </c>
      <c r="I9" s="263" t="n">
        <v>375</v>
      </c>
      <c r="J9" s="263" t="n">
        <v>335</v>
      </c>
    </row>
    <row r="10" ht="14" customHeight="1" s="227">
      <c r="A10" s="28" t="inlineStr">
        <is>
          <t>Kampot</t>
        </is>
      </c>
      <c r="B10" s="264" t="n">
        <v>3120</v>
      </c>
      <c r="C10" s="263" t="n">
        <v>0</v>
      </c>
      <c r="D10" s="263" t="n">
        <v>104</v>
      </c>
      <c r="E10" s="263" t="n">
        <v>293</v>
      </c>
      <c r="F10" s="263" t="n">
        <v>692</v>
      </c>
      <c r="G10" s="263" t="n">
        <v>455</v>
      </c>
      <c r="H10" s="263" t="n">
        <v>467</v>
      </c>
      <c r="I10" s="263" t="n">
        <v>366</v>
      </c>
      <c r="J10" s="263" t="n">
        <v>284</v>
      </c>
    </row>
    <row r="11" ht="14" customHeight="1" s="227">
      <c r="A11" s="28" t="inlineStr">
        <is>
          <t>Kandal</t>
        </is>
      </c>
      <c r="B11" s="264" t="n">
        <v>5195</v>
      </c>
      <c r="C11" s="263" t="n">
        <v>24</v>
      </c>
      <c r="D11" s="263" t="n">
        <v>315</v>
      </c>
      <c r="E11" s="263" t="n">
        <v>425</v>
      </c>
      <c r="F11" s="264" t="n">
        <v>1113</v>
      </c>
      <c r="G11" s="263" t="n">
        <v>672</v>
      </c>
      <c r="H11" s="263" t="n">
        <v>796</v>
      </c>
      <c r="I11" s="263" t="n">
        <v>417</v>
      </c>
      <c r="J11" s="263" t="n">
        <v>342</v>
      </c>
    </row>
    <row r="12" ht="14" customHeight="1" s="227">
      <c r="A12" s="28" t="inlineStr">
        <is>
          <t>Kep</t>
        </is>
      </c>
      <c r="B12" s="263" t="n">
        <v>243</v>
      </c>
      <c r="C12" s="263" t="n">
        <v>7</v>
      </c>
      <c r="D12" s="263" t="n">
        <v>16</v>
      </c>
      <c r="E12" s="263" t="n">
        <v>85</v>
      </c>
      <c r="F12" s="263" t="n">
        <v>49</v>
      </c>
      <c r="G12" s="263" t="n">
        <v>24</v>
      </c>
      <c r="H12" s="263" t="n">
        <v>36</v>
      </c>
      <c r="I12" s="263" t="n">
        <v>20</v>
      </c>
      <c r="J12" s="263" t="n">
        <v>21</v>
      </c>
    </row>
    <row r="13" ht="14" customHeight="1" s="227">
      <c r="A13" s="28" t="inlineStr">
        <is>
          <t>Koh Kong</t>
        </is>
      </c>
      <c r="B13" s="263" t="n">
        <v>754</v>
      </c>
      <c r="C13" s="263" t="n">
        <v>0</v>
      </c>
      <c r="D13" s="263" t="n">
        <v>104</v>
      </c>
      <c r="E13" s="263" t="n">
        <v>173</v>
      </c>
      <c r="F13" s="263" t="n">
        <v>75</v>
      </c>
      <c r="G13" s="263" t="n">
        <v>51</v>
      </c>
      <c r="H13" s="263" t="n">
        <v>104</v>
      </c>
      <c r="I13" s="263" t="n">
        <v>46</v>
      </c>
      <c r="J13" s="263" t="n">
        <v>49</v>
      </c>
    </row>
    <row r="14" ht="14" customHeight="1" s="227">
      <c r="A14" s="28" t="inlineStr">
        <is>
          <t>Kratie</t>
        </is>
      </c>
      <c r="B14" s="264" t="n">
        <v>1906</v>
      </c>
      <c r="C14" s="263" t="n">
        <v>70</v>
      </c>
      <c r="D14" s="263" t="n">
        <v>41</v>
      </c>
      <c r="E14" s="263" t="n">
        <v>158</v>
      </c>
      <c r="F14" s="263" t="n">
        <v>395</v>
      </c>
      <c r="G14" s="263" t="n">
        <v>298</v>
      </c>
      <c r="H14" s="263" t="n">
        <v>358</v>
      </c>
      <c r="I14" s="263" t="n">
        <v>160</v>
      </c>
      <c r="J14" s="263" t="n">
        <v>102</v>
      </c>
    </row>
    <row r="15" ht="14" customHeight="1" s="227">
      <c r="A15" s="28" t="inlineStr">
        <is>
          <t>Mondul Kiri</t>
        </is>
      </c>
      <c r="B15" s="263" t="n">
        <v>559</v>
      </c>
      <c r="C15" s="263" t="n">
        <v>2</v>
      </c>
      <c r="D15" s="263" t="n">
        <v>24</v>
      </c>
      <c r="E15" s="263" t="n">
        <v>133</v>
      </c>
      <c r="F15" s="263" t="n">
        <v>165</v>
      </c>
      <c r="G15" s="263" t="n">
        <v>75</v>
      </c>
      <c r="H15" s="263" t="n">
        <v>180</v>
      </c>
      <c r="I15" s="263" t="n">
        <v>19</v>
      </c>
      <c r="J15" s="263" t="n">
        <v>17</v>
      </c>
    </row>
    <row r="16" ht="14" customHeight="1" s="227">
      <c r="A16" s="28" t="inlineStr">
        <is>
          <t>Otdar Meanchey</t>
        </is>
      </c>
      <c r="B16" s="264" t="n">
        <v>1423</v>
      </c>
      <c r="C16" s="263" t="n">
        <v>15</v>
      </c>
      <c r="D16" s="263" t="n">
        <v>29</v>
      </c>
      <c r="E16" s="263" t="n">
        <v>309</v>
      </c>
      <c r="F16" s="263" t="n">
        <v>218</v>
      </c>
      <c r="G16" s="263" t="n">
        <v>127</v>
      </c>
      <c r="H16" s="263" t="n">
        <v>197</v>
      </c>
      <c r="I16" s="263" t="n">
        <v>151</v>
      </c>
      <c r="J16" s="263" t="n">
        <v>58</v>
      </c>
    </row>
    <row r="17" ht="14" customHeight="1" s="227">
      <c r="A17" s="28" t="inlineStr">
        <is>
          <t>Pailin</t>
        </is>
      </c>
      <c r="B17" s="263" t="n">
        <v>392</v>
      </c>
      <c r="C17" s="263" t="n">
        <v>0</v>
      </c>
      <c r="D17" s="263" t="n">
        <v>28</v>
      </c>
      <c r="E17" s="263" t="n">
        <v>209</v>
      </c>
      <c r="F17" s="263" t="n">
        <v>56</v>
      </c>
      <c r="G17" s="263" t="n">
        <v>13</v>
      </c>
      <c r="H17" s="263" t="n">
        <v>32</v>
      </c>
      <c r="I17" s="263" t="n">
        <v>41</v>
      </c>
      <c r="J17" s="263" t="n">
        <v>27</v>
      </c>
    </row>
    <row r="18" ht="14" customHeight="1" s="227">
      <c r="A18" s="28" t="inlineStr">
        <is>
          <t>Phnom Penh</t>
        </is>
      </c>
      <c r="B18" s="264" t="n">
        <v>3854</v>
      </c>
      <c r="C18" s="263" t="n">
        <v>18</v>
      </c>
      <c r="D18" s="263" t="n">
        <v>500</v>
      </c>
      <c r="E18" s="263" t="n">
        <v>251</v>
      </c>
      <c r="F18" s="263" t="n">
        <v>876</v>
      </c>
      <c r="G18" s="263" t="n">
        <v>611</v>
      </c>
      <c r="H18" s="263" t="n">
        <v>682</v>
      </c>
      <c r="I18" s="263" t="n">
        <v>236</v>
      </c>
      <c r="J18" s="263" t="n">
        <v>229</v>
      </c>
    </row>
    <row r="19" ht="14" customHeight="1" s="227">
      <c r="A19" s="28" t="inlineStr">
        <is>
          <t>Preah Sihanouk</t>
        </is>
      </c>
      <c r="B19" s="263" t="n">
        <v>959</v>
      </c>
      <c r="C19" s="263" t="n">
        <v>0</v>
      </c>
      <c r="D19" s="263" t="n">
        <v>12</v>
      </c>
      <c r="E19" s="263" t="n">
        <v>182</v>
      </c>
      <c r="F19" s="263" t="n">
        <v>40</v>
      </c>
      <c r="G19" s="263" t="n">
        <v>29</v>
      </c>
      <c r="H19" s="263" t="n">
        <v>47</v>
      </c>
      <c r="I19" s="263" t="n">
        <v>20</v>
      </c>
      <c r="J19" s="263" t="n">
        <v>14</v>
      </c>
    </row>
    <row r="20" ht="14" customHeight="1" s="227">
      <c r="A20" s="28" t="inlineStr">
        <is>
          <t>Preah Vihear</t>
        </is>
      </c>
      <c r="B20" s="264" t="n">
        <v>1549</v>
      </c>
      <c r="C20" s="263" t="n">
        <v>1</v>
      </c>
      <c r="D20" s="263" t="n">
        <v>57</v>
      </c>
      <c r="E20" s="263" t="n">
        <v>426</v>
      </c>
      <c r="F20" s="263" t="n">
        <v>363</v>
      </c>
      <c r="G20" s="263" t="n">
        <v>132</v>
      </c>
      <c r="H20" s="263" t="n">
        <v>289</v>
      </c>
      <c r="I20" s="263" t="n">
        <v>107</v>
      </c>
      <c r="J20" s="263" t="n">
        <v>81</v>
      </c>
    </row>
    <row r="21" ht="14" customHeight="1" s="227">
      <c r="A21" s="28" t="inlineStr">
        <is>
          <t>Prey Veng</t>
        </is>
      </c>
      <c r="B21" s="264" t="n">
        <v>5547</v>
      </c>
      <c r="C21" s="263" t="n">
        <v>29</v>
      </c>
      <c r="D21" s="263" t="n">
        <v>217</v>
      </c>
      <c r="E21" s="263" t="n">
        <v>718</v>
      </c>
      <c r="F21" s="264" t="n">
        <v>1259</v>
      </c>
      <c r="G21" s="263" t="n">
        <v>814</v>
      </c>
      <c r="H21" s="263" t="n">
        <v>959</v>
      </c>
      <c r="I21" s="263" t="n">
        <v>563</v>
      </c>
      <c r="J21" s="263" t="n">
        <v>350</v>
      </c>
    </row>
    <row r="22" ht="14" customHeight="1" s="227">
      <c r="A22" s="28" t="inlineStr">
        <is>
          <t>Pursat</t>
        </is>
      </c>
      <c r="B22" s="264" t="n">
        <v>2415</v>
      </c>
      <c r="C22" s="263" t="n">
        <v>0</v>
      </c>
      <c r="D22" s="263" t="n">
        <v>81</v>
      </c>
      <c r="E22" s="263" t="n">
        <v>184</v>
      </c>
      <c r="F22" s="263" t="n">
        <v>435</v>
      </c>
      <c r="G22" s="263" t="n">
        <v>379</v>
      </c>
      <c r="H22" s="263" t="n">
        <v>402</v>
      </c>
      <c r="I22" s="263" t="n">
        <v>258</v>
      </c>
      <c r="J22" s="263" t="n">
        <v>137</v>
      </c>
    </row>
    <row r="23" ht="14" customHeight="1" s="227">
      <c r="A23" s="28" t="inlineStr">
        <is>
          <t>Ratanak Kiri</t>
        </is>
      </c>
      <c r="B23" s="264" t="n">
        <v>1158</v>
      </c>
      <c r="C23" s="263" t="n">
        <v>0</v>
      </c>
      <c r="D23" s="263" t="n">
        <v>83</v>
      </c>
      <c r="E23" s="263" t="n">
        <v>299</v>
      </c>
      <c r="F23" s="263" t="n">
        <v>216</v>
      </c>
      <c r="G23" s="263" t="n">
        <v>205</v>
      </c>
      <c r="H23" s="263" t="n">
        <v>219</v>
      </c>
      <c r="I23" s="263" t="n">
        <v>70</v>
      </c>
      <c r="J23" s="263" t="n">
        <v>105</v>
      </c>
    </row>
    <row r="24" ht="14" customHeight="1" s="227">
      <c r="A24" s="28" t="inlineStr">
        <is>
          <t>Siemreap</t>
        </is>
      </c>
      <c r="B24" s="264" t="n">
        <v>5151</v>
      </c>
      <c r="C24" s="263" t="n">
        <v>87</v>
      </c>
      <c r="D24" s="263" t="n">
        <v>124</v>
      </c>
      <c r="E24" s="263" t="n">
        <v>687</v>
      </c>
      <c r="F24" s="264" t="n">
        <v>1161</v>
      </c>
      <c r="G24" s="263" t="n">
        <v>710</v>
      </c>
      <c r="H24" s="263" t="n">
        <v>712</v>
      </c>
      <c r="I24" s="263" t="n">
        <v>497</v>
      </c>
      <c r="J24" s="263" t="n">
        <v>456</v>
      </c>
    </row>
    <row r="25" ht="14" customHeight="1" s="227">
      <c r="A25" s="28" t="inlineStr">
        <is>
          <t>Stung Treng</t>
        </is>
      </c>
      <c r="B25" s="263" t="n">
        <v>908</v>
      </c>
      <c r="C25" s="263" t="n">
        <v>1</v>
      </c>
      <c r="D25" s="263" t="n">
        <v>26</v>
      </c>
      <c r="E25" s="263" t="n">
        <v>298</v>
      </c>
      <c r="F25" s="263" t="n">
        <v>153</v>
      </c>
      <c r="G25" s="263" t="n">
        <v>193</v>
      </c>
      <c r="H25" s="263" t="n">
        <v>194</v>
      </c>
      <c r="I25" s="263" t="n">
        <v>58</v>
      </c>
      <c r="J25" s="263" t="n">
        <v>64</v>
      </c>
    </row>
    <row r="26" ht="14" customHeight="1" s="227">
      <c r="A26" s="28" t="inlineStr">
        <is>
          <t>Svay Rieng</t>
        </is>
      </c>
      <c r="B26" s="264" t="n">
        <v>2839</v>
      </c>
      <c r="C26" s="263" t="n">
        <v>7</v>
      </c>
      <c r="D26" s="263" t="n">
        <v>107</v>
      </c>
      <c r="E26" s="263" t="n">
        <v>259</v>
      </c>
      <c r="F26" s="263" t="n">
        <v>685</v>
      </c>
      <c r="G26" s="263" t="n">
        <v>289</v>
      </c>
      <c r="H26" s="263" t="n">
        <v>487</v>
      </c>
      <c r="I26" s="263" t="n">
        <v>209</v>
      </c>
      <c r="J26" s="263" t="n">
        <v>168</v>
      </c>
    </row>
    <row r="27" ht="14" customHeight="1" s="227">
      <c r="A27" s="28" t="inlineStr">
        <is>
          <t>Takeo</t>
        </is>
      </c>
      <c r="B27" s="264" t="n">
        <v>5208</v>
      </c>
      <c r="C27" s="263" t="n">
        <v>82</v>
      </c>
      <c r="D27" s="263" t="n">
        <v>334</v>
      </c>
      <c r="E27" s="263" t="n">
        <v>429</v>
      </c>
      <c r="F27" s="264" t="n">
        <v>1968</v>
      </c>
      <c r="G27" s="264" t="n">
        <v>1179</v>
      </c>
      <c r="H27" s="264" t="n">
        <v>1498</v>
      </c>
      <c r="I27" s="263" t="n">
        <v>499</v>
      </c>
      <c r="J27" s="263" t="n">
        <v>454</v>
      </c>
    </row>
    <row r="28" ht="14" customHeight="1" s="227">
      <c r="A28" s="28" t="inlineStr">
        <is>
          <t>Tbaung Khmum</t>
        </is>
      </c>
      <c r="B28" s="264" t="n">
        <v>3499</v>
      </c>
      <c r="C28" s="263" t="n">
        <v>32</v>
      </c>
      <c r="D28" s="263" t="n">
        <v>201</v>
      </c>
      <c r="E28" s="263" t="n">
        <v>486</v>
      </c>
      <c r="F28" s="263" t="n">
        <v>959</v>
      </c>
      <c r="G28" s="263" t="n">
        <v>580</v>
      </c>
      <c r="H28" s="263" t="n">
        <v>633</v>
      </c>
      <c r="I28" s="263" t="n">
        <v>290</v>
      </c>
      <c r="J28" s="263" t="n">
        <v>208</v>
      </c>
    </row>
    <row r="29" ht="17" customHeight="1" s="227">
      <c r="A29" s="22" t="inlineStr">
        <is>
          <t>Whole Kingdom</t>
        </is>
      </c>
      <c r="B29" s="264" t="n">
        <v>69805</v>
      </c>
      <c r="C29" s="263" t="n">
        <v>552</v>
      </c>
      <c r="D29" s="264" t="n">
        <v>3419</v>
      </c>
      <c r="E29" s="264" t="n">
        <v>9112</v>
      </c>
      <c r="F29" s="264" t="n">
        <v>16218</v>
      </c>
      <c r="G29" s="264" t="n">
        <v>10432</v>
      </c>
      <c r="H29" s="264" t="n">
        <v>12747</v>
      </c>
      <c r="I29" s="264" t="n">
        <v>6165</v>
      </c>
      <c r="J29" s="264" t="n">
        <v>4810</v>
      </c>
    </row>
    <row r="30" ht="14" customHeight="1" s="227">
      <c r="A30" s="28" t="inlineStr">
        <is>
          <t>-  Urban Area</t>
        </is>
      </c>
      <c r="B30" s="264" t="n">
        <v>11615</v>
      </c>
      <c r="C30" s="263" t="n">
        <v>84</v>
      </c>
      <c r="D30" s="263" t="n">
        <v>837</v>
      </c>
      <c r="E30" s="264" t="n">
        <v>2204</v>
      </c>
      <c r="F30" s="264" t="n">
        <v>2378</v>
      </c>
      <c r="G30" s="264" t="n">
        <v>1671</v>
      </c>
      <c r="H30" s="264" t="n">
        <v>1839</v>
      </c>
      <c r="I30" s="263" t="n">
        <v>788</v>
      </c>
      <c r="J30" s="263" t="n">
        <v>684</v>
      </c>
    </row>
    <row r="31" ht="14" customHeight="1" s="227">
      <c r="A31" s="28" t="inlineStr">
        <is>
          <t>-  Rural Area</t>
        </is>
      </c>
      <c r="B31" s="264" t="n">
        <v>58190</v>
      </c>
      <c r="C31" s="263" t="n">
        <v>468</v>
      </c>
      <c r="D31" s="264" t="n">
        <v>2582</v>
      </c>
      <c r="E31" s="264" t="n">
        <v>6908</v>
      </c>
      <c r="F31" s="264" t="n">
        <v>13840</v>
      </c>
      <c r="G31" s="264" t="n">
        <v>8761</v>
      </c>
      <c r="H31" s="264" t="n">
        <v>10908</v>
      </c>
      <c r="I31" s="264" t="n">
        <v>5377</v>
      </c>
      <c r="J31" s="264" t="n">
        <v>4126</v>
      </c>
    </row>
  </sheetData>
  <mergeCells count="5">
    <mergeCell ref="C2:E2"/>
    <mergeCell ref="A1:J1"/>
    <mergeCell ref="I2:J2"/>
    <mergeCell ref="F2:H2"/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A9D18E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5.777778" customWidth="1" style="227" min="1" max="1"/>
    <col width="12.666667" customWidth="1" style="227" min="2" max="2"/>
    <col width="12.888889" customWidth="1" style="227" min="3" max="3"/>
    <col width="11.555556" customWidth="1" style="227" min="4" max="4"/>
    <col width="12.444444" customWidth="1" style="227" min="5" max="5"/>
    <col width="11.333333" customWidth="1" style="227" min="6" max="6"/>
    <col width="11.555556" customWidth="1" style="227" min="7" max="7"/>
    <col width="11.333333" customWidth="1" style="227" min="8" max="8"/>
    <col width="11.555556" customWidth="1" style="227" min="9" max="9"/>
    <col width="11.555556" customWidth="1" style="227" min="10" max="10"/>
    <col width="11.333333" customWidth="1" style="227" min="11" max="11"/>
    <col width="11.555556" customWidth="1" style="227" min="12" max="12"/>
    <col width="11.333333" customWidth="1" style="227" min="13" max="13"/>
  </cols>
  <sheetData>
    <row r="1" ht="31" customHeight="1" s="227">
      <c r="A1" s="2" t="inlineStr">
        <is>
          <t>Table 24: School Space and Sports Facilities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" t="inlineStr">
        <is>
          <t>Province</t>
        </is>
      </c>
      <c r="B2" s="29" t="inlineStr">
        <is>
          <t>School Area (m2)</t>
        </is>
      </c>
      <c r="C2" s="257" t="n"/>
      <c r="D2" s="39" t="inlineStr">
        <is>
          <t>Cl.room Area</t>
        </is>
      </c>
      <c r="E2" s="6" t="inlineStr">
        <is>
          <t>Pre-School with</t>
        </is>
      </c>
      <c r="F2" s="20" t="inlineStr">
        <is>
          <t>Schools with Sport Ground, Equipment and Teams / Player for</t>
        </is>
      </c>
      <c r="G2" s="269" t="n"/>
      <c r="H2" s="269" t="n"/>
      <c r="I2" s="269" t="n"/>
      <c r="J2" s="269" t="n"/>
      <c r="K2" s="269" t="n"/>
      <c r="L2" s="269" t="n"/>
      <c r="M2" s="257" t="n"/>
    </row>
    <row r="3" ht="18" customHeight="1" s="227">
      <c r="A3" s="258" t="n"/>
      <c r="B3" s="20" t="inlineStr">
        <is>
          <t>Land</t>
        </is>
      </c>
      <c r="C3" s="14" t="inlineStr">
        <is>
          <t>Playground</t>
        </is>
      </c>
      <c r="D3" s="17" t="inlineStr">
        <is>
          <t>per Student</t>
        </is>
      </c>
      <c r="E3" s="41" t="inlineStr">
        <is>
          <t>Sport Facility</t>
        </is>
      </c>
      <c r="F3" s="14" t="inlineStr">
        <is>
          <t>Volleyball</t>
        </is>
      </c>
      <c r="G3" s="14" t="inlineStr">
        <is>
          <t>Football</t>
        </is>
      </c>
      <c r="H3" s="21" t="inlineStr">
        <is>
          <t>Basketball</t>
        </is>
      </c>
      <c r="I3" s="52" t="inlineStr">
        <is>
          <t>Climb.Ropes</t>
        </is>
      </c>
      <c r="J3" s="14" t="inlineStr">
        <is>
          <t>Shotput</t>
        </is>
      </c>
      <c r="K3" s="21" t="inlineStr">
        <is>
          <t>High Jump</t>
        </is>
      </c>
      <c r="L3" s="21" t="inlineStr">
        <is>
          <t>Long Jump</t>
        </is>
      </c>
      <c r="M3" s="14" t="inlineStr">
        <is>
          <t>Running</t>
        </is>
      </c>
    </row>
    <row r="4" ht="14" customHeight="1" s="227">
      <c r="A4" s="28" t="inlineStr">
        <is>
          <t>Banteay Meanchey</t>
        </is>
      </c>
      <c r="B4" s="259" t="n">
        <v>17740</v>
      </c>
      <c r="C4" s="259" t="n">
        <v>6702</v>
      </c>
      <c r="D4" s="277" t="n">
        <v>1.28</v>
      </c>
      <c r="E4" s="260" t="n">
        <v>32</v>
      </c>
      <c r="F4" s="260" t="n">
        <v>149</v>
      </c>
      <c r="G4" s="260" t="n">
        <v>150</v>
      </c>
      <c r="H4" s="260" t="n">
        <v>17</v>
      </c>
      <c r="I4" s="260" t="n">
        <v>33</v>
      </c>
      <c r="J4" s="260" t="n">
        <v>44</v>
      </c>
      <c r="K4" s="260" t="n">
        <v>86</v>
      </c>
      <c r="L4" s="260" t="n">
        <v>89</v>
      </c>
      <c r="M4" s="260" t="n">
        <v>92</v>
      </c>
    </row>
    <row r="5" ht="14" customHeight="1" s="227">
      <c r="A5" s="28" t="inlineStr">
        <is>
          <t>Battambang</t>
        </is>
      </c>
      <c r="B5" s="259" t="n">
        <v>34063</v>
      </c>
      <c r="C5" s="259" t="n">
        <v>8843</v>
      </c>
      <c r="D5" s="277" t="n">
        <v>1.32</v>
      </c>
      <c r="E5" s="260" t="n">
        <v>90</v>
      </c>
      <c r="F5" s="260" t="n">
        <v>170</v>
      </c>
      <c r="G5" s="260" t="n">
        <v>131</v>
      </c>
      <c r="H5" s="260" t="n">
        <v>34</v>
      </c>
      <c r="I5" s="260" t="n">
        <v>41</v>
      </c>
      <c r="J5" s="260" t="n">
        <v>84</v>
      </c>
      <c r="K5" s="260" t="n">
        <v>95</v>
      </c>
      <c r="L5" s="260" t="n">
        <v>88</v>
      </c>
      <c r="M5" s="260" t="n">
        <v>107</v>
      </c>
    </row>
    <row r="6" ht="15" customHeight="1" s="227">
      <c r="A6" s="28" t="inlineStr">
        <is>
          <t>Kampong Cham</t>
        </is>
      </c>
      <c r="B6" s="259" t="n">
        <v>12401</v>
      </c>
      <c r="C6" s="259" t="n">
        <v>6911</v>
      </c>
      <c r="D6" s="277" t="n">
        <v>1.09</v>
      </c>
      <c r="E6" s="260" t="n">
        <v>38</v>
      </c>
      <c r="F6" s="260" t="n">
        <v>134</v>
      </c>
      <c r="G6" s="260" t="n">
        <v>36</v>
      </c>
      <c r="H6" s="260" t="n">
        <v>8</v>
      </c>
      <c r="I6" s="260" t="n">
        <v>28</v>
      </c>
      <c r="J6" s="260" t="n">
        <v>50</v>
      </c>
      <c r="K6" s="260" t="n">
        <v>54</v>
      </c>
      <c r="L6" s="260" t="n">
        <v>64</v>
      </c>
      <c r="M6" s="260" t="n">
        <v>92</v>
      </c>
    </row>
    <row r="7" ht="14" customHeight="1" s="227">
      <c r="A7" s="28" t="inlineStr">
        <is>
          <t>Kampong Chhnang</t>
        </is>
      </c>
      <c r="B7" s="259" t="n">
        <v>24577</v>
      </c>
      <c r="C7" s="259" t="n">
        <v>10167</v>
      </c>
      <c r="D7" s="277" t="n">
        <v>1.12</v>
      </c>
      <c r="E7" s="260" t="n">
        <v>35</v>
      </c>
      <c r="F7" s="260" t="n">
        <v>131</v>
      </c>
      <c r="G7" s="260" t="n">
        <v>84</v>
      </c>
      <c r="H7" s="260" t="n">
        <v>21</v>
      </c>
      <c r="I7" s="260" t="n">
        <v>43</v>
      </c>
      <c r="J7" s="260" t="n">
        <v>65</v>
      </c>
      <c r="K7" s="260" t="n">
        <v>150</v>
      </c>
      <c r="L7" s="260" t="n">
        <v>156</v>
      </c>
      <c r="M7" s="260" t="n">
        <v>142</v>
      </c>
    </row>
    <row r="8" ht="14" customHeight="1" s="227">
      <c r="A8" s="28" t="inlineStr">
        <is>
          <t>Kampong Speu</t>
        </is>
      </c>
      <c r="B8" s="259" t="n">
        <v>20846</v>
      </c>
      <c r="C8" s="259" t="n">
        <v>8458</v>
      </c>
      <c r="D8" s="277" t="n">
        <v>1.2</v>
      </c>
      <c r="E8" s="260" t="n">
        <v>69</v>
      </c>
      <c r="F8" s="260" t="n">
        <v>279</v>
      </c>
      <c r="G8" s="260" t="n">
        <v>208</v>
      </c>
      <c r="H8" s="260" t="n">
        <v>27</v>
      </c>
      <c r="I8" s="260" t="n">
        <v>36</v>
      </c>
      <c r="J8" s="260" t="n">
        <v>59</v>
      </c>
      <c r="K8" s="260" t="n">
        <v>223</v>
      </c>
      <c r="L8" s="260" t="n">
        <v>224</v>
      </c>
      <c r="M8" s="260" t="n">
        <v>214</v>
      </c>
    </row>
    <row r="9" ht="14" customHeight="1" s="227">
      <c r="A9" s="28" t="inlineStr">
        <is>
          <t>Kampong Thom</t>
        </is>
      </c>
      <c r="B9" s="259" t="n">
        <v>17120</v>
      </c>
      <c r="C9" s="259" t="n">
        <v>11062</v>
      </c>
      <c r="D9" s="277" t="n">
        <v>2.85</v>
      </c>
      <c r="E9" s="260" t="n">
        <v>53</v>
      </c>
      <c r="F9" s="260" t="n">
        <v>141</v>
      </c>
      <c r="G9" s="260" t="n">
        <v>88</v>
      </c>
      <c r="H9" s="260" t="n">
        <v>15</v>
      </c>
      <c r="I9" s="260" t="n">
        <v>22</v>
      </c>
      <c r="J9" s="260" t="n">
        <v>78</v>
      </c>
      <c r="K9" s="260" t="n">
        <v>131</v>
      </c>
      <c r="L9" s="260" t="n">
        <v>125</v>
      </c>
      <c r="M9" s="260" t="n">
        <v>130</v>
      </c>
    </row>
    <row r="10" ht="14" customHeight="1" s="227">
      <c r="A10" s="28" t="inlineStr">
        <is>
          <t>Kampot</t>
        </is>
      </c>
      <c r="B10" s="259" t="n">
        <v>16036</v>
      </c>
      <c r="C10" s="259" t="n">
        <v>6919</v>
      </c>
      <c r="D10" s="277" t="n">
        <v>1.35</v>
      </c>
      <c r="E10" s="260" t="n">
        <v>29</v>
      </c>
      <c r="F10" s="260" t="n">
        <v>214</v>
      </c>
      <c r="G10" s="260" t="n">
        <v>70</v>
      </c>
      <c r="H10" s="260" t="n">
        <v>22</v>
      </c>
      <c r="I10" s="260" t="n">
        <v>58</v>
      </c>
      <c r="J10" s="260" t="n">
        <v>127</v>
      </c>
      <c r="K10" s="260" t="n">
        <v>202</v>
      </c>
      <c r="L10" s="260" t="n">
        <v>196</v>
      </c>
      <c r="M10" s="260" t="n">
        <v>245</v>
      </c>
    </row>
    <row r="11" ht="14" customHeight="1" s="227">
      <c r="A11" s="28" t="inlineStr">
        <is>
          <t>Kandal</t>
        </is>
      </c>
      <c r="B11" s="259" t="n">
        <v>18220</v>
      </c>
      <c r="C11" s="259" t="n">
        <v>13220</v>
      </c>
      <c r="D11" s="277" t="n">
        <v>1.86</v>
      </c>
      <c r="E11" s="260" t="n">
        <v>72</v>
      </c>
      <c r="F11" s="260" t="n">
        <v>204</v>
      </c>
      <c r="G11" s="260" t="n">
        <v>101</v>
      </c>
      <c r="H11" s="260" t="n">
        <v>42</v>
      </c>
      <c r="I11" s="260" t="n">
        <v>93</v>
      </c>
      <c r="J11" s="260" t="n">
        <v>125</v>
      </c>
      <c r="K11" s="260" t="n">
        <v>243</v>
      </c>
      <c r="L11" s="260" t="n">
        <v>235</v>
      </c>
      <c r="M11" s="260" t="n">
        <v>260</v>
      </c>
    </row>
    <row r="12" ht="14" customHeight="1" s="227">
      <c r="A12" s="28" t="inlineStr">
        <is>
          <t>Kep</t>
        </is>
      </c>
      <c r="B12" s="259" t="n">
        <v>15695</v>
      </c>
      <c r="C12" s="259" t="n">
        <v>2462</v>
      </c>
      <c r="D12" s="277" t="n">
        <v>1.65</v>
      </c>
      <c r="E12" s="260" t="n">
        <v>2</v>
      </c>
      <c r="F12" s="260" t="n">
        <v>15</v>
      </c>
      <c r="G12" s="260" t="n">
        <v>6</v>
      </c>
      <c r="H12" s="260" t="n">
        <v>0</v>
      </c>
      <c r="I12" s="260" t="n">
        <v>0</v>
      </c>
      <c r="J12" s="260" t="n">
        <v>7</v>
      </c>
      <c r="K12" s="260" t="n">
        <v>22</v>
      </c>
      <c r="L12" s="260" t="n">
        <v>20</v>
      </c>
      <c r="M12" s="260" t="n">
        <v>18</v>
      </c>
    </row>
    <row r="13" ht="14" customHeight="1" s="227">
      <c r="A13" s="28" t="inlineStr">
        <is>
          <t>Koh Kong</t>
        </is>
      </c>
      <c r="B13" s="259" t="n">
        <v>12105</v>
      </c>
      <c r="C13" s="259" t="n">
        <v>5045</v>
      </c>
      <c r="D13" s="277" t="n">
        <v>1.46</v>
      </c>
      <c r="E13" s="260" t="n">
        <v>13</v>
      </c>
      <c r="F13" s="260" t="n">
        <v>33</v>
      </c>
      <c r="G13" s="260" t="n">
        <v>29</v>
      </c>
      <c r="H13" s="260" t="n">
        <v>2</v>
      </c>
      <c r="I13" s="260" t="n">
        <v>4</v>
      </c>
      <c r="J13" s="260" t="n">
        <v>10</v>
      </c>
      <c r="K13" s="260" t="n">
        <v>16</v>
      </c>
      <c r="L13" s="260" t="n">
        <v>16</v>
      </c>
      <c r="M13" s="260" t="n">
        <v>17</v>
      </c>
    </row>
    <row r="14" ht="14" customHeight="1" s="227">
      <c r="A14" s="28" t="inlineStr">
        <is>
          <t>Kratie</t>
        </is>
      </c>
      <c r="B14" s="259" t="n">
        <v>228101</v>
      </c>
      <c r="C14" s="259" t="n">
        <v>14648</v>
      </c>
      <c r="D14" s="277" t="n">
        <v>1.37</v>
      </c>
      <c r="E14" s="260" t="n">
        <v>15</v>
      </c>
      <c r="F14" s="260" t="n">
        <v>82</v>
      </c>
      <c r="G14" s="260" t="n">
        <v>39</v>
      </c>
      <c r="H14" s="260" t="n">
        <v>16</v>
      </c>
      <c r="I14" s="260" t="n">
        <v>15</v>
      </c>
      <c r="J14" s="260" t="n">
        <v>42</v>
      </c>
      <c r="K14" s="260" t="n">
        <v>76</v>
      </c>
      <c r="L14" s="260" t="n">
        <v>74</v>
      </c>
      <c r="M14" s="260" t="n">
        <v>84</v>
      </c>
    </row>
    <row r="15" ht="14" customHeight="1" s="227">
      <c r="A15" s="28" t="inlineStr">
        <is>
          <t>Mondul Kiri</t>
        </is>
      </c>
      <c r="B15" s="259" t="n">
        <v>18259</v>
      </c>
      <c r="C15" s="259" t="n">
        <v>6676</v>
      </c>
      <c r="D15" s="277" t="n">
        <v>1.21</v>
      </c>
      <c r="E15" s="260" t="n">
        <v>2</v>
      </c>
      <c r="F15" s="260" t="n">
        <v>36</v>
      </c>
      <c r="G15" s="260" t="n">
        <v>20</v>
      </c>
      <c r="H15" s="260" t="n">
        <v>7</v>
      </c>
      <c r="I15" s="260" t="n">
        <v>4</v>
      </c>
      <c r="J15" s="260" t="n">
        <v>12</v>
      </c>
      <c r="K15" s="260" t="n">
        <v>17</v>
      </c>
      <c r="L15" s="260" t="n">
        <v>17</v>
      </c>
      <c r="M15" s="260" t="n">
        <v>15</v>
      </c>
    </row>
    <row r="16" ht="14" customHeight="1" s="227">
      <c r="A16" s="28" t="inlineStr">
        <is>
          <t>Otdar Meanchey</t>
        </is>
      </c>
      <c r="B16" s="259" t="n">
        <v>29821</v>
      </c>
      <c r="C16" s="259" t="n">
        <v>13618</v>
      </c>
      <c r="D16" s="277" t="n">
        <v>1.69</v>
      </c>
      <c r="E16" s="260" t="n">
        <v>19</v>
      </c>
      <c r="F16" s="260" t="n">
        <v>101</v>
      </c>
      <c r="G16" s="260" t="n">
        <v>100</v>
      </c>
      <c r="H16" s="260" t="n">
        <v>14</v>
      </c>
      <c r="I16" s="260" t="n">
        <v>11</v>
      </c>
      <c r="J16" s="260" t="n">
        <v>37</v>
      </c>
      <c r="K16" s="260" t="n">
        <v>49</v>
      </c>
      <c r="L16" s="260" t="n">
        <v>42</v>
      </c>
      <c r="M16" s="260" t="n">
        <v>48</v>
      </c>
    </row>
    <row r="17" ht="14" customHeight="1" s="227">
      <c r="A17" s="28" t="inlineStr">
        <is>
          <t>Pailin</t>
        </is>
      </c>
      <c r="B17" s="259" t="n">
        <v>23079</v>
      </c>
      <c r="C17" s="259" t="n">
        <v>4329</v>
      </c>
      <c r="D17" s="277" t="n">
        <v>1.1</v>
      </c>
      <c r="E17" s="260" t="n">
        <v>9</v>
      </c>
      <c r="F17" s="260" t="n">
        <v>18</v>
      </c>
      <c r="G17" s="260" t="n">
        <v>18</v>
      </c>
      <c r="H17" s="260" t="n">
        <v>4</v>
      </c>
      <c r="I17" s="260" t="n">
        <v>0</v>
      </c>
      <c r="J17" s="260" t="n">
        <v>9</v>
      </c>
      <c r="K17" s="260" t="n">
        <v>14</v>
      </c>
      <c r="L17" s="260" t="n">
        <v>13</v>
      </c>
      <c r="M17" s="260" t="n">
        <v>11</v>
      </c>
    </row>
    <row r="18" ht="14" customHeight="1" s="227">
      <c r="A18" s="28" t="inlineStr">
        <is>
          <t>Phnom Penh</t>
        </is>
      </c>
      <c r="B18" s="259" t="n">
        <v>37462</v>
      </c>
      <c r="C18" s="259" t="n">
        <v>21237</v>
      </c>
      <c r="D18" s="277" t="n">
        <v>9.16</v>
      </c>
      <c r="E18" s="260" t="n">
        <v>59</v>
      </c>
      <c r="F18" s="260" t="n">
        <v>98</v>
      </c>
      <c r="G18" s="260" t="n">
        <v>47</v>
      </c>
      <c r="H18" s="260" t="n">
        <v>31</v>
      </c>
      <c r="I18" s="260" t="n">
        <v>27</v>
      </c>
      <c r="J18" s="260" t="n">
        <v>59</v>
      </c>
      <c r="K18" s="260" t="n">
        <v>129</v>
      </c>
      <c r="L18" s="260" t="n">
        <v>129</v>
      </c>
      <c r="M18" s="260" t="n">
        <v>125</v>
      </c>
    </row>
    <row r="19" ht="14" customHeight="1" s="227">
      <c r="A19" s="28" t="inlineStr">
        <is>
          <t>Preah Sihanouk</t>
        </is>
      </c>
      <c r="B19" s="259" t="n">
        <v>14607</v>
      </c>
      <c r="C19" s="259" t="n">
        <v>5424</v>
      </c>
      <c r="D19" s="277" t="n">
        <v>1.7</v>
      </c>
      <c r="E19" s="260" t="n">
        <v>1</v>
      </c>
      <c r="F19" s="260" t="n">
        <v>6</v>
      </c>
      <c r="G19" s="260" t="n">
        <v>4</v>
      </c>
      <c r="H19" s="260" t="n">
        <v>1</v>
      </c>
      <c r="I19" s="260" t="n">
        <v>0</v>
      </c>
      <c r="J19" s="260" t="n">
        <v>0</v>
      </c>
      <c r="K19" s="260" t="n">
        <v>5</v>
      </c>
      <c r="L19" s="260" t="n">
        <v>5</v>
      </c>
      <c r="M19" s="260" t="n">
        <v>6</v>
      </c>
    </row>
    <row r="20" ht="14" customHeight="1" s="227">
      <c r="A20" s="28" t="inlineStr">
        <is>
          <t>Preah Vihear</t>
        </is>
      </c>
      <c r="B20" s="259" t="n">
        <v>22838</v>
      </c>
      <c r="C20" s="259" t="n">
        <v>5461</v>
      </c>
      <c r="D20" s="277" t="n">
        <v>1.27</v>
      </c>
      <c r="E20" s="260" t="n">
        <v>14</v>
      </c>
      <c r="F20" s="260" t="n">
        <v>71</v>
      </c>
      <c r="G20" s="260" t="n">
        <v>59</v>
      </c>
      <c r="H20" s="260" t="n">
        <v>8</v>
      </c>
      <c r="I20" s="260" t="n">
        <v>10</v>
      </c>
      <c r="J20" s="260" t="n">
        <v>24</v>
      </c>
      <c r="K20" s="260" t="n">
        <v>36</v>
      </c>
      <c r="L20" s="260" t="n">
        <v>34</v>
      </c>
      <c r="M20" s="260" t="n">
        <v>33</v>
      </c>
    </row>
    <row r="21" ht="14" customHeight="1" s="227">
      <c r="A21" s="28" t="inlineStr">
        <is>
          <t>Prey Veng</t>
        </is>
      </c>
      <c r="B21" s="259" t="n">
        <v>37034</v>
      </c>
      <c r="C21" s="259" t="n">
        <v>4733</v>
      </c>
      <c r="D21" s="277" t="n">
        <v>1.31</v>
      </c>
      <c r="E21" s="260" t="n">
        <v>45</v>
      </c>
      <c r="F21" s="260" t="n">
        <v>259</v>
      </c>
      <c r="G21" s="260" t="n">
        <v>134</v>
      </c>
      <c r="H21" s="260" t="n">
        <v>20</v>
      </c>
      <c r="I21" s="260" t="n">
        <v>45</v>
      </c>
      <c r="J21" s="260" t="n">
        <v>70</v>
      </c>
      <c r="K21" s="260" t="n">
        <v>107</v>
      </c>
      <c r="L21" s="260" t="n">
        <v>116</v>
      </c>
      <c r="M21" s="260" t="n">
        <v>157</v>
      </c>
    </row>
    <row r="22" ht="14" customHeight="1" s="227">
      <c r="A22" s="28" t="inlineStr">
        <is>
          <t>Pursat</t>
        </is>
      </c>
      <c r="B22" s="259" t="n">
        <v>14696</v>
      </c>
      <c r="C22" s="259" t="n">
        <v>5450</v>
      </c>
      <c r="D22" s="277" t="n">
        <v>1.29</v>
      </c>
      <c r="E22" s="260" t="n">
        <v>47</v>
      </c>
      <c r="F22" s="260" t="n">
        <v>146</v>
      </c>
      <c r="G22" s="260" t="n">
        <v>63</v>
      </c>
      <c r="H22" s="260" t="n">
        <v>17</v>
      </c>
      <c r="I22" s="260" t="n">
        <v>24</v>
      </c>
      <c r="J22" s="260" t="n">
        <v>46</v>
      </c>
      <c r="K22" s="260" t="n">
        <v>102</v>
      </c>
      <c r="L22" s="260" t="n">
        <v>106</v>
      </c>
      <c r="M22" s="260" t="n">
        <v>103</v>
      </c>
    </row>
    <row r="23" ht="14" customHeight="1" s="227">
      <c r="A23" s="28" t="inlineStr">
        <is>
          <t>Ratanak Kiri</t>
        </is>
      </c>
      <c r="B23" s="259" t="n">
        <v>22104</v>
      </c>
      <c r="C23" s="259" t="n">
        <v>5653</v>
      </c>
      <c r="D23" s="277" t="n">
        <v>1</v>
      </c>
      <c r="E23" s="260" t="n">
        <v>7</v>
      </c>
      <c r="F23" s="260" t="n">
        <v>77</v>
      </c>
      <c r="G23" s="260" t="n">
        <v>56</v>
      </c>
      <c r="H23" s="260" t="n">
        <v>5</v>
      </c>
      <c r="I23" s="260" t="n">
        <v>9</v>
      </c>
      <c r="J23" s="260" t="n">
        <v>18</v>
      </c>
      <c r="K23" s="260" t="n">
        <v>33</v>
      </c>
      <c r="L23" s="260" t="n">
        <v>33</v>
      </c>
      <c r="M23" s="260" t="n">
        <v>37</v>
      </c>
    </row>
    <row r="24" ht="14" customHeight="1" s="227">
      <c r="A24" s="28" t="inlineStr">
        <is>
          <t>Siemreap</t>
        </is>
      </c>
      <c r="B24" s="259" t="n">
        <v>40659</v>
      </c>
      <c r="C24" s="259" t="n">
        <v>10614</v>
      </c>
      <c r="D24" s="277" t="n">
        <v>1.09</v>
      </c>
      <c r="E24" s="260" t="n">
        <v>76</v>
      </c>
      <c r="F24" s="260" t="n">
        <v>119</v>
      </c>
      <c r="G24" s="260" t="n">
        <v>90</v>
      </c>
      <c r="H24" s="260" t="n">
        <v>28</v>
      </c>
      <c r="I24" s="260" t="n">
        <v>21</v>
      </c>
      <c r="J24" s="260" t="n">
        <v>54</v>
      </c>
      <c r="K24" s="260" t="n">
        <v>68</v>
      </c>
      <c r="L24" s="260" t="n">
        <v>67</v>
      </c>
      <c r="M24" s="260" t="n">
        <v>119</v>
      </c>
    </row>
    <row r="25" ht="14" customHeight="1" s="227">
      <c r="A25" s="28" t="inlineStr">
        <is>
          <t>Stung Treng</t>
        </is>
      </c>
      <c r="B25" s="259" t="n">
        <v>34674</v>
      </c>
      <c r="C25" s="259" t="n">
        <v>7679</v>
      </c>
      <c r="D25" s="277" t="n">
        <v>2.81</v>
      </c>
      <c r="E25" s="260" t="n">
        <v>20</v>
      </c>
      <c r="F25" s="260" t="n">
        <v>72</v>
      </c>
      <c r="G25" s="260" t="n">
        <v>54</v>
      </c>
      <c r="H25" s="260" t="n">
        <v>9</v>
      </c>
      <c r="I25" s="260" t="n">
        <v>8</v>
      </c>
      <c r="J25" s="260" t="n">
        <v>27</v>
      </c>
      <c r="K25" s="260" t="n">
        <v>39</v>
      </c>
      <c r="L25" s="260" t="n">
        <v>41</v>
      </c>
      <c r="M25" s="260" t="n">
        <v>87</v>
      </c>
    </row>
    <row r="26" ht="14" customHeight="1" s="227">
      <c r="A26" s="28" t="inlineStr">
        <is>
          <t>Svay Rieng</t>
        </is>
      </c>
      <c r="B26" s="259" t="n">
        <v>14434</v>
      </c>
      <c r="C26" s="259" t="n">
        <v>7462</v>
      </c>
      <c r="D26" s="277" t="n">
        <v>1.34</v>
      </c>
      <c r="E26" s="260" t="n">
        <v>2</v>
      </c>
      <c r="F26" s="260" t="n">
        <v>136</v>
      </c>
      <c r="G26" s="260" t="n">
        <v>83</v>
      </c>
      <c r="H26" s="260" t="n">
        <v>8</v>
      </c>
      <c r="I26" s="260" t="n">
        <v>40</v>
      </c>
      <c r="J26" s="260" t="n">
        <v>47</v>
      </c>
      <c r="K26" s="260" t="n">
        <v>58</v>
      </c>
      <c r="L26" s="260" t="n">
        <v>63</v>
      </c>
      <c r="M26" s="260" t="n">
        <v>72</v>
      </c>
    </row>
    <row r="27" ht="14" customHeight="1" s="227">
      <c r="A27" s="28" t="inlineStr">
        <is>
          <t>Takeo</t>
        </is>
      </c>
      <c r="B27" s="259" t="n">
        <v>55256</v>
      </c>
      <c r="C27" s="259" t="n">
        <v>11582</v>
      </c>
      <c r="D27" s="277" t="n">
        <v>1.59</v>
      </c>
      <c r="E27" s="260" t="n">
        <v>83</v>
      </c>
      <c r="F27" s="260" t="n">
        <v>322</v>
      </c>
      <c r="G27" s="260" t="n">
        <v>93</v>
      </c>
      <c r="H27" s="260" t="n">
        <v>24</v>
      </c>
      <c r="I27" s="260" t="n">
        <v>72</v>
      </c>
      <c r="J27" s="260" t="n">
        <v>101</v>
      </c>
      <c r="K27" s="260" t="n">
        <v>258</v>
      </c>
      <c r="L27" s="260" t="n">
        <v>261</v>
      </c>
      <c r="M27" s="260" t="n">
        <v>257</v>
      </c>
    </row>
    <row r="28" ht="14" customHeight="1" s="227">
      <c r="A28" s="28" t="inlineStr">
        <is>
          <t>Tbaung Khmum</t>
        </is>
      </c>
      <c r="B28" s="259" t="n">
        <v>16207</v>
      </c>
      <c r="C28" s="259" t="n">
        <v>9720</v>
      </c>
      <c r="D28" s="277" t="n">
        <v>1.13</v>
      </c>
      <c r="E28" s="260" t="n">
        <v>45</v>
      </c>
      <c r="F28" s="260" t="n">
        <v>97</v>
      </c>
      <c r="G28" s="260" t="n">
        <v>66</v>
      </c>
      <c r="H28" s="260" t="n">
        <v>9</v>
      </c>
      <c r="I28" s="260" t="n">
        <v>15</v>
      </c>
      <c r="J28" s="260" t="n">
        <v>31</v>
      </c>
      <c r="K28" s="260" t="n">
        <v>42</v>
      </c>
      <c r="L28" s="260" t="n">
        <v>45</v>
      </c>
      <c r="M28" s="260" t="n">
        <v>55</v>
      </c>
    </row>
    <row r="29" ht="17" customHeight="1" s="227">
      <c r="A29" s="22" t="inlineStr">
        <is>
          <t>Whole Kingdom</t>
        </is>
      </c>
      <c r="B29" s="259" t="n">
        <v>33677</v>
      </c>
      <c r="C29" s="259" t="n">
        <v>9155</v>
      </c>
      <c r="D29" s="277" t="n">
        <v>1.99</v>
      </c>
      <c r="E29" s="260" t="n">
        <v>877</v>
      </c>
      <c r="F29" s="259" t="n">
        <v>3110</v>
      </c>
      <c r="G29" s="259" t="n">
        <v>1829</v>
      </c>
      <c r="H29" s="260" t="n">
        <v>389</v>
      </c>
      <c r="I29" s="260" t="n">
        <v>659</v>
      </c>
      <c r="J29" s="259" t="n">
        <v>1226</v>
      </c>
      <c r="K29" s="259" t="n">
        <v>2255</v>
      </c>
      <c r="L29" s="259" t="n">
        <v>2259</v>
      </c>
      <c r="M29" s="259" t="n">
        <v>2526</v>
      </c>
    </row>
    <row r="30" ht="14" customHeight="1" s="227">
      <c r="A30" s="28" t="inlineStr">
        <is>
          <t>-  Urban Area</t>
        </is>
      </c>
      <c r="B30" s="259" t="n">
        <v>38440</v>
      </c>
      <c r="C30" s="259" t="n">
        <v>13474</v>
      </c>
      <c r="D30" s="277" t="n">
        <v>4.38</v>
      </c>
      <c r="E30" s="260" t="n">
        <v>174</v>
      </c>
      <c r="F30" s="260" t="n">
        <v>301</v>
      </c>
      <c r="G30" s="260" t="n">
        <v>199</v>
      </c>
      <c r="H30" s="260" t="n">
        <v>106</v>
      </c>
      <c r="I30" s="260" t="n">
        <v>77</v>
      </c>
      <c r="J30" s="260" t="n">
        <v>191</v>
      </c>
      <c r="K30" s="260" t="n">
        <v>337</v>
      </c>
      <c r="L30" s="260" t="n">
        <v>335</v>
      </c>
      <c r="M30" s="260" t="n">
        <v>336</v>
      </c>
    </row>
    <row r="31" ht="14" customHeight="1" s="227">
      <c r="A31" s="28" t="inlineStr">
        <is>
          <t>-  Rural Area</t>
        </is>
      </c>
      <c r="B31" s="259" t="n">
        <v>33130</v>
      </c>
      <c r="C31" s="259" t="n">
        <v>8642</v>
      </c>
      <c r="D31" s="277" t="n">
        <v>1.45</v>
      </c>
      <c r="E31" s="260" t="n">
        <v>703</v>
      </c>
      <c r="F31" s="259" t="n">
        <v>2809</v>
      </c>
      <c r="G31" s="259" t="n">
        <v>1630</v>
      </c>
      <c r="H31" s="260" t="n">
        <v>283</v>
      </c>
      <c r="I31" s="260" t="n">
        <v>582</v>
      </c>
      <c r="J31" s="259" t="n">
        <v>1035</v>
      </c>
      <c r="K31" s="259" t="n">
        <v>1918</v>
      </c>
      <c r="L31" s="259" t="n">
        <v>1924</v>
      </c>
      <c r="M31" s="259" t="n">
        <v>2190</v>
      </c>
    </row>
  </sheetData>
  <mergeCells count="4">
    <mergeCell ref="F2:M2"/>
    <mergeCell ref="B2:C2"/>
    <mergeCell ref="A2:A3"/>
    <mergeCell ref="A1:M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00A9D18E"/>
    <outlinePr summaryBelow="1" summaryRight="1"/>
    <pageSetUpPr/>
  </sheetPr>
  <dimension ref="A1:N31"/>
  <sheetViews>
    <sheetView tabSelected="1" workbookViewId="0">
      <selection activeCell="A1" sqref="A1"/>
    </sheetView>
  </sheetViews>
  <sheetFormatPr baseColWidth="8" defaultRowHeight="15"/>
  <cols>
    <col width="28.222222" customWidth="1" style="227" min="1" max="1"/>
    <col width="10" customWidth="1" style="227" min="2" max="2"/>
    <col width="10.222222" customWidth="1" style="227" min="3" max="3"/>
    <col width="10.222222" customWidth="1" style="227" min="4" max="4"/>
    <col width="10.222222" customWidth="1" style="227" min="5" max="5"/>
    <col width="10.222222" customWidth="1" style="227" min="6" max="6"/>
    <col width="10.222222" customWidth="1" style="227" min="7" max="7"/>
    <col width="12" customWidth="1" style="227" min="8" max="8"/>
    <col width="11.777778" customWidth="1" style="227" min="9" max="9"/>
    <col width="11.111111" customWidth="1" style="227" min="10" max="10"/>
    <col width="10.222222" customWidth="1" style="227" min="11" max="11"/>
    <col width="14.222222" customWidth="1" style="227" min="12" max="12"/>
    <col width="8.666667" customWidth="1" style="227" min="13" max="13"/>
    <col width="10" customWidth="1" style="227" min="14" max="14"/>
  </cols>
  <sheetData>
    <row r="1" ht="31" customHeight="1" s="227">
      <c r="A1" s="2" t="inlineStr">
        <is>
          <t>Table 25: Community Participation and Financing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</row>
    <row r="2" ht="19" customHeight="1" s="227">
      <c r="A2" s="3" t="inlineStr">
        <is>
          <t>Province</t>
        </is>
      </c>
      <c r="B2" s="81" t="inlineStr">
        <is>
          <t>Parent Association</t>
        </is>
      </c>
      <c r="C2" s="269" t="n"/>
      <c r="D2" s="269" t="n"/>
      <c r="E2" s="257" t="n"/>
      <c r="F2" s="7" t="inlineStr">
        <is>
          <t>Commu.</t>
        </is>
      </c>
      <c r="G2" s="7" t="inlineStr">
        <is>
          <t>Teaching</t>
        </is>
      </c>
      <c r="H2" s="8" t="inlineStr">
        <is>
          <t>PB Fund (Riel)</t>
        </is>
      </c>
      <c r="I2" s="257" t="n"/>
      <c r="J2" s="73" t="inlineStr">
        <is>
          <t>Number of Schools Obtaining Funds from</t>
        </is>
      </c>
      <c r="K2" s="269" t="n"/>
      <c r="L2" s="269" t="n"/>
      <c r="M2" s="269" t="n"/>
      <c r="N2" s="257" t="n"/>
    </row>
    <row r="3" ht="18" customHeight="1" s="227">
      <c r="A3" s="258" t="n"/>
      <c r="B3" s="14" t="inlineStr">
        <is>
          <t>Exists</t>
        </is>
      </c>
      <c r="C3" s="52" t="inlineStr">
        <is>
          <t>Held Meet.</t>
        </is>
      </c>
      <c r="D3" s="11" t="inlineStr">
        <is>
          <t>Total</t>
        </is>
      </c>
      <c r="E3" s="14" t="inlineStr">
        <is>
          <t>Female</t>
        </is>
      </c>
      <c r="F3" s="18" t="inlineStr">
        <is>
          <t>Teachers</t>
        </is>
      </c>
      <c r="G3" s="17" t="inlineStr">
        <is>
          <t>Monks</t>
        </is>
      </c>
      <c r="H3" s="21" t="inlineStr">
        <is>
          <t>per Student</t>
        </is>
      </c>
      <c r="I3" s="20" t="inlineStr">
        <is>
          <t>per School</t>
        </is>
      </c>
      <c r="J3" s="52" t="inlineStr">
        <is>
          <t>Sch. Income</t>
        </is>
      </c>
      <c r="K3" s="52" t="inlineStr">
        <is>
          <t>Community</t>
        </is>
      </c>
      <c r="L3" s="40" t="inlineStr">
        <is>
          <t>Gvt. For building</t>
        </is>
      </c>
      <c r="M3" s="21" t="inlineStr">
        <is>
          <t>Abroad</t>
        </is>
      </c>
      <c r="N3" s="52" t="inlineStr">
        <is>
          <t>IOs/NGOs</t>
        </is>
      </c>
    </row>
    <row r="4" ht="14" customHeight="1" s="227">
      <c r="A4" s="28" t="inlineStr">
        <is>
          <t>Banteay Meanchey</t>
        </is>
      </c>
      <c r="B4" s="263" t="n">
        <v>604</v>
      </c>
      <c r="C4" s="263" t="n">
        <v>523</v>
      </c>
      <c r="D4" s="263" t="n">
        <v>5</v>
      </c>
      <c r="E4" s="263" t="n">
        <v>1</v>
      </c>
      <c r="F4" s="263" t="n">
        <v>5</v>
      </c>
      <c r="G4" s="263" t="n">
        <v>4</v>
      </c>
      <c r="H4" s="264" t="n">
        <v>38788</v>
      </c>
      <c r="I4" s="278" t="n">
        <v>9892169</v>
      </c>
      <c r="J4" s="263" t="n">
        <v>36</v>
      </c>
      <c r="K4" s="263" t="n">
        <v>84</v>
      </c>
      <c r="L4" s="263" t="n">
        <v>28</v>
      </c>
      <c r="M4" s="263" t="n">
        <v>15</v>
      </c>
      <c r="N4" s="263" t="n">
        <v>178</v>
      </c>
    </row>
    <row r="5" ht="14" customHeight="1" s="227">
      <c r="A5" s="28" t="inlineStr">
        <is>
          <t>Battambang</t>
        </is>
      </c>
      <c r="B5" s="264" t="n">
        <v>1074</v>
      </c>
      <c r="C5" s="264" t="n">
        <v>1040</v>
      </c>
      <c r="D5" s="263" t="n">
        <v>5</v>
      </c>
      <c r="E5" s="263" t="n">
        <v>1</v>
      </c>
      <c r="F5" s="263" t="n">
        <v>0</v>
      </c>
      <c r="G5" s="263" t="n">
        <v>2</v>
      </c>
      <c r="H5" s="264" t="n">
        <v>31295</v>
      </c>
      <c r="I5" s="278" t="n">
        <v>6807302</v>
      </c>
      <c r="J5" s="263" t="n">
        <v>32</v>
      </c>
      <c r="K5" s="263" t="n">
        <v>95</v>
      </c>
      <c r="L5" s="263" t="n">
        <v>47</v>
      </c>
      <c r="M5" s="263" t="n">
        <v>29</v>
      </c>
      <c r="N5" s="263" t="n">
        <v>615</v>
      </c>
    </row>
    <row r="6" ht="15" customHeight="1" s="227">
      <c r="A6" s="28" t="inlineStr">
        <is>
          <t>Kampong Cham</t>
        </is>
      </c>
      <c r="B6" s="263" t="n">
        <v>598</v>
      </c>
      <c r="C6" s="263" t="n">
        <v>515</v>
      </c>
      <c r="D6" s="263" t="n">
        <v>6</v>
      </c>
      <c r="E6" s="263" t="n">
        <v>1</v>
      </c>
      <c r="F6" s="263" t="n">
        <v>4</v>
      </c>
      <c r="G6" s="263" t="n">
        <v>0</v>
      </c>
      <c r="H6" s="264" t="n">
        <v>25137</v>
      </c>
      <c r="I6" s="278" t="n">
        <v>6545420</v>
      </c>
      <c r="J6" s="263" t="n">
        <v>17</v>
      </c>
      <c r="K6" s="263" t="n">
        <v>57</v>
      </c>
      <c r="L6" s="263" t="n">
        <v>31</v>
      </c>
      <c r="M6" s="263" t="n">
        <v>15</v>
      </c>
      <c r="N6" s="263" t="n">
        <v>487</v>
      </c>
    </row>
    <row r="7" ht="14" customHeight="1" s="227">
      <c r="A7" s="28" t="inlineStr">
        <is>
          <t>Kampong Chhnang</t>
        </is>
      </c>
      <c r="B7" s="263" t="n">
        <v>460</v>
      </c>
      <c r="C7" s="263" t="n">
        <v>402</v>
      </c>
      <c r="D7" s="263" t="n">
        <v>6</v>
      </c>
      <c r="E7" s="263" t="n">
        <v>1</v>
      </c>
      <c r="F7" s="263" t="n">
        <v>0</v>
      </c>
      <c r="G7" s="263" t="n">
        <v>0</v>
      </c>
      <c r="H7" s="264" t="n">
        <v>25963</v>
      </c>
      <c r="I7" s="278" t="n">
        <v>6673224</v>
      </c>
      <c r="J7" s="263" t="n">
        <v>20</v>
      </c>
      <c r="K7" s="263" t="n">
        <v>55</v>
      </c>
      <c r="L7" s="263" t="n">
        <v>12</v>
      </c>
      <c r="M7" s="263" t="n">
        <v>10</v>
      </c>
      <c r="N7" s="263" t="n">
        <v>357</v>
      </c>
    </row>
    <row r="8" ht="14" customHeight="1" s="227">
      <c r="A8" s="28" t="inlineStr">
        <is>
          <t>Kampong Speu</t>
        </is>
      </c>
      <c r="B8" s="263" t="n">
        <v>570</v>
      </c>
      <c r="C8" s="263" t="n">
        <v>555</v>
      </c>
      <c r="D8" s="263" t="n">
        <v>6</v>
      </c>
      <c r="E8" s="263" t="n">
        <v>1</v>
      </c>
      <c r="F8" s="263" t="n">
        <v>6</v>
      </c>
      <c r="G8" s="263" t="n">
        <v>0</v>
      </c>
      <c r="H8" s="264" t="n">
        <v>22925</v>
      </c>
      <c r="I8" s="278" t="n">
        <v>6439622</v>
      </c>
      <c r="J8" s="263" t="n">
        <v>27</v>
      </c>
      <c r="K8" s="263" t="n">
        <v>111</v>
      </c>
      <c r="L8" s="263" t="n">
        <v>8</v>
      </c>
      <c r="M8" s="263" t="n">
        <v>12</v>
      </c>
      <c r="N8" s="263" t="n">
        <v>560</v>
      </c>
    </row>
    <row r="9" ht="14" customHeight="1" s="227">
      <c r="A9" s="28" t="inlineStr">
        <is>
          <t>Kampong Thom</t>
        </is>
      </c>
      <c r="B9" s="263" t="n">
        <v>714</v>
      </c>
      <c r="C9" s="263" t="n">
        <v>631</v>
      </c>
      <c r="D9" s="263" t="n">
        <v>7</v>
      </c>
      <c r="E9" s="263" t="n">
        <v>2</v>
      </c>
      <c r="F9" s="263" t="n">
        <v>9</v>
      </c>
      <c r="G9" s="263" t="n">
        <v>2</v>
      </c>
      <c r="H9" s="264" t="n">
        <v>31365</v>
      </c>
      <c r="I9" s="278" t="n">
        <v>7056291</v>
      </c>
      <c r="J9" s="263" t="n">
        <v>35</v>
      </c>
      <c r="K9" s="263" t="n">
        <v>208</v>
      </c>
      <c r="L9" s="263" t="n">
        <v>62</v>
      </c>
      <c r="M9" s="263" t="n">
        <v>18</v>
      </c>
      <c r="N9" s="263" t="n">
        <v>275</v>
      </c>
    </row>
    <row r="10" ht="14" customHeight="1" s="227">
      <c r="A10" s="28" t="inlineStr">
        <is>
          <t>Kampot</t>
        </is>
      </c>
      <c r="B10" s="263" t="n">
        <v>571</v>
      </c>
      <c r="C10" s="263" t="n">
        <v>540</v>
      </c>
      <c r="D10" s="263" t="n">
        <v>7</v>
      </c>
      <c r="E10" s="263" t="n">
        <v>1</v>
      </c>
      <c r="F10" s="263" t="n">
        <v>2</v>
      </c>
      <c r="G10" s="263" t="n">
        <v>0</v>
      </c>
      <c r="H10" s="264" t="n">
        <v>28301</v>
      </c>
      <c r="I10" s="278" t="n">
        <v>6821777</v>
      </c>
      <c r="J10" s="263" t="n">
        <v>8</v>
      </c>
      <c r="K10" s="263" t="n">
        <v>54</v>
      </c>
      <c r="L10" s="263" t="n">
        <v>17</v>
      </c>
      <c r="M10" s="263" t="n">
        <v>18</v>
      </c>
      <c r="N10" s="263" t="n">
        <v>185</v>
      </c>
    </row>
    <row r="11" ht="14" customHeight="1" s="227">
      <c r="A11" s="28" t="inlineStr">
        <is>
          <t>Kandal</t>
        </is>
      </c>
      <c r="B11" s="263" t="n">
        <v>714</v>
      </c>
      <c r="C11" s="263" t="n">
        <v>626</v>
      </c>
      <c r="D11" s="263" t="n">
        <v>6</v>
      </c>
      <c r="E11" s="263" t="n">
        <v>2</v>
      </c>
      <c r="F11" s="263" t="n">
        <v>12</v>
      </c>
      <c r="G11" s="263" t="n">
        <v>0</v>
      </c>
      <c r="H11" s="264" t="n">
        <v>21210</v>
      </c>
      <c r="I11" s="278" t="n">
        <v>8441224</v>
      </c>
      <c r="J11" s="263" t="n">
        <v>7</v>
      </c>
      <c r="K11" s="263" t="n">
        <v>21</v>
      </c>
      <c r="L11" s="263" t="n">
        <v>19</v>
      </c>
      <c r="M11" s="263" t="n">
        <v>1</v>
      </c>
      <c r="N11" s="263" t="n">
        <v>259</v>
      </c>
    </row>
    <row r="12" ht="14" customHeight="1" s="227">
      <c r="A12" s="28" t="inlineStr">
        <is>
          <t>Kep</t>
        </is>
      </c>
      <c r="B12" s="263" t="n">
        <v>44</v>
      </c>
      <c r="C12" s="263" t="n">
        <v>44</v>
      </c>
      <c r="D12" s="263" t="n">
        <v>6</v>
      </c>
      <c r="E12" s="263" t="n">
        <v>2</v>
      </c>
      <c r="F12" s="263" t="n">
        <v>0</v>
      </c>
      <c r="G12" s="263" t="n">
        <v>0</v>
      </c>
      <c r="H12" s="264" t="n">
        <v>24614</v>
      </c>
      <c r="I12" s="278" t="n">
        <v>3876508</v>
      </c>
      <c r="J12" s="263" t="n">
        <v>0</v>
      </c>
      <c r="K12" s="263" t="n">
        <v>0</v>
      </c>
      <c r="L12" s="263" t="n">
        <v>1</v>
      </c>
      <c r="M12" s="263" t="n">
        <v>0</v>
      </c>
      <c r="N12" s="263" t="n">
        <v>18</v>
      </c>
    </row>
    <row r="13" ht="14" customHeight="1" s="227">
      <c r="A13" s="28" t="inlineStr">
        <is>
          <t>Koh Kong</t>
        </is>
      </c>
      <c r="B13" s="263" t="n">
        <v>174</v>
      </c>
      <c r="C13" s="263" t="n">
        <v>146</v>
      </c>
      <c r="D13" s="263" t="n">
        <v>5</v>
      </c>
      <c r="E13" s="263" t="n">
        <v>1</v>
      </c>
      <c r="F13" s="263" t="n">
        <v>3</v>
      </c>
      <c r="G13" s="263" t="n">
        <v>0</v>
      </c>
      <c r="H13" s="264" t="n">
        <v>53034</v>
      </c>
      <c r="I13" s="278" t="n">
        <v>8671799</v>
      </c>
      <c r="J13" s="263" t="n">
        <v>2</v>
      </c>
      <c r="K13" s="263" t="n">
        <v>14</v>
      </c>
      <c r="L13" s="263" t="n">
        <v>6</v>
      </c>
      <c r="M13" s="263" t="n">
        <v>2</v>
      </c>
      <c r="N13" s="263" t="n">
        <v>86</v>
      </c>
    </row>
    <row r="14" ht="14" customHeight="1" s="227">
      <c r="A14" s="28" t="inlineStr">
        <is>
          <t>Kratie</t>
        </is>
      </c>
      <c r="B14" s="263" t="n">
        <v>373</v>
      </c>
      <c r="C14" s="263" t="n">
        <v>336</v>
      </c>
      <c r="D14" s="263" t="n">
        <v>5</v>
      </c>
      <c r="E14" s="263" t="n">
        <v>2</v>
      </c>
      <c r="F14" s="263" t="n">
        <v>11</v>
      </c>
      <c r="G14" s="263" t="n">
        <v>0</v>
      </c>
      <c r="H14" s="264" t="n">
        <v>31824</v>
      </c>
      <c r="I14" s="278" t="n">
        <v>7335562</v>
      </c>
      <c r="J14" s="263" t="n">
        <v>6</v>
      </c>
      <c r="K14" s="263" t="n">
        <v>22</v>
      </c>
      <c r="L14" s="263" t="n">
        <v>4</v>
      </c>
      <c r="M14" s="263" t="n">
        <v>4</v>
      </c>
      <c r="N14" s="263" t="n">
        <v>97</v>
      </c>
    </row>
    <row r="15" ht="14" customHeight="1" s="227">
      <c r="A15" s="28" t="inlineStr">
        <is>
          <t>Mondul Kiri</t>
        </is>
      </c>
      <c r="B15" s="263" t="n">
        <v>110</v>
      </c>
      <c r="C15" s="263" t="n">
        <v>108</v>
      </c>
      <c r="D15" s="263" t="n">
        <v>6</v>
      </c>
      <c r="E15" s="263" t="n">
        <v>2</v>
      </c>
      <c r="F15" s="263" t="n">
        <v>0</v>
      </c>
      <c r="G15" s="263" t="n">
        <v>0</v>
      </c>
      <c r="H15" s="264" t="n">
        <v>35084</v>
      </c>
      <c r="I15" s="278" t="n">
        <v>6011099</v>
      </c>
      <c r="J15" s="263" t="n">
        <v>1</v>
      </c>
      <c r="K15" s="263" t="n">
        <v>6</v>
      </c>
      <c r="L15" s="263" t="n">
        <v>0</v>
      </c>
      <c r="M15" s="263" t="n">
        <v>1</v>
      </c>
      <c r="N15" s="263" t="n">
        <v>73</v>
      </c>
    </row>
    <row r="16" ht="14" customHeight="1" s="227">
      <c r="A16" s="28" t="inlineStr">
        <is>
          <t>Otdar Meanchey</t>
        </is>
      </c>
      <c r="B16" s="263" t="n">
        <v>317</v>
      </c>
      <c r="C16" s="263" t="n">
        <v>295</v>
      </c>
      <c r="D16" s="263" t="n">
        <v>5</v>
      </c>
      <c r="E16" s="263" t="n">
        <v>1</v>
      </c>
      <c r="F16" s="263" t="n">
        <v>0</v>
      </c>
      <c r="G16" s="263" t="n">
        <v>0</v>
      </c>
      <c r="H16" s="264" t="n">
        <v>41073</v>
      </c>
      <c r="I16" s="278" t="n">
        <v>5984109</v>
      </c>
      <c r="J16" s="263" t="n">
        <v>11</v>
      </c>
      <c r="K16" s="263" t="n">
        <v>31</v>
      </c>
      <c r="L16" s="263" t="n">
        <v>10</v>
      </c>
      <c r="M16" s="263" t="n">
        <v>11</v>
      </c>
      <c r="N16" s="263" t="n">
        <v>129</v>
      </c>
    </row>
    <row r="17" ht="14" customHeight="1" s="227">
      <c r="A17" s="28" t="inlineStr">
        <is>
          <t>Pailin</t>
        </is>
      </c>
      <c r="B17" s="263" t="n">
        <v>75</v>
      </c>
      <c r="C17" s="263" t="n">
        <v>72</v>
      </c>
      <c r="D17" s="263" t="n">
        <v>5</v>
      </c>
      <c r="E17" s="263" t="n">
        <v>1</v>
      </c>
      <c r="F17" s="263" t="n">
        <v>0</v>
      </c>
      <c r="G17" s="263" t="n">
        <v>0</v>
      </c>
      <c r="H17" s="264" t="n">
        <v>38982</v>
      </c>
      <c r="I17" s="278" t="n">
        <v>7507454</v>
      </c>
      <c r="J17" s="263" t="n">
        <v>1</v>
      </c>
      <c r="K17" s="263" t="n">
        <v>1</v>
      </c>
      <c r="L17" s="263" t="n">
        <v>1</v>
      </c>
      <c r="M17" s="263" t="n">
        <v>0</v>
      </c>
      <c r="N17" s="263" t="n">
        <v>4</v>
      </c>
    </row>
    <row r="18" ht="14" customHeight="1" s="227">
      <c r="A18" s="28" t="inlineStr">
        <is>
          <t>Phnom Penh</t>
        </is>
      </c>
      <c r="B18" s="263" t="n">
        <v>319</v>
      </c>
      <c r="C18" s="263" t="n">
        <v>316</v>
      </c>
      <c r="D18" s="263" t="n">
        <v>8</v>
      </c>
      <c r="E18" s="263" t="n">
        <v>2</v>
      </c>
      <c r="F18" s="263" t="n">
        <v>0</v>
      </c>
      <c r="G18" s="263" t="n">
        <v>0</v>
      </c>
      <c r="H18" s="264" t="n">
        <v>26427</v>
      </c>
      <c r="I18" s="278" t="n">
        <v>16117881</v>
      </c>
      <c r="J18" s="263" t="n">
        <v>16</v>
      </c>
      <c r="K18" s="263" t="n">
        <v>92</v>
      </c>
      <c r="L18" s="263" t="n">
        <v>9</v>
      </c>
      <c r="M18" s="263" t="n">
        <v>6</v>
      </c>
      <c r="N18" s="263" t="n">
        <v>80</v>
      </c>
    </row>
    <row r="19" ht="14" customHeight="1" s="227">
      <c r="A19" s="28" t="inlineStr">
        <is>
          <t>Preah Sihanouk</t>
        </is>
      </c>
      <c r="B19" s="263" t="n">
        <v>79</v>
      </c>
      <c r="C19" s="263" t="n">
        <v>62</v>
      </c>
      <c r="D19" s="263" t="n">
        <v>6</v>
      </c>
      <c r="E19" s="263" t="n">
        <v>1</v>
      </c>
      <c r="F19" s="263" t="n">
        <v>2</v>
      </c>
      <c r="G19" s="263" t="n">
        <v>0</v>
      </c>
      <c r="H19" s="264" t="n">
        <v>28715</v>
      </c>
      <c r="I19" s="278" t="n">
        <v>10101734</v>
      </c>
      <c r="J19" s="263" t="n">
        <v>0</v>
      </c>
      <c r="K19" s="263" t="n">
        <v>1</v>
      </c>
      <c r="L19" s="263" t="n">
        <v>2</v>
      </c>
      <c r="M19" s="263" t="n">
        <v>0</v>
      </c>
      <c r="N19" s="263" t="n">
        <v>0</v>
      </c>
    </row>
    <row r="20" ht="14" customHeight="1" s="227">
      <c r="A20" s="28" t="inlineStr">
        <is>
          <t>Preah Vihear</t>
        </is>
      </c>
      <c r="B20" s="263" t="n">
        <v>366</v>
      </c>
      <c r="C20" s="263" t="n">
        <v>306</v>
      </c>
      <c r="D20" s="263" t="n">
        <v>7</v>
      </c>
      <c r="E20" s="263" t="n">
        <v>2</v>
      </c>
      <c r="F20" s="263" t="n">
        <v>2</v>
      </c>
      <c r="G20" s="263" t="n">
        <v>0</v>
      </c>
      <c r="H20" s="264" t="n">
        <v>37133</v>
      </c>
      <c r="I20" s="278" t="n">
        <v>5889137</v>
      </c>
      <c r="J20" s="263" t="n">
        <v>5</v>
      </c>
      <c r="K20" s="263" t="n">
        <v>19</v>
      </c>
      <c r="L20" s="263" t="n">
        <v>3</v>
      </c>
      <c r="M20" s="263" t="n">
        <v>4</v>
      </c>
      <c r="N20" s="263" t="n">
        <v>129</v>
      </c>
    </row>
    <row r="21" ht="14" customHeight="1" s="227">
      <c r="A21" s="28" t="inlineStr">
        <is>
          <t>Prey Veng</t>
        </is>
      </c>
      <c r="B21" s="263" t="n">
        <v>926</v>
      </c>
      <c r="C21" s="263" t="n">
        <v>739</v>
      </c>
      <c r="D21" s="263" t="n">
        <v>6</v>
      </c>
      <c r="E21" s="263" t="n">
        <v>1</v>
      </c>
      <c r="F21" s="263" t="n">
        <v>0</v>
      </c>
      <c r="G21" s="263" t="n">
        <v>0</v>
      </c>
      <c r="H21" s="264" t="n">
        <v>24572</v>
      </c>
      <c r="I21" s="278" t="n">
        <v>6037719</v>
      </c>
      <c r="J21" s="263" t="n">
        <v>22</v>
      </c>
      <c r="K21" s="263" t="n">
        <v>206</v>
      </c>
      <c r="L21" s="263" t="n">
        <v>30</v>
      </c>
      <c r="M21" s="263" t="n">
        <v>21</v>
      </c>
      <c r="N21" s="263" t="n">
        <v>511</v>
      </c>
    </row>
    <row r="22" ht="14" customHeight="1" s="227">
      <c r="A22" s="28" t="inlineStr">
        <is>
          <t>Pursat</t>
        </is>
      </c>
      <c r="B22" s="263" t="n">
        <v>535</v>
      </c>
      <c r="C22" s="263" t="n">
        <v>475</v>
      </c>
      <c r="D22" s="263" t="n">
        <v>5</v>
      </c>
      <c r="E22" s="263" t="n">
        <v>1</v>
      </c>
      <c r="F22" s="263" t="n">
        <v>3</v>
      </c>
      <c r="G22" s="263" t="n">
        <v>0</v>
      </c>
      <c r="H22" s="264" t="n">
        <v>27633</v>
      </c>
      <c r="I22" s="278" t="n">
        <v>5010151</v>
      </c>
      <c r="J22" s="263" t="n">
        <v>14</v>
      </c>
      <c r="K22" s="263" t="n">
        <v>72</v>
      </c>
      <c r="L22" s="263" t="n">
        <v>14</v>
      </c>
      <c r="M22" s="263" t="n">
        <v>17</v>
      </c>
      <c r="N22" s="263" t="n">
        <v>470</v>
      </c>
    </row>
    <row r="23" ht="14" customHeight="1" s="227">
      <c r="A23" s="28" t="inlineStr">
        <is>
          <t>Ratanak Kiri</t>
        </is>
      </c>
      <c r="B23" s="263" t="n">
        <v>258</v>
      </c>
      <c r="C23" s="263" t="n">
        <v>232</v>
      </c>
      <c r="D23" s="263" t="n">
        <v>6</v>
      </c>
      <c r="E23" s="263" t="n">
        <v>1</v>
      </c>
      <c r="F23" s="263" t="n">
        <v>27</v>
      </c>
      <c r="G23" s="263" t="n">
        <v>0</v>
      </c>
      <c r="H23" s="264" t="n">
        <v>30125</v>
      </c>
      <c r="I23" s="278" t="n">
        <v>6180358</v>
      </c>
      <c r="J23" s="263" t="n">
        <v>4</v>
      </c>
      <c r="K23" s="263" t="n">
        <v>4</v>
      </c>
      <c r="L23" s="263" t="n">
        <v>8</v>
      </c>
      <c r="M23" s="263" t="n">
        <v>4</v>
      </c>
      <c r="N23" s="263" t="n">
        <v>93</v>
      </c>
    </row>
    <row r="24" ht="14" customHeight="1" s="227">
      <c r="A24" s="28" t="inlineStr">
        <is>
          <t>Siemreap</t>
        </is>
      </c>
      <c r="B24" s="263" t="n">
        <v>781</v>
      </c>
      <c r="C24" s="263" t="n">
        <v>649</v>
      </c>
      <c r="D24" s="263" t="n">
        <v>7</v>
      </c>
      <c r="E24" s="263" t="n">
        <v>2</v>
      </c>
      <c r="F24" s="263" t="n">
        <v>2</v>
      </c>
      <c r="G24" s="263" t="n">
        <v>4</v>
      </c>
      <c r="H24" s="264" t="n">
        <v>37896</v>
      </c>
      <c r="I24" s="278" t="n">
        <v>9195801</v>
      </c>
      <c r="J24" s="263" t="n">
        <v>34</v>
      </c>
      <c r="K24" s="263" t="n">
        <v>101</v>
      </c>
      <c r="L24" s="263" t="n">
        <v>18</v>
      </c>
      <c r="M24" s="263" t="n">
        <v>40</v>
      </c>
      <c r="N24" s="263" t="n">
        <v>87</v>
      </c>
    </row>
    <row r="25" ht="14" customHeight="1" s="227">
      <c r="A25" s="28" t="inlineStr">
        <is>
          <t>Stung Treng</t>
        </is>
      </c>
      <c r="B25" s="263" t="n">
        <v>198</v>
      </c>
      <c r="C25" s="263" t="n">
        <v>184</v>
      </c>
      <c r="D25" s="263" t="n">
        <v>5</v>
      </c>
      <c r="E25" s="263" t="n">
        <v>2</v>
      </c>
      <c r="F25" s="263" t="n">
        <v>5</v>
      </c>
      <c r="G25" s="263" t="n">
        <v>0</v>
      </c>
      <c r="H25" s="264" t="n">
        <v>34710</v>
      </c>
      <c r="I25" s="278" t="n">
        <v>5095991</v>
      </c>
      <c r="J25" s="263" t="n">
        <v>2</v>
      </c>
      <c r="K25" s="263" t="n">
        <v>16</v>
      </c>
      <c r="L25" s="263" t="n">
        <v>5</v>
      </c>
      <c r="M25" s="263" t="n">
        <v>6</v>
      </c>
      <c r="N25" s="263" t="n">
        <v>96</v>
      </c>
    </row>
    <row r="26" ht="14" customHeight="1" s="227">
      <c r="A26" s="28" t="inlineStr">
        <is>
          <t>Svay Rieng</t>
        </is>
      </c>
      <c r="B26" s="263" t="n">
        <v>349</v>
      </c>
      <c r="C26" s="263" t="n">
        <v>335</v>
      </c>
      <c r="D26" s="263" t="n">
        <v>9</v>
      </c>
      <c r="E26" s="263" t="n">
        <v>1</v>
      </c>
      <c r="F26" s="263" t="n">
        <v>25</v>
      </c>
      <c r="G26" s="263" t="n">
        <v>0</v>
      </c>
      <c r="H26" s="264" t="n">
        <v>26413</v>
      </c>
      <c r="I26" s="278" t="n">
        <v>6740568</v>
      </c>
      <c r="J26" s="263" t="n">
        <v>15</v>
      </c>
      <c r="K26" s="263" t="n">
        <v>173</v>
      </c>
      <c r="L26" s="263" t="n">
        <v>17</v>
      </c>
      <c r="M26" s="263" t="n">
        <v>25</v>
      </c>
      <c r="N26" s="263" t="n">
        <v>250</v>
      </c>
    </row>
    <row r="27" ht="14" customHeight="1" s="227">
      <c r="A27" s="28" t="inlineStr">
        <is>
          <t>Takeo</t>
        </is>
      </c>
      <c r="B27" s="263" t="n">
        <v>690</v>
      </c>
      <c r="C27" s="263" t="n">
        <v>652</v>
      </c>
      <c r="D27" s="263" t="n">
        <v>9</v>
      </c>
      <c r="E27" s="263" t="n">
        <v>2</v>
      </c>
      <c r="F27" s="263" t="n">
        <v>6</v>
      </c>
      <c r="G27" s="263" t="n">
        <v>0</v>
      </c>
      <c r="H27" s="264" t="n">
        <v>28453</v>
      </c>
      <c r="I27" s="278" t="n">
        <v>8460818</v>
      </c>
      <c r="J27" s="263" t="n">
        <v>28</v>
      </c>
      <c r="K27" s="263" t="n">
        <v>54</v>
      </c>
      <c r="L27" s="263" t="n">
        <v>37</v>
      </c>
      <c r="M27" s="263" t="n">
        <v>6</v>
      </c>
      <c r="N27" s="263" t="n">
        <v>238</v>
      </c>
    </row>
    <row r="28" ht="14" customHeight="1" s="227">
      <c r="A28" s="28" t="inlineStr">
        <is>
          <t>Tbaung Khmum</t>
        </is>
      </c>
      <c r="B28" s="263" t="n">
        <v>658</v>
      </c>
      <c r="C28" s="263" t="n">
        <v>631</v>
      </c>
      <c r="D28" s="263" t="n">
        <v>5</v>
      </c>
      <c r="E28" s="263" t="n">
        <v>1</v>
      </c>
      <c r="F28" s="263" t="n">
        <v>0</v>
      </c>
      <c r="G28" s="263" t="n">
        <v>0</v>
      </c>
      <c r="H28" s="264" t="n">
        <v>26111</v>
      </c>
      <c r="I28" s="278" t="n">
        <v>6191142</v>
      </c>
      <c r="J28" s="263" t="n">
        <v>6</v>
      </c>
      <c r="K28" s="263" t="n">
        <v>22</v>
      </c>
      <c r="L28" s="263" t="n">
        <v>16</v>
      </c>
      <c r="M28" s="263" t="n">
        <v>3</v>
      </c>
      <c r="N28" s="263" t="n">
        <v>409</v>
      </c>
    </row>
    <row r="29" ht="17" customHeight="1" s="227">
      <c r="A29" s="22" t="inlineStr">
        <is>
          <t>Whole Kingdom</t>
        </is>
      </c>
      <c r="B29" s="264" t="n">
        <v>11557</v>
      </c>
      <c r="C29" s="264" t="n">
        <v>10414</v>
      </c>
      <c r="D29" s="263" t="n">
        <v>6</v>
      </c>
      <c r="E29" s="263" t="n">
        <v>1</v>
      </c>
      <c r="F29" s="263" t="n">
        <v>124</v>
      </c>
      <c r="G29" s="263" t="n">
        <v>12</v>
      </c>
      <c r="H29" s="264" t="n">
        <v>28983</v>
      </c>
      <c r="I29" s="278" t="n">
        <v>7352875</v>
      </c>
      <c r="J29" s="263" t="n">
        <v>349</v>
      </c>
      <c r="K29" s="265" t="n">
        <v>1519</v>
      </c>
      <c r="L29" s="279" t="n">
        <v>405</v>
      </c>
      <c r="M29" s="263" t="n">
        <v>268</v>
      </c>
      <c r="N29" s="264" t="n">
        <v>5686</v>
      </c>
    </row>
    <row r="30" ht="14" customHeight="1" s="227">
      <c r="A30" s="28" t="inlineStr">
        <is>
          <t>-  Urban Area</t>
        </is>
      </c>
      <c r="B30" s="264" t="n">
        <v>1194</v>
      </c>
      <c r="C30" s="264" t="n">
        <v>1099</v>
      </c>
      <c r="D30" s="263" t="n">
        <v>7</v>
      </c>
      <c r="E30" s="263" t="n">
        <v>2</v>
      </c>
      <c r="F30" s="263" t="n">
        <v>8</v>
      </c>
      <c r="G30" s="263" t="n">
        <v>0</v>
      </c>
      <c r="H30" s="264" t="n">
        <v>31305</v>
      </c>
      <c r="I30" s="278" t="n">
        <v>13448029</v>
      </c>
      <c r="J30" s="263" t="n">
        <v>49</v>
      </c>
      <c r="K30" s="263" t="n">
        <v>185</v>
      </c>
      <c r="L30" s="263" t="n">
        <v>41</v>
      </c>
      <c r="M30" s="263" t="n">
        <v>27</v>
      </c>
      <c r="N30" s="263" t="n">
        <v>487</v>
      </c>
    </row>
    <row r="31" ht="14" customHeight="1" s="227">
      <c r="A31" s="28" t="inlineStr">
        <is>
          <t>-  Rural Area</t>
        </is>
      </c>
      <c r="B31" s="264" t="n">
        <v>10363</v>
      </c>
      <c r="C31" s="264" t="n">
        <v>9315</v>
      </c>
      <c r="D31" s="263" t="n">
        <v>6</v>
      </c>
      <c r="E31" s="263" t="n">
        <v>1</v>
      </c>
      <c r="F31" s="263" t="n">
        <v>116</v>
      </c>
      <c r="G31" s="263" t="n">
        <v>12</v>
      </c>
      <c r="H31" s="264" t="n">
        <v>28459</v>
      </c>
      <c r="I31" s="278" t="n">
        <v>6609638</v>
      </c>
      <c r="J31" s="263" t="n">
        <v>300</v>
      </c>
      <c r="K31" s="265" t="n">
        <v>1334</v>
      </c>
      <c r="L31" s="279" t="n">
        <v>364</v>
      </c>
      <c r="M31" s="263" t="n">
        <v>241</v>
      </c>
      <c r="N31" s="264" t="n">
        <v>5199</v>
      </c>
    </row>
  </sheetData>
  <mergeCells count="5">
    <mergeCell ref="H2:I2"/>
    <mergeCell ref="J2:N2"/>
    <mergeCell ref="A2:A3"/>
    <mergeCell ref="B2:E2"/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00FFC000"/>
    <outlinePr summaryBelow="1" summaryRight="1"/>
    <pageSetUpPr/>
  </sheetPr>
  <dimension ref="A1:L31"/>
  <sheetViews>
    <sheetView tabSelected="1" workbookViewId="0">
      <selection activeCell="A1" sqref="A1"/>
    </sheetView>
  </sheetViews>
  <sheetFormatPr baseColWidth="8" defaultRowHeight="15"/>
  <cols>
    <col width="19.777778" customWidth="1" style="227" min="1" max="1"/>
    <col width="25.111111" customWidth="1" style="227" min="2" max="2"/>
    <col width="12.222222" customWidth="1" style="227" min="3" max="3"/>
    <col width="12.222222" customWidth="1" style="227" min="4" max="4"/>
    <col width="12.222222" customWidth="1" style="227" min="5" max="5"/>
    <col width="12.222222" customWidth="1" style="227" min="6" max="6"/>
    <col width="12.222222" customWidth="1" style="227" min="7" max="7"/>
    <col width="12.222222" customWidth="1" style="227" min="8" max="8"/>
    <col width="12.444444" customWidth="1" style="227" min="9" max="9"/>
    <col width="12.222222" customWidth="1" style="227" min="10" max="10"/>
    <col width="12.222222" customWidth="1" style="227" min="11" max="11"/>
    <col width="12.222222" customWidth="1" style="227" min="12" max="12"/>
  </cols>
  <sheetData>
    <row r="1" ht="31" customHeight="1" s="227">
      <c r="A1" s="2" t="inlineStr">
        <is>
          <t>Table 26: Educational Staff in Province and District Offices and Schools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</row>
    <row r="2" ht="19" customHeight="1" s="227">
      <c r="A2" s="3" t="inlineStr">
        <is>
          <t>Province</t>
        </is>
      </c>
      <c r="B2" s="88" t="inlineStr">
        <is>
          <t>Director of the</t>
        </is>
      </c>
      <c r="C2" s="11" t="inlineStr">
        <is>
          <t>Provincial Edn. Service</t>
        </is>
      </c>
      <c r="D2" s="257" t="n"/>
      <c r="E2" s="8" t="inlineStr">
        <is>
          <t>District Edn. Office</t>
        </is>
      </c>
      <c r="F2" s="257" t="n"/>
      <c r="G2" s="11" t="inlineStr">
        <is>
          <t>Teaching Staff at Schools</t>
        </is>
      </c>
      <c r="H2" s="257" t="n"/>
      <c r="I2" s="14" t="inlineStr">
        <is>
          <t>Non-Tch. Staff at Schools</t>
        </is>
      </c>
      <c r="J2" s="257" t="n"/>
      <c r="K2" s="20" t="inlineStr">
        <is>
          <t>Total Staff</t>
        </is>
      </c>
      <c r="L2" s="257" t="n"/>
    </row>
    <row r="3" ht="18" customHeight="1" s="227">
      <c r="A3" s="258" t="n"/>
      <c r="B3" s="17" t="inlineStr">
        <is>
          <t>Provincial Education Service</t>
        </is>
      </c>
      <c r="C3" s="20" t="inlineStr">
        <is>
          <t>Total</t>
        </is>
      </c>
      <c r="D3" s="11" t="inlineStr">
        <is>
          <t>Female</t>
        </is>
      </c>
      <c r="E3" s="20" t="inlineStr">
        <is>
          <t>Total</t>
        </is>
      </c>
      <c r="F3" s="11" t="inlineStr">
        <is>
          <t>Female</t>
        </is>
      </c>
      <c r="G3" s="20" t="inlineStr">
        <is>
          <t>Total</t>
        </is>
      </c>
      <c r="H3" s="11" t="inlineStr">
        <is>
          <t>Female</t>
        </is>
      </c>
      <c r="I3" s="20" t="inlineStr">
        <is>
          <t>Total</t>
        </is>
      </c>
      <c r="J3" s="11" t="inlineStr">
        <is>
          <t>Female</t>
        </is>
      </c>
      <c r="K3" s="20" t="inlineStr">
        <is>
          <t>Total</t>
        </is>
      </c>
      <c r="L3" s="11" t="inlineStr">
        <is>
          <t>Female</t>
        </is>
      </c>
    </row>
    <row r="4" ht="14" customHeight="1" s="227">
      <c r="A4" s="28" t="inlineStr">
        <is>
          <t>Banteay Meanchey</t>
        </is>
      </c>
      <c r="B4" s="89" t="inlineStr">
        <is>
          <t>CHHOU BUNROEURNG</t>
        </is>
      </c>
      <c r="C4" s="263" t="n">
        <v>90</v>
      </c>
      <c r="D4" s="263" t="n">
        <v>25</v>
      </c>
      <c r="E4" s="263" t="n">
        <v>128</v>
      </c>
      <c r="F4" s="263" t="n">
        <v>32</v>
      </c>
      <c r="G4" s="264" t="n">
        <v>4782</v>
      </c>
      <c r="H4" s="264" t="n">
        <v>2440</v>
      </c>
      <c r="I4" s="263" t="n">
        <v>888</v>
      </c>
      <c r="J4" s="263" t="n">
        <v>210</v>
      </c>
      <c r="K4" s="264" t="n">
        <v>5888</v>
      </c>
      <c r="L4" s="264" t="n">
        <v>2707</v>
      </c>
    </row>
    <row r="5" ht="14" customHeight="1" s="227">
      <c r="A5" s="28" t="inlineStr">
        <is>
          <t>Battambang</t>
        </is>
      </c>
      <c r="B5" s="89" t="inlineStr">
        <is>
          <t>NGY SET</t>
        </is>
      </c>
      <c r="C5" s="263" t="n">
        <v>121</v>
      </c>
      <c r="D5" s="263" t="n">
        <v>31</v>
      </c>
      <c r="E5" s="263" t="n">
        <v>178</v>
      </c>
      <c r="F5" s="263" t="n">
        <v>46</v>
      </c>
      <c r="G5" s="264" t="n">
        <v>6946</v>
      </c>
      <c r="H5" s="264" t="n">
        <v>4165</v>
      </c>
      <c r="I5" s="264" t="n">
        <v>1811</v>
      </c>
      <c r="J5" s="263" t="n">
        <v>672</v>
      </c>
      <c r="K5" s="264" t="n">
        <v>9056</v>
      </c>
      <c r="L5" s="264" t="n">
        <v>4914</v>
      </c>
    </row>
    <row r="6" ht="15" customHeight="1" s="227">
      <c r="A6" s="28" t="inlineStr">
        <is>
          <t>Kampong Cham</t>
        </is>
      </c>
      <c r="B6" s="89" t="inlineStr">
        <is>
          <t>LY MENGSAN</t>
        </is>
      </c>
      <c r="C6" s="263" t="n">
        <v>141</v>
      </c>
      <c r="D6" s="263" t="n">
        <v>53</v>
      </c>
      <c r="E6" s="263" t="n">
        <v>127</v>
      </c>
      <c r="F6" s="263" t="n">
        <v>38</v>
      </c>
      <c r="G6" s="264" t="n">
        <v>5835</v>
      </c>
      <c r="H6" s="264" t="n">
        <v>3390</v>
      </c>
      <c r="I6" s="264" t="n">
        <v>1695</v>
      </c>
      <c r="J6" s="263" t="n">
        <v>659</v>
      </c>
      <c r="K6" s="264" t="n">
        <v>7798</v>
      </c>
      <c r="L6" s="264" t="n">
        <v>4140</v>
      </c>
    </row>
    <row r="7" ht="14" customHeight="1" s="227">
      <c r="A7" s="28" t="inlineStr">
        <is>
          <t>Kampong Chhnang</t>
        </is>
      </c>
      <c r="B7" s="89" t="inlineStr">
        <is>
          <t>SIM PREM</t>
        </is>
      </c>
      <c r="C7" s="263" t="n">
        <v>121</v>
      </c>
      <c r="D7" s="263" t="n">
        <v>34</v>
      </c>
      <c r="E7" s="263" t="n">
        <v>116</v>
      </c>
      <c r="F7" s="263" t="n">
        <v>32</v>
      </c>
      <c r="G7" s="264" t="n">
        <v>3498</v>
      </c>
      <c r="H7" s="264" t="n">
        <v>1682</v>
      </c>
      <c r="I7" s="263" t="n">
        <v>700</v>
      </c>
      <c r="J7" s="263" t="n">
        <v>188</v>
      </c>
      <c r="K7" s="264" t="n">
        <v>4435</v>
      </c>
      <c r="L7" s="264" t="n">
        <v>1936</v>
      </c>
    </row>
    <row r="8" ht="14" customHeight="1" s="227">
      <c r="A8" s="28" t="inlineStr">
        <is>
          <t>Kampong Speu</t>
        </is>
      </c>
      <c r="B8" s="89" t="inlineStr">
        <is>
          <t>THAN THARIN</t>
        </is>
      </c>
      <c r="C8" s="263" t="n">
        <v>96</v>
      </c>
      <c r="D8" s="263" t="n">
        <v>27</v>
      </c>
      <c r="E8" s="263" t="n">
        <v>108</v>
      </c>
      <c r="F8" s="263" t="n">
        <v>21</v>
      </c>
      <c r="G8" s="264" t="n">
        <v>4471</v>
      </c>
      <c r="H8" s="264" t="n">
        <v>1957</v>
      </c>
      <c r="I8" s="263" t="n">
        <v>742</v>
      </c>
      <c r="J8" s="263" t="n">
        <v>129</v>
      </c>
      <c r="K8" s="264" t="n">
        <v>5417</v>
      </c>
      <c r="L8" s="264" t="n">
        <v>2134</v>
      </c>
    </row>
    <row r="9" ht="14" customHeight="1" s="227">
      <c r="A9" s="28" t="inlineStr">
        <is>
          <t>Kampong Thom</t>
        </is>
      </c>
      <c r="B9" s="89" t="inlineStr">
        <is>
          <t>CHOU VUNTHY</t>
        </is>
      </c>
      <c r="C9" s="263" t="n">
        <v>94</v>
      </c>
      <c r="D9" s="263" t="n">
        <v>22</v>
      </c>
      <c r="E9" s="263" t="n">
        <v>108</v>
      </c>
      <c r="F9" s="263" t="n">
        <v>26</v>
      </c>
      <c r="G9" s="264" t="n">
        <v>4435</v>
      </c>
      <c r="H9" s="264" t="n">
        <v>2429</v>
      </c>
      <c r="I9" s="263" t="n">
        <v>731</v>
      </c>
      <c r="J9" s="263" t="n">
        <v>179</v>
      </c>
      <c r="K9" s="264" t="n">
        <v>5368</v>
      </c>
      <c r="L9" s="264" t="n">
        <v>2656</v>
      </c>
    </row>
    <row r="10" ht="14" customHeight="1" s="227">
      <c r="A10" s="28" t="inlineStr">
        <is>
          <t>Kampot</t>
        </is>
      </c>
      <c r="B10" s="89" t="inlineStr">
        <is>
          <t>TAK HAP</t>
        </is>
      </c>
      <c r="C10" s="263" t="n">
        <v>105</v>
      </c>
      <c r="D10" s="263" t="n">
        <v>13</v>
      </c>
      <c r="E10" s="263" t="n">
        <v>119</v>
      </c>
      <c r="F10" s="263" t="n">
        <v>21</v>
      </c>
      <c r="G10" s="264" t="n">
        <v>4747</v>
      </c>
      <c r="H10" s="264" t="n">
        <v>2325</v>
      </c>
      <c r="I10" s="263" t="n">
        <v>938</v>
      </c>
      <c r="J10" s="263" t="n">
        <v>189</v>
      </c>
      <c r="K10" s="264" t="n">
        <v>5909</v>
      </c>
      <c r="L10" s="264" t="n">
        <v>2548</v>
      </c>
    </row>
    <row r="11" ht="14" customHeight="1" s="227">
      <c r="A11" s="28" t="inlineStr">
        <is>
          <t>Kandal</t>
        </is>
      </c>
      <c r="B11" s="89" t="inlineStr">
        <is>
          <t>CHENG SAM UL</t>
        </is>
      </c>
      <c r="C11" s="263" t="n">
        <v>114</v>
      </c>
      <c r="D11" s="263" t="n">
        <v>40</v>
      </c>
      <c r="E11" s="263" t="n">
        <v>148</v>
      </c>
      <c r="F11" s="263" t="n">
        <v>41</v>
      </c>
      <c r="G11" s="264" t="n">
        <v>7246</v>
      </c>
      <c r="H11" s="264" t="n">
        <v>4002</v>
      </c>
      <c r="I11" s="264" t="n">
        <v>1482</v>
      </c>
      <c r="J11" s="263" t="n">
        <v>412</v>
      </c>
      <c r="K11" s="264" t="n">
        <v>8990</v>
      </c>
      <c r="L11" s="264" t="n">
        <v>4495</v>
      </c>
    </row>
    <row r="12" ht="14" customHeight="1" s="227">
      <c r="A12" s="28" t="inlineStr">
        <is>
          <t>Kep</t>
        </is>
      </c>
      <c r="B12" s="89" t="inlineStr">
        <is>
          <t>NGOUN CHANSOCHEATA</t>
        </is>
      </c>
      <c r="C12" s="263" t="n">
        <v>47</v>
      </c>
      <c r="D12" s="263" t="n">
        <v>13</v>
      </c>
      <c r="E12" s="263" t="n">
        <v>21</v>
      </c>
      <c r="F12" s="263" t="n">
        <v>5</v>
      </c>
      <c r="G12" s="263" t="n">
        <v>455</v>
      </c>
      <c r="H12" s="263" t="n">
        <v>239</v>
      </c>
      <c r="I12" s="263" t="n">
        <v>92</v>
      </c>
      <c r="J12" s="263" t="n">
        <v>15</v>
      </c>
      <c r="K12" s="263" t="n">
        <v>615</v>
      </c>
      <c r="L12" s="263" t="n">
        <v>272</v>
      </c>
    </row>
    <row r="13" ht="14" customHeight="1" s="227">
      <c r="A13" s="28" t="inlineStr">
        <is>
          <t>Koh Kong</t>
        </is>
      </c>
      <c r="B13" s="89" t="inlineStr">
        <is>
          <t>NGET LEOUNG</t>
        </is>
      </c>
      <c r="C13" s="263" t="n">
        <v>64</v>
      </c>
      <c r="D13" s="263" t="n">
        <v>19</v>
      </c>
      <c r="E13" s="263" t="n">
        <v>63</v>
      </c>
      <c r="F13" s="263" t="n">
        <v>15</v>
      </c>
      <c r="G13" s="264" t="n">
        <v>1074</v>
      </c>
      <c r="H13" s="263" t="n">
        <v>484</v>
      </c>
      <c r="I13" s="263" t="n">
        <v>164</v>
      </c>
      <c r="J13" s="263" t="n">
        <v>45</v>
      </c>
      <c r="K13" s="264" t="n">
        <v>1365</v>
      </c>
      <c r="L13" s="263" t="n">
        <v>563</v>
      </c>
    </row>
    <row r="14" ht="14" customHeight="1" s="227">
      <c r="A14" s="28" t="inlineStr">
        <is>
          <t>Kratie</t>
        </is>
      </c>
      <c r="B14" s="89" t="inlineStr">
        <is>
          <t>LAY BORA</t>
        </is>
      </c>
      <c r="C14" s="263" t="n">
        <v>69</v>
      </c>
      <c r="D14" s="263" t="n">
        <v>22</v>
      </c>
      <c r="E14" s="263" t="n">
        <v>72</v>
      </c>
      <c r="F14" s="263" t="n">
        <v>17</v>
      </c>
      <c r="G14" s="264" t="n">
        <v>2550</v>
      </c>
      <c r="H14" s="264" t="n">
        <v>1585</v>
      </c>
      <c r="I14" s="263" t="n">
        <v>367</v>
      </c>
      <c r="J14" s="263" t="n">
        <v>122</v>
      </c>
      <c r="K14" s="264" t="n">
        <v>3058</v>
      </c>
      <c r="L14" s="264" t="n">
        <v>1746</v>
      </c>
    </row>
    <row r="15" ht="14" customHeight="1" s="227">
      <c r="A15" s="28" t="inlineStr">
        <is>
          <t>Mondul Kiri</t>
        </is>
      </c>
      <c r="B15" s="89" t="inlineStr">
        <is>
          <t>TIM SANGVAT</t>
        </is>
      </c>
      <c r="C15" s="263" t="n">
        <v>5</v>
      </c>
      <c r="D15" s="263" t="n">
        <v>0</v>
      </c>
      <c r="E15" s="263" t="n">
        <v>21</v>
      </c>
      <c r="F15" s="263" t="n">
        <v>3</v>
      </c>
      <c r="G15" s="263" t="n">
        <v>812</v>
      </c>
      <c r="H15" s="263" t="n">
        <v>380</v>
      </c>
      <c r="I15" s="263" t="n">
        <v>46</v>
      </c>
      <c r="J15" s="263" t="n">
        <v>9</v>
      </c>
      <c r="K15" s="263" t="n">
        <v>884</v>
      </c>
      <c r="L15" s="263" t="n">
        <v>392</v>
      </c>
    </row>
    <row r="16" ht="14" customHeight="1" s="227">
      <c r="A16" s="28" t="inlineStr">
        <is>
          <t>Otdar Meanchey</t>
        </is>
      </c>
      <c r="B16" s="89" t="inlineStr">
        <is>
          <t>PECH RATANA</t>
        </is>
      </c>
      <c r="C16" s="263" t="n">
        <v>51</v>
      </c>
      <c r="D16" s="263" t="n">
        <v>12</v>
      </c>
      <c r="E16" s="263" t="n">
        <v>61</v>
      </c>
      <c r="F16" s="263" t="n">
        <v>9</v>
      </c>
      <c r="G16" s="264" t="n">
        <v>1525</v>
      </c>
      <c r="H16" s="263" t="n">
        <v>679</v>
      </c>
      <c r="I16" s="263" t="n">
        <v>302</v>
      </c>
      <c r="J16" s="263" t="n">
        <v>65</v>
      </c>
      <c r="K16" s="264" t="n">
        <v>1939</v>
      </c>
      <c r="L16" s="263" t="n">
        <v>765</v>
      </c>
    </row>
    <row r="17" ht="14" customHeight="1" s="227">
      <c r="A17" s="28" t="inlineStr">
        <is>
          <t>Pailin</t>
        </is>
      </c>
      <c r="B17" s="89" t="inlineStr">
        <is>
          <t>TANG THEARA</t>
        </is>
      </c>
      <c r="C17" s="263" t="n">
        <v>47</v>
      </c>
      <c r="D17" s="263" t="n">
        <v>12</v>
      </c>
      <c r="E17" s="263" t="n">
        <v>16</v>
      </c>
      <c r="F17" s="263" t="n">
        <v>3</v>
      </c>
      <c r="G17" s="263" t="n">
        <v>625</v>
      </c>
      <c r="H17" s="263" t="n">
        <v>315</v>
      </c>
      <c r="I17" s="263" t="n">
        <v>76</v>
      </c>
      <c r="J17" s="263" t="n">
        <v>22</v>
      </c>
      <c r="K17" s="263" t="n">
        <v>764</v>
      </c>
      <c r="L17" s="263" t="n">
        <v>352</v>
      </c>
    </row>
    <row r="18" ht="14" customHeight="1" s="227">
      <c r="A18" s="28" t="inlineStr">
        <is>
          <t>Phnom Penh</t>
        </is>
      </c>
      <c r="B18" s="89" t="inlineStr">
        <is>
          <t>HEM SINARETH</t>
        </is>
      </c>
      <c r="C18" s="263" t="n">
        <v>109</v>
      </c>
      <c r="D18" s="263" t="n">
        <v>32</v>
      </c>
      <c r="E18" s="263" t="n">
        <v>110</v>
      </c>
      <c r="F18" s="263" t="n">
        <v>38</v>
      </c>
      <c r="G18" s="264" t="n">
        <v>9841</v>
      </c>
      <c r="H18" s="264" t="n">
        <v>5742</v>
      </c>
      <c r="I18" s="264" t="n">
        <v>1042</v>
      </c>
      <c r="J18" s="263" t="n">
        <v>407</v>
      </c>
      <c r="K18" s="264" t="n">
        <v>11102</v>
      </c>
      <c r="L18" s="264" t="n">
        <v>6219</v>
      </c>
    </row>
    <row r="19" ht="14" customHeight="1" s="227">
      <c r="A19" s="28" t="inlineStr">
        <is>
          <t>Preah Sihanouk</t>
        </is>
      </c>
      <c r="B19" s="89" t="inlineStr">
        <is>
          <t>KEO LAY</t>
        </is>
      </c>
      <c r="C19" s="263" t="n">
        <v>65</v>
      </c>
      <c r="D19" s="263" t="n">
        <v>20</v>
      </c>
      <c r="E19" s="263" t="n">
        <v>46</v>
      </c>
      <c r="F19" s="263" t="n">
        <v>15</v>
      </c>
      <c r="G19" s="264" t="n">
        <v>1598</v>
      </c>
      <c r="H19" s="263" t="n">
        <v>775</v>
      </c>
      <c r="I19" s="263" t="n">
        <v>239</v>
      </c>
      <c r="J19" s="263" t="n">
        <v>74</v>
      </c>
      <c r="K19" s="264" t="n">
        <v>1948</v>
      </c>
      <c r="L19" s="263" t="n">
        <v>884</v>
      </c>
    </row>
    <row r="20" ht="14" customHeight="1" s="227">
      <c r="A20" s="28" t="inlineStr">
        <is>
          <t>Preah Vihear</t>
        </is>
      </c>
      <c r="B20" s="89" t="inlineStr">
        <is>
          <t>CHENG LIMHORN</t>
        </is>
      </c>
      <c r="C20" s="263" t="n">
        <v>64</v>
      </c>
      <c r="D20" s="263" t="n">
        <v>13</v>
      </c>
      <c r="E20" s="263" t="n">
        <v>85</v>
      </c>
      <c r="F20" s="263" t="n">
        <v>20</v>
      </c>
      <c r="G20" s="264" t="n">
        <v>1999</v>
      </c>
      <c r="H20" s="264" t="n">
        <v>1002</v>
      </c>
      <c r="I20" s="263" t="n">
        <v>266</v>
      </c>
      <c r="J20" s="263" t="n">
        <v>72</v>
      </c>
      <c r="K20" s="264" t="n">
        <v>2414</v>
      </c>
      <c r="L20" s="264" t="n">
        <v>1107</v>
      </c>
    </row>
    <row r="21" ht="14" customHeight="1" s="227">
      <c r="A21" s="28" t="inlineStr">
        <is>
          <t>Prey Veng</t>
        </is>
      </c>
      <c r="B21" s="89" t="inlineStr">
        <is>
          <t>CHHUN SOPHAL</t>
        </is>
      </c>
      <c r="C21" s="263" t="n">
        <v>104</v>
      </c>
      <c r="D21" s="263" t="n">
        <v>39</v>
      </c>
      <c r="E21" s="263" t="n">
        <v>154</v>
      </c>
      <c r="F21" s="263" t="n">
        <v>43</v>
      </c>
      <c r="G21" s="264" t="n">
        <v>5736</v>
      </c>
      <c r="H21" s="264" t="n">
        <v>2709</v>
      </c>
      <c r="I21" s="264" t="n">
        <v>1800</v>
      </c>
      <c r="J21" s="263" t="n">
        <v>455</v>
      </c>
      <c r="K21" s="264" t="n">
        <v>7794</v>
      </c>
      <c r="L21" s="264" t="n">
        <v>3246</v>
      </c>
    </row>
    <row r="22" ht="14" customHeight="1" s="227">
      <c r="A22" s="28" t="inlineStr">
        <is>
          <t>Pursat</t>
        </is>
      </c>
      <c r="B22" s="89" t="inlineStr">
        <is>
          <t>LY SOKUNTHY</t>
        </is>
      </c>
      <c r="C22" s="263" t="n">
        <v>84</v>
      </c>
      <c r="D22" s="263" t="n">
        <v>19</v>
      </c>
      <c r="E22" s="263" t="n">
        <v>99</v>
      </c>
      <c r="F22" s="263" t="n">
        <v>26</v>
      </c>
      <c r="G22" s="264" t="n">
        <v>3156</v>
      </c>
      <c r="H22" s="264" t="n">
        <v>1520</v>
      </c>
      <c r="I22" s="263" t="n">
        <v>610</v>
      </c>
      <c r="J22" s="263" t="n">
        <v>161</v>
      </c>
      <c r="K22" s="264" t="n">
        <v>3949</v>
      </c>
      <c r="L22" s="264" t="n">
        <v>1726</v>
      </c>
    </row>
    <row r="23" ht="14" customHeight="1" s="227">
      <c r="A23" s="28" t="inlineStr">
        <is>
          <t>Ratanak Kiri</t>
        </is>
      </c>
      <c r="B23" s="89" t="inlineStr">
        <is>
          <t>KHATH SAMAL</t>
        </is>
      </c>
      <c r="C23" s="263" t="n">
        <v>50</v>
      </c>
      <c r="D23" s="263" t="n">
        <v>11</v>
      </c>
      <c r="E23" s="263" t="n">
        <v>50</v>
      </c>
      <c r="F23" s="263" t="n">
        <v>5</v>
      </c>
      <c r="G23" s="264" t="n">
        <v>1275</v>
      </c>
      <c r="H23" s="263" t="n">
        <v>590</v>
      </c>
      <c r="I23" s="263" t="n">
        <v>123</v>
      </c>
      <c r="J23" s="263" t="n">
        <v>30</v>
      </c>
      <c r="K23" s="264" t="n">
        <v>1498</v>
      </c>
      <c r="L23" s="263" t="n">
        <v>636</v>
      </c>
    </row>
    <row r="24" ht="14" customHeight="1" s="227">
      <c r="A24" s="28" t="inlineStr">
        <is>
          <t>Siemreap</t>
        </is>
      </c>
      <c r="B24" s="89" t="inlineStr">
        <is>
          <t>SAY TITYAVONG</t>
        </is>
      </c>
      <c r="C24" s="263" t="n">
        <v>127</v>
      </c>
      <c r="D24" s="263" t="n">
        <v>33</v>
      </c>
      <c r="E24" s="263" t="n">
        <v>165</v>
      </c>
      <c r="F24" s="263" t="n">
        <v>46</v>
      </c>
      <c r="G24" s="264" t="n">
        <v>5950</v>
      </c>
      <c r="H24" s="264" t="n">
        <v>3699</v>
      </c>
      <c r="I24" s="264" t="n">
        <v>1446</v>
      </c>
      <c r="J24" s="263" t="n">
        <v>536</v>
      </c>
      <c r="K24" s="264" t="n">
        <v>7688</v>
      </c>
      <c r="L24" s="264" t="n">
        <v>4314</v>
      </c>
    </row>
    <row r="25" ht="14" customHeight="1" s="227">
      <c r="A25" s="28" t="inlineStr">
        <is>
          <t>Stung Treng</t>
        </is>
      </c>
      <c r="B25" s="89" t="inlineStr">
        <is>
          <t>HEANG POLY</t>
        </is>
      </c>
      <c r="C25" s="263" t="n">
        <v>60</v>
      </c>
      <c r="D25" s="263" t="n">
        <v>17</v>
      </c>
      <c r="E25" s="263" t="n">
        <v>60</v>
      </c>
      <c r="F25" s="263" t="n">
        <v>23</v>
      </c>
      <c r="G25" s="264" t="n">
        <v>1217</v>
      </c>
      <c r="H25" s="263" t="n">
        <v>657</v>
      </c>
      <c r="I25" s="263" t="n">
        <v>169</v>
      </c>
      <c r="J25" s="263" t="n">
        <v>58</v>
      </c>
      <c r="K25" s="264" t="n">
        <v>1506</v>
      </c>
      <c r="L25" s="263" t="n">
        <v>755</v>
      </c>
    </row>
    <row r="26" ht="14" customHeight="1" s="227">
      <c r="A26" s="28" t="inlineStr">
        <is>
          <t>Svay Rieng</t>
        </is>
      </c>
      <c r="B26" s="89" t="inlineStr">
        <is>
          <t>KHIEV SAM OL</t>
        </is>
      </c>
      <c r="C26" s="263" t="n">
        <v>115</v>
      </c>
      <c r="D26" s="263" t="n">
        <v>21</v>
      </c>
      <c r="E26" s="263" t="n">
        <v>118</v>
      </c>
      <c r="F26" s="263" t="n">
        <v>22</v>
      </c>
      <c r="G26" s="264" t="n">
        <v>3688</v>
      </c>
      <c r="H26" s="264" t="n">
        <v>1394</v>
      </c>
      <c r="I26" s="263" t="n">
        <v>929</v>
      </c>
      <c r="J26" s="263" t="n">
        <v>208</v>
      </c>
      <c r="K26" s="264" t="n">
        <v>4850</v>
      </c>
      <c r="L26" s="264" t="n">
        <v>1645</v>
      </c>
    </row>
    <row r="27" ht="14" customHeight="1" s="227">
      <c r="A27" s="28" t="inlineStr">
        <is>
          <t>Takeo</t>
        </is>
      </c>
      <c r="B27" s="89" t="inlineStr">
        <is>
          <t>LOR VIRITH</t>
        </is>
      </c>
      <c r="C27" s="263" t="n">
        <v>151</v>
      </c>
      <c r="D27" s="263" t="n">
        <v>45</v>
      </c>
      <c r="E27" s="263" t="n">
        <v>138</v>
      </c>
      <c r="F27" s="263" t="n">
        <v>26</v>
      </c>
      <c r="G27" s="264" t="n">
        <v>6485</v>
      </c>
      <c r="H27" s="264" t="n">
        <v>2627</v>
      </c>
      <c r="I27" s="264" t="n">
        <v>1696</v>
      </c>
      <c r="J27" s="263" t="n">
        <v>391</v>
      </c>
      <c r="K27" s="264" t="n">
        <v>8470</v>
      </c>
      <c r="L27" s="264" t="n">
        <v>3089</v>
      </c>
    </row>
    <row r="28" ht="14" customHeight="1" s="227">
      <c r="A28" s="28" t="inlineStr">
        <is>
          <t>Tbaung Khmum</t>
        </is>
      </c>
      <c r="B28" s="89" t="inlineStr">
        <is>
          <t>IN POUVSAMBATH</t>
        </is>
      </c>
      <c r="C28" s="263" t="n">
        <v>87</v>
      </c>
      <c r="D28" s="263" t="n">
        <v>28</v>
      </c>
      <c r="E28" s="263" t="n">
        <v>82</v>
      </c>
      <c r="F28" s="263" t="n">
        <v>19</v>
      </c>
      <c r="G28" s="264" t="n">
        <v>3757</v>
      </c>
      <c r="H28" s="264" t="n">
        <v>2023</v>
      </c>
      <c r="I28" s="263" t="n">
        <v>712</v>
      </c>
      <c r="J28" s="263" t="n">
        <v>223</v>
      </c>
      <c r="K28" s="264" t="n">
        <v>4638</v>
      </c>
      <c r="L28" s="264" t="n">
        <v>2293</v>
      </c>
    </row>
    <row r="29" ht="17" customHeight="1" s="227">
      <c r="A29" s="22" t="inlineStr">
        <is>
          <t>Whole Kingdom</t>
        </is>
      </c>
      <c r="B29" s="90" t="n"/>
      <c r="C29" s="264" t="n">
        <v>2181</v>
      </c>
      <c r="D29" s="263" t="n">
        <v>601</v>
      </c>
      <c r="E29" s="264" t="n">
        <v>2393</v>
      </c>
      <c r="F29" s="263" t="n">
        <v>592</v>
      </c>
      <c r="G29" s="264" t="n">
        <v>93703</v>
      </c>
      <c r="H29" s="264" t="n">
        <v>48810</v>
      </c>
      <c r="I29" s="264" t="n">
        <v>19066</v>
      </c>
      <c r="J29" s="264" t="n">
        <v>5531</v>
      </c>
      <c r="K29" s="264" t="n">
        <v>117343</v>
      </c>
      <c r="L29" s="264" t="n">
        <v>55534</v>
      </c>
    </row>
    <row r="30" ht="14" customHeight="1" s="227">
      <c r="A30" s="28" t="inlineStr">
        <is>
          <t>- Urban Area</t>
        </is>
      </c>
      <c r="B30" s="91" t="n"/>
      <c r="C30" s="264" t="n">
        <v>2181</v>
      </c>
      <c r="D30" s="263" t="n">
        <v>601</v>
      </c>
      <c r="E30" s="263" t="n">
        <v>454</v>
      </c>
      <c r="F30" s="263" t="n">
        <v>169</v>
      </c>
      <c r="G30" s="264" t="n">
        <v>23450</v>
      </c>
      <c r="H30" s="264" t="n">
        <v>13567</v>
      </c>
      <c r="I30" s="264" t="n">
        <v>3514</v>
      </c>
      <c r="J30" s="264" t="n">
        <v>1429</v>
      </c>
      <c r="K30" s="264" t="n">
        <v>29599</v>
      </c>
      <c r="L30" s="264" t="n">
        <v>15766</v>
      </c>
    </row>
    <row r="31" ht="14" customHeight="1" s="227">
      <c r="A31" s="28" t="inlineStr">
        <is>
          <t>- Rural Area</t>
        </is>
      </c>
      <c r="B31" s="91" t="n"/>
      <c r="C31" s="263" t="n">
        <v>0</v>
      </c>
      <c r="D31" s="263" t="n">
        <v>0</v>
      </c>
      <c r="E31" s="264" t="n">
        <v>1939</v>
      </c>
      <c r="F31" s="263" t="n">
        <v>423</v>
      </c>
      <c r="G31" s="264" t="n">
        <v>70253</v>
      </c>
      <c r="H31" s="264" t="n">
        <v>35243</v>
      </c>
      <c r="I31" s="264" t="n">
        <v>15552</v>
      </c>
      <c r="J31" s="264" t="n">
        <v>4102</v>
      </c>
      <c r="K31" s="264" t="n">
        <v>87744</v>
      </c>
      <c r="L31" s="264" t="n">
        <v>39768</v>
      </c>
    </row>
  </sheetData>
  <mergeCells count="7">
    <mergeCell ref="C2:D2"/>
    <mergeCell ref="G2:H2"/>
    <mergeCell ref="E2:F2"/>
    <mergeCell ref="K2:L2"/>
    <mergeCell ref="I2:J2"/>
    <mergeCell ref="A1:L1"/>
    <mergeCell ref="A2:A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007030A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4.222222" customWidth="1" style="227" min="1" max="1"/>
    <col width="11.777778" customWidth="1" style="227" min="2" max="2"/>
    <col width="12" customWidth="1" style="227" min="3" max="3"/>
    <col width="12" customWidth="1" style="227" min="4" max="4"/>
    <col width="11.777778" customWidth="1" style="227" min="5" max="5"/>
    <col width="12" customWidth="1" style="227" min="6" max="6"/>
    <col width="11.777778" customWidth="1" style="227" min="7" max="7"/>
    <col width="12" customWidth="1" style="227" min="8" max="8"/>
    <col width="12" customWidth="1" style="227" min="9" max="9"/>
    <col width="11.777778" customWidth="1" style="227" min="10" max="10"/>
    <col width="12" customWidth="1" style="227" min="11" max="11"/>
    <col width="11.777778" customWidth="1" style="227" min="12" max="12"/>
    <col width="12" customWidth="1" style="227" min="13" max="13"/>
  </cols>
  <sheetData>
    <row r="1" ht="31" customHeight="1" s="227">
      <c r="A1" s="2" t="inlineStr">
        <is>
          <t>Table 27: School-Going Age Population and Respective Sex-Ratios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2" t="inlineStr">
        <is>
          <t>Aged 6</t>
        </is>
      </c>
      <c r="C2" s="257" t="n"/>
      <c r="D2" s="95" t="inlineStr">
        <is>
          <t>Aged 6-11</t>
        </is>
      </c>
      <c r="E2" s="257" t="n"/>
      <c r="F2" s="95" t="inlineStr">
        <is>
          <t>Aged 12-14</t>
        </is>
      </c>
      <c r="G2" s="257" t="n"/>
      <c r="H2" s="95" t="inlineStr">
        <is>
          <t>Aged 15-17</t>
        </is>
      </c>
      <c r="I2" s="257" t="n"/>
      <c r="J2" s="98" t="inlineStr">
        <is>
          <t>Sex-Ratio of Population</t>
        </is>
      </c>
      <c r="K2" s="269" t="n"/>
      <c r="L2" s="269" t="n"/>
      <c r="M2" s="257" t="n"/>
    </row>
    <row r="3" ht="18" customHeight="1" s="227">
      <c r="A3" s="258" t="n"/>
      <c r="B3" s="102" t="inlineStr">
        <is>
          <t>Total</t>
        </is>
      </c>
      <c r="C3" s="102" t="inlineStr">
        <is>
          <t>Girl</t>
        </is>
      </c>
      <c r="D3" s="102" t="inlineStr">
        <is>
          <t>Total</t>
        </is>
      </c>
      <c r="E3" s="102" t="inlineStr">
        <is>
          <t>Girl</t>
        </is>
      </c>
      <c r="F3" s="102" t="inlineStr">
        <is>
          <t>Total</t>
        </is>
      </c>
      <c r="G3" s="102" t="inlineStr">
        <is>
          <t>Girl</t>
        </is>
      </c>
      <c r="H3" s="102" t="inlineStr">
        <is>
          <t>Total</t>
        </is>
      </c>
      <c r="I3" s="102" t="inlineStr">
        <is>
          <t>Girl</t>
        </is>
      </c>
      <c r="J3" s="103" t="inlineStr">
        <is>
          <t>Aged 6</t>
        </is>
      </c>
      <c r="K3" s="102" t="inlineStr">
        <is>
          <t>6-11</t>
        </is>
      </c>
      <c r="L3" s="103" t="inlineStr">
        <is>
          <t>12-14</t>
        </is>
      </c>
      <c r="M3" s="103" t="inlineStr">
        <is>
          <t>15-17</t>
        </is>
      </c>
    </row>
    <row r="4" ht="14" customHeight="1" s="227">
      <c r="A4" s="28" t="inlineStr">
        <is>
          <t>Banteay Meanchey</t>
        </is>
      </c>
      <c r="B4" s="259" t="n">
        <v>16173</v>
      </c>
      <c r="C4" s="259" t="n">
        <v>7904</v>
      </c>
      <c r="D4" s="259" t="n">
        <v>101699</v>
      </c>
      <c r="E4" s="259" t="n">
        <v>49377</v>
      </c>
      <c r="F4" s="259" t="n">
        <v>57480</v>
      </c>
      <c r="G4" s="259" t="n">
        <v>27744</v>
      </c>
      <c r="H4" s="259" t="n">
        <v>61254</v>
      </c>
      <c r="I4" s="259" t="n">
        <v>29621</v>
      </c>
      <c r="J4" s="276" t="n">
        <v>104.6</v>
      </c>
      <c r="K4" s="276" t="n">
        <v>106</v>
      </c>
      <c r="L4" s="276" t="n">
        <v>107.2</v>
      </c>
      <c r="M4" s="276" t="n">
        <v>106.8</v>
      </c>
    </row>
    <row r="5" ht="14" customHeight="1" s="227">
      <c r="A5" s="28" t="inlineStr">
        <is>
          <t>Battambang</t>
        </is>
      </c>
      <c r="B5" s="259" t="n">
        <v>24311</v>
      </c>
      <c r="C5" s="259" t="n">
        <v>11719</v>
      </c>
      <c r="D5" s="259" t="n">
        <v>154535</v>
      </c>
      <c r="E5" s="259" t="n">
        <v>74612</v>
      </c>
      <c r="F5" s="259" t="n">
        <v>89662</v>
      </c>
      <c r="G5" s="259" t="n">
        <v>43376</v>
      </c>
      <c r="H5" s="259" t="n">
        <v>97015</v>
      </c>
      <c r="I5" s="259" t="n">
        <v>46642</v>
      </c>
      <c r="J5" s="276" t="n">
        <v>107.4</v>
      </c>
      <c r="K5" s="276" t="n">
        <v>107.1</v>
      </c>
      <c r="L5" s="276" t="n">
        <v>106.7</v>
      </c>
      <c r="M5" s="276" t="n">
        <v>108</v>
      </c>
    </row>
    <row r="6" ht="15" customHeight="1" s="227">
      <c r="A6" s="28" t="inlineStr">
        <is>
          <t>Kampong Cham</t>
        </is>
      </c>
      <c r="B6" s="259" t="n">
        <v>18910</v>
      </c>
      <c r="C6" s="259" t="n">
        <v>9211</v>
      </c>
      <c r="D6" s="259" t="n">
        <v>120953</v>
      </c>
      <c r="E6" s="259" t="n">
        <v>58932</v>
      </c>
      <c r="F6" s="259" t="n">
        <v>68377</v>
      </c>
      <c r="G6" s="259" t="n">
        <v>33110</v>
      </c>
      <c r="H6" s="259" t="n">
        <v>70976</v>
      </c>
      <c r="I6" s="259" t="n">
        <v>33758</v>
      </c>
      <c r="J6" s="276" t="n">
        <v>105.3</v>
      </c>
      <c r="K6" s="276" t="n">
        <v>105.2</v>
      </c>
      <c r="L6" s="276" t="n">
        <v>106.5</v>
      </c>
      <c r="M6" s="276" t="n">
        <v>110.2</v>
      </c>
    </row>
    <row r="7" ht="14" customHeight="1" s="227">
      <c r="A7" s="28" t="inlineStr">
        <is>
          <t>Kampong Chhnang</t>
        </is>
      </c>
      <c r="B7" s="259" t="n">
        <v>11500</v>
      </c>
      <c r="C7" s="259" t="n">
        <v>5617</v>
      </c>
      <c r="D7" s="259" t="n">
        <v>72604</v>
      </c>
      <c r="E7" s="259" t="n">
        <v>35429</v>
      </c>
      <c r="F7" s="259" t="n">
        <v>40978</v>
      </c>
      <c r="G7" s="259" t="n">
        <v>19844</v>
      </c>
      <c r="H7" s="259" t="n">
        <v>42045</v>
      </c>
      <c r="I7" s="259" t="n">
        <v>20044</v>
      </c>
      <c r="J7" s="276" t="n">
        <v>104.7</v>
      </c>
      <c r="K7" s="276" t="n">
        <v>104.9</v>
      </c>
      <c r="L7" s="276" t="n">
        <v>106.5</v>
      </c>
      <c r="M7" s="276" t="n">
        <v>109.8</v>
      </c>
    </row>
    <row r="8" ht="14" customHeight="1" s="227">
      <c r="A8" s="28" t="inlineStr">
        <is>
          <t>Kampong Speu</t>
        </is>
      </c>
      <c r="B8" s="259" t="n">
        <v>17061</v>
      </c>
      <c r="C8" s="259" t="n">
        <v>8379</v>
      </c>
      <c r="D8" s="259" t="n">
        <v>109872</v>
      </c>
      <c r="E8" s="259" t="n">
        <v>53933</v>
      </c>
      <c r="F8" s="259" t="n">
        <v>61901</v>
      </c>
      <c r="G8" s="259" t="n">
        <v>29991</v>
      </c>
      <c r="H8" s="259" t="n">
        <v>62325</v>
      </c>
      <c r="I8" s="259" t="n">
        <v>29307</v>
      </c>
      <c r="J8" s="276" t="n">
        <v>103.6</v>
      </c>
      <c r="K8" s="276" t="n">
        <v>103.7</v>
      </c>
      <c r="L8" s="276" t="n">
        <v>106.4</v>
      </c>
      <c r="M8" s="276" t="n">
        <v>112.7</v>
      </c>
    </row>
    <row r="9" ht="14" customHeight="1" s="227">
      <c r="A9" s="28" t="inlineStr">
        <is>
          <t>Kampong Thom</t>
        </is>
      </c>
      <c r="B9" s="259" t="n">
        <v>14827</v>
      </c>
      <c r="C9" s="259" t="n">
        <v>7173</v>
      </c>
      <c r="D9" s="259" t="n">
        <v>94985</v>
      </c>
      <c r="E9" s="259" t="n">
        <v>46131</v>
      </c>
      <c r="F9" s="259" t="n">
        <v>52889</v>
      </c>
      <c r="G9" s="259" t="n">
        <v>25591</v>
      </c>
      <c r="H9" s="259" t="n">
        <v>53722</v>
      </c>
      <c r="I9" s="259" t="n">
        <v>25344</v>
      </c>
      <c r="J9" s="276" t="n">
        <v>106.7</v>
      </c>
      <c r="K9" s="276" t="n">
        <v>105.9</v>
      </c>
      <c r="L9" s="276" t="n">
        <v>106.7</v>
      </c>
      <c r="M9" s="276" t="n">
        <v>112</v>
      </c>
    </row>
    <row r="10" ht="14" customHeight="1" s="227">
      <c r="A10" s="28" t="inlineStr">
        <is>
          <t>Kampot</t>
        </is>
      </c>
      <c r="B10" s="259" t="n">
        <v>12743</v>
      </c>
      <c r="C10" s="259" t="n">
        <v>6168</v>
      </c>
      <c r="D10" s="259" t="n">
        <v>83878</v>
      </c>
      <c r="E10" s="259" t="n">
        <v>40591</v>
      </c>
      <c r="F10" s="259" t="n">
        <v>48519</v>
      </c>
      <c r="G10" s="259" t="n">
        <v>23399</v>
      </c>
      <c r="H10" s="259" t="n">
        <v>49309</v>
      </c>
      <c r="I10" s="259" t="n">
        <v>23446</v>
      </c>
      <c r="J10" s="276" t="n">
        <v>106.6</v>
      </c>
      <c r="K10" s="276" t="n">
        <v>106.6</v>
      </c>
      <c r="L10" s="276" t="n">
        <v>107.4</v>
      </c>
      <c r="M10" s="276" t="n">
        <v>110.3</v>
      </c>
    </row>
    <row r="11" ht="14" customHeight="1" s="227">
      <c r="A11" s="28" t="inlineStr">
        <is>
          <t>Kandal</t>
        </is>
      </c>
      <c r="B11" s="259" t="n">
        <v>22520</v>
      </c>
      <c r="C11" s="259" t="n">
        <v>10906</v>
      </c>
      <c r="D11" s="259" t="n">
        <v>140142</v>
      </c>
      <c r="E11" s="259" t="n">
        <v>67708</v>
      </c>
      <c r="F11" s="259" t="n">
        <v>81146</v>
      </c>
      <c r="G11" s="259" t="n">
        <v>39038</v>
      </c>
      <c r="H11" s="259" t="n">
        <v>90113</v>
      </c>
      <c r="I11" s="259" t="n">
        <v>43028</v>
      </c>
      <c r="J11" s="276" t="n">
        <v>106.5</v>
      </c>
      <c r="K11" s="276" t="n">
        <v>107</v>
      </c>
      <c r="L11" s="276" t="n">
        <v>107.9</v>
      </c>
      <c r="M11" s="276" t="n">
        <v>109.4</v>
      </c>
    </row>
    <row r="12" ht="14" customHeight="1" s="227">
      <c r="A12" s="28" t="inlineStr">
        <is>
          <t>Kep</t>
        </is>
      </c>
      <c r="B12" s="259" t="n">
        <v>1056</v>
      </c>
      <c r="C12" s="260" t="n">
        <v>504</v>
      </c>
      <c r="D12" s="259" t="n">
        <v>6985</v>
      </c>
      <c r="E12" s="259" t="n">
        <v>3327</v>
      </c>
      <c r="F12" s="259" t="n">
        <v>4066</v>
      </c>
      <c r="G12" s="259" t="n">
        <v>1933</v>
      </c>
      <c r="H12" s="259" t="n">
        <v>4212</v>
      </c>
      <c r="I12" s="259" t="n">
        <v>1996</v>
      </c>
      <c r="J12" s="276" t="n">
        <v>109.5</v>
      </c>
      <c r="K12" s="276" t="n">
        <v>109.9</v>
      </c>
      <c r="L12" s="276" t="n">
        <v>110.3</v>
      </c>
      <c r="M12" s="276" t="n">
        <v>111</v>
      </c>
    </row>
    <row r="13" ht="14" customHeight="1" s="227">
      <c r="A13" s="28" t="inlineStr">
        <is>
          <t>Koh Kong</t>
        </is>
      </c>
      <c r="B13" s="259" t="n">
        <v>3289</v>
      </c>
      <c r="C13" s="259" t="n">
        <v>1579</v>
      </c>
      <c r="D13" s="259" t="n">
        <v>20684</v>
      </c>
      <c r="E13" s="259" t="n">
        <v>9987</v>
      </c>
      <c r="F13" s="259" t="n">
        <v>11607</v>
      </c>
      <c r="G13" s="259" t="n">
        <v>5662</v>
      </c>
      <c r="H13" s="259" t="n">
        <v>12063</v>
      </c>
      <c r="I13" s="259" t="n">
        <v>5860</v>
      </c>
      <c r="J13" s="276" t="n">
        <v>108.3</v>
      </c>
      <c r="K13" s="276" t="n">
        <v>107.1</v>
      </c>
      <c r="L13" s="276" t="n">
        <v>105</v>
      </c>
      <c r="M13" s="276" t="n">
        <v>105.9</v>
      </c>
    </row>
    <row r="14" ht="14" customHeight="1" s="227">
      <c r="A14" s="28" t="inlineStr">
        <is>
          <t>Kratie</t>
        </is>
      </c>
      <c r="B14" s="259" t="n">
        <v>8974</v>
      </c>
      <c r="C14" s="259" t="n">
        <v>4402</v>
      </c>
      <c r="D14" s="259" t="n">
        <v>55226</v>
      </c>
      <c r="E14" s="259" t="n">
        <v>27197</v>
      </c>
      <c r="F14" s="259" t="n">
        <v>28911</v>
      </c>
      <c r="G14" s="259" t="n">
        <v>14197</v>
      </c>
      <c r="H14" s="259" t="n">
        <v>28370</v>
      </c>
      <c r="I14" s="259" t="n">
        <v>13609</v>
      </c>
      <c r="J14" s="276" t="n">
        <v>103.9</v>
      </c>
      <c r="K14" s="276" t="n">
        <v>103.1</v>
      </c>
      <c r="L14" s="276" t="n">
        <v>103.6</v>
      </c>
      <c r="M14" s="276" t="n">
        <v>108.5</v>
      </c>
    </row>
    <row r="15" ht="14" customHeight="1" s="227">
      <c r="A15" s="28" t="inlineStr">
        <is>
          <t>Mondul Kiri</t>
        </is>
      </c>
      <c r="B15" s="259" t="n">
        <v>2169</v>
      </c>
      <c r="C15" s="259" t="n">
        <v>1058</v>
      </c>
      <c r="D15" s="259" t="n">
        <v>13179</v>
      </c>
      <c r="E15" s="259" t="n">
        <v>6449</v>
      </c>
      <c r="F15" s="259" t="n">
        <v>6579</v>
      </c>
      <c r="G15" s="259" t="n">
        <v>3240</v>
      </c>
      <c r="H15" s="259" t="n">
        <v>6374</v>
      </c>
      <c r="I15" s="259" t="n">
        <v>3122</v>
      </c>
      <c r="J15" s="276" t="n">
        <v>105</v>
      </c>
      <c r="K15" s="276" t="n">
        <v>104.4</v>
      </c>
      <c r="L15" s="276" t="n">
        <v>103.1</v>
      </c>
      <c r="M15" s="276" t="n">
        <v>104.2</v>
      </c>
    </row>
    <row r="16" ht="14" customHeight="1" s="227">
      <c r="A16" s="28" t="inlineStr">
        <is>
          <t>Otdar Meanchey</t>
        </is>
      </c>
      <c r="B16" s="259" t="n">
        <v>6022</v>
      </c>
      <c r="C16" s="259" t="n">
        <v>2917</v>
      </c>
      <c r="D16" s="259" t="n">
        <v>38242</v>
      </c>
      <c r="E16" s="259" t="n">
        <v>18446</v>
      </c>
      <c r="F16" s="259" t="n">
        <v>20816</v>
      </c>
      <c r="G16" s="259" t="n">
        <v>10026</v>
      </c>
      <c r="H16" s="259" t="n">
        <v>21258</v>
      </c>
      <c r="I16" s="259" t="n">
        <v>10262</v>
      </c>
      <c r="J16" s="276" t="n">
        <v>106.4</v>
      </c>
      <c r="K16" s="276" t="n">
        <v>107.3</v>
      </c>
      <c r="L16" s="276" t="n">
        <v>107.6</v>
      </c>
      <c r="M16" s="276" t="n">
        <v>107.2</v>
      </c>
    </row>
    <row r="17" ht="14" customHeight="1" s="227">
      <c r="A17" s="28" t="inlineStr">
        <is>
          <t>Pailin</t>
        </is>
      </c>
      <c r="B17" s="259" t="n">
        <v>2247</v>
      </c>
      <c r="C17" s="259" t="n">
        <v>1084</v>
      </c>
      <c r="D17" s="259" t="n">
        <v>13610</v>
      </c>
      <c r="E17" s="259" t="n">
        <v>6545</v>
      </c>
      <c r="F17" s="259" t="n">
        <v>7738</v>
      </c>
      <c r="G17" s="259" t="n">
        <v>3737</v>
      </c>
      <c r="H17" s="259" t="n">
        <v>8924</v>
      </c>
      <c r="I17" s="259" t="n">
        <v>4341</v>
      </c>
      <c r="J17" s="276" t="n">
        <v>107.3</v>
      </c>
      <c r="K17" s="276" t="n">
        <v>107.9</v>
      </c>
      <c r="L17" s="276" t="n">
        <v>107.1</v>
      </c>
      <c r="M17" s="276" t="n">
        <v>105.6</v>
      </c>
    </row>
    <row r="18" ht="14" customHeight="1" s="227">
      <c r="A18" s="28" t="inlineStr">
        <is>
          <t>Phnom Penh</t>
        </is>
      </c>
      <c r="B18" s="259" t="n">
        <v>27021</v>
      </c>
      <c r="C18" s="259" t="n">
        <v>13004</v>
      </c>
      <c r="D18" s="259" t="n">
        <v>152776</v>
      </c>
      <c r="E18" s="259" t="n">
        <v>72726</v>
      </c>
      <c r="F18" s="259" t="n">
        <v>89652</v>
      </c>
      <c r="G18" s="259" t="n">
        <v>44223</v>
      </c>
      <c r="H18" s="259" t="n">
        <v>113118</v>
      </c>
      <c r="I18" s="259" t="n">
        <v>59993</v>
      </c>
      <c r="J18" s="276" t="n">
        <v>107.8</v>
      </c>
      <c r="K18" s="276" t="n">
        <v>110.1</v>
      </c>
      <c r="L18" s="276" t="n">
        <v>102.7</v>
      </c>
      <c r="M18" s="276" t="n">
        <v>88.59999999999999</v>
      </c>
    </row>
    <row r="19" ht="14" customHeight="1" s="227">
      <c r="A19" s="28" t="inlineStr">
        <is>
          <t>Preah Sihanouk</t>
        </is>
      </c>
      <c r="B19" s="259" t="n">
        <v>5009</v>
      </c>
      <c r="C19" s="259" t="n">
        <v>2419</v>
      </c>
      <c r="D19" s="259" t="n">
        <v>31616</v>
      </c>
      <c r="E19" s="259" t="n">
        <v>15252</v>
      </c>
      <c r="F19" s="259" t="n">
        <v>18869</v>
      </c>
      <c r="G19" s="259" t="n">
        <v>9143</v>
      </c>
      <c r="H19" s="259" t="n">
        <v>21225</v>
      </c>
      <c r="I19" s="259" t="n">
        <v>10307</v>
      </c>
      <c r="J19" s="276" t="n">
        <v>107.1</v>
      </c>
      <c r="K19" s="276" t="n">
        <v>107.3</v>
      </c>
      <c r="L19" s="276" t="n">
        <v>106.4</v>
      </c>
      <c r="M19" s="276" t="n">
        <v>105.9</v>
      </c>
    </row>
    <row r="20" ht="14" customHeight="1" s="227">
      <c r="A20" s="28" t="inlineStr">
        <is>
          <t>Preah Vihear</t>
        </is>
      </c>
      <c r="B20" s="259" t="n">
        <v>4882</v>
      </c>
      <c r="C20" s="259" t="n">
        <v>2409</v>
      </c>
      <c r="D20" s="259" t="n">
        <v>30454</v>
      </c>
      <c r="E20" s="259" t="n">
        <v>14957</v>
      </c>
      <c r="F20" s="259" t="n">
        <v>15895</v>
      </c>
      <c r="G20" s="259" t="n">
        <v>7762</v>
      </c>
      <c r="H20" s="259" t="n">
        <v>15672</v>
      </c>
      <c r="I20" s="259" t="n">
        <v>7611</v>
      </c>
      <c r="J20" s="276" t="n">
        <v>102.7</v>
      </c>
      <c r="K20" s="276" t="n">
        <v>103.6</v>
      </c>
      <c r="L20" s="276" t="n">
        <v>104.8</v>
      </c>
      <c r="M20" s="276" t="n">
        <v>105.9</v>
      </c>
    </row>
    <row r="21" ht="14" customHeight="1" s="227">
      <c r="A21" s="28" t="inlineStr">
        <is>
          <t>Prey Veng</t>
        </is>
      </c>
      <c r="B21" s="259" t="n">
        <v>19849</v>
      </c>
      <c r="C21" s="259" t="n">
        <v>9664</v>
      </c>
      <c r="D21" s="259" t="n">
        <v>130204</v>
      </c>
      <c r="E21" s="259" t="n">
        <v>63353</v>
      </c>
      <c r="F21" s="259" t="n">
        <v>74210</v>
      </c>
      <c r="G21" s="259" t="n">
        <v>35562</v>
      </c>
      <c r="H21" s="259" t="n">
        <v>74616</v>
      </c>
      <c r="I21" s="259" t="n">
        <v>34477</v>
      </c>
      <c r="J21" s="276" t="n">
        <v>105.4</v>
      </c>
      <c r="K21" s="276" t="n">
        <v>105.5</v>
      </c>
      <c r="L21" s="276" t="n">
        <v>108.7</v>
      </c>
      <c r="M21" s="276" t="n">
        <v>116.4</v>
      </c>
    </row>
    <row r="22" ht="14" customHeight="1" s="227">
      <c r="A22" s="28" t="inlineStr">
        <is>
          <t>Pursat</t>
        </is>
      </c>
      <c r="B22" s="259" t="n">
        <v>9295</v>
      </c>
      <c r="C22" s="259" t="n">
        <v>4469</v>
      </c>
      <c r="D22" s="259" t="n">
        <v>59054</v>
      </c>
      <c r="E22" s="259" t="n">
        <v>28403</v>
      </c>
      <c r="F22" s="259" t="n">
        <v>33940</v>
      </c>
      <c r="G22" s="259" t="n">
        <v>16368</v>
      </c>
      <c r="H22" s="259" t="n">
        <v>36422</v>
      </c>
      <c r="I22" s="259" t="n">
        <v>17529</v>
      </c>
      <c r="J22" s="276" t="n">
        <v>108</v>
      </c>
      <c r="K22" s="276" t="n">
        <v>107.9</v>
      </c>
      <c r="L22" s="276" t="n">
        <v>107.4</v>
      </c>
      <c r="M22" s="276" t="n">
        <v>107.8</v>
      </c>
    </row>
    <row r="23" ht="14" customHeight="1" s="227">
      <c r="A23" s="28" t="inlineStr">
        <is>
          <t>Ratanak Kiri</t>
        </is>
      </c>
      <c r="B23" s="259" t="n">
        <v>4700</v>
      </c>
      <c r="C23" s="259" t="n">
        <v>2319</v>
      </c>
      <c r="D23" s="259" t="n">
        <v>29180</v>
      </c>
      <c r="E23" s="259" t="n">
        <v>14277</v>
      </c>
      <c r="F23" s="259" t="n">
        <v>14757</v>
      </c>
      <c r="G23" s="259" t="n">
        <v>7142</v>
      </c>
      <c r="H23" s="259" t="n">
        <v>14002</v>
      </c>
      <c r="I23" s="259" t="n">
        <v>6741</v>
      </c>
      <c r="J23" s="276" t="n">
        <v>102.7</v>
      </c>
      <c r="K23" s="276" t="n">
        <v>104.4</v>
      </c>
      <c r="L23" s="276" t="n">
        <v>106.6</v>
      </c>
      <c r="M23" s="276" t="n">
        <v>107.7</v>
      </c>
    </row>
    <row r="24" ht="14" customHeight="1" s="227">
      <c r="A24" s="28" t="inlineStr">
        <is>
          <t>Siemreap</t>
        </is>
      </c>
      <c r="B24" s="259" t="n">
        <v>24498</v>
      </c>
      <c r="C24" s="259" t="n">
        <v>11772</v>
      </c>
      <c r="D24" s="259" t="n">
        <v>149650</v>
      </c>
      <c r="E24" s="259" t="n">
        <v>71884</v>
      </c>
      <c r="F24" s="259" t="n">
        <v>80456</v>
      </c>
      <c r="G24" s="259" t="n">
        <v>38793</v>
      </c>
      <c r="H24" s="259" t="n">
        <v>82889</v>
      </c>
      <c r="I24" s="259" t="n">
        <v>40052</v>
      </c>
      <c r="J24" s="276" t="n">
        <v>108.1</v>
      </c>
      <c r="K24" s="276" t="n">
        <v>108.2</v>
      </c>
      <c r="L24" s="276" t="n">
        <v>107.4</v>
      </c>
      <c r="M24" s="276" t="n">
        <v>107</v>
      </c>
    </row>
    <row r="25" ht="14" customHeight="1" s="227">
      <c r="A25" s="28" t="inlineStr">
        <is>
          <t>Stung Treng</t>
        </is>
      </c>
      <c r="B25" s="259" t="n">
        <v>3268</v>
      </c>
      <c r="C25" s="259" t="n">
        <v>1608</v>
      </c>
      <c r="D25" s="259" t="n">
        <v>19986</v>
      </c>
      <c r="E25" s="259" t="n">
        <v>9834</v>
      </c>
      <c r="F25" s="259" t="n">
        <v>10351</v>
      </c>
      <c r="G25" s="259" t="n">
        <v>5110</v>
      </c>
      <c r="H25" s="259" t="n">
        <v>10600</v>
      </c>
      <c r="I25" s="259" t="n">
        <v>5248</v>
      </c>
      <c r="J25" s="276" t="n">
        <v>103.2</v>
      </c>
      <c r="K25" s="276" t="n">
        <v>103.2</v>
      </c>
      <c r="L25" s="276" t="n">
        <v>102.6</v>
      </c>
      <c r="M25" s="276" t="n">
        <v>102</v>
      </c>
    </row>
    <row r="26" ht="14" customHeight="1" s="227">
      <c r="A26" s="28" t="inlineStr">
        <is>
          <t>Svay Rieng</t>
        </is>
      </c>
      <c r="B26" s="259" t="n">
        <v>9433</v>
      </c>
      <c r="C26" s="259" t="n">
        <v>4660</v>
      </c>
      <c r="D26" s="259" t="n">
        <v>61793</v>
      </c>
      <c r="E26" s="259" t="n">
        <v>30398</v>
      </c>
      <c r="F26" s="259" t="n">
        <v>36286</v>
      </c>
      <c r="G26" s="259" t="n">
        <v>17401</v>
      </c>
      <c r="H26" s="259" t="n">
        <v>38364</v>
      </c>
      <c r="I26" s="259" t="n">
        <v>17606</v>
      </c>
      <c r="J26" s="276" t="n">
        <v>102.4</v>
      </c>
      <c r="K26" s="276" t="n">
        <v>103.3</v>
      </c>
      <c r="L26" s="276" t="n">
        <v>108.5</v>
      </c>
      <c r="M26" s="276" t="n">
        <v>117.9</v>
      </c>
    </row>
    <row r="27" ht="14" customHeight="1" s="227">
      <c r="A27" s="28" t="inlineStr">
        <is>
          <t>Takeo</t>
        </is>
      </c>
      <c r="B27" s="259" t="n">
        <v>17458</v>
      </c>
      <c r="C27" s="259" t="n">
        <v>8469</v>
      </c>
      <c r="D27" s="259" t="n">
        <v>116239</v>
      </c>
      <c r="E27" s="259" t="n">
        <v>56399</v>
      </c>
      <c r="F27" s="259" t="n">
        <v>68626</v>
      </c>
      <c r="G27" s="259" t="n">
        <v>32891</v>
      </c>
      <c r="H27" s="259" t="n">
        <v>71077</v>
      </c>
      <c r="I27" s="259" t="n">
        <v>32997</v>
      </c>
      <c r="J27" s="276" t="n">
        <v>106.1</v>
      </c>
      <c r="K27" s="276" t="n">
        <v>106.1</v>
      </c>
      <c r="L27" s="276" t="n">
        <v>108.6</v>
      </c>
      <c r="M27" s="276" t="n">
        <v>115.4</v>
      </c>
    </row>
    <row r="28" ht="14" customHeight="1" s="227">
      <c r="A28" s="28" t="inlineStr">
        <is>
          <t>Tbaung Khmum</t>
        </is>
      </c>
      <c r="B28" s="259" t="n">
        <v>15398</v>
      </c>
      <c r="C28" s="259" t="n">
        <v>7467</v>
      </c>
      <c r="D28" s="259" t="n">
        <v>98489</v>
      </c>
      <c r="E28" s="259" t="n">
        <v>47763</v>
      </c>
      <c r="F28" s="259" t="n">
        <v>55677</v>
      </c>
      <c r="G28" s="259" t="n">
        <v>26833</v>
      </c>
      <c r="H28" s="259" t="n">
        <v>57793</v>
      </c>
      <c r="I28" s="259" t="n">
        <v>27353</v>
      </c>
      <c r="J28" s="276" t="n">
        <v>106.2</v>
      </c>
      <c r="K28" s="276" t="n">
        <v>106.2</v>
      </c>
      <c r="L28" s="276" t="n">
        <v>107.5</v>
      </c>
      <c r="M28" s="276" t="n">
        <v>111.3</v>
      </c>
    </row>
    <row r="29" ht="17" customHeight="1" s="227">
      <c r="A29" s="22" t="inlineStr">
        <is>
          <t>Whole Kingdom</t>
        </is>
      </c>
      <c r="B29" s="259" t="n">
        <v>302613</v>
      </c>
      <c r="C29" s="259" t="n">
        <v>146881</v>
      </c>
      <c r="D29" s="259" t="n">
        <v>1906035</v>
      </c>
      <c r="E29" s="259" t="n">
        <v>923910</v>
      </c>
      <c r="F29" s="259" t="n">
        <v>1079388</v>
      </c>
      <c r="G29" s="259" t="n">
        <v>522116</v>
      </c>
      <c r="H29" s="259" t="n">
        <v>1143738</v>
      </c>
      <c r="I29" s="259" t="n">
        <v>550294</v>
      </c>
      <c r="J29" s="276" t="n">
        <v>106</v>
      </c>
      <c r="K29" s="276" t="n">
        <v>106.3</v>
      </c>
      <c r="L29" s="276" t="n">
        <v>106.7</v>
      </c>
      <c r="M29" s="276" t="n">
        <v>107.8</v>
      </c>
    </row>
    <row r="30" ht="14" customHeight="1" s="227">
      <c r="A30" s="28" t="inlineStr">
        <is>
          <t>- Urban Area</t>
        </is>
      </c>
      <c r="B30" s="259" t="n">
        <v>63215</v>
      </c>
      <c r="C30" s="259" t="n">
        <v>30480</v>
      </c>
      <c r="D30" s="259" t="n">
        <v>380669</v>
      </c>
      <c r="E30" s="259" t="n">
        <v>182628</v>
      </c>
      <c r="F30" s="259" t="n">
        <v>217414</v>
      </c>
      <c r="G30" s="259" t="n">
        <v>105694</v>
      </c>
      <c r="H30" s="259" t="n">
        <v>247303</v>
      </c>
      <c r="I30" s="259" t="n">
        <v>124084</v>
      </c>
      <c r="J30" s="276" t="n">
        <v>107.4</v>
      </c>
      <c r="K30" s="276" t="n">
        <v>108.4</v>
      </c>
      <c r="L30" s="276" t="n">
        <v>105.7</v>
      </c>
      <c r="M30" s="276" t="n">
        <v>99.3</v>
      </c>
    </row>
    <row r="31" ht="14" customHeight="1" s="227">
      <c r="A31" s="28" t="inlineStr">
        <is>
          <t>- Rural Area</t>
        </is>
      </c>
      <c r="B31" s="259" t="n">
        <v>239398</v>
      </c>
      <c r="C31" s="259" t="n">
        <v>116401</v>
      </c>
      <c r="D31" s="259" t="n">
        <v>1525366</v>
      </c>
      <c r="E31" s="259" t="n">
        <v>741282</v>
      </c>
      <c r="F31" s="259" t="n">
        <v>861974</v>
      </c>
      <c r="G31" s="259" t="n">
        <v>416422</v>
      </c>
      <c r="H31" s="259" t="n">
        <v>896435</v>
      </c>
      <c r="I31" s="259" t="n">
        <v>426210</v>
      </c>
      <c r="J31" s="276" t="n">
        <v>105.7</v>
      </c>
      <c r="K31" s="276" t="n">
        <v>105.8</v>
      </c>
      <c r="L31" s="276" t="n">
        <v>107</v>
      </c>
      <c r="M31" s="276" t="n">
        <v>110.3</v>
      </c>
    </row>
  </sheetData>
  <mergeCells count="7">
    <mergeCell ref="F2:G2"/>
    <mergeCell ref="B2:C2"/>
    <mergeCell ref="H2:I2"/>
    <mergeCell ref="A1:M1"/>
    <mergeCell ref="D2:E2"/>
    <mergeCell ref="A2:A3"/>
    <mergeCell ref="J2:M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007030A0"/>
    <outlinePr summaryBelow="1" summaryRight="1"/>
    <pageSetUpPr/>
  </sheetPr>
  <dimension ref="A1:L18"/>
  <sheetViews>
    <sheetView tabSelected="1" workbookViewId="0">
      <selection activeCell="A1" sqref="A1"/>
    </sheetView>
  </sheetViews>
  <sheetFormatPr baseColWidth="8" defaultRowHeight="15"/>
  <cols>
    <col width="42.222222" customWidth="1" style="227" min="1" max="1"/>
    <col width="11.333333" customWidth="1" style="227" min="2" max="2"/>
    <col width="11.555556" customWidth="1" style="227" min="3" max="3"/>
    <col width="11.555556" customWidth="1" style="227" min="4" max="4"/>
    <col width="11.333333" customWidth="1" style="227" min="5" max="5"/>
    <col width="11.555556" customWidth="1" style="227" min="6" max="6"/>
    <col width="11.333333" customWidth="1" style="227" min="7" max="7"/>
    <col width="11.555556" customWidth="1" style="227" min="8" max="8"/>
    <col width="10.888889" customWidth="1" style="227" min="9" max="9"/>
    <col width="10.888889" customWidth="1" style="227" min="10" max="10"/>
    <col width="10.888889" customWidth="1" style="227" min="11" max="11"/>
    <col width="10.888889" customWidth="1" style="227" min="12" max="12"/>
  </cols>
  <sheetData>
    <row r="1" ht="34" customHeight="1" s="227">
      <c r="A1" s="2" t="inlineStr">
        <is>
          <t>Table 1: Indicators on Schools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</row>
    <row r="2" ht="14" customHeight="1" s="227">
      <c r="A2" s="3" t="inlineStr">
        <is>
          <t>Particulars</t>
        </is>
      </c>
      <c r="B2" s="105" t="inlineStr">
        <is>
          <t>Pupils</t>
        </is>
      </c>
      <c r="C2" s="106" t="inlineStr">
        <is>
          <t>Teachers</t>
        </is>
      </c>
      <c r="D2" s="105" t="inlineStr">
        <is>
          <t>Staff</t>
        </is>
      </c>
      <c r="E2" s="107" t="inlineStr">
        <is>
          <t>Buildings</t>
        </is>
      </c>
      <c r="F2" s="106" t="inlineStr">
        <is>
          <t>Rooms</t>
        </is>
      </c>
      <c r="G2" s="108" t="inlineStr">
        <is>
          <t>Classrooms</t>
        </is>
      </c>
      <c r="H2" s="106" t="inlineStr">
        <is>
          <t>Classes</t>
        </is>
      </c>
      <c r="I2" s="109" t="inlineStr">
        <is>
          <t>Percentage of Schools</t>
        </is>
      </c>
      <c r="J2" s="280" t="n"/>
      <c r="K2" s="280" t="n"/>
      <c r="L2" s="281" t="n"/>
    </row>
    <row r="3" ht="15" customHeight="1" s="227">
      <c r="A3" s="273" t="n"/>
      <c r="B3" s="116" t="inlineStr">
        <is>
          <t>per</t>
        </is>
      </c>
      <c r="C3" s="116" t="inlineStr">
        <is>
          <t>per</t>
        </is>
      </c>
      <c r="D3" s="116" t="inlineStr">
        <is>
          <t>per</t>
        </is>
      </c>
      <c r="E3" s="116" t="inlineStr">
        <is>
          <t>per</t>
        </is>
      </c>
      <c r="F3" s="116" t="inlineStr">
        <is>
          <t>per</t>
        </is>
      </c>
      <c r="G3" s="116" t="inlineStr">
        <is>
          <t>per</t>
        </is>
      </c>
      <c r="H3" s="116" t="inlineStr">
        <is>
          <t>per</t>
        </is>
      </c>
      <c r="I3" s="282" t="n"/>
      <c r="J3" s="256" t="n"/>
      <c r="K3" s="256" t="n"/>
      <c r="L3" s="283" t="n"/>
    </row>
    <row r="4" ht="14" customHeight="1" s="227">
      <c r="A4" s="258" t="n"/>
      <c r="B4" s="117" t="inlineStr">
        <is>
          <t>School</t>
        </is>
      </c>
      <c r="C4" s="118" t="inlineStr">
        <is>
          <t>School</t>
        </is>
      </c>
      <c r="D4" s="118" t="inlineStr">
        <is>
          <t>School</t>
        </is>
      </c>
      <c r="E4" s="118" t="inlineStr">
        <is>
          <t>School</t>
        </is>
      </c>
      <c r="F4" s="118" t="inlineStr">
        <is>
          <t>School</t>
        </is>
      </c>
      <c r="G4" s="117" t="inlineStr">
        <is>
          <t>School</t>
        </is>
      </c>
      <c r="H4" s="117" t="inlineStr">
        <is>
          <t>School</t>
        </is>
      </c>
      <c r="I4" s="103" t="inlineStr">
        <is>
          <t>2 - shift</t>
        </is>
      </c>
      <c r="J4" s="119" t="inlineStr">
        <is>
          <t>in Pagoda</t>
        </is>
      </c>
      <c r="K4" s="120" t="inlineStr">
        <is>
          <t>w/o Water</t>
        </is>
      </c>
      <c r="L4" s="120" t="inlineStr">
        <is>
          <t>w/o Latrine</t>
        </is>
      </c>
    </row>
    <row r="5" ht="20" customHeight="1" s="227">
      <c r="A5" s="22" t="inlineStr">
        <is>
          <t>Whole Kingdom</t>
        </is>
      </c>
      <c r="B5" s="284" t="n">
        <v>239.8</v>
      </c>
      <c r="C5" s="284" t="n">
        <v>7</v>
      </c>
      <c r="D5" s="284" t="n">
        <v>8.5</v>
      </c>
      <c r="E5" s="284" t="n">
        <v>1.8</v>
      </c>
      <c r="F5" s="284" t="n">
        <v>7.6</v>
      </c>
      <c r="G5" s="284" t="n">
        <v>5.2</v>
      </c>
      <c r="H5" s="284" t="n">
        <v>6.8</v>
      </c>
      <c r="I5" s="284" t="n">
        <v>39.7</v>
      </c>
      <c r="J5" s="284" t="n">
        <v>14.1</v>
      </c>
      <c r="K5" s="284" t="n">
        <v>53.3</v>
      </c>
      <c r="L5" s="284" t="n">
        <v>31.3</v>
      </c>
    </row>
    <row r="6" ht="27" customHeight="1" s="227">
      <c r="A6" s="25" t="inlineStr">
        <is>
          <t>By Area of Location:
-    Urban Area</t>
        </is>
      </c>
      <c r="B6" s="285" t="n">
        <v>418.4</v>
      </c>
      <c r="C6" s="285" t="n">
        <v>16.5</v>
      </c>
      <c r="D6" s="285" t="n">
        <v>19</v>
      </c>
      <c r="E6" s="285" t="n">
        <v>2.5</v>
      </c>
      <c r="F6" s="285" t="n">
        <v>12.3</v>
      </c>
      <c r="G6" s="285" t="n">
        <v>8.199999999999999</v>
      </c>
      <c r="H6" s="285" t="n">
        <v>10.6</v>
      </c>
      <c r="I6" s="285" t="n">
        <v>36.1</v>
      </c>
      <c r="J6" s="285" t="n">
        <v>12.6</v>
      </c>
      <c r="K6" s="285" t="n">
        <v>47.7</v>
      </c>
      <c r="L6" s="285" t="n">
        <v>29.2</v>
      </c>
    </row>
    <row r="7" ht="20" customHeight="1" s="227">
      <c r="A7" s="28" t="inlineStr">
        <is>
          <t>-    Rural Area</t>
        </is>
      </c>
      <c r="B7" s="284" t="n">
        <v>218.4</v>
      </c>
      <c r="C7" s="284" t="n">
        <v>5.9</v>
      </c>
      <c r="D7" s="284" t="n">
        <v>7.2</v>
      </c>
      <c r="E7" s="284" t="n">
        <v>1.7</v>
      </c>
      <c r="F7" s="284" t="n">
        <v>7</v>
      </c>
      <c r="G7" s="284" t="n">
        <v>4.9</v>
      </c>
      <c r="H7" s="284" t="n">
        <v>6.3</v>
      </c>
      <c r="I7" s="284" t="n">
        <v>40.1</v>
      </c>
      <c r="J7" s="284" t="n">
        <v>14.3</v>
      </c>
      <c r="K7" s="284" t="n">
        <v>54</v>
      </c>
      <c r="L7" s="284" t="n">
        <v>31.5</v>
      </c>
    </row>
    <row r="8" ht="27" customHeight="1" s="227">
      <c r="A8" s="25" t="inlineStr">
        <is>
          <t>By Type of School &amp; Edn. Level :
-    Pre-School</t>
        </is>
      </c>
      <c r="B8" s="284" t="n">
        <v>50.6</v>
      </c>
      <c r="C8" s="284" t="n">
        <v>1.2</v>
      </c>
      <c r="D8" s="284" t="n">
        <v>1.3</v>
      </c>
      <c r="E8" s="284" t="n">
        <v>0.3</v>
      </c>
      <c r="F8" s="284" t="n">
        <v>1.4</v>
      </c>
      <c r="G8" s="284" t="n">
        <v>1.5</v>
      </c>
      <c r="H8" s="284" t="n">
        <v>1.7</v>
      </c>
      <c r="I8" s="284" t="n">
        <v>0</v>
      </c>
      <c r="J8" s="284" t="n">
        <v>17.6</v>
      </c>
      <c r="K8" s="284" t="n">
        <v>72</v>
      </c>
      <c r="L8" s="284" t="n">
        <v>80.8</v>
      </c>
    </row>
    <row r="9" ht="19" customHeight="1" s="227">
      <c r="A9" s="28" t="inlineStr">
        <is>
          <t>-    Primary School</t>
        </is>
      </c>
      <c r="B9" s="284" t="n">
        <v>282.3</v>
      </c>
      <c r="C9" s="284" t="n">
        <v>6.3</v>
      </c>
      <c r="D9" s="284" t="n">
        <v>8</v>
      </c>
      <c r="E9" s="284" t="n">
        <v>2.3</v>
      </c>
      <c r="F9" s="284" t="n">
        <v>9.1</v>
      </c>
      <c r="G9" s="284" t="n">
        <v>6.1</v>
      </c>
      <c r="H9" s="284" t="n">
        <v>8.6</v>
      </c>
      <c r="I9" s="284" t="n">
        <v>67.7</v>
      </c>
      <c r="J9" s="284" t="n">
        <v>13.8</v>
      </c>
      <c r="K9" s="284" t="n">
        <v>41.1</v>
      </c>
      <c r="L9" s="284" t="n">
        <v>7.8</v>
      </c>
    </row>
    <row r="10" ht="20" customHeight="1" s="227">
      <c r="A10" s="28" t="inlineStr">
        <is>
          <t>-    College</t>
        </is>
      </c>
      <c r="B10" s="284" t="n">
        <v>262.8</v>
      </c>
      <c r="C10" s="284" t="n">
        <v>11.8</v>
      </c>
      <c r="D10" s="284" t="n">
        <v>14.1</v>
      </c>
      <c r="E10" s="284" t="n">
        <v>2.1</v>
      </c>
      <c r="F10" s="284" t="n">
        <v>9</v>
      </c>
      <c r="G10" s="284" t="n">
        <v>5.6</v>
      </c>
      <c r="H10" s="284" t="n">
        <v>5.9</v>
      </c>
      <c r="I10" s="284" t="n">
        <v>17.2</v>
      </c>
      <c r="J10" s="284" t="n">
        <v>9.4</v>
      </c>
      <c r="K10" s="284" t="n">
        <v>60.5</v>
      </c>
      <c r="L10" s="284" t="n">
        <v>8.699999999999999</v>
      </c>
    </row>
    <row r="11" ht="19" customHeight="1" s="227">
      <c r="A11" s="28" t="inlineStr">
        <is>
          <t>-    Lycee</t>
        </is>
      </c>
      <c r="B11" s="286" t="n">
        <v>1150.5</v>
      </c>
      <c r="C11" s="284" t="n">
        <v>53</v>
      </c>
      <c r="D11" s="284" t="n">
        <v>60.7</v>
      </c>
      <c r="E11" s="284" t="n">
        <v>6.7</v>
      </c>
      <c r="F11" s="284" t="n">
        <v>33.8</v>
      </c>
      <c r="G11" s="284" t="n">
        <v>23.2</v>
      </c>
      <c r="H11" s="284" t="n">
        <v>25.2</v>
      </c>
      <c r="I11" s="284" t="n">
        <v>33.3</v>
      </c>
      <c r="J11" s="284" t="n">
        <v>2.7</v>
      </c>
      <c r="K11" s="284" t="n">
        <v>51</v>
      </c>
      <c r="L11" s="284" t="n">
        <v>1.9</v>
      </c>
    </row>
    <row r="12" ht="20" customHeight="1" s="227">
      <c r="A12" s="28" t="inlineStr">
        <is>
          <t>-    Lower Secondary Level</t>
        </is>
      </c>
      <c r="B12" s="284" t="n">
        <v>350.9</v>
      </c>
      <c r="C12" s="284" t="n">
        <v>16.5</v>
      </c>
      <c r="D12" s="284" t="n">
        <v>19.3</v>
      </c>
      <c r="E12" s="284" t="n">
        <v>1.5</v>
      </c>
      <c r="F12" s="284" t="n">
        <v>6.4</v>
      </c>
      <c r="G12" s="284" t="n">
        <v>7.2</v>
      </c>
      <c r="H12" s="284" t="n">
        <v>7.7</v>
      </c>
      <c r="I12" s="284" t="n">
        <v>12.3</v>
      </c>
      <c r="J12" s="284" t="n">
        <v>6.7</v>
      </c>
      <c r="K12" s="284" t="n">
        <v>71.7</v>
      </c>
      <c r="L12" s="284" t="n">
        <v>34.6</v>
      </c>
    </row>
    <row r="13" ht="19" customHeight="1" s="227">
      <c r="A13" s="28" t="inlineStr">
        <is>
          <t>-    Upper Secondary Level</t>
        </is>
      </c>
      <c r="B13" s="284" t="n">
        <v>611.7</v>
      </c>
      <c r="C13" s="284" t="n">
        <v>26.2</v>
      </c>
      <c r="D13" s="284" t="n">
        <v>30</v>
      </c>
      <c r="E13" s="284" t="n">
        <v>6.7</v>
      </c>
      <c r="F13" s="284" t="n">
        <v>33.8</v>
      </c>
      <c r="G13" s="284" t="n">
        <v>12.3</v>
      </c>
      <c r="H13" s="284" t="n">
        <v>13.7</v>
      </c>
      <c r="I13" s="284" t="n">
        <v>33.3</v>
      </c>
      <c r="J13" s="284" t="n">
        <v>2.7</v>
      </c>
      <c r="K13" s="284" t="n">
        <v>51</v>
      </c>
      <c r="L13" s="284" t="n">
        <v>1.9</v>
      </c>
    </row>
    <row r="14" ht="28" customHeight="1" s="227">
      <c r="A14" s="25" t="inlineStr">
        <is>
          <t>Characteristics of Primary Schools:
-    Cluster - core school</t>
        </is>
      </c>
      <c r="B14" s="285" t="n">
        <v>507.9</v>
      </c>
      <c r="C14" s="285" t="n">
        <v>11.2</v>
      </c>
      <c r="D14" s="285" t="n">
        <v>14.3</v>
      </c>
      <c r="E14" s="285" t="n">
        <v>3.4</v>
      </c>
      <c r="F14" s="285" t="n">
        <v>14.7</v>
      </c>
      <c r="G14" s="285" t="n">
        <v>9.6</v>
      </c>
      <c r="H14" s="285" t="n">
        <v>13.2</v>
      </c>
      <c r="I14" s="285" t="n">
        <v>76.59999999999999</v>
      </c>
      <c r="J14" s="285" t="n">
        <v>12.6</v>
      </c>
      <c r="K14" s="285" t="n">
        <v>31.7</v>
      </c>
      <c r="L14" s="285" t="n">
        <v>3.2</v>
      </c>
    </row>
    <row r="15" ht="19" customHeight="1" s="227">
      <c r="A15" s="28" t="inlineStr">
        <is>
          <t>-    Cluster - satellite school</t>
        </is>
      </c>
      <c r="B15" s="284" t="n">
        <v>234.5</v>
      </c>
      <c r="C15" s="284" t="n">
        <v>5.3</v>
      </c>
      <c r="D15" s="284" t="n">
        <v>6.7</v>
      </c>
      <c r="E15" s="284" t="n">
        <v>2</v>
      </c>
      <c r="F15" s="284" t="n">
        <v>7.9</v>
      </c>
      <c r="G15" s="284" t="n">
        <v>5.4</v>
      </c>
      <c r="H15" s="284" t="n">
        <v>7.6</v>
      </c>
      <c r="I15" s="284" t="n">
        <v>65.8</v>
      </c>
      <c r="J15" s="284" t="n">
        <v>14</v>
      </c>
      <c r="K15" s="284" t="n">
        <v>43</v>
      </c>
      <c r="L15" s="284" t="n">
        <v>8.800000000000001</v>
      </c>
    </row>
    <row r="16" ht="19" customHeight="1" s="227">
      <c r="A16" s="28" t="inlineStr">
        <is>
          <t>-    Annex school</t>
        </is>
      </c>
      <c r="B16" s="284" t="n">
        <v>194.7</v>
      </c>
      <c r="C16" s="284" t="n">
        <v>4.6</v>
      </c>
      <c r="D16" s="284" t="n">
        <v>5.7</v>
      </c>
      <c r="E16" s="284" t="n">
        <v>1.9</v>
      </c>
      <c r="F16" s="284" t="n">
        <v>7</v>
      </c>
      <c r="G16" s="284" t="n">
        <v>4.7</v>
      </c>
      <c r="H16" s="284" t="n">
        <v>6.8</v>
      </c>
      <c r="I16" s="284" t="n">
        <v>52.2</v>
      </c>
      <c r="J16" s="284" t="n">
        <v>12.4</v>
      </c>
      <c r="K16" s="284" t="n">
        <v>51.1</v>
      </c>
      <c r="L16" s="284" t="n">
        <v>22.1</v>
      </c>
    </row>
    <row r="17" ht="20" customHeight="1" s="227">
      <c r="A17" s="28" t="inlineStr">
        <is>
          <t>-    School in Pagoda</t>
        </is>
      </c>
      <c r="B17" s="284" t="n">
        <v>295.6</v>
      </c>
      <c r="C17" s="284" t="n">
        <v>6.8</v>
      </c>
      <c r="D17" s="284" t="n">
        <v>8.800000000000001</v>
      </c>
      <c r="E17" s="284" t="n">
        <v>2.4</v>
      </c>
      <c r="F17" s="284" t="n">
        <v>10.1</v>
      </c>
      <c r="G17" s="284" t="n">
        <v>6.6</v>
      </c>
      <c r="H17" s="284" t="n">
        <v>8.699999999999999</v>
      </c>
      <c r="I17" s="284" t="n">
        <v>66.90000000000001</v>
      </c>
      <c r="J17" s="284" t="n">
        <v>100</v>
      </c>
      <c r="K17" s="284" t="n">
        <v>31.2</v>
      </c>
      <c r="L17" s="284" t="n">
        <v>5.7</v>
      </c>
    </row>
    <row r="18" ht="19.5" customHeight="1" s="227">
      <c r="A18" s="28" t="inlineStr">
        <is>
          <t>Disadvantaged school (All Level)</t>
        </is>
      </c>
      <c r="B18" s="284" t="n">
        <v>66.2</v>
      </c>
      <c r="C18" s="284" t="n">
        <v>1.6</v>
      </c>
      <c r="D18" s="284" t="n">
        <v>1.8</v>
      </c>
      <c r="E18" s="284" t="n">
        <v>0.5</v>
      </c>
      <c r="F18" s="284" t="n">
        <v>1.7</v>
      </c>
      <c r="G18" s="284" t="n">
        <v>0.8</v>
      </c>
      <c r="H18" s="284" t="n">
        <v>2.5</v>
      </c>
      <c r="I18" s="284" t="n">
        <v>8.5</v>
      </c>
      <c r="J18" s="284" t="n">
        <v>13.7</v>
      </c>
      <c r="K18" s="284" t="n">
        <v>100</v>
      </c>
      <c r="L18" s="284" t="n">
        <v>100</v>
      </c>
    </row>
  </sheetData>
  <mergeCells count="3">
    <mergeCell ref="A2:A4"/>
    <mergeCell ref="I2:L3"/>
    <mergeCell ref="A1:L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007030A0"/>
    <outlinePr summaryBelow="1" summaryRight="1"/>
    <pageSetUpPr/>
  </sheetPr>
  <dimension ref="A1:L32"/>
  <sheetViews>
    <sheetView tabSelected="1" workbookViewId="0">
      <selection activeCell="A1" sqref="A1"/>
    </sheetView>
  </sheetViews>
  <sheetFormatPr baseColWidth="8" defaultRowHeight="15"/>
  <cols>
    <col width="24.444444" customWidth="1" style="227" min="1" max="1"/>
    <col width="12.888889" customWidth="1" style="227" min="2" max="2"/>
    <col width="12.888889" customWidth="1" style="227" min="3" max="3"/>
    <col width="12.888889" customWidth="1" style="227" min="4" max="4"/>
    <col width="13.111111" customWidth="1" style="227" min="5" max="5"/>
    <col width="12.888889" customWidth="1" style="227" min="6" max="6"/>
    <col width="12.888889" customWidth="1" style="227" min="7" max="7"/>
    <col width="12.888889" customWidth="1" style="227" min="8" max="8"/>
    <col width="12.888889" customWidth="1" style="227" min="9" max="9"/>
    <col width="13.111111" customWidth="1" style="227" min="10" max="10"/>
    <col width="12.888889" customWidth="1" style="227" min="11" max="11"/>
    <col width="12.888889" customWidth="1" style="227" min="12" max="12"/>
  </cols>
  <sheetData>
    <row r="1" ht="30" customHeight="1" s="227">
      <c r="A1" s="2" t="inlineStr">
        <is>
          <t>Table 2:  Indicators on Schools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</row>
    <row r="2" ht="13" customHeight="1" s="227">
      <c r="A2" s="35" t="inlineStr">
        <is>
          <t>Province</t>
        </is>
      </c>
      <c r="B2" s="105" t="inlineStr">
        <is>
          <t>Pupils</t>
        </is>
      </c>
      <c r="C2" s="106" t="inlineStr">
        <is>
          <t>Teachers</t>
        </is>
      </c>
      <c r="D2" s="105" t="inlineStr">
        <is>
          <t>Staff</t>
        </is>
      </c>
      <c r="E2" s="106" t="inlineStr">
        <is>
          <t>Buildings</t>
        </is>
      </c>
      <c r="F2" s="105" t="inlineStr">
        <is>
          <t>Rooms</t>
        </is>
      </c>
      <c r="G2" s="107" t="inlineStr">
        <is>
          <t>Classrooms</t>
        </is>
      </c>
      <c r="H2" s="105" t="inlineStr">
        <is>
          <t>Classes</t>
        </is>
      </c>
      <c r="I2" s="92" t="inlineStr">
        <is>
          <t>Percentage of Schools</t>
        </is>
      </c>
      <c r="J2" s="280" t="n"/>
      <c r="K2" s="280" t="n"/>
      <c r="L2" s="281" t="n"/>
    </row>
    <row r="3" ht="14" customHeight="1" s="227">
      <c r="A3" s="273" t="n"/>
      <c r="B3" s="116" t="inlineStr">
        <is>
          <t>per</t>
        </is>
      </c>
      <c r="C3" s="116" t="inlineStr">
        <is>
          <t>per</t>
        </is>
      </c>
      <c r="D3" s="116" t="inlineStr">
        <is>
          <t>per</t>
        </is>
      </c>
      <c r="E3" s="116" t="inlineStr">
        <is>
          <t>per</t>
        </is>
      </c>
      <c r="F3" s="116" t="inlineStr">
        <is>
          <t>per</t>
        </is>
      </c>
      <c r="G3" s="116" t="inlineStr">
        <is>
          <t>per</t>
        </is>
      </c>
      <c r="H3" s="116" t="inlineStr">
        <is>
          <t>per</t>
        </is>
      </c>
      <c r="I3" s="282" t="n"/>
      <c r="J3" s="256" t="n"/>
      <c r="K3" s="256" t="n"/>
      <c r="L3" s="283" t="n"/>
    </row>
    <row r="4" ht="13" customHeight="1" s="227">
      <c r="A4" s="258" t="n"/>
      <c r="B4" s="118" t="inlineStr">
        <is>
          <t>School</t>
        </is>
      </c>
      <c r="C4" s="118" t="inlineStr">
        <is>
          <t>School</t>
        </is>
      </c>
      <c r="D4" s="118" t="inlineStr">
        <is>
          <t>School</t>
        </is>
      </c>
      <c r="E4" s="118" t="inlineStr">
        <is>
          <t>School</t>
        </is>
      </c>
      <c r="F4" s="118" t="inlineStr">
        <is>
          <t>School</t>
        </is>
      </c>
      <c r="G4" s="118" t="inlineStr">
        <is>
          <t>School</t>
        </is>
      </c>
      <c r="H4" s="118" t="inlineStr">
        <is>
          <t>School</t>
        </is>
      </c>
      <c r="I4" s="102" t="inlineStr">
        <is>
          <t>2 - shift</t>
        </is>
      </c>
      <c r="J4" s="103" t="inlineStr">
        <is>
          <t>in Pagoda</t>
        </is>
      </c>
      <c r="K4" s="119" t="inlineStr">
        <is>
          <t>w/o Water</t>
        </is>
      </c>
      <c r="L4" s="119" t="inlineStr">
        <is>
          <t>w/o Toilet</t>
        </is>
      </c>
    </row>
    <row r="5" ht="14" customHeight="1" s="227">
      <c r="A5" s="28" t="inlineStr">
        <is>
          <t>Banteay Meanchey</t>
        </is>
      </c>
      <c r="B5" s="287" t="n">
        <v>186.5</v>
      </c>
      <c r="C5" s="287" t="n">
        <v>5.8</v>
      </c>
      <c r="D5" s="287" t="n">
        <v>6.9</v>
      </c>
      <c r="E5" s="287" t="n">
        <v>1.5</v>
      </c>
      <c r="F5" s="287" t="n">
        <v>6.6</v>
      </c>
      <c r="G5" s="287" t="n">
        <v>4.4</v>
      </c>
      <c r="H5" s="287" t="n">
        <v>5.6</v>
      </c>
      <c r="I5" s="287" t="n">
        <v>34.8</v>
      </c>
      <c r="J5" s="287" t="n">
        <v>2.7</v>
      </c>
      <c r="K5" s="287" t="n">
        <v>69.40000000000001</v>
      </c>
      <c r="L5" s="287" t="n">
        <v>39.5</v>
      </c>
    </row>
    <row r="6" ht="14" customHeight="1" s="227">
      <c r="A6" s="28" t="inlineStr">
        <is>
          <t>Battambang</t>
        </is>
      </c>
      <c r="B6" s="287" t="n">
        <v>223.7</v>
      </c>
      <c r="C6" s="287" t="n">
        <v>6.1</v>
      </c>
      <c r="D6" s="287" t="n">
        <v>7.7</v>
      </c>
      <c r="E6" s="287" t="n">
        <v>1.7</v>
      </c>
      <c r="F6" s="287" t="n">
        <v>6.7</v>
      </c>
      <c r="G6" s="287" t="n">
        <v>4.9</v>
      </c>
      <c r="H6" s="287" t="n">
        <v>6.6</v>
      </c>
      <c r="I6" s="287" t="n">
        <v>50.3</v>
      </c>
      <c r="J6" s="287" t="n">
        <v>8.300000000000001</v>
      </c>
      <c r="K6" s="287" t="n">
        <v>63.2</v>
      </c>
      <c r="L6" s="287" t="n">
        <v>24.8</v>
      </c>
    </row>
    <row r="7" ht="14" customHeight="1" s="227">
      <c r="A7" s="28" t="inlineStr">
        <is>
          <t>Kampong Cham</t>
        </is>
      </c>
      <c r="B7" s="287" t="n">
        <v>275.8</v>
      </c>
      <c r="C7" s="287" t="n">
        <v>7.3</v>
      </c>
      <c r="D7" s="287" t="n">
        <v>9.4</v>
      </c>
      <c r="E7" s="287" t="n">
        <v>2</v>
      </c>
      <c r="F7" s="287" t="n">
        <v>8.199999999999999</v>
      </c>
      <c r="G7" s="287" t="n">
        <v>5.8</v>
      </c>
      <c r="H7" s="287" t="n">
        <v>7.3</v>
      </c>
      <c r="I7" s="287" t="n">
        <v>41.3</v>
      </c>
      <c r="J7" s="287" t="n">
        <v>17</v>
      </c>
      <c r="K7" s="287" t="n">
        <v>57.8</v>
      </c>
      <c r="L7" s="287" t="n">
        <v>37.3</v>
      </c>
    </row>
    <row r="8" ht="14" customHeight="1" s="227">
      <c r="A8" s="28" t="inlineStr">
        <is>
          <t>Kampong Chhnang</t>
        </is>
      </c>
      <c r="B8" s="287" t="n">
        <v>253.5</v>
      </c>
      <c r="C8" s="287" t="n">
        <v>7.5</v>
      </c>
      <c r="D8" s="287" t="n">
        <v>9</v>
      </c>
      <c r="E8" s="287" t="n">
        <v>1.8</v>
      </c>
      <c r="F8" s="287" t="n">
        <v>7.9</v>
      </c>
      <c r="G8" s="287" t="n">
        <v>5.2</v>
      </c>
      <c r="H8" s="287" t="n">
        <v>6.9</v>
      </c>
      <c r="I8" s="287" t="n">
        <v>39.9</v>
      </c>
      <c r="J8" s="287" t="n">
        <v>9.199999999999999</v>
      </c>
      <c r="K8" s="287" t="n">
        <v>31.5</v>
      </c>
      <c r="L8" s="287" t="n">
        <v>20.6</v>
      </c>
    </row>
    <row r="9" ht="14" customHeight="1" s="227">
      <c r="A9" s="28" t="inlineStr">
        <is>
          <t>Kampong Speu</t>
        </is>
      </c>
      <c r="B9" s="287" t="n">
        <v>282.3</v>
      </c>
      <c r="C9" s="287" t="n">
        <v>7.4</v>
      </c>
      <c r="D9" s="287" t="n">
        <v>8.6</v>
      </c>
      <c r="E9" s="287" t="n">
        <v>1.9</v>
      </c>
      <c r="F9" s="287" t="n">
        <v>8.4</v>
      </c>
      <c r="G9" s="287" t="n">
        <v>5.5</v>
      </c>
      <c r="H9" s="287" t="n">
        <v>6.9</v>
      </c>
      <c r="I9" s="287" t="n">
        <v>43.9</v>
      </c>
      <c r="J9" s="287" t="n">
        <v>7.6</v>
      </c>
      <c r="K9" s="287" t="n">
        <v>37.1</v>
      </c>
      <c r="L9" s="287" t="n">
        <v>27.7</v>
      </c>
    </row>
    <row r="10" ht="14" customHeight="1" s="227">
      <c r="A10" s="28" t="inlineStr">
        <is>
          <t>Kampong Thom</t>
        </is>
      </c>
      <c r="B10" s="287" t="n">
        <v>199.6</v>
      </c>
      <c r="C10" s="287" t="n">
        <v>5.7</v>
      </c>
      <c r="D10" s="287" t="n">
        <v>6.6</v>
      </c>
      <c r="E10" s="287" t="n">
        <v>1.8</v>
      </c>
      <c r="F10" s="287" t="n">
        <v>6.8</v>
      </c>
      <c r="G10" s="287" t="n">
        <v>4.6</v>
      </c>
      <c r="H10" s="287" t="n">
        <v>5.9</v>
      </c>
      <c r="I10" s="287" t="n">
        <v>39.1</v>
      </c>
      <c r="J10" s="287" t="n">
        <v>13.2</v>
      </c>
      <c r="K10" s="287" t="n">
        <v>38.1</v>
      </c>
      <c r="L10" s="287" t="n">
        <v>24.6</v>
      </c>
    </row>
    <row r="11" ht="14" customHeight="1" s="227">
      <c r="A11" s="28" t="inlineStr">
        <is>
          <t>Kampot</t>
        </is>
      </c>
      <c r="B11" s="287" t="n">
        <v>213.5</v>
      </c>
      <c r="C11" s="287" t="n">
        <v>7.8</v>
      </c>
      <c r="D11" s="287" t="n">
        <v>9.4</v>
      </c>
      <c r="E11" s="287" t="n">
        <v>1.7</v>
      </c>
      <c r="F11" s="287" t="n">
        <v>7.4</v>
      </c>
      <c r="G11" s="287" t="n">
        <v>5.1</v>
      </c>
      <c r="H11" s="287" t="n">
        <v>6.1</v>
      </c>
      <c r="I11" s="287" t="n">
        <v>31.4</v>
      </c>
      <c r="J11" s="287" t="n">
        <v>47.7</v>
      </c>
      <c r="K11" s="287" t="n">
        <v>29.3</v>
      </c>
      <c r="L11" s="287" t="n">
        <v>27.6</v>
      </c>
    </row>
    <row r="12" ht="14" customHeight="1" s="227">
      <c r="A12" s="28" t="inlineStr">
        <is>
          <t>Kandal</t>
        </is>
      </c>
      <c r="B12" s="287" t="n">
        <v>336</v>
      </c>
      <c r="C12" s="287" t="n">
        <v>9.699999999999999</v>
      </c>
      <c r="D12" s="287" t="n">
        <v>11.7</v>
      </c>
      <c r="E12" s="287" t="n">
        <v>2.2</v>
      </c>
      <c r="F12" s="287" t="n">
        <v>10.1</v>
      </c>
      <c r="G12" s="287" t="n">
        <v>6.9</v>
      </c>
      <c r="H12" s="287" t="n">
        <v>8.800000000000001</v>
      </c>
      <c r="I12" s="287" t="n">
        <v>46.3</v>
      </c>
      <c r="J12" s="287" t="n">
        <v>28.1</v>
      </c>
      <c r="K12" s="287" t="n">
        <v>52.5</v>
      </c>
      <c r="L12" s="287" t="n">
        <v>28.1</v>
      </c>
    </row>
    <row r="13" ht="14" customHeight="1" s="227">
      <c r="A13" s="28" t="inlineStr">
        <is>
          <t>Kep</t>
        </is>
      </c>
      <c r="B13" s="287" t="n">
        <v>173.8</v>
      </c>
      <c r="C13" s="287" t="n">
        <v>9.1</v>
      </c>
      <c r="D13" s="287" t="n">
        <v>10.9</v>
      </c>
      <c r="E13" s="287" t="n">
        <v>1.7</v>
      </c>
      <c r="F13" s="287" t="n">
        <v>8.9</v>
      </c>
      <c r="G13" s="287" t="n">
        <v>4.9</v>
      </c>
      <c r="H13" s="287" t="n">
        <v>5.4</v>
      </c>
      <c r="I13" s="287" t="n">
        <v>18</v>
      </c>
      <c r="J13" s="287" t="n">
        <v>22</v>
      </c>
      <c r="K13" s="287" t="n">
        <v>46</v>
      </c>
      <c r="L13" s="287" t="n">
        <v>38</v>
      </c>
    </row>
    <row r="14" ht="13" customHeight="1" s="227">
      <c r="A14" s="28" t="inlineStr">
        <is>
          <t>Koh Kong</t>
        </is>
      </c>
      <c r="B14" s="287" t="n">
        <v>121.6</v>
      </c>
      <c r="C14" s="287" t="n">
        <v>4.9</v>
      </c>
      <c r="D14" s="287" t="n">
        <v>5.7</v>
      </c>
      <c r="E14" s="287" t="n">
        <v>1.3</v>
      </c>
      <c r="F14" s="287" t="n">
        <v>4.6</v>
      </c>
      <c r="G14" s="287" t="n">
        <v>3.5</v>
      </c>
      <c r="H14" s="287" t="n">
        <v>5.1</v>
      </c>
      <c r="I14" s="287" t="n">
        <v>35.8</v>
      </c>
      <c r="J14" s="287" t="n">
        <v>2.8</v>
      </c>
      <c r="K14" s="287" t="n">
        <v>67.90000000000001</v>
      </c>
      <c r="L14" s="287" t="n">
        <v>42.7</v>
      </c>
    </row>
    <row r="15" ht="14" customHeight="1" s="227">
      <c r="A15" s="28" t="inlineStr">
        <is>
          <t>Kratie</t>
        </is>
      </c>
      <c r="B15" s="287" t="n">
        <v>206.2</v>
      </c>
      <c r="C15" s="287" t="n">
        <v>6.1</v>
      </c>
      <c r="D15" s="287" t="n">
        <v>7</v>
      </c>
      <c r="E15" s="287" t="n">
        <v>1.6</v>
      </c>
      <c r="F15" s="287" t="n">
        <v>6.1</v>
      </c>
      <c r="G15" s="287" t="n">
        <v>4.6</v>
      </c>
      <c r="H15" s="287" t="n">
        <v>6.5</v>
      </c>
      <c r="I15" s="287" t="n">
        <v>46.4</v>
      </c>
      <c r="J15" s="287" t="n">
        <v>16.5</v>
      </c>
      <c r="K15" s="287" t="n">
        <v>63.2</v>
      </c>
      <c r="L15" s="287" t="n">
        <v>28</v>
      </c>
    </row>
    <row r="16" ht="14" customHeight="1" s="227">
      <c r="A16" s="28" t="inlineStr">
        <is>
          <t>Mondul Kiri</t>
        </is>
      </c>
      <c r="B16" s="287" t="n">
        <v>160.7</v>
      </c>
      <c r="C16" s="287" t="n">
        <v>6.4</v>
      </c>
      <c r="D16" s="287" t="n">
        <v>6.8</v>
      </c>
      <c r="E16" s="287" t="n">
        <v>1.9</v>
      </c>
      <c r="F16" s="287" t="n">
        <v>5.5</v>
      </c>
      <c r="G16" s="287" t="n">
        <v>4.4</v>
      </c>
      <c r="H16" s="287" t="n">
        <v>6.2</v>
      </c>
      <c r="I16" s="287" t="n">
        <v>34.9</v>
      </c>
      <c r="J16" s="287" t="n">
        <v>1.6</v>
      </c>
      <c r="K16" s="287" t="n">
        <v>77.8</v>
      </c>
      <c r="L16" s="287" t="n">
        <v>47.6</v>
      </c>
    </row>
    <row r="17" ht="14" customHeight="1" s="227">
      <c r="A17" s="28" t="inlineStr">
        <is>
          <t>Otdar Meanchey</t>
        </is>
      </c>
      <c r="B17" s="287" t="n">
        <v>152.9</v>
      </c>
      <c r="C17" s="287" t="n">
        <v>4.3</v>
      </c>
      <c r="D17" s="287" t="n">
        <v>5.1</v>
      </c>
      <c r="E17" s="287" t="n">
        <v>1.2</v>
      </c>
      <c r="F17" s="287" t="n">
        <v>5.4</v>
      </c>
      <c r="G17" s="287" t="n">
        <v>4</v>
      </c>
      <c r="H17" s="287" t="n">
        <v>5.4</v>
      </c>
      <c r="I17" s="287" t="n">
        <v>30.4</v>
      </c>
      <c r="J17" s="287" t="n">
        <v>2</v>
      </c>
      <c r="K17" s="287" t="n">
        <v>69</v>
      </c>
      <c r="L17" s="287" t="n">
        <v>27.7</v>
      </c>
    </row>
    <row r="18" ht="14" customHeight="1" s="227">
      <c r="A18" s="28" t="inlineStr">
        <is>
          <t>Pailin</t>
        </is>
      </c>
      <c r="B18" s="287" t="n">
        <v>196.3</v>
      </c>
      <c r="C18" s="287" t="n">
        <v>7.6</v>
      </c>
      <c r="D18" s="287" t="n">
        <v>8.5</v>
      </c>
      <c r="E18" s="287" t="n">
        <v>1.6</v>
      </c>
      <c r="F18" s="287" t="n">
        <v>9.199999999999999</v>
      </c>
      <c r="G18" s="287" t="n">
        <v>4.8</v>
      </c>
      <c r="H18" s="287" t="n">
        <v>6.1</v>
      </c>
      <c r="I18" s="287" t="n">
        <v>32.9</v>
      </c>
      <c r="J18" s="287" t="n">
        <v>2.4</v>
      </c>
      <c r="K18" s="287" t="n">
        <v>79.3</v>
      </c>
      <c r="L18" s="287" t="n">
        <v>26.8</v>
      </c>
    </row>
    <row r="19" ht="14" customHeight="1" s="227">
      <c r="A19" s="28" t="inlineStr">
        <is>
          <t>Phnom Penh</t>
        </is>
      </c>
      <c r="B19" s="287" t="n">
        <v>628.9</v>
      </c>
      <c r="C19" s="287" t="n">
        <v>26.2</v>
      </c>
      <c r="D19" s="287" t="n">
        <v>28.9</v>
      </c>
      <c r="E19" s="287" t="n">
        <v>3.1</v>
      </c>
      <c r="F19" s="287" t="n">
        <v>15.8</v>
      </c>
      <c r="G19" s="287" t="n">
        <v>10.3</v>
      </c>
      <c r="H19" s="287" t="n">
        <v>14.9</v>
      </c>
      <c r="I19" s="287" t="n">
        <v>44.7</v>
      </c>
      <c r="J19" s="287" t="n">
        <v>22.6</v>
      </c>
      <c r="K19" s="287" t="n">
        <v>34.8</v>
      </c>
      <c r="L19" s="287" t="n">
        <v>27.1</v>
      </c>
    </row>
    <row r="20" ht="14" customHeight="1" s="227">
      <c r="A20" s="28" t="inlineStr">
        <is>
          <t>Preah Sihanouk</t>
        </is>
      </c>
      <c r="B20" s="287" t="n">
        <v>265.9</v>
      </c>
      <c r="C20" s="287" t="n">
        <v>10.2</v>
      </c>
      <c r="D20" s="287" t="n">
        <v>11.8</v>
      </c>
      <c r="E20" s="287" t="n">
        <v>1.7</v>
      </c>
      <c r="F20" s="287" t="n">
        <v>8.9</v>
      </c>
      <c r="G20" s="287" t="n">
        <v>6.1</v>
      </c>
      <c r="H20" s="287" t="n">
        <v>7.6</v>
      </c>
      <c r="I20" s="287" t="n">
        <v>44.2</v>
      </c>
      <c r="J20" s="287" t="n">
        <v>12.8</v>
      </c>
      <c r="K20" s="287" t="n">
        <v>96.8</v>
      </c>
      <c r="L20" s="287" t="n">
        <v>34.6</v>
      </c>
    </row>
    <row r="21" ht="14" customHeight="1" s="227">
      <c r="A21" s="28" t="inlineStr">
        <is>
          <t>Preah Vihear</t>
        </is>
      </c>
      <c r="B21" s="287" t="n">
        <v>138.1</v>
      </c>
      <c r="C21" s="287" t="n">
        <v>5</v>
      </c>
      <c r="D21" s="287" t="n">
        <v>5.6</v>
      </c>
      <c r="E21" s="287" t="n">
        <v>1.3</v>
      </c>
      <c r="F21" s="287" t="n">
        <v>5.3</v>
      </c>
      <c r="G21" s="287" t="n">
        <v>3.9</v>
      </c>
      <c r="H21" s="287" t="n">
        <v>5.1</v>
      </c>
      <c r="I21" s="287" t="n">
        <v>15.5</v>
      </c>
      <c r="J21" s="287" t="n">
        <v>0.2</v>
      </c>
      <c r="K21" s="287" t="n">
        <v>69.3</v>
      </c>
      <c r="L21" s="287" t="n">
        <v>32.4</v>
      </c>
    </row>
    <row r="22" ht="14" customHeight="1" s="227">
      <c r="A22" s="28" t="inlineStr">
        <is>
          <t>Prey Veng</t>
        </is>
      </c>
      <c r="B22" s="287" t="n">
        <v>226.8</v>
      </c>
      <c r="C22" s="287" t="n">
        <v>5.5</v>
      </c>
      <c r="D22" s="287" t="n">
        <v>7.3</v>
      </c>
      <c r="E22" s="287" t="n">
        <v>1.8</v>
      </c>
      <c r="F22" s="287" t="n">
        <v>7.7</v>
      </c>
      <c r="G22" s="287" t="n">
        <v>5.4</v>
      </c>
      <c r="H22" s="287" t="n">
        <v>6.4</v>
      </c>
      <c r="I22" s="287" t="n">
        <v>44</v>
      </c>
      <c r="J22" s="287" t="n">
        <v>24.3</v>
      </c>
      <c r="K22" s="287" t="n">
        <v>47.1</v>
      </c>
      <c r="L22" s="287" t="n">
        <v>35.6</v>
      </c>
    </row>
    <row r="23" ht="14" customHeight="1" s="227">
      <c r="A23" s="28" t="inlineStr">
        <is>
          <t>Pursat</t>
        </is>
      </c>
      <c r="B23" s="287" t="n">
        <v>194.9</v>
      </c>
      <c r="C23" s="287" t="n">
        <v>5.9</v>
      </c>
      <c r="D23" s="287" t="n">
        <v>7</v>
      </c>
      <c r="E23" s="287" t="n">
        <v>1.5</v>
      </c>
      <c r="F23" s="287" t="n">
        <v>6.1</v>
      </c>
      <c r="G23" s="287" t="n">
        <v>4.5</v>
      </c>
      <c r="H23" s="287" t="n">
        <v>6</v>
      </c>
      <c r="I23" s="287" t="n">
        <v>40.6</v>
      </c>
      <c r="J23" s="287" t="n">
        <v>2</v>
      </c>
      <c r="K23" s="287" t="n">
        <v>56.8</v>
      </c>
      <c r="L23" s="287" t="n">
        <v>32.8</v>
      </c>
    </row>
    <row r="24" ht="14" customHeight="1" s="227">
      <c r="A24" s="28" t="inlineStr">
        <is>
          <t>Ratanak Kiri</t>
        </is>
      </c>
      <c r="B24" s="287" t="n">
        <v>178.7</v>
      </c>
      <c r="C24" s="287" t="n">
        <v>4.2</v>
      </c>
      <c r="D24" s="287" t="n">
        <v>4.6</v>
      </c>
      <c r="E24" s="287" t="n">
        <v>1.6</v>
      </c>
      <c r="F24" s="287" t="n">
        <v>5.6</v>
      </c>
      <c r="G24" s="287" t="n">
        <v>3.8</v>
      </c>
      <c r="H24" s="287" t="n">
        <v>5.6</v>
      </c>
      <c r="I24" s="287" t="n">
        <v>49.8</v>
      </c>
      <c r="J24" s="287" t="n">
        <v>7.9</v>
      </c>
      <c r="K24" s="287" t="n">
        <v>65.7</v>
      </c>
      <c r="L24" s="287" t="n">
        <v>27.1</v>
      </c>
    </row>
    <row r="25" ht="14" customHeight="1" s="227">
      <c r="A25" s="28" t="inlineStr">
        <is>
          <t>Siemreap</t>
        </is>
      </c>
      <c r="B25" s="287" t="n">
        <v>249.2</v>
      </c>
      <c r="C25" s="287" t="n">
        <v>5.6</v>
      </c>
      <c r="D25" s="287" t="n">
        <v>6.9</v>
      </c>
      <c r="E25" s="287" t="n">
        <v>1.8</v>
      </c>
      <c r="F25" s="287" t="n">
        <v>6.4</v>
      </c>
      <c r="G25" s="287" t="n">
        <v>4.8</v>
      </c>
      <c r="H25" s="287" t="n">
        <v>6.5</v>
      </c>
      <c r="I25" s="287" t="n">
        <v>39.7</v>
      </c>
      <c r="J25" s="287" t="n">
        <v>6.2</v>
      </c>
      <c r="K25" s="287" t="n">
        <v>57.4</v>
      </c>
      <c r="L25" s="287" t="n">
        <v>41.5</v>
      </c>
    </row>
    <row r="26" ht="14" customHeight="1" s="227">
      <c r="A26" s="28" t="inlineStr">
        <is>
          <t>Stung Treng</t>
        </is>
      </c>
      <c r="B26" s="287" t="n">
        <v>155.8</v>
      </c>
      <c r="C26" s="287" t="n">
        <v>5.6</v>
      </c>
      <c r="D26" s="287" t="n">
        <v>6.4</v>
      </c>
      <c r="E26" s="287" t="n">
        <v>1.7</v>
      </c>
      <c r="F26" s="287" t="n">
        <v>5.8</v>
      </c>
      <c r="G26" s="287" t="n">
        <v>4.2</v>
      </c>
      <c r="H26" s="287" t="n">
        <v>6.2</v>
      </c>
      <c r="I26" s="287" t="n">
        <v>47.2</v>
      </c>
      <c r="J26" s="287" t="n">
        <v>1.8</v>
      </c>
      <c r="K26" s="287" t="n">
        <v>67.40000000000001</v>
      </c>
      <c r="L26" s="287" t="n">
        <v>18.8</v>
      </c>
    </row>
    <row r="27" ht="13" customHeight="1" s="227">
      <c r="A27" s="28" t="inlineStr">
        <is>
          <t>Svay Rieng</t>
        </is>
      </c>
      <c r="B27" s="287" t="n">
        <v>232.4</v>
      </c>
      <c r="C27" s="287" t="n">
        <v>7.3</v>
      </c>
      <c r="D27" s="287" t="n">
        <v>9.1</v>
      </c>
      <c r="E27" s="287" t="n">
        <v>1.8</v>
      </c>
      <c r="F27" s="287" t="n">
        <v>8.199999999999999</v>
      </c>
      <c r="G27" s="287" t="n">
        <v>5.6</v>
      </c>
      <c r="H27" s="287" t="n">
        <v>6.6</v>
      </c>
      <c r="I27" s="287" t="n">
        <v>34.4</v>
      </c>
      <c r="J27" s="287" t="n">
        <v>17.5</v>
      </c>
      <c r="K27" s="287" t="n">
        <v>49</v>
      </c>
      <c r="L27" s="287" t="n">
        <v>33.5</v>
      </c>
    </row>
    <row r="28" ht="14" customHeight="1" s="227">
      <c r="A28" s="28" t="inlineStr">
        <is>
          <t>Takeo</t>
        </is>
      </c>
      <c r="B28" s="287" t="n">
        <v>263.9</v>
      </c>
      <c r="C28" s="287" t="n">
        <v>8.300000000000001</v>
      </c>
      <c r="D28" s="287" t="n">
        <v>10.5</v>
      </c>
      <c r="E28" s="287" t="n">
        <v>2.3</v>
      </c>
      <c r="F28" s="287" t="n">
        <v>10.4</v>
      </c>
      <c r="G28" s="287" t="n">
        <v>6.7</v>
      </c>
      <c r="H28" s="287" t="n">
        <v>7.4</v>
      </c>
      <c r="I28" s="287" t="n">
        <v>25.1</v>
      </c>
      <c r="J28" s="287" t="n">
        <v>27.2</v>
      </c>
      <c r="K28" s="287" t="n">
        <v>37.3</v>
      </c>
      <c r="L28" s="287" t="n">
        <v>25.1</v>
      </c>
    </row>
    <row r="29" ht="14" customHeight="1" s="227">
      <c r="A29" s="28" t="inlineStr">
        <is>
          <t>Tbaung Khmum</t>
        </is>
      </c>
      <c r="B29" s="287" t="n">
        <v>244.8</v>
      </c>
      <c r="C29" s="287" t="n">
        <v>5.3</v>
      </c>
      <c r="D29" s="287" t="n">
        <v>6.4</v>
      </c>
      <c r="E29" s="287" t="n">
        <v>1.5</v>
      </c>
      <c r="F29" s="287" t="n">
        <v>7</v>
      </c>
      <c r="G29" s="287" t="n">
        <v>5</v>
      </c>
      <c r="H29" s="287" t="n">
        <v>6.6</v>
      </c>
      <c r="I29" s="287" t="n">
        <v>45.5</v>
      </c>
      <c r="J29" s="287" t="n">
        <v>10.5</v>
      </c>
      <c r="K29" s="287" t="n">
        <v>57.2</v>
      </c>
      <c r="L29" s="287" t="n">
        <v>35.8</v>
      </c>
    </row>
    <row r="30" ht="17" customHeight="1" s="227">
      <c r="A30" s="22" t="inlineStr">
        <is>
          <t>Whole Kingdom</t>
        </is>
      </c>
      <c r="B30" s="287" t="n">
        <v>239.8</v>
      </c>
      <c r="C30" s="287" t="n">
        <v>7</v>
      </c>
      <c r="D30" s="287" t="n">
        <v>8.5</v>
      </c>
      <c r="E30" s="287" t="n">
        <v>1.8</v>
      </c>
      <c r="F30" s="287" t="n">
        <v>7.6</v>
      </c>
      <c r="G30" s="287" t="n">
        <v>5.2</v>
      </c>
      <c r="H30" s="287" t="n">
        <v>6.8</v>
      </c>
      <c r="I30" s="287" t="n">
        <v>39.7</v>
      </c>
      <c r="J30" s="287" t="n">
        <v>14.1</v>
      </c>
      <c r="K30" s="287" t="n">
        <v>53.3</v>
      </c>
      <c r="L30" s="287" t="n">
        <v>31.3</v>
      </c>
    </row>
    <row r="31" ht="14" customHeight="1" s="227">
      <c r="A31" s="28" t="inlineStr">
        <is>
          <t>-  Urban Area</t>
        </is>
      </c>
      <c r="B31" s="287" t="n">
        <v>418.4</v>
      </c>
      <c r="C31" s="287" t="n">
        <v>16.5</v>
      </c>
      <c r="D31" s="287" t="n">
        <v>19</v>
      </c>
      <c r="E31" s="287" t="n">
        <v>2.5</v>
      </c>
      <c r="F31" s="287" t="n">
        <v>12.3</v>
      </c>
      <c r="G31" s="287" t="n">
        <v>8.199999999999999</v>
      </c>
      <c r="H31" s="287" t="n">
        <v>10.6</v>
      </c>
      <c r="I31" s="287" t="n">
        <v>36.1</v>
      </c>
      <c r="J31" s="287" t="n">
        <v>12.6</v>
      </c>
      <c r="K31" s="287" t="n">
        <v>47.7</v>
      </c>
      <c r="L31" s="287" t="n">
        <v>29.2</v>
      </c>
    </row>
    <row r="32" ht="13.75" customHeight="1" s="227">
      <c r="A32" s="28" t="inlineStr">
        <is>
          <t>-  Rural Area</t>
        </is>
      </c>
      <c r="B32" s="287" t="n">
        <v>218.4</v>
      </c>
      <c r="C32" s="287" t="n">
        <v>5.9</v>
      </c>
      <c r="D32" s="287" t="n">
        <v>7.2</v>
      </c>
      <c r="E32" s="287" t="n">
        <v>1.7</v>
      </c>
      <c r="F32" s="287" t="n">
        <v>7</v>
      </c>
      <c r="G32" s="287" t="n">
        <v>4.9</v>
      </c>
      <c r="H32" s="287" t="n">
        <v>6.3</v>
      </c>
      <c r="I32" s="287" t="n">
        <v>40.1</v>
      </c>
      <c r="J32" s="287" t="n">
        <v>14.3</v>
      </c>
      <c r="K32" s="287" t="n">
        <v>54</v>
      </c>
      <c r="L32" s="287" t="n">
        <v>31.5</v>
      </c>
    </row>
  </sheetData>
  <mergeCells count="3">
    <mergeCell ref="A2:A4"/>
    <mergeCell ref="I2:L3"/>
    <mergeCell ref="A1:L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007030A0"/>
    <outlinePr summaryBelow="1" summaryRight="1"/>
    <pageSetUpPr/>
  </sheetPr>
  <dimension ref="A1:L32"/>
  <sheetViews>
    <sheetView tabSelected="1" workbookViewId="0">
      <selection activeCell="A1" sqref="A1"/>
    </sheetView>
  </sheetViews>
  <sheetFormatPr baseColWidth="8" defaultRowHeight="15"/>
  <cols>
    <col width="25.777778" customWidth="1" style="227" min="1" max="1"/>
    <col width="12.666667" customWidth="1" style="227" min="2" max="2"/>
    <col width="12.888889" customWidth="1" style="227" min="3" max="3"/>
    <col width="12.888889" customWidth="1" style="227" min="4" max="4"/>
    <col width="12.666667" customWidth="1" style="227" min="5" max="5"/>
    <col width="12.888889" customWidth="1" style="227" min="6" max="6"/>
    <col width="12.888889" customWidth="1" style="227" min="7" max="7"/>
    <col width="12.888889" customWidth="1" style="227" min="8" max="8"/>
    <col width="12.666667" customWidth="1" style="227" min="9" max="9"/>
    <col width="12.888889" customWidth="1" style="227" min="10" max="10"/>
    <col width="12.666667" customWidth="1" style="227" min="11" max="11"/>
    <col width="12.888889" customWidth="1" style="227" min="12" max="12"/>
  </cols>
  <sheetData>
    <row r="1" ht="30" customHeight="1" s="227">
      <c r="A1" s="34" t="inlineStr">
        <is>
          <t>Table 3:  Indicators on Primary Schools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</row>
    <row r="2" ht="13" customHeight="1" s="227">
      <c r="A2" s="35" t="inlineStr">
        <is>
          <t>Province</t>
        </is>
      </c>
      <c r="B2" s="105" t="inlineStr">
        <is>
          <t>Pupils</t>
        </is>
      </c>
      <c r="C2" s="106" t="inlineStr">
        <is>
          <t>Teachers</t>
        </is>
      </c>
      <c r="D2" s="132" t="inlineStr">
        <is>
          <t>Staff</t>
        </is>
      </c>
      <c r="E2" s="106" t="inlineStr">
        <is>
          <t>Buildings</t>
        </is>
      </c>
      <c r="F2" s="105" t="inlineStr">
        <is>
          <t>Rooms</t>
        </is>
      </c>
      <c r="G2" s="107" t="inlineStr">
        <is>
          <t>Classrooms</t>
        </is>
      </c>
      <c r="H2" s="105" t="inlineStr">
        <is>
          <t>Classes</t>
        </is>
      </c>
      <c r="I2" s="92" t="inlineStr">
        <is>
          <t>Percentage of Schools</t>
        </is>
      </c>
      <c r="J2" s="280" t="n"/>
      <c r="K2" s="280" t="n"/>
      <c r="L2" s="281" t="n"/>
    </row>
    <row r="3" ht="13" customHeight="1" s="227">
      <c r="A3" s="273" t="n"/>
      <c r="B3" s="116" t="inlineStr">
        <is>
          <t>per</t>
        </is>
      </c>
      <c r="C3" s="116" t="inlineStr">
        <is>
          <t>per</t>
        </is>
      </c>
      <c r="D3" s="116" t="inlineStr">
        <is>
          <t>per</t>
        </is>
      </c>
      <c r="E3" s="116" t="inlineStr">
        <is>
          <t>per</t>
        </is>
      </c>
      <c r="F3" s="116" t="inlineStr">
        <is>
          <t>per</t>
        </is>
      </c>
      <c r="G3" s="116" t="inlineStr">
        <is>
          <t>per</t>
        </is>
      </c>
      <c r="H3" s="116" t="inlineStr">
        <is>
          <t>per</t>
        </is>
      </c>
      <c r="I3" s="282" t="n"/>
      <c r="J3" s="256" t="n"/>
      <c r="K3" s="256" t="n"/>
      <c r="L3" s="283" t="n"/>
    </row>
    <row r="4" ht="13" customHeight="1" s="227">
      <c r="A4" s="258" t="n"/>
      <c r="B4" s="118" t="inlineStr">
        <is>
          <t>School</t>
        </is>
      </c>
      <c r="C4" s="118" t="inlineStr">
        <is>
          <t>School</t>
        </is>
      </c>
      <c r="D4" s="118" t="inlineStr">
        <is>
          <t>School</t>
        </is>
      </c>
      <c r="E4" s="118" t="inlineStr">
        <is>
          <t>School</t>
        </is>
      </c>
      <c r="F4" s="118" t="inlineStr">
        <is>
          <t>School</t>
        </is>
      </c>
      <c r="G4" s="118" t="inlineStr">
        <is>
          <t>School</t>
        </is>
      </c>
      <c r="H4" s="118" t="inlineStr">
        <is>
          <t>School</t>
        </is>
      </c>
      <c r="I4" s="102" t="inlineStr">
        <is>
          <t>2 - shift</t>
        </is>
      </c>
      <c r="J4" s="103" t="inlineStr">
        <is>
          <t>in Pagoda</t>
        </is>
      </c>
      <c r="K4" s="103" t="inlineStr">
        <is>
          <t>w/o Water</t>
        </is>
      </c>
      <c r="L4" s="119" t="inlineStr">
        <is>
          <t>w/o Latrine</t>
        </is>
      </c>
    </row>
    <row r="5" ht="14" customHeight="1" s="227">
      <c r="A5" s="28" t="inlineStr">
        <is>
          <t>Banteay Meanchey</t>
        </is>
      </c>
      <c r="B5" s="287" t="n">
        <v>236.3</v>
      </c>
      <c r="C5" s="287" t="n">
        <v>7.1</v>
      </c>
      <c r="D5" s="287" t="n">
        <v>8.5</v>
      </c>
      <c r="E5" s="287" t="n">
        <v>2.2</v>
      </c>
      <c r="F5" s="287" t="n">
        <v>8.699999999999999</v>
      </c>
      <c r="G5" s="287" t="n">
        <v>5.5</v>
      </c>
      <c r="H5" s="287" t="n">
        <v>7.8</v>
      </c>
      <c r="I5" s="287" t="n">
        <v>66.09999999999999</v>
      </c>
      <c r="J5" s="287" t="n">
        <v>3.2</v>
      </c>
      <c r="K5" s="287" t="n">
        <v>55.9</v>
      </c>
      <c r="L5" s="287" t="n">
        <v>7.8</v>
      </c>
    </row>
    <row r="6" ht="14" customHeight="1" s="227">
      <c r="A6" s="28" t="inlineStr">
        <is>
          <t>Battambang</t>
        </is>
      </c>
      <c r="B6" s="287" t="n">
        <v>266.6</v>
      </c>
      <c r="C6" s="287" t="n">
        <v>5.6</v>
      </c>
      <c r="D6" s="287" t="n">
        <v>7.6</v>
      </c>
      <c r="E6" s="287" t="n">
        <v>2.1</v>
      </c>
      <c r="F6" s="287" t="n">
        <v>8.1</v>
      </c>
      <c r="G6" s="287" t="n">
        <v>5.8</v>
      </c>
      <c r="H6" s="287" t="n">
        <v>8.6</v>
      </c>
      <c r="I6" s="287" t="n">
        <v>84.5</v>
      </c>
      <c r="J6" s="287" t="n">
        <v>5.6</v>
      </c>
      <c r="K6" s="287" t="n">
        <v>55.6</v>
      </c>
      <c r="L6" s="287" t="n">
        <v>5.1</v>
      </c>
    </row>
    <row r="7" ht="14" customHeight="1" s="227">
      <c r="A7" s="28" t="inlineStr">
        <is>
          <t>Kampong Cham</t>
        </is>
      </c>
      <c r="B7" s="287" t="n">
        <v>346.7</v>
      </c>
      <c r="C7" s="287" t="n">
        <v>6.4</v>
      </c>
      <c r="D7" s="287" t="n">
        <v>8.9</v>
      </c>
      <c r="E7" s="287" t="n">
        <v>2.6</v>
      </c>
      <c r="F7" s="287" t="n">
        <v>10.9</v>
      </c>
      <c r="G7" s="287" t="n">
        <v>7</v>
      </c>
      <c r="H7" s="287" t="n">
        <v>9.5</v>
      </c>
      <c r="I7" s="287" t="n">
        <v>73.3</v>
      </c>
      <c r="J7" s="287" t="n">
        <v>20.3</v>
      </c>
      <c r="K7" s="287" t="n">
        <v>40.4</v>
      </c>
      <c r="L7" s="287" t="n">
        <v>5.9</v>
      </c>
    </row>
    <row r="8" ht="13" customHeight="1" s="227">
      <c r="A8" s="28" t="inlineStr">
        <is>
          <t>Kampong Chhnang</t>
        </is>
      </c>
      <c r="B8" s="287" t="n">
        <v>267.2</v>
      </c>
      <c r="C8" s="287" t="n">
        <v>6.4</v>
      </c>
      <c r="D8" s="287" t="n">
        <v>8</v>
      </c>
      <c r="E8" s="287" t="n">
        <v>2.1</v>
      </c>
      <c r="F8" s="287" t="n">
        <v>8.1</v>
      </c>
      <c r="G8" s="287" t="n">
        <v>5.4</v>
      </c>
      <c r="H8" s="287" t="n">
        <v>8</v>
      </c>
      <c r="I8" s="287" t="n">
        <v>62.9</v>
      </c>
      <c r="J8" s="287" t="n">
        <v>8.6</v>
      </c>
      <c r="K8" s="287" t="n">
        <v>22.3</v>
      </c>
      <c r="L8" s="287" t="n">
        <v>2.5</v>
      </c>
    </row>
    <row r="9" ht="14" customHeight="1" s="227">
      <c r="A9" s="28" t="inlineStr">
        <is>
          <t>Kampong Speu</t>
        </is>
      </c>
      <c r="B9" s="287" t="n">
        <v>354.2</v>
      </c>
      <c r="C9" s="287" t="n">
        <v>7.1</v>
      </c>
      <c r="D9" s="287" t="n">
        <v>8.6</v>
      </c>
      <c r="E9" s="287" t="n">
        <v>2.5</v>
      </c>
      <c r="F9" s="287" t="n">
        <v>10.4</v>
      </c>
      <c r="G9" s="287" t="n">
        <v>6.8</v>
      </c>
      <c r="H9" s="287" t="n">
        <v>9.300000000000001</v>
      </c>
      <c r="I9" s="287" t="n">
        <v>73.2</v>
      </c>
      <c r="J9" s="287" t="n">
        <v>9.300000000000001</v>
      </c>
      <c r="K9" s="287" t="n">
        <v>15.7</v>
      </c>
      <c r="L9" s="287" t="n">
        <v>0.6</v>
      </c>
    </row>
    <row r="10" ht="14" customHeight="1" s="227">
      <c r="A10" s="28" t="inlineStr">
        <is>
          <t>Kampong Thom</t>
        </is>
      </c>
      <c r="B10" s="287" t="n">
        <v>206.5</v>
      </c>
      <c r="C10" s="287" t="n">
        <v>5</v>
      </c>
      <c r="D10" s="287" t="n">
        <v>5.9</v>
      </c>
      <c r="E10" s="287" t="n">
        <v>2</v>
      </c>
      <c r="F10" s="287" t="n">
        <v>7.1</v>
      </c>
      <c r="G10" s="287" t="n">
        <v>4.9</v>
      </c>
      <c r="H10" s="287" t="n">
        <v>6.8</v>
      </c>
      <c r="I10" s="287" t="n">
        <v>62</v>
      </c>
      <c r="J10" s="287" t="n">
        <v>9</v>
      </c>
      <c r="K10" s="287" t="n">
        <v>28.7</v>
      </c>
      <c r="L10" s="287" t="n">
        <v>8.6</v>
      </c>
    </row>
    <row r="11" ht="14" customHeight="1" s="227">
      <c r="A11" s="28" t="inlineStr">
        <is>
          <t>Kampot</t>
        </is>
      </c>
      <c r="B11" s="287" t="n">
        <v>252.5</v>
      </c>
      <c r="C11" s="287" t="n">
        <v>7.4</v>
      </c>
      <c r="D11" s="287" t="n">
        <v>9.1</v>
      </c>
      <c r="E11" s="287" t="n">
        <v>2.2</v>
      </c>
      <c r="F11" s="287" t="n">
        <v>9.5</v>
      </c>
      <c r="G11" s="287" t="n">
        <v>6.3</v>
      </c>
      <c r="H11" s="287" t="n">
        <v>7.9</v>
      </c>
      <c r="I11" s="287" t="n">
        <v>56.6</v>
      </c>
      <c r="J11" s="287" t="n">
        <v>49.5</v>
      </c>
      <c r="K11" s="287" t="n">
        <v>13.2</v>
      </c>
      <c r="L11" s="287" t="n">
        <v>1.6</v>
      </c>
    </row>
    <row r="12" ht="14" customHeight="1" s="227">
      <c r="A12" s="28" t="inlineStr">
        <is>
          <t>Kandal</t>
        </is>
      </c>
      <c r="B12" s="287" t="n">
        <v>427</v>
      </c>
      <c r="C12" s="287" t="n">
        <v>6.6</v>
      </c>
      <c r="D12" s="287" t="n">
        <v>8.800000000000001</v>
      </c>
      <c r="E12" s="287" t="n">
        <v>2.8</v>
      </c>
      <c r="F12" s="287" t="n">
        <v>12.1</v>
      </c>
      <c r="G12" s="287" t="n">
        <v>8.300000000000001</v>
      </c>
      <c r="H12" s="287" t="n">
        <v>11.5</v>
      </c>
      <c r="I12" s="287" t="n">
        <v>84.5</v>
      </c>
      <c r="J12" s="287" t="n">
        <v>30.2</v>
      </c>
      <c r="K12" s="287" t="n">
        <v>40.9</v>
      </c>
      <c r="L12" s="287" t="n">
        <v>7.8</v>
      </c>
    </row>
    <row r="13" ht="14" customHeight="1" s="227">
      <c r="A13" s="28" t="inlineStr">
        <is>
          <t>Kep</t>
        </is>
      </c>
      <c r="B13" s="287" t="n">
        <v>232</v>
      </c>
      <c r="C13" s="287" t="n">
        <v>9.199999999999999</v>
      </c>
      <c r="D13" s="287" t="n">
        <v>12</v>
      </c>
      <c r="E13" s="287" t="n">
        <v>2.6</v>
      </c>
      <c r="F13" s="287" t="n">
        <v>11.2</v>
      </c>
      <c r="G13" s="287" t="n">
        <v>6.5</v>
      </c>
      <c r="H13" s="287" t="n">
        <v>7.8</v>
      </c>
      <c r="I13" s="287" t="n">
        <v>36.4</v>
      </c>
      <c r="J13" s="287" t="n">
        <v>27.3</v>
      </c>
      <c r="K13" s="287" t="n">
        <v>27.3</v>
      </c>
      <c r="L13" s="287" t="n">
        <v>0</v>
      </c>
    </row>
    <row r="14" ht="14" customHeight="1" s="227">
      <c r="A14" s="28" t="inlineStr">
        <is>
          <t>Koh Kong</t>
        </is>
      </c>
      <c r="B14" s="287" t="n">
        <v>137.9</v>
      </c>
      <c r="C14" s="287" t="n">
        <v>5.1</v>
      </c>
      <c r="D14" s="287" t="n">
        <v>5.9</v>
      </c>
      <c r="E14" s="287" t="n">
        <v>1.6</v>
      </c>
      <c r="F14" s="287" t="n">
        <v>5.8</v>
      </c>
      <c r="G14" s="287" t="n">
        <v>4.2</v>
      </c>
      <c r="H14" s="287" t="n">
        <v>6.6</v>
      </c>
      <c r="I14" s="287" t="n">
        <v>55.4</v>
      </c>
      <c r="J14" s="287" t="n">
        <v>1.7</v>
      </c>
      <c r="K14" s="287" t="n">
        <v>62.8</v>
      </c>
      <c r="L14" s="287" t="n">
        <v>23.1</v>
      </c>
    </row>
    <row r="15" ht="14" customHeight="1" s="227">
      <c r="A15" s="28" t="inlineStr">
        <is>
          <t>Kratie</t>
        </is>
      </c>
      <c r="B15" s="287" t="n">
        <v>231.1</v>
      </c>
      <c r="C15" s="287" t="n">
        <v>5.3</v>
      </c>
      <c r="D15" s="287" t="n">
        <v>6.2</v>
      </c>
      <c r="E15" s="287" t="n">
        <v>1.7</v>
      </c>
      <c r="F15" s="287" t="n">
        <v>6.4</v>
      </c>
      <c r="G15" s="287" t="n">
        <v>5</v>
      </c>
      <c r="H15" s="287" t="n">
        <v>8</v>
      </c>
      <c r="I15" s="287" t="n">
        <v>69.7</v>
      </c>
      <c r="J15" s="287" t="n">
        <v>11.3</v>
      </c>
      <c r="K15" s="287" t="n">
        <v>57.3</v>
      </c>
      <c r="L15" s="287" t="n">
        <v>16.4</v>
      </c>
    </row>
    <row r="16" ht="14" customHeight="1" s="227">
      <c r="A16" s="28" t="inlineStr">
        <is>
          <t>Mondul Kiri</t>
        </is>
      </c>
      <c r="B16" s="287" t="n">
        <v>163.8</v>
      </c>
      <c r="C16" s="287" t="n">
        <v>6.3</v>
      </c>
      <c r="D16" s="287" t="n">
        <v>6.7</v>
      </c>
      <c r="E16" s="287" t="n">
        <v>2</v>
      </c>
      <c r="F16" s="287" t="n">
        <v>6</v>
      </c>
      <c r="G16" s="287" t="n">
        <v>4.8</v>
      </c>
      <c r="H16" s="287" t="n">
        <v>7.3</v>
      </c>
      <c r="I16" s="287" t="n">
        <v>47.2</v>
      </c>
      <c r="J16" s="287" t="n">
        <v>1.1</v>
      </c>
      <c r="K16" s="287" t="n">
        <v>73</v>
      </c>
      <c r="L16" s="287" t="n">
        <v>41.6</v>
      </c>
    </row>
    <row r="17" ht="14" customHeight="1" s="227">
      <c r="A17" s="28" t="inlineStr">
        <is>
          <t>Otdar Meanchey</t>
        </is>
      </c>
      <c r="B17" s="287" t="n">
        <v>171.5</v>
      </c>
      <c r="C17" s="287" t="n">
        <v>4.4</v>
      </c>
      <c r="D17" s="287" t="n">
        <v>5.5</v>
      </c>
      <c r="E17" s="287" t="n">
        <v>1.5</v>
      </c>
      <c r="F17" s="287" t="n">
        <v>6.2</v>
      </c>
      <c r="G17" s="287" t="n">
        <v>4.6</v>
      </c>
      <c r="H17" s="287" t="n">
        <v>6.9</v>
      </c>
      <c r="I17" s="287" t="n">
        <v>46.8</v>
      </c>
      <c r="J17" s="287" t="n">
        <v>0.9</v>
      </c>
      <c r="K17" s="287" t="n">
        <v>60.6</v>
      </c>
      <c r="L17" s="287" t="n">
        <v>6</v>
      </c>
    </row>
    <row r="18" ht="14" customHeight="1" s="227">
      <c r="A18" s="28" t="inlineStr">
        <is>
          <t>Pailin</t>
        </is>
      </c>
      <c r="B18" s="287" t="n">
        <v>214.9</v>
      </c>
      <c r="C18" s="287" t="n">
        <v>6.1</v>
      </c>
      <c r="D18" s="287" t="n">
        <v>6.9</v>
      </c>
      <c r="E18" s="287" t="n">
        <v>2</v>
      </c>
      <c r="F18" s="287" t="n">
        <v>8.5</v>
      </c>
      <c r="G18" s="287" t="n">
        <v>5.2</v>
      </c>
      <c r="H18" s="287" t="n">
        <v>7.4</v>
      </c>
      <c r="I18" s="287" t="n">
        <v>50</v>
      </c>
      <c r="J18" s="287" t="n">
        <v>2.1</v>
      </c>
      <c r="K18" s="287" t="n">
        <v>79.2</v>
      </c>
      <c r="L18" s="287" t="n">
        <v>4.2</v>
      </c>
    </row>
    <row r="19" ht="14" customHeight="1" s="227">
      <c r="A19" s="28" t="inlineStr">
        <is>
          <t>Phnom Penh</t>
        </is>
      </c>
      <c r="B19" s="287" t="n">
        <v>847</v>
      </c>
      <c r="C19" s="287" t="n">
        <v>22.2</v>
      </c>
      <c r="D19" s="287" t="n">
        <v>25.4</v>
      </c>
      <c r="E19" s="287" t="n">
        <v>3.6</v>
      </c>
      <c r="F19" s="287" t="n">
        <v>20.5</v>
      </c>
      <c r="G19" s="287" t="n">
        <v>13.7</v>
      </c>
      <c r="H19" s="287" t="n">
        <v>20.5</v>
      </c>
      <c r="I19" s="287" t="n">
        <v>77.40000000000001</v>
      </c>
      <c r="J19" s="287" t="n">
        <v>28</v>
      </c>
      <c r="K19" s="287" t="n">
        <v>37.2</v>
      </c>
      <c r="L19" s="287" t="n">
        <v>4.9</v>
      </c>
    </row>
    <row r="20" ht="14" customHeight="1" s="227">
      <c r="A20" s="28" t="inlineStr">
        <is>
          <t>Preah Sihanouk</t>
        </is>
      </c>
      <c r="B20" s="287" t="n">
        <v>373.9</v>
      </c>
      <c r="C20" s="287" t="n">
        <v>11.6</v>
      </c>
      <c r="D20" s="287" t="n">
        <v>13.6</v>
      </c>
      <c r="E20" s="287" t="n">
        <v>2.3</v>
      </c>
      <c r="F20" s="287" t="n">
        <v>11.9</v>
      </c>
      <c r="G20" s="287" t="n">
        <v>7.8</v>
      </c>
      <c r="H20" s="287" t="n">
        <v>11.4</v>
      </c>
      <c r="I20" s="287" t="n">
        <v>83.3</v>
      </c>
      <c r="J20" s="287" t="n">
        <v>8.300000000000001</v>
      </c>
      <c r="K20" s="287" t="n">
        <v>93.09999999999999</v>
      </c>
      <c r="L20" s="287" t="n">
        <v>12.5</v>
      </c>
    </row>
    <row r="21" ht="13" customHeight="1" s="227">
      <c r="A21" s="28" t="inlineStr">
        <is>
          <t>Preah Vihear</t>
        </is>
      </c>
      <c r="B21" s="287" t="n">
        <v>163.8</v>
      </c>
      <c r="C21" s="287" t="n">
        <v>5.3</v>
      </c>
      <c r="D21" s="287" t="n">
        <v>6.1</v>
      </c>
      <c r="E21" s="287" t="n">
        <v>1.7</v>
      </c>
      <c r="F21" s="287" t="n">
        <v>6.1</v>
      </c>
      <c r="G21" s="287" t="n">
        <v>4.7</v>
      </c>
      <c r="H21" s="287" t="n">
        <v>6.8</v>
      </c>
      <c r="I21" s="287" t="n">
        <v>24.6</v>
      </c>
      <c r="J21" s="287" t="n">
        <v>0.4</v>
      </c>
      <c r="K21" s="287" t="n">
        <v>62.7</v>
      </c>
      <c r="L21" s="287" t="n">
        <v>16.2</v>
      </c>
    </row>
    <row r="22" ht="14" customHeight="1" s="227">
      <c r="A22" s="28" t="inlineStr">
        <is>
          <t>Prey Veng</t>
        </is>
      </c>
      <c r="B22" s="287" t="n">
        <v>273.9</v>
      </c>
      <c r="C22" s="287" t="n">
        <v>5.1</v>
      </c>
      <c r="D22" s="287" t="n">
        <v>7.3</v>
      </c>
      <c r="E22" s="287" t="n">
        <v>2.4</v>
      </c>
      <c r="F22" s="287" t="n">
        <v>9.6</v>
      </c>
      <c r="G22" s="287" t="n">
        <v>6.3</v>
      </c>
      <c r="H22" s="287" t="n">
        <v>8.300000000000001</v>
      </c>
      <c r="I22" s="287" t="n">
        <v>79.40000000000001</v>
      </c>
      <c r="J22" s="287" t="n">
        <v>25.7</v>
      </c>
      <c r="K22" s="287" t="n">
        <v>26.1</v>
      </c>
      <c r="L22" s="287" t="n">
        <v>5.1</v>
      </c>
    </row>
    <row r="23" ht="14" customHeight="1" s="227">
      <c r="A23" s="28" t="inlineStr">
        <is>
          <t>Pursat</t>
        </is>
      </c>
      <c r="B23" s="287" t="n">
        <v>227</v>
      </c>
      <c r="C23" s="287" t="n">
        <v>5.2</v>
      </c>
      <c r="D23" s="287" t="n">
        <v>6.5</v>
      </c>
      <c r="E23" s="287" t="n">
        <v>2</v>
      </c>
      <c r="F23" s="287" t="n">
        <v>7.4</v>
      </c>
      <c r="G23" s="287" t="n">
        <v>5.1</v>
      </c>
      <c r="H23" s="287" t="n">
        <v>7.6</v>
      </c>
      <c r="I23" s="287" t="n">
        <v>68.5</v>
      </c>
      <c r="J23" s="287" t="n">
        <v>2</v>
      </c>
      <c r="K23" s="287" t="n">
        <v>53.1</v>
      </c>
      <c r="L23" s="287" t="n">
        <v>9.199999999999999</v>
      </c>
    </row>
    <row r="24" ht="14" customHeight="1" s="227">
      <c r="A24" s="28" t="inlineStr">
        <is>
          <t>Ratanak Kiri</t>
        </is>
      </c>
      <c r="B24" s="287" t="n">
        <v>186.3</v>
      </c>
      <c r="C24" s="287" t="n">
        <v>3.5</v>
      </c>
      <c r="D24" s="287" t="n">
        <v>3.9</v>
      </c>
      <c r="E24" s="287" t="n">
        <v>1.8</v>
      </c>
      <c r="F24" s="287" t="n">
        <v>5.3</v>
      </c>
      <c r="G24" s="287" t="n">
        <v>4</v>
      </c>
      <c r="H24" s="287" t="n">
        <v>6.3</v>
      </c>
      <c r="I24" s="287" t="n">
        <v>63.6</v>
      </c>
      <c r="J24" s="287" t="n">
        <v>2.3</v>
      </c>
      <c r="K24" s="287" t="n">
        <v>60.5</v>
      </c>
      <c r="L24" s="287" t="n">
        <v>15.5</v>
      </c>
    </row>
    <row r="25" ht="14" customHeight="1" s="227">
      <c r="A25" s="28" t="inlineStr">
        <is>
          <t>Siemreap</t>
        </is>
      </c>
      <c r="B25" s="287" t="n">
        <v>327.3</v>
      </c>
      <c r="C25" s="287" t="n">
        <v>6.2</v>
      </c>
      <c r="D25" s="287" t="n">
        <v>8.199999999999999</v>
      </c>
      <c r="E25" s="287" t="n">
        <v>2.7</v>
      </c>
      <c r="F25" s="287" t="n">
        <v>9.300000000000001</v>
      </c>
      <c r="G25" s="287" t="n">
        <v>6.3</v>
      </c>
      <c r="H25" s="287" t="n">
        <v>9</v>
      </c>
      <c r="I25" s="287" t="n">
        <v>73.8</v>
      </c>
      <c r="J25" s="287" t="n">
        <v>4.6</v>
      </c>
      <c r="K25" s="287" t="n">
        <v>31</v>
      </c>
      <c r="L25" s="287" t="n">
        <v>3.2</v>
      </c>
    </row>
    <row r="26" ht="14" customHeight="1" s="227">
      <c r="A26" s="28" t="inlineStr">
        <is>
          <t>Stung Treng</t>
        </is>
      </c>
      <c r="B26" s="287" t="n">
        <v>169.8</v>
      </c>
      <c r="C26" s="287" t="n">
        <v>4.9</v>
      </c>
      <c r="D26" s="287" t="n">
        <v>5.6</v>
      </c>
      <c r="E26" s="287" t="n">
        <v>1.8</v>
      </c>
      <c r="F26" s="287" t="n">
        <v>5.8</v>
      </c>
      <c r="G26" s="287" t="n">
        <v>4.6</v>
      </c>
      <c r="H26" s="287" t="n">
        <v>7.5</v>
      </c>
      <c r="I26" s="287" t="n">
        <v>65.09999999999999</v>
      </c>
      <c r="J26" s="287" t="n">
        <v>0.7</v>
      </c>
      <c r="K26" s="287" t="n">
        <v>65.8</v>
      </c>
      <c r="L26" s="287" t="n">
        <v>11.8</v>
      </c>
    </row>
    <row r="27" ht="14" customHeight="1" s="227">
      <c r="A27" s="28" t="inlineStr">
        <is>
          <t>Svay Rieng</t>
        </is>
      </c>
      <c r="B27" s="287" t="n">
        <v>275.3</v>
      </c>
      <c r="C27" s="287" t="n">
        <v>6.4</v>
      </c>
      <c r="D27" s="287" t="n">
        <v>8.5</v>
      </c>
      <c r="E27" s="287" t="n">
        <v>2.5</v>
      </c>
      <c r="F27" s="287" t="n">
        <v>10.1</v>
      </c>
      <c r="G27" s="287" t="n">
        <v>6.8</v>
      </c>
      <c r="H27" s="287" t="n">
        <v>8.5</v>
      </c>
      <c r="I27" s="287" t="n">
        <v>61.5</v>
      </c>
      <c r="J27" s="287" t="n">
        <v>23.3</v>
      </c>
      <c r="K27" s="287" t="n">
        <v>22.1</v>
      </c>
      <c r="L27" s="287" t="n">
        <v>0.8</v>
      </c>
    </row>
    <row r="28" ht="14" customHeight="1" s="227">
      <c r="A28" s="28" t="inlineStr">
        <is>
          <t>Takeo</t>
        </is>
      </c>
      <c r="B28" s="287" t="n">
        <v>309.8</v>
      </c>
      <c r="C28" s="287" t="n">
        <v>7.6</v>
      </c>
      <c r="D28" s="287" t="n">
        <v>10.1</v>
      </c>
      <c r="E28" s="287" t="n">
        <v>3</v>
      </c>
      <c r="F28" s="287" t="n">
        <v>13.4</v>
      </c>
      <c r="G28" s="287" t="n">
        <v>8</v>
      </c>
      <c r="H28" s="287" t="n">
        <v>9.4</v>
      </c>
      <c r="I28" s="287" t="n">
        <v>50</v>
      </c>
      <c r="J28" s="287" t="n">
        <v>31.4</v>
      </c>
      <c r="K28" s="287" t="n">
        <v>24.3</v>
      </c>
      <c r="L28" s="287" t="n">
        <v>5.8</v>
      </c>
    </row>
    <row r="29" ht="14" customHeight="1" s="227">
      <c r="A29" s="28" t="inlineStr">
        <is>
          <t>Tbaung Khmum</t>
        </is>
      </c>
      <c r="B29" s="287" t="n">
        <v>289.7</v>
      </c>
      <c r="C29" s="287" t="n">
        <v>5.5</v>
      </c>
      <c r="D29" s="287" t="n">
        <v>6.7</v>
      </c>
      <c r="E29" s="287" t="n">
        <v>2</v>
      </c>
      <c r="F29" s="287" t="n">
        <v>8.6</v>
      </c>
      <c r="G29" s="287" t="n">
        <v>5.7</v>
      </c>
      <c r="H29" s="287" t="n">
        <v>8.300000000000001</v>
      </c>
      <c r="I29" s="287" t="n">
        <v>75.40000000000001</v>
      </c>
      <c r="J29" s="287" t="n">
        <v>11.5</v>
      </c>
      <c r="K29" s="287" t="n">
        <v>45.6</v>
      </c>
      <c r="L29" s="287" t="n">
        <v>16</v>
      </c>
    </row>
    <row r="30" ht="16" customHeight="1" s="227">
      <c r="A30" s="22" t="inlineStr">
        <is>
          <t>Whole Kingdom</t>
        </is>
      </c>
      <c r="B30" s="287" t="n">
        <v>282.3</v>
      </c>
      <c r="C30" s="287" t="n">
        <v>6.3</v>
      </c>
      <c r="D30" s="287" t="n">
        <v>8</v>
      </c>
      <c r="E30" s="287" t="n">
        <v>2.3</v>
      </c>
      <c r="F30" s="287" t="n">
        <v>9.1</v>
      </c>
      <c r="G30" s="287" t="n">
        <v>6.1</v>
      </c>
      <c r="H30" s="287" t="n">
        <v>8.6</v>
      </c>
      <c r="I30" s="287" t="n">
        <v>67.7</v>
      </c>
      <c r="J30" s="287" t="n">
        <v>13.8</v>
      </c>
      <c r="K30" s="287" t="n">
        <v>41.1</v>
      </c>
      <c r="L30" s="287" t="n">
        <v>7.8</v>
      </c>
    </row>
    <row r="31" ht="14" customHeight="1" s="227">
      <c r="A31" s="28" t="inlineStr">
        <is>
          <t>-  Urban Area</t>
        </is>
      </c>
      <c r="B31" s="287" t="n">
        <v>503</v>
      </c>
      <c r="C31" s="287" t="n">
        <v>14.2</v>
      </c>
      <c r="D31" s="287" t="n">
        <v>16.9</v>
      </c>
      <c r="E31" s="287" t="n">
        <v>3</v>
      </c>
      <c r="F31" s="287" t="n">
        <v>14.2</v>
      </c>
      <c r="G31" s="287" t="n">
        <v>9.6</v>
      </c>
      <c r="H31" s="287" t="n">
        <v>13.6</v>
      </c>
      <c r="I31" s="287" t="n">
        <v>63.1</v>
      </c>
      <c r="J31" s="287" t="n">
        <v>13.6</v>
      </c>
      <c r="K31" s="287" t="n">
        <v>41.8</v>
      </c>
      <c r="L31" s="287" t="n">
        <v>4.7</v>
      </c>
    </row>
    <row r="32" ht="14.25" customHeight="1" s="227">
      <c r="A32" s="28" t="inlineStr">
        <is>
          <t>-  Rural Area</t>
        </is>
      </c>
      <c r="B32" s="287" t="n">
        <v>259.5</v>
      </c>
      <c r="C32" s="287" t="n">
        <v>5.5</v>
      </c>
      <c r="D32" s="287" t="n">
        <v>7.1</v>
      </c>
      <c r="E32" s="287" t="n">
        <v>2.2</v>
      </c>
      <c r="F32" s="287" t="n">
        <v>8.6</v>
      </c>
      <c r="G32" s="287" t="n">
        <v>5.8</v>
      </c>
      <c r="H32" s="287" t="n">
        <v>8.1</v>
      </c>
      <c r="I32" s="287" t="n">
        <v>68.2</v>
      </c>
      <c r="J32" s="287" t="n">
        <v>13.8</v>
      </c>
      <c r="K32" s="287" t="n">
        <v>41</v>
      </c>
      <c r="L32" s="287" t="n">
        <v>8.1</v>
      </c>
    </row>
  </sheetData>
  <mergeCells count="3">
    <mergeCell ref="A2:A4"/>
    <mergeCell ref="I2:L3"/>
    <mergeCell ref="A1:L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007030A0"/>
    <outlinePr summaryBelow="1" summaryRight="1"/>
    <pageSetUpPr/>
  </sheetPr>
  <dimension ref="A1:L32"/>
  <sheetViews>
    <sheetView tabSelected="1" workbookViewId="0">
      <selection activeCell="A1" sqref="A1"/>
    </sheetView>
  </sheetViews>
  <sheetFormatPr baseColWidth="8" defaultRowHeight="15"/>
  <cols>
    <col width="25.555556" customWidth="1" style="227" min="1" max="1"/>
    <col width="12.666667" customWidth="1" style="227" min="2" max="2"/>
    <col width="12.666667" customWidth="1" style="227" min="3" max="3"/>
    <col width="12.444444" customWidth="1" style="227" min="4" max="4"/>
    <col width="12.666667" customWidth="1" style="227" min="5" max="5"/>
    <col width="12.444444" customWidth="1" style="227" min="6" max="6"/>
    <col width="12.666667" customWidth="1" style="227" min="7" max="7"/>
    <col width="12.666667" customWidth="1" style="227" min="8" max="8"/>
    <col width="12.666667" customWidth="1" style="227" min="9" max="9"/>
    <col width="12.888889" customWidth="1" style="227" min="10" max="10"/>
    <col width="12.888889" customWidth="1" style="227" min="11" max="11"/>
    <col width="12.666667" customWidth="1" style="227" min="12" max="12"/>
  </cols>
  <sheetData>
    <row r="1" ht="30" customHeight="1" s="227">
      <c r="A1" s="34" t="inlineStr">
        <is>
          <t>Table 4:  Indicators on Secondary Schools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</row>
    <row r="2" ht="16" customHeight="1" s="227">
      <c r="A2" s="133" t="inlineStr">
        <is>
          <t>Province</t>
        </is>
      </c>
      <c r="B2" s="105" t="inlineStr">
        <is>
          <t>Pupils</t>
        </is>
      </c>
      <c r="C2" s="106" t="inlineStr">
        <is>
          <t>Teachers</t>
        </is>
      </c>
      <c r="D2" s="132" t="inlineStr">
        <is>
          <t>Staff</t>
        </is>
      </c>
      <c r="E2" s="106" t="inlineStr">
        <is>
          <t>Buildings</t>
        </is>
      </c>
      <c r="F2" s="105" t="inlineStr">
        <is>
          <t>Rooms</t>
        </is>
      </c>
      <c r="G2" s="107" t="inlineStr">
        <is>
          <t>Classrooms</t>
        </is>
      </c>
      <c r="H2" s="105" t="inlineStr">
        <is>
          <t>Classes</t>
        </is>
      </c>
      <c r="I2" s="137" t="inlineStr">
        <is>
          <t>Percentage of Schools</t>
        </is>
      </c>
      <c r="J2" s="280" t="n"/>
      <c r="K2" s="280" t="n"/>
      <c r="L2" s="281" t="n"/>
    </row>
    <row r="3" ht="16" customHeight="1" s="227">
      <c r="A3" s="273" t="n"/>
      <c r="B3" s="116" t="inlineStr">
        <is>
          <t>per</t>
        </is>
      </c>
      <c r="C3" s="116" t="inlineStr">
        <is>
          <t>per</t>
        </is>
      </c>
      <c r="D3" s="116" t="inlineStr">
        <is>
          <t>per</t>
        </is>
      </c>
      <c r="E3" s="116" t="inlineStr">
        <is>
          <t>per</t>
        </is>
      </c>
      <c r="F3" s="116" t="inlineStr">
        <is>
          <t>per</t>
        </is>
      </c>
      <c r="G3" s="116" t="inlineStr">
        <is>
          <t>per</t>
        </is>
      </c>
      <c r="H3" s="116" t="inlineStr">
        <is>
          <t>per</t>
        </is>
      </c>
      <c r="I3" s="282" t="n"/>
      <c r="J3" s="256" t="n"/>
      <c r="K3" s="256" t="n"/>
      <c r="L3" s="283" t="n"/>
    </row>
    <row r="4" ht="15" customHeight="1" s="227">
      <c r="A4" s="258" t="n"/>
      <c r="B4" s="118" t="inlineStr">
        <is>
          <t>School</t>
        </is>
      </c>
      <c r="C4" s="118" t="inlineStr">
        <is>
          <t>School</t>
        </is>
      </c>
      <c r="D4" s="118" t="inlineStr">
        <is>
          <t>School</t>
        </is>
      </c>
      <c r="E4" s="118" t="inlineStr">
        <is>
          <t>School</t>
        </is>
      </c>
      <c r="F4" s="118" t="inlineStr">
        <is>
          <t>School</t>
        </is>
      </c>
      <c r="G4" s="118" t="inlineStr">
        <is>
          <t>School</t>
        </is>
      </c>
      <c r="H4" s="118" t="inlineStr">
        <is>
          <t>School</t>
        </is>
      </c>
      <c r="I4" s="102" t="inlineStr">
        <is>
          <t>2 - shift</t>
        </is>
      </c>
      <c r="J4" s="103" t="inlineStr">
        <is>
          <t>in Pagoda</t>
        </is>
      </c>
      <c r="K4" s="103" t="inlineStr">
        <is>
          <t>w/o Water</t>
        </is>
      </c>
      <c r="L4" s="119" t="inlineStr">
        <is>
          <t>w/o Latrine</t>
        </is>
      </c>
    </row>
    <row r="5" ht="14" customHeight="1" s="227">
      <c r="A5" s="28" t="inlineStr">
        <is>
          <t>Banteay Meanchey</t>
        </is>
      </c>
      <c r="B5" s="287" t="n">
        <v>465.1</v>
      </c>
      <c r="C5" s="287" t="n">
        <v>21.3</v>
      </c>
      <c r="D5" s="287" t="n">
        <v>25</v>
      </c>
      <c r="E5" s="287" t="n">
        <v>2.9</v>
      </c>
      <c r="F5" s="287" t="n">
        <v>17.5</v>
      </c>
      <c r="G5" s="287" t="n">
        <v>9.9</v>
      </c>
      <c r="H5" s="287" t="n">
        <v>10</v>
      </c>
      <c r="I5" s="287" t="n">
        <v>16.7</v>
      </c>
      <c r="J5" s="287" t="n">
        <v>1.2</v>
      </c>
      <c r="K5" s="287" t="n">
        <v>61.9</v>
      </c>
      <c r="L5" s="287" t="n">
        <v>2.4</v>
      </c>
    </row>
    <row r="6" ht="14" customHeight="1" s="227">
      <c r="A6" s="28" t="inlineStr">
        <is>
          <t>Battambang</t>
        </is>
      </c>
      <c r="B6" s="287" t="n">
        <v>516.4</v>
      </c>
      <c r="C6" s="287" t="n">
        <v>22.1</v>
      </c>
      <c r="D6" s="287" t="n">
        <v>26.3</v>
      </c>
      <c r="E6" s="287" t="n">
        <v>3.5</v>
      </c>
      <c r="F6" s="287" t="n">
        <v>14.8</v>
      </c>
      <c r="G6" s="287" t="n">
        <v>10.2</v>
      </c>
      <c r="H6" s="287" t="n">
        <v>10.8</v>
      </c>
      <c r="I6" s="287" t="n">
        <v>21.3</v>
      </c>
      <c r="J6" s="287" t="n">
        <v>1.6</v>
      </c>
      <c r="K6" s="287" t="n">
        <v>72.09999999999999</v>
      </c>
      <c r="L6" s="287" t="n">
        <v>4.9</v>
      </c>
    </row>
    <row r="7" ht="14" customHeight="1" s="227">
      <c r="A7" s="28" t="inlineStr">
        <is>
          <t>Kampong Cham</t>
        </is>
      </c>
      <c r="B7" s="287" t="n">
        <v>524.9</v>
      </c>
      <c r="C7" s="287" t="n">
        <v>23.3</v>
      </c>
      <c r="D7" s="287" t="n">
        <v>28.5</v>
      </c>
      <c r="E7" s="287" t="n">
        <v>4.3</v>
      </c>
      <c r="F7" s="287" t="n">
        <v>16.5</v>
      </c>
      <c r="G7" s="287" t="n">
        <v>11.4</v>
      </c>
      <c r="H7" s="287" t="n">
        <v>12</v>
      </c>
      <c r="I7" s="287" t="n">
        <v>26.8</v>
      </c>
      <c r="J7" s="287" t="n">
        <v>9.800000000000001</v>
      </c>
      <c r="K7" s="287" t="n">
        <v>56.1</v>
      </c>
      <c r="L7" s="287" t="n">
        <v>6.5</v>
      </c>
    </row>
    <row r="8" ht="14" customHeight="1" s="227">
      <c r="A8" s="28" t="inlineStr">
        <is>
          <t>Kampong Chhnang</t>
        </is>
      </c>
      <c r="B8" s="287" t="n">
        <v>486.3</v>
      </c>
      <c r="C8" s="287" t="n">
        <v>20.6</v>
      </c>
      <c r="D8" s="287" t="n">
        <v>24</v>
      </c>
      <c r="E8" s="287" t="n">
        <v>3.1</v>
      </c>
      <c r="F8" s="287" t="n">
        <v>15.5</v>
      </c>
      <c r="G8" s="287" t="n">
        <v>9.4</v>
      </c>
      <c r="H8" s="287" t="n">
        <v>10.1</v>
      </c>
      <c r="I8" s="287" t="n">
        <v>14.5</v>
      </c>
      <c r="J8" s="287" t="n">
        <v>10.5</v>
      </c>
      <c r="K8" s="287" t="n">
        <v>36.8</v>
      </c>
      <c r="L8" s="287" t="n">
        <v>1.3</v>
      </c>
    </row>
    <row r="9" ht="14" customHeight="1" s="227">
      <c r="A9" s="28" t="inlineStr">
        <is>
          <t>Kampong Speu</t>
        </is>
      </c>
      <c r="B9" s="287" t="n">
        <v>520.7</v>
      </c>
      <c r="C9" s="287" t="n">
        <v>20.8</v>
      </c>
      <c r="D9" s="287" t="n">
        <v>23.7</v>
      </c>
      <c r="E9" s="287" t="n">
        <v>2.8</v>
      </c>
      <c r="F9" s="287" t="n">
        <v>13.8</v>
      </c>
      <c r="G9" s="287" t="n">
        <v>9.199999999999999</v>
      </c>
      <c r="H9" s="287" t="n">
        <v>10.1</v>
      </c>
      <c r="I9" s="287" t="n">
        <v>37.9</v>
      </c>
      <c r="J9" s="287" t="n">
        <v>3.2</v>
      </c>
      <c r="K9" s="287" t="n">
        <v>54.7</v>
      </c>
      <c r="L9" s="287" t="n">
        <v>3.2</v>
      </c>
    </row>
    <row r="10" ht="14" customHeight="1" s="227">
      <c r="A10" s="28" t="inlineStr">
        <is>
          <t>Kampong Thom</t>
        </is>
      </c>
      <c r="B10" s="287" t="n">
        <v>499.6</v>
      </c>
      <c r="C10" s="287" t="n">
        <v>18.9</v>
      </c>
      <c r="D10" s="287" t="n">
        <v>22.3</v>
      </c>
      <c r="E10" s="287" t="n">
        <v>3.2</v>
      </c>
      <c r="F10" s="287" t="n">
        <v>15.1</v>
      </c>
      <c r="G10" s="287" t="n">
        <v>10.2</v>
      </c>
      <c r="H10" s="287" t="n">
        <v>10.7</v>
      </c>
      <c r="I10" s="287" t="n">
        <v>4.4</v>
      </c>
      <c r="J10" s="287" t="n">
        <v>2.2</v>
      </c>
      <c r="K10" s="287" t="n">
        <v>49.5</v>
      </c>
      <c r="L10" s="287" t="n">
        <v>7.7</v>
      </c>
    </row>
    <row r="11" ht="14" customHeight="1" s="227">
      <c r="A11" s="28" t="inlineStr">
        <is>
          <t>Kampot</t>
        </is>
      </c>
      <c r="B11" s="287" t="n">
        <v>442</v>
      </c>
      <c r="C11" s="287" t="n">
        <v>21.9</v>
      </c>
      <c r="D11" s="287" t="n">
        <v>26</v>
      </c>
      <c r="E11" s="287" t="n">
        <v>3</v>
      </c>
      <c r="F11" s="287" t="n">
        <v>13.7</v>
      </c>
      <c r="G11" s="287" t="n">
        <v>9.199999999999999</v>
      </c>
      <c r="H11" s="287" t="n">
        <v>9.9</v>
      </c>
      <c r="I11" s="287" t="n">
        <v>15</v>
      </c>
      <c r="J11" s="287" t="n">
        <v>29</v>
      </c>
      <c r="K11" s="287" t="n">
        <v>39</v>
      </c>
      <c r="L11" s="287" t="n">
        <v>3</v>
      </c>
    </row>
    <row r="12" ht="14" customHeight="1" s="227">
      <c r="A12" s="28" t="inlineStr">
        <is>
          <t>Kandal</t>
        </is>
      </c>
      <c r="B12" s="287" t="n">
        <v>542.2</v>
      </c>
      <c r="C12" s="287" t="n">
        <v>30.7</v>
      </c>
      <c r="D12" s="287" t="n">
        <v>35.1</v>
      </c>
      <c r="E12" s="287" t="n">
        <v>3.5</v>
      </c>
      <c r="F12" s="287" t="n">
        <v>18.2</v>
      </c>
      <c r="G12" s="287" t="n">
        <v>11.6</v>
      </c>
      <c r="H12" s="287" t="n">
        <v>12.5</v>
      </c>
      <c r="I12" s="287" t="n">
        <v>20.7</v>
      </c>
      <c r="J12" s="287" t="n">
        <v>13.6</v>
      </c>
      <c r="K12" s="287" t="n">
        <v>54.3</v>
      </c>
      <c r="L12" s="287" t="n">
        <v>7.1</v>
      </c>
    </row>
    <row r="13" ht="14" customHeight="1" s="227">
      <c r="A13" s="28" t="inlineStr">
        <is>
          <t>Kep</t>
        </is>
      </c>
      <c r="B13" s="287" t="n">
        <v>446</v>
      </c>
      <c r="C13" s="287" t="n">
        <v>37.2</v>
      </c>
      <c r="D13" s="287" t="n">
        <v>42.3</v>
      </c>
      <c r="E13" s="287" t="n">
        <v>4.5</v>
      </c>
      <c r="F13" s="287" t="n">
        <v>27.5</v>
      </c>
      <c r="G13" s="287" t="n">
        <v>11.8</v>
      </c>
      <c r="H13" s="287" t="n">
        <v>11.8</v>
      </c>
      <c r="I13" s="287" t="n">
        <v>16.7</v>
      </c>
      <c r="J13" s="287" t="n">
        <v>0</v>
      </c>
      <c r="K13" s="287" t="n">
        <v>100</v>
      </c>
      <c r="L13" s="287" t="n">
        <v>0</v>
      </c>
    </row>
    <row r="14" ht="14" customHeight="1" s="227">
      <c r="A14" s="28" t="inlineStr">
        <is>
          <t>Koh Kong</t>
        </is>
      </c>
      <c r="B14" s="287" t="n">
        <v>242.1</v>
      </c>
      <c r="C14" s="287" t="n">
        <v>13.4</v>
      </c>
      <c r="D14" s="287" t="n">
        <v>15.2</v>
      </c>
      <c r="E14" s="287" t="n">
        <v>1.8</v>
      </c>
      <c r="F14" s="287" t="n">
        <v>8</v>
      </c>
      <c r="G14" s="287" t="n">
        <v>5.7</v>
      </c>
      <c r="H14" s="287" t="n">
        <v>7.3</v>
      </c>
      <c r="I14" s="287" t="n">
        <v>34.4</v>
      </c>
      <c r="J14" s="287" t="n">
        <v>0</v>
      </c>
      <c r="K14" s="287" t="n">
        <v>65.59999999999999</v>
      </c>
      <c r="L14" s="287" t="n">
        <v>28.1</v>
      </c>
    </row>
    <row r="15" ht="14" customHeight="1" s="227">
      <c r="A15" s="28" t="inlineStr">
        <is>
          <t>Kratie</t>
        </is>
      </c>
      <c r="B15" s="287" t="n">
        <v>351</v>
      </c>
      <c r="C15" s="287" t="n">
        <v>17.8</v>
      </c>
      <c r="D15" s="287" t="n">
        <v>19.9</v>
      </c>
      <c r="E15" s="287" t="n">
        <v>2.3</v>
      </c>
      <c r="F15" s="287" t="n">
        <v>11.9</v>
      </c>
      <c r="G15" s="287" t="n">
        <v>7.9</v>
      </c>
      <c r="H15" s="287" t="n">
        <v>7.8</v>
      </c>
      <c r="I15" s="287" t="n">
        <v>5.6</v>
      </c>
      <c r="J15" s="287" t="n">
        <v>13</v>
      </c>
      <c r="K15" s="287" t="n">
        <v>68.5</v>
      </c>
      <c r="L15" s="287" t="n">
        <v>13</v>
      </c>
    </row>
    <row r="16" ht="13" customHeight="1" s="227">
      <c r="A16" s="28" t="inlineStr">
        <is>
          <t>Mondul Kiri</t>
        </is>
      </c>
      <c r="B16" s="287" t="n">
        <v>328.4</v>
      </c>
      <c r="C16" s="287" t="n">
        <v>15.6</v>
      </c>
      <c r="D16" s="287" t="n">
        <v>16.6</v>
      </c>
      <c r="E16" s="287" t="n">
        <v>4.3</v>
      </c>
      <c r="F16" s="287" t="n">
        <v>10.6</v>
      </c>
      <c r="G16" s="287" t="n">
        <v>7.1</v>
      </c>
      <c r="H16" s="287" t="n">
        <v>7.3</v>
      </c>
      <c r="I16" s="287" t="n">
        <v>14.3</v>
      </c>
      <c r="J16" s="287" t="n">
        <v>0</v>
      </c>
      <c r="K16" s="287" t="n">
        <v>78.59999999999999</v>
      </c>
      <c r="L16" s="287" t="n">
        <v>21.4</v>
      </c>
    </row>
    <row r="17" ht="14" customHeight="1" s="227">
      <c r="A17" s="28" t="inlineStr">
        <is>
          <t>Otdar Meanchey</t>
        </is>
      </c>
      <c r="B17" s="287" t="n">
        <v>360.3</v>
      </c>
      <c r="C17" s="287" t="n">
        <v>12.8</v>
      </c>
      <c r="D17" s="287" t="n">
        <v>14.5</v>
      </c>
      <c r="E17" s="287" t="n">
        <v>2.1</v>
      </c>
      <c r="F17" s="287" t="n">
        <v>12.8</v>
      </c>
      <c r="G17" s="287" t="n">
        <v>7.7</v>
      </c>
      <c r="H17" s="287" t="n">
        <v>8</v>
      </c>
      <c r="I17" s="287" t="n">
        <v>18.4</v>
      </c>
      <c r="J17" s="287" t="n">
        <v>0</v>
      </c>
      <c r="K17" s="287" t="n">
        <v>78.90000000000001</v>
      </c>
      <c r="L17" s="287" t="n">
        <v>13.2</v>
      </c>
    </row>
    <row r="18" ht="14" customHeight="1" s="227">
      <c r="A18" s="28" t="inlineStr">
        <is>
          <t>Pailin</t>
        </is>
      </c>
      <c r="B18" s="287" t="n">
        <v>521</v>
      </c>
      <c r="C18" s="287" t="n">
        <v>33.2</v>
      </c>
      <c r="D18" s="287" t="n">
        <v>37.2</v>
      </c>
      <c r="E18" s="287" t="n">
        <v>3.7</v>
      </c>
      <c r="F18" s="287" t="n">
        <v>34.2</v>
      </c>
      <c r="G18" s="287" t="n">
        <v>11.7</v>
      </c>
      <c r="H18" s="287" t="n">
        <v>11.7</v>
      </c>
      <c r="I18" s="287" t="n">
        <v>33.3</v>
      </c>
      <c r="J18" s="287" t="n">
        <v>0</v>
      </c>
      <c r="K18" s="287" t="n">
        <v>100</v>
      </c>
      <c r="L18" s="287" t="n">
        <v>11.1</v>
      </c>
    </row>
    <row r="19" ht="14" customHeight="1" s="227">
      <c r="A19" s="28" t="inlineStr">
        <is>
          <t>Phnom Penh</t>
        </is>
      </c>
      <c r="B19" s="288" t="n">
        <v>1313.1</v>
      </c>
      <c r="C19" s="287" t="n">
        <v>88.90000000000001</v>
      </c>
      <c r="D19" s="287" t="n">
        <v>96.2</v>
      </c>
      <c r="E19" s="287" t="n">
        <v>6.5</v>
      </c>
      <c r="F19" s="287" t="n">
        <v>31.8</v>
      </c>
      <c r="G19" s="287" t="n">
        <v>20.8</v>
      </c>
      <c r="H19" s="287" t="n">
        <v>29.8</v>
      </c>
      <c r="I19" s="287" t="n">
        <v>62.1</v>
      </c>
      <c r="J19" s="287" t="n">
        <v>7.6</v>
      </c>
      <c r="K19" s="287" t="n">
        <v>33.3</v>
      </c>
      <c r="L19" s="287" t="n">
        <v>1.5</v>
      </c>
    </row>
    <row r="20" ht="14" customHeight="1" s="227">
      <c r="A20" s="28" t="inlineStr">
        <is>
          <t>Preah Sihanouk</t>
        </is>
      </c>
      <c r="B20" s="287" t="n">
        <v>450.6</v>
      </c>
      <c r="C20" s="287" t="n">
        <v>25.5</v>
      </c>
      <c r="D20" s="287" t="n">
        <v>28.9</v>
      </c>
      <c r="E20" s="287" t="n">
        <v>2.7</v>
      </c>
      <c r="F20" s="287" t="n">
        <v>15.5</v>
      </c>
      <c r="G20" s="287" t="n">
        <v>12.4</v>
      </c>
      <c r="H20" s="287" t="n">
        <v>10.6</v>
      </c>
      <c r="I20" s="287" t="n">
        <v>33.3</v>
      </c>
      <c r="J20" s="287" t="n">
        <v>7.4</v>
      </c>
      <c r="K20" s="287" t="n">
        <v>100</v>
      </c>
      <c r="L20" s="287" t="n">
        <v>11.1</v>
      </c>
    </row>
    <row r="21" ht="14" customHeight="1" s="227">
      <c r="A21" s="28" t="inlineStr">
        <is>
          <t>Preah Vihear</t>
        </is>
      </c>
      <c r="B21" s="287" t="n">
        <v>222.2</v>
      </c>
      <c r="C21" s="287" t="n">
        <v>11.3</v>
      </c>
      <c r="D21" s="287" t="n">
        <v>12.3</v>
      </c>
      <c r="E21" s="287" t="n">
        <v>1.7</v>
      </c>
      <c r="F21" s="287" t="n">
        <v>10.5</v>
      </c>
      <c r="G21" s="287" t="n">
        <v>5.5</v>
      </c>
      <c r="H21" s="287" t="n">
        <v>5.6</v>
      </c>
      <c r="I21" s="287" t="n">
        <v>9.4</v>
      </c>
      <c r="J21" s="287" t="n">
        <v>0</v>
      </c>
      <c r="K21" s="287" t="n">
        <v>85.90000000000001</v>
      </c>
      <c r="L21" s="287" t="n">
        <v>17.2</v>
      </c>
    </row>
    <row r="22" ht="14" customHeight="1" s="227">
      <c r="A22" s="28" t="inlineStr">
        <is>
          <t>Prey Veng</t>
        </is>
      </c>
      <c r="B22" s="287" t="n">
        <v>570.7</v>
      </c>
      <c r="C22" s="287" t="n">
        <v>20.2</v>
      </c>
      <c r="D22" s="287" t="n">
        <v>24.9</v>
      </c>
      <c r="E22" s="287" t="n">
        <v>4.1</v>
      </c>
      <c r="F22" s="287" t="n">
        <v>17.8</v>
      </c>
      <c r="G22" s="287" t="n">
        <v>13</v>
      </c>
      <c r="H22" s="287" t="n">
        <v>12.5</v>
      </c>
      <c r="I22" s="287" t="n">
        <v>18.7</v>
      </c>
      <c r="J22" s="287" t="n">
        <v>10.6</v>
      </c>
      <c r="K22" s="287" t="n">
        <v>47.2</v>
      </c>
      <c r="L22" s="287" t="n">
        <v>5.7</v>
      </c>
    </row>
    <row r="23" ht="14" customHeight="1" s="227">
      <c r="A23" s="28" t="inlineStr">
        <is>
          <t>Pursat</t>
        </is>
      </c>
      <c r="B23" s="287" t="n">
        <v>458.9</v>
      </c>
      <c r="C23" s="287" t="n">
        <v>24.1</v>
      </c>
      <c r="D23" s="287" t="n">
        <v>27.6</v>
      </c>
      <c r="E23" s="287" t="n">
        <v>3.1</v>
      </c>
      <c r="F23" s="287" t="n">
        <v>15.5</v>
      </c>
      <c r="G23" s="287" t="n">
        <v>10.3</v>
      </c>
      <c r="H23" s="287" t="n">
        <v>10.7</v>
      </c>
      <c r="I23" s="287" t="n">
        <v>15.3</v>
      </c>
      <c r="J23" s="287" t="n">
        <v>1.7</v>
      </c>
      <c r="K23" s="287" t="n">
        <v>62.7</v>
      </c>
      <c r="L23" s="287" t="n">
        <v>1.7</v>
      </c>
    </row>
    <row r="24" ht="14" customHeight="1" s="227">
      <c r="A24" s="28" t="inlineStr">
        <is>
          <t>Ratanak Kiri</t>
        </is>
      </c>
      <c r="B24" s="287" t="n">
        <v>429.9</v>
      </c>
      <c r="C24" s="287" t="n">
        <v>17.3</v>
      </c>
      <c r="D24" s="287" t="n">
        <v>19</v>
      </c>
      <c r="E24" s="287" t="n">
        <v>2.4</v>
      </c>
      <c r="F24" s="287" t="n">
        <v>14.5</v>
      </c>
      <c r="G24" s="287" t="n">
        <v>8</v>
      </c>
      <c r="H24" s="287" t="n">
        <v>8.800000000000001</v>
      </c>
      <c r="I24" s="287" t="n">
        <v>44</v>
      </c>
      <c r="J24" s="287" t="n">
        <v>4</v>
      </c>
      <c r="K24" s="287" t="n">
        <v>76</v>
      </c>
      <c r="L24" s="287" t="n">
        <v>8</v>
      </c>
    </row>
    <row r="25" ht="14" customHeight="1" s="227">
      <c r="A25" s="28" t="inlineStr">
        <is>
          <t>Siemreap</t>
        </is>
      </c>
      <c r="B25" s="287" t="n">
        <v>622</v>
      </c>
      <c r="C25" s="287" t="n">
        <v>20</v>
      </c>
      <c r="D25" s="287" t="n">
        <v>23.4</v>
      </c>
      <c r="E25" s="287" t="n">
        <v>3.8</v>
      </c>
      <c r="F25" s="287" t="n">
        <v>14.7</v>
      </c>
      <c r="G25" s="287" t="n">
        <v>10.9</v>
      </c>
      <c r="H25" s="287" t="n">
        <v>12.6</v>
      </c>
      <c r="I25" s="287" t="n">
        <v>43.8</v>
      </c>
      <c r="J25" s="287" t="n">
        <v>3.3</v>
      </c>
      <c r="K25" s="287" t="n">
        <v>58.7</v>
      </c>
      <c r="L25" s="287" t="n">
        <v>9.9</v>
      </c>
    </row>
    <row r="26" ht="14" customHeight="1" s="227">
      <c r="A26" s="28" t="inlineStr">
        <is>
          <t>Stung Treng</t>
        </is>
      </c>
      <c r="B26" s="287" t="n">
        <v>224.3</v>
      </c>
      <c r="C26" s="287" t="n">
        <v>14</v>
      </c>
      <c r="D26" s="287" t="n">
        <v>15.7</v>
      </c>
      <c r="E26" s="287" t="n">
        <v>1.9</v>
      </c>
      <c r="F26" s="287" t="n">
        <v>8.199999999999999</v>
      </c>
      <c r="G26" s="287" t="n">
        <v>5.7</v>
      </c>
      <c r="H26" s="287" t="n">
        <v>5.8</v>
      </c>
      <c r="I26" s="287" t="n">
        <v>12.9</v>
      </c>
      <c r="J26" s="287" t="n">
        <v>0</v>
      </c>
      <c r="K26" s="287" t="n">
        <v>77.40000000000001</v>
      </c>
      <c r="L26" s="287" t="n">
        <v>19.4</v>
      </c>
    </row>
    <row r="27" ht="14" customHeight="1" s="227">
      <c r="A27" s="28" t="inlineStr">
        <is>
          <t>Svay Rieng</t>
        </is>
      </c>
      <c r="B27" s="287" t="n">
        <v>516.3</v>
      </c>
      <c r="C27" s="287" t="n">
        <v>24.5</v>
      </c>
      <c r="D27" s="287" t="n">
        <v>29.6</v>
      </c>
      <c r="E27" s="287" t="n">
        <v>3.5</v>
      </c>
      <c r="F27" s="287" t="n">
        <v>17</v>
      </c>
      <c r="G27" s="287" t="n">
        <v>11</v>
      </c>
      <c r="H27" s="287" t="n">
        <v>11.7</v>
      </c>
      <c r="I27" s="287" t="n">
        <v>18.9</v>
      </c>
      <c r="J27" s="287" t="n">
        <v>1.4</v>
      </c>
      <c r="K27" s="287" t="n">
        <v>31.1</v>
      </c>
      <c r="L27" s="287" t="n">
        <v>2.7</v>
      </c>
    </row>
    <row r="28" ht="14" customHeight="1" s="227">
      <c r="A28" s="28" t="inlineStr">
        <is>
          <t>Takeo</t>
        </is>
      </c>
      <c r="B28" s="287" t="n">
        <v>642.2</v>
      </c>
      <c r="C28" s="287" t="n">
        <v>26.8</v>
      </c>
      <c r="D28" s="287" t="n">
        <v>32.8</v>
      </c>
      <c r="E28" s="287" t="n">
        <v>4.4</v>
      </c>
      <c r="F28" s="287" t="n">
        <v>21.3</v>
      </c>
      <c r="G28" s="287" t="n">
        <v>14.8</v>
      </c>
      <c r="H28" s="287" t="n">
        <v>15.1</v>
      </c>
      <c r="I28" s="287" t="n">
        <v>4.2</v>
      </c>
      <c r="J28" s="287" t="n">
        <v>13.6</v>
      </c>
      <c r="K28" s="287" t="n">
        <v>60.2</v>
      </c>
      <c r="L28" s="287" t="n">
        <v>3.4</v>
      </c>
    </row>
    <row r="29" ht="13" customHeight="1" s="227">
      <c r="A29" s="28" t="inlineStr">
        <is>
          <t>Tbaung Khmum</t>
        </is>
      </c>
      <c r="B29" s="287" t="n">
        <v>546.4</v>
      </c>
      <c r="C29" s="287" t="n">
        <v>17.3</v>
      </c>
      <c r="D29" s="287" t="n">
        <v>20</v>
      </c>
      <c r="E29" s="287" t="n">
        <v>3.2</v>
      </c>
      <c r="F29" s="287" t="n">
        <v>17.3</v>
      </c>
      <c r="G29" s="287" t="n">
        <v>11.1</v>
      </c>
      <c r="H29" s="287" t="n">
        <v>11.3</v>
      </c>
      <c r="I29" s="287" t="n">
        <v>24.1</v>
      </c>
      <c r="J29" s="287" t="n">
        <v>6.3</v>
      </c>
      <c r="K29" s="287" t="n">
        <v>65.8</v>
      </c>
      <c r="L29" s="287" t="n">
        <v>6.3</v>
      </c>
    </row>
    <row r="30" ht="17" customHeight="1" s="227">
      <c r="A30" s="22" t="inlineStr">
        <is>
          <t>Whole Kingdom</t>
        </is>
      </c>
      <c r="B30" s="287" t="n">
        <v>525.9</v>
      </c>
      <c r="C30" s="287" t="n">
        <v>24</v>
      </c>
      <c r="D30" s="287" t="n">
        <v>27.9</v>
      </c>
      <c r="E30" s="287" t="n">
        <v>3.4</v>
      </c>
      <c r="F30" s="287" t="n">
        <v>16.3</v>
      </c>
      <c r="G30" s="287" t="n">
        <v>10.8</v>
      </c>
      <c r="H30" s="287" t="n">
        <v>11.6</v>
      </c>
      <c r="I30" s="287" t="n">
        <v>22</v>
      </c>
      <c r="J30" s="287" t="n">
        <v>7.4</v>
      </c>
      <c r="K30" s="287" t="n">
        <v>57.7</v>
      </c>
      <c r="L30" s="287" t="n">
        <v>6.7</v>
      </c>
    </row>
    <row r="31" ht="14" customHeight="1" s="227">
      <c r="A31" s="28" t="inlineStr">
        <is>
          <t>-  Urban Area</t>
        </is>
      </c>
      <c r="B31" s="287" t="n">
        <v>941.7</v>
      </c>
      <c r="C31" s="287" t="n">
        <v>56</v>
      </c>
      <c r="D31" s="287" t="n">
        <v>62.6</v>
      </c>
      <c r="E31" s="287" t="n">
        <v>5.1</v>
      </c>
      <c r="F31" s="287" t="n">
        <v>29.1</v>
      </c>
      <c r="G31" s="287" t="n">
        <v>18.3</v>
      </c>
      <c r="H31" s="287" t="n">
        <v>21.2</v>
      </c>
      <c r="I31" s="287" t="n">
        <v>38.3</v>
      </c>
      <c r="J31" s="287" t="n">
        <v>3.9</v>
      </c>
      <c r="K31" s="287" t="n">
        <v>46.1</v>
      </c>
      <c r="L31" s="287" t="n">
        <v>3</v>
      </c>
    </row>
    <row r="32" ht="14" customHeight="1" s="227">
      <c r="A32" s="28" t="inlineStr">
        <is>
          <t>-  Rural Area</t>
        </is>
      </c>
      <c r="B32" s="287" t="n">
        <v>463.9</v>
      </c>
      <c r="C32" s="287" t="n">
        <v>19.2</v>
      </c>
      <c r="D32" s="287" t="n">
        <v>22.7</v>
      </c>
      <c r="E32" s="287" t="n">
        <v>3.2</v>
      </c>
      <c r="F32" s="287" t="n">
        <v>14.4</v>
      </c>
      <c r="G32" s="287" t="n">
        <v>9.699999999999999</v>
      </c>
      <c r="H32" s="287" t="n">
        <v>10.2</v>
      </c>
      <c r="I32" s="287" t="n">
        <v>19.5</v>
      </c>
      <c r="J32" s="287" t="n">
        <v>7.9</v>
      </c>
      <c r="K32" s="287" t="n">
        <v>59.4</v>
      </c>
      <c r="L32" s="287" t="n">
        <v>7.3</v>
      </c>
    </row>
  </sheetData>
  <mergeCells count="3">
    <mergeCell ref="A2:A4"/>
    <mergeCell ref="I2:L3"/>
    <mergeCell ref="A1:L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tabColor rgb="007030A0"/>
    <outlinePr summaryBelow="1" summaryRight="1"/>
    <pageSetUpPr/>
  </sheetPr>
  <dimension ref="A1:K18"/>
  <sheetViews>
    <sheetView tabSelected="1" workbookViewId="0">
      <selection activeCell="A1" sqref="A1"/>
    </sheetView>
  </sheetViews>
  <sheetFormatPr baseColWidth="8" defaultRowHeight="15"/>
  <cols>
    <col width="30.888889" customWidth="1" style="227" min="1" max="1"/>
    <col width="13.333333" customWidth="1" style="227" min="2" max="2"/>
    <col width="13.333333" customWidth="1" style="227" min="3" max="3"/>
    <col width="13.333333" customWidth="1" style="227" min="4" max="4"/>
    <col width="13.555556" customWidth="1" style="227" min="5" max="5"/>
    <col width="13.333333" customWidth="1" style="227" min="6" max="6"/>
    <col width="13.333333" customWidth="1" style="227" min="7" max="7"/>
    <col width="13.333333" customWidth="1" style="227" min="8" max="8"/>
    <col width="13.333333" customWidth="1" style="227" min="9" max="9"/>
    <col width="13.555556" customWidth="1" style="227" min="10" max="10"/>
    <col width="13.333333" customWidth="1" style="227" min="11" max="11"/>
  </cols>
  <sheetData>
    <row r="1" ht="34" customHeight="1" s="227">
      <c r="A1" s="2" t="inlineStr">
        <is>
          <t>Table 5:  Indicators on Students and Staff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</row>
    <row r="2" ht="16" customHeight="1" s="227">
      <c r="A2" s="145" t="inlineStr">
        <is>
          <t>Particulars</t>
        </is>
      </c>
      <c r="B2" s="132" t="inlineStr">
        <is>
          <t>Pupil</t>
        </is>
      </c>
      <c r="C2" s="105" t="inlineStr">
        <is>
          <t>Pupil</t>
        </is>
      </c>
      <c r="D2" s="105" t="inlineStr">
        <is>
          <t>Pupil</t>
        </is>
      </c>
      <c r="E2" s="132" t="inlineStr">
        <is>
          <t>Pupil</t>
        </is>
      </c>
      <c r="F2" s="105" t="inlineStr">
        <is>
          <t>Classes</t>
        </is>
      </c>
      <c r="G2" s="106" t="inlineStr">
        <is>
          <t>Classroom</t>
        </is>
      </c>
      <c r="H2" s="95" t="inlineStr">
        <is>
          <t>Percentage of</t>
        </is>
      </c>
      <c r="I2" s="257" t="n"/>
      <c r="J2" s="102" t="inlineStr">
        <is>
          <t>Percentage of Female in</t>
        </is>
      </c>
      <c r="K2" s="257" t="n"/>
    </row>
    <row r="3" ht="16" customHeight="1" s="227">
      <c r="A3" s="273" t="n"/>
      <c r="B3" s="151" t="inlineStr">
        <is>
          <t>Teacher</t>
        </is>
      </c>
      <c r="C3" s="151" t="inlineStr">
        <is>
          <t>Staff</t>
        </is>
      </c>
      <c r="D3" s="151" t="inlineStr">
        <is>
          <t>Class</t>
        </is>
      </c>
      <c r="E3" s="152" t="inlineStr">
        <is>
          <t>Classroom</t>
        </is>
      </c>
      <c r="F3" s="116" t="inlineStr">
        <is>
          <t>per</t>
        </is>
      </c>
      <c r="G3" s="153" t="inlineStr">
        <is>
          <t>Area (m2)</t>
        </is>
      </c>
      <c r="H3" s="107" t="inlineStr">
        <is>
          <t>Non-teaching</t>
        </is>
      </c>
      <c r="I3" s="105" t="inlineStr">
        <is>
          <t>Female</t>
        </is>
      </c>
      <c r="J3" s="105" t="inlineStr">
        <is>
          <t>Teaching</t>
        </is>
      </c>
      <c r="K3" s="107" t="inlineStr">
        <is>
          <t>Non-teaching</t>
        </is>
      </c>
    </row>
    <row r="4" ht="15" customHeight="1" s="227">
      <c r="A4" s="258" t="n"/>
      <c r="B4" s="154" t="inlineStr">
        <is>
          <t>Ratio</t>
        </is>
      </c>
      <c r="C4" s="118" t="inlineStr">
        <is>
          <t>Ratio</t>
        </is>
      </c>
      <c r="D4" s="118" t="inlineStr">
        <is>
          <t>Ratio</t>
        </is>
      </c>
      <c r="E4" s="154" t="inlineStr">
        <is>
          <t>Ratio</t>
        </is>
      </c>
      <c r="F4" s="155" t="inlineStr">
        <is>
          <t>Classroom</t>
        </is>
      </c>
      <c r="G4" s="118" t="inlineStr">
        <is>
          <t>per Pupil</t>
        </is>
      </c>
      <c r="H4" s="154" t="inlineStr">
        <is>
          <t>Staff</t>
        </is>
      </c>
      <c r="I4" s="118" t="inlineStr">
        <is>
          <t>Staff</t>
        </is>
      </c>
      <c r="J4" s="154" t="inlineStr">
        <is>
          <t>Staff</t>
        </is>
      </c>
      <c r="K4" s="154" t="inlineStr">
        <is>
          <t>Staff</t>
        </is>
      </c>
    </row>
    <row r="5" ht="20" customHeight="1" s="227">
      <c r="A5" s="22" t="inlineStr">
        <is>
          <t>Whole Kingdom</t>
        </is>
      </c>
      <c r="B5" s="287" t="n">
        <v>34</v>
      </c>
      <c r="C5" s="287" t="n">
        <v>28.3</v>
      </c>
      <c r="D5" s="287" t="n">
        <v>35.5</v>
      </c>
      <c r="E5" s="287" t="n">
        <v>45.7</v>
      </c>
      <c r="F5" s="287" t="n">
        <v>1.3</v>
      </c>
      <c r="G5" s="287" t="n">
        <v>2</v>
      </c>
      <c r="H5" s="287" t="n">
        <v>16.9</v>
      </c>
      <c r="I5" s="287" t="n">
        <v>48.2</v>
      </c>
      <c r="J5" s="287" t="n">
        <v>52.1</v>
      </c>
      <c r="K5" s="287" t="n">
        <v>29</v>
      </c>
    </row>
    <row r="6" ht="30" customHeight="1" s="227">
      <c r="A6" s="25" t="inlineStr">
        <is>
          <t>By Area of Location:
-    Urban Area</t>
        </is>
      </c>
      <c r="B6" s="289" t="n">
        <v>25.4</v>
      </c>
      <c r="C6" s="289" t="n">
        <v>22.1</v>
      </c>
      <c r="D6" s="289" t="n">
        <v>39.3</v>
      </c>
      <c r="E6" s="289" t="n">
        <v>51.2</v>
      </c>
      <c r="F6" s="289" t="n">
        <v>1.3</v>
      </c>
      <c r="G6" s="289" t="n">
        <v>4.4</v>
      </c>
      <c r="H6" s="289" t="n">
        <v>13</v>
      </c>
      <c r="I6" s="289" t="n">
        <v>55.6</v>
      </c>
      <c r="J6" s="289" t="n">
        <v>57.9</v>
      </c>
      <c r="K6" s="289" t="n">
        <v>40.7</v>
      </c>
    </row>
    <row r="7" ht="20" customHeight="1" s="227">
      <c r="A7" s="28" t="inlineStr">
        <is>
          <t>-    Rural Area</t>
        </is>
      </c>
      <c r="B7" s="287" t="n">
        <v>36.9</v>
      </c>
      <c r="C7" s="287" t="n">
        <v>30.2</v>
      </c>
      <c r="D7" s="287" t="n">
        <v>34.7</v>
      </c>
      <c r="E7" s="287" t="n">
        <v>44.6</v>
      </c>
      <c r="F7" s="287" t="n">
        <v>1.3</v>
      </c>
      <c r="G7" s="287" t="n">
        <v>1.4</v>
      </c>
      <c r="H7" s="287" t="n">
        <v>18.1</v>
      </c>
      <c r="I7" s="287" t="n">
        <v>45.9</v>
      </c>
      <c r="J7" s="287" t="n">
        <v>50.2</v>
      </c>
      <c r="K7" s="287" t="n">
        <v>26.4</v>
      </c>
    </row>
    <row r="8" ht="30" customHeight="1" s="227">
      <c r="A8" s="25" t="inlineStr">
        <is>
          <t>By Type of School &amp; Edn. Level :
-    Pre-School</t>
        </is>
      </c>
      <c r="B8" s="289" t="n">
        <v>40.8</v>
      </c>
      <c r="C8" s="289" t="n">
        <v>39.1</v>
      </c>
      <c r="D8" s="289" t="n">
        <v>30.5</v>
      </c>
      <c r="E8" s="289" t="n">
        <v>34.6</v>
      </c>
      <c r="F8" s="289" t="n">
        <v>1.1</v>
      </c>
      <c r="G8" s="289" t="n">
        <v>3.6</v>
      </c>
      <c r="H8" s="289" t="n">
        <v>4</v>
      </c>
      <c r="I8" s="289" t="n">
        <v>95.40000000000001</v>
      </c>
      <c r="J8" s="289" t="n">
        <v>95.40000000000001</v>
      </c>
      <c r="K8" s="289" t="n">
        <v>94.59999999999999</v>
      </c>
    </row>
    <row r="9" ht="19" customHeight="1" s="227">
      <c r="A9" s="28" t="inlineStr">
        <is>
          <t>-    Primary School</t>
        </is>
      </c>
      <c r="B9" s="287" t="n">
        <v>44.5</v>
      </c>
      <c r="C9" s="287" t="n">
        <v>35.3</v>
      </c>
      <c r="D9" s="287" t="n">
        <v>32.8</v>
      </c>
      <c r="E9" s="287" t="n">
        <v>46</v>
      </c>
      <c r="F9" s="287" t="n">
        <v>1.4</v>
      </c>
      <c r="G9" s="287" t="n">
        <v>1.3</v>
      </c>
      <c r="H9" s="287" t="n">
        <v>20.7</v>
      </c>
      <c r="I9" s="287" t="n">
        <v>51.3</v>
      </c>
      <c r="J9" s="287" t="n">
        <v>57</v>
      </c>
      <c r="K9" s="287" t="n">
        <v>29.5</v>
      </c>
    </row>
    <row r="10" ht="19" customHeight="1" s="227">
      <c r="A10" s="28" t="inlineStr">
        <is>
          <t>-    College</t>
        </is>
      </c>
      <c r="B10" s="287" t="n">
        <v>22.3</v>
      </c>
      <c r="C10" s="287" t="n">
        <v>18.7</v>
      </c>
      <c r="D10" s="287" t="n">
        <v>44.5</v>
      </c>
      <c r="E10" s="287" t="n">
        <v>47.1</v>
      </c>
      <c r="F10" s="287" t="n">
        <v>1.1</v>
      </c>
      <c r="G10" s="287" t="n">
        <v>1.5</v>
      </c>
      <c r="H10" s="287" t="n">
        <v>16.1</v>
      </c>
      <c r="I10" s="287" t="n">
        <v>40.8</v>
      </c>
      <c r="J10" s="287" t="n">
        <v>44.2</v>
      </c>
      <c r="K10" s="287" t="n">
        <v>23.1</v>
      </c>
    </row>
    <row r="11" ht="20" customHeight="1" s="227">
      <c r="A11" s="28" t="inlineStr">
        <is>
          <t>-    Lycee</t>
        </is>
      </c>
      <c r="B11" s="287" t="n">
        <v>21.7</v>
      </c>
      <c r="C11" s="287" t="n">
        <v>18.9</v>
      </c>
      <c r="D11" s="287" t="n">
        <v>45.7</v>
      </c>
      <c r="E11" s="287" t="n">
        <v>49.6</v>
      </c>
      <c r="F11" s="287" t="n">
        <v>1.1</v>
      </c>
      <c r="G11" s="287" t="n">
        <v>4</v>
      </c>
      <c r="H11" s="287" t="n">
        <v>12.7</v>
      </c>
      <c r="I11" s="287" t="n">
        <v>38.4</v>
      </c>
      <c r="J11" s="287" t="n">
        <v>39.9</v>
      </c>
      <c r="K11" s="287" t="n">
        <v>28.1</v>
      </c>
    </row>
    <row r="12" ht="19" customHeight="1" s="227">
      <c r="A12" s="28" t="inlineStr">
        <is>
          <t>-    Lower Secondary Level</t>
        </is>
      </c>
      <c r="B12" s="287" t="n">
        <v>21.2</v>
      </c>
      <c r="C12" s="287" t="n">
        <v>18.1</v>
      </c>
      <c r="D12" s="287" t="n">
        <v>45.6</v>
      </c>
      <c r="E12" s="287" t="n">
        <v>48.5</v>
      </c>
      <c r="F12" s="287" t="n">
        <v>1.1</v>
      </c>
      <c r="G12" s="287" t="n">
        <v>1.5</v>
      </c>
      <c r="H12" s="287" t="n">
        <v>14.5</v>
      </c>
      <c r="I12" s="287" t="n">
        <v>42.6</v>
      </c>
      <c r="J12" s="287" t="n">
        <v>45.6</v>
      </c>
      <c r="K12" s="287" t="n">
        <v>25.2</v>
      </c>
    </row>
    <row r="13" ht="20" customHeight="1" s="227">
      <c r="A13" s="28" t="inlineStr">
        <is>
          <t>-    Upper Secondary Level</t>
        </is>
      </c>
      <c r="B13" s="287" t="n">
        <v>23.3</v>
      </c>
      <c r="C13" s="287" t="n">
        <v>20.4</v>
      </c>
      <c r="D13" s="287" t="n">
        <v>44.7</v>
      </c>
      <c r="E13" s="287" t="n">
        <v>49.6</v>
      </c>
      <c r="F13" s="287" t="n">
        <v>1.1</v>
      </c>
      <c r="G13" s="287" t="n">
        <v>4</v>
      </c>
      <c r="H13" s="287" t="n">
        <v>12.6</v>
      </c>
      <c r="I13" s="287" t="n">
        <v>32</v>
      </c>
      <c r="J13" s="287" t="n">
        <v>32.6</v>
      </c>
      <c r="K13" s="287" t="n">
        <v>28</v>
      </c>
    </row>
    <row r="14" ht="28" customHeight="1" s="227">
      <c r="A14" s="25" t="inlineStr">
        <is>
          <t>Characteristics of Primary Schools:
-    Cluster - core school</t>
        </is>
      </c>
      <c r="B14" s="287" t="n">
        <v>45.5</v>
      </c>
      <c r="C14" s="287" t="n">
        <v>35.6</v>
      </c>
      <c r="D14" s="287" t="n">
        <v>38.5</v>
      </c>
      <c r="E14" s="287" t="n">
        <v>52.9</v>
      </c>
      <c r="F14" s="287" t="n">
        <v>1.4</v>
      </c>
      <c r="G14" s="287" t="n">
        <v>1.3</v>
      </c>
      <c r="H14" s="287" t="n">
        <v>21.7</v>
      </c>
      <c r="I14" s="287" t="n">
        <v>56.9</v>
      </c>
      <c r="J14" s="287" t="n">
        <v>63.7</v>
      </c>
      <c r="K14" s="287" t="n">
        <v>32.2</v>
      </c>
    </row>
    <row r="15" ht="19" customHeight="1" s="227">
      <c r="A15" s="28" t="inlineStr">
        <is>
          <t>-    Cluster - satellite school</t>
        </is>
      </c>
      <c r="B15" s="287" t="n">
        <v>44.1</v>
      </c>
      <c r="C15" s="287" t="n">
        <v>35.2</v>
      </c>
      <c r="D15" s="287" t="n">
        <v>30.7</v>
      </c>
      <c r="E15" s="287" t="n">
        <v>43.3</v>
      </c>
      <c r="F15" s="287" t="n">
        <v>1.4</v>
      </c>
      <c r="G15" s="287" t="n">
        <v>1.4</v>
      </c>
      <c r="H15" s="287" t="n">
        <v>20.3</v>
      </c>
      <c r="I15" s="287" t="n">
        <v>48.8</v>
      </c>
      <c r="J15" s="287" t="n">
        <v>54</v>
      </c>
      <c r="K15" s="287" t="n">
        <v>28.2</v>
      </c>
    </row>
    <row r="16" ht="20" customHeight="1" s="227">
      <c r="A16" s="28" t="inlineStr">
        <is>
          <t>-    Annex school</t>
        </is>
      </c>
      <c r="B16" s="287" t="n">
        <v>42.4</v>
      </c>
      <c r="C16" s="287" t="n">
        <v>34.1</v>
      </c>
      <c r="D16" s="287" t="n">
        <v>28.8</v>
      </c>
      <c r="E16" s="287" t="n">
        <v>41.1</v>
      </c>
      <c r="F16" s="287" t="n">
        <v>1.4</v>
      </c>
      <c r="G16" s="287" t="n">
        <v>1.6</v>
      </c>
      <c r="H16" s="287" t="n">
        <v>19.7</v>
      </c>
      <c r="I16" s="287" t="n">
        <v>50.1</v>
      </c>
      <c r="J16" s="287" t="n">
        <v>53.8</v>
      </c>
      <c r="K16" s="287" t="n">
        <v>34.9</v>
      </c>
    </row>
    <row r="17" ht="19" customHeight="1" s="227">
      <c r="A17" s="28" t="inlineStr">
        <is>
          <t>-    School in Pagoda</t>
        </is>
      </c>
      <c r="B17" s="287" t="n">
        <v>43.7</v>
      </c>
      <c r="C17" s="287" t="n">
        <v>33.8</v>
      </c>
      <c r="D17" s="287" t="n">
        <v>33.9</v>
      </c>
      <c r="E17" s="287" t="n">
        <v>44.5</v>
      </c>
      <c r="F17" s="287" t="n">
        <v>1.3</v>
      </c>
      <c r="G17" s="287" t="n">
        <v>1.3</v>
      </c>
      <c r="H17" s="287" t="n">
        <v>22.7</v>
      </c>
      <c r="I17" s="287" t="n">
        <v>48.9</v>
      </c>
      <c r="J17" s="287" t="n">
        <v>54.8</v>
      </c>
      <c r="K17" s="287" t="n">
        <v>28.7</v>
      </c>
    </row>
    <row r="18" ht="19.75" customHeight="1" s="227">
      <c r="A18" s="28" t="inlineStr">
        <is>
          <t>Disadvantaged school (All Level)</t>
        </is>
      </c>
      <c r="B18" s="287" t="n">
        <v>40.4</v>
      </c>
      <c r="C18" s="287" t="n">
        <v>37.4</v>
      </c>
      <c r="D18" s="287" t="n">
        <v>26.6</v>
      </c>
      <c r="E18" s="287" t="n">
        <v>86.8</v>
      </c>
      <c r="F18" s="287" t="n">
        <v>3.3</v>
      </c>
      <c r="G18" s="287" t="n">
        <v>1.8</v>
      </c>
      <c r="H18" s="287" t="n">
        <v>7.5</v>
      </c>
      <c r="I18" s="287" t="n">
        <v>60.4</v>
      </c>
      <c r="J18" s="287" t="n">
        <v>62.6</v>
      </c>
      <c r="K18" s="287" t="n">
        <v>33.3</v>
      </c>
    </row>
  </sheetData>
  <mergeCells count="4">
    <mergeCell ref="A2:A4"/>
    <mergeCell ref="A1:K1"/>
    <mergeCell ref="J2:K2"/>
    <mergeCell ref="H2:I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tabColor rgb="007030A0"/>
    <outlinePr summaryBelow="1" summaryRight="1"/>
    <pageSetUpPr/>
  </sheetPr>
  <dimension ref="A1:M32"/>
  <sheetViews>
    <sheetView tabSelected="1" workbookViewId="0">
      <selection activeCell="A1" sqref="A1"/>
    </sheetView>
  </sheetViews>
  <sheetFormatPr baseColWidth="8" defaultRowHeight="15"/>
  <cols>
    <col width="24.222222" customWidth="1" style="227" min="1" max="1"/>
    <col width="11.777778" customWidth="1" style="227" min="2" max="2"/>
    <col width="12" customWidth="1" style="227" min="3" max="3"/>
    <col width="12" customWidth="1" style="227" min="4" max="4"/>
    <col width="11.777778" customWidth="1" style="227" min="5" max="5"/>
    <col width="12" customWidth="1" style="227" min="6" max="6"/>
    <col width="12" customWidth="1" style="227" min="7" max="7"/>
    <col width="11.777778" customWidth="1" style="227" min="8" max="8"/>
    <col width="12" customWidth="1" style="227" min="9" max="9"/>
    <col width="11.777778" customWidth="1" style="227" min="10" max="10"/>
    <col width="12" customWidth="1" style="227" min="11" max="11"/>
    <col width="11.777778" customWidth="1" style="227" min="12" max="12"/>
    <col width="12" customWidth="1" style="227" min="13" max="13"/>
  </cols>
  <sheetData>
    <row r="1" ht="30" customHeight="1" s="227">
      <c r="A1" s="2" t="inlineStr">
        <is>
          <t>Table 6: Indicators on Students and Staff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4" customHeight="1" s="227">
      <c r="A2" s="35" t="inlineStr">
        <is>
          <t>Province</t>
        </is>
      </c>
      <c r="B2" s="105" t="inlineStr">
        <is>
          <t>Pupil</t>
        </is>
      </c>
      <c r="C2" s="105" t="inlineStr">
        <is>
          <t>Pupil</t>
        </is>
      </c>
      <c r="D2" s="105" t="inlineStr">
        <is>
          <t>Pupil</t>
        </is>
      </c>
      <c r="E2" s="105" t="inlineStr">
        <is>
          <t>Pupil</t>
        </is>
      </c>
      <c r="F2" s="106" t="inlineStr">
        <is>
          <t>Classes</t>
        </is>
      </c>
      <c r="G2" s="107" t="inlineStr">
        <is>
          <t>Classroom</t>
        </is>
      </c>
      <c r="H2" s="157" t="inlineStr">
        <is>
          <t>Percentage of Total Students in</t>
        </is>
      </c>
      <c r="I2" s="269" t="n"/>
      <c r="J2" s="269" t="n"/>
      <c r="K2" s="257" t="n"/>
      <c r="L2" s="95" t="inlineStr">
        <is>
          <t>Percentage of</t>
        </is>
      </c>
      <c r="M2" s="257" t="n"/>
    </row>
    <row r="3" ht="15" customHeight="1" s="227">
      <c r="A3" s="273" t="n"/>
      <c r="B3" s="153" t="inlineStr">
        <is>
          <t>Teacher</t>
        </is>
      </c>
      <c r="C3" s="151" t="inlineStr">
        <is>
          <t>Staff</t>
        </is>
      </c>
      <c r="D3" s="151" t="inlineStr">
        <is>
          <t>Class</t>
        </is>
      </c>
      <c r="E3" s="152" t="inlineStr">
        <is>
          <t>Classroom</t>
        </is>
      </c>
      <c r="F3" s="116" t="inlineStr">
        <is>
          <t>per</t>
        </is>
      </c>
      <c r="G3" s="152" t="inlineStr">
        <is>
          <t>Area (m2)</t>
        </is>
      </c>
      <c r="H3" s="161" t="inlineStr">
        <is>
          <t>Pre-school</t>
        </is>
      </c>
      <c r="I3" s="161" t="inlineStr">
        <is>
          <t>Primary</t>
        </is>
      </c>
      <c r="J3" s="105" t="inlineStr">
        <is>
          <t>Lower</t>
        </is>
      </c>
      <c r="K3" s="105" t="inlineStr">
        <is>
          <t>Upper</t>
        </is>
      </c>
      <c r="L3" s="107" t="inlineStr">
        <is>
          <t>Non-tching</t>
        </is>
      </c>
      <c r="M3" s="105" t="inlineStr">
        <is>
          <t>Female</t>
        </is>
      </c>
    </row>
    <row r="4" ht="14" customHeight="1" s="227">
      <c r="A4" s="258" t="n"/>
      <c r="B4" s="118" t="inlineStr">
        <is>
          <t>Ratio</t>
        </is>
      </c>
      <c r="C4" s="118" t="inlineStr">
        <is>
          <t>Ratio</t>
        </is>
      </c>
      <c r="D4" s="118" t="inlineStr">
        <is>
          <t>Ratio</t>
        </is>
      </c>
      <c r="E4" s="118" t="inlineStr">
        <is>
          <t>Ratio</t>
        </is>
      </c>
      <c r="F4" s="155" t="inlineStr">
        <is>
          <t>Classroom</t>
        </is>
      </c>
      <c r="G4" s="155" t="inlineStr">
        <is>
          <t>per Pupil</t>
        </is>
      </c>
      <c r="H4" s="258" t="n"/>
      <c r="I4" s="258" t="n"/>
      <c r="J4" s="155" t="inlineStr">
        <is>
          <t>Secondary</t>
        </is>
      </c>
      <c r="K4" s="155" t="inlineStr">
        <is>
          <t>Secondary</t>
        </is>
      </c>
      <c r="L4" s="154" t="inlineStr">
        <is>
          <t>Staff</t>
        </is>
      </c>
      <c r="M4" s="154" t="inlineStr">
        <is>
          <t>Staff</t>
        </is>
      </c>
    </row>
    <row r="5" ht="14" customHeight="1" s="227">
      <c r="A5" s="28" t="inlineStr">
        <is>
          <t>Banteay Meanchey</t>
        </is>
      </c>
      <c r="B5" s="287" t="n">
        <v>31.9</v>
      </c>
      <c r="C5" s="287" t="n">
        <v>26.9</v>
      </c>
      <c r="D5" s="287" t="n">
        <v>33.2</v>
      </c>
      <c r="E5" s="287" t="n">
        <v>42.2</v>
      </c>
      <c r="F5" s="287" t="n">
        <v>1.3</v>
      </c>
      <c r="G5" s="287" t="n">
        <v>1.3</v>
      </c>
      <c r="H5" s="287" t="n">
        <v>10.9</v>
      </c>
      <c r="I5" s="287" t="n">
        <v>63.5</v>
      </c>
      <c r="J5" s="287" t="n">
        <v>17.5</v>
      </c>
      <c r="K5" s="287" t="n">
        <v>8.1</v>
      </c>
      <c r="L5" s="287" t="n">
        <v>15.7</v>
      </c>
      <c r="M5" s="287" t="n">
        <v>46.7</v>
      </c>
    </row>
    <row r="6" ht="14" customHeight="1" s="227">
      <c r="A6" s="28" t="inlineStr">
        <is>
          <t>Battambang</t>
        </is>
      </c>
      <c r="B6" s="287" t="n">
        <v>36.5</v>
      </c>
      <c r="C6" s="287" t="n">
        <v>28.9</v>
      </c>
      <c r="D6" s="287" t="n">
        <v>33.8</v>
      </c>
      <c r="E6" s="287" t="n">
        <v>45.6</v>
      </c>
      <c r="F6" s="287" t="n">
        <v>1.3</v>
      </c>
      <c r="G6" s="287" t="n">
        <v>1.3</v>
      </c>
      <c r="H6" s="287" t="n">
        <v>7.4</v>
      </c>
      <c r="I6" s="287" t="n">
        <v>67.7</v>
      </c>
      <c r="J6" s="287" t="n">
        <v>17.1</v>
      </c>
      <c r="K6" s="287" t="n">
        <v>7.7</v>
      </c>
      <c r="L6" s="287" t="n">
        <v>20.7</v>
      </c>
      <c r="M6" s="287" t="n">
        <v>55.2</v>
      </c>
    </row>
    <row r="7" ht="14" customHeight="1" s="227">
      <c r="A7" s="28" t="inlineStr">
        <is>
          <t>Kampong Cham</t>
        </is>
      </c>
      <c r="B7" s="287" t="n">
        <v>38</v>
      </c>
      <c r="C7" s="287" t="n">
        <v>29.4</v>
      </c>
      <c r="D7" s="287" t="n">
        <v>37.9</v>
      </c>
      <c r="E7" s="287" t="n">
        <v>47.9</v>
      </c>
      <c r="F7" s="287" t="n">
        <v>1.3</v>
      </c>
      <c r="G7" s="287" t="n">
        <v>1.1</v>
      </c>
      <c r="H7" s="287" t="n">
        <v>7.1</v>
      </c>
      <c r="I7" s="287" t="n">
        <v>63.8</v>
      </c>
      <c r="J7" s="287" t="n">
        <v>19</v>
      </c>
      <c r="K7" s="287" t="n">
        <v>10.1</v>
      </c>
      <c r="L7" s="287" t="n">
        <v>22.5</v>
      </c>
      <c r="M7" s="287" t="n">
        <v>53.8</v>
      </c>
    </row>
    <row r="8" ht="14" customHeight="1" s="227">
      <c r="A8" s="28" t="inlineStr">
        <is>
          <t>Kampong Chhnang</t>
        </is>
      </c>
      <c r="B8" s="287" t="n">
        <v>33.8</v>
      </c>
      <c r="C8" s="287" t="n">
        <v>28.1</v>
      </c>
      <c r="D8" s="287" t="n">
        <v>36.7</v>
      </c>
      <c r="E8" s="287" t="n">
        <v>48.4</v>
      </c>
      <c r="F8" s="287" t="n">
        <v>1.3</v>
      </c>
      <c r="G8" s="287" t="n">
        <v>1.1</v>
      </c>
      <c r="H8" s="287" t="n">
        <v>5.9</v>
      </c>
      <c r="I8" s="287" t="n">
        <v>62.9</v>
      </c>
      <c r="J8" s="287" t="n">
        <v>20.6</v>
      </c>
      <c r="K8" s="287" t="n">
        <v>10.6</v>
      </c>
      <c r="L8" s="287" t="n">
        <v>16.7</v>
      </c>
      <c r="M8" s="287" t="n">
        <v>44.5</v>
      </c>
    </row>
    <row r="9" ht="14" customHeight="1" s="227">
      <c r="A9" s="28" t="inlineStr">
        <is>
          <t>Kampong Speu</t>
        </is>
      </c>
      <c r="B9" s="287" t="n">
        <v>38.1</v>
      </c>
      <c r="C9" s="287" t="n">
        <v>32.7</v>
      </c>
      <c r="D9" s="287" t="n">
        <v>40.9</v>
      </c>
      <c r="E9" s="287" t="n">
        <v>51.8</v>
      </c>
      <c r="F9" s="287" t="n">
        <v>1.3</v>
      </c>
      <c r="G9" s="287" t="n">
        <v>1.2</v>
      </c>
      <c r="H9" s="287" t="n">
        <v>5.8</v>
      </c>
      <c r="I9" s="287" t="n">
        <v>65.09999999999999</v>
      </c>
      <c r="J9" s="287" t="n">
        <v>20</v>
      </c>
      <c r="K9" s="287" t="n">
        <v>9.1</v>
      </c>
      <c r="L9" s="287" t="n">
        <v>14.2</v>
      </c>
      <c r="M9" s="287" t="n">
        <v>40</v>
      </c>
    </row>
    <row r="10" ht="14" customHeight="1" s="227">
      <c r="A10" s="28" t="inlineStr">
        <is>
          <t>Kampong Thom</t>
        </is>
      </c>
      <c r="B10" s="287" t="n">
        <v>35.2</v>
      </c>
      <c r="C10" s="287" t="n">
        <v>30.2</v>
      </c>
      <c r="D10" s="287" t="n">
        <v>34</v>
      </c>
      <c r="E10" s="287" t="n">
        <v>43.6</v>
      </c>
      <c r="F10" s="287" t="n">
        <v>1.3</v>
      </c>
      <c r="G10" s="287" t="n">
        <v>2.8</v>
      </c>
      <c r="H10" s="287" t="n">
        <v>6.5</v>
      </c>
      <c r="I10" s="287" t="n">
        <v>64.40000000000001</v>
      </c>
      <c r="J10" s="287" t="n">
        <v>19.5</v>
      </c>
      <c r="K10" s="287" t="n">
        <v>9.6</v>
      </c>
      <c r="L10" s="287" t="n">
        <v>14.2</v>
      </c>
      <c r="M10" s="287" t="n">
        <v>50.5</v>
      </c>
    </row>
    <row r="11" ht="14" customHeight="1" s="227">
      <c r="A11" s="28" t="inlineStr">
        <is>
          <t>Kampot</t>
        </is>
      </c>
      <c r="B11" s="287" t="n">
        <v>27.3</v>
      </c>
      <c r="C11" s="287" t="n">
        <v>22.8</v>
      </c>
      <c r="D11" s="287" t="n">
        <v>35.1</v>
      </c>
      <c r="E11" s="287" t="n">
        <v>41.6</v>
      </c>
      <c r="F11" s="287" t="n">
        <v>1.2</v>
      </c>
      <c r="G11" s="287" t="n">
        <v>1.4</v>
      </c>
      <c r="H11" s="287" t="n">
        <v>5.4</v>
      </c>
      <c r="I11" s="287" t="n">
        <v>60.5</v>
      </c>
      <c r="J11" s="287" t="n">
        <v>21.8</v>
      </c>
      <c r="K11" s="287" t="n">
        <v>12.3</v>
      </c>
      <c r="L11" s="287" t="n">
        <v>16.5</v>
      </c>
      <c r="M11" s="287" t="n">
        <v>44.2</v>
      </c>
    </row>
    <row r="12" ht="14" customHeight="1" s="227">
      <c r="A12" s="28" t="inlineStr">
        <is>
          <t>Kandal</t>
        </is>
      </c>
      <c r="B12" s="287" t="n">
        <v>34.7</v>
      </c>
      <c r="C12" s="287" t="n">
        <v>28.8</v>
      </c>
      <c r="D12" s="287" t="n">
        <v>38.4</v>
      </c>
      <c r="E12" s="287" t="n">
        <v>48.4</v>
      </c>
      <c r="F12" s="287" t="n">
        <v>1.3</v>
      </c>
      <c r="G12" s="287" t="n">
        <v>1.9</v>
      </c>
      <c r="H12" s="287" t="n">
        <v>6.3</v>
      </c>
      <c r="I12" s="287" t="n">
        <v>63.5</v>
      </c>
      <c r="J12" s="287" t="n">
        <v>19.3</v>
      </c>
      <c r="K12" s="287" t="n">
        <v>10.9</v>
      </c>
      <c r="L12" s="287" t="n">
        <v>17</v>
      </c>
      <c r="M12" s="287" t="n">
        <v>50.6</v>
      </c>
    </row>
    <row r="13" ht="14" customHeight="1" s="227">
      <c r="A13" s="28" t="inlineStr">
        <is>
          <t>Kep</t>
        </is>
      </c>
      <c r="B13" s="287" t="n">
        <v>19.1</v>
      </c>
      <c r="C13" s="287" t="n">
        <v>15.9</v>
      </c>
      <c r="D13" s="287" t="n">
        <v>31.9</v>
      </c>
      <c r="E13" s="287" t="n">
        <v>35.8</v>
      </c>
      <c r="F13" s="287" t="n">
        <v>1.1</v>
      </c>
      <c r="G13" s="287" t="n">
        <v>1.6</v>
      </c>
      <c r="H13" s="287" t="n">
        <v>10.5</v>
      </c>
      <c r="I13" s="287" t="n">
        <v>58.7</v>
      </c>
      <c r="J13" s="287" t="n">
        <v>18.5</v>
      </c>
      <c r="K13" s="287" t="n">
        <v>12.3</v>
      </c>
      <c r="L13" s="287" t="n">
        <v>16.8</v>
      </c>
      <c r="M13" s="287" t="n">
        <v>46.4</v>
      </c>
    </row>
    <row r="14" ht="14" customHeight="1" s="227">
      <c r="A14" s="28" t="inlineStr">
        <is>
          <t>Koh Kong</t>
        </is>
      </c>
      <c r="B14" s="287" t="n">
        <v>24.7</v>
      </c>
      <c r="C14" s="287" t="n">
        <v>21.4</v>
      </c>
      <c r="D14" s="287" t="n">
        <v>23.8</v>
      </c>
      <c r="E14" s="287" t="n">
        <v>35.2</v>
      </c>
      <c r="F14" s="287" t="n">
        <v>1.5</v>
      </c>
      <c r="G14" s="287" t="n">
        <v>1.5</v>
      </c>
      <c r="H14" s="287" t="n">
        <v>7.8</v>
      </c>
      <c r="I14" s="287" t="n">
        <v>62.9</v>
      </c>
      <c r="J14" s="287" t="n">
        <v>19.4</v>
      </c>
      <c r="K14" s="287" t="n">
        <v>9.800000000000001</v>
      </c>
      <c r="L14" s="287" t="n">
        <v>13.2</v>
      </c>
      <c r="M14" s="287" t="n">
        <v>42.7</v>
      </c>
    </row>
    <row r="15" ht="14" customHeight="1" s="227">
      <c r="A15" s="28" t="inlineStr">
        <is>
          <t>Kratie</t>
        </is>
      </c>
      <c r="B15" s="287" t="n">
        <v>33.8</v>
      </c>
      <c r="C15" s="287" t="n">
        <v>29.5</v>
      </c>
      <c r="D15" s="287" t="n">
        <v>31.5</v>
      </c>
      <c r="E15" s="287" t="n">
        <v>45.2</v>
      </c>
      <c r="F15" s="287" t="n">
        <v>1.4</v>
      </c>
      <c r="G15" s="287" t="n">
        <v>1.4</v>
      </c>
      <c r="H15" s="287" t="n">
        <v>4.5</v>
      </c>
      <c r="I15" s="287" t="n">
        <v>73.5</v>
      </c>
      <c r="J15" s="287" t="n">
        <v>15</v>
      </c>
      <c r="K15" s="287" t="n">
        <v>7</v>
      </c>
      <c r="L15" s="287" t="n">
        <v>12.6</v>
      </c>
      <c r="M15" s="287" t="n">
        <v>58.5</v>
      </c>
    </row>
    <row r="16" ht="14" customHeight="1" s="227">
      <c r="A16" s="28" t="inlineStr">
        <is>
          <t>Mondul Kiri</t>
        </is>
      </c>
      <c r="B16" s="287" t="n">
        <v>24.9</v>
      </c>
      <c r="C16" s="287" t="n">
        <v>23.6</v>
      </c>
      <c r="D16" s="287" t="n">
        <v>25.9</v>
      </c>
      <c r="E16" s="287" t="n">
        <v>36.2</v>
      </c>
      <c r="F16" s="287" t="n">
        <v>1.4</v>
      </c>
      <c r="G16" s="287" t="n">
        <v>1.2</v>
      </c>
      <c r="H16" s="287" t="n">
        <v>5.3</v>
      </c>
      <c r="I16" s="287" t="n">
        <v>72</v>
      </c>
      <c r="J16" s="287" t="n">
        <v>15.9</v>
      </c>
      <c r="K16" s="287" t="n">
        <v>6.8</v>
      </c>
      <c r="L16" s="287" t="n">
        <v>5.4</v>
      </c>
      <c r="M16" s="287" t="n">
        <v>45.3</v>
      </c>
    </row>
    <row r="17" ht="13" customHeight="1" s="227">
      <c r="A17" s="28" t="inlineStr">
        <is>
          <t>Otdar Meanchey</t>
        </is>
      </c>
      <c r="B17" s="287" t="n">
        <v>35.9</v>
      </c>
      <c r="C17" s="287" t="n">
        <v>30</v>
      </c>
      <c r="D17" s="287" t="n">
        <v>28.3</v>
      </c>
      <c r="E17" s="287" t="n">
        <v>38.5</v>
      </c>
      <c r="F17" s="287" t="n">
        <v>1.4</v>
      </c>
      <c r="G17" s="287" t="n">
        <v>1.7</v>
      </c>
      <c r="H17" s="287" t="n">
        <v>6.7</v>
      </c>
      <c r="I17" s="287" t="n">
        <v>68.3</v>
      </c>
      <c r="J17" s="287" t="n">
        <v>17.4</v>
      </c>
      <c r="K17" s="287" t="n">
        <v>7.6</v>
      </c>
      <c r="L17" s="287" t="n">
        <v>16.5</v>
      </c>
      <c r="M17" s="287" t="n">
        <v>40.7</v>
      </c>
    </row>
    <row r="18" ht="14" customHeight="1" s="227">
      <c r="A18" s="28" t="inlineStr">
        <is>
          <t>Pailin</t>
        </is>
      </c>
      <c r="B18" s="287" t="n">
        <v>25.8</v>
      </c>
      <c r="C18" s="287" t="n">
        <v>23</v>
      </c>
      <c r="D18" s="287" t="n">
        <v>32.1</v>
      </c>
      <c r="E18" s="287" t="n">
        <v>41.1</v>
      </c>
      <c r="F18" s="287" t="n">
        <v>1.3</v>
      </c>
      <c r="G18" s="287" t="n">
        <v>1.1</v>
      </c>
      <c r="H18" s="287" t="n">
        <v>6.8</v>
      </c>
      <c r="I18" s="287" t="n">
        <v>64.09999999999999</v>
      </c>
      <c r="J18" s="287" t="n">
        <v>19.9</v>
      </c>
      <c r="K18" s="287" t="n">
        <v>9.199999999999999</v>
      </c>
      <c r="L18" s="287" t="n">
        <v>10.8</v>
      </c>
      <c r="M18" s="287" t="n">
        <v>48.1</v>
      </c>
    </row>
    <row r="19" ht="14" customHeight="1" s="227">
      <c r="A19" s="28" t="inlineStr">
        <is>
          <t>Phnom Penh</t>
        </is>
      </c>
      <c r="B19" s="287" t="n">
        <v>24</v>
      </c>
      <c r="C19" s="287" t="n">
        <v>21.7</v>
      </c>
      <c r="D19" s="287" t="n">
        <v>42.2</v>
      </c>
      <c r="E19" s="287" t="n">
        <v>61.4</v>
      </c>
      <c r="F19" s="287" t="n">
        <v>1.5</v>
      </c>
      <c r="G19" s="287" t="n">
        <v>9.199999999999999</v>
      </c>
      <c r="H19" s="287" t="n">
        <v>4.6</v>
      </c>
      <c r="I19" s="287" t="n">
        <v>58.7</v>
      </c>
      <c r="J19" s="287" t="n">
        <v>21</v>
      </c>
      <c r="K19" s="287" t="n">
        <v>15.6</v>
      </c>
      <c r="L19" s="287" t="n">
        <v>9.6</v>
      </c>
      <c r="M19" s="287" t="n">
        <v>56.5</v>
      </c>
    </row>
    <row r="20" ht="14" customHeight="1" s="227">
      <c r="A20" s="28" t="inlineStr">
        <is>
          <t>Preah Sihanouk</t>
        </is>
      </c>
      <c r="B20" s="287" t="n">
        <v>26</v>
      </c>
      <c r="C20" s="287" t="n">
        <v>22.6</v>
      </c>
      <c r="D20" s="287" t="n">
        <v>34.9</v>
      </c>
      <c r="E20" s="287" t="n">
        <v>43.3</v>
      </c>
      <c r="F20" s="287" t="n">
        <v>1.2</v>
      </c>
      <c r="G20" s="287" t="n">
        <v>1.7</v>
      </c>
      <c r="H20" s="287" t="n">
        <v>5.8</v>
      </c>
      <c r="I20" s="287" t="n">
        <v>64.90000000000001</v>
      </c>
      <c r="J20" s="287" t="n">
        <v>19.7</v>
      </c>
      <c r="K20" s="287" t="n">
        <v>9.699999999999999</v>
      </c>
      <c r="L20" s="287" t="n">
        <v>13</v>
      </c>
      <c r="M20" s="287" t="n">
        <v>46.2</v>
      </c>
    </row>
    <row r="21" ht="14" customHeight="1" s="227">
      <c r="A21" s="28" t="inlineStr">
        <is>
          <t>Preah Vihear</t>
        </is>
      </c>
      <c r="B21" s="287" t="n">
        <v>27.7</v>
      </c>
      <c r="C21" s="287" t="n">
        <v>24.5</v>
      </c>
      <c r="D21" s="287" t="n">
        <v>27.2</v>
      </c>
      <c r="E21" s="287" t="n">
        <v>35.8</v>
      </c>
      <c r="F21" s="287" t="n">
        <v>1.3</v>
      </c>
      <c r="G21" s="287" t="n">
        <v>1.3</v>
      </c>
      <c r="H21" s="287" t="n">
        <v>6.9</v>
      </c>
      <c r="I21" s="287" t="n">
        <v>67.40000000000001</v>
      </c>
      <c r="J21" s="287" t="n">
        <v>17.7</v>
      </c>
      <c r="K21" s="287" t="n">
        <v>7.9</v>
      </c>
      <c r="L21" s="287" t="n">
        <v>11.7</v>
      </c>
      <c r="M21" s="287" t="n">
        <v>47.4</v>
      </c>
    </row>
    <row r="22" ht="14" customHeight="1" s="227">
      <c r="A22" s="28" t="inlineStr">
        <is>
          <t>Prey Veng</t>
        </is>
      </c>
      <c r="B22" s="287" t="n">
        <v>40.9</v>
      </c>
      <c r="C22" s="287" t="n">
        <v>31.1</v>
      </c>
      <c r="D22" s="287" t="n">
        <v>35.5</v>
      </c>
      <c r="E22" s="287" t="n">
        <v>42.3</v>
      </c>
      <c r="F22" s="287" t="n">
        <v>1.2</v>
      </c>
      <c r="G22" s="287" t="n">
        <v>1.3</v>
      </c>
      <c r="H22" s="287" t="n">
        <v>6.6</v>
      </c>
      <c r="I22" s="287" t="n">
        <v>63.5</v>
      </c>
      <c r="J22" s="287" t="n">
        <v>20.1</v>
      </c>
      <c r="K22" s="287" t="n">
        <v>9.800000000000001</v>
      </c>
      <c r="L22" s="287" t="n">
        <v>23.9</v>
      </c>
      <c r="M22" s="287" t="n">
        <v>42</v>
      </c>
    </row>
    <row r="23" ht="14" customHeight="1" s="227">
      <c r="A23" s="28" t="inlineStr">
        <is>
          <t>Pursat</t>
        </is>
      </c>
      <c r="B23" s="287" t="n">
        <v>33.2</v>
      </c>
      <c r="C23" s="287" t="n">
        <v>27.8</v>
      </c>
      <c r="D23" s="287" t="n">
        <v>32.6</v>
      </c>
      <c r="E23" s="287" t="n">
        <v>43.3</v>
      </c>
      <c r="F23" s="287" t="n">
        <v>1.3</v>
      </c>
      <c r="G23" s="287" t="n">
        <v>1.3</v>
      </c>
      <c r="H23" s="287" t="n">
        <v>8</v>
      </c>
      <c r="I23" s="287" t="n">
        <v>66.09999999999999</v>
      </c>
      <c r="J23" s="287" t="n">
        <v>17.5</v>
      </c>
      <c r="K23" s="287" t="n">
        <v>8.4</v>
      </c>
      <c r="L23" s="287" t="n">
        <v>16.2</v>
      </c>
      <c r="M23" s="287" t="n">
        <v>44.6</v>
      </c>
    </row>
    <row r="24" ht="14" customHeight="1" s="227">
      <c r="A24" s="28" t="inlineStr">
        <is>
          <t>Ratanak Kiri</t>
        </is>
      </c>
      <c r="B24" s="287" t="n">
        <v>42.5</v>
      </c>
      <c r="C24" s="287" t="n">
        <v>38.7</v>
      </c>
      <c r="D24" s="287" t="n">
        <v>31.8</v>
      </c>
      <c r="E24" s="287" t="n">
        <v>46.8</v>
      </c>
      <c r="F24" s="287" t="n">
        <v>1.5</v>
      </c>
      <c r="G24" s="287" t="n">
        <v>1</v>
      </c>
      <c r="H24" s="287" t="n">
        <v>4.5</v>
      </c>
      <c r="I24" s="287" t="n">
        <v>75.7</v>
      </c>
      <c r="J24" s="287" t="n">
        <v>14.1</v>
      </c>
      <c r="K24" s="287" t="n">
        <v>5.7</v>
      </c>
      <c r="L24" s="287" t="n">
        <v>8.800000000000001</v>
      </c>
      <c r="M24" s="287" t="n">
        <v>44.3</v>
      </c>
    </row>
    <row r="25" ht="14" customHeight="1" s="227">
      <c r="A25" s="28" t="inlineStr">
        <is>
          <t>Siemreap</t>
        </is>
      </c>
      <c r="B25" s="287" t="n">
        <v>44.7</v>
      </c>
      <c r="C25" s="287" t="n">
        <v>36</v>
      </c>
      <c r="D25" s="287" t="n">
        <v>38.4</v>
      </c>
      <c r="E25" s="287" t="n">
        <v>51.6</v>
      </c>
      <c r="F25" s="287" t="n">
        <v>1.3</v>
      </c>
      <c r="G25" s="287" t="n">
        <v>1.1</v>
      </c>
      <c r="H25" s="287" t="n">
        <v>9.800000000000001</v>
      </c>
      <c r="I25" s="287" t="n">
        <v>61.9</v>
      </c>
      <c r="J25" s="287" t="n">
        <v>18.4</v>
      </c>
      <c r="K25" s="287" t="n">
        <v>9.9</v>
      </c>
      <c r="L25" s="287" t="n">
        <v>19.6</v>
      </c>
      <c r="M25" s="287" t="n">
        <v>57.3</v>
      </c>
    </row>
    <row r="26" ht="14" customHeight="1" s="227">
      <c r="A26" s="28" t="inlineStr">
        <is>
          <t>Stung Treng</t>
        </is>
      </c>
      <c r="B26" s="287" t="n">
        <v>27.9</v>
      </c>
      <c r="C26" s="287" t="n">
        <v>24.5</v>
      </c>
      <c r="D26" s="287" t="n">
        <v>25</v>
      </c>
      <c r="E26" s="287" t="n">
        <v>37.4</v>
      </c>
      <c r="F26" s="287" t="n">
        <v>1.5</v>
      </c>
      <c r="G26" s="287" t="n">
        <v>2.8</v>
      </c>
      <c r="H26" s="287" t="n">
        <v>3.6</v>
      </c>
      <c r="I26" s="287" t="n">
        <v>76</v>
      </c>
      <c r="J26" s="287" t="n">
        <v>13.9</v>
      </c>
      <c r="K26" s="287" t="n">
        <v>6.6</v>
      </c>
      <c r="L26" s="287" t="n">
        <v>12.2</v>
      </c>
      <c r="M26" s="287" t="n">
        <v>51.6</v>
      </c>
    </row>
    <row r="27" ht="14" customHeight="1" s="227">
      <c r="A27" s="28" t="inlineStr">
        <is>
          <t>Svay Rieng</t>
        </is>
      </c>
      <c r="B27" s="287" t="n">
        <v>32</v>
      </c>
      <c r="C27" s="287" t="n">
        <v>25.6</v>
      </c>
      <c r="D27" s="287" t="n">
        <v>35.3</v>
      </c>
      <c r="E27" s="287" t="n">
        <v>41.6</v>
      </c>
      <c r="F27" s="287" t="n">
        <v>1.2</v>
      </c>
      <c r="G27" s="287" t="n">
        <v>1.3</v>
      </c>
      <c r="H27" s="287" t="n">
        <v>6.6</v>
      </c>
      <c r="I27" s="287" t="n">
        <v>61.1</v>
      </c>
      <c r="J27" s="287" t="n">
        <v>21.4</v>
      </c>
      <c r="K27" s="287" t="n">
        <v>11</v>
      </c>
      <c r="L27" s="287" t="n">
        <v>20.1</v>
      </c>
      <c r="M27" s="287" t="n">
        <v>34.7</v>
      </c>
    </row>
    <row r="28" ht="14" customHeight="1" s="227">
      <c r="A28" s="28" t="inlineStr">
        <is>
          <t>Takeo</t>
        </is>
      </c>
      <c r="B28" s="287" t="n">
        <v>31.8</v>
      </c>
      <c r="C28" s="287" t="n">
        <v>25.2</v>
      </c>
      <c r="D28" s="287" t="n">
        <v>35.7</v>
      </c>
      <c r="E28" s="287" t="n">
        <v>39.6</v>
      </c>
      <c r="F28" s="287" t="n">
        <v>1.1</v>
      </c>
      <c r="G28" s="287" t="n">
        <v>1.6</v>
      </c>
      <c r="H28" s="287" t="n">
        <v>5.9</v>
      </c>
      <c r="I28" s="287" t="n">
        <v>57.4</v>
      </c>
      <c r="J28" s="287" t="n">
        <v>22.6</v>
      </c>
      <c r="K28" s="287" t="n">
        <v>14.1</v>
      </c>
      <c r="L28" s="287" t="n">
        <v>20.7</v>
      </c>
      <c r="M28" s="287" t="n">
        <v>36.9</v>
      </c>
    </row>
    <row r="29" ht="14" customHeight="1" s="227">
      <c r="A29" s="28" t="inlineStr">
        <is>
          <t>Tbaung Khmum</t>
        </is>
      </c>
      <c r="B29" s="287" t="n">
        <v>45.8</v>
      </c>
      <c r="C29" s="287" t="n">
        <v>38.5</v>
      </c>
      <c r="D29" s="287" t="n">
        <v>37.1</v>
      </c>
      <c r="E29" s="287" t="n">
        <v>49.2</v>
      </c>
      <c r="F29" s="287" t="n">
        <v>1.3</v>
      </c>
      <c r="G29" s="287" t="n">
        <v>1.1</v>
      </c>
      <c r="H29" s="287" t="n">
        <v>7.8</v>
      </c>
      <c r="I29" s="287" t="n">
        <v>67.2</v>
      </c>
      <c r="J29" s="287" t="n">
        <v>17.5</v>
      </c>
      <c r="K29" s="287" t="n">
        <v>7.6</v>
      </c>
      <c r="L29" s="287" t="n">
        <v>15.9</v>
      </c>
      <c r="M29" s="287" t="n">
        <v>50.3</v>
      </c>
    </row>
    <row r="30" ht="16" customHeight="1" s="227">
      <c r="A30" s="22" t="inlineStr">
        <is>
          <t>Whole Kingdom</t>
        </is>
      </c>
      <c r="B30" s="287" t="n">
        <v>34</v>
      </c>
      <c r="C30" s="287" t="n">
        <v>28.3</v>
      </c>
      <c r="D30" s="287" t="n">
        <v>35.5</v>
      </c>
      <c r="E30" s="287" t="n">
        <v>45.7</v>
      </c>
      <c r="F30" s="287" t="n">
        <v>1.3</v>
      </c>
      <c r="G30" s="287" t="n">
        <v>2</v>
      </c>
      <c r="H30" s="287" t="n">
        <v>6.8</v>
      </c>
      <c r="I30" s="287" t="n">
        <v>64</v>
      </c>
      <c r="J30" s="287" t="n">
        <v>19.1</v>
      </c>
      <c r="K30" s="287" t="n">
        <v>10.1</v>
      </c>
      <c r="L30" s="287" t="n">
        <v>16.9</v>
      </c>
      <c r="M30" s="287" t="n">
        <v>48.2</v>
      </c>
    </row>
    <row r="31" ht="14" customHeight="1" s="227">
      <c r="A31" s="28" t="inlineStr">
        <is>
          <t>-  Urban Area</t>
        </is>
      </c>
      <c r="B31" s="287" t="n">
        <v>25.4</v>
      </c>
      <c r="C31" s="287" t="n">
        <v>22.1</v>
      </c>
      <c r="D31" s="287" t="n">
        <v>39.3</v>
      </c>
      <c r="E31" s="287" t="n">
        <v>51.2</v>
      </c>
      <c r="F31" s="287" t="n">
        <v>1.3</v>
      </c>
      <c r="G31" s="287" t="n">
        <v>4.4</v>
      </c>
      <c r="H31" s="287" t="n">
        <v>6.5</v>
      </c>
      <c r="I31" s="287" t="n">
        <v>57.1</v>
      </c>
      <c r="J31" s="287" t="n">
        <v>20.3</v>
      </c>
      <c r="K31" s="287" t="n">
        <v>16.2</v>
      </c>
      <c r="L31" s="287" t="n">
        <v>13</v>
      </c>
      <c r="M31" s="287" t="n">
        <v>55.6</v>
      </c>
    </row>
    <row r="32" ht="14" customHeight="1" s="227">
      <c r="A32" s="28" t="inlineStr">
        <is>
          <t>-  Rural Area</t>
        </is>
      </c>
      <c r="B32" s="287" t="n">
        <v>36.9</v>
      </c>
      <c r="C32" s="287" t="n">
        <v>30.2</v>
      </c>
      <c r="D32" s="287" t="n">
        <v>34.7</v>
      </c>
      <c r="E32" s="287" t="n">
        <v>44.6</v>
      </c>
      <c r="F32" s="287" t="n">
        <v>1.3</v>
      </c>
      <c r="G32" s="287" t="n">
        <v>1.4</v>
      </c>
      <c r="H32" s="287" t="n">
        <v>6.9</v>
      </c>
      <c r="I32" s="287" t="n">
        <v>65.59999999999999</v>
      </c>
      <c r="J32" s="287" t="n">
        <v>18.9</v>
      </c>
      <c r="K32" s="287" t="n">
        <v>8.699999999999999</v>
      </c>
      <c r="L32" s="287" t="n">
        <v>18.1</v>
      </c>
      <c r="M32" s="287" t="n">
        <v>45.9</v>
      </c>
    </row>
  </sheetData>
  <mergeCells count="6">
    <mergeCell ref="L2:M2"/>
    <mergeCell ref="A1:M1"/>
    <mergeCell ref="A2:A4"/>
    <mergeCell ref="H3:H4"/>
    <mergeCell ref="H2:K2"/>
    <mergeCell ref="I3:I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tabColor rgb="007030A0"/>
    <outlinePr summaryBelow="1" summaryRight="1"/>
    <pageSetUpPr/>
  </sheetPr>
  <dimension ref="A1:K32"/>
  <sheetViews>
    <sheetView tabSelected="1" workbookViewId="0">
      <selection activeCell="A1" sqref="A1"/>
    </sheetView>
  </sheetViews>
  <sheetFormatPr baseColWidth="8" defaultRowHeight="15"/>
  <cols>
    <col width="26.222222" customWidth="1" style="227" min="1" max="1"/>
    <col width="14" customWidth="1" style="227" min="2" max="2"/>
    <col width="14" customWidth="1" style="227" min="3" max="3"/>
    <col width="14.222222" customWidth="1" style="227" min="4" max="4"/>
    <col width="14" customWidth="1" style="227" min="5" max="5"/>
    <col width="14" customWidth="1" style="227" min="6" max="6"/>
    <col width="14" customWidth="1" style="227" min="7" max="7"/>
    <col width="14" customWidth="1" style="227" min="8" max="8"/>
    <col width="14.222222" customWidth="1" style="227" min="9" max="9"/>
    <col width="14" customWidth="1" style="227" min="10" max="10"/>
    <col width="14" customWidth="1" style="227" min="11" max="11"/>
  </cols>
  <sheetData>
    <row r="1" ht="30" customHeight="1" s="227">
      <c r="A1" s="34" t="inlineStr">
        <is>
          <t>Table 7: Indicators on Primary Students and Staff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</row>
    <row r="2" ht="16" customHeight="1" s="227">
      <c r="A2" s="133" t="inlineStr">
        <is>
          <t>Province</t>
        </is>
      </c>
      <c r="B2" s="132" t="inlineStr">
        <is>
          <t>Pupil</t>
        </is>
      </c>
      <c r="C2" s="105" t="inlineStr">
        <is>
          <t>Pupil</t>
        </is>
      </c>
      <c r="D2" s="105" t="inlineStr">
        <is>
          <t>Pupil</t>
        </is>
      </c>
      <c r="E2" s="132" t="inlineStr">
        <is>
          <t>Pupil</t>
        </is>
      </c>
      <c r="F2" s="105" t="inlineStr">
        <is>
          <t>Classes</t>
        </is>
      </c>
      <c r="G2" s="106" t="inlineStr">
        <is>
          <t>Classroom</t>
        </is>
      </c>
      <c r="H2" s="164" t="inlineStr">
        <is>
          <t>Percentage of</t>
        </is>
      </c>
      <c r="I2" s="257" t="n"/>
      <c r="J2" s="102" t="inlineStr">
        <is>
          <t>Percentage of Female in</t>
        </is>
      </c>
      <c r="K2" s="257" t="n"/>
    </row>
    <row r="3" ht="16" customHeight="1" s="227">
      <c r="A3" s="273" t="n"/>
      <c r="B3" s="151" t="inlineStr">
        <is>
          <t>Teacher</t>
        </is>
      </c>
      <c r="C3" s="167" t="inlineStr">
        <is>
          <t>Staff</t>
        </is>
      </c>
      <c r="D3" s="151" t="inlineStr">
        <is>
          <t>Class</t>
        </is>
      </c>
      <c r="E3" s="153" t="inlineStr">
        <is>
          <t>Classroom</t>
        </is>
      </c>
      <c r="F3" s="116" t="inlineStr">
        <is>
          <t>per</t>
        </is>
      </c>
      <c r="G3" s="151" t="inlineStr">
        <is>
          <t>Area (m2)</t>
        </is>
      </c>
      <c r="H3" s="107" t="inlineStr">
        <is>
          <t>Non-teaching</t>
        </is>
      </c>
      <c r="I3" s="105" t="inlineStr">
        <is>
          <t>Female</t>
        </is>
      </c>
      <c r="J3" s="105" t="inlineStr">
        <is>
          <t>Teaching</t>
        </is>
      </c>
      <c r="K3" s="107" t="inlineStr">
        <is>
          <t>Non-teaching</t>
        </is>
      </c>
    </row>
    <row r="4" ht="15" customHeight="1" s="227">
      <c r="A4" s="258" t="n"/>
      <c r="B4" s="154" t="inlineStr">
        <is>
          <t>Ratio</t>
        </is>
      </c>
      <c r="C4" s="118" t="inlineStr">
        <is>
          <t>Ratio</t>
        </is>
      </c>
      <c r="D4" s="118" t="inlineStr">
        <is>
          <t>Ratio</t>
        </is>
      </c>
      <c r="E4" s="154" t="inlineStr">
        <is>
          <t>Ratio</t>
        </is>
      </c>
      <c r="F4" s="117" t="inlineStr">
        <is>
          <t>Classroom</t>
        </is>
      </c>
      <c r="G4" s="118" t="inlineStr">
        <is>
          <t>per Pupil</t>
        </is>
      </c>
      <c r="H4" s="154" t="inlineStr">
        <is>
          <t>Staff</t>
        </is>
      </c>
      <c r="I4" s="154" t="inlineStr">
        <is>
          <t>Staff</t>
        </is>
      </c>
      <c r="J4" s="154" t="inlineStr">
        <is>
          <t>Staff</t>
        </is>
      </c>
      <c r="K4" s="154" t="inlineStr">
        <is>
          <t>Staff</t>
        </is>
      </c>
    </row>
    <row r="5" ht="14" customHeight="1" s="227">
      <c r="A5" s="28" t="inlineStr">
        <is>
          <t>Banteay Meanchey</t>
        </is>
      </c>
      <c r="B5" s="287" t="n">
        <v>33.3</v>
      </c>
      <c r="C5" s="287" t="n">
        <v>27.9</v>
      </c>
      <c r="D5" s="287" t="n">
        <v>30.2</v>
      </c>
      <c r="E5" s="287" t="n">
        <v>42.6</v>
      </c>
      <c r="F5" s="287" t="n">
        <v>1.4</v>
      </c>
      <c r="G5" s="287" t="n">
        <v>1.3</v>
      </c>
      <c r="H5" s="287" t="n">
        <v>16</v>
      </c>
      <c r="I5" s="287" t="n">
        <v>50.3</v>
      </c>
      <c r="J5" s="287" t="n">
        <v>56.6</v>
      </c>
      <c r="K5" s="287" t="n">
        <v>17.6</v>
      </c>
    </row>
    <row r="6" ht="14" customHeight="1" s="227">
      <c r="A6" s="28" t="inlineStr">
        <is>
          <t>Battambang</t>
        </is>
      </c>
      <c r="B6" s="287" t="n">
        <v>47.3</v>
      </c>
      <c r="C6" s="287" t="n">
        <v>35</v>
      </c>
      <c r="D6" s="287" t="n">
        <v>31</v>
      </c>
      <c r="E6" s="287" t="n">
        <v>45.6</v>
      </c>
      <c r="F6" s="287" t="n">
        <v>1.5</v>
      </c>
      <c r="G6" s="287" t="n">
        <v>1.3</v>
      </c>
      <c r="H6" s="287" t="n">
        <v>26</v>
      </c>
      <c r="I6" s="287" t="n">
        <v>57.1</v>
      </c>
      <c r="J6" s="287" t="n">
        <v>63.9</v>
      </c>
      <c r="K6" s="287" t="n">
        <v>38</v>
      </c>
    </row>
    <row r="7" ht="14" customHeight="1" s="227">
      <c r="A7" s="28" t="inlineStr">
        <is>
          <t>Kampong Cham</t>
        </is>
      </c>
      <c r="B7" s="287" t="n">
        <v>54.4</v>
      </c>
      <c r="C7" s="287" t="n">
        <v>38.9</v>
      </c>
      <c r="D7" s="287" t="n">
        <v>36.6</v>
      </c>
      <c r="E7" s="287" t="n">
        <v>49.5</v>
      </c>
      <c r="F7" s="287" t="n">
        <v>1.4</v>
      </c>
      <c r="G7" s="287" t="n">
        <v>1.1</v>
      </c>
      <c r="H7" s="287" t="n">
        <v>28.5</v>
      </c>
      <c r="I7" s="287" t="n">
        <v>56.9</v>
      </c>
      <c r="J7" s="287" t="n">
        <v>63.7</v>
      </c>
      <c r="K7" s="287" t="n">
        <v>39.6</v>
      </c>
    </row>
    <row r="8" ht="14" customHeight="1" s="227">
      <c r="A8" s="28" t="inlineStr">
        <is>
          <t>Kampong Chhnang</t>
        </is>
      </c>
      <c r="B8" s="287" t="n">
        <v>41.8</v>
      </c>
      <c r="C8" s="287" t="n">
        <v>33.6</v>
      </c>
      <c r="D8" s="287" t="n">
        <v>33.2</v>
      </c>
      <c r="E8" s="287" t="n">
        <v>49.2</v>
      </c>
      <c r="F8" s="287" t="n">
        <v>1.5</v>
      </c>
      <c r="G8" s="287" t="n">
        <v>1.1</v>
      </c>
      <c r="H8" s="287" t="n">
        <v>19.6</v>
      </c>
      <c r="I8" s="287" t="n">
        <v>45.1</v>
      </c>
      <c r="J8" s="287" t="n">
        <v>50</v>
      </c>
      <c r="K8" s="287" t="n">
        <v>24.9</v>
      </c>
    </row>
    <row r="9" ht="14" customHeight="1" s="227">
      <c r="A9" s="28" t="inlineStr">
        <is>
          <t>Kampong Speu</t>
        </is>
      </c>
      <c r="B9" s="287" t="n">
        <v>49.8</v>
      </c>
      <c r="C9" s="287" t="n">
        <v>41.3</v>
      </c>
      <c r="D9" s="287" t="n">
        <v>38.2</v>
      </c>
      <c r="E9" s="287" t="n">
        <v>52.1</v>
      </c>
      <c r="F9" s="287" t="n">
        <v>1.4</v>
      </c>
      <c r="G9" s="287" t="n">
        <v>1.2</v>
      </c>
      <c r="H9" s="287" t="n">
        <v>17.2</v>
      </c>
      <c r="I9" s="287" t="n">
        <v>40.9</v>
      </c>
      <c r="J9" s="287" t="n">
        <v>45.8</v>
      </c>
      <c r="K9" s="287" t="n">
        <v>17.1</v>
      </c>
    </row>
    <row r="10" ht="14" customHeight="1" s="227">
      <c r="A10" s="28" t="inlineStr">
        <is>
          <t>Kampong Thom</t>
        </is>
      </c>
      <c r="B10" s="287" t="n">
        <v>41.5</v>
      </c>
      <c r="C10" s="287" t="n">
        <v>35.3</v>
      </c>
      <c r="D10" s="287" t="n">
        <v>30.4</v>
      </c>
      <c r="E10" s="287" t="n">
        <v>42</v>
      </c>
      <c r="F10" s="287" t="n">
        <v>1.4</v>
      </c>
      <c r="G10" s="287" t="n">
        <v>1.3</v>
      </c>
      <c r="H10" s="287" t="n">
        <v>14.9</v>
      </c>
      <c r="I10" s="287" t="n">
        <v>52.2</v>
      </c>
      <c r="J10" s="287" t="n">
        <v>56.4</v>
      </c>
      <c r="K10" s="287" t="n">
        <v>28.3</v>
      </c>
    </row>
    <row r="11" ht="14" customHeight="1" s="227">
      <c r="A11" s="28" t="inlineStr">
        <is>
          <t>Kampot</t>
        </is>
      </c>
      <c r="B11" s="287" t="n">
        <v>34.1</v>
      </c>
      <c r="C11" s="287" t="n">
        <v>27.7</v>
      </c>
      <c r="D11" s="287" t="n">
        <v>32</v>
      </c>
      <c r="E11" s="287" t="n">
        <v>40.4</v>
      </c>
      <c r="F11" s="287" t="n">
        <v>1.3</v>
      </c>
      <c r="G11" s="287" t="n">
        <v>1.4</v>
      </c>
      <c r="H11" s="287" t="n">
        <v>18.6</v>
      </c>
      <c r="I11" s="287" t="n">
        <v>45.1</v>
      </c>
      <c r="J11" s="287" t="n">
        <v>51.1</v>
      </c>
      <c r="K11" s="287" t="n">
        <v>18.6</v>
      </c>
    </row>
    <row r="12" ht="14" customHeight="1" s="227">
      <c r="A12" s="28" t="inlineStr">
        <is>
          <t>Kandal</t>
        </is>
      </c>
      <c r="B12" s="287" t="n">
        <v>65</v>
      </c>
      <c r="C12" s="287" t="n">
        <v>48.3</v>
      </c>
      <c r="D12" s="287" t="n">
        <v>37.2</v>
      </c>
      <c r="E12" s="287" t="n">
        <v>51.5</v>
      </c>
      <c r="F12" s="287" t="n">
        <v>1.4</v>
      </c>
      <c r="G12" s="287" t="n">
        <v>1.9</v>
      </c>
      <c r="H12" s="287" t="n">
        <v>25.6</v>
      </c>
      <c r="I12" s="287" t="n">
        <v>54.7</v>
      </c>
      <c r="J12" s="287" t="n">
        <v>63.3</v>
      </c>
      <c r="K12" s="287" t="n">
        <v>29.6</v>
      </c>
    </row>
    <row r="13" ht="14" customHeight="1" s="227">
      <c r="A13" s="28" t="inlineStr">
        <is>
          <t>Kep</t>
        </is>
      </c>
      <c r="B13" s="287" t="n">
        <v>25.3</v>
      </c>
      <c r="C13" s="287" t="n">
        <v>19.4</v>
      </c>
      <c r="D13" s="287" t="n">
        <v>29.8</v>
      </c>
      <c r="E13" s="287" t="n">
        <v>35.9</v>
      </c>
      <c r="F13" s="287" t="n">
        <v>1.2</v>
      </c>
      <c r="G13" s="287" t="n">
        <v>1.7</v>
      </c>
      <c r="H13" s="287" t="n">
        <v>23.2</v>
      </c>
      <c r="I13" s="287" t="n">
        <v>47.1</v>
      </c>
      <c r="J13" s="287" t="n">
        <v>56.9</v>
      </c>
      <c r="K13" s="287" t="n">
        <v>14.8</v>
      </c>
    </row>
    <row r="14" ht="14" customHeight="1" s="227">
      <c r="A14" s="28" t="inlineStr">
        <is>
          <t>Koh Kong</t>
        </is>
      </c>
      <c r="B14" s="287" t="n">
        <v>27.1</v>
      </c>
      <c r="C14" s="287" t="n">
        <v>23.2</v>
      </c>
      <c r="D14" s="287" t="n">
        <v>20.9</v>
      </c>
      <c r="E14" s="287" t="n">
        <v>32.6</v>
      </c>
      <c r="F14" s="287" t="n">
        <v>1.6</v>
      </c>
      <c r="G14" s="287" t="n">
        <v>1.6</v>
      </c>
      <c r="H14" s="287" t="n">
        <v>14.3</v>
      </c>
      <c r="I14" s="287" t="n">
        <v>47.4</v>
      </c>
      <c r="J14" s="287" t="n">
        <v>49.9</v>
      </c>
      <c r="K14" s="287" t="n">
        <v>32</v>
      </c>
    </row>
    <row r="15" ht="14" customHeight="1" s="227">
      <c r="A15" s="28" t="inlineStr">
        <is>
          <t>Kratie</t>
        </is>
      </c>
      <c r="B15" s="287" t="n">
        <v>43.6</v>
      </c>
      <c r="C15" s="287" t="n">
        <v>37.2</v>
      </c>
      <c r="D15" s="287" t="n">
        <v>29.1</v>
      </c>
      <c r="E15" s="287" t="n">
        <v>46.2</v>
      </c>
      <c r="F15" s="287" t="n">
        <v>1.6</v>
      </c>
      <c r="G15" s="287" t="n">
        <v>1.3</v>
      </c>
      <c r="H15" s="287" t="n">
        <v>14.6</v>
      </c>
      <c r="I15" s="287" t="n">
        <v>62.1</v>
      </c>
      <c r="J15" s="287" t="n">
        <v>66.5</v>
      </c>
      <c r="K15" s="287" t="n">
        <v>36.5</v>
      </c>
    </row>
    <row r="16" ht="13" customHeight="1" s="227">
      <c r="A16" s="28" t="inlineStr">
        <is>
          <t>Mondul Kiri</t>
        </is>
      </c>
      <c r="B16" s="287" t="n">
        <v>25.9</v>
      </c>
      <c r="C16" s="287" t="n">
        <v>24.5</v>
      </c>
      <c r="D16" s="287" t="n">
        <v>22.4</v>
      </c>
      <c r="E16" s="287" t="n">
        <v>34.1</v>
      </c>
      <c r="F16" s="287" t="n">
        <v>1.5</v>
      </c>
      <c r="G16" s="287" t="n">
        <v>1.2</v>
      </c>
      <c r="H16" s="287" t="n">
        <v>5.4</v>
      </c>
      <c r="I16" s="287" t="n">
        <v>47.2</v>
      </c>
      <c r="J16" s="287" t="n">
        <v>48.5</v>
      </c>
      <c r="K16" s="287" t="n">
        <v>25</v>
      </c>
    </row>
    <row r="17" ht="14" customHeight="1" s="227">
      <c r="A17" s="28" t="inlineStr">
        <is>
          <t>Otdar Meanchey</t>
        </is>
      </c>
      <c r="B17" s="287" t="n">
        <v>39.1</v>
      </c>
      <c r="C17" s="287" t="n">
        <v>31.3</v>
      </c>
      <c r="D17" s="287" t="n">
        <v>24.9</v>
      </c>
      <c r="E17" s="287" t="n">
        <v>37.1</v>
      </c>
      <c r="F17" s="287" t="n">
        <v>1.5</v>
      </c>
      <c r="G17" s="287" t="n">
        <v>1.5</v>
      </c>
      <c r="H17" s="287" t="n">
        <v>19.8</v>
      </c>
      <c r="I17" s="287" t="n">
        <v>40.9</v>
      </c>
      <c r="J17" s="287" t="n">
        <v>45.4</v>
      </c>
      <c r="K17" s="287" t="n">
        <v>22.9</v>
      </c>
    </row>
    <row r="18" ht="14" customHeight="1" s="227">
      <c r="A18" s="28" t="inlineStr">
        <is>
          <t>Pailin</t>
        </is>
      </c>
      <c r="B18" s="287" t="n">
        <v>35.2</v>
      </c>
      <c r="C18" s="287" t="n">
        <v>31.2</v>
      </c>
      <c r="D18" s="287" t="n">
        <v>28.9</v>
      </c>
      <c r="E18" s="287" t="n">
        <v>41.1</v>
      </c>
      <c r="F18" s="287" t="n">
        <v>1.4</v>
      </c>
      <c r="G18" s="287" t="n">
        <v>1</v>
      </c>
      <c r="H18" s="287" t="n">
        <v>11.5</v>
      </c>
      <c r="I18" s="287" t="n">
        <v>52.9</v>
      </c>
      <c r="J18" s="287" t="n">
        <v>55.6</v>
      </c>
      <c r="K18" s="287" t="n">
        <v>31.6</v>
      </c>
    </row>
    <row r="19" ht="14" customHeight="1" s="227">
      <c r="A19" s="28" t="inlineStr">
        <is>
          <t>Phnom Penh</t>
        </is>
      </c>
      <c r="B19" s="287" t="n">
        <v>38.1</v>
      </c>
      <c r="C19" s="287" t="n">
        <v>33.3</v>
      </c>
      <c r="D19" s="287" t="n">
        <v>41.3</v>
      </c>
      <c r="E19" s="287" t="n">
        <v>62</v>
      </c>
      <c r="F19" s="287" t="n">
        <v>1.5</v>
      </c>
      <c r="G19" s="287" t="n">
        <v>1.4</v>
      </c>
      <c r="H19" s="287" t="n">
        <v>12.5</v>
      </c>
      <c r="I19" s="287" t="n">
        <v>71.09999999999999</v>
      </c>
      <c r="J19" s="287" t="n">
        <v>75.09999999999999</v>
      </c>
      <c r="K19" s="287" t="n">
        <v>43.5</v>
      </c>
    </row>
    <row r="20" ht="14" customHeight="1" s="227">
      <c r="A20" s="28" t="inlineStr">
        <is>
          <t>Preah Sihanouk</t>
        </is>
      </c>
      <c r="B20" s="287" t="n">
        <v>32.3</v>
      </c>
      <c r="C20" s="287" t="n">
        <v>27.4</v>
      </c>
      <c r="D20" s="287" t="n">
        <v>32.8</v>
      </c>
      <c r="E20" s="287" t="n">
        <v>48.2</v>
      </c>
      <c r="F20" s="287" t="n">
        <v>1.5</v>
      </c>
      <c r="G20" s="287" t="n">
        <v>1.5</v>
      </c>
      <c r="H20" s="287" t="n">
        <v>15.1</v>
      </c>
      <c r="I20" s="287" t="n">
        <v>52.3</v>
      </c>
      <c r="J20" s="287" t="n">
        <v>55.7</v>
      </c>
      <c r="K20" s="287" t="n">
        <v>33.1</v>
      </c>
    </row>
    <row r="21" ht="14" customHeight="1" s="227">
      <c r="A21" s="28" t="inlineStr">
        <is>
          <t>Preah Vihear</t>
        </is>
      </c>
      <c r="B21" s="287" t="n">
        <v>31</v>
      </c>
      <c r="C21" s="287" t="n">
        <v>26.7</v>
      </c>
      <c r="D21" s="287" t="n">
        <v>24.3</v>
      </c>
      <c r="E21" s="287" t="n">
        <v>35</v>
      </c>
      <c r="F21" s="287" t="n">
        <v>1.4</v>
      </c>
      <c r="G21" s="287" t="n">
        <v>1.3</v>
      </c>
      <c r="H21" s="287" t="n">
        <v>14</v>
      </c>
      <c r="I21" s="287" t="n">
        <v>49.5</v>
      </c>
      <c r="J21" s="287" t="n">
        <v>53.6</v>
      </c>
      <c r="K21" s="287" t="n">
        <v>24.5</v>
      </c>
    </row>
    <row r="22" ht="14" customHeight="1" s="227">
      <c r="A22" s="28" t="inlineStr">
        <is>
          <t>Prey Veng</t>
        </is>
      </c>
      <c r="B22" s="287" t="n">
        <v>53.9</v>
      </c>
      <c r="C22" s="287" t="n">
        <v>37.5</v>
      </c>
      <c r="D22" s="287" t="n">
        <v>32.9</v>
      </c>
      <c r="E22" s="287" t="n">
        <v>43.3</v>
      </c>
      <c r="F22" s="287" t="n">
        <v>1.3</v>
      </c>
      <c r="G22" s="287" t="n">
        <v>1.3</v>
      </c>
      <c r="H22" s="287" t="n">
        <v>30.5</v>
      </c>
      <c r="I22" s="287" t="n">
        <v>42.1</v>
      </c>
      <c r="J22" s="287" t="n">
        <v>48.8</v>
      </c>
      <c r="K22" s="287" t="n">
        <v>26.8</v>
      </c>
    </row>
    <row r="23" ht="14" customHeight="1" s="227">
      <c r="A23" s="28" t="inlineStr">
        <is>
          <t>Pursat</t>
        </is>
      </c>
      <c r="B23" s="287" t="n">
        <v>44</v>
      </c>
      <c r="C23" s="287" t="n">
        <v>35.2</v>
      </c>
      <c r="D23" s="287" t="n">
        <v>29.9</v>
      </c>
      <c r="E23" s="287" t="n">
        <v>44.6</v>
      </c>
      <c r="F23" s="287" t="n">
        <v>1.5</v>
      </c>
      <c r="G23" s="287" t="n">
        <v>1.2</v>
      </c>
      <c r="H23" s="287" t="n">
        <v>20.1</v>
      </c>
      <c r="I23" s="287" t="n">
        <v>48.2</v>
      </c>
      <c r="J23" s="287" t="n">
        <v>53.5</v>
      </c>
      <c r="K23" s="287" t="n">
        <v>27.3</v>
      </c>
    </row>
    <row r="24" ht="14" customHeight="1" s="227">
      <c r="A24" s="28" t="inlineStr">
        <is>
          <t>Ratanak Kiri</t>
        </is>
      </c>
      <c r="B24" s="287" t="n">
        <v>52.8</v>
      </c>
      <c r="C24" s="287" t="n">
        <v>47.9</v>
      </c>
      <c r="D24" s="287" t="n">
        <v>29.4</v>
      </c>
      <c r="E24" s="287" t="n">
        <v>46.7</v>
      </c>
      <c r="F24" s="287" t="n">
        <v>1.6</v>
      </c>
      <c r="G24" s="287" t="n">
        <v>1</v>
      </c>
      <c r="H24" s="287" t="n">
        <v>9.300000000000001</v>
      </c>
      <c r="I24" s="287" t="n">
        <v>43.3</v>
      </c>
      <c r="J24" s="287" t="n">
        <v>45.7</v>
      </c>
      <c r="K24" s="287" t="n">
        <v>20</v>
      </c>
    </row>
    <row r="25" ht="14" customHeight="1" s="227">
      <c r="A25" s="28" t="inlineStr">
        <is>
          <t>Siemreap</t>
        </is>
      </c>
      <c r="B25" s="287" t="n">
        <v>52.9</v>
      </c>
      <c r="C25" s="287" t="n">
        <v>40</v>
      </c>
      <c r="D25" s="287" t="n">
        <v>36.4</v>
      </c>
      <c r="E25" s="287" t="n">
        <v>51.8</v>
      </c>
      <c r="F25" s="287" t="n">
        <v>1.4</v>
      </c>
      <c r="G25" s="287" t="n">
        <v>1.1</v>
      </c>
      <c r="H25" s="287" t="n">
        <v>24.5</v>
      </c>
      <c r="I25" s="287" t="n">
        <v>61.3</v>
      </c>
      <c r="J25" s="287" t="n">
        <v>69.5</v>
      </c>
      <c r="K25" s="287" t="n">
        <v>36.1</v>
      </c>
    </row>
    <row r="26" ht="14" customHeight="1" s="227">
      <c r="A26" s="28" t="inlineStr">
        <is>
          <t>Stung Treng</t>
        </is>
      </c>
      <c r="B26" s="287" t="n">
        <v>34.8</v>
      </c>
      <c r="C26" s="287" t="n">
        <v>30.3</v>
      </c>
      <c r="D26" s="287" t="n">
        <v>22.6</v>
      </c>
      <c r="E26" s="287" t="n">
        <v>37.1</v>
      </c>
      <c r="F26" s="287" t="n">
        <v>1.6</v>
      </c>
      <c r="G26" s="287" t="n">
        <v>2.9</v>
      </c>
      <c r="H26" s="287" t="n">
        <v>13</v>
      </c>
      <c r="I26" s="287" t="n">
        <v>56.9</v>
      </c>
      <c r="J26" s="287" t="n">
        <v>59.7</v>
      </c>
      <c r="K26" s="287" t="n">
        <v>37.8</v>
      </c>
    </row>
    <row r="27" ht="14" customHeight="1" s="227">
      <c r="A27" s="28" t="inlineStr">
        <is>
          <t>Svay Rieng</t>
        </is>
      </c>
      <c r="B27" s="287" t="n">
        <v>42.8</v>
      </c>
      <c r="C27" s="287" t="n">
        <v>32.2</v>
      </c>
      <c r="D27" s="287" t="n">
        <v>32.4</v>
      </c>
      <c r="E27" s="287" t="n">
        <v>40.5</v>
      </c>
      <c r="F27" s="287" t="n">
        <v>1.3</v>
      </c>
      <c r="G27" s="287" t="n">
        <v>1.4</v>
      </c>
      <c r="H27" s="287" t="n">
        <v>24.7</v>
      </c>
      <c r="I27" s="287" t="n">
        <v>36</v>
      </c>
      <c r="J27" s="287" t="n">
        <v>40.8</v>
      </c>
      <c r="K27" s="287" t="n">
        <v>21.3</v>
      </c>
    </row>
    <row r="28" ht="14" customHeight="1" s="227">
      <c r="A28" s="28" t="inlineStr">
        <is>
          <t>Takeo</t>
        </is>
      </c>
      <c r="B28" s="287" t="n">
        <v>40.9</v>
      </c>
      <c r="C28" s="287" t="n">
        <v>30.6</v>
      </c>
      <c r="D28" s="287" t="n">
        <v>33.1</v>
      </c>
      <c r="E28" s="287" t="n">
        <v>38.8</v>
      </c>
      <c r="F28" s="287" t="n">
        <v>1.2</v>
      </c>
      <c r="G28" s="287" t="n">
        <v>1.6</v>
      </c>
      <c r="H28" s="287" t="n">
        <v>25.2</v>
      </c>
      <c r="I28" s="287" t="n">
        <v>38.3</v>
      </c>
      <c r="J28" s="287" t="n">
        <v>43.5</v>
      </c>
      <c r="K28" s="287" t="n">
        <v>23</v>
      </c>
    </row>
    <row r="29" ht="13" customHeight="1" s="227">
      <c r="A29" s="28" t="inlineStr">
        <is>
          <t>Tbaung Khmum</t>
        </is>
      </c>
      <c r="B29" s="287" t="n">
        <v>52.7</v>
      </c>
      <c r="C29" s="287" t="n">
        <v>43</v>
      </c>
      <c r="D29" s="287" t="n">
        <v>35</v>
      </c>
      <c r="E29" s="287" t="n">
        <v>50.9</v>
      </c>
      <c r="F29" s="287" t="n">
        <v>1.5</v>
      </c>
      <c r="G29" s="287" t="n">
        <v>1.1</v>
      </c>
      <c r="H29" s="287" t="n">
        <v>18.5</v>
      </c>
      <c r="I29" s="287" t="n">
        <v>53.7</v>
      </c>
      <c r="J29" s="287" t="n">
        <v>58.6</v>
      </c>
      <c r="K29" s="287" t="n">
        <v>31.8</v>
      </c>
    </row>
    <row r="30" ht="17" customHeight="1" s="227">
      <c r="A30" s="22" t="inlineStr">
        <is>
          <t>Whole Kingdom</t>
        </is>
      </c>
      <c r="B30" s="287" t="n">
        <v>44.5</v>
      </c>
      <c r="C30" s="287" t="n">
        <v>35.3</v>
      </c>
      <c r="D30" s="287" t="n">
        <v>32.8</v>
      </c>
      <c r="E30" s="287" t="n">
        <v>46</v>
      </c>
      <c r="F30" s="287" t="n">
        <v>1.4</v>
      </c>
      <c r="G30" s="287" t="n">
        <v>1.3</v>
      </c>
      <c r="H30" s="287" t="n">
        <v>20.7</v>
      </c>
      <c r="I30" s="287" t="n">
        <v>51.3</v>
      </c>
      <c r="J30" s="287" t="n">
        <v>57</v>
      </c>
      <c r="K30" s="287" t="n">
        <v>29.5</v>
      </c>
    </row>
    <row r="31" ht="14" customHeight="1" s="227">
      <c r="A31" s="28" t="inlineStr">
        <is>
          <t>-  Urban Area</t>
        </is>
      </c>
      <c r="B31" s="287" t="n">
        <v>35.5</v>
      </c>
      <c r="C31" s="287" t="n">
        <v>29.7</v>
      </c>
      <c r="D31" s="287" t="n">
        <v>37</v>
      </c>
      <c r="E31" s="287" t="n">
        <v>52.2</v>
      </c>
      <c r="F31" s="287" t="n">
        <v>1.4</v>
      </c>
      <c r="G31" s="287" t="n">
        <v>1.3</v>
      </c>
      <c r="H31" s="287" t="n">
        <v>16.4</v>
      </c>
      <c r="I31" s="287" t="n">
        <v>65.90000000000001</v>
      </c>
      <c r="J31" s="287" t="n">
        <v>70.40000000000001</v>
      </c>
      <c r="K31" s="287" t="n">
        <v>42.6</v>
      </c>
    </row>
    <row r="32" ht="14" customHeight="1" s="227">
      <c r="A32" s="28" t="inlineStr">
        <is>
          <t>-  Rural Area</t>
        </is>
      </c>
      <c r="B32" s="287" t="n">
        <v>46.9</v>
      </c>
      <c r="C32" s="287" t="n">
        <v>36.7</v>
      </c>
      <c r="D32" s="287" t="n">
        <v>32.1</v>
      </c>
      <c r="E32" s="287" t="n">
        <v>44.9</v>
      </c>
      <c r="F32" s="287" t="n">
        <v>1.4</v>
      </c>
      <c r="G32" s="287" t="n">
        <v>1.3</v>
      </c>
      <c r="H32" s="287" t="n">
        <v>21.8</v>
      </c>
      <c r="I32" s="287" t="n">
        <v>47.7</v>
      </c>
      <c r="J32" s="287" t="n">
        <v>53.4</v>
      </c>
      <c r="K32" s="287" t="n">
        <v>27.1</v>
      </c>
    </row>
  </sheetData>
  <mergeCells count="4">
    <mergeCell ref="A2:A4"/>
    <mergeCell ref="A1:K1"/>
    <mergeCell ref="J2:K2"/>
    <mergeCell ref="H2:I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tabColor rgb="007030A0"/>
    <outlinePr summaryBelow="1" summaryRight="1"/>
    <pageSetUpPr/>
  </sheetPr>
  <dimension ref="A1:K32"/>
  <sheetViews>
    <sheetView tabSelected="1" workbookViewId="0">
      <selection activeCell="A1" sqref="A1"/>
    </sheetView>
  </sheetViews>
  <sheetFormatPr baseColWidth="8" defaultRowHeight="15"/>
  <cols>
    <col width="23.333333" customWidth="1" style="227" min="1" max="1"/>
    <col width="14.444444" customWidth="1" style="227" min="2" max="2"/>
    <col width="14.444444" customWidth="1" style="227" min="3" max="3"/>
    <col width="14.444444" customWidth="1" style="227" min="4" max="4"/>
    <col width="14.222222" customWidth="1" style="227" min="5" max="5"/>
    <col width="14.444444" customWidth="1" style="227" min="6" max="6"/>
    <col width="14.444444" customWidth="1" style="227" min="7" max="7"/>
    <col width="14.444444" customWidth="1" style="227" min="8" max="8"/>
    <col width="14.444444" customWidth="1" style="227" min="9" max="9"/>
    <col width="14.222222" customWidth="1" style="227" min="10" max="10"/>
    <col width="14.444444" customWidth="1" style="227" min="11" max="11"/>
  </cols>
  <sheetData>
    <row r="1" ht="30" customHeight="1" s="227">
      <c r="A1" s="34" t="inlineStr">
        <is>
          <t>Table 8: Indicators on Secondary Students and Staff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</row>
    <row r="2" ht="14" customHeight="1" s="227">
      <c r="A2" s="35" t="inlineStr">
        <is>
          <t>Province</t>
        </is>
      </c>
      <c r="B2" s="132" t="inlineStr">
        <is>
          <t>Pupil</t>
        </is>
      </c>
      <c r="C2" s="168" t="inlineStr">
        <is>
          <t>Pupil</t>
        </is>
      </c>
      <c r="D2" s="168" t="inlineStr">
        <is>
          <t>Pupil</t>
        </is>
      </c>
      <c r="E2" s="132" t="inlineStr">
        <is>
          <t>Pupil</t>
        </is>
      </c>
      <c r="F2" s="105" t="inlineStr">
        <is>
          <t>Classes</t>
        </is>
      </c>
      <c r="G2" s="106" t="inlineStr">
        <is>
          <t>Classroom</t>
        </is>
      </c>
      <c r="H2" s="164" t="inlineStr">
        <is>
          <t>Percentage of</t>
        </is>
      </c>
      <c r="I2" s="257" t="n"/>
      <c r="J2" s="169" t="inlineStr">
        <is>
          <t>Percentage of Female in</t>
        </is>
      </c>
      <c r="K2" s="257" t="n"/>
    </row>
    <row r="3" ht="15" customHeight="1" s="227">
      <c r="A3" s="273" t="n"/>
      <c r="B3" s="151" t="inlineStr">
        <is>
          <t>Teacher</t>
        </is>
      </c>
      <c r="C3" s="167" t="inlineStr">
        <is>
          <t>Staff</t>
        </is>
      </c>
      <c r="D3" s="167" t="inlineStr">
        <is>
          <t>Class</t>
        </is>
      </c>
      <c r="E3" s="153" t="inlineStr">
        <is>
          <t>Classroom</t>
        </is>
      </c>
      <c r="F3" s="116" t="inlineStr">
        <is>
          <t>per</t>
        </is>
      </c>
      <c r="G3" s="151" t="inlineStr">
        <is>
          <t>Area (m2)</t>
        </is>
      </c>
      <c r="H3" s="107" t="inlineStr">
        <is>
          <t>Non-teaching</t>
        </is>
      </c>
      <c r="I3" s="105" t="inlineStr">
        <is>
          <t>Female</t>
        </is>
      </c>
      <c r="J3" s="105" t="inlineStr">
        <is>
          <t>Teaching</t>
        </is>
      </c>
      <c r="K3" s="107" t="inlineStr">
        <is>
          <t>Non-teaching</t>
        </is>
      </c>
    </row>
    <row r="4" ht="14" customHeight="1" s="227">
      <c r="A4" s="258" t="n"/>
      <c r="B4" s="154" t="inlineStr">
        <is>
          <t>Ratio</t>
        </is>
      </c>
      <c r="C4" s="172" t="inlineStr">
        <is>
          <t>Ratio</t>
        </is>
      </c>
      <c r="D4" s="172" t="inlineStr">
        <is>
          <t>Ratio</t>
        </is>
      </c>
      <c r="E4" s="154" t="inlineStr">
        <is>
          <t>Ratio</t>
        </is>
      </c>
      <c r="F4" s="117" t="inlineStr">
        <is>
          <t>Classroom</t>
        </is>
      </c>
      <c r="G4" s="118" t="inlineStr">
        <is>
          <t>per Pupil</t>
        </is>
      </c>
      <c r="H4" s="154" t="inlineStr">
        <is>
          <t>Staff</t>
        </is>
      </c>
      <c r="I4" s="154" t="inlineStr">
        <is>
          <t>Staff</t>
        </is>
      </c>
      <c r="J4" s="154" t="inlineStr">
        <is>
          <t>Staff</t>
        </is>
      </c>
      <c r="K4" s="154" t="inlineStr">
        <is>
          <t>Staff</t>
        </is>
      </c>
    </row>
    <row r="5" ht="14" customHeight="1" s="227">
      <c r="A5" s="28" t="inlineStr">
        <is>
          <t>Banteay Meanchey</t>
        </is>
      </c>
      <c r="B5" s="287" t="n">
        <v>21.9</v>
      </c>
      <c r="C5" s="287" t="n">
        <v>18.6</v>
      </c>
      <c r="D5" s="287" t="n">
        <v>46.3</v>
      </c>
      <c r="E5" s="287" t="n">
        <v>47.1</v>
      </c>
      <c r="F5" s="287" t="n">
        <v>1</v>
      </c>
      <c r="G5" s="287" t="n">
        <v>1.1</v>
      </c>
      <c r="H5" s="287" t="n">
        <v>15</v>
      </c>
      <c r="I5" s="287" t="n">
        <v>38.2</v>
      </c>
      <c r="J5" s="287" t="n">
        <v>39.6</v>
      </c>
      <c r="K5" s="287" t="n">
        <v>29.9</v>
      </c>
    </row>
    <row r="6" ht="14" customHeight="1" s="227">
      <c r="A6" s="28" t="inlineStr">
        <is>
          <t>Battambang</t>
        </is>
      </c>
      <c r="B6" s="287" t="n">
        <v>23.3</v>
      </c>
      <c r="C6" s="287" t="n">
        <v>19.6</v>
      </c>
      <c r="D6" s="287" t="n">
        <v>47.7</v>
      </c>
      <c r="E6" s="287" t="n">
        <v>50.5</v>
      </c>
      <c r="F6" s="287" t="n">
        <v>1.1</v>
      </c>
      <c r="G6" s="287" t="n">
        <v>1.3</v>
      </c>
      <c r="H6" s="287" t="n">
        <v>16</v>
      </c>
      <c r="I6" s="287" t="n">
        <v>44.6</v>
      </c>
      <c r="J6" s="287" t="n">
        <v>46.9</v>
      </c>
      <c r="K6" s="287" t="n">
        <v>32.7</v>
      </c>
    </row>
    <row r="7" ht="14" customHeight="1" s="227">
      <c r="A7" s="28" t="inlineStr">
        <is>
          <t>Kampong Cham</t>
        </is>
      </c>
      <c r="B7" s="287" t="n">
        <v>22.5</v>
      </c>
      <c r="C7" s="287" t="n">
        <v>18.4</v>
      </c>
      <c r="D7" s="287" t="n">
        <v>43.7</v>
      </c>
      <c r="E7" s="287" t="n">
        <v>46</v>
      </c>
      <c r="F7" s="287" t="n">
        <v>1.1</v>
      </c>
      <c r="G7" s="287" t="n">
        <v>1</v>
      </c>
      <c r="H7" s="287" t="n">
        <v>18.3</v>
      </c>
      <c r="I7" s="287" t="n">
        <v>46.1</v>
      </c>
      <c r="J7" s="287" t="n">
        <v>48.2</v>
      </c>
      <c r="K7" s="287" t="n">
        <v>36.7</v>
      </c>
    </row>
    <row r="8" ht="14" customHeight="1" s="227">
      <c r="A8" s="28" t="inlineStr">
        <is>
          <t>Kampong Chhnang</t>
        </is>
      </c>
      <c r="B8" s="287" t="n">
        <v>23.6</v>
      </c>
      <c r="C8" s="287" t="n">
        <v>20.3</v>
      </c>
      <c r="D8" s="287" t="n">
        <v>48.3</v>
      </c>
      <c r="E8" s="287" t="n">
        <v>51.5</v>
      </c>
      <c r="F8" s="287" t="n">
        <v>1.1</v>
      </c>
      <c r="G8" s="287" t="n">
        <v>1</v>
      </c>
      <c r="H8" s="287" t="n">
        <v>13.9</v>
      </c>
      <c r="I8" s="287" t="n">
        <v>38.9</v>
      </c>
      <c r="J8" s="287" t="n">
        <v>40.9</v>
      </c>
      <c r="K8" s="287" t="n">
        <v>26.8</v>
      </c>
    </row>
    <row r="9" ht="14" customHeight="1" s="227">
      <c r="A9" s="28" t="inlineStr">
        <is>
          <t>Kampong Speu</t>
        </is>
      </c>
      <c r="B9" s="287" t="n">
        <v>25</v>
      </c>
      <c r="C9" s="287" t="n">
        <v>22</v>
      </c>
      <c r="D9" s="287" t="n">
        <v>51.4</v>
      </c>
      <c r="E9" s="287" t="n">
        <v>56.8</v>
      </c>
      <c r="F9" s="287" t="n">
        <v>1.1</v>
      </c>
      <c r="G9" s="287" t="n">
        <v>1.1</v>
      </c>
      <c r="H9" s="287" t="n">
        <v>12.1</v>
      </c>
      <c r="I9" s="287" t="n">
        <v>32.3</v>
      </c>
      <c r="J9" s="287" t="n">
        <v>34.7</v>
      </c>
      <c r="K9" s="287" t="n">
        <v>15.4</v>
      </c>
    </row>
    <row r="10" ht="14" customHeight="1" s="227">
      <c r="A10" s="28" t="inlineStr">
        <is>
          <t>Kampong Thom</t>
        </is>
      </c>
      <c r="B10" s="287" t="n">
        <v>26.4</v>
      </c>
      <c r="C10" s="287" t="n">
        <v>22.4</v>
      </c>
      <c r="D10" s="287" t="n">
        <v>46.6</v>
      </c>
      <c r="E10" s="287" t="n">
        <v>48.9</v>
      </c>
      <c r="F10" s="287" t="n">
        <v>1.1</v>
      </c>
      <c r="G10" s="287" t="n">
        <v>1.2</v>
      </c>
      <c r="H10" s="287" t="n">
        <v>15</v>
      </c>
      <c r="I10" s="287" t="n">
        <v>41.3</v>
      </c>
      <c r="J10" s="287" t="n">
        <v>45.3</v>
      </c>
      <c r="K10" s="287" t="n">
        <v>18.2</v>
      </c>
    </row>
    <row r="11" ht="14" customHeight="1" s="227">
      <c r="A11" s="28" t="inlineStr">
        <is>
          <t>Kampot</t>
        </is>
      </c>
      <c r="B11" s="287" t="n">
        <v>20.2</v>
      </c>
      <c r="C11" s="287" t="n">
        <v>17</v>
      </c>
      <c r="D11" s="287" t="n">
        <v>44.7</v>
      </c>
      <c r="E11" s="287" t="n">
        <v>47.9</v>
      </c>
      <c r="F11" s="287" t="n">
        <v>1.1</v>
      </c>
      <c r="G11" s="287" t="n">
        <v>1.1</v>
      </c>
      <c r="H11" s="287" t="n">
        <v>15.7</v>
      </c>
      <c r="I11" s="287" t="n">
        <v>38</v>
      </c>
      <c r="J11" s="287" t="n">
        <v>41.1</v>
      </c>
      <c r="K11" s="287" t="n">
        <v>21.3</v>
      </c>
    </row>
    <row r="12" ht="14" customHeight="1" s="227">
      <c r="A12" s="28" t="inlineStr">
        <is>
          <t>Kandal</t>
        </is>
      </c>
      <c r="B12" s="287" t="n">
        <v>17.7</v>
      </c>
      <c r="C12" s="287" t="n">
        <v>15.5</v>
      </c>
      <c r="D12" s="287" t="n">
        <v>43.2</v>
      </c>
      <c r="E12" s="287" t="n">
        <v>46.9</v>
      </c>
      <c r="F12" s="287" t="n">
        <v>1.1</v>
      </c>
      <c r="G12" s="287" t="n">
        <v>1.3</v>
      </c>
      <c r="H12" s="287" t="n">
        <v>12.4</v>
      </c>
      <c r="I12" s="287" t="n">
        <v>43.1</v>
      </c>
      <c r="J12" s="287" t="n">
        <v>46.1</v>
      </c>
      <c r="K12" s="287" t="n">
        <v>22.6</v>
      </c>
    </row>
    <row r="13" ht="14" customHeight="1" s="227">
      <c r="A13" s="28" t="inlineStr">
        <is>
          <t>Kep</t>
        </is>
      </c>
      <c r="B13" s="287" t="n">
        <v>12</v>
      </c>
      <c r="C13" s="287" t="n">
        <v>10.5</v>
      </c>
      <c r="D13" s="287" t="n">
        <v>37.7</v>
      </c>
      <c r="E13" s="287" t="n">
        <v>37.7</v>
      </c>
      <c r="F13" s="287" t="n">
        <v>1</v>
      </c>
      <c r="G13" s="287" t="n">
        <v>1.5</v>
      </c>
      <c r="H13" s="287" t="n">
        <v>12.2</v>
      </c>
      <c r="I13" s="287" t="n">
        <v>39.4</v>
      </c>
      <c r="J13" s="287" t="n">
        <v>42.2</v>
      </c>
      <c r="K13" s="287" t="n">
        <v>19.4</v>
      </c>
    </row>
    <row r="14" ht="14" customHeight="1" s="227">
      <c r="A14" s="28" t="inlineStr">
        <is>
          <t>Koh Kong</t>
        </is>
      </c>
      <c r="B14" s="287" t="n">
        <v>18.1</v>
      </c>
      <c r="C14" s="287" t="n">
        <v>15.9</v>
      </c>
      <c r="D14" s="287" t="n">
        <v>33.4</v>
      </c>
      <c r="E14" s="287" t="n">
        <v>42.8</v>
      </c>
      <c r="F14" s="287" t="n">
        <v>1.3</v>
      </c>
      <c r="G14" s="287" t="n">
        <v>0.8</v>
      </c>
      <c r="H14" s="287" t="n">
        <v>12.1</v>
      </c>
      <c r="I14" s="287" t="n">
        <v>32.6</v>
      </c>
      <c r="J14" s="287" t="n">
        <v>34.8</v>
      </c>
      <c r="K14" s="287" t="n">
        <v>16.9</v>
      </c>
    </row>
    <row r="15" ht="14" customHeight="1" s="227">
      <c r="A15" s="28" t="inlineStr">
        <is>
          <t>Kratie</t>
        </is>
      </c>
      <c r="B15" s="287" t="n">
        <v>19.7</v>
      </c>
      <c r="C15" s="287" t="n">
        <v>17.6</v>
      </c>
      <c r="D15" s="287" t="n">
        <v>44.8</v>
      </c>
      <c r="E15" s="287" t="n">
        <v>44.4</v>
      </c>
      <c r="F15" s="287" t="n">
        <v>1</v>
      </c>
      <c r="G15" s="287" t="n">
        <v>1.6</v>
      </c>
      <c r="H15" s="287" t="n">
        <v>10.5</v>
      </c>
      <c r="I15" s="287" t="n">
        <v>47.8</v>
      </c>
      <c r="J15" s="287" t="n">
        <v>50.7</v>
      </c>
      <c r="K15" s="287" t="n">
        <v>23</v>
      </c>
    </row>
    <row r="16" ht="14" customHeight="1" s="227">
      <c r="A16" s="28" t="inlineStr">
        <is>
          <t>Mondul Kiri</t>
        </is>
      </c>
      <c r="B16" s="287" t="n">
        <v>21</v>
      </c>
      <c r="C16" s="287" t="n">
        <v>19.7</v>
      </c>
      <c r="D16" s="287" t="n">
        <v>45.1</v>
      </c>
      <c r="E16" s="287" t="n">
        <v>46</v>
      </c>
      <c r="F16" s="287" t="n">
        <v>1</v>
      </c>
      <c r="G16" s="287" t="n">
        <v>1.2</v>
      </c>
      <c r="H16" s="287" t="n">
        <v>6</v>
      </c>
      <c r="I16" s="287" t="n">
        <v>33.9</v>
      </c>
      <c r="J16" s="287" t="n">
        <v>35.6</v>
      </c>
      <c r="K16" s="287" t="n">
        <v>7.1</v>
      </c>
    </row>
    <row r="17" ht="13" customHeight="1" s="227">
      <c r="A17" s="28" t="inlineStr">
        <is>
          <t>Otdar Meanchey</t>
        </is>
      </c>
      <c r="B17" s="287" t="n">
        <v>28.2</v>
      </c>
      <c r="C17" s="287" t="n">
        <v>24.9</v>
      </c>
      <c r="D17" s="287" t="n">
        <v>44.9</v>
      </c>
      <c r="E17" s="287" t="n">
        <v>46.7</v>
      </c>
      <c r="F17" s="287" t="n">
        <v>1</v>
      </c>
      <c r="G17" s="287" t="n">
        <v>1.2</v>
      </c>
      <c r="H17" s="287" t="n">
        <v>11.8</v>
      </c>
      <c r="I17" s="287" t="n">
        <v>32</v>
      </c>
      <c r="J17" s="287" t="n">
        <v>34.2</v>
      </c>
      <c r="K17" s="287" t="n">
        <v>15.4</v>
      </c>
    </row>
    <row r="18" ht="14" customHeight="1" s="227">
      <c r="A18" s="28" t="inlineStr">
        <is>
          <t>Pailin</t>
        </is>
      </c>
      <c r="B18" s="287" t="n">
        <v>15.7</v>
      </c>
      <c r="C18" s="287" t="n">
        <v>14</v>
      </c>
      <c r="D18" s="287" t="n">
        <v>44.7</v>
      </c>
      <c r="E18" s="287" t="n">
        <v>44.7</v>
      </c>
      <c r="F18" s="287" t="n">
        <v>1</v>
      </c>
      <c r="G18" s="287" t="n">
        <v>1.2</v>
      </c>
      <c r="H18" s="287" t="n">
        <v>10.7</v>
      </c>
      <c r="I18" s="287" t="n">
        <v>38.5</v>
      </c>
      <c r="J18" s="287" t="n">
        <v>40.5</v>
      </c>
      <c r="K18" s="287" t="n">
        <v>22.2</v>
      </c>
    </row>
    <row r="19" ht="14" customHeight="1" s="227">
      <c r="A19" s="28" t="inlineStr">
        <is>
          <t>Phnom Penh</t>
        </is>
      </c>
      <c r="B19" s="287" t="n">
        <v>14.8</v>
      </c>
      <c r="C19" s="287" t="n">
        <v>13.6</v>
      </c>
      <c r="D19" s="287" t="n">
        <v>44.1</v>
      </c>
      <c r="E19" s="287" t="n">
        <v>63.3</v>
      </c>
      <c r="F19" s="287" t="n">
        <v>1.4</v>
      </c>
      <c r="G19" s="287" t="n">
        <v>22.8</v>
      </c>
      <c r="H19" s="287" t="n">
        <v>7.6</v>
      </c>
      <c r="I19" s="287" t="n">
        <v>44.5</v>
      </c>
      <c r="J19" s="287" t="n">
        <v>45.6</v>
      </c>
      <c r="K19" s="287" t="n">
        <v>30.3</v>
      </c>
    </row>
    <row r="20" ht="14" customHeight="1" s="227">
      <c r="A20" s="28" t="inlineStr">
        <is>
          <t>Preah Sihanouk</t>
        </is>
      </c>
      <c r="B20" s="287" t="n">
        <v>17.7</v>
      </c>
      <c r="C20" s="287" t="n">
        <v>15.6</v>
      </c>
      <c r="D20" s="287" t="n">
        <v>42.4</v>
      </c>
      <c r="E20" s="287" t="n">
        <v>36.2</v>
      </c>
      <c r="F20" s="287" t="n">
        <v>0.9</v>
      </c>
      <c r="G20" s="287" t="n">
        <v>1.7</v>
      </c>
      <c r="H20" s="287" t="n">
        <v>11.6</v>
      </c>
      <c r="I20" s="287" t="n">
        <v>33.6</v>
      </c>
      <c r="J20" s="287" t="n">
        <v>34.5</v>
      </c>
      <c r="K20" s="287" t="n">
        <v>26.7</v>
      </c>
    </row>
    <row r="21" ht="14" customHeight="1" s="227">
      <c r="A21" s="28" t="inlineStr">
        <is>
          <t>Preah Vihear</t>
        </is>
      </c>
      <c r="B21" s="287" t="n">
        <v>19.7</v>
      </c>
      <c r="C21" s="287" t="n">
        <v>18</v>
      </c>
      <c r="D21" s="287" t="n">
        <v>39.9</v>
      </c>
      <c r="E21" s="287" t="n">
        <v>40.5</v>
      </c>
      <c r="F21" s="287" t="n">
        <v>1</v>
      </c>
      <c r="G21" s="287" t="n">
        <v>1.1</v>
      </c>
      <c r="H21" s="287" t="n">
        <v>8.5</v>
      </c>
      <c r="I21" s="287" t="n">
        <v>39</v>
      </c>
      <c r="J21" s="287" t="n">
        <v>39.7</v>
      </c>
      <c r="K21" s="287" t="n">
        <v>31.3</v>
      </c>
    </row>
    <row r="22" ht="14" customHeight="1" s="227">
      <c r="A22" s="28" t="inlineStr">
        <is>
          <t>Prey Veng</t>
        </is>
      </c>
      <c r="B22" s="287" t="n">
        <v>28.2</v>
      </c>
      <c r="C22" s="287" t="n">
        <v>22.9</v>
      </c>
      <c r="D22" s="287" t="n">
        <v>45.7</v>
      </c>
      <c r="E22" s="287" t="n">
        <v>43.9</v>
      </c>
      <c r="F22" s="287" t="n">
        <v>1</v>
      </c>
      <c r="G22" s="287" t="n">
        <v>1.2</v>
      </c>
      <c r="H22" s="287" t="n">
        <v>18.9</v>
      </c>
      <c r="I22" s="287" t="n">
        <v>33.6</v>
      </c>
      <c r="J22" s="287" t="n">
        <v>36.6</v>
      </c>
      <c r="K22" s="287" t="n">
        <v>20.6</v>
      </c>
    </row>
    <row r="23" ht="14" customHeight="1" s="227">
      <c r="A23" s="28" t="inlineStr">
        <is>
          <t>Pursat</t>
        </is>
      </c>
      <c r="B23" s="287" t="n">
        <v>19</v>
      </c>
      <c r="C23" s="287" t="n">
        <v>16.7</v>
      </c>
      <c r="D23" s="287" t="n">
        <v>42.9</v>
      </c>
      <c r="E23" s="287" t="n">
        <v>44.4</v>
      </c>
      <c r="F23" s="287" t="n">
        <v>1</v>
      </c>
      <c r="G23" s="287" t="n">
        <v>1.3</v>
      </c>
      <c r="H23" s="287" t="n">
        <v>12.4</v>
      </c>
      <c r="I23" s="287" t="n">
        <v>34.6</v>
      </c>
      <c r="J23" s="287" t="n">
        <v>36.7</v>
      </c>
      <c r="K23" s="287" t="n">
        <v>20.3</v>
      </c>
    </row>
    <row r="24" ht="14" customHeight="1" s="227">
      <c r="A24" s="28" t="inlineStr">
        <is>
          <t>Ratanak Kiri</t>
        </is>
      </c>
      <c r="B24" s="287" t="n">
        <v>24.8</v>
      </c>
      <c r="C24" s="287" t="n">
        <v>22.7</v>
      </c>
      <c r="D24" s="287" t="n">
        <v>49.1</v>
      </c>
      <c r="E24" s="287" t="n">
        <v>53.7</v>
      </c>
      <c r="F24" s="287" t="n">
        <v>1.1</v>
      </c>
      <c r="G24" s="287" t="n">
        <v>0.8</v>
      </c>
      <c r="H24" s="287" t="n">
        <v>8.6</v>
      </c>
      <c r="I24" s="287" t="n">
        <v>39.2</v>
      </c>
      <c r="J24" s="287" t="n">
        <v>40.2</v>
      </c>
      <c r="K24" s="287" t="n">
        <v>29.3</v>
      </c>
    </row>
    <row r="25" ht="14" customHeight="1" s="227">
      <c r="A25" s="28" t="inlineStr">
        <is>
          <t>Siemreap</t>
        </is>
      </c>
      <c r="B25" s="287" t="n">
        <v>31.1</v>
      </c>
      <c r="C25" s="287" t="n">
        <v>26.6</v>
      </c>
      <c r="D25" s="287" t="n">
        <v>49.3</v>
      </c>
      <c r="E25" s="287" t="n">
        <v>57</v>
      </c>
      <c r="F25" s="287" t="n">
        <v>1.2</v>
      </c>
      <c r="G25" s="287" t="n">
        <v>0.9</v>
      </c>
      <c r="H25" s="287" t="n">
        <v>14.6</v>
      </c>
      <c r="I25" s="287" t="n">
        <v>45.2</v>
      </c>
      <c r="J25" s="287" t="n">
        <v>46.8</v>
      </c>
      <c r="K25" s="287" t="n">
        <v>36.2</v>
      </c>
    </row>
    <row r="26" ht="14" customHeight="1" s="227">
      <c r="A26" s="28" t="inlineStr">
        <is>
          <t>Stung Treng</t>
        </is>
      </c>
      <c r="B26" s="287" t="n">
        <v>16.1</v>
      </c>
      <c r="C26" s="287" t="n">
        <v>14.3</v>
      </c>
      <c r="D26" s="287" t="n">
        <v>38.8</v>
      </c>
      <c r="E26" s="287" t="n">
        <v>39.3</v>
      </c>
      <c r="F26" s="287" t="n">
        <v>1</v>
      </c>
      <c r="G26" s="287" t="n">
        <v>1.8</v>
      </c>
      <c r="H26" s="287" t="n">
        <v>11.1</v>
      </c>
      <c r="I26" s="287" t="n">
        <v>37.8</v>
      </c>
      <c r="J26" s="287" t="n">
        <v>39.7</v>
      </c>
      <c r="K26" s="287" t="n">
        <v>22.2</v>
      </c>
    </row>
    <row r="27" ht="14" customHeight="1" s="227">
      <c r="A27" s="28" t="inlineStr">
        <is>
          <t>Svay Rieng</t>
        </is>
      </c>
      <c r="B27" s="287" t="n">
        <v>21</v>
      </c>
      <c r="C27" s="287" t="n">
        <v>17.5</v>
      </c>
      <c r="D27" s="287" t="n">
        <v>44.2</v>
      </c>
      <c r="E27" s="287" t="n">
        <v>47.1</v>
      </c>
      <c r="F27" s="287" t="n">
        <v>1.1</v>
      </c>
      <c r="G27" s="287" t="n">
        <v>1.2</v>
      </c>
      <c r="H27" s="287" t="n">
        <v>17</v>
      </c>
      <c r="I27" s="287" t="n">
        <v>28.2</v>
      </c>
      <c r="J27" s="287" t="n">
        <v>29.1</v>
      </c>
      <c r="K27" s="287" t="n">
        <v>23.6</v>
      </c>
    </row>
    <row r="28" ht="14" customHeight="1" s="227">
      <c r="A28" s="28" t="inlineStr">
        <is>
          <t>Takeo</t>
        </is>
      </c>
      <c r="B28" s="287" t="n">
        <v>24</v>
      </c>
      <c r="C28" s="287" t="n">
        <v>19.6</v>
      </c>
      <c r="D28" s="287" t="n">
        <v>42.5</v>
      </c>
      <c r="E28" s="287" t="n">
        <v>43.4</v>
      </c>
      <c r="F28" s="287" t="n">
        <v>1</v>
      </c>
      <c r="G28" s="287" t="n">
        <v>1.5</v>
      </c>
      <c r="H28" s="287" t="n">
        <v>18.4</v>
      </c>
      <c r="I28" s="287" t="n">
        <v>29.3</v>
      </c>
      <c r="J28" s="287" t="n">
        <v>30.9</v>
      </c>
      <c r="K28" s="287" t="n">
        <v>22.3</v>
      </c>
    </row>
    <row r="29" ht="14" customHeight="1" s="227">
      <c r="A29" s="28" t="inlineStr">
        <is>
          <t>Tbaung Khmum</t>
        </is>
      </c>
      <c r="B29" s="287" t="n">
        <v>31.6</v>
      </c>
      <c r="C29" s="287" t="n">
        <v>27.3</v>
      </c>
      <c r="D29" s="287" t="n">
        <v>48.4</v>
      </c>
      <c r="E29" s="287" t="n">
        <v>49</v>
      </c>
      <c r="F29" s="287" t="n">
        <v>1</v>
      </c>
      <c r="G29" s="287" t="n">
        <v>1.1</v>
      </c>
      <c r="H29" s="287" t="n">
        <v>13.5</v>
      </c>
      <c r="I29" s="287" t="n">
        <v>38.9</v>
      </c>
      <c r="J29" s="287" t="n">
        <v>40.3</v>
      </c>
      <c r="K29" s="287" t="n">
        <v>30</v>
      </c>
    </row>
    <row r="30" ht="16" customHeight="1" s="227">
      <c r="A30" s="22" t="inlineStr">
        <is>
          <t>Whole Kingdom</t>
        </is>
      </c>
      <c r="B30" s="287" t="n">
        <v>21.9</v>
      </c>
      <c r="C30" s="287" t="n">
        <v>18.9</v>
      </c>
      <c r="D30" s="287" t="n">
        <v>45.3</v>
      </c>
      <c r="E30" s="287" t="n">
        <v>48.7</v>
      </c>
      <c r="F30" s="287" t="n">
        <v>1.1</v>
      </c>
      <c r="G30" s="287" t="n">
        <v>3.1</v>
      </c>
      <c r="H30" s="287" t="n">
        <v>13.9</v>
      </c>
      <c r="I30" s="287" t="n">
        <v>39.2</v>
      </c>
      <c r="J30" s="287" t="n">
        <v>41.4</v>
      </c>
      <c r="K30" s="287" t="n">
        <v>26</v>
      </c>
    </row>
    <row r="31" ht="14" customHeight="1" s="227">
      <c r="A31" s="28" t="inlineStr">
        <is>
          <t>-  Urban Area</t>
        </is>
      </c>
      <c r="B31" s="287" t="n">
        <v>16.8</v>
      </c>
      <c r="C31" s="287" t="n">
        <v>15</v>
      </c>
      <c r="D31" s="287" t="n">
        <v>44.3</v>
      </c>
      <c r="E31" s="287" t="n">
        <v>51.5</v>
      </c>
      <c r="F31" s="287" t="n">
        <v>1.2</v>
      </c>
      <c r="G31" s="287" t="n">
        <v>9.800000000000001</v>
      </c>
      <c r="H31" s="287" t="n">
        <v>10.6</v>
      </c>
      <c r="I31" s="287" t="n">
        <v>44.2</v>
      </c>
      <c r="J31" s="287" t="n">
        <v>45.3</v>
      </c>
      <c r="K31" s="287" t="n">
        <v>34.4</v>
      </c>
    </row>
    <row r="32" ht="14" customHeight="1" s="227">
      <c r="A32" s="28" t="inlineStr">
        <is>
          <t>-  Rural Area</t>
        </is>
      </c>
      <c r="B32" s="287" t="n">
        <v>24.1</v>
      </c>
      <c r="C32" s="287" t="n">
        <v>20.4</v>
      </c>
      <c r="D32" s="287" t="n">
        <v>45.6</v>
      </c>
      <c r="E32" s="287" t="n">
        <v>47.9</v>
      </c>
      <c r="F32" s="287" t="n">
        <v>1.1</v>
      </c>
      <c r="G32" s="287" t="n">
        <v>1.2</v>
      </c>
      <c r="H32" s="287" t="n">
        <v>15.2</v>
      </c>
      <c r="I32" s="287" t="n">
        <v>37.2</v>
      </c>
      <c r="J32" s="287" t="n">
        <v>39.7</v>
      </c>
      <c r="K32" s="287" t="n">
        <v>23.6</v>
      </c>
    </row>
  </sheetData>
  <mergeCells count="4">
    <mergeCell ref="A2:A4"/>
    <mergeCell ref="A1:K1"/>
    <mergeCell ref="J2:K2"/>
    <mergeCell ref="H2:I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tabColor rgb="007030A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5.777778" customWidth="1" style="227" min="1" max="1"/>
    <col width="11.555556" customWidth="1" style="227" min="2" max="2"/>
    <col width="11.777778" customWidth="1" style="227" min="3" max="3"/>
    <col width="11.555556" customWidth="1" style="227" min="4" max="4"/>
    <col width="11.777778" customWidth="1" style="227" min="5" max="5"/>
    <col width="11.555556" customWidth="1" style="227" min="6" max="6"/>
    <col width="11.777778" customWidth="1" style="227" min="7" max="7"/>
    <col width="11.555556" customWidth="1" style="227" min="8" max="8"/>
    <col width="11.777778" customWidth="1" style="227" min="9" max="9"/>
    <col width="11.555556" customWidth="1" style="227" min="10" max="10"/>
    <col width="11.777778" customWidth="1" style="227" min="11" max="11"/>
    <col width="11.555556" customWidth="1" style="227" min="12" max="12"/>
    <col width="11.777778" customWidth="1" style="227" min="13" max="13"/>
  </cols>
  <sheetData>
    <row r="1" ht="31" customHeight="1" s="227">
      <c r="A1" s="2" t="inlineStr">
        <is>
          <t>Table 9: Indicators on Enrollment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164" t="inlineStr">
        <is>
          <t>% Repeaters (Total)</t>
        </is>
      </c>
      <c r="C2" s="269" t="n"/>
      <c r="D2" s="257" t="n"/>
      <c r="E2" s="169" t="inlineStr">
        <is>
          <t>% Over-age Enrollment (Total)</t>
        </is>
      </c>
      <c r="F2" s="269" t="n"/>
      <c r="G2" s="257" t="n"/>
      <c r="H2" s="175" t="inlineStr">
        <is>
          <t>% Repeaters (Girl)</t>
        </is>
      </c>
      <c r="I2" s="269" t="n"/>
      <c r="J2" s="257" t="n"/>
      <c r="K2" s="169" t="inlineStr">
        <is>
          <t>% Over-age Enrollment  (Girl)</t>
        </is>
      </c>
      <c r="L2" s="269" t="n"/>
      <c r="M2" s="257" t="n"/>
    </row>
    <row r="3" ht="18" customHeight="1" s="227">
      <c r="A3" s="258" t="n"/>
      <c r="B3" s="103" t="inlineStr">
        <is>
          <t>Primary</t>
        </is>
      </c>
      <c r="C3" s="102" t="inlineStr">
        <is>
          <t>L.Sec.</t>
        </is>
      </c>
      <c r="D3" s="102" t="inlineStr">
        <is>
          <t>U.Sec.</t>
        </is>
      </c>
      <c r="E3" s="103" t="inlineStr">
        <is>
          <t>Primary</t>
        </is>
      </c>
      <c r="F3" s="102" t="inlineStr">
        <is>
          <t>L.Sec.</t>
        </is>
      </c>
      <c r="G3" s="102" t="inlineStr">
        <is>
          <t>U.Sec.</t>
        </is>
      </c>
      <c r="H3" s="103" t="inlineStr">
        <is>
          <t>Primary</t>
        </is>
      </c>
      <c r="I3" s="102" t="inlineStr">
        <is>
          <t>L.Sec.</t>
        </is>
      </c>
      <c r="J3" s="102" t="inlineStr">
        <is>
          <t>U.Sec.</t>
        </is>
      </c>
      <c r="K3" s="103" t="inlineStr">
        <is>
          <t>Primary</t>
        </is>
      </c>
      <c r="L3" s="102" t="inlineStr">
        <is>
          <t>L.Sec.</t>
        </is>
      </c>
      <c r="M3" s="102" t="inlineStr">
        <is>
          <t>U.Sec.</t>
        </is>
      </c>
    </row>
    <row r="4" ht="14" customHeight="1" s="227">
      <c r="A4" s="28" t="inlineStr">
        <is>
          <t>Banteay Meanchey</t>
        </is>
      </c>
      <c r="B4" s="287" t="n">
        <v>3.4</v>
      </c>
      <c r="C4" s="287" t="n">
        <v>2.1</v>
      </c>
      <c r="D4" s="287" t="n">
        <v>1.8</v>
      </c>
      <c r="E4" s="287" t="n">
        <v>12.1</v>
      </c>
      <c r="F4" s="287" t="n">
        <v>16.5</v>
      </c>
      <c r="G4" s="287" t="n">
        <v>17.9</v>
      </c>
      <c r="H4" s="287" t="n">
        <v>2.4</v>
      </c>
      <c r="I4" s="287" t="n">
        <v>1</v>
      </c>
      <c r="J4" s="287" t="n">
        <v>1.4</v>
      </c>
      <c r="K4" s="287" t="n">
        <v>10.9</v>
      </c>
      <c r="L4" s="287" t="n">
        <v>13.7</v>
      </c>
      <c r="M4" s="287" t="n">
        <v>15</v>
      </c>
    </row>
    <row r="5" ht="14" customHeight="1" s="227">
      <c r="A5" s="28" t="inlineStr">
        <is>
          <t>Battambang</t>
        </is>
      </c>
      <c r="B5" s="287" t="n">
        <v>6.1</v>
      </c>
      <c r="C5" s="287" t="n">
        <v>3.1</v>
      </c>
      <c r="D5" s="287" t="n">
        <v>2.1</v>
      </c>
      <c r="E5" s="287" t="n">
        <v>13.6</v>
      </c>
      <c r="F5" s="287" t="n">
        <v>20.4</v>
      </c>
      <c r="G5" s="287" t="n">
        <v>23.7</v>
      </c>
      <c r="H5" s="287" t="n">
        <v>4.6</v>
      </c>
      <c r="I5" s="287" t="n">
        <v>1.9</v>
      </c>
      <c r="J5" s="287" t="n">
        <v>1.7</v>
      </c>
      <c r="K5" s="287" t="n">
        <v>12.3</v>
      </c>
      <c r="L5" s="287" t="n">
        <v>17.8</v>
      </c>
      <c r="M5" s="287" t="n">
        <v>21.9</v>
      </c>
    </row>
    <row r="6" ht="15" customHeight="1" s="227">
      <c r="A6" s="28" t="inlineStr">
        <is>
          <t>Kampong Cham</t>
        </is>
      </c>
      <c r="B6" s="287" t="n">
        <v>9</v>
      </c>
      <c r="C6" s="287" t="n">
        <v>3.1</v>
      </c>
      <c r="D6" s="287" t="n">
        <v>2.4</v>
      </c>
      <c r="E6" s="287" t="n">
        <v>14.7</v>
      </c>
      <c r="F6" s="287" t="n">
        <v>17.3</v>
      </c>
      <c r="G6" s="287" t="n">
        <v>16.4</v>
      </c>
      <c r="H6" s="287" t="n">
        <v>6.8</v>
      </c>
      <c r="I6" s="287" t="n">
        <v>1.8</v>
      </c>
      <c r="J6" s="287" t="n">
        <v>1.7</v>
      </c>
      <c r="K6" s="287" t="n">
        <v>12.9</v>
      </c>
      <c r="L6" s="287" t="n">
        <v>15.6</v>
      </c>
      <c r="M6" s="287" t="n">
        <v>14.3</v>
      </c>
    </row>
    <row r="7" ht="14" customHeight="1" s="227">
      <c r="A7" s="28" t="inlineStr">
        <is>
          <t>Kampong Chhnang</t>
        </is>
      </c>
      <c r="B7" s="287" t="n">
        <v>5.8</v>
      </c>
      <c r="C7" s="287" t="n">
        <v>2.1</v>
      </c>
      <c r="D7" s="287" t="n">
        <v>1.9</v>
      </c>
      <c r="E7" s="287" t="n">
        <v>9.699999999999999</v>
      </c>
      <c r="F7" s="287" t="n">
        <v>18.1</v>
      </c>
      <c r="G7" s="287" t="n">
        <v>19.1</v>
      </c>
      <c r="H7" s="287" t="n">
        <v>4</v>
      </c>
      <c r="I7" s="287" t="n">
        <v>1</v>
      </c>
      <c r="J7" s="287" t="n">
        <v>1.5</v>
      </c>
      <c r="K7" s="287" t="n">
        <v>8.699999999999999</v>
      </c>
      <c r="L7" s="287" t="n">
        <v>16.1</v>
      </c>
      <c r="M7" s="287" t="n">
        <v>16.9</v>
      </c>
    </row>
    <row r="8" ht="14" customHeight="1" s="227">
      <c r="A8" s="28" t="inlineStr">
        <is>
          <t>Kampong Speu</t>
        </is>
      </c>
      <c r="B8" s="287" t="n">
        <v>4.8</v>
      </c>
      <c r="C8" s="287" t="n">
        <v>1.4</v>
      </c>
      <c r="D8" s="287" t="n">
        <v>0.7</v>
      </c>
      <c r="E8" s="287" t="n">
        <v>10.2</v>
      </c>
      <c r="F8" s="287" t="n">
        <v>20</v>
      </c>
      <c r="G8" s="287" t="n">
        <v>21</v>
      </c>
      <c r="H8" s="287" t="n">
        <v>3.7</v>
      </c>
      <c r="I8" s="287" t="n">
        <v>0.7</v>
      </c>
      <c r="J8" s="287" t="n">
        <v>0.4</v>
      </c>
      <c r="K8" s="287" t="n">
        <v>9.1</v>
      </c>
      <c r="L8" s="287" t="n">
        <v>17.3</v>
      </c>
      <c r="M8" s="287" t="n">
        <v>18.8</v>
      </c>
    </row>
    <row r="9" ht="14" customHeight="1" s="227">
      <c r="A9" s="28" t="inlineStr">
        <is>
          <t>Kampong Thom</t>
        </is>
      </c>
      <c r="B9" s="287" t="n">
        <v>7.3</v>
      </c>
      <c r="C9" s="287" t="n">
        <v>2.7</v>
      </c>
      <c r="D9" s="287" t="n">
        <v>1</v>
      </c>
      <c r="E9" s="287" t="n">
        <v>13.2</v>
      </c>
      <c r="F9" s="287" t="n">
        <v>23.6</v>
      </c>
      <c r="G9" s="287" t="n">
        <v>23.1</v>
      </c>
      <c r="H9" s="287" t="n">
        <v>5.6</v>
      </c>
      <c r="I9" s="287" t="n">
        <v>1.7</v>
      </c>
      <c r="J9" s="287" t="n">
        <v>0.7</v>
      </c>
      <c r="K9" s="287" t="n">
        <v>12.3</v>
      </c>
      <c r="L9" s="287" t="n">
        <v>21.4</v>
      </c>
      <c r="M9" s="287" t="n">
        <v>20</v>
      </c>
    </row>
    <row r="10" ht="14" customHeight="1" s="227">
      <c r="A10" s="28" t="inlineStr">
        <is>
          <t>Kampot</t>
        </is>
      </c>
      <c r="B10" s="287" t="n">
        <v>4.2</v>
      </c>
      <c r="C10" s="287" t="n">
        <v>2.5</v>
      </c>
      <c r="D10" s="287" t="n">
        <v>1.2</v>
      </c>
      <c r="E10" s="287" t="n">
        <v>11.1</v>
      </c>
      <c r="F10" s="287" t="n">
        <v>20.7</v>
      </c>
      <c r="G10" s="287" t="n">
        <v>22</v>
      </c>
      <c r="H10" s="287" t="n">
        <v>3</v>
      </c>
      <c r="I10" s="287" t="n">
        <v>1.2</v>
      </c>
      <c r="J10" s="287" t="n">
        <v>0.9</v>
      </c>
      <c r="K10" s="287" t="n">
        <v>10</v>
      </c>
      <c r="L10" s="287" t="n">
        <v>18.2</v>
      </c>
      <c r="M10" s="287" t="n">
        <v>18.3</v>
      </c>
    </row>
    <row r="11" ht="14" customHeight="1" s="227">
      <c r="A11" s="28" t="inlineStr">
        <is>
          <t>Kandal</t>
        </is>
      </c>
      <c r="B11" s="287" t="n">
        <v>7.9</v>
      </c>
      <c r="C11" s="287" t="n">
        <v>2.6</v>
      </c>
      <c r="D11" s="287" t="n">
        <v>2.2</v>
      </c>
      <c r="E11" s="287" t="n">
        <v>12.6</v>
      </c>
      <c r="F11" s="287" t="n">
        <v>17.1</v>
      </c>
      <c r="G11" s="287" t="n">
        <v>20.5</v>
      </c>
      <c r="H11" s="287" t="n">
        <v>6</v>
      </c>
      <c r="I11" s="287" t="n">
        <v>1.5</v>
      </c>
      <c r="J11" s="287" t="n">
        <v>1.6</v>
      </c>
      <c r="K11" s="287" t="n">
        <v>10.6</v>
      </c>
      <c r="L11" s="287" t="n">
        <v>14.3</v>
      </c>
      <c r="M11" s="287" t="n">
        <v>17.6</v>
      </c>
    </row>
    <row r="12" ht="14" customHeight="1" s="227">
      <c r="A12" s="28" t="inlineStr">
        <is>
          <t>Kep</t>
        </is>
      </c>
      <c r="B12" s="287" t="n">
        <v>5.2</v>
      </c>
      <c r="C12" s="287" t="n">
        <v>3.2</v>
      </c>
      <c r="D12" s="287" t="n">
        <v>0.9</v>
      </c>
      <c r="E12" s="287" t="n">
        <v>9.800000000000001</v>
      </c>
      <c r="F12" s="287" t="n">
        <v>15.8</v>
      </c>
      <c r="G12" s="287" t="n">
        <v>24.3</v>
      </c>
      <c r="H12" s="287" t="n">
        <v>4</v>
      </c>
      <c r="I12" s="287" t="n">
        <v>2.1</v>
      </c>
      <c r="J12" s="287" t="n">
        <v>0.5</v>
      </c>
      <c r="K12" s="287" t="n">
        <v>9.5</v>
      </c>
      <c r="L12" s="287" t="n">
        <v>13.4</v>
      </c>
      <c r="M12" s="287" t="n">
        <v>21.3</v>
      </c>
    </row>
    <row r="13" ht="14" customHeight="1" s="227">
      <c r="A13" s="28" t="inlineStr">
        <is>
          <t>Koh Kong</t>
        </is>
      </c>
      <c r="B13" s="287" t="n">
        <v>3.8</v>
      </c>
      <c r="C13" s="287" t="n">
        <v>1.7</v>
      </c>
      <c r="D13" s="287" t="n">
        <v>0.8</v>
      </c>
      <c r="E13" s="287" t="n">
        <v>19.9</v>
      </c>
      <c r="F13" s="287" t="n">
        <v>30.9</v>
      </c>
      <c r="G13" s="287" t="n">
        <v>32.5</v>
      </c>
      <c r="H13" s="287" t="n">
        <v>3</v>
      </c>
      <c r="I13" s="287" t="n">
        <v>1</v>
      </c>
      <c r="J13" s="287" t="n">
        <v>0.7</v>
      </c>
      <c r="K13" s="287" t="n">
        <v>18.7</v>
      </c>
      <c r="L13" s="287" t="n">
        <v>25.7</v>
      </c>
      <c r="M13" s="287" t="n">
        <v>30.5</v>
      </c>
    </row>
    <row r="14" ht="14" customHeight="1" s="227">
      <c r="A14" s="28" t="inlineStr">
        <is>
          <t>Kratie</t>
        </is>
      </c>
      <c r="B14" s="287" t="n">
        <v>7.9</v>
      </c>
      <c r="C14" s="287" t="n">
        <v>2</v>
      </c>
      <c r="D14" s="287" t="n">
        <v>1.8</v>
      </c>
      <c r="E14" s="287" t="n">
        <v>14.4</v>
      </c>
      <c r="F14" s="287" t="n">
        <v>21.8</v>
      </c>
      <c r="G14" s="287" t="n">
        <v>20.1</v>
      </c>
      <c r="H14" s="287" t="n">
        <v>6.2</v>
      </c>
      <c r="I14" s="287" t="n">
        <v>1.2</v>
      </c>
      <c r="J14" s="287" t="n">
        <v>1.3</v>
      </c>
      <c r="K14" s="287" t="n">
        <v>13.5</v>
      </c>
      <c r="L14" s="287" t="n">
        <v>18.7</v>
      </c>
      <c r="M14" s="287" t="n">
        <v>16.2</v>
      </c>
    </row>
    <row r="15" ht="14" customHeight="1" s="227">
      <c r="A15" s="28" t="inlineStr">
        <is>
          <t>Mondul Kiri</t>
        </is>
      </c>
      <c r="B15" s="287" t="n">
        <v>4.7</v>
      </c>
      <c r="C15" s="287" t="n">
        <v>2.9</v>
      </c>
      <c r="D15" s="287" t="n">
        <v>0.8</v>
      </c>
      <c r="E15" s="287" t="n">
        <v>21.5</v>
      </c>
      <c r="F15" s="287" t="n">
        <v>35.7</v>
      </c>
      <c r="G15" s="287" t="n">
        <v>36.9</v>
      </c>
      <c r="H15" s="287" t="n">
        <v>3.7</v>
      </c>
      <c r="I15" s="287" t="n">
        <v>1.4</v>
      </c>
      <c r="J15" s="287" t="n">
        <v>0.4</v>
      </c>
      <c r="K15" s="287" t="n">
        <v>20</v>
      </c>
      <c r="L15" s="287" t="n">
        <v>31.3</v>
      </c>
      <c r="M15" s="287" t="n">
        <v>31.1</v>
      </c>
    </row>
    <row r="16" ht="14" customHeight="1" s="227">
      <c r="A16" s="28" t="inlineStr">
        <is>
          <t>Otdar Meanchey</t>
        </is>
      </c>
      <c r="B16" s="287" t="n">
        <v>8</v>
      </c>
      <c r="C16" s="287" t="n">
        <v>3.2</v>
      </c>
      <c r="D16" s="287" t="n">
        <v>1.1</v>
      </c>
      <c r="E16" s="287" t="n">
        <v>14.7</v>
      </c>
      <c r="F16" s="287" t="n">
        <v>26.8</v>
      </c>
      <c r="G16" s="287" t="n">
        <v>27</v>
      </c>
      <c r="H16" s="287" t="n">
        <v>6</v>
      </c>
      <c r="I16" s="287" t="n">
        <v>2.1</v>
      </c>
      <c r="J16" s="287" t="n">
        <v>0.6</v>
      </c>
      <c r="K16" s="287" t="n">
        <v>13.3</v>
      </c>
      <c r="L16" s="287" t="n">
        <v>23</v>
      </c>
      <c r="M16" s="287" t="n">
        <v>23.1</v>
      </c>
    </row>
    <row r="17" ht="14" customHeight="1" s="227">
      <c r="A17" s="28" t="inlineStr">
        <is>
          <t>Pailin</t>
        </is>
      </c>
      <c r="B17" s="287" t="n">
        <v>6.2</v>
      </c>
      <c r="C17" s="287" t="n">
        <v>4.5</v>
      </c>
      <c r="D17" s="287" t="n">
        <v>3.5</v>
      </c>
      <c r="E17" s="287" t="n">
        <v>15.4</v>
      </c>
      <c r="F17" s="287" t="n">
        <v>20.7</v>
      </c>
      <c r="G17" s="287" t="n">
        <v>26.6</v>
      </c>
      <c r="H17" s="287" t="n">
        <v>4</v>
      </c>
      <c r="I17" s="287" t="n">
        <v>3</v>
      </c>
      <c r="J17" s="287" t="n">
        <v>1.6</v>
      </c>
      <c r="K17" s="287" t="n">
        <v>14</v>
      </c>
      <c r="L17" s="287" t="n">
        <v>16.3</v>
      </c>
      <c r="M17" s="287" t="n">
        <v>22.2</v>
      </c>
    </row>
    <row r="18" ht="14" customHeight="1" s="227">
      <c r="A18" s="28" t="inlineStr">
        <is>
          <t>Phnom Penh</t>
        </is>
      </c>
      <c r="B18" s="287" t="n">
        <v>2.8</v>
      </c>
      <c r="C18" s="287" t="n">
        <v>2.9</v>
      </c>
      <c r="D18" s="287" t="n">
        <v>3.3</v>
      </c>
      <c r="E18" s="287" t="n">
        <v>8.699999999999999</v>
      </c>
      <c r="F18" s="287" t="n">
        <v>15</v>
      </c>
      <c r="G18" s="287" t="n">
        <v>19.2</v>
      </c>
      <c r="H18" s="287" t="n">
        <v>1.9</v>
      </c>
      <c r="I18" s="287" t="n">
        <v>1.8</v>
      </c>
      <c r="J18" s="287" t="n">
        <v>2.6</v>
      </c>
      <c r="K18" s="287" t="n">
        <v>7.3</v>
      </c>
      <c r="L18" s="287" t="n">
        <v>12.7</v>
      </c>
      <c r="M18" s="287" t="n">
        <v>17.1</v>
      </c>
    </row>
    <row r="19" ht="14" customHeight="1" s="227">
      <c r="A19" s="28" t="inlineStr">
        <is>
          <t>Preah Sihanouk</t>
        </is>
      </c>
      <c r="B19" s="287" t="n">
        <v>3.1</v>
      </c>
      <c r="C19" s="287" t="n">
        <v>3.6</v>
      </c>
      <c r="D19" s="287" t="n">
        <v>1.2</v>
      </c>
      <c r="E19" s="287" t="n">
        <v>13.5</v>
      </c>
      <c r="F19" s="287" t="n">
        <v>19.7</v>
      </c>
      <c r="G19" s="287" t="n">
        <v>19.2</v>
      </c>
      <c r="H19" s="287" t="n">
        <v>2.3</v>
      </c>
      <c r="I19" s="287" t="n">
        <v>1.9</v>
      </c>
      <c r="J19" s="287" t="n">
        <v>0.7</v>
      </c>
      <c r="K19" s="287" t="n">
        <v>12</v>
      </c>
      <c r="L19" s="287" t="n">
        <v>16.3</v>
      </c>
      <c r="M19" s="287" t="n">
        <v>14.8</v>
      </c>
    </row>
    <row r="20" ht="14" customHeight="1" s="227">
      <c r="A20" s="28" t="inlineStr">
        <is>
          <t>Preah Vihear</t>
        </is>
      </c>
      <c r="B20" s="287" t="n">
        <v>8.300000000000001</v>
      </c>
      <c r="C20" s="287" t="n">
        <v>1.3</v>
      </c>
      <c r="D20" s="287" t="n">
        <v>0.4</v>
      </c>
      <c r="E20" s="287" t="n">
        <v>28.8</v>
      </c>
      <c r="F20" s="287" t="n">
        <v>33.2</v>
      </c>
      <c r="G20" s="287" t="n">
        <v>28.7</v>
      </c>
      <c r="H20" s="287" t="n">
        <v>6.9</v>
      </c>
      <c r="I20" s="287" t="n">
        <v>0.8</v>
      </c>
      <c r="J20" s="287" t="n">
        <v>0.2</v>
      </c>
      <c r="K20" s="287" t="n">
        <v>28.5</v>
      </c>
      <c r="L20" s="287" t="n">
        <v>28.8</v>
      </c>
      <c r="M20" s="287" t="n">
        <v>22.5</v>
      </c>
    </row>
    <row r="21" ht="14" customHeight="1" s="227">
      <c r="A21" s="28" t="inlineStr">
        <is>
          <t>Prey Veng</t>
        </is>
      </c>
      <c r="B21" s="287" t="n">
        <v>6.8</v>
      </c>
      <c r="C21" s="287" t="n">
        <v>0.9</v>
      </c>
      <c r="D21" s="287" t="n">
        <v>1.3</v>
      </c>
      <c r="E21" s="287" t="n">
        <v>13.9</v>
      </c>
      <c r="F21" s="287" t="n">
        <v>18</v>
      </c>
      <c r="G21" s="287" t="n">
        <v>18.8</v>
      </c>
      <c r="H21" s="287" t="n">
        <v>5.1</v>
      </c>
      <c r="I21" s="287" t="n">
        <v>0.5</v>
      </c>
      <c r="J21" s="287" t="n">
        <v>1.1</v>
      </c>
      <c r="K21" s="287" t="n">
        <v>12.3</v>
      </c>
      <c r="L21" s="287" t="n">
        <v>16.2</v>
      </c>
      <c r="M21" s="287" t="n">
        <v>16.1</v>
      </c>
    </row>
    <row r="22" ht="14" customHeight="1" s="227">
      <c r="A22" s="28" t="inlineStr">
        <is>
          <t>Pursat</t>
        </is>
      </c>
      <c r="B22" s="287" t="n">
        <v>7.7</v>
      </c>
      <c r="C22" s="287" t="n">
        <v>1.9</v>
      </c>
      <c r="D22" s="287" t="n">
        <v>1.7</v>
      </c>
      <c r="E22" s="287" t="n">
        <v>15.6</v>
      </c>
      <c r="F22" s="287" t="n">
        <v>25</v>
      </c>
      <c r="G22" s="287" t="n">
        <v>25.7</v>
      </c>
      <c r="H22" s="287" t="n">
        <v>6.2</v>
      </c>
      <c r="I22" s="287" t="n">
        <v>1.1</v>
      </c>
      <c r="J22" s="287" t="n">
        <v>1.3</v>
      </c>
      <c r="K22" s="287" t="n">
        <v>15.4</v>
      </c>
      <c r="L22" s="287" t="n">
        <v>22.2</v>
      </c>
      <c r="M22" s="287" t="n">
        <v>23</v>
      </c>
    </row>
    <row r="23" ht="14" customHeight="1" s="227">
      <c r="A23" s="28" t="inlineStr">
        <is>
          <t>Ratanak Kiri</t>
        </is>
      </c>
      <c r="B23" s="287" t="n">
        <v>4.3</v>
      </c>
      <c r="C23" s="287" t="n">
        <v>1.4</v>
      </c>
      <c r="D23" s="287" t="n">
        <v>0.1</v>
      </c>
      <c r="E23" s="287" t="n">
        <v>29.2</v>
      </c>
      <c r="F23" s="287" t="n">
        <v>49.1</v>
      </c>
      <c r="G23" s="287" t="n">
        <v>38.7</v>
      </c>
      <c r="H23" s="287" t="n">
        <v>3.6</v>
      </c>
      <c r="I23" s="287" t="n">
        <v>1</v>
      </c>
      <c r="J23" s="287" t="n">
        <v>0</v>
      </c>
      <c r="K23" s="287" t="n">
        <v>28.4</v>
      </c>
      <c r="L23" s="287" t="n">
        <v>42</v>
      </c>
      <c r="M23" s="287" t="n">
        <v>29.6</v>
      </c>
    </row>
    <row r="24" ht="14" customHeight="1" s="227">
      <c r="A24" s="28" t="inlineStr">
        <is>
          <t>Siemreap</t>
        </is>
      </c>
      <c r="B24" s="287" t="n">
        <v>7.3</v>
      </c>
      <c r="C24" s="287" t="n">
        <v>3.8</v>
      </c>
      <c r="D24" s="287" t="n">
        <v>2</v>
      </c>
      <c r="E24" s="287" t="n">
        <v>14</v>
      </c>
      <c r="F24" s="287" t="n">
        <v>22.8</v>
      </c>
      <c r="G24" s="287" t="n">
        <v>26.8</v>
      </c>
      <c r="H24" s="287" t="n">
        <v>5.3</v>
      </c>
      <c r="I24" s="287" t="n">
        <v>2.3</v>
      </c>
      <c r="J24" s="287" t="n">
        <v>1.5</v>
      </c>
      <c r="K24" s="287" t="n">
        <v>12.5</v>
      </c>
      <c r="L24" s="287" t="n">
        <v>20.2</v>
      </c>
      <c r="M24" s="287" t="n">
        <v>24.8</v>
      </c>
    </row>
    <row r="25" ht="14" customHeight="1" s="227">
      <c r="A25" s="28" t="inlineStr">
        <is>
          <t>Stung Treng</t>
        </is>
      </c>
      <c r="B25" s="287" t="n">
        <v>10.5</v>
      </c>
      <c r="C25" s="287" t="n">
        <v>0.7</v>
      </c>
      <c r="D25" s="287" t="n">
        <v>0.4</v>
      </c>
      <c r="E25" s="287" t="n">
        <v>26.9</v>
      </c>
      <c r="F25" s="287" t="n">
        <v>32.7</v>
      </c>
      <c r="G25" s="287" t="n">
        <v>27.4</v>
      </c>
      <c r="H25" s="287" t="n">
        <v>9.4</v>
      </c>
      <c r="I25" s="287" t="n">
        <v>0.4</v>
      </c>
      <c r="J25" s="287" t="n">
        <v>0.4</v>
      </c>
      <c r="K25" s="287" t="n">
        <v>27.1</v>
      </c>
      <c r="L25" s="287" t="n">
        <v>27.8</v>
      </c>
      <c r="M25" s="287" t="n">
        <v>22.7</v>
      </c>
    </row>
    <row r="26" ht="14" customHeight="1" s="227">
      <c r="A26" s="28" t="inlineStr">
        <is>
          <t>Svay Rieng</t>
        </is>
      </c>
      <c r="B26" s="287" t="n">
        <v>4.2</v>
      </c>
      <c r="C26" s="287" t="n">
        <v>2.4</v>
      </c>
      <c r="D26" s="287" t="n">
        <v>0.9</v>
      </c>
      <c r="E26" s="287" t="n">
        <v>15.2</v>
      </c>
      <c r="F26" s="287" t="n">
        <v>14.9</v>
      </c>
      <c r="G26" s="287" t="n">
        <v>20.1</v>
      </c>
      <c r="H26" s="287" t="n">
        <v>3</v>
      </c>
      <c r="I26" s="287" t="n">
        <v>1.2</v>
      </c>
      <c r="J26" s="287" t="n">
        <v>0.7</v>
      </c>
      <c r="K26" s="287" t="n">
        <v>13.8</v>
      </c>
      <c r="L26" s="287" t="n">
        <v>12.5</v>
      </c>
      <c r="M26" s="287" t="n">
        <v>16.4</v>
      </c>
    </row>
    <row r="27" ht="14" customHeight="1" s="227">
      <c r="A27" s="28" t="inlineStr">
        <is>
          <t>Takeo</t>
        </is>
      </c>
      <c r="B27" s="287" t="n">
        <v>6.4</v>
      </c>
      <c r="C27" s="287" t="n">
        <v>2.5</v>
      </c>
      <c r="D27" s="287" t="n">
        <v>2.5</v>
      </c>
      <c r="E27" s="287" t="n">
        <v>8.199999999999999</v>
      </c>
      <c r="F27" s="287" t="n">
        <v>17.8</v>
      </c>
      <c r="G27" s="287" t="n">
        <v>21.3</v>
      </c>
      <c r="H27" s="287" t="n">
        <v>4.7</v>
      </c>
      <c r="I27" s="287" t="n">
        <v>1.3</v>
      </c>
      <c r="J27" s="287" t="n">
        <v>1.8</v>
      </c>
      <c r="K27" s="287" t="n">
        <v>7</v>
      </c>
      <c r="L27" s="287" t="n">
        <v>15.2</v>
      </c>
      <c r="M27" s="287" t="n">
        <v>18.7</v>
      </c>
    </row>
    <row r="28" ht="14" customHeight="1" s="227">
      <c r="A28" s="28" t="inlineStr">
        <is>
          <t>Tbaung Khmum</t>
        </is>
      </c>
      <c r="B28" s="287" t="n">
        <v>5.9</v>
      </c>
      <c r="C28" s="287" t="n">
        <v>2.8</v>
      </c>
      <c r="D28" s="287" t="n">
        <v>1.8</v>
      </c>
      <c r="E28" s="287" t="n">
        <v>16</v>
      </c>
      <c r="F28" s="287" t="n">
        <v>23.9</v>
      </c>
      <c r="G28" s="287" t="n">
        <v>33.2</v>
      </c>
      <c r="H28" s="287" t="n">
        <v>4.7</v>
      </c>
      <c r="I28" s="287" t="n">
        <v>1.7</v>
      </c>
      <c r="J28" s="287" t="n">
        <v>1.3</v>
      </c>
      <c r="K28" s="287" t="n">
        <v>14.7</v>
      </c>
      <c r="L28" s="287" t="n">
        <v>21.3</v>
      </c>
      <c r="M28" s="287" t="n">
        <v>29.8</v>
      </c>
    </row>
    <row r="29" ht="17" customHeight="1" s="227">
      <c r="A29" s="22" t="inlineStr">
        <is>
          <t>Whole Kingdom</t>
        </is>
      </c>
      <c r="B29" s="287" t="n">
        <v>6.2</v>
      </c>
      <c r="C29" s="287" t="n">
        <v>2.5</v>
      </c>
      <c r="D29" s="287" t="n">
        <v>1.9</v>
      </c>
      <c r="E29" s="287" t="n">
        <v>13.7</v>
      </c>
      <c r="F29" s="287" t="n">
        <v>20.2</v>
      </c>
      <c r="G29" s="287" t="n">
        <v>22</v>
      </c>
      <c r="H29" s="287" t="n">
        <v>4.7</v>
      </c>
      <c r="I29" s="287" t="n">
        <v>1.4</v>
      </c>
      <c r="J29" s="287" t="n">
        <v>1.4</v>
      </c>
      <c r="K29" s="287" t="n">
        <v>12.4</v>
      </c>
      <c r="L29" s="287" t="n">
        <v>17.6</v>
      </c>
      <c r="M29" s="287" t="n">
        <v>19.3</v>
      </c>
    </row>
    <row r="30" ht="14" customHeight="1" s="227">
      <c r="A30" s="28" t="inlineStr">
        <is>
          <t>- Urban Area</t>
        </is>
      </c>
      <c r="B30" s="287" t="n">
        <v>4.3</v>
      </c>
      <c r="C30" s="287" t="n">
        <v>3.2</v>
      </c>
      <c r="D30" s="287" t="n">
        <v>2.5</v>
      </c>
      <c r="E30" s="287" t="n">
        <v>10.6</v>
      </c>
      <c r="F30" s="287" t="n">
        <v>17.9</v>
      </c>
      <c r="G30" s="287" t="n">
        <v>21.1</v>
      </c>
      <c r="H30" s="287" t="n">
        <v>3.1</v>
      </c>
      <c r="I30" s="287" t="n">
        <v>2</v>
      </c>
      <c r="J30" s="287" t="n">
        <v>2</v>
      </c>
      <c r="K30" s="287" t="n">
        <v>9.199999999999999</v>
      </c>
      <c r="L30" s="287" t="n">
        <v>15.2</v>
      </c>
      <c r="M30" s="287" t="n">
        <v>18.5</v>
      </c>
    </row>
    <row r="31" ht="14" customHeight="1" s="227">
      <c r="A31" s="28" t="inlineStr">
        <is>
          <t>- Rural Area</t>
        </is>
      </c>
      <c r="B31" s="287" t="n">
        <v>6.6</v>
      </c>
      <c r="C31" s="287" t="n">
        <v>2.3</v>
      </c>
      <c r="D31" s="287" t="n">
        <v>1.6</v>
      </c>
      <c r="E31" s="287" t="n">
        <v>14.3</v>
      </c>
      <c r="F31" s="287" t="n">
        <v>20.8</v>
      </c>
      <c r="G31" s="287" t="n">
        <v>22.5</v>
      </c>
      <c r="H31" s="287" t="n">
        <v>5</v>
      </c>
      <c r="I31" s="287" t="n">
        <v>1.3</v>
      </c>
      <c r="J31" s="287" t="n">
        <v>1.2</v>
      </c>
      <c r="K31" s="287" t="n">
        <v>13</v>
      </c>
      <c r="L31" s="287" t="n">
        <v>18.2</v>
      </c>
      <c r="M31" s="287" t="n">
        <v>19.6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tabColor rgb="007030A0"/>
    <outlinePr summaryBelow="1" summaryRight="1"/>
    <pageSetUpPr/>
  </sheetPr>
  <dimension ref="A1:K31"/>
  <sheetViews>
    <sheetView tabSelected="1" workbookViewId="0">
      <selection activeCell="A1" sqref="A1"/>
    </sheetView>
  </sheetViews>
  <sheetFormatPr baseColWidth="8" defaultRowHeight="15"/>
  <cols>
    <col width="24.222222" customWidth="1" style="227" min="1" max="1"/>
    <col width="13.555556" customWidth="1" style="227" min="2" max="2"/>
    <col width="14" customWidth="1" style="227" min="3" max="3"/>
    <col width="13.555556" customWidth="1" style="227" min="4" max="4"/>
    <col width="13.555556" customWidth="1" style="227" min="5" max="5"/>
    <col width="14" customWidth="1" style="227" min="6" max="6"/>
    <col width="13.555556" customWidth="1" style="227" min="7" max="7"/>
    <col width="14.888889" customWidth="1" style="227" min="8" max="8"/>
    <col width="15.111111" customWidth="1" style="227" min="9" max="9"/>
    <col width="14.888889" customWidth="1" style="227" min="10" max="10"/>
    <col width="14.888889" customWidth="1" style="227" min="11" max="11"/>
  </cols>
  <sheetData>
    <row r="1" ht="31" customHeight="1" s="227">
      <c r="A1" s="2" t="inlineStr">
        <is>
          <t>Table 10: Indicators on Access and Equity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</row>
    <row r="2" ht="22.5" customHeight="1" s="227">
      <c r="A2" s="35" t="inlineStr">
        <is>
          <t>Province</t>
        </is>
      </c>
      <c r="B2" s="169" t="inlineStr">
        <is>
          <t>Gross Admission Rate</t>
        </is>
      </c>
      <c r="C2" s="257" t="n"/>
      <c r="D2" s="169" t="inlineStr">
        <is>
          <t>Net Admission Rate</t>
        </is>
      </c>
      <c r="E2" s="257" t="n"/>
      <c r="F2" s="103" t="inlineStr">
        <is>
          <t>% Over-age (6+) Admission</t>
        </is>
      </c>
      <c r="G2" s="257" t="n"/>
      <c r="H2" s="78" t="inlineStr">
        <is>
          <t>Transition Rate to Lower Sec.
2017/2018</t>
        </is>
      </c>
      <c r="I2" s="257" t="n"/>
      <c r="J2" s="78" t="inlineStr">
        <is>
          <t>Transition Rate to Upper Sec.
2017/2018</t>
        </is>
      </c>
      <c r="K2" s="257" t="n"/>
    </row>
    <row r="3" ht="19" customHeight="1" s="227">
      <c r="A3" s="258" t="n"/>
      <c r="B3" s="92" t="inlineStr">
        <is>
          <t>Total</t>
        </is>
      </c>
      <c r="C3" s="92" t="inlineStr">
        <is>
          <t>Girl</t>
        </is>
      </c>
      <c r="D3" s="92" t="inlineStr">
        <is>
          <t>Total</t>
        </is>
      </c>
      <c r="E3" s="92" t="inlineStr">
        <is>
          <t>Girl</t>
        </is>
      </c>
      <c r="F3" s="92" t="inlineStr">
        <is>
          <t>Total</t>
        </is>
      </c>
      <c r="G3" s="92" t="inlineStr">
        <is>
          <t>Girl</t>
        </is>
      </c>
      <c r="H3" s="92" t="inlineStr">
        <is>
          <t>Total</t>
        </is>
      </c>
      <c r="I3" s="92" t="inlineStr">
        <is>
          <t>Girl</t>
        </is>
      </c>
      <c r="J3" s="92" t="inlineStr">
        <is>
          <t>Total</t>
        </is>
      </c>
      <c r="K3" s="92" t="inlineStr">
        <is>
          <t>Girl</t>
        </is>
      </c>
    </row>
    <row r="4" ht="14" customHeight="1" s="227">
      <c r="A4" s="28" t="inlineStr">
        <is>
          <t>Banteay Meanchey</t>
        </is>
      </c>
      <c r="B4" s="287" t="n">
        <v>107.5</v>
      </c>
      <c r="C4" s="287" t="n">
        <v>105.5</v>
      </c>
      <c r="D4" s="287" t="n">
        <v>87.09999999999999</v>
      </c>
      <c r="E4" s="287" t="n">
        <v>87.7</v>
      </c>
      <c r="F4" s="287" t="n">
        <v>19</v>
      </c>
      <c r="G4" s="287" t="n">
        <v>16.9</v>
      </c>
      <c r="H4" s="287" t="n">
        <v>84.3</v>
      </c>
      <c r="I4" s="287" t="n">
        <v>87.5</v>
      </c>
      <c r="J4" s="287" t="n">
        <v>71.59999999999999</v>
      </c>
      <c r="K4" s="287" t="n">
        <v>77.90000000000001</v>
      </c>
    </row>
    <row r="5" ht="14" customHeight="1" s="227">
      <c r="A5" s="28" t="inlineStr">
        <is>
          <t>Battambang</t>
        </is>
      </c>
      <c r="B5" s="287" t="n">
        <v>125.9</v>
      </c>
      <c r="C5" s="287" t="n">
        <v>124.8</v>
      </c>
      <c r="D5" s="287" t="n">
        <v>96.90000000000001</v>
      </c>
      <c r="E5" s="287" t="n">
        <v>98.2</v>
      </c>
      <c r="F5" s="287" t="n">
        <v>23</v>
      </c>
      <c r="G5" s="287" t="n">
        <v>21.3</v>
      </c>
      <c r="H5" s="287" t="n">
        <v>80.59999999999999</v>
      </c>
      <c r="I5" s="287" t="n">
        <v>83.90000000000001</v>
      </c>
      <c r="J5" s="287" t="n">
        <v>73.8</v>
      </c>
      <c r="K5" s="287" t="n">
        <v>76.8</v>
      </c>
    </row>
    <row r="6" ht="14" customHeight="1" s="227">
      <c r="A6" s="28" t="inlineStr">
        <is>
          <t>Kampong Cham</t>
        </is>
      </c>
      <c r="B6" s="287" t="n">
        <v>123.2</v>
      </c>
      <c r="C6" s="287" t="n">
        <v>120.2</v>
      </c>
      <c r="D6" s="287" t="n">
        <v>91.2</v>
      </c>
      <c r="E6" s="287" t="n">
        <v>91.5</v>
      </c>
      <c r="F6" s="287" t="n">
        <v>25.9</v>
      </c>
      <c r="G6" s="287" t="n">
        <v>23.9</v>
      </c>
      <c r="H6" s="287" t="n">
        <v>84.2</v>
      </c>
      <c r="I6" s="287" t="n">
        <v>87.09999999999999</v>
      </c>
      <c r="J6" s="287" t="n">
        <v>77.09999999999999</v>
      </c>
      <c r="K6" s="287" t="n">
        <v>81.2</v>
      </c>
    </row>
    <row r="7" ht="14" customHeight="1" s="227">
      <c r="A7" s="28" t="inlineStr">
        <is>
          <t>Kampong Chhnang</t>
        </is>
      </c>
      <c r="B7" s="287" t="n">
        <v>103.2</v>
      </c>
      <c r="C7" s="287" t="n">
        <v>101.6</v>
      </c>
      <c r="D7" s="287" t="n">
        <v>92.5</v>
      </c>
      <c r="E7" s="287" t="n">
        <v>92.09999999999999</v>
      </c>
      <c r="F7" s="287" t="n">
        <v>10.4</v>
      </c>
      <c r="G7" s="287" t="n">
        <v>9.4</v>
      </c>
      <c r="H7" s="287" t="n">
        <v>86.7</v>
      </c>
      <c r="I7" s="287" t="n">
        <v>89.5</v>
      </c>
      <c r="J7" s="287" t="n">
        <v>70.7</v>
      </c>
      <c r="K7" s="287" t="n">
        <v>72.90000000000001</v>
      </c>
    </row>
    <row r="8" ht="14" customHeight="1" s="227">
      <c r="A8" s="28" t="inlineStr">
        <is>
          <t>Kampong Speu</t>
        </is>
      </c>
      <c r="B8" s="287" t="n">
        <v>103.4</v>
      </c>
      <c r="C8" s="287" t="n">
        <v>100</v>
      </c>
      <c r="D8" s="287" t="n">
        <v>90.09999999999999</v>
      </c>
      <c r="E8" s="287" t="n">
        <v>88.8</v>
      </c>
      <c r="F8" s="287" t="n">
        <v>12.9</v>
      </c>
      <c r="G8" s="287" t="n">
        <v>11.2</v>
      </c>
      <c r="H8" s="287" t="n">
        <v>83.3</v>
      </c>
      <c r="I8" s="287" t="n">
        <v>86.5</v>
      </c>
      <c r="J8" s="287" t="n">
        <v>65.2</v>
      </c>
      <c r="K8" s="287" t="n">
        <v>65</v>
      </c>
    </row>
    <row r="9" ht="14" customHeight="1" s="227">
      <c r="A9" s="28" t="inlineStr">
        <is>
          <t>Kampong Thom</t>
        </is>
      </c>
      <c r="B9" s="287" t="n">
        <v>118.7</v>
      </c>
      <c r="C9" s="287" t="n">
        <v>117.9</v>
      </c>
      <c r="D9" s="287" t="n">
        <v>96.3</v>
      </c>
      <c r="E9" s="287" t="n">
        <v>96.3</v>
      </c>
      <c r="F9" s="287" t="n">
        <v>18.8</v>
      </c>
      <c r="G9" s="287" t="n">
        <v>18.3</v>
      </c>
      <c r="H9" s="287" t="n">
        <v>87.8</v>
      </c>
      <c r="I9" s="287" t="n">
        <v>90.5</v>
      </c>
      <c r="J9" s="287" t="n">
        <v>76.90000000000001</v>
      </c>
      <c r="K9" s="287" t="n">
        <v>79.2</v>
      </c>
    </row>
    <row r="10" ht="14" customHeight="1" s="227">
      <c r="A10" s="28" t="inlineStr">
        <is>
          <t>Kampot</t>
        </is>
      </c>
      <c r="B10" s="287" t="n">
        <v>102.4</v>
      </c>
      <c r="C10" s="287" t="n">
        <v>98.7</v>
      </c>
      <c r="D10" s="287" t="n">
        <v>88.2</v>
      </c>
      <c r="E10" s="287" t="n">
        <v>86.40000000000001</v>
      </c>
      <c r="F10" s="287" t="n">
        <v>13.8</v>
      </c>
      <c r="G10" s="287" t="n">
        <v>12.5</v>
      </c>
      <c r="H10" s="287" t="n">
        <v>87.5</v>
      </c>
      <c r="I10" s="287" t="n">
        <v>88.5</v>
      </c>
      <c r="J10" s="287" t="n">
        <v>70.90000000000001</v>
      </c>
      <c r="K10" s="287" t="n">
        <v>73.2</v>
      </c>
    </row>
    <row r="11" ht="14" customHeight="1" s="227">
      <c r="A11" s="28" t="inlineStr">
        <is>
          <t>Kandal</t>
        </is>
      </c>
      <c r="B11" s="287" t="n">
        <v>114.4</v>
      </c>
      <c r="C11" s="287" t="n">
        <v>114.4</v>
      </c>
      <c r="D11" s="287" t="n">
        <v>98.09999999999999</v>
      </c>
      <c r="E11" s="287" t="n">
        <v>98.5</v>
      </c>
      <c r="F11" s="287" t="n">
        <v>14.2</v>
      </c>
      <c r="G11" s="287" t="n">
        <v>13.9</v>
      </c>
      <c r="H11" s="287" t="n">
        <v>87</v>
      </c>
      <c r="I11" s="287" t="n">
        <v>91.2</v>
      </c>
      <c r="J11" s="287" t="n">
        <v>79.90000000000001</v>
      </c>
      <c r="K11" s="287" t="n">
        <v>84.09999999999999</v>
      </c>
    </row>
    <row r="12" ht="14" customHeight="1" s="227">
      <c r="A12" s="28" t="inlineStr">
        <is>
          <t>Kep</t>
        </is>
      </c>
      <c r="B12" s="287" t="n">
        <v>89.7</v>
      </c>
      <c r="C12" s="287" t="n">
        <v>93.09999999999999</v>
      </c>
      <c r="D12" s="287" t="n">
        <v>74.40000000000001</v>
      </c>
      <c r="E12" s="287" t="n">
        <v>77.2</v>
      </c>
      <c r="F12" s="287" t="n">
        <v>17</v>
      </c>
      <c r="G12" s="287" t="n">
        <v>17.1</v>
      </c>
      <c r="H12" s="287" t="n">
        <v>84.2</v>
      </c>
      <c r="I12" s="287" t="n">
        <v>88.8</v>
      </c>
      <c r="J12" s="287" t="n">
        <v>72.8</v>
      </c>
      <c r="K12" s="287" t="n">
        <v>77.2</v>
      </c>
    </row>
    <row r="13" ht="14" customHeight="1" s="227">
      <c r="A13" s="28" t="inlineStr">
        <is>
          <t>Koh Kong</t>
        </is>
      </c>
      <c r="B13" s="287" t="n">
        <v>91.59999999999999</v>
      </c>
      <c r="C13" s="287" t="n">
        <v>91.7</v>
      </c>
      <c r="D13" s="287" t="n">
        <v>66.7</v>
      </c>
      <c r="E13" s="287" t="n">
        <v>68.09999999999999</v>
      </c>
      <c r="F13" s="287" t="n">
        <v>27.2</v>
      </c>
      <c r="G13" s="287" t="n">
        <v>25.8</v>
      </c>
      <c r="H13" s="287" t="n">
        <v>92.5</v>
      </c>
      <c r="I13" s="287" t="n">
        <v>92.3</v>
      </c>
      <c r="J13" s="287" t="n">
        <v>75.7</v>
      </c>
      <c r="K13" s="287" t="n">
        <v>72</v>
      </c>
    </row>
    <row r="14" ht="14" customHeight="1" s="227">
      <c r="A14" s="28" t="inlineStr">
        <is>
          <t>Kratie</t>
        </is>
      </c>
      <c r="B14" s="287" t="n">
        <v>134.2</v>
      </c>
      <c r="C14" s="287" t="n">
        <v>132.6</v>
      </c>
      <c r="D14" s="287" t="n">
        <v>98</v>
      </c>
      <c r="E14" s="287" t="n">
        <v>99.2</v>
      </c>
      <c r="F14" s="287" t="n">
        <v>27</v>
      </c>
      <c r="G14" s="287" t="n">
        <v>25.2</v>
      </c>
      <c r="H14" s="287" t="n">
        <v>75.7</v>
      </c>
      <c r="I14" s="287" t="n">
        <v>77.90000000000001</v>
      </c>
      <c r="J14" s="287" t="n">
        <v>68</v>
      </c>
      <c r="K14" s="287" t="n">
        <v>69.09999999999999</v>
      </c>
    </row>
    <row r="15" ht="14" customHeight="1" s="227">
      <c r="A15" s="28" t="inlineStr">
        <is>
          <t>Mondul Kiri</t>
        </is>
      </c>
      <c r="B15" s="287" t="n">
        <v>135.9</v>
      </c>
      <c r="C15" s="287" t="n">
        <v>139.7</v>
      </c>
      <c r="D15" s="287" t="n">
        <v>88.90000000000001</v>
      </c>
      <c r="E15" s="287" t="n">
        <v>93.59999999999999</v>
      </c>
      <c r="F15" s="287" t="n">
        <v>34.5</v>
      </c>
      <c r="G15" s="287" t="n">
        <v>33</v>
      </c>
      <c r="H15" s="287" t="n">
        <v>83.59999999999999</v>
      </c>
      <c r="I15" s="287" t="n">
        <v>85.3</v>
      </c>
      <c r="J15" s="287" t="n">
        <v>79.5</v>
      </c>
      <c r="K15" s="287" t="n">
        <v>79</v>
      </c>
    </row>
    <row r="16" ht="14" customHeight="1" s="227">
      <c r="A16" s="28" t="inlineStr">
        <is>
          <t>Otdar Meanchey</t>
        </is>
      </c>
      <c r="B16" s="287" t="n">
        <v>109.8</v>
      </c>
      <c r="C16" s="287" t="n">
        <v>106.9</v>
      </c>
      <c r="D16" s="287" t="n">
        <v>88</v>
      </c>
      <c r="E16" s="287" t="n">
        <v>88.09999999999999</v>
      </c>
      <c r="F16" s="287" t="n">
        <v>19.9</v>
      </c>
      <c r="G16" s="287" t="n">
        <v>17.6</v>
      </c>
      <c r="H16" s="287" t="n">
        <v>82.3</v>
      </c>
      <c r="I16" s="287" t="n">
        <v>82.59999999999999</v>
      </c>
      <c r="J16" s="287" t="n">
        <v>74.2</v>
      </c>
      <c r="K16" s="287" t="n">
        <v>74.59999999999999</v>
      </c>
    </row>
    <row r="17" ht="14" customHeight="1" s="227">
      <c r="A17" s="28" t="inlineStr">
        <is>
          <t>Pailin</t>
        </is>
      </c>
      <c r="B17" s="287" t="n">
        <v>83.2</v>
      </c>
      <c r="C17" s="287" t="n">
        <v>86.40000000000001</v>
      </c>
      <c r="D17" s="287" t="n">
        <v>68</v>
      </c>
      <c r="E17" s="287" t="n">
        <v>72.8</v>
      </c>
      <c r="F17" s="287" t="n">
        <v>18.2</v>
      </c>
      <c r="G17" s="287" t="n">
        <v>15.8</v>
      </c>
      <c r="H17" s="287" t="n">
        <v>99.8</v>
      </c>
      <c r="I17" s="287" t="n">
        <v>101.5</v>
      </c>
      <c r="J17" s="287" t="n">
        <v>74.8</v>
      </c>
      <c r="K17" s="287" t="n">
        <v>80</v>
      </c>
    </row>
    <row r="18" ht="14" customHeight="1" s="227">
      <c r="A18" s="28" t="inlineStr">
        <is>
          <t>Phnom Penh</t>
        </is>
      </c>
      <c r="B18" s="287" t="n">
        <v>90.8</v>
      </c>
      <c r="C18" s="287" t="n">
        <v>87.90000000000001</v>
      </c>
      <c r="D18" s="287" t="n">
        <v>76.5</v>
      </c>
      <c r="E18" s="287" t="n">
        <v>76.3</v>
      </c>
      <c r="F18" s="287" t="n">
        <v>15.7</v>
      </c>
      <c r="G18" s="287" t="n">
        <v>13.3</v>
      </c>
      <c r="H18" s="287" t="n">
        <v>92.90000000000001</v>
      </c>
      <c r="I18" s="287" t="n">
        <v>93.2</v>
      </c>
      <c r="J18" s="287" t="n">
        <v>86.8</v>
      </c>
      <c r="K18" s="287" t="n">
        <v>89.8</v>
      </c>
    </row>
    <row r="19" ht="14" customHeight="1" s="227">
      <c r="A19" s="28" t="inlineStr">
        <is>
          <t>Preah Sihanouk</t>
        </is>
      </c>
      <c r="B19" s="287" t="n">
        <v>96.8</v>
      </c>
      <c r="C19" s="287" t="n">
        <v>97.3</v>
      </c>
      <c r="D19" s="287" t="n">
        <v>71.5</v>
      </c>
      <c r="E19" s="287" t="n">
        <v>73.40000000000001</v>
      </c>
      <c r="F19" s="287" t="n">
        <v>26.1</v>
      </c>
      <c r="G19" s="287" t="n">
        <v>24.5</v>
      </c>
      <c r="H19" s="287" t="n">
        <v>84.59999999999999</v>
      </c>
      <c r="I19" s="287" t="n">
        <v>86</v>
      </c>
      <c r="J19" s="287" t="n">
        <v>69.5</v>
      </c>
      <c r="K19" s="287" t="n">
        <v>73.90000000000001</v>
      </c>
    </row>
    <row r="20" ht="15" customHeight="1" s="227">
      <c r="A20" s="28" t="inlineStr">
        <is>
          <t>Preah Vihear</t>
        </is>
      </c>
      <c r="B20" s="287" t="n">
        <v>135</v>
      </c>
      <c r="C20" s="287" t="n">
        <v>129.9</v>
      </c>
      <c r="D20" s="287" t="n">
        <v>87.8</v>
      </c>
      <c r="E20" s="287" t="n">
        <v>86.09999999999999</v>
      </c>
      <c r="F20" s="287" t="n">
        <v>35</v>
      </c>
      <c r="G20" s="287" t="n">
        <v>33.7</v>
      </c>
      <c r="H20" s="287" t="n">
        <v>84.7</v>
      </c>
      <c r="I20" s="287" t="n">
        <v>88.7</v>
      </c>
      <c r="J20" s="287" t="n">
        <v>76.09999999999999</v>
      </c>
      <c r="K20" s="287" t="n">
        <v>75.7</v>
      </c>
    </row>
    <row r="21" ht="14" customHeight="1" s="227">
      <c r="A21" s="28" t="inlineStr">
        <is>
          <t>Prey Veng</t>
        </is>
      </c>
      <c r="B21" s="287" t="n">
        <v>118</v>
      </c>
      <c r="C21" s="287" t="n">
        <v>114.4</v>
      </c>
      <c r="D21" s="287" t="n">
        <v>96.90000000000001</v>
      </c>
      <c r="E21" s="287" t="n">
        <v>95</v>
      </c>
      <c r="F21" s="287" t="n">
        <v>17.8</v>
      </c>
      <c r="G21" s="287" t="n">
        <v>17</v>
      </c>
      <c r="H21" s="287" t="n">
        <v>84.40000000000001</v>
      </c>
      <c r="I21" s="287" t="n">
        <v>88.3</v>
      </c>
      <c r="J21" s="287" t="n">
        <v>72.09999999999999</v>
      </c>
      <c r="K21" s="287" t="n">
        <v>74.09999999999999</v>
      </c>
    </row>
    <row r="22" ht="14" customHeight="1" s="227">
      <c r="A22" s="28" t="inlineStr">
        <is>
          <t>Pursat</t>
        </is>
      </c>
      <c r="B22" s="287" t="n">
        <v>125.6</v>
      </c>
      <c r="C22" s="287" t="n">
        <v>127.4</v>
      </c>
      <c r="D22" s="287" t="n">
        <v>97.5</v>
      </c>
      <c r="E22" s="287" t="n">
        <v>99.3</v>
      </c>
      <c r="F22" s="287" t="n">
        <v>22.4</v>
      </c>
      <c r="G22" s="287" t="n">
        <v>22</v>
      </c>
      <c r="H22" s="287" t="n">
        <v>83.59999999999999</v>
      </c>
      <c r="I22" s="287" t="n">
        <v>86.7</v>
      </c>
      <c r="J22" s="287" t="n">
        <v>75.8</v>
      </c>
      <c r="K22" s="287" t="n">
        <v>77.8</v>
      </c>
    </row>
    <row r="23" ht="14" customHeight="1" s="227">
      <c r="A23" s="28" t="inlineStr">
        <is>
          <t>Ratanak Kiri</t>
        </is>
      </c>
      <c r="B23" s="287" t="n">
        <v>185.4</v>
      </c>
      <c r="C23" s="287" t="n">
        <v>171.2</v>
      </c>
      <c r="D23" s="287" t="n">
        <v>97</v>
      </c>
      <c r="E23" s="287" t="n">
        <v>94.59999999999999</v>
      </c>
      <c r="F23" s="287" t="n">
        <v>47.7</v>
      </c>
      <c r="G23" s="287" t="n">
        <v>44.7</v>
      </c>
      <c r="H23" s="287" t="n">
        <v>81.90000000000001</v>
      </c>
      <c r="I23" s="287" t="n">
        <v>83.40000000000001</v>
      </c>
      <c r="J23" s="287" t="n">
        <v>75.2</v>
      </c>
      <c r="K23" s="287" t="n">
        <v>78.3</v>
      </c>
    </row>
    <row r="24" ht="14" customHeight="1" s="227">
      <c r="A24" s="28" t="inlineStr">
        <is>
          <t>Siemreap</t>
        </is>
      </c>
      <c r="B24" s="287" t="n">
        <v>113.6</v>
      </c>
      <c r="C24" s="287" t="n">
        <v>111.9</v>
      </c>
      <c r="D24" s="287" t="n">
        <v>94.59999999999999</v>
      </c>
      <c r="E24" s="287" t="n">
        <v>95.3</v>
      </c>
      <c r="F24" s="287" t="n">
        <v>16.8</v>
      </c>
      <c r="G24" s="287" t="n">
        <v>14.8</v>
      </c>
      <c r="H24" s="287" t="n">
        <v>88.3</v>
      </c>
      <c r="I24" s="287" t="n">
        <v>92.09999999999999</v>
      </c>
      <c r="J24" s="287" t="n">
        <v>81.59999999999999</v>
      </c>
      <c r="K24" s="287" t="n">
        <v>84.2</v>
      </c>
    </row>
    <row r="25" ht="14" customHeight="1" s="227">
      <c r="A25" s="28" t="inlineStr">
        <is>
          <t>Stung Treng</t>
        </is>
      </c>
      <c r="B25" s="287" t="n">
        <v>142.8</v>
      </c>
      <c r="C25" s="287" t="n">
        <v>137</v>
      </c>
      <c r="D25" s="287" t="n">
        <v>86</v>
      </c>
      <c r="E25" s="287" t="n">
        <v>81.5</v>
      </c>
      <c r="F25" s="287" t="n">
        <v>39.8</v>
      </c>
      <c r="G25" s="287" t="n">
        <v>40.5</v>
      </c>
      <c r="H25" s="287" t="n">
        <v>80.2</v>
      </c>
      <c r="I25" s="287" t="n">
        <v>80.7</v>
      </c>
      <c r="J25" s="287" t="n">
        <v>80.3</v>
      </c>
      <c r="K25" s="287" t="n">
        <v>81.7</v>
      </c>
    </row>
    <row r="26" ht="14" customHeight="1" s="227">
      <c r="A26" s="28" t="inlineStr">
        <is>
          <t>Svay Rieng</t>
        </is>
      </c>
      <c r="B26" s="287" t="n">
        <v>125.7</v>
      </c>
      <c r="C26" s="287" t="n">
        <v>121</v>
      </c>
      <c r="D26" s="287" t="n">
        <v>95.40000000000001</v>
      </c>
      <c r="E26" s="287" t="n">
        <v>94.8</v>
      </c>
      <c r="F26" s="287" t="n">
        <v>24.1</v>
      </c>
      <c r="G26" s="287" t="n">
        <v>21.7</v>
      </c>
      <c r="H26" s="287" t="n">
        <v>90.40000000000001</v>
      </c>
      <c r="I26" s="287" t="n">
        <v>93.40000000000001</v>
      </c>
      <c r="J26" s="287" t="n">
        <v>74.2</v>
      </c>
      <c r="K26" s="287" t="n">
        <v>77.7</v>
      </c>
    </row>
    <row r="27" ht="14" customHeight="1" s="227">
      <c r="A27" s="28" t="inlineStr">
        <is>
          <t>Takeo</t>
        </is>
      </c>
      <c r="B27" s="287" t="n">
        <v>104.3</v>
      </c>
      <c r="C27" s="287" t="n">
        <v>101.7</v>
      </c>
      <c r="D27" s="287" t="n">
        <v>95.90000000000001</v>
      </c>
      <c r="E27" s="287" t="n">
        <v>94.7</v>
      </c>
      <c r="F27" s="287" t="n">
        <v>8.1</v>
      </c>
      <c r="G27" s="287" t="n">
        <v>6.9</v>
      </c>
      <c r="H27" s="287" t="n">
        <v>90.3</v>
      </c>
      <c r="I27" s="287" t="n">
        <v>93.09999999999999</v>
      </c>
      <c r="J27" s="287" t="n">
        <v>76.7</v>
      </c>
      <c r="K27" s="287" t="n">
        <v>79.8</v>
      </c>
    </row>
    <row r="28" ht="14" customHeight="1" s="227">
      <c r="A28" s="28" t="inlineStr">
        <is>
          <t>Tbaung Khmum</t>
        </is>
      </c>
      <c r="B28" s="287" t="n">
        <v>135.4</v>
      </c>
      <c r="C28" s="287" t="n">
        <v>133.1</v>
      </c>
      <c r="D28" s="287" t="n">
        <v>95.40000000000001</v>
      </c>
      <c r="E28" s="287" t="n">
        <v>96.40000000000001</v>
      </c>
      <c r="F28" s="287" t="n">
        <v>29.6</v>
      </c>
      <c r="G28" s="287" t="n">
        <v>27.6</v>
      </c>
      <c r="H28" s="287" t="n">
        <v>80.09999999999999</v>
      </c>
      <c r="I28" s="287" t="n">
        <v>82.59999999999999</v>
      </c>
      <c r="J28" s="287" t="n">
        <v>68.7</v>
      </c>
      <c r="K28" s="287" t="n">
        <v>67.40000000000001</v>
      </c>
    </row>
    <row r="29" ht="16" customHeight="1" s="227">
      <c r="A29" s="22" t="inlineStr">
        <is>
          <t>Whole Kingdom</t>
        </is>
      </c>
      <c r="B29" s="287" t="n">
        <v>114.9</v>
      </c>
      <c r="C29" s="287" t="n">
        <v>112.8</v>
      </c>
      <c r="D29" s="287" t="n">
        <v>91.5</v>
      </c>
      <c r="E29" s="287" t="n">
        <v>91.5</v>
      </c>
      <c r="F29" s="287" t="n">
        <v>20.4</v>
      </c>
      <c r="G29" s="287" t="n">
        <v>18.9</v>
      </c>
      <c r="H29" s="287" t="n">
        <v>85.7</v>
      </c>
      <c r="I29" s="287" t="n">
        <v>88.40000000000001</v>
      </c>
      <c r="J29" s="287" t="n">
        <v>75.40000000000001</v>
      </c>
      <c r="K29" s="287" t="n">
        <v>78</v>
      </c>
    </row>
    <row r="30" ht="14" customHeight="1" s="227">
      <c r="A30" s="28" t="inlineStr">
        <is>
          <t>- Urban Area</t>
        </is>
      </c>
      <c r="B30" s="287" t="n">
        <v>95.59999999999999</v>
      </c>
      <c r="C30" s="287" t="n">
        <v>93.2</v>
      </c>
      <c r="D30" s="287" t="n">
        <v>78.2</v>
      </c>
      <c r="E30" s="287" t="n">
        <v>78.3</v>
      </c>
      <c r="F30" s="287" t="n">
        <v>18.2</v>
      </c>
      <c r="G30" s="287" t="n">
        <v>16</v>
      </c>
      <c r="H30" s="287" t="n">
        <v>96.2</v>
      </c>
      <c r="I30" s="287" t="n">
        <v>97.7</v>
      </c>
      <c r="J30" s="287" t="n">
        <v>98.59999999999999</v>
      </c>
      <c r="K30" s="287" t="n">
        <v>101.8</v>
      </c>
    </row>
    <row r="31" ht="14.25" customHeight="1" s="227">
      <c r="A31" s="28" t="inlineStr">
        <is>
          <t>- Rural Area</t>
        </is>
      </c>
      <c r="B31" s="287" t="n">
        <v>120</v>
      </c>
      <c r="C31" s="287" t="n">
        <v>117.9</v>
      </c>
      <c r="D31" s="287" t="n">
        <v>95</v>
      </c>
      <c r="E31" s="287" t="n">
        <v>94.90000000000001</v>
      </c>
      <c r="F31" s="287" t="n">
        <v>20.9</v>
      </c>
      <c r="G31" s="287" t="n">
        <v>19.5</v>
      </c>
      <c r="H31" s="287" t="n">
        <v>83.59999999999999</v>
      </c>
      <c r="I31" s="287" t="n">
        <v>86.59999999999999</v>
      </c>
      <c r="J31" s="287" t="n">
        <v>69.3</v>
      </c>
      <c r="K31" s="287" t="n">
        <v>71.90000000000001</v>
      </c>
    </row>
  </sheetData>
  <mergeCells count="7">
    <mergeCell ref="F2:G2"/>
    <mergeCell ref="B2:C2"/>
    <mergeCell ref="H2:I2"/>
    <mergeCell ref="D2:E2"/>
    <mergeCell ref="J2:K2"/>
    <mergeCell ref="A2:A3"/>
    <mergeCell ref="A1:K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tabColor rgb="007030A0"/>
    <outlinePr summaryBelow="1" summaryRight="1"/>
    <pageSetUpPr/>
  </sheetPr>
  <dimension ref="A1:I31"/>
  <sheetViews>
    <sheetView tabSelected="1" workbookViewId="0">
      <selection activeCell="A1" sqref="A1"/>
    </sheetView>
  </sheetViews>
  <sheetFormatPr baseColWidth="8" defaultRowHeight="15"/>
  <cols>
    <col width="23.333333" customWidth="1" style="227" min="1" max="1"/>
    <col width="15.777778" customWidth="1" style="227" min="2" max="2"/>
    <col width="15.555556" customWidth="1" style="227" min="3" max="3"/>
    <col width="15.777778" customWidth="1" style="227" min="4" max="4"/>
    <col width="22.888889" customWidth="1" style="227" min="5" max="5"/>
    <col width="17.555556" customWidth="1" style="227" min="6" max="6"/>
    <col width="17.777778" customWidth="1" style="227" min="7" max="7"/>
    <col width="17.777778" customWidth="1" style="227" min="8" max="8"/>
    <col width="20.888889" customWidth="1" style="227" min="9" max="9"/>
  </cols>
  <sheetData>
    <row r="1" ht="31" customHeight="1" s="227">
      <c r="A1" s="2" t="inlineStr">
        <is>
          <t>Table 11: Gross and Net Enrollment Ratios by Province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</row>
    <row r="2" ht="19" customHeight="1" s="227">
      <c r="A2" s="35" t="inlineStr">
        <is>
          <t>Province</t>
        </is>
      </c>
      <c r="B2" s="175" t="inlineStr">
        <is>
          <t>Gross Enrollment Rate (Total)</t>
        </is>
      </c>
      <c r="C2" s="269" t="n"/>
      <c r="D2" s="257" t="n"/>
      <c r="E2" s="183" t="inlineStr">
        <is>
          <t>Net Enrollment Rate (Total)</t>
        </is>
      </c>
      <c r="F2" s="184" t="inlineStr">
        <is>
          <t>Gross Enrollment Rate (Girl)</t>
        </is>
      </c>
      <c r="G2" s="269" t="n"/>
      <c r="H2" s="257" t="n"/>
      <c r="I2" s="183" t="inlineStr">
        <is>
          <t>Net Enrollment Rate (Girl)</t>
        </is>
      </c>
    </row>
    <row r="3" ht="18" customHeight="1" s="227">
      <c r="A3" s="258" t="n"/>
      <c r="B3" s="102" t="inlineStr">
        <is>
          <t>Primary</t>
        </is>
      </c>
      <c r="C3" s="92" t="inlineStr">
        <is>
          <t>L.Sec.</t>
        </is>
      </c>
      <c r="D3" s="92" t="inlineStr">
        <is>
          <t>U.Sec.</t>
        </is>
      </c>
      <c r="E3" s="154" t="inlineStr">
        <is>
          <t>Primary</t>
        </is>
      </c>
      <c r="F3" s="169" t="inlineStr">
        <is>
          <t>Primary</t>
        </is>
      </c>
      <c r="G3" s="92" t="inlineStr">
        <is>
          <t>L.Sec.</t>
        </is>
      </c>
      <c r="H3" s="92" t="inlineStr">
        <is>
          <t>U.Sec.</t>
        </is>
      </c>
      <c r="I3" s="154" t="inlineStr">
        <is>
          <t>Primary</t>
        </is>
      </c>
    </row>
    <row r="4" ht="14" customHeight="1" s="227">
      <c r="A4" s="28" t="inlineStr">
        <is>
          <t>Banteay Meanchey</t>
        </is>
      </c>
      <c r="B4" s="287" t="n">
        <v>95.3</v>
      </c>
      <c r="C4" s="287" t="n">
        <v>46.6</v>
      </c>
      <c r="D4" s="287" t="n">
        <v>20.1</v>
      </c>
      <c r="E4" s="287" t="n">
        <v>83.8</v>
      </c>
      <c r="F4" s="287" t="n">
        <v>94.90000000000001</v>
      </c>
      <c r="G4" s="287" t="n">
        <v>51.3</v>
      </c>
      <c r="H4" s="287" t="n">
        <v>22.9</v>
      </c>
      <c r="I4" s="287" t="n">
        <v>84.5</v>
      </c>
    </row>
    <row r="5" ht="14" customHeight="1" s="227">
      <c r="A5" s="28" t="inlineStr">
        <is>
          <t>Battambang</t>
        </is>
      </c>
      <c r="B5" s="287" t="n">
        <v>111.1</v>
      </c>
      <c r="C5" s="287" t="n">
        <v>48.4</v>
      </c>
      <c r="D5" s="287" t="n">
        <v>20.2</v>
      </c>
      <c r="E5" s="287" t="n">
        <v>96</v>
      </c>
      <c r="F5" s="287" t="n">
        <v>110</v>
      </c>
      <c r="G5" s="287" t="n">
        <v>53.1</v>
      </c>
      <c r="H5" s="287" t="n">
        <v>23.8</v>
      </c>
      <c r="I5" s="287" t="n">
        <v>96.40000000000001</v>
      </c>
    </row>
    <row r="6" ht="15" customHeight="1" s="227">
      <c r="A6" s="28" t="inlineStr">
        <is>
          <t>Kampong Cham</t>
        </is>
      </c>
      <c r="B6" s="287" t="n">
        <v>116.9</v>
      </c>
      <c r="C6" s="287" t="n">
        <v>61.6</v>
      </c>
      <c r="D6" s="287" t="n">
        <v>31.6</v>
      </c>
      <c r="E6" s="287" t="n">
        <v>99.8</v>
      </c>
      <c r="F6" s="287" t="n">
        <v>114.4</v>
      </c>
      <c r="G6" s="287" t="n">
        <v>68.09999999999999</v>
      </c>
      <c r="H6" s="287" t="n">
        <v>37.5</v>
      </c>
      <c r="I6" s="287" t="n">
        <v>99.7</v>
      </c>
    </row>
    <row r="7" ht="14" customHeight="1" s="227">
      <c r="A7" s="28" t="inlineStr">
        <is>
          <t>Kampong Chhnang</t>
        </is>
      </c>
      <c r="B7" s="287" t="n">
        <v>102.3</v>
      </c>
      <c r="C7" s="287" t="n">
        <v>59.5</v>
      </c>
      <c r="D7" s="287" t="n">
        <v>29.9</v>
      </c>
      <c r="E7" s="287" t="n">
        <v>92.40000000000001</v>
      </c>
      <c r="F7" s="287" t="n">
        <v>102</v>
      </c>
      <c r="G7" s="287" t="n">
        <v>65.8</v>
      </c>
      <c r="H7" s="287" t="n">
        <v>35</v>
      </c>
      <c r="I7" s="287" t="n">
        <v>93</v>
      </c>
    </row>
    <row r="8" ht="14" customHeight="1" s="227">
      <c r="A8" s="28" t="inlineStr">
        <is>
          <t>Kampong Speu</t>
        </is>
      </c>
      <c r="B8" s="287" t="n">
        <v>100.9</v>
      </c>
      <c r="C8" s="287" t="n">
        <v>55</v>
      </c>
      <c r="D8" s="287" t="n">
        <v>24.8</v>
      </c>
      <c r="E8" s="287" t="n">
        <v>90.59999999999999</v>
      </c>
      <c r="F8" s="287" t="n">
        <v>99.40000000000001</v>
      </c>
      <c r="G8" s="287" t="n">
        <v>58.4</v>
      </c>
      <c r="H8" s="287" t="n">
        <v>26.9</v>
      </c>
      <c r="I8" s="287" t="n">
        <v>90.3</v>
      </c>
    </row>
    <row r="9" ht="14" customHeight="1" s="227">
      <c r="A9" s="28" t="inlineStr">
        <is>
          <t>Kampong Thom</t>
        </is>
      </c>
      <c r="B9" s="287" t="n">
        <v>105.9</v>
      </c>
      <c r="C9" s="287" t="n">
        <v>57.7</v>
      </c>
      <c r="D9" s="287" t="n">
        <v>27.9</v>
      </c>
      <c r="E9" s="287" t="n">
        <v>91.90000000000001</v>
      </c>
      <c r="F9" s="287" t="n">
        <v>106.1</v>
      </c>
      <c r="G9" s="287" t="n">
        <v>65.09999999999999</v>
      </c>
      <c r="H9" s="287" t="n">
        <v>32.9</v>
      </c>
      <c r="I9" s="287" t="n">
        <v>93</v>
      </c>
    </row>
    <row r="10" ht="14" customHeight="1" s="227">
      <c r="A10" s="28" t="inlineStr">
        <is>
          <t>Kampot</t>
        </is>
      </c>
      <c r="B10" s="287" t="n">
        <v>93.59999999999999</v>
      </c>
      <c r="C10" s="287" t="n">
        <v>58.2</v>
      </c>
      <c r="D10" s="287" t="n">
        <v>32.4</v>
      </c>
      <c r="E10" s="287" t="n">
        <v>83.2</v>
      </c>
      <c r="F10" s="287" t="n">
        <v>92.09999999999999</v>
      </c>
      <c r="G10" s="287" t="n">
        <v>61.7</v>
      </c>
      <c r="H10" s="287" t="n">
        <v>35.1</v>
      </c>
      <c r="I10" s="287" t="n">
        <v>82.90000000000001</v>
      </c>
    </row>
    <row r="11" ht="14" customHeight="1" s="227">
      <c r="A11" s="28" t="inlineStr">
        <is>
          <t>Kandal</t>
        </is>
      </c>
      <c r="B11" s="287" t="n">
        <v>113.9</v>
      </c>
      <c r="C11" s="287" t="n">
        <v>59.8</v>
      </c>
      <c r="D11" s="287" t="n">
        <v>30.4</v>
      </c>
      <c r="E11" s="287" t="n">
        <v>99.59999999999999</v>
      </c>
      <c r="F11" s="287" t="n">
        <v>111.2</v>
      </c>
      <c r="G11" s="287" t="n">
        <v>64.59999999999999</v>
      </c>
      <c r="H11" s="287" t="n">
        <v>35.3</v>
      </c>
      <c r="I11" s="287" t="n">
        <v>99.40000000000001</v>
      </c>
    </row>
    <row r="12" ht="14" customHeight="1" s="227">
      <c r="A12" s="28" t="inlineStr">
        <is>
          <t>Kep</t>
        </is>
      </c>
      <c r="B12" s="287" t="n">
        <v>73.09999999999999</v>
      </c>
      <c r="C12" s="287" t="n">
        <v>39.5</v>
      </c>
      <c r="D12" s="287" t="n">
        <v>25.4</v>
      </c>
      <c r="E12" s="287" t="n">
        <v>65.90000000000001</v>
      </c>
      <c r="F12" s="287" t="n">
        <v>75.8</v>
      </c>
      <c r="G12" s="287" t="n">
        <v>41</v>
      </c>
      <c r="H12" s="287" t="n">
        <v>28.7</v>
      </c>
      <c r="I12" s="287" t="n">
        <v>68.7</v>
      </c>
    </row>
    <row r="13" ht="14" customHeight="1" s="227">
      <c r="A13" s="28" t="inlineStr">
        <is>
          <t>Koh Kong</t>
        </is>
      </c>
      <c r="B13" s="287" t="n">
        <v>80.7</v>
      </c>
      <c r="C13" s="287" t="n">
        <v>44.2</v>
      </c>
      <c r="D13" s="287" t="n">
        <v>21.6</v>
      </c>
      <c r="E13" s="287" t="n">
        <v>64.7</v>
      </c>
      <c r="F13" s="287" t="n">
        <v>80.2</v>
      </c>
      <c r="G13" s="287" t="n">
        <v>46.1</v>
      </c>
      <c r="H13" s="287" t="n">
        <v>20.8</v>
      </c>
      <c r="I13" s="287" t="n">
        <v>65.2</v>
      </c>
    </row>
    <row r="14" ht="14" customHeight="1" s="227">
      <c r="A14" s="28" t="inlineStr">
        <is>
          <t>Kratie</t>
        </is>
      </c>
      <c r="B14" s="287" t="n">
        <v>114.7</v>
      </c>
      <c r="C14" s="287" t="n">
        <v>44.7</v>
      </c>
      <c r="D14" s="287" t="n">
        <v>21.3</v>
      </c>
      <c r="E14" s="287" t="n">
        <v>98.09999999999999</v>
      </c>
      <c r="F14" s="287" t="n">
        <v>112.6</v>
      </c>
      <c r="G14" s="287" t="n">
        <v>48.5</v>
      </c>
      <c r="H14" s="287" t="n">
        <v>24</v>
      </c>
      <c r="I14" s="287" t="n">
        <v>97.5</v>
      </c>
    </row>
    <row r="15" ht="14" customHeight="1" s="227">
      <c r="A15" s="28" t="inlineStr">
        <is>
          <t>Mondul Kiri</t>
        </is>
      </c>
      <c r="B15" s="287" t="n">
        <v>110.6</v>
      </c>
      <c r="C15" s="287" t="n">
        <v>48.8</v>
      </c>
      <c r="D15" s="287" t="n">
        <v>21.7</v>
      </c>
      <c r="E15" s="287" t="n">
        <v>86.8</v>
      </c>
      <c r="F15" s="287" t="n">
        <v>111.8</v>
      </c>
      <c r="G15" s="287" t="n">
        <v>52.7</v>
      </c>
      <c r="H15" s="287" t="n">
        <v>23.9</v>
      </c>
      <c r="I15" s="287" t="n">
        <v>89.40000000000001</v>
      </c>
    </row>
    <row r="16" ht="14" customHeight="1" s="227">
      <c r="A16" s="28" t="inlineStr">
        <is>
          <t>Otdar Meanchey</t>
        </is>
      </c>
      <c r="B16" s="287" t="n">
        <v>97.7</v>
      </c>
      <c r="C16" s="287" t="n">
        <v>45.7</v>
      </c>
      <c r="D16" s="287" t="n">
        <v>19.7</v>
      </c>
      <c r="E16" s="287" t="n">
        <v>83.40000000000001</v>
      </c>
      <c r="F16" s="287" t="n">
        <v>97.3</v>
      </c>
      <c r="G16" s="287" t="n">
        <v>47.6</v>
      </c>
      <c r="H16" s="287" t="n">
        <v>21</v>
      </c>
      <c r="I16" s="287" t="n">
        <v>84.3</v>
      </c>
    </row>
    <row r="17" ht="14" customHeight="1" s="227">
      <c r="A17" s="28" t="inlineStr">
        <is>
          <t>Pailin</t>
        </is>
      </c>
      <c r="B17" s="287" t="n">
        <v>75.8</v>
      </c>
      <c r="C17" s="287" t="n">
        <v>41.5</v>
      </c>
      <c r="D17" s="287" t="n">
        <v>16.6</v>
      </c>
      <c r="E17" s="287" t="n">
        <v>64.2</v>
      </c>
      <c r="F17" s="287" t="n">
        <v>75.8</v>
      </c>
      <c r="G17" s="287" t="n">
        <v>44.3</v>
      </c>
      <c r="H17" s="287" t="n">
        <v>18.4</v>
      </c>
      <c r="I17" s="287" t="n">
        <v>65.2</v>
      </c>
    </row>
    <row r="18" ht="14" customHeight="1" s="227">
      <c r="A18" s="28" t="inlineStr">
        <is>
          <t>Phnom Penh</t>
        </is>
      </c>
      <c r="B18" s="287" t="n">
        <v>90.90000000000001</v>
      </c>
      <c r="C18" s="287" t="n">
        <v>55.5</v>
      </c>
      <c r="D18" s="287" t="n">
        <v>32.6</v>
      </c>
      <c r="E18" s="287" t="n">
        <v>83</v>
      </c>
      <c r="F18" s="287" t="n">
        <v>90.90000000000001</v>
      </c>
      <c r="G18" s="287" t="n">
        <v>56.2</v>
      </c>
      <c r="H18" s="287" t="n">
        <v>30.9</v>
      </c>
      <c r="I18" s="287" t="n">
        <v>84.3</v>
      </c>
    </row>
    <row r="19" ht="14" customHeight="1" s="227">
      <c r="A19" s="28" t="inlineStr">
        <is>
          <t>Preah Sihanouk</t>
        </is>
      </c>
      <c r="B19" s="287" t="n">
        <v>85.2</v>
      </c>
      <c r="C19" s="287" t="n">
        <v>43.2</v>
      </c>
      <c r="D19" s="287" t="n">
        <v>18.9</v>
      </c>
      <c r="E19" s="287" t="n">
        <v>73.7</v>
      </c>
      <c r="F19" s="287" t="n">
        <v>86</v>
      </c>
      <c r="G19" s="287" t="n">
        <v>44.8</v>
      </c>
      <c r="H19" s="287" t="n">
        <v>20.1</v>
      </c>
      <c r="I19" s="287" t="n">
        <v>75.7</v>
      </c>
    </row>
    <row r="20" ht="14" customHeight="1" s="227">
      <c r="A20" s="28" t="inlineStr">
        <is>
          <t>Preah Vihear</t>
        </is>
      </c>
      <c r="B20" s="287" t="n">
        <v>122.6</v>
      </c>
      <c r="C20" s="287" t="n">
        <v>61.8</v>
      </c>
      <c r="D20" s="287" t="n">
        <v>28</v>
      </c>
      <c r="E20" s="287" t="n">
        <v>87.3</v>
      </c>
      <c r="F20" s="287" t="n">
        <v>121.6</v>
      </c>
      <c r="G20" s="287" t="n">
        <v>70.2</v>
      </c>
      <c r="H20" s="287" t="n">
        <v>30.1</v>
      </c>
      <c r="I20" s="287" t="n">
        <v>86.90000000000001</v>
      </c>
    </row>
    <row r="21" ht="14" customHeight="1" s="227">
      <c r="A21" s="28" t="inlineStr">
        <is>
          <t>Prey Veng</t>
        </is>
      </c>
      <c r="B21" s="287" t="n">
        <v>114.4</v>
      </c>
      <c r="C21" s="287" t="n">
        <v>63.7</v>
      </c>
      <c r="D21" s="287" t="n">
        <v>30.8</v>
      </c>
      <c r="E21" s="287" t="n">
        <v>98.5</v>
      </c>
      <c r="F21" s="287" t="n">
        <v>110.6</v>
      </c>
      <c r="G21" s="287" t="n">
        <v>69.40000000000001</v>
      </c>
      <c r="H21" s="287" t="n">
        <v>35.2</v>
      </c>
      <c r="I21" s="287" t="n">
        <v>97</v>
      </c>
    </row>
    <row r="22" ht="14" customHeight="1" s="227">
      <c r="A22" s="28" t="inlineStr">
        <is>
          <t>Pursat</t>
        </is>
      </c>
      <c r="B22" s="287" t="n">
        <v>117.2</v>
      </c>
      <c r="C22" s="287" t="n">
        <v>53.8</v>
      </c>
      <c r="D22" s="287" t="n">
        <v>24.2</v>
      </c>
      <c r="E22" s="287" t="n">
        <v>98.90000000000001</v>
      </c>
      <c r="F22" s="287" t="n">
        <v>118.2</v>
      </c>
      <c r="G22" s="287" t="n">
        <v>59.3</v>
      </c>
      <c r="H22" s="287" t="n">
        <v>26.9</v>
      </c>
      <c r="I22" s="287" t="n">
        <v>99.90000000000001</v>
      </c>
    </row>
    <row r="23" ht="14" customHeight="1" s="227">
      <c r="A23" s="28" t="inlineStr">
        <is>
          <t>Ratanak Kiri</t>
        </is>
      </c>
      <c r="B23" s="287" t="n">
        <v>140.4</v>
      </c>
      <c r="C23" s="287" t="n">
        <v>51.8</v>
      </c>
      <c r="D23" s="287" t="n">
        <v>22.2</v>
      </c>
      <c r="E23" s="287" t="n">
        <v>99.40000000000001</v>
      </c>
      <c r="F23" s="287" t="n">
        <v>138.4</v>
      </c>
      <c r="G23" s="287" t="n">
        <v>52.4</v>
      </c>
      <c r="H23" s="287" t="n">
        <v>21.5</v>
      </c>
      <c r="I23" s="287" t="n">
        <v>99.09999999999999</v>
      </c>
    </row>
    <row r="24" ht="14" customHeight="1" s="227">
      <c r="A24" s="28" t="inlineStr">
        <is>
          <t>Siemreap</t>
        </is>
      </c>
      <c r="B24" s="287" t="n">
        <v>110</v>
      </c>
      <c r="C24" s="287" t="n">
        <v>60.9</v>
      </c>
      <c r="D24" s="287" t="n">
        <v>31.7</v>
      </c>
      <c r="E24" s="287" t="n">
        <v>94.59999999999999</v>
      </c>
      <c r="F24" s="287" t="n">
        <v>110.5</v>
      </c>
      <c r="G24" s="287" t="n">
        <v>68.2</v>
      </c>
      <c r="H24" s="287" t="n">
        <v>36.5</v>
      </c>
      <c r="I24" s="287" t="n">
        <v>96.7</v>
      </c>
    </row>
    <row r="25" ht="14" customHeight="1" s="227">
      <c r="A25" s="28" t="inlineStr">
        <is>
          <t>Stung Treng</t>
        </is>
      </c>
      <c r="B25" s="287" t="n">
        <v>129.1</v>
      </c>
      <c r="C25" s="287" t="n">
        <v>45.6</v>
      </c>
      <c r="D25" s="287" t="n">
        <v>21.1</v>
      </c>
      <c r="E25" s="287" t="n">
        <v>94.40000000000001</v>
      </c>
      <c r="F25" s="287" t="n">
        <v>128.6</v>
      </c>
      <c r="G25" s="287" t="n">
        <v>48.7</v>
      </c>
      <c r="H25" s="287" t="n">
        <v>21.3</v>
      </c>
      <c r="I25" s="287" t="n">
        <v>93.8</v>
      </c>
    </row>
    <row r="26" ht="14" customHeight="1" s="227">
      <c r="A26" s="28" t="inlineStr">
        <is>
          <t>Svay Rieng</t>
        </is>
      </c>
      <c r="B26" s="287" t="n">
        <v>116.7</v>
      </c>
      <c r="C26" s="287" t="n">
        <v>69.5</v>
      </c>
      <c r="D26" s="287" t="n">
        <v>33.8</v>
      </c>
      <c r="E26" s="287" t="n">
        <v>98.90000000000001</v>
      </c>
      <c r="F26" s="287" t="n">
        <v>114.6</v>
      </c>
      <c r="G26" s="287" t="n">
        <v>74.40000000000001</v>
      </c>
      <c r="H26" s="287" t="n">
        <v>37.4</v>
      </c>
      <c r="I26" s="287" t="n">
        <v>98.8</v>
      </c>
    </row>
    <row r="27" ht="14" customHeight="1" s="227">
      <c r="A27" s="28" t="inlineStr">
        <is>
          <t>Takeo</t>
        </is>
      </c>
      <c r="B27" s="287" t="n">
        <v>101.8</v>
      </c>
      <c r="C27" s="287" t="n">
        <v>68.09999999999999</v>
      </c>
      <c r="D27" s="287" t="n">
        <v>40.9</v>
      </c>
      <c r="E27" s="287" t="n">
        <v>93.5</v>
      </c>
      <c r="F27" s="287" t="n">
        <v>99.90000000000001</v>
      </c>
      <c r="G27" s="287" t="n">
        <v>71.2</v>
      </c>
      <c r="H27" s="287" t="n">
        <v>45.3</v>
      </c>
      <c r="I27" s="287" t="n">
        <v>92.8</v>
      </c>
    </row>
    <row r="28" ht="14" customHeight="1" s="227">
      <c r="A28" s="28" t="inlineStr">
        <is>
          <t>Tbaung Khmum</t>
        </is>
      </c>
      <c r="B28" s="287" t="n">
        <v>117.4</v>
      </c>
      <c r="C28" s="287" t="n">
        <v>54.2</v>
      </c>
      <c r="D28" s="287" t="n">
        <v>22.5</v>
      </c>
      <c r="E28" s="287" t="n">
        <v>98.59999999999999</v>
      </c>
      <c r="F28" s="287" t="n">
        <v>116.9</v>
      </c>
      <c r="G28" s="287" t="n">
        <v>59.3</v>
      </c>
      <c r="H28" s="287" t="n">
        <v>26</v>
      </c>
      <c r="I28" s="287" t="n">
        <v>99.8</v>
      </c>
    </row>
    <row r="29" ht="17" customHeight="1" s="227">
      <c r="A29" s="22" t="inlineStr">
        <is>
          <t>Whole Kingdom</t>
        </is>
      </c>
      <c r="B29" s="287" t="n">
        <v>107</v>
      </c>
      <c r="C29" s="287" t="n">
        <v>56.5</v>
      </c>
      <c r="D29" s="287" t="n">
        <v>28.1</v>
      </c>
      <c r="E29" s="287" t="n">
        <v>92.40000000000001</v>
      </c>
      <c r="F29" s="287" t="n">
        <v>105.9</v>
      </c>
      <c r="G29" s="287" t="n">
        <v>61.1</v>
      </c>
      <c r="H29" s="287" t="n">
        <v>31.2</v>
      </c>
      <c r="I29" s="287" t="n">
        <v>92.8</v>
      </c>
    </row>
    <row r="30" ht="14" customHeight="1" s="227">
      <c r="A30" s="28" t="inlineStr">
        <is>
          <t>- Urban Area</t>
        </is>
      </c>
      <c r="B30" s="287" t="n">
        <v>89.2</v>
      </c>
      <c r="C30" s="287" t="n">
        <v>55.4</v>
      </c>
      <c r="D30" s="287" t="n">
        <v>38.9</v>
      </c>
      <c r="E30" s="287" t="n">
        <v>79.8</v>
      </c>
      <c r="F30" s="287" t="n">
        <v>88.90000000000001</v>
      </c>
      <c r="G30" s="287" t="n">
        <v>57.7</v>
      </c>
      <c r="H30" s="287" t="n">
        <v>40.2</v>
      </c>
      <c r="I30" s="287" t="n">
        <v>80.8</v>
      </c>
    </row>
    <row r="31" ht="14" customHeight="1" s="227">
      <c r="A31" s="28" t="inlineStr">
        <is>
          <t>- Rural Area</t>
        </is>
      </c>
      <c r="B31" s="287" t="n">
        <v>111.5</v>
      </c>
      <c r="C31" s="287" t="n">
        <v>56.8</v>
      </c>
      <c r="D31" s="287" t="n">
        <v>25.1</v>
      </c>
      <c r="E31" s="287" t="n">
        <v>95.59999999999999</v>
      </c>
      <c r="F31" s="287" t="n">
        <v>110.1</v>
      </c>
      <c r="G31" s="287" t="n">
        <v>61.9</v>
      </c>
      <c r="H31" s="287" t="n">
        <v>28.5</v>
      </c>
      <c r="I31" s="287" t="n">
        <v>95.8</v>
      </c>
    </row>
  </sheetData>
  <mergeCells count="4">
    <mergeCell ref="A1:I1"/>
    <mergeCell ref="A2:A3"/>
    <mergeCell ref="F2:H2"/>
    <mergeCell ref="B2:D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tabColor rgb="007030A0"/>
    <outlinePr summaryBelow="1" summaryRight="1"/>
    <pageSetUpPr/>
  </sheetPr>
  <dimension ref="A1:J31"/>
  <sheetViews>
    <sheetView tabSelected="1" workbookViewId="0">
      <selection activeCell="A1" sqref="A1"/>
    </sheetView>
  </sheetViews>
  <sheetFormatPr baseColWidth="8" defaultRowHeight="15"/>
  <cols>
    <col width="23.555556" customWidth="1" style="227" min="1" max="1"/>
    <col width="15.111111" customWidth="1" style="227" min="2" max="2"/>
    <col width="14.444444" customWidth="1" style="227" min="3" max="3"/>
    <col width="14.666667" customWidth="1" style="227" min="4" max="4"/>
    <col width="17.777778" customWidth="1" style="227" min="5" max="5"/>
    <col width="17.111111" customWidth="1" style="227" min="6" max="6"/>
    <col width="14.444444" customWidth="1" style="227" min="7" max="7"/>
    <col width="14.666667" customWidth="1" style="227" min="8" max="8"/>
    <col width="14.444444" customWidth="1" style="227" min="9" max="9"/>
    <col width="19.555556" customWidth="1" style="227" min="10" max="10"/>
  </cols>
  <sheetData>
    <row r="1" ht="20.25" customHeight="1" s="227">
      <c r="A1" s="2" t="inlineStr">
        <is>
          <t>Table12: Indicators on Access, Gross and Net Enrolment Ratios by Province for Male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</row>
    <row r="2" ht="20" customHeight="1" s="227">
      <c r="A2" s="35" t="inlineStr">
        <is>
          <t>Province</t>
        </is>
      </c>
      <c r="B2" s="183" t="inlineStr">
        <is>
          <t>Gross Admission</t>
        </is>
      </c>
      <c r="C2" s="108" t="inlineStr">
        <is>
          <t>Net Admission</t>
        </is>
      </c>
      <c r="D2" s="108" t="inlineStr">
        <is>
          <t>% Over-age (6+)</t>
        </is>
      </c>
      <c r="E2" s="107" t="inlineStr">
        <is>
          <t>Transition Rate</t>
        </is>
      </c>
      <c r="F2" s="107" t="inlineStr">
        <is>
          <t>Transition Rate</t>
        </is>
      </c>
      <c r="G2" s="157" t="inlineStr">
        <is>
          <t>Gross Enrollment Rate</t>
        </is>
      </c>
      <c r="H2" s="269" t="n"/>
      <c r="I2" s="257" t="n"/>
      <c r="J2" s="107" t="inlineStr">
        <is>
          <t>Net Enrollment Rate</t>
        </is>
      </c>
    </row>
    <row r="3" ht="22.5" customHeight="1" s="227">
      <c r="A3" s="258" t="n"/>
      <c r="B3" s="154" t="inlineStr">
        <is>
          <t>Rate</t>
        </is>
      </c>
      <c r="C3" s="154" t="inlineStr">
        <is>
          <t>Rate</t>
        </is>
      </c>
      <c r="D3" s="117" t="inlineStr">
        <is>
          <t>Admission</t>
        </is>
      </c>
      <c r="E3" s="188" t="inlineStr">
        <is>
          <t>to Lower Sec.
2017/2018</t>
        </is>
      </c>
      <c r="F3" s="188" t="inlineStr">
        <is>
          <t>to Upper Sec.
2017/2018</t>
        </is>
      </c>
      <c r="G3" s="102" t="inlineStr">
        <is>
          <t>Primary</t>
        </is>
      </c>
      <c r="H3" s="102" t="inlineStr">
        <is>
          <t>L.Sec.</t>
        </is>
      </c>
      <c r="I3" s="102" t="inlineStr">
        <is>
          <t>U.Sec.</t>
        </is>
      </c>
      <c r="J3" s="154" t="inlineStr">
        <is>
          <t>Primary</t>
        </is>
      </c>
    </row>
    <row r="4" ht="14" customHeight="1" s="227">
      <c r="A4" s="28" t="inlineStr">
        <is>
          <t>Banteay Meanchey</t>
        </is>
      </c>
      <c r="B4" s="290" t="n">
        <v>109.5</v>
      </c>
      <c r="C4" s="287" t="n">
        <v>86.59999999999999</v>
      </c>
      <c r="D4" s="287" t="n">
        <v>21</v>
      </c>
      <c r="E4" s="287" t="n">
        <v>80.8</v>
      </c>
      <c r="F4" s="287" t="n">
        <v>64.7</v>
      </c>
      <c r="G4" s="287" t="n">
        <v>95.59999999999999</v>
      </c>
      <c r="H4" s="287" t="n">
        <v>42.1</v>
      </c>
      <c r="I4" s="287" t="n">
        <v>17.4</v>
      </c>
      <c r="J4" s="287" t="n">
        <v>83.09999999999999</v>
      </c>
    </row>
    <row r="5" ht="14" customHeight="1" s="227">
      <c r="A5" s="28" t="inlineStr">
        <is>
          <t>Battambang</t>
        </is>
      </c>
      <c r="B5" s="290" t="n">
        <v>126.9</v>
      </c>
      <c r="C5" s="287" t="n">
        <v>95.59999999999999</v>
      </c>
      <c r="D5" s="287" t="n">
        <v>24.6</v>
      </c>
      <c r="E5" s="287" t="n">
        <v>77.2</v>
      </c>
      <c r="F5" s="287" t="n">
        <v>70.40000000000001</v>
      </c>
      <c r="G5" s="287" t="n">
        <v>112.1</v>
      </c>
      <c r="H5" s="287" t="n">
        <v>43.9</v>
      </c>
      <c r="I5" s="287" t="n">
        <v>17</v>
      </c>
      <c r="J5" s="287" t="n">
        <v>95.5</v>
      </c>
    </row>
    <row r="6" ht="14" customHeight="1" s="227">
      <c r="A6" s="28" t="inlineStr">
        <is>
          <t>Kampong Cham</t>
        </is>
      </c>
      <c r="B6" s="290" t="n">
        <v>126</v>
      </c>
      <c r="C6" s="287" t="n">
        <v>91</v>
      </c>
      <c r="D6" s="287" t="n">
        <v>27.8</v>
      </c>
      <c r="E6" s="287" t="n">
        <v>81.3</v>
      </c>
      <c r="F6" s="287" t="n">
        <v>72.3</v>
      </c>
      <c r="G6" s="287" t="n">
        <v>119.4</v>
      </c>
      <c r="H6" s="287" t="n">
        <v>55.5</v>
      </c>
      <c r="I6" s="287" t="n">
        <v>26.3</v>
      </c>
      <c r="J6" s="287" t="n">
        <v>99.90000000000001</v>
      </c>
    </row>
    <row r="7" ht="14" customHeight="1" s="227">
      <c r="A7" s="28" t="inlineStr">
        <is>
          <t>Kampong Chhnang</t>
        </is>
      </c>
      <c r="B7" s="290" t="n">
        <v>104.7</v>
      </c>
      <c r="C7" s="287" t="n">
        <v>92.8</v>
      </c>
      <c r="D7" s="287" t="n">
        <v>11.3</v>
      </c>
      <c r="E7" s="287" t="n">
        <v>83.7</v>
      </c>
      <c r="F7" s="287" t="n">
        <v>68.09999999999999</v>
      </c>
      <c r="G7" s="287" t="n">
        <v>102.6</v>
      </c>
      <c r="H7" s="287" t="n">
        <v>53.6</v>
      </c>
      <c r="I7" s="287" t="n">
        <v>25.2</v>
      </c>
      <c r="J7" s="287" t="n">
        <v>91.7</v>
      </c>
    </row>
    <row r="8" ht="14" customHeight="1" s="227">
      <c r="A8" s="28" t="inlineStr">
        <is>
          <t>Kampong Speu</t>
        </is>
      </c>
      <c r="B8" s="290" t="n">
        <v>106.6</v>
      </c>
      <c r="C8" s="287" t="n">
        <v>91.2</v>
      </c>
      <c r="D8" s="287" t="n">
        <v>14.4</v>
      </c>
      <c r="E8" s="287" t="n">
        <v>80.2</v>
      </c>
      <c r="F8" s="287" t="n">
        <v>65.40000000000001</v>
      </c>
      <c r="G8" s="287" t="n">
        <v>102.4</v>
      </c>
      <c r="H8" s="287" t="n">
        <v>51.8</v>
      </c>
      <c r="I8" s="287" t="n">
        <v>22.9</v>
      </c>
      <c r="J8" s="287" t="n">
        <v>91</v>
      </c>
    </row>
    <row r="9" ht="14" customHeight="1" s="227">
      <c r="A9" s="28" t="inlineStr">
        <is>
          <t>Kampong Thom</t>
        </is>
      </c>
      <c r="B9" s="290" t="n">
        <v>119.4</v>
      </c>
      <c r="C9" s="287" t="n">
        <v>96.3</v>
      </c>
      <c r="D9" s="287" t="n">
        <v>19.3</v>
      </c>
      <c r="E9" s="287" t="n">
        <v>84.8</v>
      </c>
      <c r="F9" s="287" t="n">
        <v>74.3</v>
      </c>
      <c r="G9" s="287" t="n">
        <v>105.7</v>
      </c>
      <c r="H9" s="287" t="n">
        <v>50.7</v>
      </c>
      <c r="I9" s="287" t="n">
        <v>23.3</v>
      </c>
      <c r="J9" s="287" t="n">
        <v>90.8</v>
      </c>
    </row>
    <row r="10" ht="14" customHeight="1" s="227">
      <c r="A10" s="28" t="inlineStr">
        <is>
          <t>Kampot</t>
        </is>
      </c>
      <c r="B10" s="290" t="n">
        <v>105.8</v>
      </c>
      <c r="C10" s="287" t="n">
        <v>89.90000000000001</v>
      </c>
      <c r="D10" s="287" t="n">
        <v>15</v>
      </c>
      <c r="E10" s="287" t="n">
        <v>86.40000000000001</v>
      </c>
      <c r="F10" s="287" t="n">
        <v>68.59999999999999</v>
      </c>
      <c r="G10" s="287" t="n">
        <v>95.09999999999999</v>
      </c>
      <c r="H10" s="287" t="n">
        <v>55</v>
      </c>
      <c r="I10" s="287" t="n">
        <v>29.9</v>
      </c>
      <c r="J10" s="287" t="n">
        <v>83.5</v>
      </c>
    </row>
    <row r="11" ht="14" customHeight="1" s="227">
      <c r="A11" s="28" t="inlineStr">
        <is>
          <t>Kandal</t>
        </is>
      </c>
      <c r="B11" s="290" t="n">
        <v>114.4</v>
      </c>
      <c r="C11" s="287" t="n">
        <v>97.7</v>
      </c>
      <c r="D11" s="287" t="n">
        <v>14.6</v>
      </c>
      <c r="E11" s="287" t="n">
        <v>83.09999999999999</v>
      </c>
      <c r="F11" s="287" t="n">
        <v>75.2</v>
      </c>
      <c r="G11" s="287" t="n">
        <v>116.5</v>
      </c>
      <c r="H11" s="287" t="n">
        <v>55.3</v>
      </c>
      <c r="I11" s="287" t="n">
        <v>26</v>
      </c>
      <c r="J11" s="287" t="n">
        <v>99.90000000000001</v>
      </c>
    </row>
    <row r="12" ht="14" customHeight="1" s="227">
      <c r="A12" s="28" t="inlineStr">
        <is>
          <t>Kep</t>
        </is>
      </c>
      <c r="B12" s="290" t="n">
        <v>86.59999999999999</v>
      </c>
      <c r="C12" s="287" t="n">
        <v>71.90000000000001</v>
      </c>
      <c r="D12" s="287" t="n">
        <v>16.9</v>
      </c>
      <c r="E12" s="287" t="n">
        <v>79.90000000000001</v>
      </c>
      <c r="F12" s="287" t="n">
        <v>68.3</v>
      </c>
      <c r="G12" s="287" t="n">
        <v>70.59999999999999</v>
      </c>
      <c r="H12" s="287" t="n">
        <v>38.1</v>
      </c>
      <c r="I12" s="287" t="n">
        <v>22.5</v>
      </c>
      <c r="J12" s="287" t="n">
        <v>63.4</v>
      </c>
    </row>
    <row r="13" ht="15" customHeight="1" s="227">
      <c r="A13" s="28" t="inlineStr">
        <is>
          <t>Koh Kong</t>
        </is>
      </c>
      <c r="B13" s="290" t="n">
        <v>91.59999999999999</v>
      </c>
      <c r="C13" s="287" t="n">
        <v>65.40000000000001</v>
      </c>
      <c r="D13" s="287" t="n">
        <v>28.6</v>
      </c>
      <c r="E13" s="287" t="n">
        <v>92.8</v>
      </c>
      <c r="F13" s="287" t="n">
        <v>79.2</v>
      </c>
      <c r="G13" s="287" t="n">
        <v>81.2</v>
      </c>
      <c r="H13" s="287" t="n">
        <v>42.5</v>
      </c>
      <c r="I13" s="287" t="n">
        <v>22.4</v>
      </c>
      <c r="J13" s="287" t="n">
        <v>64.2</v>
      </c>
    </row>
    <row r="14" ht="14" customHeight="1" s="227">
      <c r="A14" s="28" t="inlineStr">
        <is>
          <t>Kratie</t>
        </is>
      </c>
      <c r="B14" s="290" t="n">
        <v>135.8</v>
      </c>
      <c r="C14" s="287" t="n">
        <v>96.8</v>
      </c>
      <c r="D14" s="287" t="n">
        <v>28.7</v>
      </c>
      <c r="E14" s="287" t="n">
        <v>73.40000000000001</v>
      </c>
      <c r="F14" s="287" t="n">
        <v>66.59999999999999</v>
      </c>
      <c r="G14" s="287" t="n">
        <v>116.6</v>
      </c>
      <c r="H14" s="287" t="n">
        <v>40.9</v>
      </c>
      <c r="I14" s="287" t="n">
        <v>18.8</v>
      </c>
      <c r="J14" s="287" t="n">
        <v>98.8</v>
      </c>
    </row>
    <row r="15" ht="14" customHeight="1" s="227">
      <c r="A15" s="28" t="inlineStr">
        <is>
          <t>Mondul Kiri</t>
        </is>
      </c>
      <c r="B15" s="290" t="n">
        <v>132.2</v>
      </c>
      <c r="C15" s="287" t="n">
        <v>84.5</v>
      </c>
      <c r="D15" s="287" t="n">
        <v>36.1</v>
      </c>
      <c r="E15" s="287" t="n">
        <v>81.90000000000001</v>
      </c>
      <c r="F15" s="287" t="n">
        <v>79.90000000000001</v>
      </c>
      <c r="G15" s="287" t="n">
        <v>109.4</v>
      </c>
      <c r="H15" s="287" t="n">
        <v>45.1</v>
      </c>
      <c r="I15" s="287" t="n">
        <v>19.6</v>
      </c>
      <c r="J15" s="287" t="n">
        <v>84.3</v>
      </c>
    </row>
    <row r="16" ht="14" customHeight="1" s="227">
      <c r="A16" s="28" t="inlineStr">
        <is>
          <t>Otdar Meanchey</t>
        </is>
      </c>
      <c r="B16" s="290" t="n">
        <v>112.6</v>
      </c>
      <c r="C16" s="287" t="n">
        <v>87.90000000000001</v>
      </c>
      <c r="D16" s="287" t="n">
        <v>21.9</v>
      </c>
      <c r="E16" s="287" t="n">
        <v>82</v>
      </c>
      <c r="F16" s="287" t="n">
        <v>73.7</v>
      </c>
      <c r="G16" s="287" t="n">
        <v>98.2</v>
      </c>
      <c r="H16" s="287" t="n">
        <v>43.9</v>
      </c>
      <c r="I16" s="287" t="n">
        <v>18.5</v>
      </c>
      <c r="J16" s="287" t="n">
        <v>82.5</v>
      </c>
    </row>
    <row r="17" ht="14" customHeight="1" s="227">
      <c r="A17" s="28" t="inlineStr">
        <is>
          <t>Pailin</t>
        </is>
      </c>
      <c r="B17" s="290" t="n">
        <v>80.2</v>
      </c>
      <c r="C17" s="287" t="n">
        <v>63.6</v>
      </c>
      <c r="D17" s="287" t="n">
        <v>20.7</v>
      </c>
      <c r="E17" s="287" t="n">
        <v>98.09999999999999</v>
      </c>
      <c r="F17" s="287" t="n">
        <v>69.2</v>
      </c>
      <c r="G17" s="287" t="n">
        <v>75.8</v>
      </c>
      <c r="H17" s="287" t="n">
        <v>38.9</v>
      </c>
      <c r="I17" s="287" t="n">
        <v>14.9</v>
      </c>
      <c r="J17" s="287" t="n">
        <v>63.2</v>
      </c>
    </row>
    <row r="18" ht="14" customHeight="1" s="227">
      <c r="A18" s="28" t="inlineStr">
        <is>
          <t>Phnom Penh</t>
        </is>
      </c>
      <c r="B18" s="290" t="n">
        <v>93.40000000000001</v>
      </c>
      <c r="C18" s="287" t="n">
        <v>76.7</v>
      </c>
      <c r="D18" s="287" t="n">
        <v>17.9</v>
      </c>
      <c r="E18" s="287" t="n">
        <v>92.59999999999999</v>
      </c>
      <c r="F18" s="287" t="n">
        <v>83.8</v>
      </c>
      <c r="G18" s="287" t="n">
        <v>90.90000000000001</v>
      </c>
      <c r="H18" s="287" t="n">
        <v>54.8</v>
      </c>
      <c r="I18" s="287" t="n">
        <v>34.5</v>
      </c>
      <c r="J18" s="287" t="n">
        <v>81.90000000000001</v>
      </c>
    </row>
    <row r="19" ht="14" customHeight="1" s="227">
      <c r="A19" s="28" t="inlineStr">
        <is>
          <t>Preah Sihanouk</t>
        </is>
      </c>
      <c r="B19" s="290" t="n">
        <v>96.40000000000001</v>
      </c>
      <c r="C19" s="287" t="n">
        <v>69.7</v>
      </c>
      <c r="D19" s="287" t="n">
        <v>27.7</v>
      </c>
      <c r="E19" s="287" t="n">
        <v>83.09999999999999</v>
      </c>
      <c r="F19" s="287" t="n">
        <v>64.90000000000001</v>
      </c>
      <c r="G19" s="287" t="n">
        <v>84.40000000000001</v>
      </c>
      <c r="H19" s="287" t="n">
        <v>41.8</v>
      </c>
      <c r="I19" s="287" t="n">
        <v>17.7</v>
      </c>
      <c r="J19" s="287" t="n">
        <v>71.8</v>
      </c>
    </row>
    <row r="20" ht="14" customHeight="1" s="227">
      <c r="A20" s="28" t="inlineStr">
        <is>
          <t>Preah Vihear</t>
        </is>
      </c>
      <c r="B20" s="290" t="n">
        <v>139.9</v>
      </c>
      <c r="C20" s="287" t="n">
        <v>89.40000000000001</v>
      </c>
      <c r="D20" s="287" t="n">
        <v>36.1</v>
      </c>
      <c r="E20" s="287" t="n">
        <v>80</v>
      </c>
      <c r="F20" s="287" t="n">
        <v>76.59999999999999</v>
      </c>
      <c r="G20" s="287" t="n">
        <v>123.6</v>
      </c>
      <c r="H20" s="287" t="n">
        <v>53.9</v>
      </c>
      <c r="I20" s="287" t="n">
        <v>26.1</v>
      </c>
      <c r="J20" s="287" t="n">
        <v>87.7</v>
      </c>
    </row>
    <row r="21" ht="14" customHeight="1" s="227">
      <c r="A21" s="28" t="inlineStr">
        <is>
          <t>Prey Veng</t>
        </is>
      </c>
      <c r="B21" s="290" t="n">
        <v>121.3</v>
      </c>
      <c r="C21" s="287" t="n">
        <v>98.8</v>
      </c>
      <c r="D21" s="287" t="n">
        <v>18.6</v>
      </c>
      <c r="E21" s="287" t="n">
        <v>80.7</v>
      </c>
      <c r="F21" s="287" t="n">
        <v>69.90000000000001</v>
      </c>
      <c r="G21" s="287" t="n">
        <v>118.1</v>
      </c>
      <c r="H21" s="287" t="n">
        <v>58.4</v>
      </c>
      <c r="I21" s="287" t="n">
        <v>26.9</v>
      </c>
      <c r="J21" s="287" t="n">
        <v>99.90000000000001</v>
      </c>
    </row>
    <row r="22" ht="14" customHeight="1" s="227">
      <c r="A22" s="28" t="inlineStr">
        <is>
          <t>Pursat</t>
        </is>
      </c>
      <c r="B22" s="290" t="n">
        <v>124</v>
      </c>
      <c r="C22" s="287" t="n">
        <v>95.8</v>
      </c>
      <c r="D22" s="287" t="n">
        <v>22.8</v>
      </c>
      <c r="E22" s="287" t="n">
        <v>80.3</v>
      </c>
      <c r="F22" s="287" t="n">
        <v>73.40000000000001</v>
      </c>
      <c r="G22" s="287" t="n">
        <v>116.3</v>
      </c>
      <c r="H22" s="287" t="n">
        <v>48.8</v>
      </c>
      <c r="I22" s="287" t="n">
        <v>21.6</v>
      </c>
      <c r="J22" s="287" t="n">
        <v>98</v>
      </c>
    </row>
    <row r="23" ht="14" customHeight="1" s="227">
      <c r="A23" s="28" t="inlineStr">
        <is>
          <t>Ratanak Kiri</t>
        </is>
      </c>
      <c r="B23" s="290" t="n">
        <v>199.4</v>
      </c>
      <c r="C23" s="287" t="n">
        <v>99.40000000000001</v>
      </c>
      <c r="D23" s="287" t="n">
        <v>50.1</v>
      </c>
      <c r="E23" s="287" t="n">
        <v>80.5</v>
      </c>
      <c r="F23" s="287" t="n">
        <v>72.7</v>
      </c>
      <c r="G23" s="287" t="n">
        <v>142.4</v>
      </c>
      <c r="H23" s="287" t="n">
        <v>51.3</v>
      </c>
      <c r="I23" s="287" t="n">
        <v>22.8</v>
      </c>
      <c r="J23" s="287" t="n">
        <v>99.7</v>
      </c>
    </row>
    <row r="24" ht="14" customHeight="1" s="227">
      <c r="A24" s="28" t="inlineStr">
        <is>
          <t>Siemreap</t>
        </is>
      </c>
      <c r="B24" s="290" t="n">
        <v>115.2</v>
      </c>
      <c r="C24" s="287" t="n">
        <v>93.90000000000001</v>
      </c>
      <c r="D24" s="287" t="n">
        <v>18.5</v>
      </c>
      <c r="E24" s="287" t="n">
        <v>84.40000000000001</v>
      </c>
      <c r="F24" s="287" t="n">
        <v>78.3</v>
      </c>
      <c r="G24" s="287" t="n">
        <v>109.6</v>
      </c>
      <c r="H24" s="287" t="n">
        <v>54.2</v>
      </c>
      <c r="I24" s="287" t="n">
        <v>27.2</v>
      </c>
      <c r="J24" s="287" t="n">
        <v>92.59999999999999</v>
      </c>
    </row>
    <row r="25" ht="14" customHeight="1" s="227">
      <c r="A25" s="28" t="inlineStr">
        <is>
          <t>Stung Treng</t>
        </is>
      </c>
      <c r="B25" s="290" t="n">
        <v>148.5</v>
      </c>
      <c r="C25" s="287" t="n">
        <v>90.3</v>
      </c>
      <c r="D25" s="287" t="n">
        <v>39.2</v>
      </c>
      <c r="E25" s="287" t="n">
        <v>79.7</v>
      </c>
      <c r="F25" s="287" t="n">
        <v>78.90000000000001</v>
      </c>
      <c r="G25" s="287" t="n">
        <v>129.6</v>
      </c>
      <c r="H25" s="287" t="n">
        <v>42.5</v>
      </c>
      <c r="I25" s="287" t="n">
        <v>20.8</v>
      </c>
      <c r="J25" s="287" t="n">
        <v>95.09999999999999</v>
      </c>
    </row>
    <row r="26" ht="14" customHeight="1" s="227">
      <c r="A26" s="28" t="inlineStr">
        <is>
          <t>Svay Rieng</t>
        </is>
      </c>
      <c r="B26" s="290" t="n">
        <v>130.2</v>
      </c>
      <c r="C26" s="287" t="n">
        <v>95.90000000000001</v>
      </c>
      <c r="D26" s="287" t="n">
        <v>26.3</v>
      </c>
      <c r="E26" s="287" t="n">
        <v>87.5</v>
      </c>
      <c r="F26" s="287" t="n">
        <v>70.8</v>
      </c>
      <c r="G26" s="287" t="n">
        <v>118.8</v>
      </c>
      <c r="H26" s="287" t="n">
        <v>65</v>
      </c>
      <c r="I26" s="287" t="n">
        <v>30.9</v>
      </c>
      <c r="J26" s="287" t="n">
        <v>99</v>
      </c>
    </row>
    <row r="27" ht="14" customHeight="1" s="227">
      <c r="A27" s="28" t="inlineStr">
        <is>
          <t>Takeo</t>
        </is>
      </c>
      <c r="B27" s="290" t="n">
        <v>106.7</v>
      </c>
      <c r="C27" s="287" t="n">
        <v>97</v>
      </c>
      <c r="D27" s="287" t="n">
        <v>9.1</v>
      </c>
      <c r="E27" s="287" t="n">
        <v>87.7</v>
      </c>
      <c r="F27" s="287" t="n">
        <v>73.59999999999999</v>
      </c>
      <c r="G27" s="287" t="n">
        <v>103.7</v>
      </c>
      <c r="H27" s="287" t="n">
        <v>65.09999999999999</v>
      </c>
      <c r="I27" s="287" t="n">
        <v>37.1</v>
      </c>
      <c r="J27" s="287" t="n">
        <v>94.09999999999999</v>
      </c>
    </row>
    <row r="28" ht="14" customHeight="1" s="227">
      <c r="A28" s="28" t="inlineStr">
        <is>
          <t>Tbaung Khmum</t>
        </is>
      </c>
      <c r="B28" s="290" t="n">
        <v>137.6</v>
      </c>
      <c r="C28" s="287" t="n">
        <v>94.5</v>
      </c>
      <c r="D28" s="287" t="n">
        <v>31.4</v>
      </c>
      <c r="E28" s="287" t="n">
        <v>77.7</v>
      </c>
      <c r="F28" s="287" t="n">
        <v>70.3</v>
      </c>
      <c r="G28" s="287" t="n">
        <v>117.8</v>
      </c>
      <c r="H28" s="287" t="n">
        <v>49.4</v>
      </c>
      <c r="I28" s="287" t="n">
        <v>19.4</v>
      </c>
      <c r="J28" s="287" t="n">
        <v>97.40000000000001</v>
      </c>
    </row>
    <row r="29" ht="16" customHeight="1" s="227">
      <c r="A29" s="22" t="inlineStr">
        <is>
          <t>Whole Kingdom</t>
        </is>
      </c>
      <c r="B29" s="290" t="n">
        <v>117</v>
      </c>
      <c r="C29" s="287" t="n">
        <v>91.5</v>
      </c>
      <c r="D29" s="287" t="n">
        <v>21.8</v>
      </c>
      <c r="E29" s="287" t="n">
        <v>82.90000000000001</v>
      </c>
      <c r="F29" s="287" t="n">
        <v>72.7</v>
      </c>
      <c r="G29" s="287" t="n">
        <v>108.1</v>
      </c>
      <c r="H29" s="287" t="n">
        <v>52.3</v>
      </c>
      <c r="I29" s="287" t="n">
        <v>25.2</v>
      </c>
      <c r="J29" s="287" t="n">
        <v>92</v>
      </c>
    </row>
    <row r="30" ht="15" customHeight="1" s="227">
      <c r="A30" s="28" t="inlineStr">
        <is>
          <t>- Urban Area</t>
        </is>
      </c>
      <c r="B30" s="290" t="n">
        <v>97.8</v>
      </c>
      <c r="C30" s="287" t="n">
        <v>78.2</v>
      </c>
      <c r="D30" s="287" t="n">
        <v>20.1</v>
      </c>
      <c r="E30" s="287" t="n">
        <v>94.7</v>
      </c>
      <c r="F30" s="287" t="n">
        <v>95.3</v>
      </c>
      <c r="G30" s="287" t="n">
        <v>89.40000000000001</v>
      </c>
      <c r="H30" s="287" t="n">
        <v>53.2</v>
      </c>
      <c r="I30" s="287" t="n">
        <v>37.5</v>
      </c>
      <c r="J30" s="287" t="n">
        <v>78.8</v>
      </c>
    </row>
    <row r="31" ht="13.5" customHeight="1" s="227">
      <c r="A31" s="28" t="inlineStr">
        <is>
          <t>- Rural Area</t>
        </is>
      </c>
      <c r="B31" s="290" t="n">
        <v>122.1</v>
      </c>
      <c r="C31" s="287" t="n">
        <v>95</v>
      </c>
      <c r="D31" s="287" t="n">
        <v>22.2</v>
      </c>
      <c r="E31" s="287" t="n">
        <v>80.5</v>
      </c>
      <c r="F31" s="287" t="n">
        <v>66.40000000000001</v>
      </c>
      <c r="G31" s="287" t="n">
        <v>112.8</v>
      </c>
      <c r="H31" s="287" t="n">
        <v>52</v>
      </c>
      <c r="I31" s="287" t="n">
        <v>22</v>
      </c>
      <c r="J31" s="287" t="n">
        <v>95.40000000000001</v>
      </c>
    </row>
  </sheetData>
  <mergeCells count="3">
    <mergeCell ref="A1:J1"/>
    <mergeCell ref="A2:A3"/>
    <mergeCell ref="G2:I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6.888889" customWidth="1" style="227" min="1" max="1"/>
    <col width="12" customWidth="1" style="227" min="2" max="2"/>
    <col width="12" customWidth="1" style="227" min="3" max="3"/>
    <col width="12" customWidth="1" style="227" min="4" max="4"/>
    <col width="11.555556" customWidth="1" style="227" min="5" max="5"/>
    <col width="11.555556" customWidth="1" style="227" min="6" max="6"/>
    <col width="11.555556" customWidth="1" style="227" min="7" max="7"/>
    <col width="11.555556" customWidth="1" style="227" min="8" max="8"/>
    <col width="11.555556" customWidth="1" style="227" min="9" max="9"/>
    <col width="11.555556" customWidth="1" style="227" min="10" max="10"/>
    <col width="11.555556" customWidth="1" style="227" min="11" max="11"/>
    <col width="11.555556" customWidth="1" style="227" min="12" max="12"/>
    <col width="11.555556" customWidth="1" style="227" min="13" max="13"/>
  </cols>
  <sheetData>
    <row r="1" ht="31" customHeight="1" s="227">
      <c r="A1" s="2" t="inlineStr">
        <is>
          <t>Table 13: Student Flow Rates (Grade 1-4) for Both Sex 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2" t="inlineStr">
        <is>
          <t>Grade 1</t>
        </is>
      </c>
      <c r="C2" s="269" t="n"/>
      <c r="D2" s="257" t="n"/>
      <c r="E2" s="92" t="inlineStr">
        <is>
          <t>Grade 2</t>
        </is>
      </c>
      <c r="F2" s="269" t="n"/>
      <c r="G2" s="257" t="n"/>
      <c r="H2" s="92" t="inlineStr">
        <is>
          <t>Grade 3</t>
        </is>
      </c>
      <c r="I2" s="269" t="n"/>
      <c r="J2" s="257" t="n"/>
      <c r="K2" s="92" t="inlineStr">
        <is>
          <t>Grade 4</t>
        </is>
      </c>
      <c r="L2" s="269" t="n"/>
      <c r="M2" s="257" t="n"/>
    </row>
    <row r="3" ht="18" customHeight="1" s="227">
      <c r="A3" s="258" t="n"/>
      <c r="B3" s="119" t="inlineStr">
        <is>
          <t>Promotion</t>
        </is>
      </c>
      <c r="C3" s="119" t="inlineStr">
        <is>
          <t>Repetition</t>
        </is>
      </c>
      <c r="D3" s="103" t="inlineStr">
        <is>
          <t>Dropout</t>
        </is>
      </c>
      <c r="E3" s="119" t="inlineStr">
        <is>
          <t>Promotion</t>
        </is>
      </c>
      <c r="F3" s="119" t="inlineStr">
        <is>
          <t>Repetition</t>
        </is>
      </c>
      <c r="G3" s="103" t="inlineStr">
        <is>
          <t>Dropout</t>
        </is>
      </c>
      <c r="H3" s="119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19" t="inlineStr">
        <is>
          <t>Promotion</t>
        </is>
      </c>
      <c r="L3" s="119" t="inlineStr">
        <is>
          <t>Repetition</t>
        </is>
      </c>
      <c r="M3" s="103" t="inlineStr">
        <is>
          <t>Dropout</t>
        </is>
      </c>
    </row>
    <row r="4" ht="14" customHeight="1" s="227">
      <c r="A4" s="28" t="inlineStr">
        <is>
          <t>Banteay Meanchey</t>
        </is>
      </c>
      <c r="B4" s="276" t="n">
        <v>90.7</v>
      </c>
      <c r="C4" s="276" t="n">
        <v>6</v>
      </c>
      <c r="D4" s="276" t="n">
        <v>3.3</v>
      </c>
      <c r="E4" s="276" t="n">
        <v>91.59999999999999</v>
      </c>
      <c r="F4" s="276" t="n">
        <v>4.7</v>
      </c>
      <c r="G4" s="276" t="n">
        <v>3.7</v>
      </c>
      <c r="H4" s="276" t="n">
        <v>94.7</v>
      </c>
      <c r="I4" s="276" t="n">
        <v>3.4</v>
      </c>
      <c r="J4" s="276" t="n">
        <v>2</v>
      </c>
      <c r="K4" s="276" t="n">
        <v>91</v>
      </c>
      <c r="L4" s="276" t="n">
        <v>2.5</v>
      </c>
      <c r="M4" s="276" t="n">
        <v>6.4</v>
      </c>
    </row>
    <row r="5" ht="14" customHeight="1" s="227">
      <c r="A5" s="28" t="inlineStr">
        <is>
          <t>Battambang</t>
        </is>
      </c>
      <c r="B5" s="276" t="n">
        <v>83.8</v>
      </c>
      <c r="C5" s="276" t="n">
        <v>11.7</v>
      </c>
      <c r="D5" s="276" t="n">
        <v>4.5</v>
      </c>
      <c r="E5" s="276" t="n">
        <v>88.5</v>
      </c>
      <c r="F5" s="276" t="n">
        <v>8</v>
      </c>
      <c r="G5" s="276" t="n">
        <v>3.6</v>
      </c>
      <c r="H5" s="276" t="n">
        <v>88.59999999999999</v>
      </c>
      <c r="I5" s="276" t="n">
        <v>5.7</v>
      </c>
      <c r="J5" s="276" t="n">
        <v>5.7</v>
      </c>
      <c r="K5" s="276" t="n">
        <v>90.8</v>
      </c>
      <c r="L5" s="276" t="n">
        <v>4</v>
      </c>
      <c r="M5" s="276" t="n">
        <v>5.2</v>
      </c>
    </row>
    <row r="6" ht="15" customHeight="1" s="227">
      <c r="A6" s="28" t="inlineStr">
        <is>
          <t>Kampong Cham</t>
        </is>
      </c>
      <c r="B6" s="276" t="n">
        <v>81.59999999999999</v>
      </c>
      <c r="C6" s="276" t="n">
        <v>14.2</v>
      </c>
      <c r="D6" s="276" t="n">
        <v>4.2</v>
      </c>
      <c r="E6" s="276" t="n">
        <v>84.40000000000001</v>
      </c>
      <c r="F6" s="276" t="n">
        <v>10.9</v>
      </c>
      <c r="G6" s="276" t="n">
        <v>4.7</v>
      </c>
      <c r="H6" s="276" t="n">
        <v>86.5</v>
      </c>
      <c r="I6" s="276" t="n">
        <v>8.9</v>
      </c>
      <c r="J6" s="276" t="n">
        <v>4.6</v>
      </c>
      <c r="K6" s="276" t="n">
        <v>88</v>
      </c>
      <c r="L6" s="276" t="n">
        <v>7.4</v>
      </c>
      <c r="M6" s="276" t="n">
        <v>4.6</v>
      </c>
    </row>
    <row r="7" ht="14" customHeight="1" s="227">
      <c r="A7" s="28" t="inlineStr">
        <is>
          <t>Kampong Chhnang</t>
        </is>
      </c>
      <c r="B7" s="276" t="n">
        <v>88</v>
      </c>
      <c r="C7" s="276" t="n">
        <v>10.6</v>
      </c>
      <c r="D7" s="276" t="n">
        <v>1.4</v>
      </c>
      <c r="E7" s="276" t="n">
        <v>90.3</v>
      </c>
      <c r="F7" s="276" t="n">
        <v>7.6</v>
      </c>
      <c r="G7" s="276" t="n">
        <v>2</v>
      </c>
      <c r="H7" s="276" t="n">
        <v>91.5</v>
      </c>
      <c r="I7" s="276" t="n">
        <v>6.3</v>
      </c>
      <c r="J7" s="276" t="n">
        <v>2.2</v>
      </c>
      <c r="K7" s="276" t="n">
        <v>92.5</v>
      </c>
      <c r="L7" s="276" t="n">
        <v>4.5</v>
      </c>
      <c r="M7" s="276" t="n">
        <v>3</v>
      </c>
    </row>
    <row r="8" ht="14" customHeight="1" s="227">
      <c r="A8" s="28" t="inlineStr">
        <is>
          <t>Kampong Speu</t>
        </is>
      </c>
      <c r="B8" s="276" t="n">
        <v>89.3</v>
      </c>
      <c r="C8" s="276" t="n">
        <v>8.699999999999999</v>
      </c>
      <c r="D8" s="276" t="n">
        <v>2</v>
      </c>
      <c r="E8" s="276" t="n">
        <v>92.5</v>
      </c>
      <c r="F8" s="276" t="n">
        <v>6.3</v>
      </c>
      <c r="G8" s="276" t="n">
        <v>1.2</v>
      </c>
      <c r="H8" s="276" t="n">
        <v>92.7</v>
      </c>
      <c r="I8" s="276" t="n">
        <v>4.5</v>
      </c>
      <c r="J8" s="276" t="n">
        <v>2.8</v>
      </c>
      <c r="K8" s="276" t="n">
        <v>93.2</v>
      </c>
      <c r="L8" s="276" t="n">
        <v>3.3</v>
      </c>
      <c r="M8" s="276" t="n">
        <v>3.5</v>
      </c>
    </row>
    <row r="9" ht="14" customHeight="1" s="227">
      <c r="A9" s="28" t="inlineStr">
        <is>
          <t>Kampong Thom</t>
        </is>
      </c>
      <c r="B9" s="276" t="n">
        <v>82.2</v>
      </c>
      <c r="C9" s="276" t="n">
        <v>13.2</v>
      </c>
      <c r="D9" s="276" t="n">
        <v>4.6</v>
      </c>
      <c r="E9" s="276" t="n">
        <v>86.90000000000001</v>
      </c>
      <c r="F9" s="276" t="n">
        <v>9.300000000000001</v>
      </c>
      <c r="G9" s="276" t="n">
        <v>3.7</v>
      </c>
      <c r="H9" s="276" t="n">
        <v>86.7</v>
      </c>
      <c r="I9" s="276" t="n">
        <v>7.4</v>
      </c>
      <c r="J9" s="276" t="n">
        <v>5.9</v>
      </c>
      <c r="K9" s="276" t="n">
        <v>89</v>
      </c>
      <c r="L9" s="276" t="n">
        <v>4.9</v>
      </c>
      <c r="M9" s="276" t="n">
        <v>6.1</v>
      </c>
    </row>
    <row r="10" ht="14" customHeight="1" s="227">
      <c r="A10" s="28" t="inlineStr">
        <is>
          <t>Kampot</t>
        </is>
      </c>
      <c r="B10" s="276" t="n">
        <v>89.09999999999999</v>
      </c>
      <c r="C10" s="276" t="n">
        <v>8.6</v>
      </c>
      <c r="D10" s="276" t="n">
        <v>2.2</v>
      </c>
      <c r="E10" s="276" t="n">
        <v>92.7</v>
      </c>
      <c r="F10" s="276" t="n">
        <v>5</v>
      </c>
      <c r="G10" s="276" t="n">
        <v>2.3</v>
      </c>
      <c r="H10" s="276" t="n">
        <v>91.3</v>
      </c>
      <c r="I10" s="276" t="n">
        <v>4.3</v>
      </c>
      <c r="J10" s="276" t="n">
        <v>4.4</v>
      </c>
      <c r="K10" s="276" t="n">
        <v>94.2</v>
      </c>
      <c r="L10" s="276" t="n">
        <v>2.8</v>
      </c>
      <c r="M10" s="276" t="n">
        <v>3</v>
      </c>
    </row>
    <row r="11" ht="14" customHeight="1" s="227">
      <c r="A11" s="28" t="inlineStr">
        <is>
          <t>Kandal</t>
        </is>
      </c>
      <c r="B11" s="276" t="n">
        <v>85.8</v>
      </c>
      <c r="C11" s="276" t="n">
        <v>13.1</v>
      </c>
      <c r="D11" s="276" t="n">
        <v>1</v>
      </c>
      <c r="E11" s="276" t="n">
        <v>88.3</v>
      </c>
      <c r="F11" s="276" t="n">
        <v>9.9</v>
      </c>
      <c r="G11" s="276" t="n">
        <v>1.7</v>
      </c>
      <c r="H11" s="276" t="n">
        <v>88.7</v>
      </c>
      <c r="I11" s="276" t="n">
        <v>8.1</v>
      </c>
      <c r="J11" s="276" t="n">
        <v>3.3</v>
      </c>
      <c r="K11" s="276" t="n">
        <v>90.59999999999999</v>
      </c>
      <c r="L11" s="276" t="n">
        <v>6.5</v>
      </c>
      <c r="M11" s="276" t="n">
        <v>2.9</v>
      </c>
    </row>
    <row r="12" ht="14" customHeight="1" s="227">
      <c r="A12" s="28" t="inlineStr">
        <is>
          <t>Kep</t>
        </is>
      </c>
      <c r="B12" s="276" t="n">
        <v>90.59999999999999</v>
      </c>
      <c r="C12" s="276" t="n">
        <v>9.800000000000001</v>
      </c>
      <c r="D12" s="120" t="inlineStr">
        <is>
          <t>n.a.</t>
        </is>
      </c>
      <c r="E12" s="276" t="n">
        <v>98</v>
      </c>
      <c r="F12" s="276" t="n">
        <v>5.8</v>
      </c>
      <c r="G12" s="120" t="inlineStr">
        <is>
          <t>n.a.</t>
        </is>
      </c>
      <c r="H12" s="276" t="n">
        <v>93.8</v>
      </c>
      <c r="I12" s="276" t="n">
        <v>5.3</v>
      </c>
      <c r="J12" s="276" t="n">
        <v>0.9</v>
      </c>
      <c r="K12" s="276" t="n">
        <v>89.2</v>
      </c>
      <c r="L12" s="276" t="n">
        <v>4.3</v>
      </c>
      <c r="M12" s="276" t="n">
        <v>6.5</v>
      </c>
    </row>
    <row r="13" ht="14" customHeight="1" s="227">
      <c r="A13" s="28" t="inlineStr">
        <is>
          <t>Koh Kong</t>
        </is>
      </c>
      <c r="B13" s="276" t="n">
        <v>84.8</v>
      </c>
      <c r="C13" s="276" t="n">
        <v>7.5</v>
      </c>
      <c r="D13" s="276" t="n">
        <v>7.7</v>
      </c>
      <c r="E13" s="276" t="n">
        <v>86.2</v>
      </c>
      <c r="F13" s="276" t="n">
        <v>5.3</v>
      </c>
      <c r="G13" s="276" t="n">
        <v>8.6</v>
      </c>
      <c r="H13" s="276" t="n">
        <v>89.8</v>
      </c>
      <c r="I13" s="276" t="n">
        <v>3.7</v>
      </c>
      <c r="J13" s="276" t="n">
        <v>6.4</v>
      </c>
      <c r="K13" s="276" t="n">
        <v>90</v>
      </c>
      <c r="L13" s="276" t="n">
        <v>1.8</v>
      </c>
      <c r="M13" s="276" t="n">
        <v>8.1</v>
      </c>
    </row>
    <row r="14" ht="14" customHeight="1" s="227">
      <c r="A14" s="28" t="inlineStr">
        <is>
          <t>Kratie</t>
        </is>
      </c>
      <c r="B14" s="276" t="n">
        <v>81.3</v>
      </c>
      <c r="C14" s="276" t="n">
        <v>13.3</v>
      </c>
      <c r="D14" s="276" t="n">
        <v>5.4</v>
      </c>
      <c r="E14" s="276" t="n">
        <v>84.5</v>
      </c>
      <c r="F14" s="276" t="n">
        <v>9.6</v>
      </c>
      <c r="G14" s="276" t="n">
        <v>5.9</v>
      </c>
      <c r="H14" s="276" t="n">
        <v>84.59999999999999</v>
      </c>
      <c r="I14" s="276" t="n">
        <v>7.5</v>
      </c>
      <c r="J14" s="276" t="n">
        <v>7.9</v>
      </c>
      <c r="K14" s="276" t="n">
        <v>85.3</v>
      </c>
      <c r="L14" s="276" t="n">
        <v>6.1</v>
      </c>
      <c r="M14" s="276" t="n">
        <v>8.6</v>
      </c>
    </row>
    <row r="15" ht="14" customHeight="1" s="227">
      <c r="A15" s="28" t="inlineStr">
        <is>
          <t>Mondul Kiri</t>
        </is>
      </c>
      <c r="B15" s="276" t="n">
        <v>84.90000000000001</v>
      </c>
      <c r="C15" s="276" t="n">
        <v>8</v>
      </c>
      <c r="D15" s="276" t="n">
        <v>7.1</v>
      </c>
      <c r="E15" s="276" t="n">
        <v>89.3</v>
      </c>
      <c r="F15" s="276" t="n">
        <v>6</v>
      </c>
      <c r="G15" s="276" t="n">
        <v>4.7</v>
      </c>
      <c r="H15" s="276" t="n">
        <v>87.59999999999999</v>
      </c>
      <c r="I15" s="276" t="n">
        <v>4.9</v>
      </c>
      <c r="J15" s="276" t="n">
        <v>7.5</v>
      </c>
      <c r="K15" s="276" t="n">
        <v>85.8</v>
      </c>
      <c r="L15" s="276" t="n">
        <v>4</v>
      </c>
      <c r="M15" s="276" t="n">
        <v>10.2</v>
      </c>
    </row>
    <row r="16" ht="14" customHeight="1" s="227">
      <c r="A16" s="28" t="inlineStr">
        <is>
          <t>Otdar Meanchey</t>
        </is>
      </c>
      <c r="B16" s="276" t="n">
        <v>80.09999999999999</v>
      </c>
      <c r="C16" s="276" t="n">
        <v>14.2</v>
      </c>
      <c r="D16" s="276" t="n">
        <v>5.8</v>
      </c>
      <c r="E16" s="276" t="n">
        <v>85.3</v>
      </c>
      <c r="F16" s="276" t="n">
        <v>10.1</v>
      </c>
      <c r="G16" s="276" t="n">
        <v>4.7</v>
      </c>
      <c r="H16" s="276" t="n">
        <v>85.8</v>
      </c>
      <c r="I16" s="276" t="n">
        <v>8.1</v>
      </c>
      <c r="J16" s="276" t="n">
        <v>6.1</v>
      </c>
      <c r="K16" s="276" t="n">
        <v>85.3</v>
      </c>
      <c r="L16" s="276" t="n">
        <v>5.3</v>
      </c>
      <c r="M16" s="276" t="n">
        <v>9.300000000000001</v>
      </c>
    </row>
    <row r="17" ht="14" customHeight="1" s="227">
      <c r="A17" s="28" t="inlineStr">
        <is>
          <t>Pailin</t>
        </is>
      </c>
      <c r="B17" s="276" t="n">
        <v>86</v>
      </c>
      <c r="C17" s="276" t="n">
        <v>9.9</v>
      </c>
      <c r="D17" s="276" t="n">
        <v>4.1</v>
      </c>
      <c r="E17" s="276" t="n">
        <v>86.40000000000001</v>
      </c>
      <c r="F17" s="276" t="n">
        <v>7.6</v>
      </c>
      <c r="G17" s="276" t="n">
        <v>6</v>
      </c>
      <c r="H17" s="276" t="n">
        <v>84.8</v>
      </c>
      <c r="I17" s="276" t="n">
        <v>8</v>
      </c>
      <c r="J17" s="276" t="n">
        <v>7.2</v>
      </c>
      <c r="K17" s="276" t="n">
        <v>89.90000000000001</v>
      </c>
      <c r="L17" s="276" t="n">
        <v>5</v>
      </c>
      <c r="M17" s="276" t="n">
        <v>5.1</v>
      </c>
    </row>
    <row r="18" ht="14" customHeight="1" s="227">
      <c r="A18" s="28" t="inlineStr">
        <is>
          <t>Phnom Penh</t>
        </is>
      </c>
      <c r="B18" s="276" t="n">
        <v>90.8</v>
      </c>
      <c r="C18" s="276" t="n">
        <v>5.6</v>
      </c>
      <c r="D18" s="276" t="n">
        <v>3.6</v>
      </c>
      <c r="E18" s="276" t="n">
        <v>93.2</v>
      </c>
      <c r="F18" s="276" t="n">
        <v>4</v>
      </c>
      <c r="G18" s="276" t="n">
        <v>2.8</v>
      </c>
      <c r="H18" s="276" t="n">
        <v>94</v>
      </c>
      <c r="I18" s="276" t="n">
        <v>2.7</v>
      </c>
      <c r="J18" s="276" t="n">
        <v>3.3</v>
      </c>
      <c r="K18" s="276" t="n">
        <v>96.09999999999999</v>
      </c>
      <c r="L18" s="276" t="n">
        <v>2</v>
      </c>
      <c r="M18" s="276" t="n">
        <v>1.9</v>
      </c>
    </row>
    <row r="19" ht="14" customHeight="1" s="227">
      <c r="A19" s="28" t="inlineStr">
        <is>
          <t>Preah Sihanouk</t>
        </is>
      </c>
      <c r="B19" s="276" t="n">
        <v>91.90000000000001</v>
      </c>
      <c r="C19" s="276" t="n">
        <v>6.1</v>
      </c>
      <c r="D19" s="276" t="n">
        <v>1.9</v>
      </c>
      <c r="E19" s="276" t="n">
        <v>94</v>
      </c>
      <c r="F19" s="276" t="n">
        <v>3.7</v>
      </c>
      <c r="G19" s="276" t="n">
        <v>2.3</v>
      </c>
      <c r="H19" s="276" t="n">
        <v>96.59999999999999</v>
      </c>
      <c r="I19" s="276" t="n">
        <v>3</v>
      </c>
      <c r="J19" s="276" t="n">
        <v>0.4</v>
      </c>
      <c r="K19" s="276" t="n">
        <v>91.59999999999999</v>
      </c>
      <c r="L19" s="276" t="n">
        <v>1.9</v>
      </c>
      <c r="M19" s="276" t="n">
        <v>6.5</v>
      </c>
    </row>
    <row r="20" ht="14" customHeight="1" s="227">
      <c r="A20" s="28" t="inlineStr">
        <is>
          <t>Preah Vihear</t>
        </is>
      </c>
      <c r="B20" s="276" t="n">
        <v>78.90000000000001</v>
      </c>
      <c r="C20" s="276" t="n">
        <v>17.1</v>
      </c>
      <c r="D20" s="276" t="n">
        <v>4</v>
      </c>
      <c r="E20" s="276" t="n">
        <v>85.2</v>
      </c>
      <c r="F20" s="276" t="n">
        <v>10.2</v>
      </c>
      <c r="G20" s="276" t="n">
        <v>4.6</v>
      </c>
      <c r="H20" s="276" t="n">
        <v>88.40000000000001</v>
      </c>
      <c r="I20" s="276" t="n">
        <v>7.9</v>
      </c>
      <c r="J20" s="276" t="n">
        <v>3.7</v>
      </c>
      <c r="K20" s="276" t="n">
        <v>87.40000000000001</v>
      </c>
      <c r="L20" s="276" t="n">
        <v>5</v>
      </c>
      <c r="M20" s="276" t="n">
        <v>7.6</v>
      </c>
    </row>
    <row r="21" ht="14" customHeight="1" s="227">
      <c r="A21" s="28" t="inlineStr">
        <is>
          <t>Prey Veng</t>
        </is>
      </c>
      <c r="B21" s="276" t="n">
        <v>86.2</v>
      </c>
      <c r="C21" s="276" t="n">
        <v>11.9</v>
      </c>
      <c r="D21" s="276" t="n">
        <v>1.8</v>
      </c>
      <c r="E21" s="276" t="n">
        <v>90.59999999999999</v>
      </c>
      <c r="F21" s="276" t="n">
        <v>8.300000000000001</v>
      </c>
      <c r="G21" s="276" t="n">
        <v>1</v>
      </c>
      <c r="H21" s="276" t="n">
        <v>91.09999999999999</v>
      </c>
      <c r="I21" s="276" t="n">
        <v>6.5</v>
      </c>
      <c r="J21" s="276" t="n">
        <v>2.4</v>
      </c>
      <c r="K21" s="276" t="n">
        <v>92</v>
      </c>
      <c r="L21" s="276" t="n">
        <v>5.2</v>
      </c>
      <c r="M21" s="276" t="n">
        <v>2.9</v>
      </c>
    </row>
    <row r="22" ht="14" customHeight="1" s="227">
      <c r="A22" s="28" t="inlineStr">
        <is>
          <t>Pursat</t>
        </is>
      </c>
      <c r="B22" s="276" t="n">
        <v>81.09999999999999</v>
      </c>
      <c r="C22" s="276" t="n">
        <v>14.8</v>
      </c>
      <c r="D22" s="276" t="n">
        <v>4.2</v>
      </c>
      <c r="E22" s="276" t="n">
        <v>86.7</v>
      </c>
      <c r="F22" s="276" t="n">
        <v>9.1</v>
      </c>
      <c r="G22" s="276" t="n">
        <v>4.3</v>
      </c>
      <c r="H22" s="276" t="n">
        <v>89.2</v>
      </c>
      <c r="I22" s="276" t="n">
        <v>7.2</v>
      </c>
      <c r="J22" s="276" t="n">
        <v>3.5</v>
      </c>
      <c r="K22" s="276" t="n">
        <v>89.2</v>
      </c>
      <c r="L22" s="276" t="n">
        <v>5.7</v>
      </c>
      <c r="M22" s="276" t="n">
        <v>5.1</v>
      </c>
    </row>
    <row r="23" ht="14" customHeight="1" s="227">
      <c r="A23" s="28" t="inlineStr">
        <is>
          <t>Ratanak Kiri</t>
        </is>
      </c>
      <c r="B23" s="276" t="n">
        <v>80.8</v>
      </c>
      <c r="C23" s="276" t="n">
        <v>7.5</v>
      </c>
      <c r="D23" s="276" t="n">
        <v>11.7</v>
      </c>
      <c r="E23" s="276" t="n">
        <v>84.5</v>
      </c>
      <c r="F23" s="276" t="n">
        <v>5.3</v>
      </c>
      <c r="G23" s="276" t="n">
        <v>10.2</v>
      </c>
      <c r="H23" s="276" t="n">
        <v>86.59999999999999</v>
      </c>
      <c r="I23" s="276" t="n">
        <v>3.6</v>
      </c>
      <c r="J23" s="276" t="n">
        <v>9.800000000000001</v>
      </c>
      <c r="K23" s="276" t="n">
        <v>83.7</v>
      </c>
      <c r="L23" s="276" t="n">
        <v>2.6</v>
      </c>
      <c r="M23" s="276" t="n">
        <v>13.8</v>
      </c>
    </row>
    <row r="24" ht="14" customHeight="1" s="227">
      <c r="A24" s="28" t="inlineStr">
        <is>
          <t>Siemreap</t>
        </is>
      </c>
      <c r="B24" s="276" t="n">
        <v>82.90000000000001</v>
      </c>
      <c r="C24" s="276" t="n">
        <v>13.8</v>
      </c>
      <c r="D24" s="276" t="n">
        <v>3.4</v>
      </c>
      <c r="E24" s="276" t="n">
        <v>85.2</v>
      </c>
      <c r="F24" s="276" t="n">
        <v>9.199999999999999</v>
      </c>
      <c r="G24" s="276" t="n">
        <v>5.7</v>
      </c>
      <c r="H24" s="276" t="n">
        <v>88.3</v>
      </c>
      <c r="I24" s="276" t="n">
        <v>7.1</v>
      </c>
      <c r="J24" s="276" t="n">
        <v>4.5</v>
      </c>
      <c r="K24" s="276" t="n">
        <v>93.8</v>
      </c>
      <c r="L24" s="276" t="n">
        <v>4.8</v>
      </c>
      <c r="M24" s="276" t="n">
        <v>1.5</v>
      </c>
    </row>
    <row r="25" ht="14" customHeight="1" s="227">
      <c r="A25" s="28" t="inlineStr">
        <is>
          <t>Stung Treng</t>
        </is>
      </c>
      <c r="B25" s="276" t="n">
        <v>75.8</v>
      </c>
      <c r="C25" s="276" t="n">
        <v>19.6</v>
      </c>
      <c r="D25" s="276" t="n">
        <v>4.6</v>
      </c>
      <c r="E25" s="276" t="n">
        <v>80.09999999999999</v>
      </c>
      <c r="F25" s="276" t="n">
        <v>13.2</v>
      </c>
      <c r="G25" s="276" t="n">
        <v>6.7</v>
      </c>
      <c r="H25" s="276" t="n">
        <v>81.3</v>
      </c>
      <c r="I25" s="276" t="n">
        <v>8.6</v>
      </c>
      <c r="J25" s="276" t="n">
        <v>10</v>
      </c>
      <c r="K25" s="276" t="n">
        <v>86.3</v>
      </c>
      <c r="L25" s="276" t="n">
        <v>6.5</v>
      </c>
      <c r="M25" s="276" t="n">
        <v>7.2</v>
      </c>
    </row>
    <row r="26" ht="14" customHeight="1" s="227">
      <c r="A26" s="28" t="inlineStr">
        <is>
          <t>Svay Rieng</t>
        </is>
      </c>
      <c r="B26" s="276" t="n">
        <v>90.40000000000001</v>
      </c>
      <c r="C26" s="276" t="n">
        <v>8.1</v>
      </c>
      <c r="D26" s="276" t="n">
        <v>1.6</v>
      </c>
      <c r="E26" s="276" t="n">
        <v>93.40000000000001</v>
      </c>
      <c r="F26" s="276" t="n">
        <v>5.6</v>
      </c>
      <c r="G26" s="276" t="n">
        <v>1</v>
      </c>
      <c r="H26" s="276" t="n">
        <v>93.90000000000001</v>
      </c>
      <c r="I26" s="276" t="n">
        <v>3.9</v>
      </c>
      <c r="J26" s="276" t="n">
        <v>2.2</v>
      </c>
      <c r="K26" s="276" t="n">
        <v>94.09999999999999</v>
      </c>
      <c r="L26" s="276" t="n">
        <v>3</v>
      </c>
      <c r="M26" s="276" t="n">
        <v>2.8</v>
      </c>
    </row>
    <row r="27" ht="14" customHeight="1" s="227">
      <c r="A27" s="28" t="inlineStr">
        <is>
          <t>Takeo</t>
        </is>
      </c>
      <c r="B27" s="276" t="n">
        <v>88.5</v>
      </c>
      <c r="C27" s="276" t="n">
        <v>10.5</v>
      </c>
      <c r="D27" s="276" t="n">
        <v>1.1</v>
      </c>
      <c r="E27" s="276" t="n">
        <v>90.7</v>
      </c>
      <c r="F27" s="276" t="n">
        <v>7.9</v>
      </c>
      <c r="G27" s="276" t="n">
        <v>1.4</v>
      </c>
      <c r="H27" s="276" t="n">
        <v>91.40000000000001</v>
      </c>
      <c r="I27" s="276" t="n">
        <v>6.3</v>
      </c>
      <c r="J27" s="276" t="n">
        <v>2.3</v>
      </c>
      <c r="K27" s="276" t="n">
        <v>92.5</v>
      </c>
      <c r="L27" s="276" t="n">
        <v>5.2</v>
      </c>
      <c r="M27" s="276" t="n">
        <v>2.3</v>
      </c>
    </row>
    <row r="28" ht="14" customHeight="1" s="227">
      <c r="A28" s="28" t="inlineStr">
        <is>
          <t>Tbaung Khmum</t>
        </is>
      </c>
      <c r="B28" s="276" t="n">
        <v>85.09999999999999</v>
      </c>
      <c r="C28" s="276" t="n">
        <v>9.699999999999999</v>
      </c>
      <c r="D28" s="276" t="n">
        <v>5.2</v>
      </c>
      <c r="E28" s="276" t="n">
        <v>87.3</v>
      </c>
      <c r="F28" s="276" t="n">
        <v>7.4</v>
      </c>
      <c r="G28" s="276" t="n">
        <v>5.3</v>
      </c>
      <c r="H28" s="276" t="n">
        <v>87.8</v>
      </c>
      <c r="I28" s="276" t="n">
        <v>6</v>
      </c>
      <c r="J28" s="276" t="n">
        <v>6.2</v>
      </c>
      <c r="K28" s="276" t="n">
        <v>89</v>
      </c>
      <c r="L28" s="276" t="n">
        <v>4.7</v>
      </c>
      <c r="M28" s="276" t="n">
        <v>6.3</v>
      </c>
    </row>
    <row r="29" ht="15" customHeight="1" s="227">
      <c r="A29" s="22" t="inlineStr">
        <is>
          <t>Whole Kingdom</t>
        </is>
      </c>
      <c r="B29" s="276" t="n">
        <v>85.3</v>
      </c>
      <c r="C29" s="276" t="n">
        <v>11.2</v>
      </c>
      <c r="D29" s="276" t="n">
        <v>3.5</v>
      </c>
      <c r="E29" s="276" t="n">
        <v>88.59999999999999</v>
      </c>
      <c r="F29" s="276" t="n">
        <v>7.9</v>
      </c>
      <c r="G29" s="276" t="n">
        <v>3.5</v>
      </c>
      <c r="H29" s="276" t="n">
        <v>89.7</v>
      </c>
      <c r="I29" s="276" t="n">
        <v>6.1</v>
      </c>
      <c r="J29" s="276" t="n">
        <v>4.2</v>
      </c>
      <c r="K29" s="276" t="n">
        <v>91.09999999999999</v>
      </c>
      <c r="L29" s="276" t="n">
        <v>4.5</v>
      </c>
      <c r="M29" s="276" t="n">
        <v>4.4</v>
      </c>
    </row>
    <row r="30" ht="14" customHeight="1" s="227">
      <c r="A30" s="28" t="inlineStr">
        <is>
          <t>- Urban Area</t>
        </is>
      </c>
      <c r="B30" s="276" t="n">
        <v>87.3</v>
      </c>
      <c r="C30" s="276" t="n">
        <v>8.800000000000001</v>
      </c>
      <c r="D30" s="276" t="n">
        <v>3.9</v>
      </c>
      <c r="E30" s="276" t="n">
        <v>90.40000000000001</v>
      </c>
      <c r="F30" s="276" t="n">
        <v>5.8</v>
      </c>
      <c r="G30" s="276" t="n">
        <v>3.7</v>
      </c>
      <c r="H30" s="276" t="n">
        <v>92.90000000000001</v>
      </c>
      <c r="I30" s="276" t="n">
        <v>4.2</v>
      </c>
      <c r="J30" s="276" t="n">
        <v>3</v>
      </c>
      <c r="K30" s="276" t="n">
        <v>95</v>
      </c>
      <c r="L30" s="276" t="n">
        <v>2.8</v>
      </c>
      <c r="M30" s="276" t="n">
        <v>2.2</v>
      </c>
    </row>
    <row r="31" ht="12.5" customHeight="1" s="227">
      <c r="A31" s="28" t="inlineStr">
        <is>
          <t>- Rural Area</t>
        </is>
      </c>
      <c r="B31" s="276" t="n">
        <v>84.90000000000001</v>
      </c>
      <c r="C31" s="276" t="n">
        <v>11.7</v>
      </c>
      <c r="D31" s="276" t="n">
        <v>3.4</v>
      </c>
      <c r="E31" s="276" t="n">
        <v>88.3</v>
      </c>
      <c r="F31" s="276" t="n">
        <v>8.300000000000001</v>
      </c>
      <c r="G31" s="276" t="n">
        <v>3.5</v>
      </c>
      <c r="H31" s="276" t="n">
        <v>89.09999999999999</v>
      </c>
      <c r="I31" s="276" t="n">
        <v>6.5</v>
      </c>
      <c r="J31" s="276" t="n">
        <v>4.4</v>
      </c>
      <c r="K31" s="276" t="n">
        <v>90.3</v>
      </c>
      <c r="L31" s="276" t="n">
        <v>4.9</v>
      </c>
      <c r="M31" s="276" t="n">
        <v>4.8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4.888889" customWidth="1" style="227" min="1" max="1"/>
    <col width="12.222222" customWidth="1" style="227" min="2" max="2"/>
    <col width="12" customWidth="1" style="227" min="3" max="3"/>
    <col width="11.555556" customWidth="1" style="227" min="4" max="4"/>
    <col width="12" customWidth="1" style="227" min="5" max="5"/>
    <col width="11.777778" customWidth="1" style="227" min="6" max="6"/>
    <col width="11.777778" customWidth="1" style="227" min="7" max="7"/>
    <col width="11.777778" customWidth="1" style="227" min="8" max="8"/>
    <col width="11.777778" customWidth="1" style="227" min="9" max="9"/>
    <col width="11.777778" customWidth="1" style="227" min="10" max="10"/>
    <col width="11.777778" customWidth="1" style="227" min="11" max="11"/>
    <col width="11.777778" customWidth="1" style="227" min="12" max="12"/>
    <col width="11.777778" customWidth="1" style="227" min="13" max="13"/>
  </cols>
  <sheetData>
    <row r="1" ht="31" customHeight="1" s="227">
      <c r="A1" s="2" t="inlineStr">
        <is>
          <t>Table 14: Student Flow Rates (Grade 5-8) for Both Sex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2" t="inlineStr">
        <is>
          <t>Grade 5</t>
        </is>
      </c>
      <c r="C2" s="269" t="n"/>
      <c r="D2" s="257" t="n"/>
      <c r="E2" s="92" t="inlineStr">
        <is>
          <t>Grade 6</t>
        </is>
      </c>
      <c r="F2" s="269" t="n"/>
      <c r="G2" s="257" t="n"/>
      <c r="H2" s="92" t="inlineStr">
        <is>
          <t>Grade 7</t>
        </is>
      </c>
      <c r="I2" s="269" t="n"/>
      <c r="J2" s="257" t="n"/>
      <c r="K2" s="92" t="inlineStr">
        <is>
          <t>Grade 8</t>
        </is>
      </c>
      <c r="L2" s="269" t="n"/>
      <c r="M2" s="257" t="n"/>
    </row>
    <row r="3" ht="18" customHeight="1" s="227">
      <c r="A3" s="258" t="n"/>
      <c r="B3" s="103" t="inlineStr">
        <is>
          <t>Promotion</t>
        </is>
      </c>
      <c r="C3" s="119" t="inlineStr">
        <is>
          <t>Repetition</t>
        </is>
      </c>
      <c r="D3" s="103" t="inlineStr">
        <is>
          <t>Dropout</t>
        </is>
      </c>
      <c r="E3" s="119" t="inlineStr">
        <is>
          <t>Promotion</t>
        </is>
      </c>
      <c r="F3" s="119" t="inlineStr">
        <is>
          <t>Repetition</t>
        </is>
      </c>
      <c r="G3" s="103" t="inlineStr">
        <is>
          <t>Dropout</t>
        </is>
      </c>
      <c r="H3" s="119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19" t="inlineStr">
        <is>
          <t>Promotion</t>
        </is>
      </c>
      <c r="L3" s="119" t="inlineStr">
        <is>
          <t>Repetition</t>
        </is>
      </c>
      <c r="M3" s="103" t="inlineStr">
        <is>
          <t>Dropout</t>
        </is>
      </c>
    </row>
    <row r="4" ht="14" customHeight="1" s="227">
      <c r="A4" s="28" t="inlineStr">
        <is>
          <t>Banteay Meanchey</t>
        </is>
      </c>
      <c r="B4" s="276" t="n">
        <v>95</v>
      </c>
      <c r="C4" s="276" t="n">
        <v>1.6</v>
      </c>
      <c r="D4" s="276" t="n">
        <v>3.4</v>
      </c>
      <c r="E4" s="276" t="n">
        <v>92.3</v>
      </c>
      <c r="F4" s="276" t="n">
        <v>1.3</v>
      </c>
      <c r="G4" s="276" t="n">
        <v>6.4</v>
      </c>
      <c r="H4" s="276" t="n">
        <v>80.40000000000001</v>
      </c>
      <c r="I4" s="276" t="n">
        <v>2.2</v>
      </c>
      <c r="J4" s="276" t="n">
        <v>17.3</v>
      </c>
      <c r="K4" s="276" t="n">
        <v>84.40000000000001</v>
      </c>
      <c r="L4" s="276" t="n">
        <v>1.6</v>
      </c>
      <c r="M4" s="276" t="n">
        <v>14</v>
      </c>
    </row>
    <row r="5" ht="14" customHeight="1" s="227">
      <c r="A5" s="28" t="inlineStr">
        <is>
          <t>Battambang</t>
        </is>
      </c>
      <c r="B5" s="276" t="n">
        <v>91</v>
      </c>
      <c r="C5" s="276" t="n">
        <v>2.7</v>
      </c>
      <c r="D5" s="276" t="n">
        <v>6.3</v>
      </c>
      <c r="E5" s="276" t="n">
        <v>89.09999999999999</v>
      </c>
      <c r="F5" s="276" t="n">
        <v>2.3</v>
      </c>
      <c r="G5" s="276" t="n">
        <v>8.6</v>
      </c>
      <c r="H5" s="276" t="n">
        <v>76.8</v>
      </c>
      <c r="I5" s="276" t="n">
        <v>3.3</v>
      </c>
      <c r="J5" s="276" t="n">
        <v>19.9</v>
      </c>
      <c r="K5" s="276" t="n">
        <v>81.3</v>
      </c>
      <c r="L5" s="276" t="n">
        <v>2.2</v>
      </c>
      <c r="M5" s="276" t="n">
        <v>16.5</v>
      </c>
    </row>
    <row r="6" ht="15" customHeight="1" s="227">
      <c r="A6" s="28" t="inlineStr">
        <is>
          <t>Kampong Cham</t>
        </is>
      </c>
      <c r="B6" s="276" t="n">
        <v>89.8</v>
      </c>
      <c r="C6" s="276" t="n">
        <v>5.8</v>
      </c>
      <c r="D6" s="276" t="n">
        <v>4.4</v>
      </c>
      <c r="E6" s="276" t="n">
        <v>91.2</v>
      </c>
      <c r="F6" s="276" t="n">
        <v>3.9</v>
      </c>
      <c r="G6" s="276" t="n">
        <v>4.9</v>
      </c>
      <c r="H6" s="276" t="n">
        <v>80.09999999999999</v>
      </c>
      <c r="I6" s="276" t="n">
        <v>3.3</v>
      </c>
      <c r="J6" s="276" t="n">
        <v>16.6</v>
      </c>
      <c r="K6" s="276" t="n">
        <v>82.09999999999999</v>
      </c>
      <c r="L6" s="276" t="n">
        <v>2.6</v>
      </c>
      <c r="M6" s="276" t="n">
        <v>15.2</v>
      </c>
    </row>
    <row r="7" ht="14" customHeight="1" s="227">
      <c r="A7" s="28" t="inlineStr">
        <is>
          <t>Kampong Chhnang</t>
        </is>
      </c>
      <c r="B7" s="276" t="n">
        <v>94.5</v>
      </c>
      <c r="C7" s="276" t="n">
        <v>2.8</v>
      </c>
      <c r="D7" s="276" t="n">
        <v>2.7</v>
      </c>
      <c r="E7" s="276" t="n">
        <v>94</v>
      </c>
      <c r="F7" s="276" t="n">
        <v>2</v>
      </c>
      <c r="G7" s="276" t="n">
        <v>4</v>
      </c>
      <c r="H7" s="276" t="n">
        <v>83.5</v>
      </c>
      <c r="I7" s="276" t="n">
        <v>2.4</v>
      </c>
      <c r="J7" s="276" t="n">
        <v>14.1</v>
      </c>
      <c r="K7" s="276" t="n">
        <v>83.3</v>
      </c>
      <c r="L7" s="276" t="n">
        <v>1.5</v>
      </c>
      <c r="M7" s="276" t="n">
        <v>15.1</v>
      </c>
    </row>
    <row r="8" ht="14" customHeight="1" s="227">
      <c r="A8" s="28" t="inlineStr">
        <is>
          <t>Kampong Speu</t>
        </is>
      </c>
      <c r="B8" s="276" t="n">
        <v>92.7</v>
      </c>
      <c r="C8" s="276" t="n">
        <v>2.4</v>
      </c>
      <c r="D8" s="276" t="n">
        <v>4.9</v>
      </c>
      <c r="E8" s="276" t="n">
        <v>93.40000000000001</v>
      </c>
      <c r="F8" s="276" t="n">
        <v>3.1</v>
      </c>
      <c r="G8" s="276" t="n">
        <v>3.5</v>
      </c>
      <c r="H8" s="276" t="n">
        <v>79.5</v>
      </c>
      <c r="I8" s="276" t="n">
        <v>1.3</v>
      </c>
      <c r="J8" s="276" t="n">
        <v>19.2</v>
      </c>
      <c r="K8" s="276" t="n">
        <v>80.59999999999999</v>
      </c>
      <c r="L8" s="276" t="n">
        <v>0.7</v>
      </c>
      <c r="M8" s="276" t="n">
        <v>18.6</v>
      </c>
    </row>
    <row r="9" ht="14" customHeight="1" s="227">
      <c r="A9" s="28" t="inlineStr">
        <is>
          <t>Kampong Thom</t>
        </is>
      </c>
      <c r="B9" s="276" t="n">
        <v>89.90000000000001</v>
      </c>
      <c r="C9" s="276" t="n">
        <v>3.7</v>
      </c>
      <c r="D9" s="276" t="n">
        <v>6.4</v>
      </c>
      <c r="E9" s="276" t="n">
        <v>92.2</v>
      </c>
      <c r="F9" s="276" t="n">
        <v>2.6</v>
      </c>
      <c r="G9" s="276" t="n">
        <v>5.3</v>
      </c>
      <c r="H9" s="276" t="n">
        <v>78.8</v>
      </c>
      <c r="I9" s="276" t="n">
        <v>3.5</v>
      </c>
      <c r="J9" s="276" t="n">
        <v>17.6</v>
      </c>
      <c r="K9" s="276" t="n">
        <v>85.59999999999999</v>
      </c>
      <c r="L9" s="276" t="n">
        <v>1.4</v>
      </c>
      <c r="M9" s="276" t="n">
        <v>13</v>
      </c>
    </row>
    <row r="10" ht="14" customHeight="1" s="227">
      <c r="A10" s="28" t="inlineStr">
        <is>
          <t>Kampot</t>
        </is>
      </c>
      <c r="B10" s="276" t="n">
        <v>92.2</v>
      </c>
      <c r="C10" s="276" t="n">
        <v>2.1</v>
      </c>
      <c r="D10" s="276" t="n">
        <v>5.7</v>
      </c>
      <c r="E10" s="276" t="n">
        <v>92.5</v>
      </c>
      <c r="F10" s="276" t="n">
        <v>1.7</v>
      </c>
      <c r="G10" s="276" t="n">
        <v>5.7</v>
      </c>
      <c r="H10" s="276" t="n">
        <v>80.40000000000001</v>
      </c>
      <c r="I10" s="276" t="n">
        <v>2.2</v>
      </c>
      <c r="J10" s="276" t="n">
        <v>17.3</v>
      </c>
      <c r="K10" s="276" t="n">
        <v>81.5</v>
      </c>
      <c r="L10" s="276" t="n">
        <v>1.4</v>
      </c>
      <c r="M10" s="276" t="n">
        <v>17.2</v>
      </c>
    </row>
    <row r="11" ht="14" customHeight="1" s="227">
      <c r="A11" s="28" t="inlineStr">
        <is>
          <t>Kandal</t>
        </is>
      </c>
      <c r="B11" s="276" t="n">
        <v>90.59999999999999</v>
      </c>
      <c r="C11" s="276" t="n">
        <v>5</v>
      </c>
      <c r="D11" s="276" t="n">
        <v>4.4</v>
      </c>
      <c r="E11" s="276" t="n">
        <v>92.8</v>
      </c>
      <c r="F11" s="276" t="n">
        <v>3.6</v>
      </c>
      <c r="G11" s="276" t="n">
        <v>3.5</v>
      </c>
      <c r="H11" s="276" t="n">
        <v>81.2</v>
      </c>
      <c r="I11" s="276" t="n">
        <v>3.3</v>
      </c>
      <c r="J11" s="276" t="n">
        <v>15.4</v>
      </c>
      <c r="K11" s="276" t="n">
        <v>84.40000000000001</v>
      </c>
      <c r="L11" s="276" t="n">
        <v>1.9</v>
      </c>
      <c r="M11" s="276" t="n">
        <v>13.7</v>
      </c>
    </row>
    <row r="12" ht="14" customHeight="1" s="227">
      <c r="A12" s="28" t="inlineStr">
        <is>
          <t>Kep</t>
        </is>
      </c>
      <c r="B12" s="276" t="n">
        <v>89.8</v>
      </c>
      <c r="C12" s="276" t="n">
        <v>2.3</v>
      </c>
      <c r="D12" s="276" t="n">
        <v>7.8</v>
      </c>
      <c r="E12" s="276" t="n">
        <v>86</v>
      </c>
      <c r="F12" s="276" t="n">
        <v>3.1</v>
      </c>
      <c r="G12" s="276" t="n">
        <v>10.8</v>
      </c>
      <c r="H12" s="276" t="n">
        <v>73.5</v>
      </c>
      <c r="I12" s="276" t="n">
        <v>4.3</v>
      </c>
      <c r="J12" s="276" t="n">
        <v>22.2</v>
      </c>
      <c r="K12" s="276" t="n">
        <v>78.5</v>
      </c>
      <c r="L12" s="276" t="n">
        <v>0.8</v>
      </c>
      <c r="M12" s="276" t="n">
        <v>20.6</v>
      </c>
    </row>
    <row r="13" ht="14" customHeight="1" s="227">
      <c r="A13" s="28" t="inlineStr">
        <is>
          <t>Koh Kong</t>
        </is>
      </c>
      <c r="B13" s="276" t="n">
        <v>98.7</v>
      </c>
      <c r="C13" s="276" t="n">
        <v>1.3</v>
      </c>
      <c r="D13" s="276" t="n">
        <v>0</v>
      </c>
      <c r="E13" s="276" t="n">
        <v>92.40000000000001</v>
      </c>
      <c r="F13" s="276" t="n">
        <v>0.8</v>
      </c>
      <c r="G13" s="276" t="n">
        <v>6.7</v>
      </c>
      <c r="H13" s="276" t="n">
        <v>84.59999999999999</v>
      </c>
      <c r="I13" s="276" t="n">
        <v>0.9</v>
      </c>
      <c r="J13" s="276" t="n">
        <v>14.5</v>
      </c>
      <c r="K13" s="276" t="n">
        <v>87.3</v>
      </c>
      <c r="L13" s="276" t="n">
        <v>0.9</v>
      </c>
      <c r="M13" s="276" t="n">
        <v>11.8</v>
      </c>
    </row>
    <row r="14" ht="14" customHeight="1" s="227">
      <c r="A14" s="28" t="inlineStr">
        <is>
          <t>Kratie</t>
        </is>
      </c>
      <c r="B14" s="276" t="n">
        <v>85.8</v>
      </c>
      <c r="C14" s="276" t="n">
        <v>4.6</v>
      </c>
      <c r="D14" s="276" t="n">
        <v>9.699999999999999</v>
      </c>
      <c r="E14" s="276" t="n">
        <v>84.7</v>
      </c>
      <c r="F14" s="276" t="n">
        <v>3</v>
      </c>
      <c r="G14" s="276" t="n">
        <v>12.3</v>
      </c>
      <c r="H14" s="276" t="n">
        <v>75.3</v>
      </c>
      <c r="I14" s="276" t="n">
        <v>2.4</v>
      </c>
      <c r="J14" s="276" t="n">
        <v>22.3</v>
      </c>
      <c r="K14" s="276" t="n">
        <v>79.8</v>
      </c>
      <c r="L14" s="276" t="n">
        <v>0.9</v>
      </c>
      <c r="M14" s="276" t="n">
        <v>19.3</v>
      </c>
    </row>
    <row r="15" ht="14" customHeight="1" s="227">
      <c r="A15" s="28" t="inlineStr">
        <is>
          <t>Mondul Kiri</t>
        </is>
      </c>
      <c r="B15" s="276" t="n">
        <v>87</v>
      </c>
      <c r="C15" s="276" t="n">
        <v>1.4</v>
      </c>
      <c r="D15" s="276" t="n">
        <v>11.6</v>
      </c>
      <c r="E15" s="276" t="n">
        <v>89.8</v>
      </c>
      <c r="F15" s="276" t="n">
        <v>1.5</v>
      </c>
      <c r="G15" s="276" t="n">
        <v>8.6</v>
      </c>
      <c r="H15" s="276" t="n">
        <v>79.3</v>
      </c>
      <c r="I15" s="276" t="n">
        <v>3.1</v>
      </c>
      <c r="J15" s="276" t="n">
        <v>17.6</v>
      </c>
      <c r="K15" s="276" t="n">
        <v>84.8</v>
      </c>
      <c r="L15" s="276" t="n">
        <v>2.8</v>
      </c>
      <c r="M15" s="276" t="n">
        <v>12.3</v>
      </c>
    </row>
    <row r="16" ht="14" customHeight="1" s="227">
      <c r="A16" s="28" t="inlineStr">
        <is>
          <t>Otdar Meanchey</t>
        </is>
      </c>
      <c r="B16" s="276" t="n">
        <v>89.3</v>
      </c>
      <c r="C16" s="276" t="n">
        <v>4.2</v>
      </c>
      <c r="D16" s="276" t="n">
        <v>6.5</v>
      </c>
      <c r="E16" s="276" t="n">
        <v>82.90000000000001</v>
      </c>
      <c r="F16" s="276" t="n">
        <v>2.2</v>
      </c>
      <c r="G16" s="276" t="n">
        <v>14.9</v>
      </c>
      <c r="H16" s="276" t="n">
        <v>79</v>
      </c>
      <c r="I16" s="276" t="n">
        <v>3.4</v>
      </c>
      <c r="J16" s="276" t="n">
        <v>17.5</v>
      </c>
      <c r="K16" s="276" t="n">
        <v>84.09999999999999</v>
      </c>
      <c r="L16" s="276" t="n">
        <v>1.7</v>
      </c>
      <c r="M16" s="276" t="n">
        <v>14.2</v>
      </c>
    </row>
    <row r="17" ht="14" customHeight="1" s="227">
      <c r="A17" s="28" t="inlineStr">
        <is>
          <t>Pailin</t>
        </is>
      </c>
      <c r="B17" s="276" t="n">
        <v>89.3</v>
      </c>
      <c r="C17" s="276" t="n">
        <v>3.3</v>
      </c>
      <c r="D17" s="276" t="n">
        <v>7.4</v>
      </c>
      <c r="E17" s="276" t="n">
        <v>92.90000000000001</v>
      </c>
      <c r="F17" s="276" t="n">
        <v>0.8</v>
      </c>
      <c r="G17" s="276" t="n">
        <v>6.4</v>
      </c>
      <c r="H17" s="276" t="n">
        <v>75.2</v>
      </c>
      <c r="I17" s="276" t="n">
        <v>7.3</v>
      </c>
      <c r="J17" s="276" t="n">
        <v>17.5</v>
      </c>
      <c r="K17" s="276" t="n">
        <v>85.3</v>
      </c>
      <c r="L17" s="276" t="n">
        <v>3.4</v>
      </c>
      <c r="M17" s="276" t="n">
        <v>11.3</v>
      </c>
    </row>
    <row r="18" ht="14" customHeight="1" s="227">
      <c r="A18" s="28" t="inlineStr">
        <is>
          <t>Phnom Penh</t>
        </is>
      </c>
      <c r="B18" s="276" t="n">
        <v>95</v>
      </c>
      <c r="C18" s="276" t="n">
        <v>1.8</v>
      </c>
      <c r="D18" s="276" t="n">
        <v>3.2</v>
      </c>
      <c r="E18" s="276" t="n">
        <v>94.2</v>
      </c>
      <c r="F18" s="276" t="n">
        <v>0.8</v>
      </c>
      <c r="G18" s="276" t="n">
        <v>5</v>
      </c>
      <c r="H18" s="276" t="n">
        <v>85.09999999999999</v>
      </c>
      <c r="I18" s="276" t="n">
        <v>3.2</v>
      </c>
      <c r="J18" s="276" t="n">
        <v>11.7</v>
      </c>
      <c r="K18" s="276" t="n">
        <v>92.8</v>
      </c>
      <c r="L18" s="276" t="n">
        <v>2.3</v>
      </c>
      <c r="M18" s="276" t="n">
        <v>4.9</v>
      </c>
    </row>
    <row r="19" ht="14" customHeight="1" s="227">
      <c r="A19" s="28" t="inlineStr">
        <is>
          <t>Preah Sihanouk</t>
        </is>
      </c>
      <c r="B19" s="276" t="n">
        <v>95.59999999999999</v>
      </c>
      <c r="C19" s="276" t="n">
        <v>1.7</v>
      </c>
      <c r="D19" s="276" t="n">
        <v>2.7</v>
      </c>
      <c r="E19" s="276" t="n">
        <v>87.09999999999999</v>
      </c>
      <c r="F19" s="276" t="n">
        <v>1.7</v>
      </c>
      <c r="G19" s="276" t="n">
        <v>11.2</v>
      </c>
      <c r="H19" s="276" t="n">
        <v>71.5</v>
      </c>
      <c r="I19" s="276" t="n">
        <v>5.2</v>
      </c>
      <c r="J19" s="276" t="n">
        <v>23.2</v>
      </c>
      <c r="K19" s="276" t="n">
        <v>81.8</v>
      </c>
      <c r="L19" s="276" t="n">
        <v>1.7</v>
      </c>
      <c r="M19" s="276" t="n">
        <v>16.5</v>
      </c>
    </row>
    <row r="20" ht="14" customHeight="1" s="227">
      <c r="A20" s="28" t="inlineStr">
        <is>
          <t>Preah Vihear</t>
        </is>
      </c>
      <c r="B20" s="276" t="n">
        <v>87.90000000000001</v>
      </c>
      <c r="C20" s="276" t="n">
        <v>2.8</v>
      </c>
      <c r="D20" s="276" t="n">
        <v>9.300000000000001</v>
      </c>
      <c r="E20" s="276" t="n">
        <v>89</v>
      </c>
      <c r="F20" s="276" t="n">
        <v>1.8</v>
      </c>
      <c r="G20" s="276" t="n">
        <v>9.199999999999999</v>
      </c>
      <c r="H20" s="276" t="n">
        <v>82</v>
      </c>
      <c r="I20" s="276" t="n">
        <v>1.6</v>
      </c>
      <c r="J20" s="276" t="n">
        <v>16.4</v>
      </c>
      <c r="K20" s="276" t="n">
        <v>88.40000000000001</v>
      </c>
      <c r="L20" s="276" t="n">
        <v>1</v>
      </c>
      <c r="M20" s="276" t="n">
        <v>10.6</v>
      </c>
    </row>
    <row r="21" ht="14" customHeight="1" s="227">
      <c r="A21" s="28" t="inlineStr">
        <is>
          <t>Prey Veng</t>
        </is>
      </c>
      <c r="B21" s="276" t="n">
        <v>92.3</v>
      </c>
      <c r="C21" s="276" t="n">
        <v>4.4</v>
      </c>
      <c r="D21" s="276" t="n">
        <v>3.3</v>
      </c>
      <c r="E21" s="276" t="n">
        <v>94</v>
      </c>
      <c r="F21" s="276" t="n">
        <v>3.1</v>
      </c>
      <c r="G21" s="276" t="n">
        <v>2.9</v>
      </c>
      <c r="H21" s="276" t="n">
        <v>83.09999999999999</v>
      </c>
      <c r="I21" s="276" t="n">
        <v>0.8</v>
      </c>
      <c r="J21" s="276" t="n">
        <v>16.1</v>
      </c>
      <c r="K21" s="276" t="n">
        <v>82.90000000000001</v>
      </c>
      <c r="L21" s="276" t="n">
        <v>0.4</v>
      </c>
      <c r="M21" s="276" t="n">
        <v>16.7</v>
      </c>
    </row>
    <row r="22" ht="14" customHeight="1" s="227">
      <c r="A22" s="28" t="inlineStr">
        <is>
          <t>Pursat</t>
        </is>
      </c>
      <c r="B22" s="276" t="n">
        <v>91.8</v>
      </c>
      <c r="C22" s="276" t="n">
        <v>3.8</v>
      </c>
      <c r="D22" s="276" t="n">
        <v>4.4</v>
      </c>
      <c r="E22" s="276" t="n">
        <v>90.90000000000001</v>
      </c>
      <c r="F22" s="276" t="n">
        <v>2.6</v>
      </c>
      <c r="G22" s="276" t="n">
        <v>6.6</v>
      </c>
      <c r="H22" s="276" t="n">
        <v>80.59999999999999</v>
      </c>
      <c r="I22" s="276" t="n">
        <v>1.9</v>
      </c>
      <c r="J22" s="276" t="n">
        <v>17.5</v>
      </c>
      <c r="K22" s="276" t="n">
        <v>82.59999999999999</v>
      </c>
      <c r="L22" s="276" t="n">
        <v>1.3</v>
      </c>
      <c r="M22" s="276" t="n">
        <v>16.2</v>
      </c>
    </row>
    <row r="23" ht="14" customHeight="1" s="227">
      <c r="A23" s="28" t="inlineStr">
        <is>
          <t>Ratanak Kiri</t>
        </is>
      </c>
      <c r="B23" s="276" t="n">
        <v>83.40000000000001</v>
      </c>
      <c r="C23" s="276" t="n">
        <v>2.5</v>
      </c>
      <c r="D23" s="276" t="n">
        <v>14.1</v>
      </c>
      <c r="E23" s="276" t="n">
        <v>84.3</v>
      </c>
      <c r="F23" s="276" t="n">
        <v>1.2</v>
      </c>
      <c r="G23" s="276" t="n">
        <v>14.4</v>
      </c>
      <c r="H23" s="276" t="n">
        <v>79.8</v>
      </c>
      <c r="I23" s="276" t="n">
        <v>0.7</v>
      </c>
      <c r="J23" s="276" t="n">
        <v>19.5</v>
      </c>
      <c r="K23" s="276" t="n">
        <v>98.5</v>
      </c>
      <c r="L23" s="276" t="n">
        <v>0.6</v>
      </c>
      <c r="M23" s="276" t="n">
        <v>1</v>
      </c>
    </row>
    <row r="24" ht="14" customHeight="1" s="227">
      <c r="A24" s="28" t="inlineStr">
        <is>
          <t>Siemreap</t>
        </is>
      </c>
      <c r="B24" s="276" t="n">
        <v>91.40000000000001</v>
      </c>
      <c r="C24" s="276" t="n">
        <v>3.6</v>
      </c>
      <c r="D24" s="276" t="n">
        <v>5</v>
      </c>
      <c r="E24" s="276" t="n">
        <v>88.59999999999999</v>
      </c>
      <c r="F24" s="276" t="n">
        <v>2.7</v>
      </c>
      <c r="G24" s="276" t="n">
        <v>8.699999999999999</v>
      </c>
      <c r="H24" s="276" t="n">
        <v>80</v>
      </c>
      <c r="I24" s="276" t="n">
        <v>4.6</v>
      </c>
      <c r="J24" s="276" t="n">
        <v>15.4</v>
      </c>
      <c r="K24" s="276" t="n">
        <v>86.2</v>
      </c>
      <c r="L24" s="276" t="n">
        <v>2.9</v>
      </c>
      <c r="M24" s="276" t="n">
        <v>10.9</v>
      </c>
    </row>
    <row r="25" ht="14" customHeight="1" s="227">
      <c r="A25" s="28" t="inlineStr">
        <is>
          <t>Stung Treng</t>
        </is>
      </c>
      <c r="B25" s="276" t="n">
        <v>82.09999999999999</v>
      </c>
      <c r="C25" s="276" t="n">
        <v>4.2</v>
      </c>
      <c r="D25" s="276" t="n">
        <v>13.7</v>
      </c>
      <c r="E25" s="276" t="n">
        <v>74.7</v>
      </c>
      <c r="F25" s="276" t="n">
        <v>2.6</v>
      </c>
      <c r="G25" s="276" t="n">
        <v>22.6</v>
      </c>
      <c r="H25" s="276" t="n">
        <v>80.8</v>
      </c>
      <c r="I25" s="276" t="n">
        <v>0.7</v>
      </c>
      <c r="J25" s="276" t="n">
        <v>18.4</v>
      </c>
      <c r="K25" s="276" t="n">
        <v>87.90000000000001</v>
      </c>
      <c r="L25" s="276" t="n">
        <v>0.4</v>
      </c>
      <c r="M25" s="276" t="n">
        <v>11.7</v>
      </c>
    </row>
    <row r="26" ht="14" customHeight="1" s="227">
      <c r="A26" s="28" t="inlineStr">
        <is>
          <t>Svay Rieng</t>
        </is>
      </c>
      <c r="B26" s="276" t="n">
        <v>95.40000000000001</v>
      </c>
      <c r="C26" s="276" t="n">
        <v>2.1</v>
      </c>
      <c r="D26" s="276" t="n">
        <v>2.6</v>
      </c>
      <c r="E26" s="276" t="n">
        <v>96.3</v>
      </c>
      <c r="F26" s="276" t="n">
        <v>1.6</v>
      </c>
      <c r="G26" s="276" t="n">
        <v>2.1</v>
      </c>
      <c r="H26" s="276" t="n">
        <v>77.2</v>
      </c>
      <c r="I26" s="276" t="n">
        <v>2.3</v>
      </c>
      <c r="J26" s="276" t="n">
        <v>20.5</v>
      </c>
      <c r="K26" s="276" t="n">
        <v>83.5</v>
      </c>
      <c r="L26" s="276" t="n">
        <v>1.8</v>
      </c>
      <c r="M26" s="276" t="n">
        <v>14.7</v>
      </c>
    </row>
    <row r="27" ht="14" customHeight="1" s="227">
      <c r="A27" s="28" t="inlineStr">
        <is>
          <t>Takeo</t>
        </is>
      </c>
      <c r="B27" s="276" t="n">
        <v>93.2</v>
      </c>
      <c r="C27" s="276" t="n">
        <v>4.1</v>
      </c>
      <c r="D27" s="276" t="n">
        <v>2.6</v>
      </c>
      <c r="E27" s="276" t="n">
        <v>92.09999999999999</v>
      </c>
      <c r="F27" s="276" t="n">
        <v>3.4</v>
      </c>
      <c r="G27" s="276" t="n">
        <v>4.5</v>
      </c>
      <c r="H27" s="276" t="n">
        <v>86</v>
      </c>
      <c r="I27" s="276" t="n">
        <v>2.5</v>
      </c>
      <c r="J27" s="276" t="n">
        <v>11.5</v>
      </c>
      <c r="K27" s="276" t="n">
        <v>85.8</v>
      </c>
      <c r="L27" s="276" t="n">
        <v>2</v>
      </c>
      <c r="M27" s="276" t="n">
        <v>12.2</v>
      </c>
    </row>
    <row r="28" ht="14" customHeight="1" s="227">
      <c r="A28" s="28" t="inlineStr">
        <is>
          <t>Tbaung Khmum</t>
        </is>
      </c>
      <c r="B28" s="276" t="n">
        <v>89.40000000000001</v>
      </c>
      <c r="C28" s="276" t="n">
        <v>3.4</v>
      </c>
      <c r="D28" s="276" t="n">
        <v>7.3</v>
      </c>
      <c r="E28" s="276" t="n">
        <v>89.40000000000001</v>
      </c>
      <c r="F28" s="276" t="n">
        <v>2.7</v>
      </c>
      <c r="G28" s="276" t="n">
        <v>7.9</v>
      </c>
      <c r="H28" s="276" t="n">
        <v>75.3</v>
      </c>
      <c r="I28" s="276" t="n">
        <v>3.2</v>
      </c>
      <c r="J28" s="276" t="n">
        <v>21.6</v>
      </c>
      <c r="K28" s="276" t="n">
        <v>81</v>
      </c>
      <c r="L28" s="276" t="n">
        <v>1.9</v>
      </c>
      <c r="M28" s="276" t="n">
        <v>17.1</v>
      </c>
    </row>
    <row r="29" ht="15" customHeight="1" s="227">
      <c r="A29" s="22" t="inlineStr">
        <is>
          <t>Whole Kingdom</t>
        </is>
      </c>
      <c r="B29" s="276" t="n">
        <v>91.59999999999999</v>
      </c>
      <c r="C29" s="276" t="n">
        <v>3.4</v>
      </c>
      <c r="D29" s="276" t="n">
        <v>5</v>
      </c>
      <c r="E29" s="276" t="n">
        <v>91.3</v>
      </c>
      <c r="F29" s="276" t="n">
        <v>2.5</v>
      </c>
      <c r="G29" s="276" t="n">
        <v>6.2</v>
      </c>
      <c r="H29" s="276" t="n">
        <v>80.5</v>
      </c>
      <c r="I29" s="276" t="n">
        <v>2.7</v>
      </c>
      <c r="J29" s="276" t="n">
        <v>16.8</v>
      </c>
      <c r="K29" s="276" t="n">
        <v>84.3</v>
      </c>
      <c r="L29" s="276" t="n">
        <v>1.7</v>
      </c>
      <c r="M29" s="276" t="n">
        <v>13.9</v>
      </c>
    </row>
    <row r="30" ht="14" customHeight="1" s="227">
      <c r="A30" s="28" t="inlineStr">
        <is>
          <t>- Urban Area</t>
        </is>
      </c>
      <c r="B30" s="276" t="n">
        <v>94.2</v>
      </c>
      <c r="C30" s="276" t="n">
        <v>2.1</v>
      </c>
      <c r="D30" s="276" t="n">
        <v>3.7</v>
      </c>
      <c r="E30" s="276" t="n">
        <v>92.59999999999999</v>
      </c>
      <c r="F30" s="276" t="n">
        <v>1.1</v>
      </c>
      <c r="G30" s="276" t="n">
        <v>6.3</v>
      </c>
      <c r="H30" s="276" t="n">
        <v>82.3</v>
      </c>
      <c r="I30" s="276" t="n">
        <v>3.7</v>
      </c>
      <c r="J30" s="276" t="n">
        <v>14.1</v>
      </c>
      <c r="K30" s="276" t="n">
        <v>91</v>
      </c>
      <c r="L30" s="276" t="n">
        <v>2.2</v>
      </c>
      <c r="M30" s="276" t="n">
        <v>6.8</v>
      </c>
    </row>
    <row r="31" ht="12.5" customHeight="1" s="227">
      <c r="A31" s="28" t="inlineStr">
        <is>
          <t>- Rural Area</t>
        </is>
      </c>
      <c r="B31" s="276" t="n">
        <v>91.09999999999999</v>
      </c>
      <c r="C31" s="276" t="n">
        <v>3.6</v>
      </c>
      <c r="D31" s="276" t="n">
        <v>5.3</v>
      </c>
      <c r="E31" s="276" t="n">
        <v>91</v>
      </c>
      <c r="F31" s="276" t="n">
        <v>2.8</v>
      </c>
      <c r="G31" s="276" t="n">
        <v>6.2</v>
      </c>
      <c r="H31" s="276" t="n">
        <v>80</v>
      </c>
      <c r="I31" s="276" t="n">
        <v>2.5</v>
      </c>
      <c r="J31" s="276" t="n">
        <v>17.4</v>
      </c>
      <c r="K31" s="276" t="n">
        <v>82.8</v>
      </c>
      <c r="L31" s="276" t="n">
        <v>1.6</v>
      </c>
      <c r="M31" s="276" t="n">
        <v>15.6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4.222222" customWidth="1" style="227" min="1" max="1"/>
    <col width="11.777778" customWidth="1" style="227" min="2" max="2"/>
    <col width="12" customWidth="1" style="227" min="3" max="3"/>
    <col width="12" customWidth="1" style="227" min="4" max="4"/>
    <col width="11.777778" customWidth="1" style="227" min="5" max="5"/>
    <col width="12" customWidth="1" style="227" min="6" max="6"/>
    <col width="11.777778" customWidth="1" style="227" min="7" max="7"/>
    <col width="12" customWidth="1" style="227" min="8" max="8"/>
    <col width="12" customWidth="1" style="227" min="9" max="9"/>
    <col width="11.777778" customWidth="1" style="227" min="10" max="10"/>
    <col width="12" customWidth="1" style="227" min="11" max="11"/>
    <col width="11.777778" customWidth="1" style="227" min="12" max="12"/>
    <col width="12" customWidth="1" style="227" min="13" max="13"/>
  </cols>
  <sheetData>
    <row r="1" ht="31" customHeight="1" s="227">
      <c r="A1" s="2" t="inlineStr">
        <is>
          <t>Table 15: Student Flow Rates (Grade 9-12) for Both Sex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2" t="inlineStr">
        <is>
          <t>Grade 9</t>
        </is>
      </c>
      <c r="C2" s="269" t="n"/>
      <c r="D2" s="257" t="n"/>
      <c r="E2" s="92" t="inlineStr">
        <is>
          <t>Grade 10</t>
        </is>
      </c>
      <c r="F2" s="269" t="n"/>
      <c r="G2" s="257" t="n"/>
      <c r="H2" s="92" t="inlineStr">
        <is>
          <t>Grade 11</t>
        </is>
      </c>
      <c r="I2" s="269" t="n"/>
      <c r="J2" s="257" t="n"/>
      <c r="K2" s="92" t="inlineStr">
        <is>
          <t>Grade 12</t>
        </is>
      </c>
      <c r="L2" s="269" t="n"/>
      <c r="M2" s="257" t="n"/>
    </row>
    <row r="3" ht="18" customHeight="1" s="227">
      <c r="A3" s="258" t="n"/>
      <c r="B3" s="103" t="inlineStr">
        <is>
          <t>Promotion</t>
        </is>
      </c>
      <c r="C3" s="119" t="inlineStr">
        <is>
          <t>Repetition</t>
        </is>
      </c>
      <c r="D3" s="103" t="inlineStr">
        <is>
          <t>Dropout</t>
        </is>
      </c>
      <c r="E3" s="119" t="inlineStr">
        <is>
          <t>Promotion</t>
        </is>
      </c>
      <c r="F3" s="119" t="inlineStr">
        <is>
          <t>Repetition</t>
        </is>
      </c>
      <c r="G3" s="103" t="inlineStr">
        <is>
          <t>Dropout</t>
        </is>
      </c>
      <c r="H3" s="103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19" t="inlineStr">
        <is>
          <t>Promotion</t>
        </is>
      </c>
      <c r="L3" s="103" t="inlineStr">
        <is>
          <t>Repetition</t>
        </is>
      </c>
      <c r="M3" s="103" t="inlineStr">
        <is>
          <t>Dropout</t>
        </is>
      </c>
    </row>
    <row r="4" ht="14" customHeight="1" s="227">
      <c r="A4" s="28" t="inlineStr">
        <is>
          <t>Banteay Meanchey</t>
        </is>
      </c>
      <c r="B4" s="276" t="n">
        <v>78.7</v>
      </c>
      <c r="C4" s="276" t="n">
        <v>2.8</v>
      </c>
      <c r="D4" s="276" t="n">
        <v>18.4</v>
      </c>
      <c r="E4" s="276" t="n">
        <v>85.59999999999999</v>
      </c>
      <c r="F4" s="276" t="n">
        <v>0.6</v>
      </c>
      <c r="G4" s="276" t="n">
        <v>13.8</v>
      </c>
      <c r="H4" s="291" t="n">
        <v>89.7</v>
      </c>
      <c r="I4" s="276" t="n">
        <v>0.7</v>
      </c>
      <c r="J4" s="276" t="n">
        <v>9.6</v>
      </c>
      <c r="K4" s="276" t="n">
        <v>54.9</v>
      </c>
      <c r="L4" s="276" t="n">
        <v>5.5</v>
      </c>
      <c r="M4" s="276" t="n">
        <v>39.7</v>
      </c>
    </row>
    <row r="5" ht="14" customHeight="1" s="227">
      <c r="A5" s="28" t="inlineStr">
        <is>
          <t>Battambang</t>
        </is>
      </c>
      <c r="B5" s="276" t="n">
        <v>78.7</v>
      </c>
      <c r="C5" s="276" t="n">
        <v>4.3</v>
      </c>
      <c r="D5" s="276" t="n">
        <v>17</v>
      </c>
      <c r="E5" s="276" t="n">
        <v>82.40000000000001</v>
      </c>
      <c r="F5" s="276" t="n">
        <v>1.2</v>
      </c>
      <c r="G5" s="276" t="n">
        <v>16.4</v>
      </c>
      <c r="H5" s="291" t="n">
        <v>87.5</v>
      </c>
      <c r="I5" s="276" t="n">
        <v>1.2</v>
      </c>
      <c r="J5" s="276" t="n">
        <v>11.3</v>
      </c>
      <c r="K5" s="276" t="n">
        <v>66.09999999999999</v>
      </c>
      <c r="L5" s="276" t="n">
        <v>4.6</v>
      </c>
      <c r="M5" s="276" t="n">
        <v>29.3</v>
      </c>
    </row>
    <row r="6" ht="15" customHeight="1" s="227">
      <c r="A6" s="28" t="inlineStr">
        <is>
          <t>Kampong Cham</t>
        </is>
      </c>
      <c r="B6" s="276" t="n">
        <v>79.5</v>
      </c>
      <c r="C6" s="276" t="n">
        <v>3.3</v>
      </c>
      <c r="D6" s="276" t="n">
        <v>17.2</v>
      </c>
      <c r="E6" s="276" t="n">
        <v>80</v>
      </c>
      <c r="F6" s="276" t="n">
        <v>2</v>
      </c>
      <c r="G6" s="276" t="n">
        <v>18.1</v>
      </c>
      <c r="H6" s="291" t="n">
        <v>89.90000000000001</v>
      </c>
      <c r="I6" s="276" t="n">
        <v>0.6</v>
      </c>
      <c r="J6" s="276" t="n">
        <v>9.5</v>
      </c>
      <c r="K6" s="276" t="n">
        <v>56.6</v>
      </c>
      <c r="L6" s="276" t="n">
        <v>5.3</v>
      </c>
      <c r="M6" s="276" t="n">
        <v>38.1</v>
      </c>
    </row>
    <row r="7" ht="14" customHeight="1" s="227">
      <c r="A7" s="28" t="inlineStr">
        <is>
          <t>Kampong Chhnang</t>
        </is>
      </c>
      <c r="B7" s="276" t="n">
        <v>82</v>
      </c>
      <c r="C7" s="276" t="n">
        <v>2.3</v>
      </c>
      <c r="D7" s="276" t="n">
        <v>15.7</v>
      </c>
      <c r="E7" s="276" t="n">
        <v>81.90000000000001</v>
      </c>
      <c r="F7" s="276" t="n">
        <v>0.8</v>
      </c>
      <c r="G7" s="276" t="n">
        <v>17.3</v>
      </c>
      <c r="H7" s="291" t="n">
        <v>89.2</v>
      </c>
      <c r="I7" s="276" t="n">
        <v>0.6</v>
      </c>
      <c r="J7" s="276" t="n">
        <v>10.2</v>
      </c>
      <c r="K7" s="276" t="n">
        <v>60.2</v>
      </c>
      <c r="L7" s="276" t="n">
        <v>5.2</v>
      </c>
      <c r="M7" s="276" t="n">
        <v>34.6</v>
      </c>
    </row>
    <row r="8" ht="14" customHeight="1" s="227">
      <c r="A8" s="28" t="inlineStr">
        <is>
          <t>Kampong Speu</t>
        </is>
      </c>
      <c r="B8" s="276" t="n">
        <v>75.09999999999999</v>
      </c>
      <c r="C8" s="276" t="n">
        <v>2.2</v>
      </c>
      <c r="D8" s="276" t="n">
        <v>22.7</v>
      </c>
      <c r="E8" s="276" t="n">
        <v>79.40000000000001</v>
      </c>
      <c r="F8" s="276" t="n">
        <v>0.3</v>
      </c>
      <c r="G8" s="276" t="n">
        <v>20.3</v>
      </c>
      <c r="H8" s="291" t="n">
        <v>89.40000000000001</v>
      </c>
      <c r="I8" s="276" t="n">
        <v>0.2</v>
      </c>
      <c r="J8" s="276" t="n">
        <v>10.4</v>
      </c>
      <c r="K8" s="276" t="n">
        <v>84.40000000000001</v>
      </c>
      <c r="L8" s="276" t="n">
        <v>1.9</v>
      </c>
      <c r="M8" s="276" t="n">
        <v>13.7</v>
      </c>
    </row>
    <row r="9" ht="14" customHeight="1" s="227">
      <c r="A9" s="28" t="inlineStr">
        <is>
          <t>Kampong Thom</t>
        </is>
      </c>
      <c r="B9" s="276" t="n">
        <v>83.90000000000001</v>
      </c>
      <c r="C9" s="276" t="n">
        <v>3.3</v>
      </c>
      <c r="D9" s="276" t="n">
        <v>12.9</v>
      </c>
      <c r="E9" s="276" t="n">
        <v>86.59999999999999</v>
      </c>
      <c r="F9" s="276" t="n">
        <v>0.6</v>
      </c>
      <c r="G9" s="276" t="n">
        <v>12.8</v>
      </c>
      <c r="H9" s="291" t="n">
        <v>93.3</v>
      </c>
      <c r="I9" s="276" t="n">
        <v>0.7</v>
      </c>
      <c r="J9" s="276" t="n">
        <v>6</v>
      </c>
      <c r="K9" s="276" t="n">
        <v>73.8</v>
      </c>
      <c r="L9" s="276" t="n">
        <v>2.2</v>
      </c>
      <c r="M9" s="276" t="n">
        <v>23.9</v>
      </c>
    </row>
    <row r="10" ht="14" customHeight="1" s="227">
      <c r="A10" s="28" t="inlineStr">
        <is>
          <t>Kampot</t>
        </is>
      </c>
      <c r="B10" s="276" t="n">
        <v>79.40000000000001</v>
      </c>
      <c r="C10" s="276" t="n">
        <v>3.5</v>
      </c>
      <c r="D10" s="276" t="n">
        <v>17.1</v>
      </c>
      <c r="E10" s="276" t="n">
        <v>81</v>
      </c>
      <c r="F10" s="276" t="n">
        <v>1.1</v>
      </c>
      <c r="G10" s="276" t="n">
        <v>17.8</v>
      </c>
      <c r="H10" s="291" t="n">
        <v>90.3</v>
      </c>
      <c r="I10" s="276" t="n">
        <v>0.7</v>
      </c>
      <c r="J10" s="276" t="n">
        <v>9</v>
      </c>
      <c r="K10" s="276" t="n">
        <v>77.40000000000001</v>
      </c>
      <c r="L10" s="276" t="n">
        <v>2.1</v>
      </c>
      <c r="M10" s="276" t="n">
        <v>20.5</v>
      </c>
    </row>
    <row r="11" ht="14" customHeight="1" s="227">
      <c r="A11" s="28" t="inlineStr">
        <is>
          <t>Kandal</t>
        </is>
      </c>
      <c r="B11" s="276" t="n">
        <v>81.90000000000001</v>
      </c>
      <c r="C11" s="276" t="n">
        <v>2.6</v>
      </c>
      <c r="D11" s="276" t="n">
        <v>15.5</v>
      </c>
      <c r="E11" s="276" t="n">
        <v>86</v>
      </c>
      <c r="F11" s="276" t="n">
        <v>1.1</v>
      </c>
      <c r="G11" s="276" t="n">
        <v>12.9</v>
      </c>
      <c r="H11" s="291" t="n">
        <v>92.8</v>
      </c>
      <c r="I11" s="276" t="n">
        <v>0.8</v>
      </c>
      <c r="J11" s="276" t="n">
        <v>6.4</v>
      </c>
      <c r="K11" s="276" t="n">
        <v>66.90000000000001</v>
      </c>
      <c r="L11" s="276" t="n">
        <v>5.7</v>
      </c>
      <c r="M11" s="276" t="n">
        <v>27.4</v>
      </c>
    </row>
    <row r="12" ht="14" customHeight="1" s="227">
      <c r="A12" s="28" t="inlineStr">
        <is>
          <t>Kep</t>
        </is>
      </c>
      <c r="B12" s="276" t="n">
        <v>78.59999999999999</v>
      </c>
      <c r="C12" s="276" t="n">
        <v>3.4</v>
      </c>
      <c r="D12" s="276" t="n">
        <v>17.9</v>
      </c>
      <c r="E12" s="276" t="n">
        <v>88.90000000000001</v>
      </c>
      <c r="F12" s="276" t="n">
        <v>1.7</v>
      </c>
      <c r="G12" s="276" t="n">
        <v>9.5</v>
      </c>
      <c r="H12" s="291" t="n">
        <v>91.2</v>
      </c>
      <c r="I12" s="276" t="n">
        <v>0.3</v>
      </c>
      <c r="J12" s="276" t="n">
        <v>8.5</v>
      </c>
      <c r="K12" s="276" t="n">
        <v>94.5</v>
      </c>
      <c r="L12" s="276" t="n">
        <v>0.8</v>
      </c>
      <c r="M12" s="276" t="n">
        <v>4.7</v>
      </c>
    </row>
    <row r="13" ht="14" customHeight="1" s="227">
      <c r="A13" s="28" t="inlineStr">
        <is>
          <t>Koh Kong</t>
        </is>
      </c>
      <c r="B13" s="276" t="n">
        <v>76</v>
      </c>
      <c r="C13" s="276" t="n">
        <v>3.9</v>
      </c>
      <c r="D13" s="276" t="n">
        <v>20.2</v>
      </c>
      <c r="E13" s="276" t="n">
        <v>85.09999999999999</v>
      </c>
      <c r="F13" s="276" t="n">
        <v>0.5</v>
      </c>
      <c r="G13" s="276" t="n">
        <v>14.4</v>
      </c>
      <c r="H13" s="291" t="n">
        <v>95.40000000000001</v>
      </c>
      <c r="I13" s="276" t="n">
        <v>0.1</v>
      </c>
      <c r="J13" s="276" t="n">
        <v>4.4</v>
      </c>
      <c r="K13" s="276" t="n">
        <v>27.4</v>
      </c>
      <c r="L13" s="276" t="n">
        <v>2.1</v>
      </c>
      <c r="M13" s="276" t="n">
        <v>70.5</v>
      </c>
    </row>
    <row r="14" ht="14" customHeight="1" s="227">
      <c r="A14" s="28" t="inlineStr">
        <is>
          <t>Kratie</t>
        </is>
      </c>
      <c r="B14" s="276" t="n">
        <v>76.2</v>
      </c>
      <c r="C14" s="276" t="n">
        <v>2.6</v>
      </c>
      <c r="D14" s="276" t="n">
        <v>21.2</v>
      </c>
      <c r="E14" s="276" t="n">
        <v>85.40000000000001</v>
      </c>
      <c r="F14" s="276" t="n">
        <v>0.9</v>
      </c>
      <c r="G14" s="276" t="n">
        <v>13.7</v>
      </c>
      <c r="H14" s="291" t="n">
        <v>90.90000000000001</v>
      </c>
      <c r="I14" s="276" t="n">
        <v>0.6</v>
      </c>
      <c r="J14" s="276" t="n">
        <v>8.5</v>
      </c>
      <c r="K14" s="276" t="n">
        <v>49.7</v>
      </c>
      <c r="L14" s="276" t="n">
        <v>4.6</v>
      </c>
      <c r="M14" s="276" t="n">
        <v>45.6</v>
      </c>
    </row>
    <row r="15" ht="14" customHeight="1" s="227">
      <c r="A15" s="28" t="inlineStr">
        <is>
          <t>Mondul Kiri</t>
        </is>
      </c>
      <c r="B15" s="276" t="n">
        <v>84</v>
      </c>
      <c r="C15" s="276" t="n">
        <v>3.7</v>
      </c>
      <c r="D15" s="276" t="n">
        <v>12.3</v>
      </c>
      <c r="E15" s="276" t="n">
        <v>86.2</v>
      </c>
      <c r="F15" s="276" t="n">
        <v>1.1</v>
      </c>
      <c r="G15" s="276" t="n">
        <v>12.7</v>
      </c>
      <c r="H15" s="291" t="n">
        <v>94.90000000000001</v>
      </c>
      <c r="I15" s="276" t="n">
        <v>0.9</v>
      </c>
      <c r="J15" s="276" t="n">
        <v>4.3</v>
      </c>
      <c r="K15" s="276" t="n">
        <v>92.90000000000001</v>
      </c>
      <c r="L15" s="276" t="n">
        <v>0.6</v>
      </c>
      <c r="M15" s="276" t="n">
        <v>6.4</v>
      </c>
    </row>
    <row r="16" ht="14" customHeight="1" s="227">
      <c r="A16" s="28" t="inlineStr">
        <is>
          <t>Otdar Meanchey</t>
        </is>
      </c>
      <c r="B16" s="276" t="n">
        <v>74.8</v>
      </c>
      <c r="C16" s="276" t="n">
        <v>5.5</v>
      </c>
      <c r="D16" s="276" t="n">
        <v>19.7</v>
      </c>
      <c r="E16" s="276" t="n">
        <v>84.3</v>
      </c>
      <c r="F16" s="276" t="n">
        <v>2.3</v>
      </c>
      <c r="G16" s="276" t="n">
        <v>13.4</v>
      </c>
      <c r="H16" s="291" t="n">
        <v>94.40000000000001</v>
      </c>
      <c r="I16" s="276" t="n">
        <v>0.2</v>
      </c>
      <c r="J16" s="276" t="n">
        <v>5.5</v>
      </c>
      <c r="K16" s="276" t="n">
        <v>87.8</v>
      </c>
      <c r="L16" s="276" t="n">
        <v>0.9</v>
      </c>
      <c r="M16" s="276" t="n">
        <v>11.3</v>
      </c>
    </row>
    <row r="17" ht="14" customHeight="1" s="227">
      <c r="A17" s="28" t="inlineStr">
        <is>
          <t>Pailin</t>
        </is>
      </c>
      <c r="B17" s="276" t="n">
        <v>80.09999999999999</v>
      </c>
      <c r="C17" s="276" t="n">
        <v>2.2</v>
      </c>
      <c r="D17" s="276" t="n">
        <v>17.7</v>
      </c>
      <c r="E17" s="276" t="n">
        <v>88.40000000000001</v>
      </c>
      <c r="F17" s="276" t="n">
        <v>1.8</v>
      </c>
      <c r="G17" s="276" t="n">
        <v>9.800000000000001</v>
      </c>
      <c r="H17" s="291" t="n">
        <v>92.5</v>
      </c>
      <c r="I17" s="276" t="n">
        <v>1.7</v>
      </c>
      <c r="J17" s="276" t="n">
        <v>5.8</v>
      </c>
      <c r="K17" s="276" t="n">
        <v>53</v>
      </c>
      <c r="L17" s="276" t="n">
        <v>10.3</v>
      </c>
      <c r="M17" s="276" t="n">
        <v>36.7</v>
      </c>
    </row>
    <row r="18" ht="14" customHeight="1" s="227">
      <c r="A18" s="28" t="inlineStr">
        <is>
          <t>Phnom Penh</t>
        </is>
      </c>
      <c r="B18" s="276" t="n">
        <v>86.59999999999999</v>
      </c>
      <c r="C18" s="276" t="n">
        <v>3.3</v>
      </c>
      <c r="D18" s="276" t="n">
        <v>10.1</v>
      </c>
      <c r="E18" s="276" t="n">
        <v>90.8</v>
      </c>
      <c r="F18" s="276" t="n">
        <v>1.1</v>
      </c>
      <c r="G18" s="276" t="n">
        <v>8</v>
      </c>
      <c r="H18" s="120" t="inlineStr">
        <is>
          <t>n.a.</t>
        </is>
      </c>
      <c r="I18" s="276" t="n">
        <v>1.1</v>
      </c>
      <c r="J18" s="120" t="inlineStr">
        <is>
          <t>n.a.</t>
        </is>
      </c>
      <c r="K18" s="276" t="n">
        <v>49</v>
      </c>
      <c r="L18" s="276" t="n">
        <v>6.9</v>
      </c>
      <c r="M18" s="276" t="n">
        <v>44.1</v>
      </c>
    </row>
    <row r="19" ht="14" customHeight="1" s="227">
      <c r="A19" s="28" t="inlineStr">
        <is>
          <t>Preah Sihanouk</t>
        </is>
      </c>
      <c r="B19" s="276" t="n">
        <v>73.7</v>
      </c>
      <c r="C19" s="276" t="n">
        <v>3.7</v>
      </c>
      <c r="D19" s="276" t="n">
        <v>22.6</v>
      </c>
      <c r="E19" s="276" t="n">
        <v>86.40000000000001</v>
      </c>
      <c r="F19" s="276" t="n">
        <v>1</v>
      </c>
      <c r="G19" s="276" t="n">
        <v>12.7</v>
      </c>
      <c r="H19" s="291" t="n">
        <v>91.8</v>
      </c>
      <c r="I19" s="276" t="n">
        <v>0.6</v>
      </c>
      <c r="J19" s="276" t="n">
        <v>7.5</v>
      </c>
      <c r="K19" s="276" t="n">
        <v>78</v>
      </c>
      <c r="L19" s="276" t="n">
        <v>2</v>
      </c>
      <c r="M19" s="276" t="n">
        <v>20</v>
      </c>
    </row>
    <row r="20" ht="14" customHeight="1" s="227">
      <c r="A20" s="28" t="inlineStr">
        <is>
          <t>Preah Vihear</t>
        </is>
      </c>
      <c r="B20" s="276" t="n">
        <v>85.2</v>
      </c>
      <c r="C20" s="276" t="n">
        <v>1.3</v>
      </c>
      <c r="D20" s="276" t="n">
        <v>13.4</v>
      </c>
      <c r="E20" s="276" t="n">
        <v>77.40000000000001</v>
      </c>
      <c r="F20" s="276" t="n">
        <v>0.1</v>
      </c>
      <c r="G20" s="276" t="n">
        <v>22.6</v>
      </c>
      <c r="H20" s="291" t="n">
        <v>85.40000000000001</v>
      </c>
      <c r="I20" s="276" t="n">
        <v>0</v>
      </c>
      <c r="J20" s="276" t="n">
        <v>14.6</v>
      </c>
      <c r="K20" s="276" t="n">
        <v>85.3</v>
      </c>
      <c r="L20" s="276" t="n">
        <v>1.4</v>
      </c>
      <c r="M20" s="276" t="n">
        <v>13.3</v>
      </c>
    </row>
    <row r="21" ht="14" customHeight="1" s="227">
      <c r="A21" s="28" t="inlineStr">
        <is>
          <t>Prey Veng</t>
        </is>
      </c>
      <c r="B21" s="276" t="n">
        <v>79.3</v>
      </c>
      <c r="C21" s="276" t="n">
        <v>1.6</v>
      </c>
      <c r="D21" s="276" t="n">
        <v>19.2</v>
      </c>
      <c r="E21" s="276" t="n">
        <v>82.09999999999999</v>
      </c>
      <c r="F21" s="276" t="n">
        <v>0.9</v>
      </c>
      <c r="G21" s="276" t="n">
        <v>17</v>
      </c>
      <c r="H21" s="291" t="n">
        <v>89.5</v>
      </c>
      <c r="I21" s="276" t="n">
        <v>0.8</v>
      </c>
      <c r="J21" s="276" t="n">
        <v>9.699999999999999</v>
      </c>
      <c r="K21" s="276" t="n">
        <v>79.3</v>
      </c>
      <c r="L21" s="276" t="n">
        <v>2.9</v>
      </c>
      <c r="M21" s="276" t="n">
        <v>17.7</v>
      </c>
    </row>
    <row r="22" ht="14" customHeight="1" s="227">
      <c r="A22" s="28" t="inlineStr">
        <is>
          <t>Pursat</t>
        </is>
      </c>
      <c r="B22" s="276" t="n">
        <v>82.7</v>
      </c>
      <c r="C22" s="276" t="n">
        <v>2.7</v>
      </c>
      <c r="D22" s="276" t="n">
        <v>14.6</v>
      </c>
      <c r="E22" s="276" t="n">
        <v>79.5</v>
      </c>
      <c r="F22" s="276" t="n">
        <v>1.1</v>
      </c>
      <c r="G22" s="276" t="n">
        <v>19.4</v>
      </c>
      <c r="H22" s="291" t="n">
        <v>88.5</v>
      </c>
      <c r="I22" s="276" t="n">
        <v>0.6</v>
      </c>
      <c r="J22" s="276" t="n">
        <v>11</v>
      </c>
      <c r="K22" s="276" t="n">
        <v>58.4</v>
      </c>
      <c r="L22" s="276" t="n">
        <v>4.5</v>
      </c>
      <c r="M22" s="276" t="n">
        <v>37.2</v>
      </c>
    </row>
    <row r="23" ht="14" customHeight="1" s="227">
      <c r="A23" s="28" t="inlineStr">
        <is>
          <t>Ratanak Kiri</t>
        </is>
      </c>
      <c r="B23" s="276" t="n">
        <v>78.40000000000001</v>
      </c>
      <c r="C23" s="276" t="n">
        <v>4.3</v>
      </c>
      <c r="D23" s="276" t="n">
        <v>17.3</v>
      </c>
      <c r="E23" s="276" t="n">
        <v>91.40000000000001</v>
      </c>
      <c r="F23" s="276" t="n">
        <v>0.2</v>
      </c>
      <c r="G23" s="276" t="n">
        <v>8.5</v>
      </c>
      <c r="H23" s="291" t="n">
        <v>92.09999999999999</v>
      </c>
      <c r="I23" s="276" t="n">
        <v>0.3</v>
      </c>
      <c r="J23" s="276" t="n">
        <v>7.6</v>
      </c>
      <c r="K23" s="276" t="n">
        <v>86</v>
      </c>
      <c r="L23" s="276" t="n">
        <v>0</v>
      </c>
      <c r="M23" s="276" t="n">
        <v>14</v>
      </c>
    </row>
    <row r="24" ht="14" customHeight="1" s="227">
      <c r="A24" s="28" t="inlineStr">
        <is>
          <t>Siemreap</t>
        </is>
      </c>
      <c r="B24" s="276" t="n">
        <v>82</v>
      </c>
      <c r="C24" s="276" t="n">
        <v>4.4</v>
      </c>
      <c r="D24" s="276" t="n">
        <v>13.6</v>
      </c>
      <c r="E24" s="276" t="n">
        <v>93.5</v>
      </c>
      <c r="F24" s="276" t="n">
        <v>2.3</v>
      </c>
      <c r="G24" s="276" t="n">
        <v>4.2</v>
      </c>
      <c r="H24" s="291" t="n">
        <v>92.7</v>
      </c>
      <c r="I24" s="276" t="n">
        <v>1.2</v>
      </c>
      <c r="J24" s="276" t="n">
        <v>6.1</v>
      </c>
      <c r="K24" s="276" t="n">
        <v>72.40000000000001</v>
      </c>
      <c r="L24" s="276" t="n">
        <v>3.6</v>
      </c>
      <c r="M24" s="276" t="n">
        <v>24</v>
      </c>
    </row>
    <row r="25" ht="14" customHeight="1" s="227">
      <c r="A25" s="28" t="inlineStr">
        <is>
          <t>Stung Treng</t>
        </is>
      </c>
      <c r="B25" s="276" t="n">
        <v>86.59999999999999</v>
      </c>
      <c r="C25" s="276" t="n">
        <v>1.2</v>
      </c>
      <c r="D25" s="276" t="n">
        <v>12.3</v>
      </c>
      <c r="E25" s="276" t="n">
        <v>94.59999999999999</v>
      </c>
      <c r="F25" s="276" t="n">
        <v>0.4</v>
      </c>
      <c r="G25" s="276" t="n">
        <v>5</v>
      </c>
      <c r="H25" s="291" t="n">
        <v>95.09999999999999</v>
      </c>
      <c r="I25" s="276" t="n">
        <v>0</v>
      </c>
      <c r="J25" s="276" t="n">
        <v>4.9</v>
      </c>
      <c r="K25" s="276" t="n">
        <v>93.7</v>
      </c>
      <c r="L25" s="276" t="n">
        <v>1</v>
      </c>
      <c r="M25" s="276" t="n">
        <v>5.3</v>
      </c>
    </row>
    <row r="26" ht="14" customHeight="1" s="227">
      <c r="A26" s="28" t="inlineStr">
        <is>
          <t>Svay Rieng</t>
        </is>
      </c>
      <c r="B26" s="276" t="n">
        <v>79.40000000000001</v>
      </c>
      <c r="C26" s="276" t="n">
        <v>2.9</v>
      </c>
      <c r="D26" s="276" t="n">
        <v>17.7</v>
      </c>
      <c r="E26" s="276" t="n">
        <v>83.40000000000001</v>
      </c>
      <c r="F26" s="276" t="n">
        <v>0.5</v>
      </c>
      <c r="G26" s="276" t="n">
        <v>16.1</v>
      </c>
      <c r="H26" s="291" t="n">
        <v>90.3</v>
      </c>
      <c r="I26" s="276" t="n">
        <v>0.5</v>
      </c>
      <c r="J26" s="276" t="n">
        <v>9.199999999999999</v>
      </c>
      <c r="K26" s="276" t="n">
        <v>76.09999999999999</v>
      </c>
      <c r="L26" s="276" t="n">
        <v>1.9</v>
      </c>
      <c r="M26" s="276" t="n">
        <v>21.9</v>
      </c>
    </row>
    <row r="27" ht="14" customHeight="1" s="227">
      <c r="A27" s="28" t="inlineStr">
        <is>
          <t>Takeo</t>
        </is>
      </c>
      <c r="B27" s="276" t="n">
        <v>81.2</v>
      </c>
      <c r="C27" s="276" t="n">
        <v>2.6</v>
      </c>
      <c r="D27" s="276" t="n">
        <v>16.2</v>
      </c>
      <c r="E27" s="276" t="n">
        <v>84.09999999999999</v>
      </c>
      <c r="F27" s="276" t="n">
        <v>1.3</v>
      </c>
      <c r="G27" s="276" t="n">
        <v>14.6</v>
      </c>
      <c r="H27" s="291" t="n">
        <v>88.8</v>
      </c>
      <c r="I27" s="276" t="n">
        <v>1.3</v>
      </c>
      <c r="J27" s="276" t="n">
        <v>9.9</v>
      </c>
      <c r="K27" s="276" t="n">
        <v>53</v>
      </c>
      <c r="L27" s="276" t="n">
        <v>5.2</v>
      </c>
      <c r="M27" s="276" t="n">
        <v>41.8</v>
      </c>
    </row>
    <row r="28" ht="14" customHeight="1" s="227">
      <c r="A28" s="28" t="inlineStr">
        <is>
          <t>Tbaung Khmum</t>
        </is>
      </c>
      <c r="B28" s="276" t="n">
        <v>72.8</v>
      </c>
      <c r="C28" s="276" t="n">
        <v>3.6</v>
      </c>
      <c r="D28" s="276" t="n">
        <v>23.6</v>
      </c>
      <c r="E28" s="276" t="n">
        <v>81.8</v>
      </c>
      <c r="F28" s="276" t="n">
        <v>1.1</v>
      </c>
      <c r="G28" s="276" t="n">
        <v>17.1</v>
      </c>
      <c r="H28" s="291" t="n">
        <v>90.2</v>
      </c>
      <c r="I28" s="276" t="n">
        <v>0.8</v>
      </c>
      <c r="J28" s="276" t="n">
        <v>9</v>
      </c>
      <c r="K28" s="276" t="n">
        <v>69.2</v>
      </c>
      <c r="L28" s="276" t="n">
        <v>4.9</v>
      </c>
      <c r="M28" s="276" t="n">
        <v>25.9</v>
      </c>
    </row>
    <row r="29" ht="15" customHeight="1" s="227">
      <c r="A29" s="22" t="inlineStr">
        <is>
          <t>Whole Kingdom</t>
        </is>
      </c>
      <c r="B29" s="276" t="n">
        <v>80.3</v>
      </c>
      <c r="C29" s="276" t="n">
        <v>3</v>
      </c>
      <c r="D29" s="276" t="n">
        <v>16.7</v>
      </c>
      <c r="E29" s="276" t="n">
        <v>84.7</v>
      </c>
      <c r="F29" s="276" t="n">
        <v>1.1</v>
      </c>
      <c r="G29" s="276" t="n">
        <v>14.1</v>
      </c>
      <c r="H29" s="291" t="n">
        <v>92</v>
      </c>
      <c r="I29" s="276" t="n">
        <v>0.8</v>
      </c>
      <c r="J29" s="276" t="n">
        <v>7.2</v>
      </c>
      <c r="K29" s="276" t="n">
        <v>64.8</v>
      </c>
      <c r="L29" s="276" t="n">
        <v>4.4</v>
      </c>
      <c r="M29" s="276" t="n">
        <v>30.9</v>
      </c>
    </row>
    <row r="30" ht="14" customHeight="1" s="227">
      <c r="A30" s="28" t="inlineStr">
        <is>
          <t>- Urban Area</t>
        </is>
      </c>
      <c r="B30" s="276" t="n">
        <v>84.59999999999999</v>
      </c>
      <c r="C30" s="276" t="n">
        <v>3.8</v>
      </c>
      <c r="D30" s="276" t="n">
        <v>11.6</v>
      </c>
      <c r="E30" s="276" t="n">
        <v>89.8</v>
      </c>
      <c r="F30" s="276" t="n">
        <v>1.3</v>
      </c>
      <c r="G30" s="276" t="n">
        <v>8.9</v>
      </c>
      <c r="H30" s="291" t="n">
        <v>98.8</v>
      </c>
      <c r="I30" s="276" t="n">
        <v>1</v>
      </c>
      <c r="J30" s="276" t="n">
        <v>0.2</v>
      </c>
      <c r="K30" s="276" t="n">
        <v>58.1</v>
      </c>
      <c r="L30" s="276" t="n">
        <v>5.3</v>
      </c>
      <c r="M30" s="276" t="n">
        <v>36.7</v>
      </c>
    </row>
    <row r="31" ht="12.5" customHeight="1" s="227">
      <c r="A31" s="28" t="inlineStr">
        <is>
          <t>- Rural Area</t>
        </is>
      </c>
      <c r="B31" s="276" t="n">
        <v>79.09999999999999</v>
      </c>
      <c r="C31" s="276" t="n">
        <v>2.8</v>
      </c>
      <c r="D31" s="276" t="n">
        <v>18</v>
      </c>
      <c r="E31" s="276" t="n">
        <v>82.7</v>
      </c>
      <c r="F31" s="276" t="n">
        <v>1.1</v>
      </c>
      <c r="G31" s="276" t="n">
        <v>16.2</v>
      </c>
      <c r="H31" s="291" t="n">
        <v>89</v>
      </c>
      <c r="I31" s="276" t="n">
        <v>0.8</v>
      </c>
      <c r="J31" s="276" t="n">
        <v>10.3</v>
      </c>
      <c r="K31" s="276" t="n">
        <v>68.5</v>
      </c>
      <c r="L31" s="276" t="n">
        <v>3.9</v>
      </c>
      <c r="M31" s="276" t="n">
        <v>27.6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4.444444" customWidth="1" style="227" min="1" max="1"/>
    <col width="11.777778" customWidth="1" style="227" min="2" max="2"/>
    <col width="12" customWidth="1" style="227" min="3" max="3"/>
    <col width="12" customWidth="1" style="227" min="4" max="4"/>
    <col width="11.777778" customWidth="1" style="227" min="5" max="5"/>
    <col width="12" customWidth="1" style="227" min="6" max="6"/>
    <col width="11.777778" customWidth="1" style="227" min="7" max="7"/>
    <col width="12" customWidth="1" style="227" min="8" max="8"/>
    <col width="12" customWidth="1" style="227" min="9" max="9"/>
    <col width="11.777778" customWidth="1" style="227" min="10" max="10"/>
    <col width="12" customWidth="1" style="227" min="11" max="11"/>
    <col width="11.777778" customWidth="1" style="227" min="12" max="12"/>
    <col width="12" customWidth="1" style="227" min="13" max="13"/>
  </cols>
  <sheetData>
    <row r="1" ht="31" customHeight="1" s="227">
      <c r="A1" s="2" t="inlineStr">
        <is>
          <t>Table 16: Student Flow Rates and Graduates by level for Both Sex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5" t="inlineStr">
        <is>
          <t>Primary Level (Grades 1-6)</t>
        </is>
      </c>
      <c r="C2" s="269" t="n"/>
      <c r="D2" s="257" t="n"/>
      <c r="E2" s="102" t="inlineStr">
        <is>
          <t>Lower Secondary Level (Grades 7-9)</t>
        </is>
      </c>
      <c r="F2" s="269" t="n"/>
      <c r="G2" s="257" t="n"/>
      <c r="H2" s="103" t="inlineStr">
        <is>
          <t>Upper Secondary Level (Grades 10-12)</t>
        </is>
      </c>
      <c r="I2" s="269" t="n"/>
      <c r="J2" s="257" t="n"/>
      <c r="K2" s="164" t="inlineStr">
        <is>
          <t>Successful Candidates</t>
        </is>
      </c>
      <c r="L2" s="269" t="n"/>
      <c r="M2" s="257" t="n"/>
    </row>
    <row r="3" ht="18" customHeight="1" s="227">
      <c r="A3" s="258" t="n"/>
      <c r="B3" s="119" t="inlineStr">
        <is>
          <t>Promotion</t>
        </is>
      </c>
      <c r="C3" s="103" t="inlineStr">
        <is>
          <t>Repetition</t>
        </is>
      </c>
      <c r="D3" s="103" t="inlineStr">
        <is>
          <t>Dropout</t>
        </is>
      </c>
      <c r="E3" s="119" t="inlineStr">
        <is>
          <t>Promotion</t>
        </is>
      </c>
      <c r="F3" s="119" t="inlineStr">
        <is>
          <t>Repetition</t>
        </is>
      </c>
      <c r="G3" s="103" t="inlineStr">
        <is>
          <t>Dropout</t>
        </is>
      </c>
      <c r="H3" s="103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03" t="inlineStr">
        <is>
          <t>Grade 6</t>
        </is>
      </c>
      <c r="L3" s="103" t="inlineStr">
        <is>
          <t>Grade 9</t>
        </is>
      </c>
      <c r="M3" s="103" t="inlineStr">
        <is>
          <t>Grade 12</t>
        </is>
      </c>
    </row>
    <row r="4" ht="14" customHeight="1" s="227">
      <c r="A4" s="28" t="inlineStr">
        <is>
          <t>Banteay Meanchey</t>
        </is>
      </c>
      <c r="B4" s="276" t="n">
        <v>92.5</v>
      </c>
      <c r="C4" s="276" t="n">
        <v>3.4</v>
      </c>
      <c r="D4" s="276" t="n">
        <v>4.1</v>
      </c>
      <c r="E4" s="276" t="n">
        <v>81.3</v>
      </c>
      <c r="F4" s="276" t="n">
        <v>2.2</v>
      </c>
      <c r="G4" s="276" t="n">
        <v>16.5</v>
      </c>
      <c r="H4" s="276" t="n">
        <v>78.3</v>
      </c>
      <c r="I4" s="276" t="n">
        <v>2</v>
      </c>
      <c r="J4" s="276" t="n">
        <v>19.7</v>
      </c>
      <c r="K4" s="259" t="n">
        <v>11546</v>
      </c>
      <c r="L4" s="259" t="n">
        <v>5416</v>
      </c>
      <c r="M4" s="259" t="n">
        <v>1722</v>
      </c>
    </row>
    <row r="5" ht="14" customHeight="1" s="227">
      <c r="A5" s="28" t="inlineStr">
        <is>
          <t>Battambang</t>
        </is>
      </c>
      <c r="B5" s="276" t="n">
        <v>88.40000000000001</v>
      </c>
      <c r="C5" s="276" t="n">
        <v>6.2</v>
      </c>
      <c r="D5" s="276" t="n">
        <v>5.4</v>
      </c>
      <c r="E5" s="276" t="n">
        <v>78.8</v>
      </c>
      <c r="F5" s="276" t="n">
        <v>3.2</v>
      </c>
      <c r="G5" s="276" t="n">
        <v>18</v>
      </c>
      <c r="H5" s="276" t="n">
        <v>79.2</v>
      </c>
      <c r="I5" s="276" t="n">
        <v>2.2</v>
      </c>
      <c r="J5" s="276" t="n">
        <v>18.6</v>
      </c>
      <c r="K5" s="259" t="n">
        <v>19354</v>
      </c>
      <c r="L5" s="259" t="n">
        <v>8434</v>
      </c>
      <c r="M5" s="259" t="n">
        <v>3594</v>
      </c>
    </row>
    <row r="6" ht="15" customHeight="1" s="227">
      <c r="A6" s="28" t="inlineStr">
        <is>
          <t>Kampong Cham</t>
        </is>
      </c>
      <c r="B6" s="276" t="n">
        <v>86.5</v>
      </c>
      <c r="C6" s="276" t="n">
        <v>8.9</v>
      </c>
      <c r="D6" s="276" t="n">
        <v>4.6</v>
      </c>
      <c r="E6" s="276" t="n">
        <v>80.59999999999999</v>
      </c>
      <c r="F6" s="276" t="n">
        <v>3.1</v>
      </c>
      <c r="G6" s="276" t="n">
        <v>16.3</v>
      </c>
      <c r="H6" s="276" t="n">
        <v>76.3</v>
      </c>
      <c r="I6" s="276" t="n">
        <v>2.5</v>
      </c>
      <c r="J6" s="276" t="n">
        <v>21.2</v>
      </c>
      <c r="K6" s="259" t="n">
        <v>17463</v>
      </c>
      <c r="L6" s="259" t="n">
        <v>9108</v>
      </c>
      <c r="M6" s="259" t="n">
        <v>3524</v>
      </c>
    </row>
    <row r="7" ht="14" customHeight="1" s="227">
      <c r="A7" s="28" t="inlineStr">
        <is>
          <t>Kampong Chhnang</t>
        </is>
      </c>
      <c r="B7" s="276" t="n">
        <v>91.7</v>
      </c>
      <c r="C7" s="276" t="n">
        <v>5.8</v>
      </c>
      <c r="D7" s="276" t="n">
        <v>2.5</v>
      </c>
      <c r="E7" s="276" t="n">
        <v>83</v>
      </c>
      <c r="F7" s="276" t="n">
        <v>2.1</v>
      </c>
      <c r="G7" s="276" t="n">
        <v>14.9</v>
      </c>
      <c r="H7" s="276" t="n">
        <v>77.90000000000001</v>
      </c>
      <c r="I7" s="276" t="n">
        <v>2</v>
      </c>
      <c r="J7" s="276" t="n">
        <v>20.1</v>
      </c>
      <c r="K7" s="259" t="n">
        <v>10012</v>
      </c>
      <c r="L7" s="259" t="n">
        <v>5781</v>
      </c>
      <c r="M7" s="259" t="n">
        <v>2074</v>
      </c>
    </row>
    <row r="8" ht="14" customHeight="1" s="227">
      <c r="A8" s="28" t="inlineStr">
        <is>
          <t>Kampong Speu</t>
        </is>
      </c>
      <c r="B8" s="276" t="n">
        <v>92.3</v>
      </c>
      <c r="C8" s="276" t="n">
        <v>4.8</v>
      </c>
      <c r="D8" s="276" t="n">
        <v>2.9</v>
      </c>
      <c r="E8" s="276" t="n">
        <v>78.59999999999999</v>
      </c>
      <c r="F8" s="276" t="n">
        <v>1.4</v>
      </c>
      <c r="G8" s="276" t="n">
        <v>20</v>
      </c>
      <c r="H8" s="276" t="n">
        <v>83.8</v>
      </c>
      <c r="I8" s="276" t="n">
        <v>0.7</v>
      </c>
      <c r="J8" s="276" t="n">
        <v>15.5</v>
      </c>
      <c r="K8" s="259" t="n">
        <v>14877</v>
      </c>
      <c r="L8" s="259" t="n">
        <v>7277</v>
      </c>
      <c r="M8" s="259" t="n">
        <v>3391</v>
      </c>
    </row>
    <row r="9" ht="14" customHeight="1" s="227">
      <c r="A9" s="28" t="inlineStr">
        <is>
          <t>Kampong Thom</t>
        </is>
      </c>
      <c r="B9" s="276" t="n">
        <v>87.5</v>
      </c>
      <c r="C9" s="276" t="n">
        <v>7.3</v>
      </c>
      <c r="D9" s="276" t="n">
        <v>5.3</v>
      </c>
      <c r="E9" s="276" t="n">
        <v>82.40000000000001</v>
      </c>
      <c r="F9" s="276" t="n">
        <v>2.8</v>
      </c>
      <c r="G9" s="276" t="n">
        <v>14.9</v>
      </c>
      <c r="H9" s="276" t="n">
        <v>85</v>
      </c>
      <c r="I9" s="276" t="n">
        <v>1.1</v>
      </c>
      <c r="J9" s="276" t="n">
        <v>13.9</v>
      </c>
      <c r="K9" s="259" t="n">
        <v>12643</v>
      </c>
      <c r="L9" s="259" t="n">
        <v>6552</v>
      </c>
      <c r="M9" s="259" t="n">
        <v>2864</v>
      </c>
    </row>
    <row r="10" ht="14" customHeight="1" s="227">
      <c r="A10" s="28" t="inlineStr">
        <is>
          <t>Kampot</t>
        </is>
      </c>
      <c r="B10" s="276" t="n">
        <v>92</v>
      </c>
      <c r="C10" s="276" t="n">
        <v>4.2</v>
      </c>
      <c r="D10" s="276" t="n">
        <v>3.8</v>
      </c>
      <c r="E10" s="276" t="n">
        <v>80.5</v>
      </c>
      <c r="F10" s="276" t="n">
        <v>2.3</v>
      </c>
      <c r="G10" s="276" t="n">
        <v>17.2</v>
      </c>
      <c r="H10" s="276" t="n">
        <v>83</v>
      </c>
      <c r="I10" s="276" t="n">
        <v>1.3</v>
      </c>
      <c r="J10" s="276" t="n">
        <v>15.8</v>
      </c>
      <c r="K10" s="259" t="n">
        <v>10739</v>
      </c>
      <c r="L10" s="259" t="n">
        <v>6908</v>
      </c>
      <c r="M10" s="259" t="n">
        <v>3347</v>
      </c>
    </row>
    <row r="11" ht="14" customHeight="1" s="227">
      <c r="A11" s="28" t="inlineStr">
        <is>
          <t>Kandal</t>
        </is>
      </c>
      <c r="B11" s="276" t="n">
        <v>89.3</v>
      </c>
      <c r="C11" s="276" t="n">
        <v>8</v>
      </c>
      <c r="D11" s="276" t="n">
        <v>2.7</v>
      </c>
      <c r="E11" s="276" t="n">
        <v>82.5</v>
      </c>
      <c r="F11" s="276" t="n">
        <v>2.7</v>
      </c>
      <c r="G11" s="276" t="n">
        <v>14.9</v>
      </c>
      <c r="H11" s="276" t="n">
        <v>82.5</v>
      </c>
      <c r="I11" s="276" t="n">
        <v>2.4</v>
      </c>
      <c r="J11" s="276" t="n">
        <v>15.2</v>
      </c>
      <c r="K11" s="259" t="n">
        <v>19768</v>
      </c>
      <c r="L11" s="259" t="n">
        <v>11110</v>
      </c>
      <c r="M11" s="259" t="n">
        <v>4961</v>
      </c>
    </row>
    <row r="12" ht="14" customHeight="1" s="227">
      <c r="A12" s="28" t="inlineStr">
        <is>
          <t>Kep</t>
        </is>
      </c>
      <c r="B12" s="276" t="n">
        <v>91.5</v>
      </c>
      <c r="C12" s="276" t="n">
        <v>5.3</v>
      </c>
      <c r="D12" s="276" t="n">
        <v>3.2</v>
      </c>
      <c r="E12" s="276" t="n">
        <v>76.59999999999999</v>
      </c>
      <c r="F12" s="276" t="n">
        <v>2.9</v>
      </c>
      <c r="G12" s="276" t="n">
        <v>20.5</v>
      </c>
      <c r="H12" s="276" t="n">
        <v>91.09999999999999</v>
      </c>
      <c r="I12" s="276" t="n">
        <v>1</v>
      </c>
      <c r="J12" s="276" t="n">
        <v>7.9</v>
      </c>
      <c r="K12" s="260" t="n">
        <v>604</v>
      </c>
      <c r="L12" s="260" t="n">
        <v>390</v>
      </c>
      <c r="M12" s="260" t="n">
        <v>241</v>
      </c>
    </row>
    <row r="13" ht="14" customHeight="1" s="227">
      <c r="A13" s="28" t="inlineStr">
        <is>
          <t>Koh Kong</t>
        </is>
      </c>
      <c r="B13" s="276" t="n">
        <v>89.8</v>
      </c>
      <c r="C13" s="276" t="n">
        <v>3.7</v>
      </c>
      <c r="D13" s="276" t="n">
        <v>6.5</v>
      </c>
      <c r="E13" s="276" t="n">
        <v>83</v>
      </c>
      <c r="F13" s="276" t="n">
        <v>1.8</v>
      </c>
      <c r="G13" s="276" t="n">
        <v>15.3</v>
      </c>
      <c r="H13" s="276" t="n">
        <v>69.90000000000001</v>
      </c>
      <c r="I13" s="276" t="n">
        <v>0.9</v>
      </c>
      <c r="J13" s="276" t="n">
        <v>29.2</v>
      </c>
      <c r="K13" s="259" t="n">
        <v>1994</v>
      </c>
      <c r="L13" s="259" t="n">
        <v>1100</v>
      </c>
      <c r="M13" s="260" t="n">
        <v>209</v>
      </c>
    </row>
    <row r="14" ht="14" customHeight="1" s="227">
      <c r="A14" s="28" t="inlineStr">
        <is>
          <t>Kratie</t>
        </is>
      </c>
      <c r="B14" s="276" t="n">
        <v>84.09999999999999</v>
      </c>
      <c r="C14" s="276" t="n">
        <v>8.1</v>
      </c>
      <c r="D14" s="276" t="n">
        <v>7.8</v>
      </c>
      <c r="E14" s="276" t="n">
        <v>76.90000000000001</v>
      </c>
      <c r="F14" s="276" t="n">
        <v>2</v>
      </c>
      <c r="G14" s="276" t="n">
        <v>21.1</v>
      </c>
      <c r="H14" s="276" t="n">
        <v>76.90000000000001</v>
      </c>
      <c r="I14" s="276" t="n">
        <v>1.9</v>
      </c>
      <c r="J14" s="276" t="n">
        <v>21.2</v>
      </c>
      <c r="K14" s="259" t="n">
        <v>5881</v>
      </c>
      <c r="L14" s="259" t="n">
        <v>2580</v>
      </c>
      <c r="M14" s="260" t="n">
        <v>817</v>
      </c>
    </row>
    <row r="15" ht="14" customHeight="1" s="227">
      <c r="A15" s="28" t="inlineStr">
        <is>
          <t>Mondul Kiri</t>
        </is>
      </c>
      <c r="B15" s="276" t="n">
        <v>87.3</v>
      </c>
      <c r="C15" s="276" t="n">
        <v>4.8</v>
      </c>
      <c r="D15" s="276" t="n">
        <v>7.9</v>
      </c>
      <c r="E15" s="276" t="n">
        <v>82.2</v>
      </c>
      <c r="F15" s="276" t="n">
        <v>3.2</v>
      </c>
      <c r="G15" s="276" t="n">
        <v>14.6</v>
      </c>
      <c r="H15" s="276" t="n">
        <v>90.40000000000001</v>
      </c>
      <c r="I15" s="276" t="n">
        <v>0.9</v>
      </c>
      <c r="J15" s="276" t="n">
        <v>8.699999999999999</v>
      </c>
      <c r="K15" s="259" t="n">
        <v>1394</v>
      </c>
      <c r="L15" s="260" t="n">
        <v>593</v>
      </c>
      <c r="M15" s="260" t="n">
        <v>303</v>
      </c>
    </row>
    <row r="16" ht="14" customHeight="1" s="227">
      <c r="A16" s="28" t="inlineStr">
        <is>
          <t>Otdar Meanchey</t>
        </is>
      </c>
      <c r="B16" s="276" t="n">
        <v>84.59999999999999</v>
      </c>
      <c r="C16" s="276" t="n">
        <v>8</v>
      </c>
      <c r="D16" s="276" t="n">
        <v>7.4</v>
      </c>
      <c r="E16" s="276" t="n">
        <v>79.5</v>
      </c>
      <c r="F16" s="276" t="n">
        <v>3.4</v>
      </c>
      <c r="G16" s="276" t="n">
        <v>17.1</v>
      </c>
      <c r="H16" s="276" t="n">
        <v>88.2</v>
      </c>
      <c r="I16" s="276" t="n">
        <v>1.3</v>
      </c>
      <c r="J16" s="276" t="n">
        <v>10.5</v>
      </c>
      <c r="K16" s="259" t="n">
        <v>3796</v>
      </c>
      <c r="L16" s="259" t="n">
        <v>1773</v>
      </c>
      <c r="M16" s="260" t="n">
        <v>757</v>
      </c>
    </row>
    <row r="17" ht="14" customHeight="1" s="227">
      <c r="A17" s="28" t="inlineStr">
        <is>
          <t>Pailin</t>
        </is>
      </c>
      <c r="B17" s="276" t="n">
        <v>87.90000000000001</v>
      </c>
      <c r="C17" s="276" t="n">
        <v>6.2</v>
      </c>
      <c r="D17" s="276" t="n">
        <v>6</v>
      </c>
      <c r="E17" s="276" t="n">
        <v>79.59999999999999</v>
      </c>
      <c r="F17" s="276" t="n">
        <v>4.7</v>
      </c>
      <c r="G17" s="276" t="n">
        <v>15.7</v>
      </c>
      <c r="H17" s="276" t="n">
        <v>79.90000000000001</v>
      </c>
      <c r="I17" s="276" t="n">
        <v>4.2</v>
      </c>
      <c r="J17" s="276" t="n">
        <v>16</v>
      </c>
      <c r="K17" s="259" t="n">
        <v>1212</v>
      </c>
      <c r="L17" s="260" t="n">
        <v>656</v>
      </c>
      <c r="M17" s="260" t="n">
        <v>185</v>
      </c>
    </row>
    <row r="18" ht="14" customHeight="1" s="227">
      <c r="A18" s="28" t="inlineStr">
        <is>
          <t>Phnom Penh</t>
        </is>
      </c>
      <c r="B18" s="276" t="n">
        <v>93.90000000000001</v>
      </c>
      <c r="C18" s="276" t="n">
        <v>2.9</v>
      </c>
      <c r="D18" s="276" t="n">
        <v>3.2</v>
      </c>
      <c r="E18" s="276" t="n">
        <v>88</v>
      </c>
      <c r="F18" s="276" t="n">
        <v>2.9</v>
      </c>
      <c r="G18" s="276" t="n">
        <v>9.1</v>
      </c>
      <c r="H18" s="276" t="n">
        <v>79.5</v>
      </c>
      <c r="I18" s="276" t="n">
        <v>3.2</v>
      </c>
      <c r="J18" s="276" t="n">
        <v>17.3</v>
      </c>
      <c r="K18" s="259" t="n">
        <v>18054</v>
      </c>
      <c r="L18" s="259" t="n">
        <v>12668</v>
      </c>
      <c r="M18" s="259" t="n">
        <v>6667</v>
      </c>
    </row>
    <row r="19" ht="14" customHeight="1" s="227">
      <c r="A19" s="28" t="inlineStr">
        <is>
          <t>Preah Sihanouk</t>
        </is>
      </c>
      <c r="B19" s="276" t="n">
        <v>92.90000000000001</v>
      </c>
      <c r="C19" s="276" t="n">
        <v>3.1</v>
      </c>
      <c r="D19" s="276" t="n">
        <v>4</v>
      </c>
      <c r="E19" s="276" t="n">
        <v>75.40000000000001</v>
      </c>
      <c r="F19" s="276" t="n">
        <v>3.7</v>
      </c>
      <c r="G19" s="276" t="n">
        <v>20.9</v>
      </c>
      <c r="H19" s="276" t="n">
        <v>85.5</v>
      </c>
      <c r="I19" s="276" t="n">
        <v>1.2</v>
      </c>
      <c r="J19" s="276" t="n">
        <v>13.3</v>
      </c>
      <c r="K19" s="259" t="n">
        <v>3370</v>
      </c>
      <c r="L19" s="259" t="n">
        <v>1455</v>
      </c>
      <c r="M19" s="260" t="n">
        <v>963</v>
      </c>
    </row>
    <row r="20" ht="14" customHeight="1" s="227">
      <c r="A20" s="28" t="inlineStr">
        <is>
          <t>Preah Vihear</t>
        </is>
      </c>
      <c r="B20" s="276" t="n">
        <v>85.59999999999999</v>
      </c>
      <c r="C20" s="276" t="n">
        <v>8.4</v>
      </c>
      <c r="D20" s="276" t="n">
        <v>6</v>
      </c>
      <c r="E20" s="276" t="n">
        <v>84.90000000000001</v>
      </c>
      <c r="F20" s="276" t="n">
        <v>1.3</v>
      </c>
      <c r="G20" s="276" t="n">
        <v>13.7</v>
      </c>
      <c r="H20" s="276" t="n">
        <v>81.90000000000001</v>
      </c>
      <c r="I20" s="276" t="n">
        <v>0.4</v>
      </c>
      <c r="J20" s="276" t="n">
        <v>17.7</v>
      </c>
      <c r="K20" s="259" t="n">
        <v>4104</v>
      </c>
      <c r="L20" s="259" t="n">
        <v>2120</v>
      </c>
      <c r="M20" s="260" t="n">
        <v>941</v>
      </c>
    </row>
    <row r="21" ht="14" customHeight="1" s="227">
      <c r="A21" s="28" t="inlineStr">
        <is>
          <t>Prey Veng</t>
        </is>
      </c>
      <c r="B21" s="276" t="n">
        <v>90.90000000000001</v>
      </c>
      <c r="C21" s="276" t="n">
        <v>6.8</v>
      </c>
      <c r="D21" s="276" t="n">
        <v>2.3</v>
      </c>
      <c r="E21" s="276" t="n">
        <v>82</v>
      </c>
      <c r="F21" s="276" t="n">
        <v>0.9</v>
      </c>
      <c r="G21" s="276" t="n">
        <v>17.1</v>
      </c>
      <c r="H21" s="276" t="n">
        <v>83.59999999999999</v>
      </c>
      <c r="I21" s="276" t="n">
        <v>1.4</v>
      </c>
      <c r="J21" s="276" t="n">
        <v>14.9</v>
      </c>
      <c r="K21" s="259" t="n">
        <v>20035</v>
      </c>
      <c r="L21" s="259" t="n">
        <v>10557</v>
      </c>
      <c r="M21" s="259" t="n">
        <v>4682</v>
      </c>
    </row>
    <row r="22" ht="14" customHeight="1" s="227">
      <c r="A22" s="28" t="inlineStr">
        <is>
          <t>Pursat</t>
        </is>
      </c>
      <c r="B22" s="276" t="n">
        <v>87.7</v>
      </c>
      <c r="C22" s="276" t="n">
        <v>7.8</v>
      </c>
      <c r="D22" s="276" t="n">
        <v>4.6</v>
      </c>
      <c r="E22" s="276" t="n">
        <v>81.8</v>
      </c>
      <c r="F22" s="276" t="n">
        <v>1.9</v>
      </c>
      <c r="G22" s="276" t="n">
        <v>16.3</v>
      </c>
      <c r="H22" s="276" t="n">
        <v>76.59999999999999</v>
      </c>
      <c r="I22" s="276" t="n">
        <v>1.8</v>
      </c>
      <c r="J22" s="276" t="n">
        <v>21.6</v>
      </c>
      <c r="K22" s="259" t="n">
        <v>7914</v>
      </c>
      <c r="L22" s="259" t="n">
        <v>3980</v>
      </c>
      <c r="M22" s="259" t="n">
        <v>1271</v>
      </c>
    </row>
    <row r="23" ht="14" customHeight="1" s="227">
      <c r="A23" s="28" t="inlineStr">
        <is>
          <t>Ratanak Kiri</t>
        </is>
      </c>
      <c r="B23" s="276" t="n">
        <v>83.7</v>
      </c>
      <c r="C23" s="276" t="n">
        <v>4.3</v>
      </c>
      <c r="D23" s="276" t="n">
        <v>11.9</v>
      </c>
      <c r="E23" s="276" t="n">
        <v>84.90000000000001</v>
      </c>
      <c r="F23" s="276" t="n">
        <v>1.6</v>
      </c>
      <c r="G23" s="276" t="n">
        <v>13.4</v>
      </c>
      <c r="H23" s="276" t="n">
        <v>90.2</v>
      </c>
      <c r="I23" s="276" t="n">
        <v>0.2</v>
      </c>
      <c r="J23" s="276" t="n">
        <v>9.6</v>
      </c>
      <c r="K23" s="259" t="n">
        <v>3316</v>
      </c>
      <c r="L23" s="259" t="n">
        <v>1412</v>
      </c>
      <c r="M23" s="260" t="n">
        <v>559</v>
      </c>
    </row>
    <row r="24" ht="14" customHeight="1" s="227">
      <c r="A24" s="28" t="inlineStr">
        <is>
          <t>Siemreap</t>
        </is>
      </c>
      <c r="B24" s="276" t="n">
        <v>88</v>
      </c>
      <c r="C24" s="276" t="n">
        <v>7.3</v>
      </c>
      <c r="D24" s="276" t="n">
        <v>4.6</v>
      </c>
      <c r="E24" s="276" t="n">
        <v>82.5</v>
      </c>
      <c r="F24" s="276" t="n">
        <v>4</v>
      </c>
      <c r="G24" s="276" t="n">
        <v>13.5</v>
      </c>
      <c r="H24" s="276" t="n">
        <v>87.7</v>
      </c>
      <c r="I24" s="276" t="n">
        <v>2.3</v>
      </c>
      <c r="J24" s="276" t="n">
        <v>10</v>
      </c>
      <c r="K24" s="259" t="n">
        <v>18855</v>
      </c>
      <c r="L24" s="259" t="n">
        <v>10006</v>
      </c>
      <c r="M24" s="259" t="n">
        <v>4418</v>
      </c>
    </row>
    <row r="25" ht="14" customHeight="1" s="227">
      <c r="A25" s="28" t="inlineStr">
        <is>
          <t>Stung Treng</t>
        </is>
      </c>
      <c r="B25" s="276" t="n">
        <v>80</v>
      </c>
      <c r="C25" s="276" t="n">
        <v>10.8</v>
      </c>
      <c r="D25" s="276" t="n">
        <v>9.300000000000001</v>
      </c>
      <c r="E25" s="276" t="n">
        <v>84.59999999999999</v>
      </c>
      <c r="F25" s="276" t="n">
        <v>0.7</v>
      </c>
      <c r="G25" s="276" t="n">
        <v>14.7</v>
      </c>
      <c r="H25" s="276" t="n">
        <v>94.5</v>
      </c>
      <c r="I25" s="276" t="n">
        <v>0.5</v>
      </c>
      <c r="J25" s="276" t="n">
        <v>5.1</v>
      </c>
      <c r="K25" s="259" t="n">
        <v>1788</v>
      </c>
      <c r="L25" s="259" t="n">
        <v>1038</v>
      </c>
      <c r="M25" s="260" t="n">
        <v>584</v>
      </c>
    </row>
    <row r="26" ht="14" customHeight="1" s="227">
      <c r="A26" s="28" t="inlineStr">
        <is>
          <t>Svay Rieng</t>
        </is>
      </c>
      <c r="B26" s="276" t="n">
        <v>93.8</v>
      </c>
      <c r="C26" s="276" t="n">
        <v>4.2</v>
      </c>
      <c r="D26" s="276" t="n">
        <v>2</v>
      </c>
      <c r="E26" s="276" t="n">
        <v>79.90000000000001</v>
      </c>
      <c r="F26" s="276" t="n">
        <v>2.3</v>
      </c>
      <c r="G26" s="276" t="n">
        <v>17.8</v>
      </c>
      <c r="H26" s="276" t="n">
        <v>83.5</v>
      </c>
      <c r="I26" s="276" t="n">
        <v>0.9</v>
      </c>
      <c r="J26" s="276" t="n">
        <v>15.6</v>
      </c>
      <c r="K26" s="259" t="n">
        <v>10200</v>
      </c>
      <c r="L26" s="259" t="n">
        <v>5556</v>
      </c>
      <c r="M26" s="259" t="n">
        <v>2632</v>
      </c>
    </row>
    <row r="27" ht="14" customHeight="1" s="227">
      <c r="A27" s="28" t="inlineStr">
        <is>
          <t>Takeo</t>
        </is>
      </c>
      <c r="B27" s="276" t="n">
        <v>91.40000000000001</v>
      </c>
      <c r="C27" s="276" t="n">
        <v>6.3</v>
      </c>
      <c r="D27" s="276" t="n">
        <v>2.3</v>
      </c>
      <c r="E27" s="276" t="n">
        <v>84.5</v>
      </c>
      <c r="F27" s="276" t="n">
        <v>2.4</v>
      </c>
      <c r="G27" s="276" t="n">
        <v>13.1</v>
      </c>
      <c r="H27" s="276" t="n">
        <v>76.09999999999999</v>
      </c>
      <c r="I27" s="276" t="n">
        <v>2.5</v>
      </c>
      <c r="J27" s="276" t="n">
        <v>21.4</v>
      </c>
      <c r="K27" s="259" t="n">
        <v>16785</v>
      </c>
      <c r="L27" s="259" t="n">
        <v>11881</v>
      </c>
      <c r="M27" s="259" t="n">
        <v>4618</v>
      </c>
    </row>
    <row r="28" ht="14" customHeight="1" s="227">
      <c r="A28" s="28" t="inlineStr">
        <is>
          <t>Tbaung Khmum</t>
        </is>
      </c>
      <c r="B28" s="276" t="n">
        <v>87.8</v>
      </c>
      <c r="C28" s="276" t="n">
        <v>6</v>
      </c>
      <c r="D28" s="276" t="n">
        <v>6.2</v>
      </c>
      <c r="E28" s="276" t="n">
        <v>76.40000000000001</v>
      </c>
      <c r="F28" s="276" t="n">
        <v>2.9</v>
      </c>
      <c r="G28" s="276" t="n">
        <v>20.7</v>
      </c>
      <c r="H28" s="276" t="n">
        <v>81.2</v>
      </c>
      <c r="I28" s="276" t="n">
        <v>2</v>
      </c>
      <c r="J28" s="276" t="n">
        <v>16.8</v>
      </c>
      <c r="K28" s="259" t="n">
        <v>13507</v>
      </c>
      <c r="L28" s="259" t="n">
        <v>5625</v>
      </c>
      <c r="M28" s="259" t="n">
        <v>2113</v>
      </c>
    </row>
    <row r="29" ht="15" customHeight="1" s="227">
      <c r="A29" s="22" t="inlineStr">
        <is>
          <t>Whole Kingdom</t>
        </is>
      </c>
      <c r="B29" s="276" t="n">
        <v>89.40000000000001</v>
      </c>
      <c r="C29" s="276" t="n">
        <v>6.2</v>
      </c>
      <c r="D29" s="276" t="n">
        <v>4.4</v>
      </c>
      <c r="E29" s="276" t="n">
        <v>81.7</v>
      </c>
      <c r="F29" s="276" t="n">
        <v>2.5</v>
      </c>
      <c r="G29" s="276" t="n">
        <v>15.8</v>
      </c>
      <c r="H29" s="276" t="n">
        <v>81.09999999999999</v>
      </c>
      <c r="I29" s="276" t="n">
        <v>2</v>
      </c>
      <c r="J29" s="276" t="n">
        <v>16.9</v>
      </c>
      <c r="K29" s="259" t="n">
        <v>249211</v>
      </c>
      <c r="L29" s="259" t="n">
        <v>133976</v>
      </c>
      <c r="M29" s="259" t="n">
        <v>57437</v>
      </c>
    </row>
    <row r="30" ht="14" customHeight="1" s="227">
      <c r="A30" s="28" t="inlineStr">
        <is>
          <t>- Urban Area</t>
        </is>
      </c>
      <c r="B30" s="276" t="n">
        <v>91.90000000000001</v>
      </c>
      <c r="C30" s="276" t="n">
        <v>4.4</v>
      </c>
      <c r="D30" s="276" t="n">
        <v>3.7</v>
      </c>
      <c r="E30" s="276" t="n">
        <v>85.7</v>
      </c>
      <c r="F30" s="276" t="n">
        <v>3.2</v>
      </c>
      <c r="G30" s="276" t="n">
        <v>11</v>
      </c>
      <c r="H30" s="276" t="n">
        <v>81.90000000000001</v>
      </c>
      <c r="I30" s="276" t="n">
        <v>2.5</v>
      </c>
      <c r="J30" s="276" t="n">
        <v>15.6</v>
      </c>
      <c r="K30" s="259" t="n">
        <v>42478</v>
      </c>
      <c r="L30" s="259" t="n">
        <v>29622</v>
      </c>
      <c r="M30" s="259" t="n">
        <v>18546</v>
      </c>
    </row>
    <row r="31" ht="12.5" customHeight="1" s="227">
      <c r="A31" s="28" t="inlineStr">
        <is>
          <t>- Rural Area</t>
        </is>
      </c>
      <c r="B31" s="276" t="n">
        <v>88.90000000000001</v>
      </c>
      <c r="C31" s="276" t="n">
        <v>6.6</v>
      </c>
      <c r="D31" s="276" t="n">
        <v>4.5</v>
      </c>
      <c r="E31" s="276" t="n">
        <v>80.7</v>
      </c>
      <c r="F31" s="276" t="n">
        <v>2.3</v>
      </c>
      <c r="G31" s="276" t="n">
        <v>17</v>
      </c>
      <c r="H31" s="276" t="n">
        <v>80.8</v>
      </c>
      <c r="I31" s="276" t="n">
        <v>1.7</v>
      </c>
      <c r="J31" s="276" t="n">
        <v>17.5</v>
      </c>
      <c r="K31" s="259" t="n">
        <v>206733</v>
      </c>
      <c r="L31" s="259" t="n">
        <v>104354</v>
      </c>
      <c r="M31" s="259" t="n">
        <v>38891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3.555556" customWidth="1" style="227" min="1" max="1"/>
    <col width="12" customWidth="1" style="227" min="2" max="2"/>
    <col width="12" customWidth="1" style="227" min="3" max="3"/>
    <col width="12" customWidth="1" style="227" min="4" max="4"/>
    <col width="12.222222" customWidth="1" style="227" min="5" max="5"/>
    <col width="12.222222" customWidth="1" style="227" min="6" max="6"/>
    <col width="12.222222" customWidth="1" style="227" min="7" max="7"/>
    <col width="12" customWidth="1" style="227" min="8" max="8"/>
    <col width="12" customWidth="1" style="227" min="9" max="9"/>
    <col width="12" customWidth="1" style="227" min="10" max="10"/>
    <col width="11.555556" customWidth="1" style="227" min="11" max="11"/>
    <col width="11.555556" customWidth="1" style="227" min="12" max="12"/>
    <col width="11.555556" customWidth="1" style="227" min="13" max="13"/>
  </cols>
  <sheetData>
    <row r="1" ht="31" customHeight="1" s="227">
      <c r="A1" s="2" t="inlineStr">
        <is>
          <t>Table 17: Student Flow Rates (Grade 1-4) for Female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2" t="inlineStr">
        <is>
          <t>Grade 1</t>
        </is>
      </c>
      <c r="C2" s="269" t="n"/>
      <c r="D2" s="257" t="n"/>
      <c r="E2" s="92" t="inlineStr">
        <is>
          <t>Grade 2</t>
        </is>
      </c>
      <c r="F2" s="269" t="n"/>
      <c r="G2" s="257" t="n"/>
      <c r="H2" s="92" t="inlineStr">
        <is>
          <t>Grade 3</t>
        </is>
      </c>
      <c r="I2" s="269" t="n"/>
      <c r="J2" s="257" t="n"/>
      <c r="K2" s="92" t="inlineStr">
        <is>
          <t>Grade 4</t>
        </is>
      </c>
      <c r="L2" s="269" t="n"/>
      <c r="M2" s="257" t="n"/>
    </row>
    <row r="3" ht="18" customHeight="1" s="227">
      <c r="A3" s="258" t="n"/>
      <c r="B3" s="119" t="inlineStr">
        <is>
          <t>Promotion</t>
        </is>
      </c>
      <c r="C3" s="119" t="inlineStr">
        <is>
          <t>Repetition</t>
        </is>
      </c>
      <c r="D3" s="103" t="inlineStr">
        <is>
          <t>Dropout</t>
        </is>
      </c>
      <c r="E3" s="103" t="inlineStr">
        <is>
          <t>Promotion</t>
        </is>
      </c>
      <c r="F3" s="103" t="inlineStr">
        <is>
          <t>Repetition</t>
        </is>
      </c>
      <c r="G3" s="103" t="inlineStr">
        <is>
          <t>Dropout</t>
        </is>
      </c>
      <c r="H3" s="119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19" t="inlineStr">
        <is>
          <t>Promotion</t>
        </is>
      </c>
      <c r="L3" s="119" t="inlineStr">
        <is>
          <t>Repetition</t>
        </is>
      </c>
      <c r="M3" s="103" t="inlineStr">
        <is>
          <t>Dropout</t>
        </is>
      </c>
    </row>
    <row r="4" ht="14" customHeight="1" s="227">
      <c r="A4" s="28" t="inlineStr">
        <is>
          <t>Banteay Meanchey</t>
        </is>
      </c>
      <c r="B4" s="276" t="n">
        <v>92.09999999999999</v>
      </c>
      <c r="C4" s="276" t="n">
        <v>4.9</v>
      </c>
      <c r="D4" s="276" t="n">
        <v>3.1</v>
      </c>
      <c r="E4" s="276" t="n">
        <v>93.40000000000001</v>
      </c>
      <c r="F4" s="276" t="n">
        <v>3.1</v>
      </c>
      <c r="G4" s="276" t="n">
        <v>3.5</v>
      </c>
      <c r="H4" s="276" t="n">
        <v>96</v>
      </c>
      <c r="I4" s="276" t="n">
        <v>2.6</v>
      </c>
      <c r="J4" s="276" t="n">
        <v>1.4</v>
      </c>
      <c r="K4" s="276" t="n">
        <v>92.5</v>
      </c>
      <c r="L4" s="276" t="n">
        <v>1.7</v>
      </c>
      <c r="M4" s="276" t="n">
        <v>5.8</v>
      </c>
    </row>
    <row r="5" ht="14" customHeight="1" s="227">
      <c r="A5" s="28" t="inlineStr">
        <is>
          <t>Battambang</t>
        </is>
      </c>
      <c r="B5" s="276" t="n">
        <v>85.5</v>
      </c>
      <c r="C5" s="276" t="n">
        <v>9.4</v>
      </c>
      <c r="D5" s="276" t="n">
        <v>5.1</v>
      </c>
      <c r="E5" s="276" t="n">
        <v>91</v>
      </c>
      <c r="F5" s="276" t="n">
        <v>5.9</v>
      </c>
      <c r="G5" s="276" t="n">
        <v>3.1</v>
      </c>
      <c r="H5" s="276" t="n">
        <v>91</v>
      </c>
      <c r="I5" s="276" t="n">
        <v>4.3</v>
      </c>
      <c r="J5" s="276" t="n">
        <v>4.7</v>
      </c>
      <c r="K5" s="276" t="n">
        <v>93.40000000000001</v>
      </c>
      <c r="L5" s="276" t="n">
        <v>2.8</v>
      </c>
      <c r="M5" s="276" t="n">
        <v>3.8</v>
      </c>
    </row>
    <row r="6" ht="15" customHeight="1" s="227">
      <c r="A6" s="28" t="inlineStr">
        <is>
          <t>Kampong Cham</t>
        </is>
      </c>
      <c r="B6" s="276" t="n">
        <v>85</v>
      </c>
      <c r="C6" s="276" t="n">
        <v>11.8</v>
      </c>
      <c r="D6" s="276" t="n">
        <v>3.2</v>
      </c>
      <c r="E6" s="276" t="n">
        <v>86.5</v>
      </c>
      <c r="F6" s="276" t="n">
        <v>8.699999999999999</v>
      </c>
      <c r="G6" s="276" t="n">
        <v>4.8</v>
      </c>
      <c r="H6" s="276" t="n">
        <v>89.09999999999999</v>
      </c>
      <c r="I6" s="276" t="n">
        <v>6.5</v>
      </c>
      <c r="J6" s="276" t="n">
        <v>4.3</v>
      </c>
      <c r="K6" s="276" t="n">
        <v>91.09999999999999</v>
      </c>
      <c r="L6" s="276" t="n">
        <v>5.2</v>
      </c>
      <c r="M6" s="276" t="n">
        <v>3.7</v>
      </c>
    </row>
    <row r="7" ht="14" customHeight="1" s="227">
      <c r="A7" s="28" t="inlineStr">
        <is>
          <t>Kampong Chhnang</t>
        </is>
      </c>
      <c r="B7" s="276" t="n">
        <v>91.3</v>
      </c>
      <c r="C7" s="276" t="n">
        <v>8.1</v>
      </c>
      <c r="D7" s="276" t="n">
        <v>0.6</v>
      </c>
      <c r="E7" s="276" t="n">
        <v>92.59999999999999</v>
      </c>
      <c r="F7" s="276" t="n">
        <v>5</v>
      </c>
      <c r="G7" s="276" t="n">
        <v>2.4</v>
      </c>
      <c r="H7" s="276" t="n">
        <v>93.90000000000001</v>
      </c>
      <c r="I7" s="276" t="n">
        <v>4.4</v>
      </c>
      <c r="J7" s="276" t="n">
        <v>1.7</v>
      </c>
      <c r="K7" s="276" t="n">
        <v>95.2</v>
      </c>
      <c r="L7" s="276" t="n">
        <v>3</v>
      </c>
      <c r="M7" s="276" t="n">
        <v>1.8</v>
      </c>
    </row>
    <row r="8" ht="14" customHeight="1" s="227">
      <c r="A8" s="28" t="inlineStr">
        <is>
          <t>Kampong Speu</t>
        </is>
      </c>
      <c r="B8" s="276" t="n">
        <v>91.2</v>
      </c>
      <c r="C8" s="276" t="n">
        <v>7.2</v>
      </c>
      <c r="D8" s="276" t="n">
        <v>1.6</v>
      </c>
      <c r="E8" s="276" t="n">
        <v>94.8</v>
      </c>
      <c r="F8" s="276" t="n">
        <v>4.9</v>
      </c>
      <c r="G8" s="276" t="n">
        <v>0.3</v>
      </c>
      <c r="H8" s="276" t="n">
        <v>95.8</v>
      </c>
      <c r="I8" s="276" t="n">
        <v>3.3</v>
      </c>
      <c r="J8" s="276" t="n">
        <v>0.9</v>
      </c>
      <c r="K8" s="276" t="n">
        <v>95.5</v>
      </c>
      <c r="L8" s="276" t="n">
        <v>2.4</v>
      </c>
      <c r="M8" s="276" t="n">
        <v>2.1</v>
      </c>
    </row>
    <row r="9" ht="14" customHeight="1" s="227">
      <c r="A9" s="28" t="inlineStr">
        <is>
          <t>Kampong Thom</t>
        </is>
      </c>
      <c r="B9" s="276" t="n">
        <v>84.7</v>
      </c>
      <c r="C9" s="276" t="n">
        <v>11.5</v>
      </c>
      <c r="D9" s="276" t="n">
        <v>3.8</v>
      </c>
      <c r="E9" s="276" t="n">
        <v>89.5</v>
      </c>
      <c r="F9" s="276" t="n">
        <v>7.2</v>
      </c>
      <c r="G9" s="276" t="n">
        <v>3.3</v>
      </c>
      <c r="H9" s="276" t="n">
        <v>90.90000000000001</v>
      </c>
      <c r="I9" s="276" t="n">
        <v>5.6</v>
      </c>
      <c r="J9" s="276" t="n">
        <v>3.5</v>
      </c>
      <c r="K9" s="276" t="n">
        <v>93.8</v>
      </c>
      <c r="L9" s="276" t="n">
        <v>3.4</v>
      </c>
      <c r="M9" s="276" t="n">
        <v>2.8</v>
      </c>
    </row>
    <row r="10" ht="14" customHeight="1" s="227">
      <c r="A10" s="28" t="inlineStr">
        <is>
          <t>Kampot</t>
        </is>
      </c>
      <c r="B10" s="276" t="n">
        <v>91.90000000000001</v>
      </c>
      <c r="C10" s="276" t="n">
        <v>6.4</v>
      </c>
      <c r="D10" s="276" t="n">
        <v>1.7</v>
      </c>
      <c r="E10" s="276" t="n">
        <v>93.8</v>
      </c>
      <c r="F10" s="276" t="n">
        <v>3.6</v>
      </c>
      <c r="G10" s="276" t="n">
        <v>2.6</v>
      </c>
      <c r="H10" s="276" t="n">
        <v>93.09999999999999</v>
      </c>
      <c r="I10" s="276" t="n">
        <v>3.2</v>
      </c>
      <c r="J10" s="276" t="n">
        <v>3.8</v>
      </c>
      <c r="K10" s="276" t="n">
        <v>93.8</v>
      </c>
      <c r="L10" s="276" t="n">
        <v>1.9</v>
      </c>
      <c r="M10" s="276" t="n">
        <v>4.3</v>
      </c>
    </row>
    <row r="11" ht="14" customHeight="1" s="227">
      <c r="A11" s="28" t="inlineStr">
        <is>
          <t>Kandal</t>
        </is>
      </c>
      <c r="B11" s="276" t="n">
        <v>87.2</v>
      </c>
      <c r="C11" s="276" t="n">
        <v>10.7</v>
      </c>
      <c r="D11" s="276" t="n">
        <v>2.1</v>
      </c>
      <c r="E11" s="276" t="n">
        <v>91.09999999999999</v>
      </c>
      <c r="F11" s="276" t="n">
        <v>7.5</v>
      </c>
      <c r="G11" s="276" t="n">
        <v>1.4</v>
      </c>
      <c r="H11" s="276" t="n">
        <v>92.2</v>
      </c>
      <c r="I11" s="276" t="n">
        <v>6.3</v>
      </c>
      <c r="J11" s="276" t="n">
        <v>1.5</v>
      </c>
      <c r="K11" s="276" t="n">
        <v>92.59999999999999</v>
      </c>
      <c r="L11" s="276" t="n">
        <v>4.9</v>
      </c>
      <c r="M11" s="276" t="n">
        <v>2.5</v>
      </c>
    </row>
    <row r="12" ht="14" customHeight="1" s="227">
      <c r="A12" s="28" t="inlineStr">
        <is>
          <t>Kep</t>
        </is>
      </c>
      <c r="B12" s="276" t="n">
        <v>93.7</v>
      </c>
      <c r="C12" s="276" t="n">
        <v>9.300000000000001</v>
      </c>
      <c r="D12" s="120" t="inlineStr">
        <is>
          <t>n.a.</t>
        </is>
      </c>
      <c r="E12" s="120" t="inlineStr">
        <is>
          <t>n.a.</t>
        </is>
      </c>
      <c r="F12" s="276" t="n">
        <v>3.2</v>
      </c>
      <c r="G12" s="120" t="inlineStr">
        <is>
          <t>n.a.</t>
        </is>
      </c>
      <c r="H12" s="276" t="n">
        <v>92.40000000000001</v>
      </c>
      <c r="I12" s="276" t="n">
        <v>4.2</v>
      </c>
      <c r="J12" s="276" t="n">
        <v>3.4</v>
      </c>
      <c r="K12" s="276" t="n">
        <v>91.8</v>
      </c>
      <c r="L12" s="276" t="n">
        <v>3.8</v>
      </c>
      <c r="M12" s="276" t="n">
        <v>4.3</v>
      </c>
    </row>
    <row r="13" ht="14" customHeight="1" s="227">
      <c r="A13" s="28" t="inlineStr">
        <is>
          <t>Koh Kong</t>
        </is>
      </c>
      <c r="B13" s="276" t="n">
        <v>85.2</v>
      </c>
      <c r="C13" s="276" t="n">
        <v>6.1</v>
      </c>
      <c r="D13" s="276" t="n">
        <v>8.699999999999999</v>
      </c>
      <c r="E13" s="276" t="n">
        <v>88.40000000000001</v>
      </c>
      <c r="F13" s="276" t="n">
        <v>4</v>
      </c>
      <c r="G13" s="276" t="n">
        <v>7.6</v>
      </c>
      <c r="H13" s="276" t="n">
        <v>89.8</v>
      </c>
      <c r="I13" s="276" t="n">
        <v>3.1</v>
      </c>
      <c r="J13" s="276" t="n">
        <v>7.1</v>
      </c>
      <c r="K13" s="276" t="n">
        <v>89</v>
      </c>
      <c r="L13" s="276" t="n">
        <v>1.4</v>
      </c>
      <c r="M13" s="276" t="n">
        <v>9.6</v>
      </c>
    </row>
    <row r="14" ht="14" customHeight="1" s="227">
      <c r="A14" s="28" t="inlineStr">
        <is>
          <t>Kratie</t>
        </is>
      </c>
      <c r="B14" s="276" t="n">
        <v>82.90000000000001</v>
      </c>
      <c r="C14" s="276" t="n">
        <v>11.2</v>
      </c>
      <c r="D14" s="276" t="n">
        <v>5.9</v>
      </c>
      <c r="E14" s="276" t="n">
        <v>87.5</v>
      </c>
      <c r="F14" s="276" t="n">
        <v>8</v>
      </c>
      <c r="G14" s="276" t="n">
        <v>4.5</v>
      </c>
      <c r="H14" s="276" t="n">
        <v>88.40000000000001</v>
      </c>
      <c r="I14" s="276" t="n">
        <v>5.7</v>
      </c>
      <c r="J14" s="276" t="n">
        <v>5.9</v>
      </c>
      <c r="K14" s="276" t="n">
        <v>88.59999999999999</v>
      </c>
      <c r="L14" s="276" t="n">
        <v>4.4</v>
      </c>
      <c r="M14" s="276" t="n">
        <v>7</v>
      </c>
    </row>
    <row r="15" ht="14" customHeight="1" s="227">
      <c r="A15" s="28" t="inlineStr">
        <is>
          <t>Mondul Kiri</t>
        </is>
      </c>
      <c r="B15" s="276" t="n">
        <v>81.8</v>
      </c>
      <c r="C15" s="276" t="n">
        <v>7</v>
      </c>
      <c r="D15" s="276" t="n">
        <v>11.2</v>
      </c>
      <c r="E15" s="276" t="n">
        <v>94.59999999999999</v>
      </c>
      <c r="F15" s="276" t="n">
        <v>4.4</v>
      </c>
      <c r="G15" s="276" t="n">
        <v>1</v>
      </c>
      <c r="H15" s="276" t="n">
        <v>87.2</v>
      </c>
      <c r="I15" s="276" t="n">
        <v>4.3</v>
      </c>
      <c r="J15" s="276" t="n">
        <v>8.5</v>
      </c>
      <c r="K15" s="276" t="n">
        <v>87.8</v>
      </c>
      <c r="L15" s="276" t="n">
        <v>2.5</v>
      </c>
      <c r="M15" s="276" t="n">
        <v>9.699999999999999</v>
      </c>
    </row>
    <row r="16" ht="14" customHeight="1" s="227">
      <c r="A16" s="28" t="inlineStr">
        <is>
          <t>Otdar Meanchey</t>
        </is>
      </c>
      <c r="B16" s="276" t="n">
        <v>81.40000000000001</v>
      </c>
      <c r="C16" s="276" t="n">
        <v>11.5</v>
      </c>
      <c r="D16" s="276" t="n">
        <v>7.2</v>
      </c>
      <c r="E16" s="276" t="n">
        <v>88.8</v>
      </c>
      <c r="F16" s="276" t="n">
        <v>7.9</v>
      </c>
      <c r="G16" s="276" t="n">
        <v>3.3</v>
      </c>
      <c r="H16" s="276" t="n">
        <v>89.09999999999999</v>
      </c>
      <c r="I16" s="276" t="n">
        <v>6.4</v>
      </c>
      <c r="J16" s="276" t="n">
        <v>4.6</v>
      </c>
      <c r="K16" s="276" t="n">
        <v>89.5</v>
      </c>
      <c r="L16" s="276" t="n">
        <v>3.4</v>
      </c>
      <c r="M16" s="276" t="n">
        <v>7.1</v>
      </c>
    </row>
    <row r="17" ht="14" customHeight="1" s="227">
      <c r="A17" s="28" t="inlineStr">
        <is>
          <t>Pailin</t>
        </is>
      </c>
      <c r="B17" s="276" t="n">
        <v>89.2</v>
      </c>
      <c r="C17" s="276" t="n">
        <v>6.9</v>
      </c>
      <c r="D17" s="276" t="n">
        <v>3.9</v>
      </c>
      <c r="E17" s="276" t="n">
        <v>90.90000000000001</v>
      </c>
      <c r="F17" s="276" t="n">
        <v>5.7</v>
      </c>
      <c r="G17" s="276" t="n">
        <v>3.4</v>
      </c>
      <c r="H17" s="276" t="n">
        <v>88.3</v>
      </c>
      <c r="I17" s="276" t="n">
        <v>5.3</v>
      </c>
      <c r="J17" s="276" t="n">
        <v>6.4</v>
      </c>
      <c r="K17" s="276" t="n">
        <v>92.7</v>
      </c>
      <c r="L17" s="276" t="n">
        <v>3.6</v>
      </c>
      <c r="M17" s="276" t="n">
        <v>3.7</v>
      </c>
    </row>
    <row r="18" ht="14" customHeight="1" s="227">
      <c r="A18" s="28" t="inlineStr">
        <is>
          <t>Phnom Penh</t>
        </is>
      </c>
      <c r="B18" s="276" t="n">
        <v>92.8</v>
      </c>
      <c r="C18" s="276" t="n">
        <v>4.2</v>
      </c>
      <c r="D18" s="276" t="n">
        <v>2.9</v>
      </c>
      <c r="E18" s="276" t="n">
        <v>94.40000000000001</v>
      </c>
      <c r="F18" s="276" t="n">
        <v>2.6</v>
      </c>
      <c r="G18" s="276" t="n">
        <v>3</v>
      </c>
      <c r="H18" s="276" t="n">
        <v>95.5</v>
      </c>
      <c r="I18" s="276" t="n">
        <v>1.8</v>
      </c>
      <c r="J18" s="276" t="n">
        <v>2.6</v>
      </c>
      <c r="K18" s="276" t="n">
        <v>97.09999999999999</v>
      </c>
      <c r="L18" s="276" t="n">
        <v>1.1</v>
      </c>
      <c r="M18" s="276" t="n">
        <v>1.7</v>
      </c>
    </row>
    <row r="19" ht="14" customHeight="1" s="227">
      <c r="A19" s="28" t="inlineStr">
        <is>
          <t>Preah Sihanouk</t>
        </is>
      </c>
      <c r="B19" s="276" t="n">
        <v>93.5</v>
      </c>
      <c r="C19" s="276" t="n">
        <v>4.8</v>
      </c>
      <c r="D19" s="276" t="n">
        <v>1.7</v>
      </c>
      <c r="E19" s="276" t="n">
        <v>94.2</v>
      </c>
      <c r="F19" s="276" t="n">
        <v>3.2</v>
      </c>
      <c r="G19" s="276" t="n">
        <v>2.5</v>
      </c>
      <c r="H19" s="276" t="n">
        <v>99.40000000000001</v>
      </c>
      <c r="I19" s="276" t="n">
        <v>2.3</v>
      </c>
      <c r="J19" s="120" t="inlineStr">
        <is>
          <t>n.a.</t>
        </is>
      </c>
      <c r="K19" s="276" t="n">
        <v>94.8</v>
      </c>
      <c r="L19" s="276" t="n">
        <v>1.2</v>
      </c>
      <c r="M19" s="276" t="n">
        <v>4</v>
      </c>
    </row>
    <row r="20" ht="14" customHeight="1" s="227">
      <c r="A20" s="28" t="inlineStr">
        <is>
          <t>Preah Vihear</t>
        </is>
      </c>
      <c r="B20" s="276" t="n">
        <v>79.8</v>
      </c>
      <c r="C20" s="276" t="n">
        <v>15</v>
      </c>
      <c r="D20" s="276" t="n">
        <v>5.2</v>
      </c>
      <c r="E20" s="276" t="n">
        <v>85.90000000000001</v>
      </c>
      <c r="F20" s="276" t="n">
        <v>9.1</v>
      </c>
      <c r="G20" s="276" t="n">
        <v>5</v>
      </c>
      <c r="H20" s="276" t="n">
        <v>92.59999999999999</v>
      </c>
      <c r="I20" s="276" t="n">
        <v>6.4</v>
      </c>
      <c r="J20" s="276" t="n">
        <v>1</v>
      </c>
      <c r="K20" s="276" t="n">
        <v>90</v>
      </c>
      <c r="L20" s="276" t="n">
        <v>3.5</v>
      </c>
      <c r="M20" s="276" t="n">
        <v>6.5</v>
      </c>
    </row>
    <row r="21" ht="14" customHeight="1" s="227">
      <c r="A21" s="28" t="inlineStr">
        <is>
          <t>Prey Veng</t>
        </is>
      </c>
      <c r="B21" s="276" t="n">
        <v>88.59999999999999</v>
      </c>
      <c r="C21" s="276" t="n">
        <v>9.699999999999999</v>
      </c>
      <c r="D21" s="276" t="n">
        <v>1.7</v>
      </c>
      <c r="E21" s="276" t="n">
        <v>92.40000000000001</v>
      </c>
      <c r="F21" s="276" t="n">
        <v>6.3</v>
      </c>
      <c r="G21" s="276" t="n">
        <v>1.3</v>
      </c>
      <c r="H21" s="276" t="n">
        <v>93.40000000000001</v>
      </c>
      <c r="I21" s="276" t="n">
        <v>5</v>
      </c>
      <c r="J21" s="276" t="n">
        <v>1.6</v>
      </c>
      <c r="K21" s="276" t="n">
        <v>93.90000000000001</v>
      </c>
      <c r="L21" s="276" t="n">
        <v>3.5</v>
      </c>
      <c r="M21" s="276" t="n">
        <v>2.6</v>
      </c>
    </row>
    <row r="22" ht="14" customHeight="1" s="227">
      <c r="A22" s="28" t="inlineStr">
        <is>
          <t>Pursat</t>
        </is>
      </c>
      <c r="B22" s="276" t="n">
        <v>83.5</v>
      </c>
      <c r="C22" s="276" t="n">
        <v>13</v>
      </c>
      <c r="D22" s="276" t="n">
        <v>3.5</v>
      </c>
      <c r="E22" s="276" t="n">
        <v>89.09999999999999</v>
      </c>
      <c r="F22" s="276" t="n">
        <v>7.3</v>
      </c>
      <c r="G22" s="276" t="n">
        <v>3.5</v>
      </c>
      <c r="H22" s="276" t="n">
        <v>91.90000000000001</v>
      </c>
      <c r="I22" s="276" t="n">
        <v>5.7</v>
      </c>
      <c r="J22" s="276" t="n">
        <v>2.4</v>
      </c>
      <c r="K22" s="276" t="n">
        <v>91.8</v>
      </c>
      <c r="L22" s="276" t="n">
        <v>4.2</v>
      </c>
      <c r="M22" s="276" t="n">
        <v>4.1</v>
      </c>
    </row>
    <row r="23" ht="14" customHeight="1" s="227">
      <c r="A23" s="28" t="inlineStr">
        <is>
          <t>Ratanak Kiri</t>
        </is>
      </c>
      <c r="B23" s="276" t="n">
        <v>83.40000000000001</v>
      </c>
      <c r="C23" s="276" t="n">
        <v>7.1</v>
      </c>
      <c r="D23" s="276" t="n">
        <v>9.5</v>
      </c>
      <c r="E23" s="276" t="n">
        <v>85.90000000000001</v>
      </c>
      <c r="F23" s="276" t="n">
        <v>4.3</v>
      </c>
      <c r="G23" s="276" t="n">
        <v>9.699999999999999</v>
      </c>
      <c r="H23" s="276" t="n">
        <v>88.09999999999999</v>
      </c>
      <c r="I23" s="276" t="n">
        <v>3.1</v>
      </c>
      <c r="J23" s="276" t="n">
        <v>8.800000000000001</v>
      </c>
      <c r="K23" s="276" t="n">
        <v>83.40000000000001</v>
      </c>
      <c r="L23" s="276" t="n">
        <v>1.9</v>
      </c>
      <c r="M23" s="276" t="n">
        <v>14.8</v>
      </c>
    </row>
    <row r="24" ht="14" customHeight="1" s="227">
      <c r="A24" s="28" t="inlineStr">
        <is>
          <t>Siemreap</t>
        </is>
      </c>
      <c r="B24" s="276" t="n">
        <v>85.90000000000001</v>
      </c>
      <c r="C24" s="276" t="n">
        <v>11.6</v>
      </c>
      <c r="D24" s="276" t="n">
        <v>2.5</v>
      </c>
      <c r="E24" s="276" t="n">
        <v>91.2</v>
      </c>
      <c r="F24" s="276" t="n">
        <v>6.7</v>
      </c>
      <c r="G24" s="276" t="n">
        <v>2.1</v>
      </c>
      <c r="H24" s="276" t="n">
        <v>90.90000000000001</v>
      </c>
      <c r="I24" s="276" t="n">
        <v>5.1</v>
      </c>
      <c r="J24" s="276" t="n">
        <v>4</v>
      </c>
      <c r="K24" s="276" t="n">
        <v>97.40000000000001</v>
      </c>
      <c r="L24" s="276" t="n">
        <v>3.1</v>
      </c>
      <c r="M24" s="120" t="inlineStr">
        <is>
          <t>n.a.</t>
        </is>
      </c>
    </row>
    <row r="25" ht="14" customHeight="1" s="227">
      <c r="A25" s="28" t="inlineStr">
        <is>
          <t>Stung Treng</t>
        </is>
      </c>
      <c r="B25" s="276" t="n">
        <v>77.2</v>
      </c>
      <c r="C25" s="276" t="n">
        <v>19.1</v>
      </c>
      <c r="D25" s="276" t="n">
        <v>3.7</v>
      </c>
      <c r="E25" s="276" t="n">
        <v>82.40000000000001</v>
      </c>
      <c r="F25" s="276" t="n">
        <v>12</v>
      </c>
      <c r="G25" s="276" t="n">
        <v>5.7</v>
      </c>
      <c r="H25" s="276" t="n">
        <v>83.90000000000001</v>
      </c>
      <c r="I25" s="276" t="n">
        <v>6.7</v>
      </c>
      <c r="J25" s="276" t="n">
        <v>9.4</v>
      </c>
      <c r="K25" s="276" t="n">
        <v>89.2</v>
      </c>
      <c r="L25" s="276" t="n">
        <v>5</v>
      </c>
      <c r="M25" s="276" t="n">
        <v>5.8</v>
      </c>
    </row>
    <row r="26" ht="14" customHeight="1" s="227">
      <c r="A26" s="28" t="inlineStr">
        <is>
          <t>Svay Rieng</t>
        </is>
      </c>
      <c r="B26" s="276" t="n">
        <v>93.40000000000001</v>
      </c>
      <c r="C26" s="276" t="n">
        <v>6.7</v>
      </c>
      <c r="D26" s="120" t="inlineStr">
        <is>
          <t>n.a.</t>
        </is>
      </c>
      <c r="E26" s="276" t="n">
        <v>94.5</v>
      </c>
      <c r="F26" s="276" t="n">
        <v>3.8</v>
      </c>
      <c r="G26" s="276" t="n">
        <v>1.7</v>
      </c>
      <c r="H26" s="276" t="n">
        <v>95.3</v>
      </c>
      <c r="I26" s="276" t="n">
        <v>2.9</v>
      </c>
      <c r="J26" s="276" t="n">
        <v>1.8</v>
      </c>
      <c r="K26" s="276" t="n">
        <v>96.3</v>
      </c>
      <c r="L26" s="276" t="n">
        <v>2</v>
      </c>
      <c r="M26" s="276" t="n">
        <v>1.7</v>
      </c>
    </row>
    <row r="27" ht="14" customHeight="1" s="227">
      <c r="A27" s="28" t="inlineStr">
        <is>
          <t>Takeo</t>
        </is>
      </c>
      <c r="B27" s="276" t="n">
        <v>91.40000000000001</v>
      </c>
      <c r="C27" s="276" t="n">
        <v>8.1</v>
      </c>
      <c r="D27" s="276" t="n">
        <v>0.5</v>
      </c>
      <c r="E27" s="276" t="n">
        <v>92.59999999999999</v>
      </c>
      <c r="F27" s="276" t="n">
        <v>6.1</v>
      </c>
      <c r="G27" s="276" t="n">
        <v>1.3</v>
      </c>
      <c r="H27" s="276" t="n">
        <v>93.3</v>
      </c>
      <c r="I27" s="276" t="n">
        <v>4.9</v>
      </c>
      <c r="J27" s="276" t="n">
        <v>1.9</v>
      </c>
      <c r="K27" s="276" t="n">
        <v>94.40000000000001</v>
      </c>
      <c r="L27" s="276" t="n">
        <v>3.4</v>
      </c>
      <c r="M27" s="276" t="n">
        <v>2.1</v>
      </c>
    </row>
    <row r="28" ht="14" customHeight="1" s="227">
      <c r="A28" s="28" t="inlineStr">
        <is>
          <t>Tbaung Khmum</t>
        </is>
      </c>
      <c r="B28" s="276" t="n">
        <v>86.90000000000001</v>
      </c>
      <c r="C28" s="276" t="n">
        <v>8</v>
      </c>
      <c r="D28" s="276" t="n">
        <v>5.1</v>
      </c>
      <c r="E28" s="276" t="n">
        <v>88.90000000000001</v>
      </c>
      <c r="F28" s="276" t="n">
        <v>6.2</v>
      </c>
      <c r="G28" s="276" t="n">
        <v>5</v>
      </c>
      <c r="H28" s="276" t="n">
        <v>89.7</v>
      </c>
      <c r="I28" s="276" t="n">
        <v>4.7</v>
      </c>
      <c r="J28" s="276" t="n">
        <v>5.6</v>
      </c>
      <c r="K28" s="276" t="n">
        <v>91.90000000000001</v>
      </c>
      <c r="L28" s="276" t="n">
        <v>3.8</v>
      </c>
      <c r="M28" s="276" t="n">
        <v>4.2</v>
      </c>
    </row>
    <row r="29" ht="15" customHeight="1" s="227">
      <c r="A29" s="22" t="inlineStr">
        <is>
          <t>Whole Kingdom</t>
        </is>
      </c>
      <c r="B29" s="276" t="n">
        <v>87.5</v>
      </c>
      <c r="C29" s="276" t="n">
        <v>9.300000000000001</v>
      </c>
      <c r="D29" s="276" t="n">
        <v>3.2</v>
      </c>
      <c r="E29" s="276" t="n">
        <v>91</v>
      </c>
      <c r="F29" s="276" t="n">
        <v>6</v>
      </c>
      <c r="G29" s="276" t="n">
        <v>3</v>
      </c>
      <c r="H29" s="276" t="n">
        <v>92.2</v>
      </c>
      <c r="I29" s="276" t="n">
        <v>4.6</v>
      </c>
      <c r="J29" s="276" t="n">
        <v>3.2</v>
      </c>
      <c r="K29" s="276" t="n">
        <v>93.40000000000001</v>
      </c>
      <c r="L29" s="276" t="n">
        <v>3.2</v>
      </c>
      <c r="M29" s="276" t="n">
        <v>3.4</v>
      </c>
    </row>
    <row r="30" ht="14" customHeight="1" s="227">
      <c r="A30" s="28" t="inlineStr">
        <is>
          <t>- Urban Area</t>
        </is>
      </c>
      <c r="B30" s="276" t="n">
        <v>89.3</v>
      </c>
      <c r="C30" s="276" t="n">
        <v>7.2</v>
      </c>
      <c r="D30" s="276" t="n">
        <v>3.4</v>
      </c>
      <c r="E30" s="276" t="n">
        <v>93.3</v>
      </c>
      <c r="F30" s="276" t="n">
        <v>4.1</v>
      </c>
      <c r="G30" s="276" t="n">
        <v>2.6</v>
      </c>
      <c r="H30" s="276" t="n">
        <v>94.5</v>
      </c>
      <c r="I30" s="276" t="n">
        <v>2.8</v>
      </c>
      <c r="J30" s="276" t="n">
        <v>2.7</v>
      </c>
      <c r="K30" s="276" t="n">
        <v>96.90000000000001</v>
      </c>
      <c r="L30" s="276" t="n">
        <v>1.7</v>
      </c>
      <c r="M30" s="276" t="n">
        <v>1.3</v>
      </c>
    </row>
    <row r="31" ht="12.5" customHeight="1" s="227">
      <c r="A31" s="28" t="inlineStr">
        <is>
          <t>- Rural Area</t>
        </is>
      </c>
      <c r="B31" s="276" t="n">
        <v>87.09999999999999</v>
      </c>
      <c r="C31" s="276" t="n">
        <v>9.6</v>
      </c>
      <c r="D31" s="276" t="n">
        <v>3.2</v>
      </c>
      <c r="E31" s="276" t="n">
        <v>90.59999999999999</v>
      </c>
      <c r="F31" s="276" t="n">
        <v>6.4</v>
      </c>
      <c r="G31" s="276" t="n">
        <v>3</v>
      </c>
      <c r="H31" s="276" t="n">
        <v>91.7</v>
      </c>
      <c r="I31" s="276" t="n">
        <v>4.9</v>
      </c>
      <c r="J31" s="276" t="n">
        <v>3.3</v>
      </c>
      <c r="K31" s="276" t="n">
        <v>92.7</v>
      </c>
      <c r="L31" s="276" t="n">
        <v>3.5</v>
      </c>
      <c r="M31" s="276" t="n">
        <v>3.8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5.111111" customWidth="1" style="227" min="1" max="1"/>
    <col width="11.777778" customWidth="1" style="227" min="2" max="2"/>
    <col width="11.777778" customWidth="1" style="227" min="3" max="3"/>
    <col width="12" customWidth="1" style="227" min="4" max="4"/>
    <col width="11.777778" customWidth="1" style="227" min="5" max="5"/>
    <col width="11.777778" customWidth="1" style="227" min="6" max="6"/>
    <col width="11.777778" customWidth="1" style="227" min="7" max="7"/>
    <col width="11.777778" customWidth="1" style="227" min="8" max="8"/>
    <col width="11.777778" customWidth="1" style="227" min="9" max="9"/>
    <col width="11.777778" customWidth="1" style="227" min="10" max="10"/>
    <col width="11.777778" customWidth="1" style="227" min="11" max="11"/>
    <col width="11.777778" customWidth="1" style="227" min="12" max="12"/>
    <col width="12" customWidth="1" style="227" min="13" max="13"/>
  </cols>
  <sheetData>
    <row r="1" ht="31" customHeight="1" s="227">
      <c r="A1" s="2" t="inlineStr">
        <is>
          <t>Table 18: Student Flow Rates (Grade 5-8) for Female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2" t="inlineStr">
        <is>
          <t>Grade 5</t>
        </is>
      </c>
      <c r="C2" s="269" t="n"/>
      <c r="D2" s="257" t="n"/>
      <c r="E2" s="92" t="inlineStr">
        <is>
          <t>Grade 6</t>
        </is>
      </c>
      <c r="F2" s="269" t="n"/>
      <c r="G2" s="257" t="n"/>
      <c r="H2" s="92" t="inlineStr">
        <is>
          <t>Grade 7</t>
        </is>
      </c>
      <c r="I2" s="269" t="n"/>
      <c r="J2" s="257" t="n"/>
      <c r="K2" s="92" t="inlineStr">
        <is>
          <t>Grade 8</t>
        </is>
      </c>
      <c r="L2" s="269" t="n"/>
      <c r="M2" s="257" t="n"/>
    </row>
    <row r="3" ht="18" customHeight="1" s="227">
      <c r="A3" s="258" t="n"/>
      <c r="B3" s="119" t="inlineStr">
        <is>
          <t>Promotion</t>
        </is>
      </c>
      <c r="C3" s="119" t="inlineStr">
        <is>
          <t>Repetition</t>
        </is>
      </c>
      <c r="D3" s="103" t="inlineStr">
        <is>
          <t>Dropout</t>
        </is>
      </c>
      <c r="E3" s="119" t="inlineStr">
        <is>
          <t>Promotion</t>
        </is>
      </c>
      <c r="F3" s="119" t="inlineStr">
        <is>
          <t>Repetition</t>
        </is>
      </c>
      <c r="G3" s="103" t="inlineStr">
        <is>
          <t>Dropout</t>
        </is>
      </c>
      <c r="H3" s="119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19" t="inlineStr">
        <is>
          <t>Promotion</t>
        </is>
      </c>
      <c r="L3" s="103" t="inlineStr">
        <is>
          <t>Repetition</t>
        </is>
      </c>
      <c r="M3" s="103" t="inlineStr">
        <is>
          <t>Dropout</t>
        </is>
      </c>
    </row>
    <row r="4" ht="14" customHeight="1" s="227">
      <c r="A4" s="28" t="inlineStr">
        <is>
          <t>Banteay Meanchey</t>
        </is>
      </c>
      <c r="B4" s="276" t="n">
        <v>96.2</v>
      </c>
      <c r="C4" s="276" t="n">
        <v>1.1</v>
      </c>
      <c r="D4" s="276" t="n">
        <v>2.7</v>
      </c>
      <c r="E4" s="276" t="n">
        <v>93.3</v>
      </c>
      <c r="F4" s="276" t="n">
        <v>0.7</v>
      </c>
      <c r="G4" s="276" t="n">
        <v>6</v>
      </c>
      <c r="H4" s="276" t="n">
        <v>84</v>
      </c>
      <c r="I4" s="276" t="n">
        <v>1</v>
      </c>
      <c r="J4" s="276" t="n">
        <v>15</v>
      </c>
      <c r="K4" s="276" t="n">
        <v>86.59999999999999</v>
      </c>
      <c r="L4" s="276" t="n">
        <v>0.7</v>
      </c>
      <c r="M4" s="276" t="n">
        <v>12.7</v>
      </c>
    </row>
    <row r="5" ht="14" customHeight="1" s="227">
      <c r="A5" s="28" t="inlineStr">
        <is>
          <t>Battambang</t>
        </is>
      </c>
      <c r="B5" s="276" t="n">
        <v>93.59999999999999</v>
      </c>
      <c r="C5" s="276" t="n">
        <v>1.8</v>
      </c>
      <c r="D5" s="276" t="n">
        <v>4.6</v>
      </c>
      <c r="E5" s="276" t="n">
        <v>91.8</v>
      </c>
      <c r="F5" s="276" t="n">
        <v>1.5</v>
      </c>
      <c r="G5" s="276" t="n">
        <v>6.8</v>
      </c>
      <c r="H5" s="276" t="n">
        <v>82.3</v>
      </c>
      <c r="I5" s="276" t="n">
        <v>1.8</v>
      </c>
      <c r="J5" s="276" t="n">
        <v>15.9</v>
      </c>
      <c r="K5" s="276" t="n">
        <v>83</v>
      </c>
      <c r="L5" s="276" t="n">
        <v>1.2</v>
      </c>
      <c r="M5" s="276" t="n">
        <v>15.7</v>
      </c>
    </row>
    <row r="6" ht="15" customHeight="1" s="227">
      <c r="A6" s="28" t="inlineStr">
        <is>
          <t>Kampong Cham</t>
        </is>
      </c>
      <c r="B6" s="276" t="n">
        <v>92.90000000000001</v>
      </c>
      <c r="C6" s="276" t="n">
        <v>4.2</v>
      </c>
      <c r="D6" s="276" t="n">
        <v>2.9</v>
      </c>
      <c r="E6" s="276" t="n">
        <v>91.59999999999999</v>
      </c>
      <c r="F6" s="276" t="n">
        <v>2.8</v>
      </c>
      <c r="G6" s="276" t="n">
        <v>5.7</v>
      </c>
      <c r="H6" s="276" t="n">
        <v>84.59999999999999</v>
      </c>
      <c r="I6" s="276" t="n">
        <v>2.3</v>
      </c>
      <c r="J6" s="276" t="n">
        <v>13.2</v>
      </c>
      <c r="K6" s="276" t="n">
        <v>85.2</v>
      </c>
      <c r="L6" s="276" t="n">
        <v>1.3</v>
      </c>
      <c r="M6" s="276" t="n">
        <v>13.4</v>
      </c>
    </row>
    <row r="7" ht="14" customHeight="1" s="227">
      <c r="A7" s="28" t="inlineStr">
        <is>
          <t>Kampong Chhnang</t>
        </is>
      </c>
      <c r="B7" s="276" t="n">
        <v>97.09999999999999</v>
      </c>
      <c r="C7" s="276" t="n">
        <v>1.7</v>
      </c>
      <c r="D7" s="276" t="n">
        <v>1.2</v>
      </c>
      <c r="E7" s="276" t="n">
        <v>96</v>
      </c>
      <c r="F7" s="276" t="n">
        <v>1.1</v>
      </c>
      <c r="G7" s="276" t="n">
        <v>2.9</v>
      </c>
      <c r="H7" s="276" t="n">
        <v>87.8</v>
      </c>
      <c r="I7" s="276" t="n">
        <v>1.2</v>
      </c>
      <c r="J7" s="276" t="n">
        <v>11.1</v>
      </c>
      <c r="K7" s="276" t="n">
        <v>86.09999999999999</v>
      </c>
      <c r="L7" s="276" t="n">
        <v>0.7</v>
      </c>
      <c r="M7" s="276" t="n">
        <v>13.2</v>
      </c>
    </row>
    <row r="8" ht="14" customHeight="1" s="227">
      <c r="A8" s="28" t="inlineStr">
        <is>
          <t>Kampong Speu</t>
        </is>
      </c>
      <c r="B8" s="276" t="n">
        <v>94.2</v>
      </c>
      <c r="C8" s="276" t="n">
        <v>2.1</v>
      </c>
      <c r="D8" s="276" t="n">
        <v>3.7</v>
      </c>
      <c r="E8" s="276" t="n">
        <v>94.40000000000001</v>
      </c>
      <c r="F8" s="276" t="n">
        <v>2.3</v>
      </c>
      <c r="G8" s="276" t="n">
        <v>3.2</v>
      </c>
      <c r="H8" s="276" t="n">
        <v>81.40000000000001</v>
      </c>
      <c r="I8" s="276" t="n">
        <v>0.6</v>
      </c>
      <c r="J8" s="276" t="n">
        <v>18</v>
      </c>
      <c r="K8" s="276" t="n">
        <v>79</v>
      </c>
      <c r="L8" s="276" t="n">
        <v>0.3</v>
      </c>
      <c r="M8" s="276" t="n">
        <v>20.8</v>
      </c>
    </row>
    <row r="9" ht="14" customHeight="1" s="227">
      <c r="A9" s="28" t="inlineStr">
        <is>
          <t>Kampong Thom</t>
        </is>
      </c>
      <c r="B9" s="276" t="n">
        <v>92.7</v>
      </c>
      <c r="C9" s="276" t="n">
        <v>2.5</v>
      </c>
      <c r="D9" s="276" t="n">
        <v>4.7</v>
      </c>
      <c r="E9" s="276" t="n">
        <v>91.40000000000001</v>
      </c>
      <c r="F9" s="276" t="n">
        <v>1.7</v>
      </c>
      <c r="G9" s="276" t="n">
        <v>6.9</v>
      </c>
      <c r="H9" s="276" t="n">
        <v>81.7</v>
      </c>
      <c r="I9" s="276" t="n">
        <v>2.3</v>
      </c>
      <c r="J9" s="276" t="n">
        <v>16</v>
      </c>
      <c r="K9" s="276" t="n">
        <v>86.2</v>
      </c>
      <c r="L9" s="276" t="n">
        <v>0.8</v>
      </c>
      <c r="M9" s="276" t="n">
        <v>13</v>
      </c>
    </row>
    <row r="10" ht="14" customHeight="1" s="227">
      <c r="A10" s="28" t="inlineStr">
        <is>
          <t>Kampot</t>
        </is>
      </c>
      <c r="B10" s="276" t="n">
        <v>94</v>
      </c>
      <c r="C10" s="276" t="n">
        <v>1.5</v>
      </c>
      <c r="D10" s="276" t="n">
        <v>4.5</v>
      </c>
      <c r="E10" s="276" t="n">
        <v>93.5</v>
      </c>
      <c r="F10" s="276" t="n">
        <v>1</v>
      </c>
      <c r="G10" s="276" t="n">
        <v>5.5</v>
      </c>
      <c r="H10" s="276" t="n">
        <v>83.90000000000001</v>
      </c>
      <c r="I10" s="276" t="n">
        <v>1.1</v>
      </c>
      <c r="J10" s="276" t="n">
        <v>15.1</v>
      </c>
      <c r="K10" s="276" t="n">
        <v>83.7</v>
      </c>
      <c r="L10" s="276" t="n">
        <v>0.6</v>
      </c>
      <c r="M10" s="276" t="n">
        <v>15.6</v>
      </c>
    </row>
    <row r="11" ht="14" customHeight="1" s="227">
      <c r="A11" s="28" t="inlineStr">
        <is>
          <t>Kandal</t>
        </is>
      </c>
      <c r="B11" s="276" t="n">
        <v>91.8</v>
      </c>
      <c r="C11" s="276" t="n">
        <v>3.7</v>
      </c>
      <c r="D11" s="276" t="n">
        <v>4.5</v>
      </c>
      <c r="E11" s="276" t="n">
        <v>94.40000000000001</v>
      </c>
      <c r="F11" s="276" t="n">
        <v>2.2</v>
      </c>
      <c r="G11" s="276" t="n">
        <v>3.4</v>
      </c>
      <c r="H11" s="276" t="n">
        <v>85.5</v>
      </c>
      <c r="I11" s="276" t="n">
        <v>1.7</v>
      </c>
      <c r="J11" s="276" t="n">
        <v>12.9</v>
      </c>
      <c r="K11" s="276" t="n">
        <v>86.7</v>
      </c>
      <c r="L11" s="276" t="n">
        <v>1.3</v>
      </c>
      <c r="M11" s="276" t="n">
        <v>11.9</v>
      </c>
    </row>
    <row r="12" ht="14" customHeight="1" s="227">
      <c r="A12" s="28" t="inlineStr">
        <is>
          <t>Kep</t>
        </is>
      </c>
      <c r="B12" s="276" t="n">
        <v>93.40000000000001</v>
      </c>
      <c r="C12" s="276" t="n">
        <v>1.1</v>
      </c>
      <c r="D12" s="276" t="n">
        <v>5.4</v>
      </c>
      <c r="E12" s="276" t="n">
        <v>90.59999999999999</v>
      </c>
      <c r="F12" s="276" t="n">
        <v>2.1</v>
      </c>
      <c r="G12" s="276" t="n">
        <v>7.4</v>
      </c>
      <c r="H12" s="276" t="n">
        <v>77.59999999999999</v>
      </c>
      <c r="I12" s="276" t="n">
        <v>2.8</v>
      </c>
      <c r="J12" s="276" t="n">
        <v>19.6</v>
      </c>
      <c r="K12" s="276" t="n">
        <v>80.09999999999999</v>
      </c>
      <c r="L12" s="276" t="n">
        <v>1.1</v>
      </c>
      <c r="M12" s="276" t="n">
        <v>18.8</v>
      </c>
    </row>
    <row r="13" ht="14" customHeight="1" s="227">
      <c r="A13" s="28" t="inlineStr">
        <is>
          <t>Koh Kong</t>
        </is>
      </c>
      <c r="B13" s="276" t="n">
        <v>98.7</v>
      </c>
      <c r="C13" s="276" t="n">
        <v>0.8</v>
      </c>
      <c r="D13" s="276" t="n">
        <v>0.5</v>
      </c>
      <c r="E13" s="276" t="n">
        <v>92.90000000000001</v>
      </c>
      <c r="F13" s="276" t="n">
        <v>0.8</v>
      </c>
      <c r="G13" s="276" t="n">
        <v>6.3</v>
      </c>
      <c r="H13" s="276" t="n">
        <v>84.2</v>
      </c>
      <c r="I13" s="276" t="n">
        <v>0.8</v>
      </c>
      <c r="J13" s="276" t="n">
        <v>15</v>
      </c>
      <c r="K13" s="276" t="n">
        <v>86.2</v>
      </c>
      <c r="L13" s="276" t="n">
        <v>0.5</v>
      </c>
      <c r="M13" s="276" t="n">
        <v>13.3</v>
      </c>
    </row>
    <row r="14" ht="14" customHeight="1" s="227">
      <c r="A14" s="28" t="inlineStr">
        <is>
          <t>Kratie</t>
        </is>
      </c>
      <c r="B14" s="276" t="n">
        <v>88.59999999999999</v>
      </c>
      <c r="C14" s="276" t="n">
        <v>3.4</v>
      </c>
      <c r="D14" s="276" t="n">
        <v>8</v>
      </c>
      <c r="E14" s="276" t="n">
        <v>87.09999999999999</v>
      </c>
      <c r="F14" s="276" t="n">
        <v>2.1</v>
      </c>
      <c r="G14" s="276" t="n">
        <v>10.8</v>
      </c>
      <c r="H14" s="276" t="n">
        <v>77.40000000000001</v>
      </c>
      <c r="I14" s="276" t="n">
        <v>1.5</v>
      </c>
      <c r="J14" s="276" t="n">
        <v>21.1</v>
      </c>
      <c r="K14" s="276" t="n">
        <v>78</v>
      </c>
      <c r="L14" s="276" t="n">
        <v>0.4</v>
      </c>
      <c r="M14" s="276" t="n">
        <v>21.7</v>
      </c>
    </row>
    <row r="15" ht="14" customHeight="1" s="227">
      <c r="A15" s="28" t="inlineStr">
        <is>
          <t>Mondul Kiri</t>
        </is>
      </c>
      <c r="B15" s="276" t="n">
        <v>89.40000000000001</v>
      </c>
      <c r="C15" s="276" t="n">
        <v>1.2</v>
      </c>
      <c r="D15" s="276" t="n">
        <v>9.4</v>
      </c>
      <c r="E15" s="276" t="n">
        <v>93.5</v>
      </c>
      <c r="F15" s="276" t="n">
        <v>1.1</v>
      </c>
      <c r="G15" s="276" t="n">
        <v>5.4</v>
      </c>
      <c r="H15" s="276" t="n">
        <v>84.8</v>
      </c>
      <c r="I15" s="276" t="n">
        <v>1.5</v>
      </c>
      <c r="J15" s="276" t="n">
        <v>13.7</v>
      </c>
      <c r="K15" s="276" t="n">
        <v>86.59999999999999</v>
      </c>
      <c r="L15" s="276" t="n">
        <v>1</v>
      </c>
      <c r="M15" s="276" t="n">
        <v>12.4</v>
      </c>
    </row>
    <row r="16" ht="14" customHeight="1" s="227">
      <c r="A16" s="28" t="inlineStr">
        <is>
          <t>Otdar Meanchey</t>
        </is>
      </c>
      <c r="B16" s="276" t="n">
        <v>91.2</v>
      </c>
      <c r="C16" s="276" t="n">
        <v>2.8</v>
      </c>
      <c r="D16" s="276" t="n">
        <v>6</v>
      </c>
      <c r="E16" s="276" t="n">
        <v>83.90000000000001</v>
      </c>
      <c r="F16" s="276" t="n">
        <v>1.6</v>
      </c>
      <c r="G16" s="276" t="n">
        <v>14.5</v>
      </c>
      <c r="H16" s="276" t="n">
        <v>81.90000000000001</v>
      </c>
      <c r="I16" s="276" t="n">
        <v>2</v>
      </c>
      <c r="J16" s="276" t="n">
        <v>16.2</v>
      </c>
      <c r="K16" s="276" t="n">
        <v>84.8</v>
      </c>
      <c r="L16" s="276" t="n">
        <v>1.1</v>
      </c>
      <c r="M16" s="276" t="n">
        <v>14.1</v>
      </c>
    </row>
    <row r="17" ht="14" customHeight="1" s="227">
      <c r="A17" s="28" t="inlineStr">
        <is>
          <t>Pailin</t>
        </is>
      </c>
      <c r="B17" s="276" t="n">
        <v>94.59999999999999</v>
      </c>
      <c r="C17" s="276" t="n">
        <v>1.2</v>
      </c>
      <c r="D17" s="276" t="n">
        <v>4.2</v>
      </c>
      <c r="E17" s="276" t="n">
        <v>93</v>
      </c>
      <c r="F17" s="276" t="n">
        <v>0.4</v>
      </c>
      <c r="G17" s="276" t="n">
        <v>6.6</v>
      </c>
      <c r="H17" s="276" t="n">
        <v>78.2</v>
      </c>
      <c r="I17" s="276" t="n">
        <v>5.6</v>
      </c>
      <c r="J17" s="276" t="n">
        <v>16.2</v>
      </c>
      <c r="K17" s="276" t="n">
        <v>87.3</v>
      </c>
      <c r="L17" s="276" t="n">
        <v>1.9</v>
      </c>
      <c r="M17" s="276" t="n">
        <v>10.8</v>
      </c>
    </row>
    <row r="18" ht="14" customHeight="1" s="227">
      <c r="A18" s="28" t="inlineStr">
        <is>
          <t>Phnom Penh</t>
        </is>
      </c>
      <c r="B18" s="276" t="n">
        <v>95.2</v>
      </c>
      <c r="C18" s="276" t="n">
        <v>0.9</v>
      </c>
      <c r="D18" s="276" t="n">
        <v>3.9</v>
      </c>
      <c r="E18" s="276" t="n">
        <v>94.59999999999999</v>
      </c>
      <c r="F18" s="276" t="n">
        <v>0.5</v>
      </c>
      <c r="G18" s="276" t="n">
        <v>4.9</v>
      </c>
      <c r="H18" s="276" t="n">
        <v>88.09999999999999</v>
      </c>
      <c r="I18" s="276" t="n">
        <v>1.7</v>
      </c>
      <c r="J18" s="276" t="n">
        <v>10.2</v>
      </c>
      <c r="K18" s="276" t="n">
        <v>94.5</v>
      </c>
      <c r="L18" s="276" t="n">
        <v>1.7</v>
      </c>
      <c r="M18" s="276" t="n">
        <v>3.9</v>
      </c>
    </row>
    <row r="19" ht="14" customHeight="1" s="227">
      <c r="A19" s="28" t="inlineStr">
        <is>
          <t>Preah Sihanouk</t>
        </is>
      </c>
      <c r="B19" s="276" t="n">
        <v>97.5</v>
      </c>
      <c r="C19" s="276" t="n">
        <v>1.3</v>
      </c>
      <c r="D19" s="276" t="n">
        <v>1.3</v>
      </c>
      <c r="E19" s="276" t="n">
        <v>87.5</v>
      </c>
      <c r="F19" s="276" t="n">
        <v>0.5</v>
      </c>
      <c r="G19" s="276" t="n">
        <v>11.9</v>
      </c>
      <c r="H19" s="276" t="n">
        <v>76</v>
      </c>
      <c r="I19" s="276" t="n">
        <v>2.5</v>
      </c>
      <c r="J19" s="276" t="n">
        <v>21.5</v>
      </c>
      <c r="K19" s="276" t="n">
        <v>80.09999999999999</v>
      </c>
      <c r="L19" s="276" t="n">
        <v>1.2</v>
      </c>
      <c r="M19" s="276" t="n">
        <v>18.8</v>
      </c>
    </row>
    <row r="20" ht="14" customHeight="1" s="227">
      <c r="A20" s="28" t="inlineStr">
        <is>
          <t>Preah Vihear</t>
        </is>
      </c>
      <c r="B20" s="276" t="n">
        <v>90</v>
      </c>
      <c r="C20" s="276" t="n">
        <v>2.2</v>
      </c>
      <c r="D20" s="276" t="n">
        <v>7.8</v>
      </c>
      <c r="E20" s="276" t="n">
        <v>91.3</v>
      </c>
      <c r="F20" s="276" t="n">
        <v>1.3</v>
      </c>
      <c r="G20" s="276" t="n">
        <v>7.4</v>
      </c>
      <c r="H20" s="276" t="n">
        <v>85.09999999999999</v>
      </c>
      <c r="I20" s="276" t="n">
        <v>1</v>
      </c>
      <c r="J20" s="276" t="n">
        <v>13.8</v>
      </c>
      <c r="K20" s="276" t="n">
        <v>88.8</v>
      </c>
      <c r="L20" s="276" t="n">
        <v>0.8</v>
      </c>
      <c r="M20" s="276" t="n">
        <v>10.4</v>
      </c>
    </row>
    <row r="21" ht="14" customHeight="1" s="227">
      <c r="A21" s="28" t="inlineStr">
        <is>
          <t>Prey Veng</t>
        </is>
      </c>
      <c r="B21" s="276" t="n">
        <v>94.59999999999999</v>
      </c>
      <c r="C21" s="276" t="n">
        <v>3.2</v>
      </c>
      <c r="D21" s="276" t="n">
        <v>2.2</v>
      </c>
      <c r="E21" s="276" t="n">
        <v>95.3</v>
      </c>
      <c r="F21" s="276" t="n">
        <v>2.1</v>
      </c>
      <c r="G21" s="276" t="n">
        <v>2.6</v>
      </c>
      <c r="H21" s="276" t="n">
        <v>86.40000000000001</v>
      </c>
      <c r="I21" s="276" t="n">
        <v>0.5</v>
      </c>
      <c r="J21" s="276" t="n">
        <v>13.1</v>
      </c>
      <c r="K21" s="276" t="n">
        <v>83.40000000000001</v>
      </c>
      <c r="L21" s="276" t="n">
        <v>0.3</v>
      </c>
      <c r="M21" s="276" t="n">
        <v>16.3</v>
      </c>
    </row>
    <row r="22" ht="14" customHeight="1" s="227">
      <c r="A22" s="28" t="inlineStr">
        <is>
          <t>Pursat</t>
        </is>
      </c>
      <c r="B22" s="276" t="n">
        <v>94</v>
      </c>
      <c r="C22" s="276" t="n">
        <v>3.1</v>
      </c>
      <c r="D22" s="276" t="n">
        <v>2.9</v>
      </c>
      <c r="E22" s="276" t="n">
        <v>92.40000000000001</v>
      </c>
      <c r="F22" s="276" t="n">
        <v>1.4</v>
      </c>
      <c r="G22" s="276" t="n">
        <v>6.2</v>
      </c>
      <c r="H22" s="276" t="n">
        <v>84.40000000000001</v>
      </c>
      <c r="I22" s="276" t="n">
        <v>1.2</v>
      </c>
      <c r="J22" s="276" t="n">
        <v>14.4</v>
      </c>
      <c r="K22" s="276" t="n">
        <v>83.09999999999999</v>
      </c>
      <c r="L22" s="276" t="n">
        <v>0.7</v>
      </c>
      <c r="M22" s="276" t="n">
        <v>16.2</v>
      </c>
    </row>
    <row r="23" ht="14" customHeight="1" s="227">
      <c r="A23" s="28" t="inlineStr">
        <is>
          <t>Ratanak Kiri</t>
        </is>
      </c>
      <c r="B23" s="276" t="n">
        <v>83.3</v>
      </c>
      <c r="C23" s="276" t="n">
        <v>1.8</v>
      </c>
      <c r="D23" s="276" t="n">
        <v>14.9</v>
      </c>
      <c r="E23" s="276" t="n">
        <v>87.7</v>
      </c>
      <c r="F23" s="276" t="n">
        <v>0.8</v>
      </c>
      <c r="G23" s="276" t="n">
        <v>11.4</v>
      </c>
      <c r="H23" s="276" t="n">
        <v>83.2</v>
      </c>
      <c r="I23" s="276" t="n">
        <v>0.3</v>
      </c>
      <c r="J23" s="276" t="n">
        <v>16.5</v>
      </c>
      <c r="K23" s="276" t="n">
        <v>94.09999999999999</v>
      </c>
      <c r="L23" s="276" t="n">
        <v>0.3</v>
      </c>
      <c r="M23" s="276" t="n">
        <v>5.6</v>
      </c>
    </row>
    <row r="24" ht="14" customHeight="1" s="227">
      <c r="A24" s="28" t="inlineStr">
        <is>
          <t>Siemreap</t>
        </is>
      </c>
      <c r="B24" s="276" t="n">
        <v>94.59999999999999</v>
      </c>
      <c r="C24" s="276" t="n">
        <v>2.1</v>
      </c>
      <c r="D24" s="276" t="n">
        <v>3.3</v>
      </c>
      <c r="E24" s="276" t="n">
        <v>91.5</v>
      </c>
      <c r="F24" s="276" t="n">
        <v>1.5</v>
      </c>
      <c r="G24" s="276" t="n">
        <v>6.9</v>
      </c>
      <c r="H24" s="276" t="n">
        <v>84.09999999999999</v>
      </c>
      <c r="I24" s="276" t="n">
        <v>2.7</v>
      </c>
      <c r="J24" s="276" t="n">
        <v>13.2</v>
      </c>
      <c r="K24" s="276" t="n">
        <v>87.40000000000001</v>
      </c>
      <c r="L24" s="276" t="n">
        <v>1.7</v>
      </c>
      <c r="M24" s="276" t="n">
        <v>10.9</v>
      </c>
    </row>
    <row r="25" ht="14" customHeight="1" s="227">
      <c r="A25" s="28" t="inlineStr">
        <is>
          <t>Stung Treng</t>
        </is>
      </c>
      <c r="B25" s="276" t="n">
        <v>84.09999999999999</v>
      </c>
      <c r="C25" s="276" t="n">
        <v>3.5</v>
      </c>
      <c r="D25" s="276" t="n">
        <v>12.4</v>
      </c>
      <c r="E25" s="276" t="n">
        <v>75.09999999999999</v>
      </c>
      <c r="F25" s="276" t="n">
        <v>2</v>
      </c>
      <c r="G25" s="276" t="n">
        <v>22.9</v>
      </c>
      <c r="H25" s="276" t="n">
        <v>80.5</v>
      </c>
      <c r="I25" s="276" t="n">
        <v>0.3</v>
      </c>
      <c r="J25" s="276" t="n">
        <v>19.2</v>
      </c>
      <c r="K25" s="276" t="n">
        <v>87.8</v>
      </c>
      <c r="L25" s="276" t="n">
        <v>0.4</v>
      </c>
      <c r="M25" s="276" t="n">
        <v>11.8</v>
      </c>
    </row>
    <row r="26" ht="14" customHeight="1" s="227">
      <c r="A26" s="28" t="inlineStr">
        <is>
          <t>Svay Rieng</t>
        </is>
      </c>
      <c r="B26" s="276" t="n">
        <v>96.7</v>
      </c>
      <c r="C26" s="276" t="n">
        <v>1.5</v>
      </c>
      <c r="D26" s="276" t="n">
        <v>1.8</v>
      </c>
      <c r="E26" s="276" t="n">
        <v>97.8</v>
      </c>
      <c r="F26" s="276" t="n">
        <v>0.9</v>
      </c>
      <c r="G26" s="276" t="n">
        <v>1.2</v>
      </c>
      <c r="H26" s="276" t="n">
        <v>85.90000000000001</v>
      </c>
      <c r="I26" s="276" t="n">
        <v>1.4</v>
      </c>
      <c r="J26" s="276" t="n">
        <v>12.7</v>
      </c>
      <c r="K26" s="276" t="n">
        <v>85.40000000000001</v>
      </c>
      <c r="L26" s="276" t="n">
        <v>0.8</v>
      </c>
      <c r="M26" s="276" t="n">
        <v>13.8</v>
      </c>
    </row>
    <row r="27" ht="14" customHeight="1" s="227">
      <c r="A27" s="28" t="inlineStr">
        <is>
          <t>Takeo</t>
        </is>
      </c>
      <c r="B27" s="276" t="n">
        <v>95.09999999999999</v>
      </c>
      <c r="C27" s="276" t="n">
        <v>2.9</v>
      </c>
      <c r="D27" s="276" t="n">
        <v>1.9</v>
      </c>
      <c r="E27" s="276" t="n">
        <v>94.7</v>
      </c>
      <c r="F27" s="276" t="n">
        <v>2.1</v>
      </c>
      <c r="G27" s="276" t="n">
        <v>3.2</v>
      </c>
      <c r="H27" s="276" t="n">
        <v>89.40000000000001</v>
      </c>
      <c r="I27" s="276" t="n">
        <v>1.4</v>
      </c>
      <c r="J27" s="276" t="n">
        <v>9.199999999999999</v>
      </c>
      <c r="K27" s="276" t="n">
        <v>87.3</v>
      </c>
      <c r="L27" s="276" t="n">
        <v>1.1</v>
      </c>
      <c r="M27" s="276" t="n">
        <v>11.5</v>
      </c>
    </row>
    <row r="28" ht="14" customHeight="1" s="227">
      <c r="A28" s="28" t="inlineStr">
        <is>
          <t>Tbaung Khmum</t>
        </is>
      </c>
      <c r="B28" s="276" t="n">
        <v>92.7</v>
      </c>
      <c r="C28" s="276" t="n">
        <v>2.4</v>
      </c>
      <c r="D28" s="276" t="n">
        <v>4.9</v>
      </c>
      <c r="E28" s="276" t="n">
        <v>90.09999999999999</v>
      </c>
      <c r="F28" s="276" t="n">
        <v>1.9</v>
      </c>
      <c r="G28" s="276" t="n">
        <v>8</v>
      </c>
      <c r="H28" s="276" t="n">
        <v>78.7</v>
      </c>
      <c r="I28" s="276" t="n">
        <v>2.1</v>
      </c>
      <c r="J28" s="276" t="n">
        <v>19.2</v>
      </c>
      <c r="K28" s="276" t="n">
        <v>81.40000000000001</v>
      </c>
      <c r="L28" s="276" t="n">
        <v>1</v>
      </c>
      <c r="M28" s="276" t="n">
        <v>17.5</v>
      </c>
    </row>
    <row r="29" ht="15" customHeight="1" s="227">
      <c r="A29" s="22" t="inlineStr">
        <is>
          <t>Whole Kingdom</t>
        </is>
      </c>
      <c r="B29" s="276" t="n">
        <v>93.7</v>
      </c>
      <c r="C29" s="276" t="n">
        <v>2.4</v>
      </c>
      <c r="D29" s="276" t="n">
        <v>4</v>
      </c>
      <c r="E29" s="276" t="n">
        <v>92.7</v>
      </c>
      <c r="F29" s="276" t="n">
        <v>1.6</v>
      </c>
      <c r="G29" s="276" t="n">
        <v>5.7</v>
      </c>
      <c r="H29" s="276" t="n">
        <v>84.2</v>
      </c>
      <c r="I29" s="276" t="n">
        <v>1.6</v>
      </c>
      <c r="J29" s="276" t="n">
        <v>14.2</v>
      </c>
      <c r="K29" s="276" t="n">
        <v>85.5</v>
      </c>
      <c r="L29" s="276" t="n">
        <v>1</v>
      </c>
      <c r="M29" s="276" t="n">
        <v>13.5</v>
      </c>
    </row>
    <row r="30" ht="14" customHeight="1" s="227">
      <c r="A30" s="28" t="inlineStr">
        <is>
          <t>- Urban Area</t>
        </is>
      </c>
      <c r="B30" s="276" t="n">
        <v>95.40000000000001</v>
      </c>
      <c r="C30" s="276" t="n">
        <v>1.2</v>
      </c>
      <c r="D30" s="276" t="n">
        <v>3.4</v>
      </c>
      <c r="E30" s="276" t="n">
        <v>93.90000000000001</v>
      </c>
      <c r="F30" s="276" t="n">
        <v>0.7</v>
      </c>
      <c r="G30" s="276" t="n">
        <v>5.4</v>
      </c>
      <c r="H30" s="276" t="n">
        <v>85.59999999999999</v>
      </c>
      <c r="I30" s="276" t="n">
        <v>2</v>
      </c>
      <c r="J30" s="276" t="n">
        <v>12.4</v>
      </c>
      <c r="K30" s="276" t="n">
        <v>92.40000000000001</v>
      </c>
      <c r="L30" s="276" t="n">
        <v>1.6</v>
      </c>
      <c r="M30" s="276" t="n">
        <v>6</v>
      </c>
    </row>
    <row r="31" ht="12.5" customHeight="1" s="227">
      <c r="A31" s="28" t="inlineStr">
        <is>
          <t>- Rural Area</t>
        </is>
      </c>
      <c r="B31" s="276" t="n">
        <v>93.3</v>
      </c>
      <c r="C31" s="276" t="n">
        <v>2.6</v>
      </c>
      <c r="D31" s="276" t="n">
        <v>4.1</v>
      </c>
      <c r="E31" s="276" t="n">
        <v>92.40000000000001</v>
      </c>
      <c r="F31" s="276" t="n">
        <v>1.8</v>
      </c>
      <c r="G31" s="276" t="n">
        <v>5.8</v>
      </c>
      <c r="H31" s="276" t="n">
        <v>83.90000000000001</v>
      </c>
      <c r="I31" s="276" t="n">
        <v>1.5</v>
      </c>
      <c r="J31" s="276" t="n">
        <v>14.6</v>
      </c>
      <c r="K31" s="276" t="n">
        <v>83.90000000000001</v>
      </c>
      <c r="L31" s="276" t="n">
        <v>0.8</v>
      </c>
      <c r="M31" s="276" t="n">
        <v>15.2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3.555556" customWidth="1" style="227" min="1" max="1"/>
    <col width="12" customWidth="1" style="227" min="2" max="2"/>
    <col width="12" customWidth="1" style="227" min="3" max="3"/>
    <col width="12" customWidth="1" style="227" min="4" max="4"/>
    <col width="12.444444" customWidth="1" style="227" min="5" max="5"/>
    <col width="12.444444" customWidth="1" style="227" min="6" max="6"/>
    <col width="12.222222" customWidth="1" style="227" min="7" max="7"/>
    <col width="12" customWidth="1" style="227" min="8" max="8"/>
    <col width="11.777778" customWidth="1" style="227" min="9" max="9"/>
    <col width="11.777778" customWidth="1" style="227" min="10" max="10"/>
    <col width="11.777778" customWidth="1" style="227" min="11" max="11"/>
    <col width="11.555556" customWidth="1" style="227" min="12" max="12"/>
    <col width="11.777778" customWidth="1" style="227" min="13" max="13"/>
  </cols>
  <sheetData>
    <row r="1" ht="31" customHeight="1" s="227">
      <c r="A1" s="2" t="inlineStr">
        <is>
          <t>Table 19: Student Flow Rates (Grade 9-12) for Female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4" customHeight="1" s="227">
      <c r="A2" s="35" t="inlineStr">
        <is>
          <t>Province</t>
        </is>
      </c>
      <c r="B2" s="92" t="inlineStr">
        <is>
          <t>Grade 9</t>
        </is>
      </c>
      <c r="C2" s="269" t="n"/>
      <c r="D2" s="257" t="n"/>
      <c r="E2" s="92" t="inlineStr">
        <is>
          <t>Grade 10</t>
        </is>
      </c>
      <c r="F2" s="269" t="n"/>
      <c r="G2" s="257" t="n"/>
      <c r="H2" s="92" t="inlineStr">
        <is>
          <t>Grade 11</t>
        </is>
      </c>
      <c r="I2" s="269" t="n"/>
      <c r="J2" s="257" t="n"/>
      <c r="K2" s="92" t="inlineStr">
        <is>
          <t>Grade 12</t>
        </is>
      </c>
      <c r="L2" s="269" t="n"/>
      <c r="M2" s="257" t="n"/>
    </row>
    <row r="3" ht="19" customHeight="1" s="227">
      <c r="A3" s="258" t="n"/>
      <c r="B3" s="119" t="inlineStr">
        <is>
          <t>Promotion</t>
        </is>
      </c>
      <c r="C3" s="119" t="inlineStr">
        <is>
          <t>Repetition</t>
        </is>
      </c>
      <c r="D3" s="103" t="inlineStr">
        <is>
          <t>Dropout</t>
        </is>
      </c>
      <c r="E3" s="119" t="inlineStr">
        <is>
          <t>Promotion</t>
        </is>
      </c>
      <c r="F3" s="103" t="inlineStr">
        <is>
          <t>Repetition</t>
        </is>
      </c>
      <c r="G3" s="102" t="inlineStr">
        <is>
          <t>Dropout</t>
        </is>
      </c>
      <c r="H3" s="103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19" t="inlineStr">
        <is>
          <t>Promotion</t>
        </is>
      </c>
      <c r="L3" s="119" t="inlineStr">
        <is>
          <t>Repetition</t>
        </is>
      </c>
      <c r="M3" s="103" t="inlineStr">
        <is>
          <t>Dropout</t>
        </is>
      </c>
    </row>
    <row r="4" ht="14" customHeight="1" s="227">
      <c r="A4" s="28" t="inlineStr">
        <is>
          <t>Banteay Meanchey</t>
        </is>
      </c>
      <c r="B4" s="276" t="n">
        <v>84.09999999999999</v>
      </c>
      <c r="C4" s="276" t="n">
        <v>1.6</v>
      </c>
      <c r="D4" s="276" t="n">
        <v>14.4</v>
      </c>
      <c r="E4" s="276" t="n">
        <v>86</v>
      </c>
      <c r="F4" s="276" t="n">
        <v>0.3</v>
      </c>
      <c r="G4" s="276" t="n">
        <v>13.7</v>
      </c>
      <c r="H4" s="276" t="n">
        <v>91.7</v>
      </c>
      <c r="I4" s="276" t="n">
        <v>0.5</v>
      </c>
      <c r="J4" s="276" t="n">
        <v>7.7</v>
      </c>
      <c r="K4" s="276" t="n">
        <v>56.5</v>
      </c>
      <c r="L4" s="276" t="n">
        <v>4.4</v>
      </c>
      <c r="M4" s="276" t="n">
        <v>39.1</v>
      </c>
    </row>
    <row r="5" ht="14" customHeight="1" s="227">
      <c r="A5" s="28" t="inlineStr">
        <is>
          <t>Battambang</t>
        </is>
      </c>
      <c r="B5" s="276" t="n">
        <v>82.5</v>
      </c>
      <c r="C5" s="276" t="n">
        <v>3.1</v>
      </c>
      <c r="D5" s="276" t="n">
        <v>14.4</v>
      </c>
      <c r="E5" s="276" t="n">
        <v>84.59999999999999</v>
      </c>
      <c r="F5" s="276" t="n">
        <v>0.7</v>
      </c>
      <c r="G5" s="276" t="n">
        <v>14.7</v>
      </c>
      <c r="H5" s="276" t="n">
        <v>93.2</v>
      </c>
      <c r="I5" s="276" t="n">
        <v>0.9</v>
      </c>
      <c r="J5" s="276" t="n">
        <v>5.9</v>
      </c>
      <c r="K5" s="276" t="n">
        <v>71.59999999999999</v>
      </c>
      <c r="L5" s="276" t="n">
        <v>4.4</v>
      </c>
      <c r="M5" s="276" t="n">
        <v>24.1</v>
      </c>
    </row>
    <row r="6" ht="14" customHeight="1" s="227">
      <c r="A6" s="28" t="inlineStr">
        <is>
          <t>Kampong Cham</t>
        </is>
      </c>
      <c r="B6" s="276" t="n">
        <v>82.7</v>
      </c>
      <c r="C6" s="276" t="n">
        <v>1.9</v>
      </c>
      <c r="D6" s="276" t="n">
        <v>15.4</v>
      </c>
      <c r="E6" s="276" t="n">
        <v>82.3</v>
      </c>
      <c r="F6" s="276" t="n">
        <v>1.1</v>
      </c>
      <c r="G6" s="276" t="n">
        <v>16.6</v>
      </c>
      <c r="H6" s="276" t="n">
        <v>92.2</v>
      </c>
      <c r="I6" s="276" t="n">
        <v>0.3</v>
      </c>
      <c r="J6" s="276" t="n">
        <v>7.6</v>
      </c>
      <c r="K6" s="276" t="n">
        <v>59.5</v>
      </c>
      <c r="L6" s="276" t="n">
        <v>4.3</v>
      </c>
      <c r="M6" s="276" t="n">
        <v>36.2</v>
      </c>
    </row>
    <row r="7" ht="14" customHeight="1" s="227">
      <c r="A7" s="28" t="inlineStr">
        <is>
          <t>Kampong Chhnang</t>
        </is>
      </c>
      <c r="B7" s="276" t="n">
        <v>84.3</v>
      </c>
      <c r="C7" s="276" t="n">
        <v>1.2</v>
      </c>
      <c r="D7" s="276" t="n">
        <v>14.5</v>
      </c>
      <c r="E7" s="276" t="n">
        <v>83.2</v>
      </c>
      <c r="F7" s="276" t="n">
        <v>0.4</v>
      </c>
      <c r="G7" s="276" t="n">
        <v>16.4</v>
      </c>
      <c r="H7" s="276" t="n">
        <v>90.90000000000001</v>
      </c>
      <c r="I7" s="276" t="n">
        <v>0.3</v>
      </c>
      <c r="J7" s="276" t="n">
        <v>8.699999999999999</v>
      </c>
      <c r="K7" s="276" t="n">
        <v>67.90000000000001</v>
      </c>
      <c r="L7" s="276" t="n">
        <v>4.8</v>
      </c>
      <c r="M7" s="276" t="n">
        <v>27.3</v>
      </c>
    </row>
    <row r="8" ht="14" customHeight="1" s="227">
      <c r="A8" s="28" t="inlineStr">
        <is>
          <t>Kampong Speu</t>
        </is>
      </c>
      <c r="B8" s="276" t="n">
        <v>77.3</v>
      </c>
      <c r="C8" s="276" t="n">
        <v>1.3</v>
      </c>
      <c r="D8" s="276" t="n">
        <v>21.3</v>
      </c>
      <c r="E8" s="276" t="n">
        <v>81.40000000000001</v>
      </c>
      <c r="F8" s="276" t="n">
        <v>0.1</v>
      </c>
      <c r="G8" s="276" t="n">
        <v>18.5</v>
      </c>
      <c r="H8" s="276" t="n">
        <v>90.40000000000001</v>
      </c>
      <c r="I8" s="276" t="n">
        <v>0</v>
      </c>
      <c r="J8" s="276" t="n">
        <v>9.6</v>
      </c>
      <c r="K8" s="276" t="n">
        <v>86.40000000000001</v>
      </c>
      <c r="L8" s="276" t="n">
        <v>1.6</v>
      </c>
      <c r="M8" s="276" t="n">
        <v>12</v>
      </c>
    </row>
    <row r="9" ht="14" customHeight="1" s="227">
      <c r="A9" s="28" t="inlineStr">
        <is>
          <t>Kampong Thom</t>
        </is>
      </c>
      <c r="B9" s="276" t="n">
        <v>87.09999999999999</v>
      </c>
      <c r="C9" s="276" t="n">
        <v>2.2</v>
      </c>
      <c r="D9" s="276" t="n">
        <v>10.7</v>
      </c>
      <c r="E9" s="276" t="n">
        <v>87.40000000000001</v>
      </c>
      <c r="F9" s="276" t="n">
        <v>0.3</v>
      </c>
      <c r="G9" s="276" t="n">
        <v>12.3</v>
      </c>
      <c r="H9" s="276" t="n">
        <v>93.8</v>
      </c>
      <c r="I9" s="276" t="n">
        <v>0.4</v>
      </c>
      <c r="J9" s="276" t="n">
        <v>5.9</v>
      </c>
      <c r="K9" s="276" t="n">
        <v>75.59999999999999</v>
      </c>
      <c r="L9" s="276" t="n">
        <v>2</v>
      </c>
      <c r="M9" s="276" t="n">
        <v>22.4</v>
      </c>
    </row>
    <row r="10" ht="14" customHeight="1" s="227">
      <c r="A10" s="28" t="inlineStr">
        <is>
          <t>Kampot</t>
        </is>
      </c>
      <c r="B10" s="276" t="n">
        <v>84.40000000000001</v>
      </c>
      <c r="C10" s="276" t="n">
        <v>1.7</v>
      </c>
      <c r="D10" s="276" t="n">
        <v>13.9</v>
      </c>
      <c r="E10" s="276" t="n">
        <v>82.09999999999999</v>
      </c>
      <c r="F10" s="276" t="n">
        <v>0.6</v>
      </c>
      <c r="G10" s="276" t="n">
        <v>17.4</v>
      </c>
      <c r="H10" s="276" t="n">
        <v>90.40000000000001</v>
      </c>
      <c r="I10" s="276" t="n">
        <v>0.4</v>
      </c>
      <c r="J10" s="276" t="n">
        <v>9.199999999999999</v>
      </c>
      <c r="K10" s="276" t="n">
        <v>79.2</v>
      </c>
      <c r="L10" s="276" t="n">
        <v>1.9</v>
      </c>
      <c r="M10" s="276" t="n">
        <v>18.9</v>
      </c>
    </row>
    <row r="11" ht="14" customHeight="1" s="227">
      <c r="A11" s="28" t="inlineStr">
        <is>
          <t>Kandal</t>
        </is>
      </c>
      <c r="B11" s="276" t="n">
        <v>85.90000000000001</v>
      </c>
      <c r="C11" s="276" t="n">
        <v>1.4</v>
      </c>
      <c r="D11" s="276" t="n">
        <v>12.7</v>
      </c>
      <c r="E11" s="276" t="n">
        <v>89</v>
      </c>
      <c r="F11" s="276" t="n">
        <v>0.6</v>
      </c>
      <c r="G11" s="276" t="n">
        <v>10.4</v>
      </c>
      <c r="H11" s="276" t="n">
        <v>94.2</v>
      </c>
      <c r="I11" s="276" t="n">
        <v>0.5</v>
      </c>
      <c r="J11" s="276" t="n">
        <v>5.2</v>
      </c>
      <c r="K11" s="276" t="n">
        <v>70.2</v>
      </c>
      <c r="L11" s="276" t="n">
        <v>4.7</v>
      </c>
      <c r="M11" s="276" t="n">
        <v>25.1</v>
      </c>
    </row>
    <row r="12" ht="14" customHeight="1" s="227">
      <c r="A12" s="28" t="inlineStr">
        <is>
          <t>Kep</t>
        </is>
      </c>
      <c r="B12" s="276" t="n">
        <v>82.8</v>
      </c>
      <c r="C12" s="276" t="n">
        <v>2</v>
      </c>
      <c r="D12" s="276" t="n">
        <v>15.2</v>
      </c>
      <c r="E12" s="276" t="n">
        <v>90.8</v>
      </c>
      <c r="F12" s="276" t="n">
        <v>0.9</v>
      </c>
      <c r="G12" s="276" t="n">
        <v>8.300000000000001</v>
      </c>
      <c r="H12" s="276" t="n">
        <v>90.90000000000001</v>
      </c>
      <c r="I12" s="276" t="n">
        <v>0</v>
      </c>
      <c r="J12" s="276" t="n">
        <v>9.1</v>
      </c>
      <c r="K12" s="276" t="n">
        <v>95.40000000000001</v>
      </c>
      <c r="L12" s="276" t="n">
        <v>0.8</v>
      </c>
      <c r="M12" s="276" t="n">
        <v>3.8</v>
      </c>
    </row>
    <row r="13" ht="14" customHeight="1" s="227">
      <c r="A13" s="28" t="inlineStr">
        <is>
          <t>Koh Kong</t>
        </is>
      </c>
      <c r="B13" s="276" t="n">
        <v>76.90000000000001</v>
      </c>
      <c r="C13" s="276" t="n">
        <v>2.1</v>
      </c>
      <c r="D13" s="276" t="n">
        <v>20.9</v>
      </c>
      <c r="E13" s="276" t="n">
        <v>84.40000000000001</v>
      </c>
      <c r="F13" s="276" t="n">
        <v>0</v>
      </c>
      <c r="G13" s="276" t="n">
        <v>15.6</v>
      </c>
      <c r="H13" s="276" t="n">
        <v>95.2</v>
      </c>
      <c r="I13" s="276" t="n">
        <v>0</v>
      </c>
      <c r="J13" s="276" t="n">
        <v>4.8</v>
      </c>
      <c r="K13" s="276" t="n">
        <v>27.2</v>
      </c>
      <c r="L13" s="276" t="n">
        <v>2.5</v>
      </c>
      <c r="M13" s="276" t="n">
        <v>70.3</v>
      </c>
    </row>
    <row r="14" ht="14" customHeight="1" s="227">
      <c r="A14" s="28" t="inlineStr">
        <is>
          <t>Kratie</t>
        </is>
      </c>
      <c r="B14" s="276" t="n">
        <v>78.3</v>
      </c>
      <c r="C14" s="276" t="n">
        <v>1.6</v>
      </c>
      <c r="D14" s="276" t="n">
        <v>20</v>
      </c>
      <c r="E14" s="276" t="n">
        <v>87.90000000000001</v>
      </c>
      <c r="F14" s="276" t="n">
        <v>0.5</v>
      </c>
      <c r="G14" s="276" t="n">
        <v>11.6</v>
      </c>
      <c r="H14" s="276" t="n">
        <v>91.7</v>
      </c>
      <c r="I14" s="276" t="n">
        <v>0.6</v>
      </c>
      <c r="J14" s="276" t="n">
        <v>7.8</v>
      </c>
      <c r="K14" s="276" t="n">
        <v>55.5</v>
      </c>
      <c r="L14" s="276" t="n">
        <v>3.6</v>
      </c>
      <c r="M14" s="276" t="n">
        <v>40.9</v>
      </c>
    </row>
    <row r="15" ht="14" customHeight="1" s="227">
      <c r="A15" s="28" t="inlineStr">
        <is>
          <t>Mondul Kiri</t>
        </is>
      </c>
      <c r="B15" s="276" t="n">
        <v>87</v>
      </c>
      <c r="C15" s="276" t="n">
        <v>2.4</v>
      </c>
      <c r="D15" s="276" t="n">
        <v>10.6</v>
      </c>
      <c r="E15" s="276" t="n">
        <v>86.3</v>
      </c>
      <c r="F15" s="276" t="n">
        <v>0.7</v>
      </c>
      <c r="G15" s="276" t="n">
        <v>13.1</v>
      </c>
      <c r="H15" s="276" t="n">
        <v>96.8</v>
      </c>
      <c r="I15" s="276" t="n">
        <v>0</v>
      </c>
      <c r="J15" s="276" t="n">
        <v>3.2</v>
      </c>
      <c r="K15" s="276" t="n">
        <v>94.5</v>
      </c>
      <c r="L15" s="276" t="n">
        <v>0.6</v>
      </c>
      <c r="M15" s="276" t="n">
        <v>4.8</v>
      </c>
    </row>
    <row r="16" ht="14" customHeight="1" s="227">
      <c r="A16" s="28" t="inlineStr">
        <is>
          <t>Otdar Meanchey</t>
        </is>
      </c>
      <c r="B16" s="276" t="n">
        <v>76.40000000000001</v>
      </c>
      <c r="C16" s="276" t="n">
        <v>3.8</v>
      </c>
      <c r="D16" s="276" t="n">
        <v>19.9</v>
      </c>
      <c r="E16" s="276" t="n">
        <v>87.2</v>
      </c>
      <c r="F16" s="276" t="n">
        <v>1</v>
      </c>
      <c r="G16" s="276" t="n">
        <v>11.9</v>
      </c>
      <c r="H16" s="276" t="n">
        <v>92.7</v>
      </c>
      <c r="I16" s="276" t="n">
        <v>0</v>
      </c>
      <c r="J16" s="276" t="n">
        <v>7.3</v>
      </c>
      <c r="K16" s="276" t="n">
        <v>87.59999999999999</v>
      </c>
      <c r="L16" s="276" t="n">
        <v>0.9</v>
      </c>
      <c r="M16" s="276" t="n">
        <v>11.5</v>
      </c>
    </row>
    <row r="17" ht="14" customHeight="1" s="227">
      <c r="A17" s="28" t="inlineStr">
        <is>
          <t>Pailin</t>
        </is>
      </c>
      <c r="B17" s="276" t="n">
        <v>82.59999999999999</v>
      </c>
      <c r="C17" s="276" t="n">
        <v>0.9</v>
      </c>
      <c r="D17" s="276" t="n">
        <v>16.4</v>
      </c>
      <c r="E17" s="276" t="n">
        <v>89.5</v>
      </c>
      <c r="F17" s="276" t="n">
        <v>1.9</v>
      </c>
      <c r="G17" s="276" t="n">
        <v>8.6</v>
      </c>
      <c r="H17" s="276" t="n">
        <v>95.8</v>
      </c>
      <c r="I17" s="276" t="n">
        <v>0.5</v>
      </c>
      <c r="J17" s="276" t="n">
        <v>3.7</v>
      </c>
      <c r="K17" s="276" t="n">
        <v>59</v>
      </c>
      <c r="L17" s="276" t="n">
        <v>4</v>
      </c>
      <c r="M17" s="276" t="n">
        <v>37</v>
      </c>
    </row>
    <row r="18" ht="14" customHeight="1" s="227">
      <c r="A18" s="28" t="inlineStr">
        <is>
          <t>Phnom Penh</t>
        </is>
      </c>
      <c r="B18" s="276" t="n">
        <v>88.3</v>
      </c>
      <c r="C18" s="276" t="n">
        <v>2.1</v>
      </c>
      <c r="D18" s="276" t="n">
        <v>9.6</v>
      </c>
      <c r="E18" s="276" t="n">
        <v>92.2</v>
      </c>
      <c r="F18" s="276" t="n">
        <v>0.7</v>
      </c>
      <c r="G18" s="276" t="n">
        <v>7.1</v>
      </c>
      <c r="H18" s="120" t="inlineStr">
        <is>
          <t>n.a.</t>
        </is>
      </c>
      <c r="I18" s="276" t="n">
        <v>0.8</v>
      </c>
      <c r="J18" s="120" t="inlineStr">
        <is>
          <t>n.a.</t>
        </is>
      </c>
      <c r="K18" s="276" t="n">
        <v>51.3</v>
      </c>
      <c r="L18" s="276" t="n">
        <v>6</v>
      </c>
      <c r="M18" s="276" t="n">
        <v>42.7</v>
      </c>
    </row>
    <row r="19" ht="14" customHeight="1" s="227">
      <c r="A19" s="28" t="inlineStr">
        <is>
          <t>Preah Sihanouk</t>
        </is>
      </c>
      <c r="B19" s="276" t="n">
        <v>76.09999999999999</v>
      </c>
      <c r="C19" s="276" t="n">
        <v>2</v>
      </c>
      <c r="D19" s="276" t="n">
        <v>21.9</v>
      </c>
      <c r="E19" s="276" t="n">
        <v>87.8</v>
      </c>
      <c r="F19" s="276" t="n">
        <v>0.6</v>
      </c>
      <c r="G19" s="276" t="n">
        <v>11.6</v>
      </c>
      <c r="H19" s="276" t="n">
        <v>92.5</v>
      </c>
      <c r="I19" s="276" t="n">
        <v>0.2</v>
      </c>
      <c r="J19" s="276" t="n">
        <v>7.4</v>
      </c>
      <c r="K19" s="276" t="n">
        <v>79</v>
      </c>
      <c r="L19" s="276" t="n">
        <v>1.3</v>
      </c>
      <c r="M19" s="276" t="n">
        <v>19.6</v>
      </c>
    </row>
    <row r="20" ht="14" customHeight="1" s="227">
      <c r="A20" s="28" t="inlineStr">
        <is>
          <t>Preah Vihear</t>
        </is>
      </c>
      <c r="B20" s="276" t="n">
        <v>87.90000000000001</v>
      </c>
      <c r="C20" s="276" t="n">
        <v>0.6</v>
      </c>
      <c r="D20" s="276" t="n">
        <v>11.5</v>
      </c>
      <c r="E20" s="276" t="n">
        <v>75</v>
      </c>
      <c r="F20" s="276" t="n">
        <v>0</v>
      </c>
      <c r="G20" s="276" t="n">
        <v>25</v>
      </c>
      <c r="H20" s="276" t="n">
        <v>84.7</v>
      </c>
      <c r="I20" s="276" t="n">
        <v>0</v>
      </c>
      <c r="J20" s="276" t="n">
        <v>15.3</v>
      </c>
      <c r="K20" s="276" t="n">
        <v>83</v>
      </c>
      <c r="L20" s="276" t="n">
        <v>0.9</v>
      </c>
      <c r="M20" s="276" t="n">
        <v>16.2</v>
      </c>
    </row>
    <row r="21" ht="14" customHeight="1" s="227">
      <c r="A21" s="28" t="inlineStr">
        <is>
          <t>Prey Veng</t>
        </is>
      </c>
      <c r="B21" s="276" t="n">
        <v>81.8</v>
      </c>
      <c r="C21" s="276" t="n">
        <v>0.8</v>
      </c>
      <c r="D21" s="276" t="n">
        <v>17.3</v>
      </c>
      <c r="E21" s="276" t="n">
        <v>83.09999999999999</v>
      </c>
      <c r="F21" s="276" t="n">
        <v>0.7</v>
      </c>
      <c r="G21" s="276" t="n">
        <v>16.1</v>
      </c>
      <c r="H21" s="276" t="n">
        <v>90.8</v>
      </c>
      <c r="I21" s="276" t="n">
        <v>0.6</v>
      </c>
      <c r="J21" s="276" t="n">
        <v>8.6</v>
      </c>
      <c r="K21" s="276" t="n">
        <v>83.7</v>
      </c>
      <c r="L21" s="276" t="n">
        <v>2.6</v>
      </c>
      <c r="M21" s="276" t="n">
        <v>13.7</v>
      </c>
    </row>
    <row r="22" ht="15" customHeight="1" s="227">
      <c r="A22" s="28" t="inlineStr">
        <is>
          <t>Pursat</t>
        </is>
      </c>
      <c r="B22" s="276" t="n">
        <v>86.2</v>
      </c>
      <c r="C22" s="276" t="n">
        <v>1.6</v>
      </c>
      <c r="D22" s="276" t="n">
        <v>12.2</v>
      </c>
      <c r="E22" s="276" t="n">
        <v>80.59999999999999</v>
      </c>
      <c r="F22" s="276" t="n">
        <v>0.7</v>
      </c>
      <c r="G22" s="276" t="n">
        <v>18.6</v>
      </c>
      <c r="H22" s="276" t="n">
        <v>90.59999999999999</v>
      </c>
      <c r="I22" s="276" t="n">
        <v>0.7</v>
      </c>
      <c r="J22" s="276" t="n">
        <v>8.800000000000001</v>
      </c>
      <c r="K22" s="276" t="n">
        <v>61.5</v>
      </c>
      <c r="L22" s="276" t="n">
        <v>3.6</v>
      </c>
      <c r="M22" s="276" t="n">
        <v>34.9</v>
      </c>
    </row>
    <row r="23" ht="14" customHeight="1" s="227">
      <c r="A23" s="28" t="inlineStr">
        <is>
          <t>Ratanak Kiri</t>
        </is>
      </c>
      <c r="B23" s="276" t="n">
        <v>82.8</v>
      </c>
      <c r="C23" s="276" t="n">
        <v>3.9</v>
      </c>
      <c r="D23" s="276" t="n">
        <v>13.3</v>
      </c>
      <c r="E23" s="276" t="n">
        <v>89.40000000000001</v>
      </c>
      <c r="F23" s="276" t="n">
        <v>0</v>
      </c>
      <c r="G23" s="276" t="n">
        <v>10.6</v>
      </c>
      <c r="H23" s="276" t="n">
        <v>93.2</v>
      </c>
      <c r="I23" s="276" t="n">
        <v>0</v>
      </c>
      <c r="J23" s="276" t="n">
        <v>6.8</v>
      </c>
      <c r="K23" s="276" t="n">
        <v>88</v>
      </c>
      <c r="L23" s="276" t="n">
        <v>0</v>
      </c>
      <c r="M23" s="276" t="n">
        <v>12</v>
      </c>
    </row>
    <row r="24" ht="14" customHeight="1" s="227">
      <c r="A24" s="28" t="inlineStr">
        <is>
          <t>Siemreap</t>
        </is>
      </c>
      <c r="B24" s="276" t="n">
        <v>81.8</v>
      </c>
      <c r="C24" s="276" t="n">
        <v>2.9</v>
      </c>
      <c r="D24" s="276" t="n">
        <v>15.3</v>
      </c>
      <c r="E24" s="276" t="n">
        <v>87.59999999999999</v>
      </c>
      <c r="F24" s="276" t="n">
        <v>1.6</v>
      </c>
      <c r="G24" s="276" t="n">
        <v>10.8</v>
      </c>
      <c r="H24" s="276" t="n">
        <v>93.2</v>
      </c>
      <c r="I24" s="276" t="n">
        <v>0.9</v>
      </c>
      <c r="J24" s="276" t="n">
        <v>5.9</v>
      </c>
      <c r="K24" s="276" t="n">
        <v>75.2</v>
      </c>
      <c r="L24" s="276" t="n">
        <v>2.7</v>
      </c>
      <c r="M24" s="276" t="n">
        <v>22.1</v>
      </c>
    </row>
    <row r="25" ht="14" customHeight="1" s="227">
      <c r="A25" s="28" t="inlineStr">
        <is>
          <t>Stung Treng</t>
        </is>
      </c>
      <c r="B25" s="276" t="n">
        <v>91.09999999999999</v>
      </c>
      <c r="C25" s="276" t="n">
        <v>0.7</v>
      </c>
      <c r="D25" s="276" t="n">
        <v>8.199999999999999</v>
      </c>
      <c r="E25" s="276" t="n">
        <v>92.7</v>
      </c>
      <c r="F25" s="276" t="n">
        <v>0.5</v>
      </c>
      <c r="G25" s="276" t="n">
        <v>6.8</v>
      </c>
      <c r="H25" s="276" t="n">
        <v>92.90000000000001</v>
      </c>
      <c r="I25" s="276" t="n">
        <v>0</v>
      </c>
      <c r="J25" s="276" t="n">
        <v>7.1</v>
      </c>
      <c r="K25" s="276" t="n">
        <v>95.8</v>
      </c>
      <c r="L25" s="276" t="n">
        <v>1</v>
      </c>
      <c r="M25" s="276" t="n">
        <v>3.1</v>
      </c>
    </row>
    <row r="26" ht="14" customHeight="1" s="227">
      <c r="A26" s="28" t="inlineStr">
        <is>
          <t>Svay Rieng</t>
        </is>
      </c>
      <c r="B26" s="276" t="n">
        <v>83.09999999999999</v>
      </c>
      <c r="C26" s="276" t="n">
        <v>1.6</v>
      </c>
      <c r="D26" s="276" t="n">
        <v>15.3</v>
      </c>
      <c r="E26" s="276" t="n">
        <v>84.59999999999999</v>
      </c>
      <c r="F26" s="276" t="n">
        <v>0.3</v>
      </c>
      <c r="G26" s="276" t="n">
        <v>15.1</v>
      </c>
      <c r="H26" s="276" t="n">
        <v>89.40000000000001</v>
      </c>
      <c r="I26" s="276" t="n">
        <v>0.3</v>
      </c>
      <c r="J26" s="276" t="n">
        <v>10.3</v>
      </c>
      <c r="K26" s="276" t="n">
        <v>77.2</v>
      </c>
      <c r="L26" s="276" t="n">
        <v>2.1</v>
      </c>
      <c r="M26" s="276" t="n">
        <v>20.8</v>
      </c>
    </row>
    <row r="27" ht="14" customHeight="1" s="227">
      <c r="A27" s="28" t="inlineStr">
        <is>
          <t>Takeo</t>
        </is>
      </c>
      <c r="B27" s="276" t="n">
        <v>84.5</v>
      </c>
      <c r="C27" s="276" t="n">
        <v>1.2</v>
      </c>
      <c r="D27" s="276" t="n">
        <v>14.4</v>
      </c>
      <c r="E27" s="276" t="n">
        <v>85.09999999999999</v>
      </c>
      <c r="F27" s="276" t="n">
        <v>0.8</v>
      </c>
      <c r="G27" s="276" t="n">
        <v>14.1</v>
      </c>
      <c r="H27" s="276" t="n">
        <v>90.90000000000001</v>
      </c>
      <c r="I27" s="276" t="n">
        <v>0.8</v>
      </c>
      <c r="J27" s="276" t="n">
        <v>8.4</v>
      </c>
      <c r="K27" s="276" t="n">
        <v>55.4</v>
      </c>
      <c r="L27" s="276" t="n">
        <v>4.6</v>
      </c>
      <c r="M27" s="276" t="n">
        <v>39.9</v>
      </c>
    </row>
    <row r="28" ht="14" customHeight="1" s="227">
      <c r="A28" s="28" t="inlineStr">
        <is>
          <t>Tbaung Khmum</t>
        </is>
      </c>
      <c r="B28" s="276" t="n">
        <v>75.40000000000001</v>
      </c>
      <c r="C28" s="276" t="n">
        <v>2</v>
      </c>
      <c r="D28" s="276" t="n">
        <v>22.6</v>
      </c>
      <c r="E28" s="276" t="n">
        <v>82.5</v>
      </c>
      <c r="F28" s="276" t="n">
        <v>0.5</v>
      </c>
      <c r="G28" s="276" t="n">
        <v>17</v>
      </c>
      <c r="H28" s="276" t="n">
        <v>89.8</v>
      </c>
      <c r="I28" s="276" t="n">
        <v>0.5</v>
      </c>
      <c r="J28" s="276" t="n">
        <v>9.699999999999999</v>
      </c>
      <c r="K28" s="276" t="n">
        <v>70.59999999999999</v>
      </c>
      <c r="L28" s="276" t="n">
        <v>4.4</v>
      </c>
      <c r="M28" s="276" t="n">
        <v>25</v>
      </c>
    </row>
    <row r="29" ht="14" customHeight="1" s="227">
      <c r="A29" s="22" t="inlineStr">
        <is>
          <t>Whole Kingdom</t>
        </is>
      </c>
      <c r="B29" s="276" t="n">
        <v>83.2</v>
      </c>
      <c r="C29" s="276" t="n">
        <v>1.8</v>
      </c>
      <c r="D29" s="276" t="n">
        <v>15</v>
      </c>
      <c r="E29" s="276" t="n">
        <v>85.5</v>
      </c>
      <c r="F29" s="276" t="n">
        <v>0.7</v>
      </c>
      <c r="G29" s="276" t="n">
        <v>13.8</v>
      </c>
      <c r="H29" s="276" t="n">
        <v>93.40000000000001</v>
      </c>
      <c r="I29" s="276" t="n">
        <v>0.5</v>
      </c>
      <c r="J29" s="276" t="n">
        <v>6.1</v>
      </c>
      <c r="K29" s="276" t="n">
        <v>67.59999999999999</v>
      </c>
      <c r="L29" s="276" t="n">
        <v>3.8</v>
      </c>
      <c r="M29" s="276" t="n">
        <v>28.6</v>
      </c>
    </row>
    <row r="30" ht="14" customHeight="1" s="227">
      <c r="A30" s="28" t="inlineStr">
        <is>
          <t>- Urban Area</t>
        </is>
      </c>
      <c r="B30" s="276" t="n">
        <v>86.59999999999999</v>
      </c>
      <c r="C30" s="276" t="n">
        <v>2.6</v>
      </c>
      <c r="D30" s="276" t="n">
        <v>10.8</v>
      </c>
      <c r="E30" s="276" t="n">
        <v>91.3</v>
      </c>
      <c r="F30" s="276" t="n">
        <v>0.9</v>
      </c>
      <c r="G30" s="276" t="n">
        <v>7.8</v>
      </c>
      <c r="H30" s="120" t="inlineStr">
        <is>
          <t>n.a.</t>
        </is>
      </c>
      <c r="I30" s="276" t="n">
        <v>0.8</v>
      </c>
      <c r="J30" s="120" t="inlineStr">
        <is>
          <t>n.a.</t>
        </is>
      </c>
      <c r="K30" s="276" t="n">
        <v>61</v>
      </c>
      <c r="L30" s="276" t="n">
        <v>4.5</v>
      </c>
      <c r="M30" s="276" t="n">
        <v>34.5</v>
      </c>
    </row>
    <row r="31" ht="12.75" customHeight="1" s="227">
      <c r="A31" s="28" t="inlineStr">
        <is>
          <t>- Rural Area</t>
        </is>
      </c>
      <c r="B31" s="276" t="n">
        <v>82.3</v>
      </c>
      <c r="C31" s="276" t="n">
        <v>1.6</v>
      </c>
      <c r="D31" s="276" t="n">
        <v>16.1</v>
      </c>
      <c r="E31" s="276" t="n">
        <v>83.40000000000001</v>
      </c>
      <c r="F31" s="276" t="n">
        <v>0.6</v>
      </c>
      <c r="G31" s="276" t="n">
        <v>16</v>
      </c>
      <c r="H31" s="276" t="n">
        <v>90.40000000000001</v>
      </c>
      <c r="I31" s="276" t="n">
        <v>0.4</v>
      </c>
      <c r="J31" s="276" t="n">
        <v>9.199999999999999</v>
      </c>
      <c r="K31" s="276" t="n">
        <v>71.3</v>
      </c>
      <c r="L31" s="276" t="n">
        <v>3.4</v>
      </c>
      <c r="M31" s="276" t="n">
        <v>25.3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5.333333" customWidth="1" style="227" min="1" max="1"/>
    <col width="11.555556" customWidth="1" style="227" min="2" max="2"/>
    <col width="11.777778" customWidth="1" style="227" min="3" max="3"/>
    <col width="11.555556" customWidth="1" style="227" min="4" max="4"/>
    <col width="12" customWidth="1" style="227" min="5" max="5"/>
    <col width="11.777778" customWidth="1" style="227" min="6" max="6"/>
    <col width="11.777778" customWidth="1" style="227" min="7" max="7"/>
    <col width="11.777778" customWidth="1" style="227" min="8" max="8"/>
    <col width="11.777778" customWidth="1" style="227" min="9" max="9"/>
    <col width="11.777778" customWidth="1" style="227" min="10" max="10"/>
    <col width="11.777778" customWidth="1" style="227" min="11" max="11"/>
    <col width="11.777778" customWidth="1" style="227" min="12" max="12"/>
    <col width="11.777778" customWidth="1" style="227" min="13" max="13"/>
  </cols>
  <sheetData>
    <row r="1" ht="31" customHeight="1" s="227">
      <c r="A1" s="2" t="inlineStr">
        <is>
          <t>Table 20: Student Flow Rates and graduates by Level for Female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5" t="inlineStr">
        <is>
          <t>Primary Level (Grades 1-6)</t>
        </is>
      </c>
      <c r="C2" s="269" t="n"/>
      <c r="D2" s="257" t="n"/>
      <c r="E2" s="102" t="inlineStr">
        <is>
          <t>Lower Secondary Level (Grades 7-9)</t>
        </is>
      </c>
      <c r="F2" s="269" t="n"/>
      <c r="G2" s="257" t="n"/>
      <c r="H2" s="103" t="inlineStr">
        <is>
          <t>Upper Secondary Level (Grades 10-12)</t>
        </is>
      </c>
      <c r="I2" s="269" t="n"/>
      <c r="J2" s="257" t="n"/>
      <c r="K2" s="164" t="inlineStr">
        <is>
          <t>Successful Candidates</t>
        </is>
      </c>
      <c r="L2" s="269" t="n"/>
      <c r="M2" s="257" t="n"/>
    </row>
    <row r="3" ht="18" customHeight="1" s="227">
      <c r="A3" s="258" t="n"/>
      <c r="B3" s="119" t="inlineStr">
        <is>
          <t>Promotion</t>
        </is>
      </c>
      <c r="C3" s="119" t="inlineStr">
        <is>
          <t>Repetition</t>
        </is>
      </c>
      <c r="D3" s="103" t="inlineStr">
        <is>
          <t>Dropout</t>
        </is>
      </c>
      <c r="E3" s="119" t="inlineStr">
        <is>
          <t>Promotion</t>
        </is>
      </c>
      <c r="F3" s="119" t="inlineStr">
        <is>
          <t>Repetition</t>
        </is>
      </c>
      <c r="G3" s="103" t="inlineStr">
        <is>
          <t>Dropout</t>
        </is>
      </c>
      <c r="H3" s="119" t="inlineStr">
        <is>
          <t>Promotion</t>
        </is>
      </c>
      <c r="I3" s="103" t="inlineStr">
        <is>
          <t>Repetition</t>
        </is>
      </c>
      <c r="J3" s="103" t="inlineStr">
        <is>
          <t>Dropout</t>
        </is>
      </c>
      <c r="K3" s="103" t="inlineStr">
        <is>
          <t>Grade 6</t>
        </is>
      </c>
      <c r="L3" s="103" t="inlineStr">
        <is>
          <t>Grade 9</t>
        </is>
      </c>
      <c r="M3" s="103" t="inlineStr">
        <is>
          <t>Grade 12</t>
        </is>
      </c>
    </row>
    <row r="4" ht="14" customHeight="1" s="227">
      <c r="A4" s="28" t="inlineStr">
        <is>
          <t>Banteay Meanchey</t>
        </is>
      </c>
      <c r="B4" s="276" t="n">
        <v>93.90000000000001</v>
      </c>
      <c r="C4" s="276" t="n">
        <v>2.5</v>
      </c>
      <c r="D4" s="276" t="n">
        <v>3.7</v>
      </c>
      <c r="E4" s="276" t="n">
        <v>84.90000000000001</v>
      </c>
      <c r="F4" s="276" t="n">
        <v>1.1</v>
      </c>
      <c r="G4" s="276" t="n">
        <v>14</v>
      </c>
      <c r="H4" s="276" t="n">
        <v>79.59999999999999</v>
      </c>
      <c r="I4" s="276" t="n">
        <v>1.5</v>
      </c>
      <c r="J4" s="276" t="n">
        <v>18.9</v>
      </c>
      <c r="K4" s="259" t="n">
        <v>5986</v>
      </c>
      <c r="L4" s="259" t="n">
        <v>3034</v>
      </c>
      <c r="M4" s="260" t="n">
        <v>955</v>
      </c>
    </row>
    <row r="5" ht="14" customHeight="1" s="227">
      <c r="A5" s="28" t="inlineStr">
        <is>
          <t>Battambang</t>
        </is>
      </c>
      <c r="B5" s="276" t="n">
        <v>90.8</v>
      </c>
      <c r="C5" s="276" t="n">
        <v>4.6</v>
      </c>
      <c r="D5" s="276" t="n">
        <v>4.6</v>
      </c>
      <c r="E5" s="276" t="n">
        <v>82.59999999999999</v>
      </c>
      <c r="F5" s="276" t="n">
        <v>2</v>
      </c>
      <c r="G5" s="276" t="n">
        <v>15.4</v>
      </c>
      <c r="H5" s="276" t="n">
        <v>83.40000000000001</v>
      </c>
      <c r="I5" s="276" t="n">
        <v>1.8</v>
      </c>
      <c r="J5" s="276" t="n">
        <v>14.8</v>
      </c>
      <c r="K5" s="259" t="n">
        <v>10027</v>
      </c>
      <c r="L5" s="259" t="n">
        <v>4755</v>
      </c>
      <c r="M5" s="259" t="n">
        <v>2171</v>
      </c>
    </row>
    <row r="6" ht="15" customHeight="1" s="227">
      <c r="A6" s="28" t="inlineStr">
        <is>
          <t>Kampong Cham</t>
        </is>
      </c>
      <c r="B6" s="276" t="n">
        <v>89.09999999999999</v>
      </c>
      <c r="C6" s="276" t="n">
        <v>6.8</v>
      </c>
      <c r="D6" s="276" t="n">
        <v>4.1</v>
      </c>
      <c r="E6" s="276" t="n">
        <v>84.3</v>
      </c>
      <c r="F6" s="276" t="n">
        <v>1.9</v>
      </c>
      <c r="G6" s="276" t="n">
        <v>13.9</v>
      </c>
      <c r="H6" s="276" t="n">
        <v>78.7</v>
      </c>
      <c r="I6" s="276" t="n">
        <v>1.8</v>
      </c>
      <c r="J6" s="276" t="n">
        <v>19.5</v>
      </c>
      <c r="K6" s="259" t="n">
        <v>8799</v>
      </c>
      <c r="L6" s="259" t="n">
        <v>5129</v>
      </c>
      <c r="M6" s="259" t="n">
        <v>2054</v>
      </c>
    </row>
    <row r="7" ht="14" customHeight="1" s="227">
      <c r="A7" s="28" t="inlineStr">
        <is>
          <t>Kampong Chhnang</t>
        </is>
      </c>
      <c r="B7" s="276" t="n">
        <v>94.3</v>
      </c>
      <c r="C7" s="276" t="n">
        <v>4</v>
      </c>
      <c r="D7" s="276" t="n">
        <v>1.8</v>
      </c>
      <c r="E7" s="276" t="n">
        <v>86.2</v>
      </c>
      <c r="F7" s="276" t="n">
        <v>1</v>
      </c>
      <c r="G7" s="276" t="n">
        <v>12.8</v>
      </c>
      <c r="H7" s="276" t="n">
        <v>81.3</v>
      </c>
      <c r="I7" s="276" t="n">
        <v>1.6</v>
      </c>
      <c r="J7" s="276" t="n">
        <v>17.1</v>
      </c>
      <c r="K7" s="259" t="n">
        <v>5212</v>
      </c>
      <c r="L7" s="259" t="n">
        <v>3225</v>
      </c>
      <c r="M7" s="259" t="n">
        <v>1233</v>
      </c>
    </row>
    <row r="8" ht="14" customHeight="1" s="227">
      <c r="A8" s="28" t="inlineStr">
        <is>
          <t>Kampong Speu</t>
        </is>
      </c>
      <c r="B8" s="276" t="n">
        <v>94.40000000000001</v>
      </c>
      <c r="C8" s="276" t="n">
        <v>3.7</v>
      </c>
      <c r="D8" s="276" t="n">
        <v>1.9</v>
      </c>
      <c r="E8" s="276" t="n">
        <v>79.5</v>
      </c>
      <c r="F8" s="276" t="n">
        <v>0.7</v>
      </c>
      <c r="G8" s="276" t="n">
        <v>19.8</v>
      </c>
      <c r="H8" s="276" t="n">
        <v>85.5</v>
      </c>
      <c r="I8" s="276" t="n">
        <v>0.4</v>
      </c>
      <c r="J8" s="276" t="n">
        <v>14</v>
      </c>
      <c r="K8" s="259" t="n">
        <v>7336</v>
      </c>
      <c r="L8" s="259" t="n">
        <v>3840</v>
      </c>
      <c r="M8" s="259" t="n">
        <v>1692</v>
      </c>
    </row>
    <row r="9" ht="14" customHeight="1" s="227">
      <c r="A9" s="28" t="inlineStr">
        <is>
          <t>Kampong Thom</t>
        </is>
      </c>
      <c r="B9" s="276" t="n">
        <v>90.3</v>
      </c>
      <c r="C9" s="276" t="n">
        <v>5.6</v>
      </c>
      <c r="D9" s="276" t="n">
        <v>4.1</v>
      </c>
      <c r="E9" s="276" t="n">
        <v>84.59999999999999</v>
      </c>
      <c r="F9" s="276" t="n">
        <v>1.8</v>
      </c>
      <c r="G9" s="276" t="n">
        <v>13.6</v>
      </c>
      <c r="H9" s="276" t="n">
        <v>86.09999999999999</v>
      </c>
      <c r="I9" s="276" t="n">
        <v>0.8</v>
      </c>
      <c r="J9" s="276" t="n">
        <v>13.1</v>
      </c>
      <c r="K9" s="259" t="n">
        <v>6720</v>
      </c>
      <c r="L9" s="259" t="n">
        <v>3672</v>
      </c>
      <c r="M9" s="259" t="n">
        <v>1589</v>
      </c>
    </row>
    <row r="10" ht="14" customHeight="1" s="227">
      <c r="A10" s="28" t="inlineStr">
        <is>
          <t>Kampot</t>
        </is>
      </c>
      <c r="B10" s="276" t="n">
        <v>93.3</v>
      </c>
      <c r="C10" s="276" t="n">
        <v>3</v>
      </c>
      <c r="D10" s="276" t="n">
        <v>3.7</v>
      </c>
      <c r="E10" s="276" t="n">
        <v>84</v>
      </c>
      <c r="F10" s="276" t="n">
        <v>1.1</v>
      </c>
      <c r="G10" s="276" t="n">
        <v>14.9</v>
      </c>
      <c r="H10" s="276" t="n">
        <v>83.90000000000001</v>
      </c>
      <c r="I10" s="276" t="n">
        <v>0.9</v>
      </c>
      <c r="J10" s="276" t="n">
        <v>15.2</v>
      </c>
      <c r="K10" s="259" t="n">
        <v>5450</v>
      </c>
      <c r="L10" s="259" t="n">
        <v>3697</v>
      </c>
      <c r="M10" s="259" t="n">
        <v>1715</v>
      </c>
    </row>
    <row r="11" ht="14" customHeight="1" s="227">
      <c r="A11" s="28" t="inlineStr">
        <is>
          <t>Kandal</t>
        </is>
      </c>
      <c r="B11" s="276" t="n">
        <v>91.40000000000001</v>
      </c>
      <c r="C11" s="276" t="n">
        <v>6.1</v>
      </c>
      <c r="D11" s="276" t="n">
        <v>2.5</v>
      </c>
      <c r="E11" s="276" t="n">
        <v>86</v>
      </c>
      <c r="F11" s="276" t="n">
        <v>1.5</v>
      </c>
      <c r="G11" s="276" t="n">
        <v>12.5</v>
      </c>
      <c r="H11" s="276" t="n">
        <v>85.2</v>
      </c>
      <c r="I11" s="276" t="n">
        <v>1.8</v>
      </c>
      <c r="J11" s="276" t="n">
        <v>13.1</v>
      </c>
      <c r="K11" s="259" t="n">
        <v>9792</v>
      </c>
      <c r="L11" s="259" t="n">
        <v>6206</v>
      </c>
      <c r="M11" s="259" t="n">
        <v>2749</v>
      </c>
    </row>
    <row r="12" ht="14" customHeight="1" s="227">
      <c r="A12" s="28" t="inlineStr">
        <is>
          <t>Kep</t>
        </is>
      </c>
      <c r="B12" s="276" t="n">
        <v>94</v>
      </c>
      <c r="C12" s="276" t="n">
        <v>4.2</v>
      </c>
      <c r="D12" s="276" t="n">
        <v>1.8</v>
      </c>
      <c r="E12" s="276" t="n">
        <v>80</v>
      </c>
      <c r="F12" s="276" t="n">
        <v>2</v>
      </c>
      <c r="G12" s="276" t="n">
        <v>18.1</v>
      </c>
      <c r="H12" s="276" t="n">
        <v>91.90000000000001</v>
      </c>
      <c r="I12" s="276" t="n">
        <v>0.6</v>
      </c>
      <c r="J12" s="276" t="n">
        <v>7.5</v>
      </c>
      <c r="K12" s="260" t="n">
        <v>307</v>
      </c>
      <c r="L12" s="260" t="n">
        <v>207</v>
      </c>
      <c r="M12" s="260" t="n">
        <v>125</v>
      </c>
    </row>
    <row r="13" ht="14" customHeight="1" s="227">
      <c r="A13" s="28" t="inlineStr">
        <is>
          <t>Koh Kong</t>
        </is>
      </c>
      <c r="B13" s="276" t="n">
        <v>90.3</v>
      </c>
      <c r="C13" s="276" t="n">
        <v>2.9</v>
      </c>
      <c r="D13" s="276" t="n">
        <v>6.8</v>
      </c>
      <c r="E13" s="276" t="n">
        <v>82.8</v>
      </c>
      <c r="F13" s="276" t="n">
        <v>1.1</v>
      </c>
      <c r="G13" s="276" t="n">
        <v>16.1</v>
      </c>
      <c r="H13" s="276" t="n">
        <v>69.7</v>
      </c>
      <c r="I13" s="276" t="n">
        <v>0.8</v>
      </c>
      <c r="J13" s="276" t="n">
        <v>29.5</v>
      </c>
      <c r="K13" s="259" t="n">
        <v>1039</v>
      </c>
      <c r="L13" s="260" t="n">
        <v>544</v>
      </c>
      <c r="M13" s="260" t="n">
        <v>98</v>
      </c>
    </row>
    <row r="14" ht="14" customHeight="1" s="227">
      <c r="A14" s="28" t="inlineStr">
        <is>
          <t>Kratie</t>
        </is>
      </c>
      <c r="B14" s="276" t="n">
        <v>87</v>
      </c>
      <c r="C14" s="276" t="n">
        <v>6.3</v>
      </c>
      <c r="D14" s="276" t="n">
        <v>6.7</v>
      </c>
      <c r="E14" s="276" t="n">
        <v>77.8</v>
      </c>
      <c r="F14" s="276" t="n">
        <v>1.2</v>
      </c>
      <c r="G14" s="276" t="n">
        <v>21</v>
      </c>
      <c r="H14" s="276" t="n">
        <v>79.59999999999999</v>
      </c>
      <c r="I14" s="276" t="n">
        <v>1.4</v>
      </c>
      <c r="J14" s="276" t="n">
        <v>19</v>
      </c>
      <c r="K14" s="259" t="n">
        <v>3129</v>
      </c>
      <c r="L14" s="259" t="n">
        <v>1454</v>
      </c>
      <c r="M14" s="260" t="n">
        <v>488</v>
      </c>
    </row>
    <row r="15" ht="14" customHeight="1" s="227">
      <c r="A15" s="28" t="inlineStr">
        <is>
          <t>Mondul Kiri</t>
        </is>
      </c>
      <c r="B15" s="276" t="n">
        <v>88.7</v>
      </c>
      <c r="C15" s="276" t="n">
        <v>3.8</v>
      </c>
      <c r="D15" s="276" t="n">
        <v>7.5</v>
      </c>
      <c r="E15" s="276" t="n">
        <v>85.90000000000001</v>
      </c>
      <c r="F15" s="276" t="n">
        <v>1.5</v>
      </c>
      <c r="G15" s="276" t="n">
        <v>12.5</v>
      </c>
      <c r="H15" s="276" t="n">
        <v>91.40000000000001</v>
      </c>
      <c r="I15" s="276" t="n">
        <v>0.5</v>
      </c>
      <c r="J15" s="276" t="n">
        <v>8.199999999999999</v>
      </c>
      <c r="K15" s="260" t="n">
        <v>744</v>
      </c>
      <c r="L15" s="260" t="n">
        <v>328</v>
      </c>
      <c r="M15" s="260" t="n">
        <v>156</v>
      </c>
    </row>
    <row r="16" ht="14" customHeight="1" s="227">
      <c r="A16" s="28" t="inlineStr">
        <is>
          <t>Otdar Meanchey</t>
        </is>
      </c>
      <c r="B16" s="276" t="n">
        <v>87.2</v>
      </c>
      <c r="C16" s="276" t="n">
        <v>6</v>
      </c>
      <c r="D16" s="276" t="n">
        <v>6.7</v>
      </c>
      <c r="E16" s="276" t="n">
        <v>81.3</v>
      </c>
      <c r="F16" s="276" t="n">
        <v>2.2</v>
      </c>
      <c r="G16" s="276" t="n">
        <v>16.5</v>
      </c>
      <c r="H16" s="276" t="n">
        <v>88.90000000000001</v>
      </c>
      <c r="I16" s="276" t="n">
        <v>0.7</v>
      </c>
      <c r="J16" s="276" t="n">
        <v>10.5</v>
      </c>
      <c r="K16" s="259" t="n">
        <v>1906</v>
      </c>
      <c r="L16" s="260" t="n">
        <v>953</v>
      </c>
      <c r="M16" s="260" t="n">
        <v>390</v>
      </c>
    </row>
    <row r="17" ht="14" customHeight="1" s="227">
      <c r="A17" s="28" t="inlineStr">
        <is>
          <t>Pailin</t>
        </is>
      </c>
      <c r="B17" s="276" t="n">
        <v>91.3</v>
      </c>
      <c r="C17" s="276" t="n">
        <v>4.1</v>
      </c>
      <c r="D17" s="276" t="n">
        <v>4.7</v>
      </c>
      <c r="E17" s="276" t="n">
        <v>82.2</v>
      </c>
      <c r="F17" s="276" t="n">
        <v>3.2</v>
      </c>
      <c r="G17" s="276" t="n">
        <v>14.6</v>
      </c>
      <c r="H17" s="276" t="n">
        <v>83.5</v>
      </c>
      <c r="I17" s="276" t="n">
        <v>2</v>
      </c>
      <c r="J17" s="276" t="n">
        <v>14.5</v>
      </c>
      <c r="K17" s="260" t="n">
        <v>635</v>
      </c>
      <c r="L17" s="260" t="n">
        <v>352</v>
      </c>
      <c r="M17" s="260" t="n">
        <v>102</v>
      </c>
    </row>
    <row r="18" ht="14" customHeight="1" s="227">
      <c r="A18" s="28" t="inlineStr">
        <is>
          <t>Phnom Penh</t>
        </is>
      </c>
      <c r="B18" s="276" t="n">
        <v>95</v>
      </c>
      <c r="C18" s="276" t="n">
        <v>1.9</v>
      </c>
      <c r="D18" s="276" t="n">
        <v>3.1</v>
      </c>
      <c r="E18" s="276" t="n">
        <v>90.2</v>
      </c>
      <c r="F18" s="276" t="n">
        <v>1.8</v>
      </c>
      <c r="G18" s="276" t="n">
        <v>8</v>
      </c>
      <c r="H18" s="276" t="n">
        <v>81.40000000000001</v>
      </c>
      <c r="I18" s="276" t="n">
        <v>2.6</v>
      </c>
      <c r="J18" s="276" t="n">
        <v>16</v>
      </c>
      <c r="K18" s="259" t="n">
        <v>9024</v>
      </c>
      <c r="L18" s="259" t="n">
        <v>6390</v>
      </c>
      <c r="M18" s="259" t="n">
        <v>3442</v>
      </c>
    </row>
    <row r="19" ht="14" customHeight="1" s="227">
      <c r="A19" s="28" t="inlineStr">
        <is>
          <t>Preah Sihanouk</t>
        </is>
      </c>
      <c r="B19" s="276" t="n">
        <v>94.59999999999999</v>
      </c>
      <c r="C19" s="276" t="n">
        <v>2.3</v>
      </c>
      <c r="D19" s="276" t="n">
        <v>3.1</v>
      </c>
      <c r="E19" s="276" t="n">
        <v>77.40000000000001</v>
      </c>
      <c r="F19" s="276" t="n">
        <v>1.9</v>
      </c>
      <c r="G19" s="276" t="n">
        <v>20.7</v>
      </c>
      <c r="H19" s="276" t="n">
        <v>86.59999999999999</v>
      </c>
      <c r="I19" s="276" t="n">
        <v>0.7</v>
      </c>
      <c r="J19" s="276" t="n">
        <v>12.7</v>
      </c>
      <c r="K19" s="259" t="n">
        <v>1707</v>
      </c>
      <c r="L19" s="260" t="n">
        <v>775</v>
      </c>
      <c r="M19" s="260" t="n">
        <v>475</v>
      </c>
    </row>
    <row r="20" ht="14" customHeight="1" s="227">
      <c r="A20" s="28" t="inlineStr">
        <is>
          <t>Preah Vihear</t>
        </is>
      </c>
      <c r="B20" s="276" t="n">
        <v>87.7</v>
      </c>
      <c r="C20" s="276" t="n">
        <v>6.9</v>
      </c>
      <c r="D20" s="276" t="n">
        <v>5.4</v>
      </c>
      <c r="E20" s="276" t="n">
        <v>87.09999999999999</v>
      </c>
      <c r="F20" s="276" t="n">
        <v>0.8</v>
      </c>
      <c r="G20" s="276" t="n">
        <v>12.1</v>
      </c>
      <c r="H20" s="276" t="n">
        <v>80.09999999999999</v>
      </c>
      <c r="I20" s="276" t="n">
        <v>0.2</v>
      </c>
      <c r="J20" s="276" t="n">
        <v>19.7</v>
      </c>
      <c r="K20" s="259" t="n">
        <v>2284</v>
      </c>
      <c r="L20" s="259" t="n">
        <v>1205</v>
      </c>
      <c r="M20" s="260" t="n">
        <v>488</v>
      </c>
    </row>
    <row r="21" ht="14" customHeight="1" s="227">
      <c r="A21" s="28" t="inlineStr">
        <is>
          <t>Prey Veng</t>
        </is>
      </c>
      <c r="B21" s="276" t="n">
        <v>92.90000000000001</v>
      </c>
      <c r="C21" s="276" t="n">
        <v>5.1</v>
      </c>
      <c r="D21" s="276" t="n">
        <v>2</v>
      </c>
      <c r="E21" s="276" t="n">
        <v>84.09999999999999</v>
      </c>
      <c r="F21" s="276" t="n">
        <v>0.5</v>
      </c>
      <c r="G21" s="276" t="n">
        <v>15.4</v>
      </c>
      <c r="H21" s="276" t="n">
        <v>85.7</v>
      </c>
      <c r="I21" s="276" t="n">
        <v>1.2</v>
      </c>
      <c r="J21" s="276" t="n">
        <v>13.1</v>
      </c>
      <c r="K21" s="259" t="n">
        <v>10011</v>
      </c>
      <c r="L21" s="259" t="n">
        <v>5714</v>
      </c>
      <c r="M21" s="259" t="n">
        <v>2454</v>
      </c>
    </row>
    <row r="22" ht="14" customHeight="1" s="227">
      <c r="A22" s="28" t="inlineStr">
        <is>
          <t>Pursat</t>
        </is>
      </c>
      <c r="B22" s="276" t="n">
        <v>90.09999999999999</v>
      </c>
      <c r="C22" s="276" t="n">
        <v>6.2</v>
      </c>
      <c r="D22" s="276" t="n">
        <v>3.7</v>
      </c>
      <c r="E22" s="276" t="n">
        <v>84.5</v>
      </c>
      <c r="F22" s="276" t="n">
        <v>1.2</v>
      </c>
      <c r="G22" s="276" t="n">
        <v>14.4</v>
      </c>
      <c r="H22" s="276" t="n">
        <v>78.7</v>
      </c>
      <c r="I22" s="276" t="n">
        <v>1.5</v>
      </c>
      <c r="J22" s="276" t="n">
        <v>19.9</v>
      </c>
      <c r="K22" s="259" t="n">
        <v>4133</v>
      </c>
      <c r="L22" s="259" t="n">
        <v>2217</v>
      </c>
      <c r="M22" s="260" t="n">
        <v>684</v>
      </c>
    </row>
    <row r="23" ht="14" customHeight="1" s="227">
      <c r="A23" s="28" t="inlineStr">
        <is>
          <t>Ratanak Kiri</t>
        </is>
      </c>
      <c r="B23" s="276" t="n">
        <v>85.2</v>
      </c>
      <c r="C23" s="276" t="n">
        <v>3.7</v>
      </c>
      <c r="D23" s="276" t="n">
        <v>11.2</v>
      </c>
      <c r="E23" s="276" t="n">
        <v>86.5</v>
      </c>
      <c r="F23" s="276" t="n">
        <v>1.2</v>
      </c>
      <c r="G23" s="276" t="n">
        <v>12.3</v>
      </c>
      <c r="H23" s="276" t="n">
        <v>90.09999999999999</v>
      </c>
      <c r="I23" s="276" t="n">
        <v>0</v>
      </c>
      <c r="J23" s="276" t="n">
        <v>9.9</v>
      </c>
      <c r="K23" s="259" t="n">
        <v>1661</v>
      </c>
      <c r="L23" s="260" t="n">
        <v>674</v>
      </c>
      <c r="M23" s="260" t="n">
        <v>286</v>
      </c>
    </row>
    <row r="24" ht="14" customHeight="1" s="227">
      <c r="A24" s="28" t="inlineStr">
        <is>
          <t>Siemreap</t>
        </is>
      </c>
      <c r="B24" s="276" t="n">
        <v>91.7</v>
      </c>
      <c r="C24" s="276" t="n">
        <v>5.4</v>
      </c>
      <c r="D24" s="276" t="n">
        <v>2.9</v>
      </c>
      <c r="E24" s="276" t="n">
        <v>84.59999999999999</v>
      </c>
      <c r="F24" s="276" t="n">
        <v>2.4</v>
      </c>
      <c r="G24" s="276" t="n">
        <v>13</v>
      </c>
      <c r="H24" s="276" t="n">
        <v>86</v>
      </c>
      <c r="I24" s="276" t="n">
        <v>1.7</v>
      </c>
      <c r="J24" s="276" t="n">
        <v>12.3</v>
      </c>
      <c r="K24" s="259" t="n">
        <v>9944</v>
      </c>
      <c r="L24" s="259" t="n">
        <v>5628</v>
      </c>
      <c r="M24" s="259" t="n">
        <v>2600</v>
      </c>
    </row>
    <row r="25" ht="14" customHeight="1" s="227">
      <c r="A25" s="28" t="inlineStr">
        <is>
          <t>Stung Treng</t>
        </is>
      </c>
      <c r="B25" s="276" t="n">
        <v>82</v>
      </c>
      <c r="C25" s="276" t="n">
        <v>9.5</v>
      </c>
      <c r="D25" s="276" t="n">
        <v>8.6</v>
      </c>
      <c r="E25" s="276" t="n">
        <v>85.5</v>
      </c>
      <c r="F25" s="276" t="n">
        <v>0.4</v>
      </c>
      <c r="G25" s="276" t="n">
        <v>14.1</v>
      </c>
      <c r="H25" s="276" t="n">
        <v>93.7</v>
      </c>
      <c r="I25" s="276" t="n">
        <v>0.5</v>
      </c>
      <c r="J25" s="276" t="n">
        <v>5.8</v>
      </c>
      <c r="K25" s="260" t="n">
        <v>966</v>
      </c>
      <c r="L25" s="260" t="n">
        <v>543</v>
      </c>
      <c r="M25" s="260" t="n">
        <v>277</v>
      </c>
    </row>
    <row r="26" ht="14" customHeight="1" s="227">
      <c r="A26" s="28" t="inlineStr">
        <is>
          <t>Svay Rieng</t>
        </is>
      </c>
      <c r="B26" s="276" t="n">
        <v>95.59999999999999</v>
      </c>
      <c r="C26" s="276" t="n">
        <v>3</v>
      </c>
      <c r="D26" s="276" t="n">
        <v>1.4</v>
      </c>
      <c r="E26" s="276" t="n">
        <v>85</v>
      </c>
      <c r="F26" s="276" t="n">
        <v>1.2</v>
      </c>
      <c r="G26" s="276" t="n">
        <v>13.8</v>
      </c>
      <c r="H26" s="276" t="n">
        <v>84.09999999999999</v>
      </c>
      <c r="I26" s="276" t="n">
        <v>0.8</v>
      </c>
      <c r="J26" s="276" t="n">
        <v>15.1</v>
      </c>
      <c r="K26" s="259" t="n">
        <v>5206</v>
      </c>
      <c r="L26" s="259" t="n">
        <v>2850</v>
      </c>
      <c r="M26" s="259" t="n">
        <v>1231</v>
      </c>
    </row>
    <row r="27" ht="14" customHeight="1" s="227">
      <c r="A27" s="28" t="inlineStr">
        <is>
          <t>Takeo</t>
        </is>
      </c>
      <c r="B27" s="276" t="n">
        <v>93.59999999999999</v>
      </c>
      <c r="C27" s="276" t="n">
        <v>4.6</v>
      </c>
      <c r="D27" s="276" t="n">
        <v>1.8</v>
      </c>
      <c r="E27" s="276" t="n">
        <v>87.2</v>
      </c>
      <c r="F27" s="276" t="n">
        <v>1.2</v>
      </c>
      <c r="G27" s="276" t="n">
        <v>11.6</v>
      </c>
      <c r="H27" s="276" t="n">
        <v>78.09999999999999</v>
      </c>
      <c r="I27" s="276" t="n">
        <v>1.9</v>
      </c>
      <c r="J27" s="276" t="n">
        <v>19.9</v>
      </c>
      <c r="K27" s="259" t="n">
        <v>8398</v>
      </c>
      <c r="L27" s="259" t="n">
        <v>6167</v>
      </c>
      <c r="M27" s="259" t="n">
        <v>2354</v>
      </c>
    </row>
    <row r="28" ht="14" customHeight="1" s="227">
      <c r="A28" s="28" t="inlineStr">
        <is>
          <t>Tbaung Khmum</t>
        </is>
      </c>
      <c r="B28" s="276" t="n">
        <v>89.90000000000001</v>
      </c>
      <c r="C28" s="276" t="n">
        <v>4.7</v>
      </c>
      <c r="D28" s="276" t="n">
        <v>5.4</v>
      </c>
      <c r="E28" s="276" t="n">
        <v>78.7</v>
      </c>
      <c r="F28" s="276" t="n">
        <v>1.7</v>
      </c>
      <c r="G28" s="276" t="n">
        <v>19.6</v>
      </c>
      <c r="H28" s="276" t="n">
        <v>81.8</v>
      </c>
      <c r="I28" s="276" t="n">
        <v>1.5</v>
      </c>
      <c r="J28" s="276" t="n">
        <v>16.7</v>
      </c>
      <c r="K28" s="259" t="n">
        <v>6830</v>
      </c>
      <c r="L28" s="259" t="n">
        <v>3182</v>
      </c>
      <c r="M28" s="259" t="n">
        <v>1132</v>
      </c>
    </row>
    <row r="29" ht="15" customHeight="1" s="227">
      <c r="A29" s="22" t="inlineStr">
        <is>
          <t>Whole Kingdom</t>
        </is>
      </c>
      <c r="B29" s="276" t="n">
        <v>91.59999999999999</v>
      </c>
      <c r="C29" s="276" t="n">
        <v>4.7</v>
      </c>
      <c r="D29" s="276" t="n">
        <v>3.7</v>
      </c>
      <c r="E29" s="276" t="n">
        <v>84.40000000000001</v>
      </c>
      <c r="F29" s="276" t="n">
        <v>1.4</v>
      </c>
      <c r="G29" s="276" t="n">
        <v>14.2</v>
      </c>
      <c r="H29" s="276" t="n">
        <v>82.8</v>
      </c>
      <c r="I29" s="276" t="n">
        <v>1.5</v>
      </c>
      <c r="J29" s="276" t="n">
        <v>15.7</v>
      </c>
      <c r="K29" s="259" t="n">
        <v>127246</v>
      </c>
      <c r="L29" s="259" t="n">
        <v>72741</v>
      </c>
      <c r="M29" s="259" t="n">
        <v>30940</v>
      </c>
    </row>
    <row r="30" ht="14" customHeight="1" s="227">
      <c r="A30" s="28" t="inlineStr">
        <is>
          <t>- Urban Area</t>
        </is>
      </c>
      <c r="B30" s="276" t="n">
        <v>93.8</v>
      </c>
      <c r="C30" s="276" t="n">
        <v>3.1</v>
      </c>
      <c r="D30" s="276" t="n">
        <v>3.1</v>
      </c>
      <c r="E30" s="276" t="n">
        <v>88.09999999999999</v>
      </c>
      <c r="F30" s="276" t="n">
        <v>2.1</v>
      </c>
      <c r="G30" s="276" t="n">
        <v>9.800000000000001</v>
      </c>
      <c r="H30" s="276" t="n">
        <v>83.90000000000001</v>
      </c>
      <c r="I30" s="276" t="n">
        <v>2.1</v>
      </c>
      <c r="J30" s="276" t="n">
        <v>14</v>
      </c>
      <c r="K30" s="259" t="n">
        <v>21485</v>
      </c>
      <c r="L30" s="259" t="n">
        <v>15435</v>
      </c>
      <c r="M30" s="259" t="n">
        <v>9867</v>
      </c>
    </row>
    <row r="31" ht="12.5" customHeight="1" s="227">
      <c r="A31" s="28" t="inlineStr">
        <is>
          <t>- Rural Area</t>
        </is>
      </c>
      <c r="B31" s="276" t="n">
        <v>91.2</v>
      </c>
      <c r="C31" s="276" t="n">
        <v>5</v>
      </c>
      <c r="D31" s="276" t="n">
        <v>3.8</v>
      </c>
      <c r="E31" s="276" t="n">
        <v>83.5</v>
      </c>
      <c r="F31" s="276" t="n">
        <v>1.3</v>
      </c>
      <c r="G31" s="276" t="n">
        <v>15.2</v>
      </c>
      <c r="H31" s="276" t="n">
        <v>82.3</v>
      </c>
      <c r="I31" s="276" t="n">
        <v>1.3</v>
      </c>
      <c r="J31" s="276" t="n">
        <v>16.4</v>
      </c>
      <c r="K31" s="259" t="n">
        <v>105761</v>
      </c>
      <c r="L31" s="259" t="n">
        <v>57306</v>
      </c>
      <c r="M31" s="259" t="n">
        <v>21073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5.333333" customWidth="1" style="227" min="1" max="1"/>
    <col width="12.222222" customWidth="1" style="227" min="2" max="2"/>
    <col width="12.222222" customWidth="1" style="227" min="3" max="3"/>
    <col width="12.222222" customWidth="1" style="227" min="4" max="4"/>
    <col width="11.777778" customWidth="1" style="227" min="5" max="5"/>
    <col width="11.555556" customWidth="1" style="227" min="6" max="6"/>
    <col width="11.777778" customWidth="1" style="227" min="7" max="7"/>
    <col width="11.777778" customWidth="1" style="227" min="8" max="8"/>
    <col width="11.555556" customWidth="1" style="227" min="9" max="9"/>
    <col width="11.777778" customWidth="1" style="227" min="10" max="10"/>
    <col width="11.555556" customWidth="1" style="227" min="11" max="11"/>
    <col width="11.777778" customWidth="1" style="227" min="12" max="12"/>
    <col width="11.555556" customWidth="1" style="227" min="13" max="13"/>
  </cols>
  <sheetData>
    <row r="1" ht="31" customHeight="1" s="227">
      <c r="A1" s="2" t="inlineStr">
        <is>
          <t>Table 21: Student Flow Rates (Grade 1-4) for Male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2" t="inlineStr">
        <is>
          <t>Grade 1</t>
        </is>
      </c>
      <c r="C2" s="269" t="n"/>
      <c r="D2" s="257" t="n"/>
      <c r="E2" s="92" t="inlineStr">
        <is>
          <t>Grade 2</t>
        </is>
      </c>
      <c r="F2" s="269" t="n"/>
      <c r="G2" s="257" t="n"/>
      <c r="H2" s="92" t="inlineStr">
        <is>
          <t>Grade 3</t>
        </is>
      </c>
      <c r="I2" s="269" t="n"/>
      <c r="J2" s="257" t="n"/>
      <c r="K2" s="92" t="inlineStr">
        <is>
          <t>Grade 4</t>
        </is>
      </c>
      <c r="L2" s="269" t="n"/>
      <c r="M2" s="257" t="n"/>
    </row>
    <row r="3" ht="18" customHeight="1" s="227">
      <c r="A3" s="258" t="n"/>
      <c r="B3" s="103" t="inlineStr">
        <is>
          <t>Promotion</t>
        </is>
      </c>
      <c r="C3" s="119" t="inlineStr">
        <is>
          <t>Repetition</t>
        </is>
      </c>
      <c r="D3" s="103" t="inlineStr">
        <is>
          <t>Dropout</t>
        </is>
      </c>
      <c r="E3" s="119" t="inlineStr">
        <is>
          <t>Promotion</t>
        </is>
      </c>
      <c r="F3" s="119" t="inlineStr">
        <is>
          <t>Repetition</t>
        </is>
      </c>
      <c r="G3" s="103" t="inlineStr">
        <is>
          <t>Dropout</t>
        </is>
      </c>
      <c r="H3" s="119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19" t="inlineStr">
        <is>
          <t>Promotion</t>
        </is>
      </c>
      <c r="L3" s="119" t="inlineStr">
        <is>
          <t>Repetition</t>
        </is>
      </c>
      <c r="M3" s="103" t="inlineStr">
        <is>
          <t>Dropout</t>
        </is>
      </c>
    </row>
    <row r="4" ht="14" customHeight="1" s="227">
      <c r="A4" s="28" t="inlineStr">
        <is>
          <t>Banteay Meanchey</t>
        </is>
      </c>
      <c r="B4" s="276" t="n">
        <v>89.5</v>
      </c>
      <c r="C4" s="276" t="n">
        <v>7</v>
      </c>
      <c r="D4" s="276" t="n">
        <v>3.4</v>
      </c>
      <c r="E4" s="276" t="n">
        <v>90</v>
      </c>
      <c r="F4" s="276" t="n">
        <v>6.1</v>
      </c>
      <c r="G4" s="276" t="n">
        <v>3.9</v>
      </c>
      <c r="H4" s="276" t="n">
        <v>93.40000000000001</v>
      </c>
      <c r="I4" s="276" t="n">
        <v>4.1</v>
      </c>
      <c r="J4" s="276" t="n">
        <v>2.5</v>
      </c>
      <c r="K4" s="276" t="n">
        <v>89.7</v>
      </c>
      <c r="L4" s="276" t="n">
        <v>3.3</v>
      </c>
      <c r="M4" s="276" t="n">
        <v>7</v>
      </c>
    </row>
    <row r="5" ht="14" customHeight="1" s="227">
      <c r="A5" s="28" t="inlineStr">
        <is>
          <t>Battambang</t>
        </is>
      </c>
      <c r="B5" s="276" t="n">
        <v>82.40000000000001</v>
      </c>
      <c r="C5" s="276" t="n">
        <v>13.7</v>
      </c>
      <c r="D5" s="276" t="n">
        <v>3.9</v>
      </c>
      <c r="E5" s="276" t="n">
        <v>86.2</v>
      </c>
      <c r="F5" s="276" t="n">
        <v>9.800000000000001</v>
      </c>
      <c r="G5" s="276" t="n">
        <v>4</v>
      </c>
      <c r="H5" s="276" t="n">
        <v>86.5</v>
      </c>
      <c r="I5" s="276" t="n">
        <v>6.9</v>
      </c>
      <c r="J5" s="276" t="n">
        <v>6.6</v>
      </c>
      <c r="K5" s="276" t="n">
        <v>88.3</v>
      </c>
      <c r="L5" s="276" t="n">
        <v>5.2</v>
      </c>
      <c r="M5" s="276" t="n">
        <v>6.5</v>
      </c>
    </row>
    <row r="6" ht="15" customHeight="1" s="227">
      <c r="A6" s="28" t="inlineStr">
        <is>
          <t>Kampong Cham</t>
        </is>
      </c>
      <c r="B6" s="276" t="n">
        <v>78.7</v>
      </c>
      <c r="C6" s="276" t="n">
        <v>16.2</v>
      </c>
      <c r="D6" s="276" t="n">
        <v>5.1</v>
      </c>
      <c r="E6" s="276" t="n">
        <v>82.59999999999999</v>
      </c>
      <c r="F6" s="276" t="n">
        <v>12.8</v>
      </c>
      <c r="G6" s="276" t="n">
        <v>4.6</v>
      </c>
      <c r="H6" s="276" t="n">
        <v>84</v>
      </c>
      <c r="I6" s="276" t="n">
        <v>11.1</v>
      </c>
      <c r="J6" s="276" t="n">
        <v>4.9</v>
      </c>
      <c r="K6" s="276" t="n">
        <v>85</v>
      </c>
      <c r="L6" s="276" t="n">
        <v>9.6</v>
      </c>
      <c r="M6" s="276" t="n">
        <v>5.4</v>
      </c>
    </row>
    <row r="7" ht="14" customHeight="1" s="227">
      <c r="A7" s="28" t="inlineStr">
        <is>
          <t>Kampong Chhnang</t>
        </is>
      </c>
      <c r="B7" s="276" t="n">
        <v>85</v>
      </c>
      <c r="C7" s="276" t="n">
        <v>12.9</v>
      </c>
      <c r="D7" s="276" t="n">
        <v>2.2</v>
      </c>
      <c r="E7" s="276" t="n">
        <v>88.3</v>
      </c>
      <c r="F7" s="276" t="n">
        <v>10</v>
      </c>
      <c r="G7" s="276" t="n">
        <v>1.7</v>
      </c>
      <c r="H7" s="276" t="n">
        <v>89.3</v>
      </c>
      <c r="I7" s="276" t="n">
        <v>8.1</v>
      </c>
      <c r="J7" s="276" t="n">
        <v>2.6</v>
      </c>
      <c r="K7" s="276" t="n">
        <v>89.90000000000001</v>
      </c>
      <c r="L7" s="276" t="n">
        <v>5.9</v>
      </c>
      <c r="M7" s="276" t="n">
        <v>4.2</v>
      </c>
    </row>
    <row r="8" ht="14" customHeight="1" s="227">
      <c r="A8" s="28" t="inlineStr">
        <is>
          <t>Kampong Speu</t>
        </is>
      </c>
      <c r="B8" s="276" t="n">
        <v>87.59999999999999</v>
      </c>
      <c r="C8" s="276" t="n">
        <v>10.1</v>
      </c>
      <c r="D8" s="276" t="n">
        <v>2.3</v>
      </c>
      <c r="E8" s="276" t="n">
        <v>90.40000000000001</v>
      </c>
      <c r="F8" s="276" t="n">
        <v>7.5</v>
      </c>
      <c r="G8" s="276" t="n">
        <v>2.1</v>
      </c>
      <c r="H8" s="276" t="n">
        <v>89.8</v>
      </c>
      <c r="I8" s="276" t="n">
        <v>5.7</v>
      </c>
      <c r="J8" s="276" t="n">
        <v>4.5</v>
      </c>
      <c r="K8" s="276" t="n">
        <v>91</v>
      </c>
      <c r="L8" s="276" t="n">
        <v>4</v>
      </c>
      <c r="M8" s="276" t="n">
        <v>4.9</v>
      </c>
    </row>
    <row r="9" ht="14" customHeight="1" s="227">
      <c r="A9" s="28" t="inlineStr">
        <is>
          <t>Kampong Thom</t>
        </is>
      </c>
      <c r="B9" s="276" t="n">
        <v>80</v>
      </c>
      <c r="C9" s="276" t="n">
        <v>14.7</v>
      </c>
      <c r="D9" s="276" t="n">
        <v>5.3</v>
      </c>
      <c r="E9" s="276" t="n">
        <v>84.59999999999999</v>
      </c>
      <c r="F9" s="276" t="n">
        <v>11.3</v>
      </c>
      <c r="G9" s="276" t="n">
        <v>4.2</v>
      </c>
      <c r="H9" s="276" t="n">
        <v>83</v>
      </c>
      <c r="I9" s="276" t="n">
        <v>9</v>
      </c>
      <c r="J9" s="276" t="n">
        <v>8.1</v>
      </c>
      <c r="K9" s="276" t="n">
        <v>84.40000000000001</v>
      </c>
      <c r="L9" s="276" t="n">
        <v>6.4</v>
      </c>
      <c r="M9" s="276" t="n">
        <v>9.199999999999999</v>
      </c>
    </row>
    <row r="10" ht="14" customHeight="1" s="227">
      <c r="A10" s="28" t="inlineStr">
        <is>
          <t>Kampot</t>
        </is>
      </c>
      <c r="B10" s="276" t="n">
        <v>86.8</v>
      </c>
      <c r="C10" s="276" t="n">
        <v>10.5</v>
      </c>
      <c r="D10" s="276" t="n">
        <v>2.7</v>
      </c>
      <c r="E10" s="276" t="n">
        <v>91.7</v>
      </c>
      <c r="F10" s="276" t="n">
        <v>6.3</v>
      </c>
      <c r="G10" s="276" t="n">
        <v>2</v>
      </c>
      <c r="H10" s="276" t="n">
        <v>89.59999999999999</v>
      </c>
      <c r="I10" s="276" t="n">
        <v>5.4</v>
      </c>
      <c r="J10" s="276" t="n">
        <v>5</v>
      </c>
      <c r="K10" s="276" t="n">
        <v>94.59999999999999</v>
      </c>
      <c r="L10" s="276" t="n">
        <v>3.6</v>
      </c>
      <c r="M10" s="276" t="n">
        <v>1.8</v>
      </c>
    </row>
    <row r="11" ht="14" customHeight="1" s="227">
      <c r="A11" s="28" t="inlineStr">
        <is>
          <t>Kandal</t>
        </is>
      </c>
      <c r="B11" s="276" t="n">
        <v>84.59999999999999</v>
      </c>
      <c r="C11" s="276" t="n">
        <v>15.2</v>
      </c>
      <c r="D11" s="276" t="n">
        <v>0.2</v>
      </c>
      <c r="E11" s="276" t="n">
        <v>86</v>
      </c>
      <c r="F11" s="276" t="n">
        <v>11.9</v>
      </c>
      <c r="G11" s="276" t="n">
        <v>2</v>
      </c>
      <c r="H11" s="276" t="n">
        <v>85.59999999999999</v>
      </c>
      <c r="I11" s="276" t="n">
        <v>9.6</v>
      </c>
      <c r="J11" s="276" t="n">
        <v>4.8</v>
      </c>
      <c r="K11" s="276" t="n">
        <v>88.8</v>
      </c>
      <c r="L11" s="276" t="n">
        <v>8.1</v>
      </c>
      <c r="M11" s="276" t="n">
        <v>3.2</v>
      </c>
    </row>
    <row r="12" ht="14" customHeight="1" s="227">
      <c r="A12" s="28" t="inlineStr">
        <is>
          <t>Kep</t>
        </is>
      </c>
      <c r="B12" s="276" t="n">
        <v>88.09999999999999</v>
      </c>
      <c r="C12" s="276" t="n">
        <v>10.2</v>
      </c>
      <c r="D12" s="276" t="n">
        <v>1.7</v>
      </c>
      <c r="E12" s="276" t="n">
        <v>94.5</v>
      </c>
      <c r="F12" s="276" t="n">
        <v>8.199999999999999</v>
      </c>
      <c r="G12" s="120" t="inlineStr">
        <is>
          <t>n.a.</t>
        </is>
      </c>
      <c r="H12" s="276" t="n">
        <v>95.40000000000001</v>
      </c>
      <c r="I12" s="276" t="n">
        <v>6.6</v>
      </c>
      <c r="J12" s="120" t="inlineStr">
        <is>
          <t>n.a.</t>
        </is>
      </c>
      <c r="K12" s="276" t="n">
        <v>86.7</v>
      </c>
      <c r="L12" s="276" t="n">
        <v>4.7</v>
      </c>
      <c r="M12" s="276" t="n">
        <v>8.6</v>
      </c>
    </row>
    <row r="13" ht="14" customHeight="1" s="227">
      <c r="A13" s="28" t="inlineStr">
        <is>
          <t>Koh Kong</t>
        </is>
      </c>
      <c r="B13" s="276" t="n">
        <v>84.40000000000001</v>
      </c>
      <c r="C13" s="276" t="n">
        <v>8.699999999999999</v>
      </c>
      <c r="D13" s="276" t="n">
        <v>6.9</v>
      </c>
      <c r="E13" s="276" t="n">
        <v>84.2</v>
      </c>
      <c r="F13" s="276" t="n">
        <v>6.3</v>
      </c>
      <c r="G13" s="276" t="n">
        <v>9.5</v>
      </c>
      <c r="H13" s="276" t="n">
        <v>89.90000000000001</v>
      </c>
      <c r="I13" s="276" t="n">
        <v>4.3</v>
      </c>
      <c r="J13" s="276" t="n">
        <v>5.8</v>
      </c>
      <c r="K13" s="276" t="n">
        <v>91.09999999999999</v>
      </c>
      <c r="L13" s="276" t="n">
        <v>2.3</v>
      </c>
      <c r="M13" s="276" t="n">
        <v>6.7</v>
      </c>
    </row>
    <row r="14" ht="14" customHeight="1" s="227">
      <c r="A14" s="28" t="inlineStr">
        <is>
          <t>Kratie</t>
        </is>
      </c>
      <c r="B14" s="276" t="n">
        <v>79.90000000000001</v>
      </c>
      <c r="C14" s="276" t="n">
        <v>15.1</v>
      </c>
      <c r="D14" s="276" t="n">
        <v>5</v>
      </c>
      <c r="E14" s="276" t="n">
        <v>81.90000000000001</v>
      </c>
      <c r="F14" s="276" t="n">
        <v>11</v>
      </c>
      <c r="G14" s="276" t="n">
        <v>7.1</v>
      </c>
      <c r="H14" s="276" t="n">
        <v>81</v>
      </c>
      <c r="I14" s="276" t="n">
        <v>9.199999999999999</v>
      </c>
      <c r="J14" s="276" t="n">
        <v>9.800000000000001</v>
      </c>
      <c r="K14" s="276" t="n">
        <v>82</v>
      </c>
      <c r="L14" s="276" t="n">
        <v>7.7</v>
      </c>
      <c r="M14" s="276" t="n">
        <v>10.3</v>
      </c>
    </row>
    <row r="15" ht="14" customHeight="1" s="227">
      <c r="A15" s="28" t="inlineStr">
        <is>
          <t>Mondul Kiri</t>
        </is>
      </c>
      <c r="B15" s="276" t="n">
        <v>87.8</v>
      </c>
      <c r="C15" s="276" t="n">
        <v>8.9</v>
      </c>
      <c r="D15" s="276" t="n">
        <v>3.4</v>
      </c>
      <c r="E15" s="276" t="n">
        <v>84.2</v>
      </c>
      <c r="F15" s="276" t="n">
        <v>7.6</v>
      </c>
      <c r="G15" s="276" t="n">
        <v>8.199999999999999</v>
      </c>
      <c r="H15" s="276" t="n">
        <v>87.90000000000001</v>
      </c>
      <c r="I15" s="276" t="n">
        <v>5.5</v>
      </c>
      <c r="J15" s="276" t="n">
        <v>6.6</v>
      </c>
      <c r="K15" s="276" t="n">
        <v>83.8</v>
      </c>
      <c r="L15" s="276" t="n">
        <v>5.5</v>
      </c>
      <c r="M15" s="276" t="n">
        <v>10.7</v>
      </c>
    </row>
    <row r="16" ht="14" customHeight="1" s="227">
      <c r="A16" s="28" t="inlineStr">
        <is>
          <t>Otdar Meanchey</t>
        </is>
      </c>
      <c r="B16" s="276" t="n">
        <v>78.90000000000001</v>
      </c>
      <c r="C16" s="276" t="n">
        <v>16.5</v>
      </c>
      <c r="D16" s="276" t="n">
        <v>4.6</v>
      </c>
      <c r="E16" s="276" t="n">
        <v>82.2</v>
      </c>
      <c r="F16" s="276" t="n">
        <v>11.9</v>
      </c>
      <c r="G16" s="276" t="n">
        <v>5.9</v>
      </c>
      <c r="H16" s="276" t="n">
        <v>82.90000000000001</v>
      </c>
      <c r="I16" s="276" t="n">
        <v>9.6</v>
      </c>
      <c r="J16" s="276" t="n">
        <v>7.5</v>
      </c>
      <c r="K16" s="276" t="n">
        <v>81.40000000000001</v>
      </c>
      <c r="L16" s="276" t="n">
        <v>7.1</v>
      </c>
      <c r="M16" s="276" t="n">
        <v>11.5</v>
      </c>
    </row>
    <row r="17" ht="14" customHeight="1" s="227">
      <c r="A17" s="28" t="inlineStr">
        <is>
          <t>Pailin</t>
        </is>
      </c>
      <c r="B17" s="276" t="n">
        <v>83.5</v>
      </c>
      <c r="C17" s="276" t="n">
        <v>12.3</v>
      </c>
      <c r="D17" s="276" t="n">
        <v>4.2</v>
      </c>
      <c r="E17" s="276" t="n">
        <v>82.7</v>
      </c>
      <c r="F17" s="276" t="n">
        <v>9.199999999999999</v>
      </c>
      <c r="G17" s="276" t="n">
        <v>8.1</v>
      </c>
      <c r="H17" s="276" t="n">
        <v>81.59999999999999</v>
      </c>
      <c r="I17" s="276" t="n">
        <v>10.5</v>
      </c>
      <c r="J17" s="276" t="n">
        <v>8</v>
      </c>
      <c r="K17" s="276" t="n">
        <v>87.2</v>
      </c>
      <c r="L17" s="276" t="n">
        <v>6.3</v>
      </c>
      <c r="M17" s="276" t="n">
        <v>6.5</v>
      </c>
    </row>
    <row r="18" ht="14" customHeight="1" s="227">
      <c r="A18" s="28" t="inlineStr">
        <is>
          <t>Phnom Penh</t>
        </is>
      </c>
      <c r="B18" s="276" t="n">
        <v>89.09999999999999</v>
      </c>
      <c r="C18" s="276" t="n">
        <v>6.7</v>
      </c>
      <c r="D18" s="276" t="n">
        <v>4.1</v>
      </c>
      <c r="E18" s="276" t="n">
        <v>92.09999999999999</v>
      </c>
      <c r="F18" s="276" t="n">
        <v>5.3</v>
      </c>
      <c r="G18" s="276" t="n">
        <v>2.6</v>
      </c>
      <c r="H18" s="276" t="n">
        <v>92.59999999999999</v>
      </c>
      <c r="I18" s="276" t="n">
        <v>3.6</v>
      </c>
      <c r="J18" s="276" t="n">
        <v>3.8</v>
      </c>
      <c r="K18" s="276" t="n">
        <v>95.09999999999999</v>
      </c>
      <c r="L18" s="276" t="n">
        <v>2.8</v>
      </c>
      <c r="M18" s="276" t="n">
        <v>2.1</v>
      </c>
    </row>
    <row r="19" ht="14" customHeight="1" s="227">
      <c r="A19" s="28" t="inlineStr">
        <is>
          <t>Preah Sihanouk</t>
        </is>
      </c>
      <c r="B19" s="276" t="n">
        <v>90.5</v>
      </c>
      <c r="C19" s="276" t="n">
        <v>7.4</v>
      </c>
      <c r="D19" s="276" t="n">
        <v>2.1</v>
      </c>
      <c r="E19" s="276" t="n">
        <v>93.90000000000001</v>
      </c>
      <c r="F19" s="276" t="n">
        <v>4.1</v>
      </c>
      <c r="G19" s="276" t="n">
        <v>2</v>
      </c>
      <c r="H19" s="276" t="n">
        <v>93.90000000000001</v>
      </c>
      <c r="I19" s="276" t="n">
        <v>3.7</v>
      </c>
      <c r="J19" s="276" t="n">
        <v>2.5</v>
      </c>
      <c r="K19" s="276" t="n">
        <v>88.7</v>
      </c>
      <c r="L19" s="276" t="n">
        <v>2.5</v>
      </c>
      <c r="M19" s="276" t="n">
        <v>8.699999999999999</v>
      </c>
    </row>
    <row r="20" ht="14" customHeight="1" s="227">
      <c r="A20" s="28" t="inlineStr">
        <is>
          <t>Preah Vihear</t>
        </is>
      </c>
      <c r="B20" s="276" t="n">
        <v>78.09999999999999</v>
      </c>
      <c r="C20" s="276" t="n">
        <v>19</v>
      </c>
      <c r="D20" s="276" t="n">
        <v>2.9</v>
      </c>
      <c r="E20" s="276" t="n">
        <v>84.5</v>
      </c>
      <c r="F20" s="276" t="n">
        <v>11.3</v>
      </c>
      <c r="G20" s="276" t="n">
        <v>4.2</v>
      </c>
      <c r="H20" s="276" t="n">
        <v>84.5</v>
      </c>
      <c r="I20" s="276" t="n">
        <v>9.199999999999999</v>
      </c>
      <c r="J20" s="276" t="n">
        <v>6.2</v>
      </c>
      <c r="K20" s="276" t="n">
        <v>84.90000000000001</v>
      </c>
      <c r="L20" s="276" t="n">
        <v>6.5</v>
      </c>
      <c r="M20" s="276" t="n">
        <v>8.6</v>
      </c>
    </row>
    <row r="21" ht="14" customHeight="1" s="227">
      <c r="A21" s="28" t="inlineStr">
        <is>
          <t>Prey Veng</t>
        </is>
      </c>
      <c r="B21" s="276" t="n">
        <v>84.3</v>
      </c>
      <c r="C21" s="276" t="n">
        <v>13.8</v>
      </c>
      <c r="D21" s="276" t="n">
        <v>1.9</v>
      </c>
      <c r="E21" s="276" t="n">
        <v>89.09999999999999</v>
      </c>
      <c r="F21" s="276" t="n">
        <v>10.1</v>
      </c>
      <c r="G21" s="276" t="n">
        <v>0.8</v>
      </c>
      <c r="H21" s="276" t="n">
        <v>89.09999999999999</v>
      </c>
      <c r="I21" s="276" t="n">
        <v>7.8</v>
      </c>
      <c r="J21" s="276" t="n">
        <v>3.1</v>
      </c>
      <c r="K21" s="276" t="n">
        <v>90.2</v>
      </c>
      <c r="L21" s="276" t="n">
        <v>6.7</v>
      </c>
      <c r="M21" s="276" t="n">
        <v>3.1</v>
      </c>
    </row>
    <row r="22" ht="14" customHeight="1" s="227">
      <c r="A22" s="28" t="inlineStr">
        <is>
          <t>Pursat</t>
        </is>
      </c>
      <c r="B22" s="276" t="n">
        <v>79</v>
      </c>
      <c r="C22" s="276" t="n">
        <v>16.3</v>
      </c>
      <c r="D22" s="276" t="n">
        <v>4.7</v>
      </c>
      <c r="E22" s="276" t="n">
        <v>84.5</v>
      </c>
      <c r="F22" s="276" t="n">
        <v>10.6</v>
      </c>
      <c r="G22" s="276" t="n">
        <v>4.9</v>
      </c>
      <c r="H22" s="276" t="n">
        <v>86.7</v>
      </c>
      <c r="I22" s="276" t="n">
        <v>8.6</v>
      </c>
      <c r="J22" s="276" t="n">
        <v>4.7</v>
      </c>
      <c r="K22" s="276" t="n">
        <v>86.8</v>
      </c>
      <c r="L22" s="276" t="n">
        <v>7.1</v>
      </c>
      <c r="M22" s="276" t="n">
        <v>6.1</v>
      </c>
    </row>
    <row r="23" ht="14" customHeight="1" s="227">
      <c r="A23" s="28" t="inlineStr">
        <is>
          <t>Ratanak Kiri</t>
        </is>
      </c>
      <c r="B23" s="276" t="n">
        <v>78.5</v>
      </c>
      <c r="C23" s="276" t="n">
        <v>7.8</v>
      </c>
      <c r="D23" s="276" t="n">
        <v>13.6</v>
      </c>
      <c r="E23" s="276" t="n">
        <v>83.2</v>
      </c>
      <c r="F23" s="276" t="n">
        <v>6.2</v>
      </c>
      <c r="G23" s="276" t="n">
        <v>10.6</v>
      </c>
      <c r="H23" s="276" t="n">
        <v>85.2</v>
      </c>
      <c r="I23" s="276" t="n">
        <v>4.1</v>
      </c>
      <c r="J23" s="276" t="n">
        <v>10.7</v>
      </c>
      <c r="K23" s="276" t="n">
        <v>84</v>
      </c>
      <c r="L23" s="276" t="n">
        <v>3.3</v>
      </c>
      <c r="M23" s="276" t="n">
        <v>12.8</v>
      </c>
    </row>
    <row r="24" ht="14" customHeight="1" s="227">
      <c r="A24" s="28" t="inlineStr">
        <is>
          <t>Siemreap</t>
        </is>
      </c>
      <c r="B24" s="276" t="n">
        <v>80.2</v>
      </c>
      <c r="C24" s="276" t="n">
        <v>15.6</v>
      </c>
      <c r="D24" s="276" t="n">
        <v>4.1</v>
      </c>
      <c r="E24" s="276" t="n">
        <v>80.2</v>
      </c>
      <c r="F24" s="276" t="n">
        <v>11.2</v>
      </c>
      <c r="G24" s="276" t="n">
        <v>8.6</v>
      </c>
      <c r="H24" s="276" t="n">
        <v>85.90000000000001</v>
      </c>
      <c r="I24" s="276" t="n">
        <v>9.1</v>
      </c>
      <c r="J24" s="276" t="n">
        <v>5</v>
      </c>
      <c r="K24" s="276" t="n">
        <v>90.3</v>
      </c>
      <c r="L24" s="276" t="n">
        <v>6.3</v>
      </c>
      <c r="M24" s="276" t="n">
        <v>3.4</v>
      </c>
    </row>
    <row r="25" ht="14" customHeight="1" s="227">
      <c r="A25" s="28" t="inlineStr">
        <is>
          <t>Stung Treng</t>
        </is>
      </c>
      <c r="B25" s="276" t="n">
        <v>74.40000000000001</v>
      </c>
      <c r="C25" s="276" t="n">
        <v>20.1</v>
      </c>
      <c r="D25" s="276" t="n">
        <v>5.5</v>
      </c>
      <c r="E25" s="276" t="n">
        <v>78</v>
      </c>
      <c r="F25" s="276" t="n">
        <v>14.4</v>
      </c>
      <c r="G25" s="276" t="n">
        <v>7.6</v>
      </c>
      <c r="H25" s="276" t="n">
        <v>78.8</v>
      </c>
      <c r="I25" s="276" t="n">
        <v>10.6</v>
      </c>
      <c r="J25" s="276" t="n">
        <v>10.7</v>
      </c>
      <c r="K25" s="276" t="n">
        <v>83.5</v>
      </c>
      <c r="L25" s="276" t="n">
        <v>7.9</v>
      </c>
      <c r="M25" s="276" t="n">
        <v>8.6</v>
      </c>
    </row>
    <row r="26" ht="14" customHeight="1" s="227">
      <c r="A26" s="28" t="inlineStr">
        <is>
          <t>Svay Rieng</t>
        </is>
      </c>
      <c r="B26" s="276" t="n">
        <v>87.7</v>
      </c>
      <c r="C26" s="276" t="n">
        <v>9.300000000000001</v>
      </c>
      <c r="D26" s="276" t="n">
        <v>3</v>
      </c>
      <c r="E26" s="276" t="n">
        <v>92.3</v>
      </c>
      <c r="F26" s="276" t="n">
        <v>7.2</v>
      </c>
      <c r="G26" s="276" t="n">
        <v>0.4</v>
      </c>
      <c r="H26" s="276" t="n">
        <v>92.59999999999999</v>
      </c>
      <c r="I26" s="276" t="n">
        <v>4.9</v>
      </c>
      <c r="J26" s="276" t="n">
        <v>2.5</v>
      </c>
      <c r="K26" s="276" t="n">
        <v>92.09999999999999</v>
      </c>
      <c r="L26" s="276" t="n">
        <v>4.1</v>
      </c>
      <c r="M26" s="276" t="n">
        <v>3.8</v>
      </c>
    </row>
    <row r="27" ht="14" customHeight="1" s="227">
      <c r="A27" s="28" t="inlineStr">
        <is>
          <t>Takeo</t>
        </is>
      </c>
      <c r="B27" s="276" t="n">
        <v>85.90000000000001</v>
      </c>
      <c r="C27" s="276" t="n">
        <v>12.5</v>
      </c>
      <c r="D27" s="276" t="n">
        <v>1.5</v>
      </c>
      <c r="E27" s="276" t="n">
        <v>89</v>
      </c>
      <c r="F27" s="276" t="n">
        <v>9.4</v>
      </c>
      <c r="G27" s="276" t="n">
        <v>1.6</v>
      </c>
      <c r="H27" s="276" t="n">
        <v>89.7</v>
      </c>
      <c r="I27" s="276" t="n">
        <v>7.5</v>
      </c>
      <c r="J27" s="276" t="n">
        <v>2.7</v>
      </c>
      <c r="K27" s="276" t="n">
        <v>90.7</v>
      </c>
      <c r="L27" s="276" t="n">
        <v>6.9</v>
      </c>
      <c r="M27" s="276" t="n">
        <v>2.4</v>
      </c>
    </row>
    <row r="28" ht="14" customHeight="1" s="227">
      <c r="A28" s="28" t="inlineStr">
        <is>
          <t>Tbaung Khmum</t>
        </is>
      </c>
      <c r="B28" s="276" t="n">
        <v>83.5</v>
      </c>
      <c r="C28" s="276" t="n">
        <v>11.2</v>
      </c>
      <c r="D28" s="276" t="n">
        <v>5.3</v>
      </c>
      <c r="E28" s="276" t="n">
        <v>85.90000000000001</v>
      </c>
      <c r="F28" s="276" t="n">
        <v>8.5</v>
      </c>
      <c r="G28" s="276" t="n">
        <v>5.6</v>
      </c>
      <c r="H28" s="276" t="n">
        <v>86.09999999999999</v>
      </c>
      <c r="I28" s="276" t="n">
        <v>7.1</v>
      </c>
      <c r="J28" s="276" t="n">
        <v>6.8</v>
      </c>
      <c r="K28" s="276" t="n">
        <v>86.2</v>
      </c>
      <c r="L28" s="276" t="n">
        <v>5.5</v>
      </c>
      <c r="M28" s="276" t="n">
        <v>8.300000000000001</v>
      </c>
    </row>
    <row r="29" ht="15" customHeight="1" s="227">
      <c r="A29" s="22" t="inlineStr">
        <is>
          <t>Whole Kingdom</t>
        </is>
      </c>
      <c r="B29" s="276" t="n">
        <v>83.40000000000001</v>
      </c>
      <c r="C29" s="276" t="n">
        <v>12.9</v>
      </c>
      <c r="D29" s="276" t="n">
        <v>3.7</v>
      </c>
      <c r="E29" s="276" t="n">
        <v>86.5</v>
      </c>
      <c r="F29" s="276" t="n">
        <v>9.5</v>
      </c>
      <c r="G29" s="276" t="n">
        <v>4</v>
      </c>
      <c r="H29" s="276" t="n">
        <v>87.5</v>
      </c>
      <c r="I29" s="276" t="n">
        <v>7.4</v>
      </c>
      <c r="J29" s="276" t="n">
        <v>5.1</v>
      </c>
      <c r="K29" s="276" t="n">
        <v>88.8</v>
      </c>
      <c r="L29" s="276" t="n">
        <v>5.8</v>
      </c>
      <c r="M29" s="276" t="n">
        <v>5.3</v>
      </c>
    </row>
    <row r="30" ht="14" customHeight="1" s="227">
      <c r="A30" s="28" t="inlineStr">
        <is>
          <t>- Urban Area</t>
        </is>
      </c>
      <c r="B30" s="276" t="n">
        <v>85.59999999999999</v>
      </c>
      <c r="C30" s="276" t="n">
        <v>10.1</v>
      </c>
      <c r="D30" s="276" t="n">
        <v>4.3</v>
      </c>
      <c r="E30" s="276" t="n">
        <v>88</v>
      </c>
      <c r="F30" s="276" t="n">
        <v>7.3</v>
      </c>
      <c r="G30" s="276" t="n">
        <v>4.7</v>
      </c>
      <c r="H30" s="276" t="n">
        <v>91.40000000000001</v>
      </c>
      <c r="I30" s="276" t="n">
        <v>5.4</v>
      </c>
      <c r="J30" s="276" t="n">
        <v>3.2</v>
      </c>
      <c r="K30" s="276" t="n">
        <v>93.09999999999999</v>
      </c>
      <c r="L30" s="276" t="n">
        <v>3.8</v>
      </c>
      <c r="M30" s="276" t="n">
        <v>3.1</v>
      </c>
    </row>
    <row r="31" ht="12.5" customHeight="1" s="227">
      <c r="A31" s="28" t="inlineStr">
        <is>
          <t>- Rural Area</t>
        </is>
      </c>
      <c r="B31" s="276" t="n">
        <v>83</v>
      </c>
      <c r="C31" s="276" t="n">
        <v>13.4</v>
      </c>
      <c r="D31" s="276" t="n">
        <v>3.6</v>
      </c>
      <c r="E31" s="276" t="n">
        <v>86.2</v>
      </c>
      <c r="F31" s="276" t="n">
        <v>9.9</v>
      </c>
      <c r="G31" s="276" t="n">
        <v>3.9</v>
      </c>
      <c r="H31" s="276" t="n">
        <v>86.7</v>
      </c>
      <c r="I31" s="276" t="n">
        <v>7.8</v>
      </c>
      <c r="J31" s="276" t="n">
        <v>5.4</v>
      </c>
      <c r="K31" s="276" t="n">
        <v>88</v>
      </c>
      <c r="L31" s="276" t="n">
        <v>6.2</v>
      </c>
      <c r="M31" s="276" t="n">
        <v>5.8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3.777778" customWidth="1" style="227" min="1" max="1"/>
    <col width="12.222222" customWidth="1" style="227" min="2" max="2"/>
    <col width="12.444444" customWidth="1" style="227" min="3" max="3"/>
    <col width="12.444444" customWidth="1" style="227" min="4" max="4"/>
    <col width="12" customWidth="1" style="227" min="5" max="5"/>
    <col width="12" customWidth="1" style="227" min="6" max="6"/>
    <col width="12" customWidth="1" style="227" min="7" max="7"/>
    <col width="11.555556" customWidth="1" style="227" min="8" max="8"/>
    <col width="11.777778" customWidth="1" style="227" min="9" max="9"/>
    <col width="11.777778" customWidth="1" style="227" min="10" max="10"/>
    <col width="11.555556" customWidth="1" style="227" min="11" max="11"/>
    <col width="11.777778" customWidth="1" style="227" min="12" max="12"/>
    <col width="11.555556" customWidth="1" style="227" min="13" max="13"/>
  </cols>
  <sheetData>
    <row r="1" ht="31" customHeight="1" s="227">
      <c r="A1" s="2" t="inlineStr">
        <is>
          <t>Table 22: Student Flow Rates  (Grade 5-8) for Male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2" t="inlineStr">
        <is>
          <t>Grade 5</t>
        </is>
      </c>
      <c r="C2" s="269" t="n"/>
      <c r="D2" s="257" t="n"/>
      <c r="E2" s="92" t="inlineStr">
        <is>
          <t>Grade 6</t>
        </is>
      </c>
      <c r="F2" s="269" t="n"/>
      <c r="G2" s="257" t="n"/>
      <c r="H2" s="92" t="inlineStr">
        <is>
          <t>Grade 7</t>
        </is>
      </c>
      <c r="I2" s="269" t="n"/>
      <c r="J2" s="257" t="n"/>
      <c r="K2" s="92" t="inlineStr">
        <is>
          <t>Grade 8</t>
        </is>
      </c>
      <c r="L2" s="269" t="n"/>
      <c r="M2" s="257" t="n"/>
    </row>
    <row r="3" ht="18" customHeight="1" s="227">
      <c r="A3" s="258" t="n"/>
      <c r="B3" s="103" t="inlineStr">
        <is>
          <t>Promotion</t>
        </is>
      </c>
      <c r="C3" s="103" t="inlineStr">
        <is>
          <t>Repetition</t>
        </is>
      </c>
      <c r="D3" s="102" t="inlineStr">
        <is>
          <t>Dropout</t>
        </is>
      </c>
      <c r="E3" s="119" t="inlineStr">
        <is>
          <t>Promotion</t>
        </is>
      </c>
      <c r="F3" s="103" t="inlineStr">
        <is>
          <t>Repetition</t>
        </is>
      </c>
      <c r="G3" s="103" t="inlineStr">
        <is>
          <t>Dropout</t>
        </is>
      </c>
      <c r="H3" s="119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03" t="inlineStr">
        <is>
          <t>Promotion</t>
        </is>
      </c>
      <c r="L3" s="119" t="inlineStr">
        <is>
          <t>Repetition</t>
        </is>
      </c>
      <c r="M3" s="103" t="inlineStr">
        <is>
          <t>Dropout</t>
        </is>
      </c>
    </row>
    <row r="4" ht="14" customHeight="1" s="227">
      <c r="A4" s="28" t="inlineStr">
        <is>
          <t>Banteay Meanchey</t>
        </is>
      </c>
      <c r="B4" s="276" t="n">
        <v>93.8</v>
      </c>
      <c r="C4" s="276" t="n">
        <v>2.2</v>
      </c>
      <c r="D4" s="276" t="n">
        <v>4</v>
      </c>
      <c r="E4" s="276" t="n">
        <v>91.3</v>
      </c>
      <c r="F4" s="276" t="n">
        <v>1.9</v>
      </c>
      <c r="G4" s="276" t="n">
        <v>6.7</v>
      </c>
      <c r="H4" s="276" t="n">
        <v>76.59999999999999</v>
      </c>
      <c r="I4" s="276" t="n">
        <v>3.5</v>
      </c>
      <c r="J4" s="276" t="n">
        <v>19.8</v>
      </c>
      <c r="K4" s="276" t="n">
        <v>82</v>
      </c>
      <c r="L4" s="276" t="n">
        <v>2.6</v>
      </c>
      <c r="M4" s="276" t="n">
        <v>15.4</v>
      </c>
    </row>
    <row r="5" ht="14" customHeight="1" s="227">
      <c r="A5" s="28" t="inlineStr">
        <is>
          <t>Battambang</t>
        </is>
      </c>
      <c r="B5" s="276" t="n">
        <v>88.5</v>
      </c>
      <c r="C5" s="276" t="n">
        <v>3.6</v>
      </c>
      <c r="D5" s="276" t="n">
        <v>7.9</v>
      </c>
      <c r="E5" s="276" t="n">
        <v>86.40000000000001</v>
      </c>
      <c r="F5" s="276" t="n">
        <v>3.1</v>
      </c>
      <c r="G5" s="276" t="n">
        <v>10.5</v>
      </c>
      <c r="H5" s="276" t="n">
        <v>71</v>
      </c>
      <c r="I5" s="276" t="n">
        <v>4.9</v>
      </c>
      <c r="J5" s="276" t="n">
        <v>24.1</v>
      </c>
      <c r="K5" s="276" t="n">
        <v>79.3</v>
      </c>
      <c r="L5" s="276" t="n">
        <v>3.3</v>
      </c>
      <c r="M5" s="276" t="n">
        <v>17.4</v>
      </c>
    </row>
    <row r="6" ht="15" customHeight="1" s="227">
      <c r="A6" s="28" t="inlineStr">
        <is>
          <t>Kampong Cham</t>
        </is>
      </c>
      <c r="B6" s="276" t="n">
        <v>86.7</v>
      </c>
      <c r="C6" s="276" t="n">
        <v>7.4</v>
      </c>
      <c r="D6" s="276" t="n">
        <v>6</v>
      </c>
      <c r="E6" s="276" t="n">
        <v>90.8</v>
      </c>
      <c r="F6" s="276" t="n">
        <v>5</v>
      </c>
      <c r="G6" s="276" t="n">
        <v>4.2</v>
      </c>
      <c r="H6" s="276" t="n">
        <v>75</v>
      </c>
      <c r="I6" s="276" t="n">
        <v>4.5</v>
      </c>
      <c r="J6" s="276" t="n">
        <v>20.5</v>
      </c>
      <c r="K6" s="276" t="n">
        <v>78.5</v>
      </c>
      <c r="L6" s="276" t="n">
        <v>4.2</v>
      </c>
      <c r="M6" s="276" t="n">
        <v>17.3</v>
      </c>
    </row>
    <row r="7" ht="14" customHeight="1" s="227">
      <c r="A7" s="28" t="inlineStr">
        <is>
          <t>Kampong Chhnang</t>
        </is>
      </c>
      <c r="B7" s="276" t="n">
        <v>91.90000000000001</v>
      </c>
      <c r="C7" s="276" t="n">
        <v>3.9</v>
      </c>
      <c r="D7" s="276" t="n">
        <v>4.3</v>
      </c>
      <c r="E7" s="276" t="n">
        <v>92</v>
      </c>
      <c r="F7" s="276" t="n">
        <v>3</v>
      </c>
      <c r="G7" s="276" t="n">
        <v>5.1</v>
      </c>
      <c r="H7" s="276" t="n">
        <v>78.90000000000001</v>
      </c>
      <c r="I7" s="276" t="n">
        <v>3.7</v>
      </c>
      <c r="J7" s="276" t="n">
        <v>17.4</v>
      </c>
      <c r="K7" s="276" t="n">
        <v>80.09999999999999</v>
      </c>
      <c r="L7" s="276" t="n">
        <v>2.5</v>
      </c>
      <c r="M7" s="276" t="n">
        <v>17.4</v>
      </c>
    </row>
    <row r="8" ht="14" customHeight="1" s="227">
      <c r="A8" s="28" t="inlineStr">
        <is>
          <t>Kampong Speu</t>
        </is>
      </c>
      <c r="B8" s="276" t="n">
        <v>91.2</v>
      </c>
      <c r="C8" s="276" t="n">
        <v>2.7</v>
      </c>
      <c r="D8" s="276" t="n">
        <v>6</v>
      </c>
      <c r="E8" s="276" t="n">
        <v>92.40000000000001</v>
      </c>
      <c r="F8" s="276" t="n">
        <v>3.9</v>
      </c>
      <c r="G8" s="276" t="n">
        <v>3.7</v>
      </c>
      <c r="H8" s="276" t="n">
        <v>77.40000000000001</v>
      </c>
      <c r="I8" s="276" t="n">
        <v>2</v>
      </c>
      <c r="J8" s="276" t="n">
        <v>20.6</v>
      </c>
      <c r="K8" s="276" t="n">
        <v>82.5</v>
      </c>
      <c r="L8" s="276" t="n">
        <v>1.3</v>
      </c>
      <c r="M8" s="276" t="n">
        <v>16.2</v>
      </c>
    </row>
    <row r="9" ht="14" customHeight="1" s="227">
      <c r="A9" s="28" t="inlineStr">
        <is>
          <t>Kampong Thom</t>
        </is>
      </c>
      <c r="B9" s="276" t="n">
        <v>87</v>
      </c>
      <c r="C9" s="276" t="n">
        <v>4.8</v>
      </c>
      <c r="D9" s="276" t="n">
        <v>8.199999999999999</v>
      </c>
      <c r="E9" s="276" t="n">
        <v>93</v>
      </c>
      <c r="F9" s="276" t="n">
        <v>3.6</v>
      </c>
      <c r="G9" s="276" t="n">
        <v>3.4</v>
      </c>
      <c r="H9" s="276" t="n">
        <v>75.59999999999999</v>
      </c>
      <c r="I9" s="276" t="n">
        <v>4.9</v>
      </c>
      <c r="J9" s="276" t="n">
        <v>19.5</v>
      </c>
      <c r="K9" s="276" t="n">
        <v>84.90000000000001</v>
      </c>
      <c r="L9" s="276" t="n">
        <v>2.2</v>
      </c>
      <c r="M9" s="276" t="n">
        <v>12.9</v>
      </c>
    </row>
    <row r="10" ht="14" customHeight="1" s="227">
      <c r="A10" s="28" t="inlineStr">
        <is>
          <t>Kampot</t>
        </is>
      </c>
      <c r="B10" s="276" t="n">
        <v>90.5</v>
      </c>
      <c r="C10" s="276" t="n">
        <v>2.7</v>
      </c>
      <c r="D10" s="276" t="n">
        <v>6.8</v>
      </c>
      <c r="E10" s="276" t="n">
        <v>91.59999999999999</v>
      </c>
      <c r="F10" s="276" t="n">
        <v>2.5</v>
      </c>
      <c r="G10" s="276" t="n">
        <v>5.9</v>
      </c>
      <c r="H10" s="276" t="n">
        <v>77</v>
      </c>
      <c r="I10" s="276" t="n">
        <v>3.4</v>
      </c>
      <c r="J10" s="276" t="n">
        <v>19.6</v>
      </c>
      <c r="K10" s="276" t="n">
        <v>79.09999999999999</v>
      </c>
      <c r="L10" s="276" t="n">
        <v>2.1</v>
      </c>
      <c r="M10" s="276" t="n">
        <v>18.8</v>
      </c>
    </row>
    <row r="11" ht="14" customHeight="1" s="227">
      <c r="A11" s="28" t="inlineStr">
        <is>
          <t>Kandal</t>
        </is>
      </c>
      <c r="B11" s="276" t="n">
        <v>89.5</v>
      </c>
      <c r="C11" s="276" t="n">
        <v>6.3</v>
      </c>
      <c r="D11" s="276" t="n">
        <v>4.2</v>
      </c>
      <c r="E11" s="276" t="n">
        <v>91.3</v>
      </c>
      <c r="F11" s="276" t="n">
        <v>5</v>
      </c>
      <c r="G11" s="276" t="n">
        <v>3.7</v>
      </c>
      <c r="H11" s="276" t="n">
        <v>77</v>
      </c>
      <c r="I11" s="276" t="n">
        <v>5</v>
      </c>
      <c r="J11" s="276" t="n">
        <v>18</v>
      </c>
      <c r="K11" s="276" t="n">
        <v>81.8</v>
      </c>
      <c r="L11" s="276" t="n">
        <v>2.5</v>
      </c>
      <c r="M11" s="276" t="n">
        <v>15.7</v>
      </c>
    </row>
    <row r="12" ht="14" customHeight="1" s="227">
      <c r="A12" s="28" t="inlineStr">
        <is>
          <t>Kep</t>
        </is>
      </c>
      <c r="B12" s="276" t="n">
        <v>86.5</v>
      </c>
      <c r="C12" s="276" t="n">
        <v>3.4</v>
      </c>
      <c r="D12" s="291" t="n">
        <v>10</v>
      </c>
      <c r="E12" s="276" t="n">
        <v>81.8</v>
      </c>
      <c r="F12" s="276" t="n">
        <v>4.1</v>
      </c>
      <c r="G12" s="276" t="n">
        <v>14</v>
      </c>
      <c r="H12" s="276" t="n">
        <v>69.90000000000001</v>
      </c>
      <c r="I12" s="276" t="n">
        <v>5.6</v>
      </c>
      <c r="J12" s="276" t="n">
        <v>24.5</v>
      </c>
      <c r="K12" s="276" t="n">
        <v>77</v>
      </c>
      <c r="L12" s="276" t="n">
        <v>0.6</v>
      </c>
      <c r="M12" s="276" t="n">
        <v>22.3</v>
      </c>
    </row>
    <row r="13" ht="14" customHeight="1" s="227">
      <c r="A13" s="28" t="inlineStr">
        <is>
          <t>Koh Kong</t>
        </is>
      </c>
      <c r="B13" s="276" t="n">
        <v>98.7</v>
      </c>
      <c r="C13" s="276" t="n">
        <v>1.7</v>
      </c>
      <c r="D13" s="120" t="inlineStr">
        <is>
          <t>n.a.</t>
        </is>
      </c>
      <c r="E13" s="276" t="n">
        <v>92</v>
      </c>
      <c r="F13" s="276" t="n">
        <v>0.9</v>
      </c>
      <c r="G13" s="276" t="n">
        <v>7.1</v>
      </c>
      <c r="H13" s="276" t="n">
        <v>85.09999999999999</v>
      </c>
      <c r="I13" s="276" t="n">
        <v>1</v>
      </c>
      <c r="J13" s="276" t="n">
        <v>13.9</v>
      </c>
      <c r="K13" s="276" t="n">
        <v>88.40000000000001</v>
      </c>
      <c r="L13" s="276" t="n">
        <v>1.4</v>
      </c>
      <c r="M13" s="276" t="n">
        <v>10.2</v>
      </c>
    </row>
    <row r="14" ht="14" customHeight="1" s="227">
      <c r="A14" s="28" t="inlineStr">
        <is>
          <t>Kratie</t>
        </is>
      </c>
      <c r="B14" s="276" t="n">
        <v>83</v>
      </c>
      <c r="C14" s="276" t="n">
        <v>5.7</v>
      </c>
      <c r="D14" s="291" t="n">
        <v>11.3</v>
      </c>
      <c r="E14" s="276" t="n">
        <v>82.09999999999999</v>
      </c>
      <c r="F14" s="276" t="n">
        <v>4.1</v>
      </c>
      <c r="G14" s="276" t="n">
        <v>13.8</v>
      </c>
      <c r="H14" s="276" t="n">
        <v>72.90000000000001</v>
      </c>
      <c r="I14" s="276" t="n">
        <v>3.5</v>
      </c>
      <c r="J14" s="276" t="n">
        <v>23.6</v>
      </c>
      <c r="K14" s="276" t="n">
        <v>81.90000000000001</v>
      </c>
      <c r="L14" s="276" t="n">
        <v>1.5</v>
      </c>
      <c r="M14" s="276" t="n">
        <v>16.6</v>
      </c>
    </row>
    <row r="15" ht="14" customHeight="1" s="227">
      <c r="A15" s="28" t="inlineStr">
        <is>
          <t>Mondul Kiri</t>
        </is>
      </c>
      <c r="B15" s="276" t="n">
        <v>84.5</v>
      </c>
      <c r="C15" s="276" t="n">
        <v>1.6</v>
      </c>
      <c r="D15" s="291" t="n">
        <v>14</v>
      </c>
      <c r="E15" s="276" t="n">
        <v>86</v>
      </c>
      <c r="F15" s="276" t="n">
        <v>2</v>
      </c>
      <c r="G15" s="276" t="n">
        <v>12</v>
      </c>
      <c r="H15" s="276" t="n">
        <v>73.2</v>
      </c>
      <c r="I15" s="276" t="n">
        <v>4.9</v>
      </c>
      <c r="J15" s="276" t="n">
        <v>21.9</v>
      </c>
      <c r="K15" s="276" t="n">
        <v>82.90000000000001</v>
      </c>
      <c r="L15" s="276" t="n">
        <v>4.9</v>
      </c>
      <c r="M15" s="276" t="n">
        <v>12.2</v>
      </c>
    </row>
    <row r="16" ht="14" customHeight="1" s="227">
      <c r="A16" s="28" t="inlineStr">
        <is>
          <t>Otdar Meanchey</t>
        </is>
      </c>
      <c r="B16" s="276" t="n">
        <v>87.3</v>
      </c>
      <c r="C16" s="276" t="n">
        <v>5.8</v>
      </c>
      <c r="D16" s="276" t="n">
        <v>7</v>
      </c>
      <c r="E16" s="276" t="n">
        <v>81.90000000000001</v>
      </c>
      <c r="F16" s="276" t="n">
        <v>2.8</v>
      </c>
      <c r="G16" s="276" t="n">
        <v>15.3</v>
      </c>
      <c r="H16" s="276" t="n">
        <v>76.2</v>
      </c>
      <c r="I16" s="276" t="n">
        <v>4.9</v>
      </c>
      <c r="J16" s="276" t="n">
        <v>18.9</v>
      </c>
      <c r="K16" s="276" t="n">
        <v>83.3</v>
      </c>
      <c r="L16" s="276" t="n">
        <v>2.3</v>
      </c>
      <c r="M16" s="276" t="n">
        <v>14.4</v>
      </c>
    </row>
    <row r="17" ht="14" customHeight="1" s="227">
      <c r="A17" s="28" t="inlineStr">
        <is>
          <t>Pailin</t>
        </is>
      </c>
      <c r="B17" s="276" t="n">
        <v>84.2</v>
      </c>
      <c r="C17" s="276" t="n">
        <v>5.4</v>
      </c>
      <c r="D17" s="291" t="n">
        <v>10.4</v>
      </c>
      <c r="E17" s="276" t="n">
        <v>92.8</v>
      </c>
      <c r="F17" s="276" t="n">
        <v>1.1</v>
      </c>
      <c r="G17" s="276" t="n">
        <v>6.1</v>
      </c>
      <c r="H17" s="276" t="n">
        <v>72.40000000000001</v>
      </c>
      <c r="I17" s="276" t="n">
        <v>8.9</v>
      </c>
      <c r="J17" s="276" t="n">
        <v>18.7</v>
      </c>
      <c r="K17" s="276" t="n">
        <v>83.2</v>
      </c>
      <c r="L17" s="276" t="n">
        <v>4.9</v>
      </c>
      <c r="M17" s="276" t="n">
        <v>11.9</v>
      </c>
    </row>
    <row r="18" ht="14" customHeight="1" s="227">
      <c r="A18" s="28" t="inlineStr">
        <is>
          <t>Phnom Penh</t>
        </is>
      </c>
      <c r="B18" s="276" t="n">
        <v>94.90000000000001</v>
      </c>
      <c r="C18" s="276" t="n">
        <v>2.7</v>
      </c>
      <c r="D18" s="276" t="n">
        <v>2.5</v>
      </c>
      <c r="E18" s="276" t="n">
        <v>93.90000000000001</v>
      </c>
      <c r="F18" s="276" t="n">
        <v>1.1</v>
      </c>
      <c r="G18" s="276" t="n">
        <v>5.1</v>
      </c>
      <c r="H18" s="276" t="n">
        <v>82.09999999999999</v>
      </c>
      <c r="I18" s="276" t="n">
        <v>4.6</v>
      </c>
      <c r="J18" s="276" t="n">
        <v>13.3</v>
      </c>
      <c r="K18" s="276" t="n">
        <v>91.09999999999999</v>
      </c>
      <c r="L18" s="276" t="n">
        <v>2.9</v>
      </c>
      <c r="M18" s="276" t="n">
        <v>6</v>
      </c>
    </row>
    <row r="19" ht="14" customHeight="1" s="227">
      <c r="A19" s="28" t="inlineStr">
        <is>
          <t>Preah Sihanouk</t>
        </is>
      </c>
      <c r="B19" s="276" t="n">
        <v>93.8</v>
      </c>
      <c r="C19" s="276" t="n">
        <v>2.1</v>
      </c>
      <c r="D19" s="276" t="n">
        <v>4.2</v>
      </c>
      <c r="E19" s="276" t="n">
        <v>86.7</v>
      </c>
      <c r="F19" s="276" t="n">
        <v>2.8</v>
      </c>
      <c r="G19" s="276" t="n">
        <v>10.5</v>
      </c>
      <c r="H19" s="276" t="n">
        <v>67.3</v>
      </c>
      <c r="I19" s="276" t="n">
        <v>7.8</v>
      </c>
      <c r="J19" s="276" t="n">
        <v>24.9</v>
      </c>
      <c r="K19" s="276" t="n">
        <v>83.5</v>
      </c>
      <c r="L19" s="276" t="n">
        <v>2.2</v>
      </c>
      <c r="M19" s="276" t="n">
        <v>14.2</v>
      </c>
    </row>
    <row r="20" ht="14" customHeight="1" s="227">
      <c r="A20" s="28" t="inlineStr">
        <is>
          <t>Preah Vihear</t>
        </is>
      </c>
      <c r="B20" s="276" t="n">
        <v>85.8</v>
      </c>
      <c r="C20" s="276" t="n">
        <v>3.4</v>
      </c>
      <c r="D20" s="291" t="n">
        <v>10.8</v>
      </c>
      <c r="E20" s="276" t="n">
        <v>86.40000000000001</v>
      </c>
      <c r="F20" s="276" t="n">
        <v>2.4</v>
      </c>
      <c r="G20" s="276" t="n">
        <v>11.2</v>
      </c>
      <c r="H20" s="276" t="n">
        <v>78.5</v>
      </c>
      <c r="I20" s="276" t="n">
        <v>2.2</v>
      </c>
      <c r="J20" s="276" t="n">
        <v>19.3</v>
      </c>
      <c r="K20" s="276" t="n">
        <v>87.90000000000001</v>
      </c>
      <c r="L20" s="276" t="n">
        <v>1.2</v>
      </c>
      <c r="M20" s="276" t="n">
        <v>10.9</v>
      </c>
    </row>
    <row r="21" ht="14" customHeight="1" s="227">
      <c r="A21" s="28" t="inlineStr">
        <is>
          <t>Prey Veng</t>
        </is>
      </c>
      <c r="B21" s="276" t="n">
        <v>90.09999999999999</v>
      </c>
      <c r="C21" s="276" t="n">
        <v>5.5</v>
      </c>
      <c r="D21" s="276" t="n">
        <v>4.4</v>
      </c>
      <c r="E21" s="276" t="n">
        <v>92.8</v>
      </c>
      <c r="F21" s="276" t="n">
        <v>3.9</v>
      </c>
      <c r="G21" s="276" t="n">
        <v>3.3</v>
      </c>
      <c r="H21" s="276" t="n">
        <v>79.7</v>
      </c>
      <c r="I21" s="276" t="n">
        <v>1.2</v>
      </c>
      <c r="J21" s="276" t="n">
        <v>19.1</v>
      </c>
      <c r="K21" s="276" t="n">
        <v>82.3</v>
      </c>
      <c r="L21" s="276" t="n">
        <v>0.6</v>
      </c>
      <c r="M21" s="276" t="n">
        <v>17.1</v>
      </c>
    </row>
    <row r="22" ht="14" customHeight="1" s="227">
      <c r="A22" s="28" t="inlineStr">
        <is>
          <t>Pursat</t>
        </is>
      </c>
      <c r="B22" s="276" t="n">
        <v>89.59999999999999</v>
      </c>
      <c r="C22" s="276" t="n">
        <v>4.5</v>
      </c>
      <c r="D22" s="276" t="n">
        <v>5.9</v>
      </c>
      <c r="E22" s="276" t="n">
        <v>89.3</v>
      </c>
      <c r="F22" s="276" t="n">
        <v>3.8</v>
      </c>
      <c r="G22" s="276" t="n">
        <v>6.9</v>
      </c>
      <c r="H22" s="276" t="n">
        <v>76.5</v>
      </c>
      <c r="I22" s="276" t="n">
        <v>2.6</v>
      </c>
      <c r="J22" s="276" t="n">
        <v>20.8</v>
      </c>
      <c r="K22" s="276" t="n">
        <v>81.90000000000001</v>
      </c>
      <c r="L22" s="276" t="n">
        <v>2</v>
      </c>
      <c r="M22" s="276" t="n">
        <v>16.1</v>
      </c>
    </row>
    <row r="23" ht="14" customHeight="1" s="227">
      <c r="A23" s="28" t="inlineStr">
        <is>
          <t>Ratanak Kiri</t>
        </is>
      </c>
      <c r="B23" s="276" t="n">
        <v>83.5</v>
      </c>
      <c r="C23" s="276" t="n">
        <v>3.3</v>
      </c>
      <c r="D23" s="291" t="n">
        <v>13.2</v>
      </c>
      <c r="E23" s="276" t="n">
        <v>81.2</v>
      </c>
      <c r="F23" s="276" t="n">
        <v>1.6</v>
      </c>
      <c r="G23" s="276" t="n">
        <v>17.3</v>
      </c>
      <c r="H23" s="276" t="n">
        <v>76.7</v>
      </c>
      <c r="I23" s="276" t="n">
        <v>1</v>
      </c>
      <c r="J23" s="276" t="n">
        <v>22.2</v>
      </c>
      <c r="K23" s="120" t="inlineStr">
        <is>
          <t>n.a.</t>
        </is>
      </c>
      <c r="L23" s="276" t="n">
        <v>0.8</v>
      </c>
      <c r="M23" s="120" t="inlineStr">
        <is>
          <t>n.a.</t>
        </is>
      </c>
    </row>
    <row r="24" ht="14" customHeight="1" s="227">
      <c r="A24" s="28" t="inlineStr">
        <is>
          <t>Siemreap</t>
        </is>
      </c>
      <c r="B24" s="276" t="n">
        <v>88.3</v>
      </c>
      <c r="C24" s="276" t="n">
        <v>5</v>
      </c>
      <c r="D24" s="276" t="n">
        <v>6.7</v>
      </c>
      <c r="E24" s="276" t="n">
        <v>85.5</v>
      </c>
      <c r="F24" s="276" t="n">
        <v>3.9</v>
      </c>
      <c r="G24" s="276" t="n">
        <v>10.6</v>
      </c>
      <c r="H24" s="276" t="n">
        <v>75.40000000000001</v>
      </c>
      <c r="I24" s="276" t="n">
        <v>6.6</v>
      </c>
      <c r="J24" s="276" t="n">
        <v>18</v>
      </c>
      <c r="K24" s="276" t="n">
        <v>84.8</v>
      </c>
      <c r="L24" s="276" t="n">
        <v>4.3</v>
      </c>
      <c r="M24" s="276" t="n">
        <v>10.9</v>
      </c>
    </row>
    <row r="25" ht="14" customHeight="1" s="227">
      <c r="A25" s="28" t="inlineStr">
        <is>
          <t>Stung Treng</t>
        </is>
      </c>
      <c r="B25" s="276" t="n">
        <v>80</v>
      </c>
      <c r="C25" s="276" t="n">
        <v>4.9</v>
      </c>
      <c r="D25" s="291" t="n">
        <v>15.1</v>
      </c>
      <c r="E25" s="276" t="n">
        <v>74.3</v>
      </c>
      <c r="F25" s="276" t="n">
        <v>3.3</v>
      </c>
      <c r="G25" s="276" t="n">
        <v>22.4</v>
      </c>
      <c r="H25" s="276" t="n">
        <v>81.2</v>
      </c>
      <c r="I25" s="276" t="n">
        <v>1.3</v>
      </c>
      <c r="J25" s="276" t="n">
        <v>17.5</v>
      </c>
      <c r="K25" s="276" t="n">
        <v>88</v>
      </c>
      <c r="L25" s="276" t="n">
        <v>0.3</v>
      </c>
      <c r="M25" s="276" t="n">
        <v>11.7</v>
      </c>
    </row>
    <row r="26" ht="14" customHeight="1" s="227">
      <c r="A26" s="28" t="inlineStr">
        <is>
          <t>Svay Rieng</t>
        </is>
      </c>
      <c r="B26" s="276" t="n">
        <v>94</v>
      </c>
      <c r="C26" s="276" t="n">
        <v>2.7</v>
      </c>
      <c r="D26" s="276" t="n">
        <v>3.3</v>
      </c>
      <c r="E26" s="276" t="n">
        <v>94.7</v>
      </c>
      <c r="F26" s="276" t="n">
        <v>2.4</v>
      </c>
      <c r="G26" s="276" t="n">
        <v>2.9</v>
      </c>
      <c r="H26" s="276" t="n">
        <v>69.7</v>
      </c>
      <c r="I26" s="276" t="n">
        <v>3.1</v>
      </c>
      <c r="J26" s="276" t="n">
        <v>27.2</v>
      </c>
      <c r="K26" s="276" t="n">
        <v>81.59999999999999</v>
      </c>
      <c r="L26" s="276" t="n">
        <v>2.8</v>
      </c>
      <c r="M26" s="276" t="n">
        <v>15.6</v>
      </c>
    </row>
    <row r="27" ht="14" customHeight="1" s="227">
      <c r="A27" s="28" t="inlineStr">
        <is>
          <t>Takeo</t>
        </is>
      </c>
      <c r="B27" s="276" t="n">
        <v>91.40000000000001</v>
      </c>
      <c r="C27" s="276" t="n">
        <v>5.3</v>
      </c>
      <c r="D27" s="276" t="n">
        <v>3.3</v>
      </c>
      <c r="E27" s="276" t="n">
        <v>89.7</v>
      </c>
      <c r="F27" s="276" t="n">
        <v>4.7</v>
      </c>
      <c r="G27" s="276" t="n">
        <v>5.6</v>
      </c>
      <c r="H27" s="276" t="n">
        <v>82.7</v>
      </c>
      <c r="I27" s="276" t="n">
        <v>3.5</v>
      </c>
      <c r="J27" s="276" t="n">
        <v>13.8</v>
      </c>
      <c r="K27" s="276" t="n">
        <v>84.3</v>
      </c>
      <c r="L27" s="276" t="n">
        <v>2.9</v>
      </c>
      <c r="M27" s="276" t="n">
        <v>12.8</v>
      </c>
    </row>
    <row r="28" ht="14" customHeight="1" s="227">
      <c r="A28" s="28" t="inlineStr">
        <is>
          <t>Tbaung Khmum</t>
        </is>
      </c>
      <c r="B28" s="276" t="n">
        <v>86.09999999999999</v>
      </c>
      <c r="C28" s="276" t="n">
        <v>4.3</v>
      </c>
      <c r="D28" s="276" t="n">
        <v>9.699999999999999</v>
      </c>
      <c r="E28" s="276" t="n">
        <v>88.7</v>
      </c>
      <c r="F28" s="276" t="n">
        <v>3.4</v>
      </c>
      <c r="G28" s="276" t="n">
        <v>7.8</v>
      </c>
      <c r="H28" s="276" t="n">
        <v>71.59999999999999</v>
      </c>
      <c r="I28" s="276" t="n">
        <v>4.3</v>
      </c>
      <c r="J28" s="276" t="n">
        <v>24.2</v>
      </c>
      <c r="K28" s="276" t="n">
        <v>80.40000000000001</v>
      </c>
      <c r="L28" s="276" t="n">
        <v>2.9</v>
      </c>
      <c r="M28" s="276" t="n">
        <v>16.7</v>
      </c>
    </row>
    <row r="29" ht="15" customHeight="1" s="227">
      <c r="A29" s="22" t="inlineStr">
        <is>
          <t>Whole Kingdom</t>
        </is>
      </c>
      <c r="B29" s="276" t="n">
        <v>89.59999999999999</v>
      </c>
      <c r="C29" s="276" t="n">
        <v>4.4</v>
      </c>
      <c r="D29" s="276" t="n">
        <v>6.1</v>
      </c>
      <c r="E29" s="276" t="n">
        <v>89.90000000000001</v>
      </c>
      <c r="F29" s="276" t="n">
        <v>3.4</v>
      </c>
      <c r="G29" s="276" t="n">
        <v>6.7</v>
      </c>
      <c r="H29" s="276" t="n">
        <v>76.5</v>
      </c>
      <c r="I29" s="276" t="n">
        <v>4</v>
      </c>
      <c r="J29" s="276" t="n">
        <v>19.5</v>
      </c>
      <c r="K29" s="276" t="n">
        <v>83</v>
      </c>
      <c r="L29" s="276" t="n">
        <v>2.6</v>
      </c>
      <c r="M29" s="276" t="n">
        <v>14.4</v>
      </c>
    </row>
    <row r="30" ht="14" customHeight="1" s="227">
      <c r="A30" s="28" t="inlineStr">
        <is>
          <t>- Urban Area</t>
        </is>
      </c>
      <c r="B30" s="276" t="n">
        <v>92.90000000000001</v>
      </c>
      <c r="C30" s="276" t="n">
        <v>3.1</v>
      </c>
      <c r="D30" s="276" t="n">
        <v>4</v>
      </c>
      <c r="E30" s="276" t="n">
        <v>91.3</v>
      </c>
      <c r="F30" s="276" t="n">
        <v>1.5</v>
      </c>
      <c r="G30" s="276" t="n">
        <v>7.1</v>
      </c>
      <c r="H30" s="276" t="n">
        <v>79</v>
      </c>
      <c r="I30" s="276" t="n">
        <v>5.3</v>
      </c>
      <c r="J30" s="276" t="n">
        <v>15.7</v>
      </c>
      <c r="K30" s="276" t="n">
        <v>89.5</v>
      </c>
      <c r="L30" s="276" t="n">
        <v>2.9</v>
      </c>
      <c r="M30" s="276" t="n">
        <v>7.6</v>
      </c>
    </row>
    <row r="31" ht="12.5" customHeight="1" s="227">
      <c r="A31" s="28" t="inlineStr">
        <is>
          <t>- Rural Area</t>
        </is>
      </c>
      <c r="B31" s="276" t="n">
        <v>88.90000000000001</v>
      </c>
      <c r="C31" s="276" t="n">
        <v>4.6</v>
      </c>
      <c r="D31" s="276" t="n">
        <v>6.5</v>
      </c>
      <c r="E31" s="276" t="n">
        <v>89.59999999999999</v>
      </c>
      <c r="F31" s="276" t="n">
        <v>3.8</v>
      </c>
      <c r="G31" s="276" t="n">
        <v>6.6</v>
      </c>
      <c r="H31" s="276" t="n">
        <v>75.90000000000001</v>
      </c>
      <c r="I31" s="276" t="n">
        <v>3.6</v>
      </c>
      <c r="J31" s="276" t="n">
        <v>20.4</v>
      </c>
      <c r="K31" s="276" t="n">
        <v>81.40000000000001</v>
      </c>
      <c r="L31" s="276" t="n">
        <v>2.5</v>
      </c>
      <c r="M31" s="276" t="n">
        <v>16.1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2.666667" customWidth="1" style="227" min="1" max="1"/>
    <col width="12" customWidth="1" style="227" min="2" max="2"/>
    <col width="12.222222" customWidth="1" style="227" min="3" max="3"/>
    <col width="12" customWidth="1" style="227" min="4" max="4"/>
    <col width="12.222222" customWidth="1" style="227" min="5" max="5"/>
    <col width="12.444444" customWidth="1" style="227" min="6" max="6"/>
    <col width="12.222222" customWidth="1" style="227" min="7" max="7"/>
    <col width="11.777778" customWidth="1" style="227" min="8" max="8"/>
    <col width="11.777778" customWidth="1" style="227" min="9" max="9"/>
    <col width="11.777778" customWidth="1" style="227" min="10" max="10"/>
    <col width="11.777778" customWidth="1" style="227" min="11" max="11"/>
    <col width="11.777778" customWidth="1" style="227" min="12" max="12"/>
    <col width="11.777778" customWidth="1" style="227" min="13" max="13"/>
  </cols>
  <sheetData>
    <row r="1" ht="31" customHeight="1" s="227">
      <c r="A1" s="2" t="inlineStr">
        <is>
          <t>Table 23: Student Flow Rates  (Grade 9-12)  for Male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2" t="inlineStr">
        <is>
          <t>Grade 9</t>
        </is>
      </c>
      <c r="C2" s="269" t="n"/>
      <c r="D2" s="257" t="n"/>
      <c r="E2" s="92" t="inlineStr">
        <is>
          <t>Grade 10</t>
        </is>
      </c>
      <c r="F2" s="269" t="n"/>
      <c r="G2" s="257" t="n"/>
      <c r="H2" s="92" t="inlineStr">
        <is>
          <t>Grade 11</t>
        </is>
      </c>
      <c r="I2" s="269" t="n"/>
      <c r="J2" s="257" t="n"/>
      <c r="K2" s="92" t="inlineStr">
        <is>
          <t>Grade 12</t>
        </is>
      </c>
      <c r="L2" s="269" t="n"/>
      <c r="M2" s="257" t="n"/>
    </row>
    <row r="3" ht="18" customHeight="1" s="227">
      <c r="A3" s="258" t="n"/>
      <c r="B3" s="119" t="inlineStr">
        <is>
          <t>Promotion</t>
        </is>
      </c>
      <c r="C3" s="103" t="inlineStr">
        <is>
          <t>Repetition</t>
        </is>
      </c>
      <c r="D3" s="103" t="inlineStr">
        <is>
          <t>Dropout</t>
        </is>
      </c>
      <c r="E3" s="103" t="inlineStr">
        <is>
          <t>Promotion</t>
        </is>
      </c>
      <c r="F3" s="103" t="inlineStr">
        <is>
          <t>Repetition</t>
        </is>
      </c>
      <c r="G3" s="103" t="inlineStr">
        <is>
          <t>Dropout</t>
        </is>
      </c>
      <c r="H3" s="103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19" t="inlineStr">
        <is>
          <t>Promotion</t>
        </is>
      </c>
      <c r="L3" s="119" t="inlineStr">
        <is>
          <t>Repetition</t>
        </is>
      </c>
      <c r="M3" s="103" t="inlineStr">
        <is>
          <t>Dropout</t>
        </is>
      </c>
    </row>
    <row r="4" ht="14" customHeight="1" s="227">
      <c r="A4" s="28" t="inlineStr">
        <is>
          <t>Banteay Meanchey</t>
        </is>
      </c>
      <c r="B4" s="276" t="n">
        <v>72.8</v>
      </c>
      <c r="C4" s="276" t="n">
        <v>4.2</v>
      </c>
      <c r="D4" s="276" t="n">
        <v>22.9</v>
      </c>
      <c r="E4" s="291" t="n">
        <v>85.2</v>
      </c>
      <c r="F4" s="276" t="n">
        <v>1</v>
      </c>
      <c r="G4" s="276" t="n">
        <v>13.8</v>
      </c>
      <c r="H4" s="276" t="n">
        <v>87.40000000000001</v>
      </c>
      <c r="I4" s="276" t="n">
        <v>0.9</v>
      </c>
      <c r="J4" s="276" t="n">
        <v>11.7</v>
      </c>
      <c r="K4" s="276" t="n">
        <v>53</v>
      </c>
      <c r="L4" s="276" t="n">
        <v>6.7</v>
      </c>
      <c r="M4" s="276" t="n">
        <v>40.3</v>
      </c>
    </row>
    <row r="5" ht="14" customHeight="1" s="227">
      <c r="A5" s="28" t="inlineStr">
        <is>
          <t>Battambang</t>
        </is>
      </c>
      <c r="B5" s="276" t="n">
        <v>74.2</v>
      </c>
      <c r="C5" s="276" t="n">
        <v>5.7</v>
      </c>
      <c r="D5" s="276" t="n">
        <v>20.1</v>
      </c>
      <c r="E5" s="291" t="n">
        <v>79.7</v>
      </c>
      <c r="F5" s="276" t="n">
        <v>1.7</v>
      </c>
      <c r="G5" s="276" t="n">
        <v>18.6</v>
      </c>
      <c r="H5" s="276" t="n">
        <v>80.59999999999999</v>
      </c>
      <c r="I5" s="276" t="n">
        <v>1.7</v>
      </c>
      <c r="J5" s="276" t="n">
        <v>17.7</v>
      </c>
      <c r="K5" s="276" t="n">
        <v>59.2</v>
      </c>
      <c r="L5" s="276" t="n">
        <v>4.8</v>
      </c>
      <c r="M5" s="276" t="n">
        <v>36</v>
      </c>
    </row>
    <row r="6" ht="15" customHeight="1" s="227">
      <c r="A6" s="28" t="inlineStr">
        <is>
          <t>Kampong Cham</t>
        </is>
      </c>
      <c r="B6" s="276" t="n">
        <v>75.7</v>
      </c>
      <c r="C6" s="276" t="n">
        <v>4.9</v>
      </c>
      <c r="D6" s="276" t="n">
        <v>19.4</v>
      </c>
      <c r="E6" s="291" t="n">
        <v>77</v>
      </c>
      <c r="F6" s="276" t="n">
        <v>3</v>
      </c>
      <c r="G6" s="276" t="n">
        <v>20</v>
      </c>
      <c r="H6" s="276" t="n">
        <v>87.2</v>
      </c>
      <c r="I6" s="276" t="n">
        <v>1</v>
      </c>
      <c r="J6" s="276" t="n">
        <v>11.8</v>
      </c>
      <c r="K6" s="276" t="n">
        <v>53</v>
      </c>
      <c r="L6" s="276" t="n">
        <v>6.5</v>
      </c>
      <c r="M6" s="276" t="n">
        <v>40.5</v>
      </c>
    </row>
    <row r="7" ht="14" customHeight="1" s="227">
      <c r="A7" s="28" t="inlineStr">
        <is>
          <t>Kampong Chhnang</t>
        </is>
      </c>
      <c r="B7" s="276" t="n">
        <v>79.3</v>
      </c>
      <c r="C7" s="276" t="n">
        <v>3.5</v>
      </c>
      <c r="D7" s="276" t="n">
        <v>17.2</v>
      </c>
      <c r="E7" s="291" t="n">
        <v>80.2</v>
      </c>
      <c r="F7" s="276" t="n">
        <v>1.3</v>
      </c>
      <c r="G7" s="276" t="n">
        <v>18.5</v>
      </c>
      <c r="H7" s="276" t="n">
        <v>87.2</v>
      </c>
      <c r="I7" s="276" t="n">
        <v>0.8</v>
      </c>
      <c r="J7" s="276" t="n">
        <v>12</v>
      </c>
      <c r="K7" s="276" t="n">
        <v>51.7</v>
      </c>
      <c r="L7" s="276" t="n">
        <v>5.6</v>
      </c>
      <c r="M7" s="276" t="n">
        <v>42.8</v>
      </c>
    </row>
    <row r="8" ht="14" customHeight="1" s="227">
      <c r="A8" s="28" t="inlineStr">
        <is>
          <t>Kampong Speu</t>
        </is>
      </c>
      <c r="B8" s="276" t="n">
        <v>72.7</v>
      </c>
      <c r="C8" s="276" t="n">
        <v>3.2</v>
      </c>
      <c r="D8" s="276" t="n">
        <v>24.1</v>
      </c>
      <c r="E8" s="291" t="n">
        <v>77.40000000000001</v>
      </c>
      <c r="F8" s="276" t="n">
        <v>0.5</v>
      </c>
      <c r="G8" s="276" t="n">
        <v>22</v>
      </c>
      <c r="H8" s="276" t="n">
        <v>88.40000000000001</v>
      </c>
      <c r="I8" s="276" t="n">
        <v>0.4</v>
      </c>
      <c r="J8" s="276" t="n">
        <v>11.2</v>
      </c>
      <c r="K8" s="276" t="n">
        <v>82.40000000000001</v>
      </c>
      <c r="L8" s="276" t="n">
        <v>2.2</v>
      </c>
      <c r="M8" s="276" t="n">
        <v>15.4</v>
      </c>
    </row>
    <row r="9" ht="14" customHeight="1" s="227">
      <c r="A9" s="28" t="inlineStr">
        <is>
          <t>Kampong Thom</t>
        </is>
      </c>
      <c r="B9" s="276" t="n">
        <v>80.09999999999999</v>
      </c>
      <c r="C9" s="276" t="n">
        <v>4.5</v>
      </c>
      <c r="D9" s="276" t="n">
        <v>15.4</v>
      </c>
      <c r="E9" s="291" t="n">
        <v>85.40000000000001</v>
      </c>
      <c r="F9" s="276" t="n">
        <v>1.1</v>
      </c>
      <c r="G9" s="276" t="n">
        <v>13.4</v>
      </c>
      <c r="H9" s="276" t="n">
        <v>92.7</v>
      </c>
      <c r="I9" s="276" t="n">
        <v>1.1</v>
      </c>
      <c r="J9" s="276" t="n">
        <v>6.2</v>
      </c>
      <c r="K9" s="276" t="n">
        <v>71.8</v>
      </c>
      <c r="L9" s="276" t="n">
        <v>2.5</v>
      </c>
      <c r="M9" s="276" t="n">
        <v>25.8</v>
      </c>
    </row>
    <row r="10" ht="14" customHeight="1" s="227">
      <c r="A10" s="28" t="inlineStr">
        <is>
          <t>Kampot</t>
        </is>
      </c>
      <c r="B10" s="276" t="n">
        <v>74.3</v>
      </c>
      <c r="C10" s="276" t="n">
        <v>5.3</v>
      </c>
      <c r="D10" s="276" t="n">
        <v>20.3</v>
      </c>
      <c r="E10" s="291" t="n">
        <v>80</v>
      </c>
      <c r="F10" s="276" t="n">
        <v>1.7</v>
      </c>
      <c r="G10" s="276" t="n">
        <v>18.4</v>
      </c>
      <c r="H10" s="276" t="n">
        <v>90.3</v>
      </c>
      <c r="I10" s="276" t="n">
        <v>1</v>
      </c>
      <c r="J10" s="276" t="n">
        <v>8.699999999999999</v>
      </c>
      <c r="K10" s="276" t="n">
        <v>75.7</v>
      </c>
      <c r="L10" s="276" t="n">
        <v>2.3</v>
      </c>
      <c r="M10" s="276" t="n">
        <v>22.1</v>
      </c>
    </row>
    <row r="11" ht="14" customHeight="1" s="227">
      <c r="A11" s="28" t="inlineStr">
        <is>
          <t>Kandal</t>
        </is>
      </c>
      <c r="B11" s="276" t="n">
        <v>77.40000000000001</v>
      </c>
      <c r="C11" s="276" t="n">
        <v>4.1</v>
      </c>
      <c r="D11" s="276" t="n">
        <v>18.6</v>
      </c>
      <c r="E11" s="291" t="n">
        <v>82.40000000000001</v>
      </c>
      <c r="F11" s="276" t="n">
        <v>1.7</v>
      </c>
      <c r="G11" s="276" t="n">
        <v>15.8</v>
      </c>
      <c r="H11" s="276" t="n">
        <v>91.2</v>
      </c>
      <c r="I11" s="276" t="n">
        <v>1.1</v>
      </c>
      <c r="J11" s="276" t="n">
        <v>7.7</v>
      </c>
      <c r="K11" s="276" t="n">
        <v>63.3</v>
      </c>
      <c r="L11" s="276" t="n">
        <v>6.8</v>
      </c>
      <c r="M11" s="276" t="n">
        <v>29.9</v>
      </c>
    </row>
    <row r="12" ht="14" customHeight="1" s="227">
      <c r="A12" s="28" t="inlineStr">
        <is>
          <t>Kep</t>
        </is>
      </c>
      <c r="B12" s="276" t="n">
        <v>74.40000000000001</v>
      </c>
      <c r="C12" s="276" t="n">
        <v>4.9</v>
      </c>
      <c r="D12" s="276" t="n">
        <v>20.7</v>
      </c>
      <c r="E12" s="291" t="n">
        <v>86.90000000000001</v>
      </c>
      <c r="F12" s="276" t="n">
        <v>2.4</v>
      </c>
      <c r="G12" s="276" t="n">
        <v>10.7</v>
      </c>
      <c r="H12" s="276" t="n">
        <v>91.7</v>
      </c>
      <c r="I12" s="276" t="n">
        <v>0.6</v>
      </c>
      <c r="J12" s="276" t="n">
        <v>7.6</v>
      </c>
      <c r="K12" s="276" t="n">
        <v>93.5</v>
      </c>
      <c r="L12" s="276" t="n">
        <v>0.8</v>
      </c>
      <c r="M12" s="276" t="n">
        <v>5.6</v>
      </c>
    </row>
    <row r="13" ht="14" customHeight="1" s="227">
      <c r="A13" s="28" t="inlineStr">
        <is>
          <t>Koh Kong</t>
        </is>
      </c>
      <c r="B13" s="276" t="n">
        <v>75</v>
      </c>
      <c r="C13" s="276" t="n">
        <v>5.5</v>
      </c>
      <c r="D13" s="276" t="n">
        <v>19.4</v>
      </c>
      <c r="E13" s="291" t="n">
        <v>85.7</v>
      </c>
      <c r="F13" s="276" t="n">
        <v>0.9</v>
      </c>
      <c r="G13" s="276" t="n">
        <v>13.3</v>
      </c>
      <c r="H13" s="276" t="n">
        <v>95.7</v>
      </c>
      <c r="I13" s="276" t="n">
        <v>0.3</v>
      </c>
      <c r="J13" s="276" t="n">
        <v>4</v>
      </c>
      <c r="K13" s="276" t="n">
        <v>27.5</v>
      </c>
      <c r="L13" s="276" t="n">
        <v>1.7</v>
      </c>
      <c r="M13" s="276" t="n">
        <v>70.8</v>
      </c>
    </row>
    <row r="14" ht="14" customHeight="1" s="227">
      <c r="A14" s="28" t="inlineStr">
        <is>
          <t>Kratie</t>
        </is>
      </c>
      <c r="B14" s="276" t="n">
        <v>73.5</v>
      </c>
      <c r="C14" s="276" t="n">
        <v>3.8</v>
      </c>
      <c r="D14" s="276" t="n">
        <v>22.7</v>
      </c>
      <c r="E14" s="291" t="n">
        <v>82.5</v>
      </c>
      <c r="F14" s="276" t="n">
        <v>1.4</v>
      </c>
      <c r="G14" s="276" t="n">
        <v>16.1</v>
      </c>
      <c r="H14" s="276" t="n">
        <v>90.09999999999999</v>
      </c>
      <c r="I14" s="276" t="n">
        <v>0.7</v>
      </c>
      <c r="J14" s="276" t="n">
        <v>9.199999999999999</v>
      </c>
      <c r="K14" s="276" t="n">
        <v>43.1</v>
      </c>
      <c r="L14" s="276" t="n">
        <v>5.8</v>
      </c>
      <c r="M14" s="276" t="n">
        <v>51.1</v>
      </c>
    </row>
    <row r="15" ht="14" customHeight="1" s="227">
      <c r="A15" s="28" t="inlineStr">
        <is>
          <t>Mondul Kiri</t>
        </is>
      </c>
      <c r="B15" s="276" t="n">
        <v>80.5</v>
      </c>
      <c r="C15" s="276" t="n">
        <v>5.2</v>
      </c>
      <c r="D15" s="276" t="n">
        <v>14.3</v>
      </c>
      <c r="E15" s="291" t="n">
        <v>86.09999999999999</v>
      </c>
      <c r="F15" s="276" t="n">
        <v>1.6</v>
      </c>
      <c r="G15" s="276" t="n">
        <v>12.4</v>
      </c>
      <c r="H15" s="276" t="n">
        <v>92.7</v>
      </c>
      <c r="I15" s="276" t="n">
        <v>1.8</v>
      </c>
      <c r="J15" s="276" t="n">
        <v>5.5</v>
      </c>
      <c r="K15" s="276" t="n">
        <v>91.3</v>
      </c>
      <c r="L15" s="276" t="n">
        <v>0.6</v>
      </c>
      <c r="M15" s="276" t="n">
        <v>8.1</v>
      </c>
    </row>
    <row r="16" ht="14" customHeight="1" s="227">
      <c r="A16" s="28" t="inlineStr">
        <is>
          <t>Otdar Meanchey</t>
        </is>
      </c>
      <c r="B16" s="276" t="n">
        <v>73</v>
      </c>
      <c r="C16" s="276" t="n">
        <v>7.4</v>
      </c>
      <c r="D16" s="276" t="n">
        <v>19.6</v>
      </c>
      <c r="E16" s="291" t="n">
        <v>81.40000000000001</v>
      </c>
      <c r="F16" s="276" t="n">
        <v>3.7</v>
      </c>
      <c r="G16" s="276" t="n">
        <v>15</v>
      </c>
      <c r="H16" s="276" t="n">
        <v>96</v>
      </c>
      <c r="I16" s="276" t="n">
        <v>0.4</v>
      </c>
      <c r="J16" s="276" t="n">
        <v>3.7</v>
      </c>
      <c r="K16" s="276" t="n">
        <v>88</v>
      </c>
      <c r="L16" s="276" t="n">
        <v>1</v>
      </c>
      <c r="M16" s="276" t="n">
        <v>11</v>
      </c>
    </row>
    <row r="17" ht="14" customHeight="1" s="227">
      <c r="A17" s="28" t="inlineStr">
        <is>
          <t>Pailin</t>
        </is>
      </c>
      <c r="B17" s="276" t="n">
        <v>77.40000000000001</v>
      </c>
      <c r="C17" s="276" t="n">
        <v>3.6</v>
      </c>
      <c r="D17" s="276" t="n">
        <v>19.1</v>
      </c>
      <c r="E17" s="291" t="n">
        <v>87.09999999999999</v>
      </c>
      <c r="F17" s="276" t="n">
        <v>1.8</v>
      </c>
      <c r="G17" s="276" t="n">
        <v>11.2</v>
      </c>
      <c r="H17" s="276" t="n">
        <v>88.8</v>
      </c>
      <c r="I17" s="276" t="n">
        <v>3</v>
      </c>
      <c r="J17" s="276" t="n">
        <v>8.1</v>
      </c>
      <c r="K17" s="276" t="n">
        <v>47.2</v>
      </c>
      <c r="L17" s="276" t="n">
        <v>16.5</v>
      </c>
      <c r="M17" s="276" t="n">
        <v>36.4</v>
      </c>
    </row>
    <row r="18" ht="14" customHeight="1" s="227">
      <c r="A18" s="28" t="inlineStr">
        <is>
          <t>Phnom Penh</t>
        </is>
      </c>
      <c r="B18" s="276" t="n">
        <v>84.90000000000001</v>
      </c>
      <c r="C18" s="276" t="n">
        <v>4.5</v>
      </c>
      <c r="D18" s="276" t="n">
        <v>10.6</v>
      </c>
      <c r="E18" s="291" t="n">
        <v>89.5</v>
      </c>
      <c r="F18" s="276" t="n">
        <v>1.5</v>
      </c>
      <c r="G18" s="276" t="n">
        <v>9</v>
      </c>
      <c r="H18" s="120" t="inlineStr">
        <is>
          <t>n.a.</t>
        </is>
      </c>
      <c r="I18" s="276" t="n">
        <v>1.5</v>
      </c>
      <c r="J18" s="120" t="inlineStr">
        <is>
          <t>n.a.</t>
        </is>
      </c>
      <c r="K18" s="276" t="n">
        <v>46.8</v>
      </c>
      <c r="L18" s="276" t="n">
        <v>7.8</v>
      </c>
      <c r="M18" s="276" t="n">
        <v>45.4</v>
      </c>
    </row>
    <row r="19" ht="14" customHeight="1" s="227">
      <c r="A19" s="28" t="inlineStr">
        <is>
          <t>Preah Sihanouk</t>
        </is>
      </c>
      <c r="B19" s="276" t="n">
        <v>71.09999999999999</v>
      </c>
      <c r="C19" s="276" t="n">
        <v>5.5</v>
      </c>
      <c r="D19" s="276" t="n">
        <v>23.4</v>
      </c>
      <c r="E19" s="291" t="n">
        <v>84.8</v>
      </c>
      <c r="F19" s="276" t="n">
        <v>1.4</v>
      </c>
      <c r="G19" s="276" t="n">
        <v>13.8</v>
      </c>
      <c r="H19" s="276" t="n">
        <v>91.2</v>
      </c>
      <c r="I19" s="276" t="n">
        <v>1.1</v>
      </c>
      <c r="J19" s="276" t="n">
        <v>7.7</v>
      </c>
      <c r="K19" s="276" t="n">
        <v>77</v>
      </c>
      <c r="L19" s="276" t="n">
        <v>2.7</v>
      </c>
      <c r="M19" s="276" t="n">
        <v>20.3</v>
      </c>
    </row>
    <row r="20" ht="14" customHeight="1" s="227">
      <c r="A20" s="28" t="inlineStr">
        <is>
          <t>Preah Vihear</t>
        </is>
      </c>
      <c r="B20" s="276" t="n">
        <v>82</v>
      </c>
      <c r="C20" s="276" t="n">
        <v>2.2</v>
      </c>
      <c r="D20" s="276" t="n">
        <v>15.8</v>
      </c>
      <c r="E20" s="291" t="n">
        <v>79.90000000000001</v>
      </c>
      <c r="F20" s="276" t="n">
        <v>0.1</v>
      </c>
      <c r="G20" s="276" t="n">
        <v>20</v>
      </c>
      <c r="H20" s="276" t="n">
        <v>86.2</v>
      </c>
      <c r="I20" s="276" t="n">
        <v>0</v>
      </c>
      <c r="J20" s="276" t="n">
        <v>13.8</v>
      </c>
      <c r="K20" s="276" t="n">
        <v>88</v>
      </c>
      <c r="L20" s="276" t="n">
        <v>1.9</v>
      </c>
      <c r="M20" s="276" t="n">
        <v>10.1</v>
      </c>
    </row>
    <row r="21" ht="14" customHeight="1" s="227">
      <c r="A21" s="28" t="inlineStr">
        <is>
          <t>Prey Veng</t>
        </is>
      </c>
      <c r="B21" s="276" t="n">
        <v>76.5</v>
      </c>
      <c r="C21" s="276" t="n">
        <v>2.4</v>
      </c>
      <c r="D21" s="276" t="n">
        <v>21.2</v>
      </c>
      <c r="E21" s="291" t="n">
        <v>81</v>
      </c>
      <c r="F21" s="276" t="n">
        <v>1.1</v>
      </c>
      <c r="G21" s="276" t="n">
        <v>17.9</v>
      </c>
      <c r="H21" s="276" t="n">
        <v>88.09999999999999</v>
      </c>
      <c r="I21" s="276" t="n">
        <v>1.1</v>
      </c>
      <c r="J21" s="276" t="n">
        <v>10.8</v>
      </c>
      <c r="K21" s="276" t="n">
        <v>75.09999999999999</v>
      </c>
      <c r="L21" s="276" t="n">
        <v>3.3</v>
      </c>
      <c r="M21" s="276" t="n">
        <v>21.6</v>
      </c>
    </row>
    <row r="22" ht="14" customHeight="1" s="227">
      <c r="A22" s="28" t="inlineStr">
        <is>
          <t>Pursat</t>
        </is>
      </c>
      <c r="B22" s="276" t="n">
        <v>78.7</v>
      </c>
      <c r="C22" s="276" t="n">
        <v>3.8</v>
      </c>
      <c r="D22" s="276" t="n">
        <v>17.5</v>
      </c>
      <c r="E22" s="291" t="n">
        <v>78.2</v>
      </c>
      <c r="F22" s="276" t="n">
        <v>1.6</v>
      </c>
      <c r="G22" s="276" t="n">
        <v>20.2</v>
      </c>
      <c r="H22" s="276" t="n">
        <v>86.2</v>
      </c>
      <c r="I22" s="276" t="n">
        <v>0.4</v>
      </c>
      <c r="J22" s="276" t="n">
        <v>13.4</v>
      </c>
      <c r="K22" s="276" t="n">
        <v>55.1</v>
      </c>
      <c r="L22" s="276" t="n">
        <v>5.3</v>
      </c>
      <c r="M22" s="276" t="n">
        <v>39.6</v>
      </c>
    </row>
    <row r="23" ht="14" customHeight="1" s="227">
      <c r="A23" s="28" t="inlineStr">
        <is>
          <t>Ratanak Kiri</t>
        </is>
      </c>
      <c r="B23" s="276" t="n">
        <v>74.7</v>
      </c>
      <c r="C23" s="276" t="n">
        <v>4.7</v>
      </c>
      <c r="D23" s="276" t="n">
        <v>20.6</v>
      </c>
      <c r="E23" s="291" t="n">
        <v>93.09999999999999</v>
      </c>
      <c r="F23" s="276" t="n">
        <v>0.3</v>
      </c>
      <c r="G23" s="276" t="n">
        <v>6.5</v>
      </c>
      <c r="H23" s="276" t="n">
        <v>91.3</v>
      </c>
      <c r="I23" s="276" t="n">
        <v>0.5</v>
      </c>
      <c r="J23" s="276" t="n">
        <v>8.300000000000001</v>
      </c>
      <c r="K23" s="276" t="n">
        <v>84</v>
      </c>
      <c r="L23" s="276" t="n">
        <v>0</v>
      </c>
      <c r="M23" s="276" t="n">
        <v>16</v>
      </c>
    </row>
    <row r="24" ht="14" customHeight="1" s="227">
      <c r="A24" s="28" t="inlineStr">
        <is>
          <t>Siemreap</t>
        </is>
      </c>
      <c r="B24" s="276" t="n">
        <v>82.2</v>
      </c>
      <c r="C24" s="276" t="n">
        <v>6.4</v>
      </c>
      <c r="D24" s="276" t="n">
        <v>11.4</v>
      </c>
      <c r="E24" s="120" t="inlineStr">
        <is>
          <t>n.a.</t>
        </is>
      </c>
      <c r="F24" s="276" t="n">
        <v>3.2</v>
      </c>
      <c r="G24" s="120" t="inlineStr">
        <is>
          <t>n.a.</t>
        </is>
      </c>
      <c r="H24" s="276" t="n">
        <v>92.2</v>
      </c>
      <c r="I24" s="276" t="n">
        <v>1.6</v>
      </c>
      <c r="J24" s="276" t="n">
        <v>6.3</v>
      </c>
      <c r="K24" s="276" t="n">
        <v>68.8</v>
      </c>
      <c r="L24" s="276" t="n">
        <v>4.8</v>
      </c>
      <c r="M24" s="276" t="n">
        <v>26.4</v>
      </c>
    </row>
    <row r="25" ht="14" customHeight="1" s="227">
      <c r="A25" s="28" t="inlineStr">
        <is>
          <t>Stung Treng</t>
        </is>
      </c>
      <c r="B25" s="276" t="n">
        <v>82.09999999999999</v>
      </c>
      <c r="C25" s="276" t="n">
        <v>1.7</v>
      </c>
      <c r="D25" s="276" t="n">
        <v>16.3</v>
      </c>
      <c r="E25" s="291" t="n">
        <v>96.59999999999999</v>
      </c>
      <c r="F25" s="276" t="n">
        <v>0.3</v>
      </c>
      <c r="G25" s="276" t="n">
        <v>3.2</v>
      </c>
      <c r="H25" s="276" t="n">
        <v>97.40000000000001</v>
      </c>
      <c r="I25" s="276" t="n">
        <v>0</v>
      </c>
      <c r="J25" s="276" t="n">
        <v>2.6</v>
      </c>
      <c r="K25" s="276" t="n">
        <v>91.90000000000001</v>
      </c>
      <c r="L25" s="276" t="n">
        <v>0.9</v>
      </c>
      <c r="M25" s="276" t="n">
        <v>7.2</v>
      </c>
    </row>
    <row r="26" ht="14" customHeight="1" s="227">
      <c r="A26" s="28" t="inlineStr">
        <is>
          <t>Svay Rieng</t>
        </is>
      </c>
      <c r="B26" s="276" t="n">
        <v>75.8</v>
      </c>
      <c r="C26" s="276" t="n">
        <v>4.2</v>
      </c>
      <c r="D26" s="276" t="n">
        <v>20</v>
      </c>
      <c r="E26" s="291" t="n">
        <v>82</v>
      </c>
      <c r="F26" s="276" t="n">
        <v>0.8</v>
      </c>
      <c r="G26" s="276" t="n">
        <v>17.1</v>
      </c>
      <c r="H26" s="276" t="n">
        <v>91.2</v>
      </c>
      <c r="I26" s="276" t="n">
        <v>0.7</v>
      </c>
      <c r="J26" s="276" t="n">
        <v>8.199999999999999</v>
      </c>
      <c r="K26" s="276" t="n">
        <v>75.2</v>
      </c>
      <c r="L26" s="276" t="n">
        <v>1.8</v>
      </c>
      <c r="M26" s="276" t="n">
        <v>23</v>
      </c>
    </row>
    <row r="27" ht="14" customHeight="1" s="227">
      <c r="A27" s="28" t="inlineStr">
        <is>
          <t>Takeo</t>
        </is>
      </c>
      <c r="B27" s="276" t="n">
        <v>78</v>
      </c>
      <c r="C27" s="276" t="n">
        <v>4.1</v>
      </c>
      <c r="D27" s="276" t="n">
        <v>18</v>
      </c>
      <c r="E27" s="291" t="n">
        <v>83</v>
      </c>
      <c r="F27" s="276" t="n">
        <v>1.9</v>
      </c>
      <c r="G27" s="276" t="n">
        <v>15.1</v>
      </c>
      <c r="H27" s="276" t="n">
        <v>86.7</v>
      </c>
      <c r="I27" s="276" t="n">
        <v>1.8</v>
      </c>
      <c r="J27" s="276" t="n">
        <v>11.5</v>
      </c>
      <c r="K27" s="276" t="n">
        <v>50.6</v>
      </c>
      <c r="L27" s="276" t="n">
        <v>5.8</v>
      </c>
      <c r="M27" s="276" t="n">
        <v>43.6</v>
      </c>
    </row>
    <row r="28" ht="14" customHeight="1" s="227">
      <c r="A28" s="28" t="inlineStr">
        <is>
          <t>Tbaung Khmum</t>
        </is>
      </c>
      <c r="B28" s="276" t="n">
        <v>69.7</v>
      </c>
      <c r="C28" s="276" t="n">
        <v>5.5</v>
      </c>
      <c r="D28" s="276" t="n">
        <v>24.7</v>
      </c>
      <c r="E28" s="291" t="n">
        <v>81</v>
      </c>
      <c r="F28" s="276" t="n">
        <v>1.9</v>
      </c>
      <c r="G28" s="276" t="n">
        <v>17.2</v>
      </c>
      <c r="H28" s="276" t="n">
        <v>90.7</v>
      </c>
      <c r="I28" s="276" t="n">
        <v>1.2</v>
      </c>
      <c r="J28" s="276" t="n">
        <v>8.1</v>
      </c>
      <c r="K28" s="276" t="n">
        <v>67.7</v>
      </c>
      <c r="L28" s="276" t="n">
        <v>5.5</v>
      </c>
      <c r="M28" s="276" t="n">
        <v>26.8</v>
      </c>
    </row>
    <row r="29" ht="15" customHeight="1" s="227">
      <c r="A29" s="22" t="inlineStr">
        <is>
          <t>Whole Kingdom</t>
        </is>
      </c>
      <c r="B29" s="276" t="n">
        <v>77.09999999999999</v>
      </c>
      <c r="C29" s="276" t="n">
        <v>4.4</v>
      </c>
      <c r="D29" s="276" t="n">
        <v>18.5</v>
      </c>
      <c r="E29" s="291" t="n">
        <v>83.8</v>
      </c>
      <c r="F29" s="276" t="n">
        <v>1.7</v>
      </c>
      <c r="G29" s="276" t="n">
        <v>14.6</v>
      </c>
      <c r="H29" s="276" t="n">
        <v>90.5</v>
      </c>
      <c r="I29" s="276" t="n">
        <v>1.1</v>
      </c>
      <c r="J29" s="276" t="n">
        <v>8.300000000000001</v>
      </c>
      <c r="K29" s="276" t="n">
        <v>61.7</v>
      </c>
      <c r="L29" s="276" t="n">
        <v>5</v>
      </c>
      <c r="M29" s="276" t="n">
        <v>33.3</v>
      </c>
    </row>
    <row r="30" ht="14" customHeight="1" s="227">
      <c r="A30" s="28" t="inlineStr">
        <is>
          <t>- Urban Area</t>
        </is>
      </c>
      <c r="B30" s="276" t="n">
        <v>82.59999999999999</v>
      </c>
      <c r="C30" s="276" t="n">
        <v>5</v>
      </c>
      <c r="D30" s="276" t="n">
        <v>12.4</v>
      </c>
      <c r="E30" s="291" t="n">
        <v>88.2</v>
      </c>
      <c r="F30" s="276" t="n">
        <v>1.7</v>
      </c>
      <c r="G30" s="276" t="n">
        <v>10.1</v>
      </c>
      <c r="H30" s="276" t="n">
        <v>97.3</v>
      </c>
      <c r="I30" s="276" t="n">
        <v>1.2</v>
      </c>
      <c r="J30" s="276" t="n">
        <v>1.5</v>
      </c>
      <c r="K30" s="276" t="n">
        <v>55.1</v>
      </c>
      <c r="L30" s="276" t="n">
        <v>6.1</v>
      </c>
      <c r="M30" s="276" t="n">
        <v>38.8</v>
      </c>
    </row>
    <row r="31" ht="12.5" customHeight="1" s="227">
      <c r="A31" s="28" t="inlineStr">
        <is>
          <t>- Rural Area</t>
        </is>
      </c>
      <c r="B31" s="276" t="n">
        <v>75.59999999999999</v>
      </c>
      <c r="C31" s="276" t="n">
        <v>4.3</v>
      </c>
      <c r="D31" s="276" t="n">
        <v>20.1</v>
      </c>
      <c r="E31" s="291" t="n">
        <v>82</v>
      </c>
      <c r="F31" s="276" t="n">
        <v>1.6</v>
      </c>
      <c r="G31" s="276" t="n">
        <v>16.3</v>
      </c>
      <c r="H31" s="276" t="n">
        <v>87.40000000000001</v>
      </c>
      <c r="I31" s="276" t="n">
        <v>1.1</v>
      </c>
      <c r="J31" s="276" t="n">
        <v>11.5</v>
      </c>
      <c r="K31" s="276" t="n">
        <v>65.5</v>
      </c>
      <c r="L31" s="276" t="n">
        <v>4.5</v>
      </c>
      <c r="M31" s="276" t="n">
        <v>30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tabColor rgb="0000B0F0"/>
    <outlinePr summaryBelow="1" summaryRight="1"/>
    <pageSetUpPr/>
  </sheetPr>
  <dimension ref="A1:M31"/>
  <sheetViews>
    <sheetView tabSelected="1" workbookViewId="0">
      <selection activeCell="A1" sqref="A1"/>
    </sheetView>
  </sheetViews>
  <sheetFormatPr baseColWidth="8" defaultRowHeight="15"/>
  <cols>
    <col width="24.222222" customWidth="1" style="227" min="1" max="1"/>
    <col width="12" customWidth="1" style="227" min="2" max="2"/>
    <col width="12" customWidth="1" style="227" min="3" max="3"/>
    <col width="12" customWidth="1" style="227" min="4" max="4"/>
    <col width="12" customWidth="1" style="227" min="5" max="5"/>
    <col width="12" customWidth="1" style="227" min="6" max="6"/>
    <col width="12" customWidth="1" style="227" min="7" max="7"/>
    <col width="12" customWidth="1" style="227" min="8" max="8"/>
    <col width="11.777778" customWidth="1" style="227" min="9" max="9"/>
    <col width="12" customWidth="1" style="227" min="10" max="10"/>
    <col width="11.555556" customWidth="1" style="227" min="11" max="11"/>
    <col width="11.555556" customWidth="1" style="227" min="12" max="12"/>
    <col width="11.555556" customWidth="1" style="227" min="13" max="13"/>
  </cols>
  <sheetData>
    <row r="1" ht="31" customHeight="1" s="227">
      <c r="A1" s="2" t="inlineStr">
        <is>
          <t>Table 24: Student Flow Rates and Graduates by level for Male 2017 - 2018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</row>
    <row r="2" ht="19" customHeight="1" s="227">
      <c r="A2" s="35" t="inlineStr">
        <is>
          <t>Province</t>
        </is>
      </c>
      <c r="B2" s="95" t="inlineStr">
        <is>
          <t>Primary Level (Grades 1-6)</t>
        </is>
      </c>
      <c r="C2" s="269" t="n"/>
      <c r="D2" s="257" t="n"/>
      <c r="E2" s="102" t="inlineStr">
        <is>
          <t>Lower Secondary Level (Grades 7-9)</t>
        </is>
      </c>
      <c r="F2" s="269" t="n"/>
      <c r="G2" s="257" t="n"/>
      <c r="H2" s="103" t="inlineStr">
        <is>
          <t>Upper Secondary Level (Grades 10-12)</t>
        </is>
      </c>
      <c r="I2" s="269" t="n"/>
      <c r="J2" s="257" t="n"/>
      <c r="K2" s="164" t="inlineStr">
        <is>
          <t>Successful Candidates</t>
        </is>
      </c>
      <c r="L2" s="269" t="n"/>
      <c r="M2" s="257" t="n"/>
    </row>
    <row r="3" ht="18" customHeight="1" s="227">
      <c r="A3" s="258" t="n"/>
      <c r="B3" s="119" t="inlineStr">
        <is>
          <t>Promotion</t>
        </is>
      </c>
      <c r="C3" s="119" t="inlineStr">
        <is>
          <t>Repetition</t>
        </is>
      </c>
      <c r="D3" s="103" t="inlineStr">
        <is>
          <t>Dropout</t>
        </is>
      </c>
      <c r="E3" s="119" t="inlineStr">
        <is>
          <t>Promotion</t>
        </is>
      </c>
      <c r="F3" s="119" t="inlineStr">
        <is>
          <t>Repetition</t>
        </is>
      </c>
      <c r="G3" s="103" t="inlineStr">
        <is>
          <t>Dropout</t>
        </is>
      </c>
      <c r="H3" s="119" t="inlineStr">
        <is>
          <t>Promotion</t>
        </is>
      </c>
      <c r="I3" s="119" t="inlineStr">
        <is>
          <t>Repetition</t>
        </is>
      </c>
      <c r="J3" s="103" t="inlineStr">
        <is>
          <t>Dropout</t>
        </is>
      </c>
      <c r="K3" s="103" t="inlineStr">
        <is>
          <t>Grade 6</t>
        </is>
      </c>
      <c r="L3" s="103" t="inlineStr">
        <is>
          <t>Grade 9</t>
        </is>
      </c>
      <c r="M3" s="103" t="inlineStr">
        <is>
          <t>Grade 12</t>
        </is>
      </c>
    </row>
    <row r="4" ht="14" customHeight="1" s="227">
      <c r="A4" s="28" t="inlineStr">
        <is>
          <t>Banteay Meanchey</t>
        </is>
      </c>
      <c r="B4" s="276" t="n">
        <v>91.2</v>
      </c>
      <c r="C4" s="276" t="n">
        <v>4.4</v>
      </c>
      <c r="D4" s="276" t="n">
        <v>4.4</v>
      </c>
      <c r="E4" s="276" t="n">
        <v>77.3</v>
      </c>
      <c r="F4" s="276" t="n">
        <v>3.4</v>
      </c>
      <c r="G4" s="276" t="n">
        <v>19.2</v>
      </c>
      <c r="H4" s="276" t="n">
        <v>76.90000000000001</v>
      </c>
      <c r="I4" s="276" t="n">
        <v>2.5</v>
      </c>
      <c r="J4" s="276" t="n">
        <v>20.5</v>
      </c>
      <c r="K4" s="259" t="n">
        <v>5560</v>
      </c>
      <c r="L4" s="259" t="n">
        <v>2382</v>
      </c>
      <c r="M4" s="260" t="n">
        <v>767</v>
      </c>
    </row>
    <row r="5" ht="14" customHeight="1" s="227">
      <c r="A5" s="28" t="inlineStr">
        <is>
          <t>Battambang</t>
        </is>
      </c>
      <c r="B5" s="276" t="n">
        <v>86.2</v>
      </c>
      <c r="C5" s="276" t="n">
        <v>7.6</v>
      </c>
      <c r="D5" s="276" t="n">
        <v>6.2</v>
      </c>
      <c r="E5" s="276" t="n">
        <v>74.5</v>
      </c>
      <c r="F5" s="276" t="n">
        <v>4.6</v>
      </c>
      <c r="G5" s="276" t="n">
        <v>20.9</v>
      </c>
      <c r="H5" s="276" t="n">
        <v>74.09999999999999</v>
      </c>
      <c r="I5" s="276" t="n">
        <v>2.6</v>
      </c>
      <c r="J5" s="276" t="n">
        <v>23.3</v>
      </c>
      <c r="K5" s="259" t="n">
        <v>9327</v>
      </c>
      <c r="L5" s="259" t="n">
        <v>3679</v>
      </c>
      <c r="M5" s="259" t="n">
        <v>1423</v>
      </c>
    </row>
    <row r="6" ht="15" customHeight="1" s="227">
      <c r="A6" s="28" t="inlineStr">
        <is>
          <t>Kampong Cham</t>
        </is>
      </c>
      <c r="B6" s="276" t="n">
        <v>84.09999999999999</v>
      </c>
      <c r="C6" s="276" t="n">
        <v>10.9</v>
      </c>
      <c r="D6" s="276" t="n">
        <v>5</v>
      </c>
      <c r="E6" s="276" t="n">
        <v>76.40000000000001</v>
      </c>
      <c r="F6" s="276" t="n">
        <v>4.5</v>
      </c>
      <c r="G6" s="276" t="n">
        <v>19.1</v>
      </c>
      <c r="H6" s="276" t="n">
        <v>73.3</v>
      </c>
      <c r="I6" s="276" t="n">
        <v>3.4</v>
      </c>
      <c r="J6" s="276" t="n">
        <v>23.3</v>
      </c>
      <c r="K6" s="259" t="n">
        <v>8664</v>
      </c>
      <c r="L6" s="259" t="n">
        <v>3979</v>
      </c>
      <c r="M6" s="259" t="n">
        <v>1470</v>
      </c>
    </row>
    <row r="7" ht="14" customHeight="1" s="227">
      <c r="A7" s="28" t="inlineStr">
        <is>
          <t>Kampong Chhnang</t>
        </is>
      </c>
      <c r="B7" s="276" t="n">
        <v>89.2</v>
      </c>
      <c r="C7" s="276" t="n">
        <v>7.6</v>
      </c>
      <c r="D7" s="276" t="n">
        <v>3.2</v>
      </c>
      <c r="E7" s="276" t="n">
        <v>79.40000000000001</v>
      </c>
      <c r="F7" s="276" t="n">
        <v>3.3</v>
      </c>
      <c r="G7" s="276" t="n">
        <v>17.3</v>
      </c>
      <c r="H7" s="276" t="n">
        <v>73.90000000000001</v>
      </c>
      <c r="I7" s="276" t="n">
        <v>2.4</v>
      </c>
      <c r="J7" s="276" t="n">
        <v>23.7</v>
      </c>
      <c r="K7" s="259" t="n">
        <v>4800</v>
      </c>
      <c r="L7" s="259" t="n">
        <v>2556</v>
      </c>
      <c r="M7" s="260" t="n">
        <v>841</v>
      </c>
    </row>
    <row r="8" ht="14" customHeight="1" s="227">
      <c r="A8" s="28" t="inlineStr">
        <is>
          <t>Kampong Speu</t>
        </is>
      </c>
      <c r="B8" s="276" t="n">
        <v>90.3</v>
      </c>
      <c r="C8" s="276" t="n">
        <v>5.8</v>
      </c>
      <c r="D8" s="276" t="n">
        <v>3.9</v>
      </c>
      <c r="E8" s="276" t="n">
        <v>77.7</v>
      </c>
      <c r="F8" s="276" t="n">
        <v>2.1</v>
      </c>
      <c r="G8" s="276" t="n">
        <v>20.2</v>
      </c>
      <c r="H8" s="276" t="n">
        <v>82.09999999999999</v>
      </c>
      <c r="I8" s="276" t="n">
        <v>1</v>
      </c>
      <c r="J8" s="276" t="n">
        <v>16.9</v>
      </c>
      <c r="K8" s="259" t="n">
        <v>7541</v>
      </c>
      <c r="L8" s="259" t="n">
        <v>3437</v>
      </c>
      <c r="M8" s="259" t="n">
        <v>1699</v>
      </c>
    </row>
    <row r="9" ht="14" customHeight="1" s="227">
      <c r="A9" s="28" t="inlineStr">
        <is>
          <t>Kampong Thom</t>
        </is>
      </c>
      <c r="B9" s="276" t="n">
        <v>84.7</v>
      </c>
      <c r="C9" s="276" t="n">
        <v>8.9</v>
      </c>
      <c r="D9" s="276" t="n">
        <v>6.4</v>
      </c>
      <c r="E9" s="276" t="n">
        <v>79.7</v>
      </c>
      <c r="F9" s="276" t="n">
        <v>3.9</v>
      </c>
      <c r="G9" s="276" t="n">
        <v>16.4</v>
      </c>
      <c r="H9" s="276" t="n">
        <v>83.7</v>
      </c>
      <c r="I9" s="276" t="n">
        <v>1.5</v>
      </c>
      <c r="J9" s="276" t="n">
        <v>14.8</v>
      </c>
      <c r="K9" s="259" t="n">
        <v>5923</v>
      </c>
      <c r="L9" s="259" t="n">
        <v>2880</v>
      </c>
      <c r="M9" s="259" t="n">
        <v>1275</v>
      </c>
    </row>
    <row r="10" ht="14" customHeight="1" s="227">
      <c r="A10" s="28" t="inlineStr">
        <is>
          <t>Kampot</t>
        </is>
      </c>
      <c r="B10" s="276" t="n">
        <v>90.7</v>
      </c>
      <c r="C10" s="276" t="n">
        <v>5.4</v>
      </c>
      <c r="D10" s="276" t="n">
        <v>3.9</v>
      </c>
      <c r="E10" s="276" t="n">
        <v>76.90000000000001</v>
      </c>
      <c r="F10" s="276" t="n">
        <v>3.6</v>
      </c>
      <c r="G10" s="276" t="n">
        <v>19.5</v>
      </c>
      <c r="H10" s="276" t="n">
        <v>82</v>
      </c>
      <c r="I10" s="276" t="n">
        <v>1.6</v>
      </c>
      <c r="J10" s="276" t="n">
        <v>16.3</v>
      </c>
      <c r="K10" s="259" t="n">
        <v>5289</v>
      </c>
      <c r="L10" s="259" t="n">
        <v>3211</v>
      </c>
      <c r="M10" s="259" t="n">
        <v>1632</v>
      </c>
    </row>
    <row r="11" ht="14" customHeight="1" s="227">
      <c r="A11" s="28" t="inlineStr">
        <is>
          <t>Kandal</t>
        </is>
      </c>
      <c r="B11" s="276" t="n">
        <v>87.3</v>
      </c>
      <c r="C11" s="276" t="n">
        <v>9.699999999999999</v>
      </c>
      <c r="D11" s="276" t="n">
        <v>2.9</v>
      </c>
      <c r="E11" s="276" t="n">
        <v>78.59999999999999</v>
      </c>
      <c r="F11" s="276" t="n">
        <v>3.9</v>
      </c>
      <c r="G11" s="276" t="n">
        <v>17.4</v>
      </c>
      <c r="H11" s="276" t="n">
        <v>79.3</v>
      </c>
      <c r="I11" s="276" t="n">
        <v>3</v>
      </c>
      <c r="J11" s="276" t="n">
        <v>17.6</v>
      </c>
      <c r="K11" s="259" t="n">
        <v>9976</v>
      </c>
      <c r="L11" s="259" t="n">
        <v>4904</v>
      </c>
      <c r="M11" s="259" t="n">
        <v>2212</v>
      </c>
    </row>
    <row r="12" ht="14" customHeight="1" s="227">
      <c r="A12" s="28" t="inlineStr">
        <is>
          <t>Kep</t>
        </is>
      </c>
      <c r="B12" s="276" t="n">
        <v>89</v>
      </c>
      <c r="C12" s="276" t="n">
        <v>6.5</v>
      </c>
      <c r="D12" s="276" t="n">
        <v>4.5</v>
      </c>
      <c r="E12" s="276" t="n">
        <v>73.5</v>
      </c>
      <c r="F12" s="276" t="n">
        <v>3.7</v>
      </c>
      <c r="G12" s="276" t="n">
        <v>22.8</v>
      </c>
      <c r="H12" s="276" t="n">
        <v>90.09999999999999</v>
      </c>
      <c r="I12" s="276" t="n">
        <v>1.4</v>
      </c>
      <c r="J12" s="276" t="n">
        <v>8.4</v>
      </c>
      <c r="K12" s="260" t="n">
        <v>297</v>
      </c>
      <c r="L12" s="260" t="n">
        <v>183</v>
      </c>
      <c r="M12" s="260" t="n">
        <v>116</v>
      </c>
    </row>
    <row r="13" ht="14" customHeight="1" s="227">
      <c r="A13" s="28" t="inlineStr">
        <is>
          <t>Koh Kong</t>
        </is>
      </c>
      <c r="B13" s="276" t="n">
        <v>89.3</v>
      </c>
      <c r="C13" s="276" t="n">
        <v>4.5</v>
      </c>
      <c r="D13" s="276" t="n">
        <v>6.2</v>
      </c>
      <c r="E13" s="276" t="n">
        <v>83.2</v>
      </c>
      <c r="F13" s="276" t="n">
        <v>2.5</v>
      </c>
      <c r="G13" s="276" t="n">
        <v>14.4</v>
      </c>
      <c r="H13" s="276" t="n">
        <v>70.09999999999999</v>
      </c>
      <c r="I13" s="276" t="n">
        <v>1</v>
      </c>
      <c r="J13" s="276" t="n">
        <v>28.8</v>
      </c>
      <c r="K13" s="260" t="n">
        <v>955</v>
      </c>
      <c r="L13" s="260" t="n">
        <v>556</v>
      </c>
      <c r="M13" s="260" t="n">
        <v>111</v>
      </c>
    </row>
    <row r="14" ht="14" customHeight="1" s="227">
      <c r="A14" s="28" t="inlineStr">
        <is>
          <t>Kratie</t>
        </is>
      </c>
      <c r="B14" s="276" t="n">
        <v>81.40000000000001</v>
      </c>
      <c r="C14" s="276" t="n">
        <v>9.699999999999999</v>
      </c>
      <c r="D14" s="276" t="n">
        <v>8.800000000000001</v>
      </c>
      <c r="E14" s="276" t="n">
        <v>75.90000000000001</v>
      </c>
      <c r="F14" s="276" t="n">
        <v>3</v>
      </c>
      <c r="G14" s="276" t="n">
        <v>21.1</v>
      </c>
      <c r="H14" s="276" t="n">
        <v>73.90000000000001</v>
      </c>
      <c r="I14" s="276" t="n">
        <v>2.4</v>
      </c>
      <c r="J14" s="276" t="n">
        <v>23.7</v>
      </c>
      <c r="K14" s="259" t="n">
        <v>2752</v>
      </c>
      <c r="L14" s="259" t="n">
        <v>1126</v>
      </c>
      <c r="M14" s="260" t="n">
        <v>329</v>
      </c>
    </row>
    <row r="15" ht="14" customHeight="1" s="227">
      <c r="A15" s="28" t="inlineStr">
        <is>
          <t>Mondul Kiri</t>
        </is>
      </c>
      <c r="B15" s="276" t="n">
        <v>85.8</v>
      </c>
      <c r="C15" s="276" t="n">
        <v>5.8</v>
      </c>
      <c r="D15" s="276" t="n">
        <v>8.4</v>
      </c>
      <c r="E15" s="276" t="n">
        <v>78.09999999999999</v>
      </c>
      <c r="F15" s="276" t="n">
        <v>5</v>
      </c>
      <c r="G15" s="276" t="n">
        <v>16.9</v>
      </c>
      <c r="H15" s="276" t="n">
        <v>89.40000000000001</v>
      </c>
      <c r="I15" s="276" t="n">
        <v>1.4</v>
      </c>
      <c r="J15" s="276" t="n">
        <v>9.199999999999999</v>
      </c>
      <c r="K15" s="260" t="n">
        <v>650</v>
      </c>
      <c r="L15" s="260" t="n">
        <v>265</v>
      </c>
      <c r="M15" s="260" t="n">
        <v>147</v>
      </c>
    </row>
    <row r="16" ht="14" customHeight="1" s="227">
      <c r="A16" s="28" t="inlineStr">
        <is>
          <t>Otdar Meanchey</t>
        </is>
      </c>
      <c r="B16" s="276" t="n">
        <v>82.09999999999999</v>
      </c>
      <c r="C16" s="276" t="n">
        <v>9.800000000000001</v>
      </c>
      <c r="D16" s="276" t="n">
        <v>8.1</v>
      </c>
      <c r="E16" s="276" t="n">
        <v>77.7</v>
      </c>
      <c r="F16" s="276" t="n">
        <v>4.7</v>
      </c>
      <c r="G16" s="276" t="n">
        <v>17.6</v>
      </c>
      <c r="H16" s="276" t="n">
        <v>87.5</v>
      </c>
      <c r="I16" s="276" t="n">
        <v>2</v>
      </c>
      <c r="J16" s="276" t="n">
        <v>10.5</v>
      </c>
      <c r="K16" s="259" t="n">
        <v>1890</v>
      </c>
      <c r="L16" s="260" t="n">
        <v>820</v>
      </c>
      <c r="M16" s="260" t="n">
        <v>367</v>
      </c>
    </row>
    <row r="17" ht="14" customHeight="1" s="227">
      <c r="A17" s="28" t="inlineStr">
        <is>
          <t>Pailin</t>
        </is>
      </c>
      <c r="B17" s="276" t="n">
        <v>84.8</v>
      </c>
      <c r="C17" s="276" t="n">
        <v>8.1</v>
      </c>
      <c r="D17" s="276" t="n">
        <v>7.1</v>
      </c>
      <c r="E17" s="276" t="n">
        <v>76.90000000000001</v>
      </c>
      <c r="F17" s="276" t="n">
        <v>6.3</v>
      </c>
      <c r="G17" s="276" t="n">
        <v>16.8</v>
      </c>
      <c r="H17" s="276" t="n">
        <v>75.90000000000001</v>
      </c>
      <c r="I17" s="276" t="n">
        <v>6.5</v>
      </c>
      <c r="J17" s="276" t="n">
        <v>17.6</v>
      </c>
      <c r="K17" s="260" t="n">
        <v>577</v>
      </c>
      <c r="L17" s="260" t="n">
        <v>304</v>
      </c>
      <c r="M17" s="260" t="n">
        <v>83</v>
      </c>
    </row>
    <row r="18" ht="14" customHeight="1" s="227">
      <c r="A18" s="28" t="inlineStr">
        <is>
          <t>Phnom Penh</t>
        </is>
      </c>
      <c r="B18" s="276" t="n">
        <v>92.8</v>
      </c>
      <c r="C18" s="276" t="n">
        <v>3.8</v>
      </c>
      <c r="D18" s="276" t="n">
        <v>3.3</v>
      </c>
      <c r="E18" s="276" t="n">
        <v>85.8</v>
      </c>
      <c r="F18" s="276" t="n">
        <v>4</v>
      </c>
      <c r="G18" s="276" t="n">
        <v>10.1</v>
      </c>
      <c r="H18" s="276" t="n">
        <v>77.59999999999999</v>
      </c>
      <c r="I18" s="276" t="n">
        <v>3.8</v>
      </c>
      <c r="J18" s="276" t="n">
        <v>18.6</v>
      </c>
      <c r="K18" s="259" t="n">
        <v>9030</v>
      </c>
      <c r="L18" s="259" t="n">
        <v>6278</v>
      </c>
      <c r="M18" s="259" t="n">
        <v>3225</v>
      </c>
    </row>
    <row r="19" ht="14" customHeight="1" s="227">
      <c r="A19" s="28" t="inlineStr">
        <is>
          <t>Preah Sihanouk</t>
        </is>
      </c>
      <c r="B19" s="276" t="n">
        <v>91.3</v>
      </c>
      <c r="C19" s="276" t="n">
        <v>3.9</v>
      </c>
      <c r="D19" s="276" t="n">
        <v>4.8</v>
      </c>
      <c r="E19" s="276" t="n">
        <v>73.5</v>
      </c>
      <c r="F19" s="276" t="n">
        <v>5.4</v>
      </c>
      <c r="G19" s="276" t="n">
        <v>21.1</v>
      </c>
      <c r="H19" s="276" t="n">
        <v>84.40000000000001</v>
      </c>
      <c r="I19" s="276" t="n">
        <v>1.7</v>
      </c>
      <c r="J19" s="276" t="n">
        <v>13.9</v>
      </c>
      <c r="K19" s="259" t="n">
        <v>1663</v>
      </c>
      <c r="L19" s="260" t="n">
        <v>680</v>
      </c>
      <c r="M19" s="260" t="n">
        <v>488</v>
      </c>
    </row>
    <row r="20" ht="14" customHeight="1" s="227">
      <c r="A20" s="28" t="inlineStr">
        <is>
          <t>Preah Vihear</t>
        </is>
      </c>
      <c r="B20" s="276" t="n">
        <v>83.5</v>
      </c>
      <c r="C20" s="276" t="n">
        <v>9.9</v>
      </c>
      <c r="D20" s="276" t="n">
        <v>6.6</v>
      </c>
      <c r="E20" s="276" t="n">
        <v>82.40000000000001</v>
      </c>
      <c r="F20" s="276" t="n">
        <v>1.9</v>
      </c>
      <c r="G20" s="276" t="n">
        <v>15.7</v>
      </c>
      <c r="H20" s="276" t="n">
        <v>83.90000000000001</v>
      </c>
      <c r="I20" s="276" t="n">
        <v>0.5</v>
      </c>
      <c r="J20" s="276" t="n">
        <v>15.5</v>
      </c>
      <c r="K20" s="259" t="n">
        <v>1820</v>
      </c>
      <c r="L20" s="260" t="n">
        <v>915</v>
      </c>
      <c r="M20" s="260" t="n">
        <v>453</v>
      </c>
    </row>
    <row r="21" ht="14" customHeight="1" s="227">
      <c r="A21" s="28" t="inlineStr">
        <is>
          <t>Prey Veng</t>
        </is>
      </c>
      <c r="B21" s="276" t="n">
        <v>89</v>
      </c>
      <c r="C21" s="276" t="n">
        <v>8.300000000000001</v>
      </c>
      <c r="D21" s="276" t="n">
        <v>2.7</v>
      </c>
      <c r="E21" s="276" t="n">
        <v>79.7</v>
      </c>
      <c r="F21" s="276" t="n">
        <v>1.3</v>
      </c>
      <c r="G21" s="276" t="n">
        <v>19</v>
      </c>
      <c r="H21" s="276" t="n">
        <v>81.5</v>
      </c>
      <c r="I21" s="276" t="n">
        <v>1.7</v>
      </c>
      <c r="J21" s="276" t="n">
        <v>16.8</v>
      </c>
      <c r="K21" s="259" t="n">
        <v>10024</v>
      </c>
      <c r="L21" s="259" t="n">
        <v>4843</v>
      </c>
      <c r="M21" s="259" t="n">
        <v>2228</v>
      </c>
    </row>
    <row r="22" ht="14" customHeight="1" s="227">
      <c r="A22" s="28" t="inlineStr">
        <is>
          <t>Pursat</t>
        </is>
      </c>
      <c r="B22" s="276" t="n">
        <v>85.40000000000001</v>
      </c>
      <c r="C22" s="276" t="n">
        <v>9.199999999999999</v>
      </c>
      <c r="D22" s="276" t="n">
        <v>5.4</v>
      </c>
      <c r="E22" s="276" t="n">
        <v>78.8</v>
      </c>
      <c r="F22" s="276" t="n">
        <v>2.7</v>
      </c>
      <c r="G22" s="276" t="n">
        <v>18.5</v>
      </c>
      <c r="H22" s="276" t="n">
        <v>74.40000000000001</v>
      </c>
      <c r="I22" s="276" t="n">
        <v>2.3</v>
      </c>
      <c r="J22" s="276" t="n">
        <v>23.4</v>
      </c>
      <c r="K22" s="259" t="n">
        <v>3781</v>
      </c>
      <c r="L22" s="259" t="n">
        <v>1763</v>
      </c>
      <c r="M22" s="260" t="n">
        <v>587</v>
      </c>
    </row>
    <row r="23" ht="14" customHeight="1" s="227">
      <c r="A23" s="28" t="inlineStr">
        <is>
          <t>Ratanak Kiri</t>
        </is>
      </c>
      <c r="B23" s="276" t="n">
        <v>82.40000000000001</v>
      </c>
      <c r="C23" s="276" t="n">
        <v>5</v>
      </c>
      <c r="D23" s="276" t="n">
        <v>12.6</v>
      </c>
      <c r="E23" s="276" t="n">
        <v>83.5</v>
      </c>
      <c r="F23" s="276" t="n">
        <v>2</v>
      </c>
      <c r="G23" s="276" t="n">
        <v>14.5</v>
      </c>
      <c r="H23" s="276" t="n">
        <v>90.3</v>
      </c>
      <c r="I23" s="276" t="n">
        <v>0.3</v>
      </c>
      <c r="J23" s="276" t="n">
        <v>9.4</v>
      </c>
      <c r="K23" s="259" t="n">
        <v>1655</v>
      </c>
      <c r="L23" s="260" t="n">
        <v>738</v>
      </c>
      <c r="M23" s="260" t="n">
        <v>273</v>
      </c>
    </row>
    <row r="24" ht="14" customHeight="1" s="227">
      <c r="A24" s="28" t="inlineStr">
        <is>
          <t>Siemreap</t>
        </is>
      </c>
      <c r="B24" s="276" t="n">
        <v>84.59999999999999</v>
      </c>
      <c r="C24" s="276" t="n">
        <v>9.199999999999999</v>
      </c>
      <c r="D24" s="276" t="n">
        <v>6.2</v>
      </c>
      <c r="E24" s="276" t="n">
        <v>80.09999999999999</v>
      </c>
      <c r="F24" s="276" t="n">
        <v>5.8</v>
      </c>
      <c r="G24" s="276" t="n">
        <v>14.1</v>
      </c>
      <c r="H24" s="276" t="n">
        <v>89.8</v>
      </c>
      <c r="I24" s="276" t="n">
        <v>3.1</v>
      </c>
      <c r="J24" s="276" t="n">
        <v>7.1</v>
      </c>
      <c r="K24" s="259" t="n">
        <v>8911</v>
      </c>
      <c r="L24" s="259" t="n">
        <v>4378</v>
      </c>
      <c r="M24" s="259" t="n">
        <v>1818</v>
      </c>
    </row>
    <row r="25" ht="14" customHeight="1" s="227">
      <c r="A25" s="28" t="inlineStr">
        <is>
          <t>Stung Treng</t>
        </is>
      </c>
      <c r="B25" s="276" t="n">
        <v>78</v>
      </c>
      <c r="C25" s="276" t="n">
        <v>12</v>
      </c>
      <c r="D25" s="276" t="n">
        <v>10</v>
      </c>
      <c r="E25" s="276" t="n">
        <v>83.59999999999999</v>
      </c>
      <c r="F25" s="276" t="n">
        <v>1.1</v>
      </c>
      <c r="G25" s="276" t="n">
        <v>15.3</v>
      </c>
      <c r="H25" s="276" t="n">
        <v>95.2</v>
      </c>
      <c r="I25" s="276" t="n">
        <v>0.4</v>
      </c>
      <c r="J25" s="276" t="n">
        <v>4.4</v>
      </c>
      <c r="K25" s="260" t="n">
        <v>822</v>
      </c>
      <c r="L25" s="260" t="n">
        <v>495</v>
      </c>
      <c r="M25" s="260" t="n">
        <v>307</v>
      </c>
    </row>
    <row r="26" ht="14" customHeight="1" s="227">
      <c r="A26" s="28" t="inlineStr">
        <is>
          <t>Svay Rieng</t>
        </is>
      </c>
      <c r="B26" s="276" t="n">
        <v>92.09999999999999</v>
      </c>
      <c r="C26" s="276" t="n">
        <v>5.3</v>
      </c>
      <c r="D26" s="276" t="n">
        <v>2.6</v>
      </c>
      <c r="E26" s="276" t="n">
        <v>75</v>
      </c>
      <c r="F26" s="276" t="n">
        <v>3.3</v>
      </c>
      <c r="G26" s="276" t="n">
        <v>21.7</v>
      </c>
      <c r="H26" s="276" t="n">
        <v>82.8</v>
      </c>
      <c r="I26" s="276" t="n">
        <v>1.1</v>
      </c>
      <c r="J26" s="276" t="n">
        <v>16.1</v>
      </c>
      <c r="K26" s="259" t="n">
        <v>4994</v>
      </c>
      <c r="L26" s="259" t="n">
        <v>2706</v>
      </c>
      <c r="M26" s="259" t="n">
        <v>1401</v>
      </c>
    </row>
    <row r="27" ht="14" customHeight="1" s="227">
      <c r="A27" s="28" t="inlineStr">
        <is>
          <t>Takeo</t>
        </is>
      </c>
      <c r="B27" s="276" t="n">
        <v>89.40000000000001</v>
      </c>
      <c r="C27" s="276" t="n">
        <v>7.9</v>
      </c>
      <c r="D27" s="276" t="n">
        <v>2.8</v>
      </c>
      <c r="E27" s="276" t="n">
        <v>81.8</v>
      </c>
      <c r="F27" s="276" t="n">
        <v>3.5</v>
      </c>
      <c r="G27" s="276" t="n">
        <v>14.7</v>
      </c>
      <c r="H27" s="276" t="n">
        <v>74</v>
      </c>
      <c r="I27" s="276" t="n">
        <v>3.1</v>
      </c>
      <c r="J27" s="276" t="n">
        <v>22.9</v>
      </c>
      <c r="K27" s="259" t="n">
        <v>8387</v>
      </c>
      <c r="L27" s="259" t="n">
        <v>5714</v>
      </c>
      <c r="M27" s="259" t="n">
        <v>2264</v>
      </c>
    </row>
    <row r="28" ht="14" customHeight="1" s="227">
      <c r="A28" s="28" t="inlineStr">
        <is>
          <t>Tbaung Khmum</t>
        </is>
      </c>
      <c r="B28" s="276" t="n">
        <v>85.90000000000001</v>
      </c>
      <c r="C28" s="276" t="n">
        <v>7.1</v>
      </c>
      <c r="D28" s="276" t="n">
        <v>7</v>
      </c>
      <c r="E28" s="276" t="n">
        <v>73.8</v>
      </c>
      <c r="F28" s="276" t="n">
        <v>4.2</v>
      </c>
      <c r="G28" s="276" t="n">
        <v>22</v>
      </c>
      <c r="H28" s="276" t="n">
        <v>80.40000000000001</v>
      </c>
      <c r="I28" s="276" t="n">
        <v>2.7</v>
      </c>
      <c r="J28" s="276" t="n">
        <v>17</v>
      </c>
      <c r="K28" s="259" t="n">
        <v>6677</v>
      </c>
      <c r="L28" s="259" t="n">
        <v>2443</v>
      </c>
      <c r="M28" s="260" t="n">
        <v>981</v>
      </c>
    </row>
    <row r="29" ht="15" customHeight="1" s="227">
      <c r="A29" s="22" t="inlineStr">
        <is>
          <t>Whole Kingdom</t>
        </is>
      </c>
      <c r="B29" s="276" t="n">
        <v>87.3</v>
      </c>
      <c r="C29" s="276" t="n">
        <v>7.7</v>
      </c>
      <c r="D29" s="276" t="n">
        <v>5</v>
      </c>
      <c r="E29" s="276" t="n">
        <v>78.8</v>
      </c>
      <c r="F29" s="276" t="n">
        <v>3.6</v>
      </c>
      <c r="G29" s="276" t="n">
        <v>17.6</v>
      </c>
      <c r="H29" s="276" t="n">
        <v>79.3</v>
      </c>
      <c r="I29" s="276" t="n">
        <v>2.5</v>
      </c>
      <c r="J29" s="276" t="n">
        <v>18.2</v>
      </c>
      <c r="K29" s="259" t="n">
        <v>121965</v>
      </c>
      <c r="L29" s="259" t="n">
        <v>61235</v>
      </c>
      <c r="M29" s="259" t="n">
        <v>26497</v>
      </c>
    </row>
    <row r="30" ht="14" customHeight="1" s="227">
      <c r="A30" s="28" t="inlineStr">
        <is>
          <t>- Urban Area</t>
        </is>
      </c>
      <c r="B30" s="276" t="n">
        <v>90.2</v>
      </c>
      <c r="C30" s="276" t="n">
        <v>5.5</v>
      </c>
      <c r="D30" s="276" t="n">
        <v>4.3</v>
      </c>
      <c r="E30" s="276" t="n">
        <v>83.40000000000001</v>
      </c>
      <c r="F30" s="276" t="n">
        <v>4.4</v>
      </c>
      <c r="G30" s="276" t="n">
        <v>12.2</v>
      </c>
      <c r="H30" s="276" t="n">
        <v>79.8</v>
      </c>
      <c r="I30" s="276" t="n">
        <v>3</v>
      </c>
      <c r="J30" s="276" t="n">
        <v>17.2</v>
      </c>
      <c r="K30" s="259" t="n">
        <v>20993</v>
      </c>
      <c r="L30" s="259" t="n">
        <v>14187</v>
      </c>
      <c r="M30" s="259" t="n">
        <v>8679</v>
      </c>
    </row>
    <row r="31" ht="12.5" customHeight="1" s="227">
      <c r="A31" s="28" t="inlineStr">
        <is>
          <t>- Rural Area</t>
        </is>
      </c>
      <c r="B31" s="276" t="n">
        <v>86.8</v>
      </c>
      <c r="C31" s="276" t="n">
        <v>8.1</v>
      </c>
      <c r="D31" s="276" t="n">
        <v>5.1</v>
      </c>
      <c r="E31" s="276" t="n">
        <v>77.59999999999999</v>
      </c>
      <c r="F31" s="276" t="n">
        <v>3.4</v>
      </c>
      <c r="G31" s="276" t="n">
        <v>19</v>
      </c>
      <c r="H31" s="276" t="n">
        <v>79.09999999999999</v>
      </c>
      <c r="I31" s="276" t="n">
        <v>2.3</v>
      </c>
      <c r="J31" s="276" t="n">
        <v>18.7</v>
      </c>
      <c r="K31" s="259" t="n">
        <v>100972</v>
      </c>
      <c r="L31" s="259" t="n">
        <v>47048</v>
      </c>
      <c r="M31" s="259" t="n">
        <v>17818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tabColor rgb="0000B0F0"/>
    <outlinePr summaryBelow="1" summaryRight="1"/>
    <pageSetUpPr/>
  </sheetPr>
  <dimension ref="A1:J31"/>
  <sheetViews>
    <sheetView tabSelected="1" workbookViewId="0">
      <selection activeCell="A1" sqref="A1"/>
    </sheetView>
  </sheetViews>
  <sheetFormatPr baseColWidth="8" defaultRowHeight="15"/>
  <cols>
    <col width="22.888889" customWidth="1" style="227" min="1" max="1"/>
    <col width="16" customWidth="1" style="227" min="2" max="2"/>
    <col width="16.222222" customWidth="1" style="227" min="3" max="3"/>
    <col width="16" customWidth="1" style="227" min="4" max="4"/>
    <col width="16.222222" customWidth="1" style="227" min="5" max="5"/>
    <col width="16" customWidth="1" style="227" min="6" max="6"/>
    <col width="16.222222" customWidth="1" style="227" min="7" max="7"/>
    <col width="16" customWidth="1" style="227" min="8" max="8"/>
    <col width="16.222222" customWidth="1" style="227" min="9" max="9"/>
    <col width="16" customWidth="1" style="227" min="10" max="10"/>
  </cols>
  <sheetData>
    <row r="1" ht="21" customHeight="1" s="227">
      <c r="A1" s="195" t="inlineStr">
        <is>
          <t>Table 25:  Completion Rate 2018 - 2019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</row>
    <row r="2" ht="20" customHeight="1" s="227">
      <c r="A2" s="196" t="inlineStr">
        <is>
          <t>Province</t>
        </is>
      </c>
      <c r="B2" s="199" t="inlineStr">
        <is>
          <t>Primary</t>
        </is>
      </c>
      <c r="C2" s="269" t="n"/>
      <c r="D2" s="257" t="n"/>
      <c r="E2" s="199" t="inlineStr">
        <is>
          <t>Lower secondary</t>
        </is>
      </c>
      <c r="F2" s="269" t="n"/>
      <c r="G2" s="257" t="n"/>
      <c r="H2" s="199" t="inlineStr">
        <is>
          <t>Upper secondary</t>
        </is>
      </c>
      <c r="I2" s="269" t="n"/>
      <c r="J2" s="257" t="n"/>
    </row>
    <row r="3" ht="19" customHeight="1" s="227">
      <c r="A3" s="258" t="n"/>
      <c r="B3" s="203" t="inlineStr">
        <is>
          <t>Total</t>
        </is>
      </c>
      <c r="C3" s="199" t="inlineStr">
        <is>
          <t>Girl</t>
        </is>
      </c>
      <c r="D3" s="199" t="inlineStr">
        <is>
          <t>Boy</t>
        </is>
      </c>
      <c r="E3" s="203" t="inlineStr">
        <is>
          <t>Total</t>
        </is>
      </c>
      <c r="F3" s="199" t="inlineStr">
        <is>
          <t>Girl</t>
        </is>
      </c>
      <c r="G3" s="199" t="inlineStr">
        <is>
          <t>Boy</t>
        </is>
      </c>
      <c r="H3" s="203" t="inlineStr">
        <is>
          <t>Total</t>
        </is>
      </c>
      <c r="I3" s="199" t="inlineStr">
        <is>
          <t>Girl</t>
        </is>
      </c>
      <c r="J3" s="199" t="inlineStr">
        <is>
          <t>Boy</t>
        </is>
      </c>
    </row>
    <row r="4" ht="14" customHeight="1" s="227">
      <c r="A4" s="28" t="inlineStr">
        <is>
          <t>Banteay Meanchey</t>
        </is>
      </c>
      <c r="B4" s="277" t="n">
        <v>73.73999999999999</v>
      </c>
      <c r="C4" s="277" t="n">
        <v>78.36</v>
      </c>
      <c r="D4" s="277" t="n">
        <v>69.42</v>
      </c>
      <c r="E4" s="277" t="n">
        <v>36.44</v>
      </c>
      <c r="F4" s="277" t="n">
        <v>41.28</v>
      </c>
      <c r="G4" s="277" t="n">
        <v>31.92</v>
      </c>
      <c r="H4" s="277" t="n">
        <v>14.99</v>
      </c>
      <c r="I4" s="277" t="n">
        <v>17.02</v>
      </c>
      <c r="J4" s="277" t="n">
        <v>13.08</v>
      </c>
    </row>
    <row r="5" ht="14" customHeight="1" s="227">
      <c r="A5" s="28" t="inlineStr">
        <is>
          <t>Battambang</t>
        </is>
      </c>
      <c r="B5" s="277" t="n">
        <v>80.91</v>
      </c>
      <c r="C5" s="277" t="n">
        <v>84.79000000000001</v>
      </c>
      <c r="D5" s="277" t="n">
        <v>77.26000000000001</v>
      </c>
      <c r="E5" s="277" t="n">
        <v>36.29</v>
      </c>
      <c r="F5" s="277" t="n">
        <v>40.63</v>
      </c>
      <c r="G5" s="277" t="n">
        <v>32.24</v>
      </c>
      <c r="H5" s="277" t="n">
        <v>15.34</v>
      </c>
      <c r="I5" s="277" t="n">
        <v>18.67</v>
      </c>
      <c r="J5" s="277" t="n">
        <v>12.28</v>
      </c>
    </row>
    <row r="6" ht="14" customHeight="1" s="227">
      <c r="A6" s="28" t="inlineStr">
        <is>
          <t>Kampong Cham</t>
        </is>
      </c>
      <c r="B6" s="277" t="n">
        <v>86.97</v>
      </c>
      <c r="C6" s="277" t="n">
        <v>91.37</v>
      </c>
      <c r="D6" s="277" t="n">
        <v>82.79000000000001</v>
      </c>
      <c r="E6" s="277" t="n">
        <v>49.55</v>
      </c>
      <c r="F6" s="277" t="n">
        <v>57.14</v>
      </c>
      <c r="G6" s="277" t="n">
        <v>42.51</v>
      </c>
      <c r="H6" s="277" t="n">
        <v>25</v>
      </c>
      <c r="I6" s="277" t="n">
        <v>29.63</v>
      </c>
      <c r="J6" s="277" t="n">
        <v>20.83</v>
      </c>
    </row>
    <row r="7" ht="14" customHeight="1" s="227">
      <c r="A7" s="28" t="inlineStr">
        <is>
          <t>Kampong Chhnang</t>
        </is>
      </c>
      <c r="B7" s="277" t="n">
        <v>82.76000000000001</v>
      </c>
      <c r="C7" s="277" t="n">
        <v>87.73</v>
      </c>
      <c r="D7" s="277" t="n">
        <v>78.03</v>
      </c>
      <c r="E7" s="277" t="n">
        <v>48.89</v>
      </c>
      <c r="F7" s="277" t="n">
        <v>57.14</v>
      </c>
      <c r="G7" s="277" t="n">
        <v>41.21</v>
      </c>
      <c r="H7" s="277" t="n">
        <v>23.47</v>
      </c>
      <c r="I7" s="277" t="n">
        <v>27.55</v>
      </c>
      <c r="J7" s="277" t="n">
        <v>19.79</v>
      </c>
    </row>
    <row r="8" ht="14" customHeight="1" s="227">
      <c r="A8" s="28" t="inlineStr">
        <is>
          <t>Kampong Speu</t>
        </is>
      </c>
      <c r="B8" s="277" t="n">
        <v>83.33</v>
      </c>
      <c r="C8" s="277" t="n">
        <v>86.43000000000001</v>
      </c>
      <c r="D8" s="277" t="n">
        <v>80.34</v>
      </c>
      <c r="E8" s="277" t="n">
        <v>43.7</v>
      </c>
      <c r="F8" s="277" t="n">
        <v>47.19</v>
      </c>
      <c r="G8" s="277" t="n">
        <v>40.48</v>
      </c>
      <c r="H8" s="277" t="n">
        <v>19.66</v>
      </c>
      <c r="I8" s="277" t="n">
        <v>21.46</v>
      </c>
      <c r="J8" s="277" t="n">
        <v>18.09</v>
      </c>
    </row>
    <row r="9" ht="14" customHeight="1" s="227">
      <c r="A9" s="28" t="inlineStr">
        <is>
          <t>Kampong Thom</t>
        </is>
      </c>
      <c r="B9" s="277" t="n">
        <v>80.14</v>
      </c>
      <c r="C9" s="277" t="n">
        <v>84.73999999999999</v>
      </c>
      <c r="D9" s="277" t="n">
        <v>75.75</v>
      </c>
      <c r="E9" s="277" t="n">
        <v>45.43</v>
      </c>
      <c r="F9" s="277" t="n">
        <v>52.62</v>
      </c>
      <c r="G9" s="277" t="n">
        <v>38.78</v>
      </c>
      <c r="H9" s="277" t="n">
        <v>21.8</v>
      </c>
      <c r="I9" s="277" t="n">
        <v>25.87</v>
      </c>
      <c r="J9" s="277" t="n">
        <v>18.23</v>
      </c>
    </row>
    <row r="10" ht="14" customHeight="1" s="227">
      <c r="A10" s="28" t="inlineStr">
        <is>
          <t>Kampot</t>
        </is>
      </c>
      <c r="B10" s="277" t="n">
        <v>77.37</v>
      </c>
      <c r="C10" s="277" t="n">
        <v>80.41</v>
      </c>
      <c r="D10" s="277" t="n">
        <v>74.51000000000001</v>
      </c>
      <c r="E10" s="277" t="n">
        <v>48.92</v>
      </c>
      <c r="F10" s="277" t="n">
        <v>53.53</v>
      </c>
      <c r="G10" s="277" t="n">
        <v>44.66</v>
      </c>
      <c r="H10" s="277" t="n">
        <v>27.3</v>
      </c>
      <c r="I10" s="277" t="n">
        <v>29.35</v>
      </c>
      <c r="J10" s="277" t="n">
        <v>25.46</v>
      </c>
    </row>
    <row r="11" ht="14" customHeight="1" s="227">
      <c r="A11" s="28" t="inlineStr">
        <is>
          <t>Kandal</t>
        </is>
      </c>
      <c r="B11" s="277" t="n">
        <v>87.37</v>
      </c>
      <c r="C11" s="277" t="n">
        <v>90.26000000000001</v>
      </c>
      <c r="D11" s="277" t="n">
        <v>84.66</v>
      </c>
      <c r="E11" s="277" t="n">
        <v>47.1</v>
      </c>
      <c r="F11" s="277" t="n">
        <v>53.57</v>
      </c>
      <c r="G11" s="277" t="n">
        <v>41.14</v>
      </c>
      <c r="H11" s="277" t="n">
        <v>22.82</v>
      </c>
      <c r="I11" s="277" t="n">
        <v>26.36</v>
      </c>
      <c r="J11" s="277" t="n">
        <v>19.59</v>
      </c>
    </row>
    <row r="12" ht="14" customHeight="1" s="227">
      <c r="A12" s="28" t="inlineStr">
        <is>
          <t>Kep</t>
        </is>
      </c>
      <c r="B12" s="277" t="n">
        <v>51.01</v>
      </c>
      <c r="C12" s="277" t="n">
        <v>53.43</v>
      </c>
      <c r="D12" s="277" t="n">
        <v>48.81</v>
      </c>
      <c r="E12" s="277" t="n">
        <v>33.65</v>
      </c>
      <c r="F12" s="277" t="n">
        <v>34.5</v>
      </c>
      <c r="G12" s="277" t="n">
        <v>32.87</v>
      </c>
      <c r="H12" s="277" t="n">
        <v>23.02</v>
      </c>
      <c r="I12" s="277" t="n">
        <v>26.96</v>
      </c>
      <c r="J12" s="277" t="n">
        <v>19.49</v>
      </c>
    </row>
    <row r="13" ht="14" customHeight="1" s="227">
      <c r="A13" s="28" t="inlineStr">
        <is>
          <t>Koh Kong</t>
        </is>
      </c>
      <c r="B13" s="277" t="n">
        <v>64.69</v>
      </c>
      <c r="C13" s="277" t="n">
        <v>66.22</v>
      </c>
      <c r="D13" s="277" t="n">
        <v>63.23</v>
      </c>
      <c r="E13" s="277" t="n">
        <v>36.16</v>
      </c>
      <c r="F13" s="277" t="n">
        <v>37.27</v>
      </c>
      <c r="G13" s="277" t="n">
        <v>35.1</v>
      </c>
      <c r="H13" s="277" t="n">
        <v>16.58</v>
      </c>
      <c r="I13" s="277" t="n">
        <v>17.08</v>
      </c>
      <c r="J13" s="277" t="n">
        <v>16.11</v>
      </c>
    </row>
    <row r="14" ht="14" customHeight="1" s="227">
      <c r="A14" s="28" t="inlineStr">
        <is>
          <t>Kratie</t>
        </is>
      </c>
      <c r="B14" s="277" t="n">
        <v>75.05</v>
      </c>
      <c r="C14" s="277" t="n">
        <v>78.20999999999999</v>
      </c>
      <c r="D14" s="277" t="n">
        <v>71.95</v>
      </c>
      <c r="E14" s="277" t="n">
        <v>34.31</v>
      </c>
      <c r="F14" s="277" t="n">
        <v>37.3</v>
      </c>
      <c r="G14" s="277" t="n">
        <v>31.46</v>
      </c>
      <c r="H14" s="277" t="n">
        <v>17.12</v>
      </c>
      <c r="I14" s="277" t="n">
        <v>18.36</v>
      </c>
      <c r="J14" s="277" t="n">
        <v>15.99</v>
      </c>
    </row>
    <row r="15" ht="14" customHeight="1" s="227">
      <c r="A15" s="28" t="inlineStr">
        <is>
          <t>Mondul Kiri</t>
        </is>
      </c>
      <c r="B15" s="277" t="n">
        <v>73.06999999999999</v>
      </c>
      <c r="C15" s="277" t="n">
        <v>78.90000000000001</v>
      </c>
      <c r="D15" s="277" t="n">
        <v>67.41</v>
      </c>
      <c r="E15" s="277" t="n">
        <v>37.33</v>
      </c>
      <c r="F15" s="277" t="n">
        <v>41.03</v>
      </c>
      <c r="G15" s="277" t="n">
        <v>33.76</v>
      </c>
      <c r="H15" s="277" t="n">
        <v>15.96</v>
      </c>
      <c r="I15" s="277" t="n">
        <v>17.77</v>
      </c>
      <c r="J15" s="277" t="n">
        <v>14.22</v>
      </c>
    </row>
    <row r="16" ht="14" customHeight="1" s="227">
      <c r="A16" s="28" t="inlineStr">
        <is>
          <t>Otdar Meanchey</t>
        </is>
      </c>
      <c r="B16" s="277" t="n">
        <v>70.58</v>
      </c>
      <c r="C16" s="277" t="n">
        <v>76.52</v>
      </c>
      <c r="D16" s="277" t="n">
        <v>65.06</v>
      </c>
      <c r="E16" s="277" t="n">
        <v>34.84</v>
      </c>
      <c r="F16" s="277" t="n">
        <v>37</v>
      </c>
      <c r="G16" s="277" t="n">
        <v>32.83</v>
      </c>
      <c r="H16" s="277" t="n">
        <v>14.15</v>
      </c>
      <c r="I16" s="277" t="n">
        <v>14.01</v>
      </c>
      <c r="J16" s="277" t="n">
        <v>14.28</v>
      </c>
    </row>
    <row r="17" ht="14" customHeight="1" s="227">
      <c r="A17" s="28" t="inlineStr">
        <is>
          <t>Pailin</t>
        </is>
      </c>
      <c r="B17" s="277" t="n">
        <v>57.43</v>
      </c>
      <c r="C17" s="277" t="n">
        <v>62.73</v>
      </c>
      <c r="D17" s="277" t="n">
        <v>52.52</v>
      </c>
      <c r="E17" s="277" t="n">
        <v>28.88</v>
      </c>
      <c r="F17" s="277" t="n">
        <v>31.35</v>
      </c>
      <c r="G17" s="277" t="n">
        <v>26.56</v>
      </c>
      <c r="H17" s="277" t="n">
        <v>12.34</v>
      </c>
      <c r="I17" s="277" t="n">
        <v>13.69</v>
      </c>
      <c r="J17" s="277" t="n">
        <v>11.05</v>
      </c>
    </row>
    <row r="18" ht="15" customHeight="1" s="227">
      <c r="A18" s="28" t="inlineStr">
        <is>
          <t>Phnom Penh</t>
        </is>
      </c>
      <c r="B18" s="277" t="n">
        <v>79.94</v>
      </c>
      <c r="C18" s="277" t="n">
        <v>84.69</v>
      </c>
      <c r="D18" s="277" t="n">
        <v>75.68000000000001</v>
      </c>
      <c r="E18" s="277" t="n">
        <v>45.68</v>
      </c>
      <c r="F18" s="277" t="n">
        <v>45.75</v>
      </c>
      <c r="G18" s="277" t="n">
        <v>45.61</v>
      </c>
      <c r="H18" s="277" t="n">
        <v>28.12</v>
      </c>
      <c r="I18" s="277" t="n">
        <v>25.91</v>
      </c>
      <c r="J18" s="277" t="n">
        <v>30.7</v>
      </c>
    </row>
    <row r="19" ht="14" customHeight="1" s="227">
      <c r="A19" s="28" t="inlineStr">
        <is>
          <t>Preah Sihanouk</t>
        </is>
      </c>
      <c r="B19" s="277" t="n">
        <v>67.86</v>
      </c>
      <c r="C19" s="277" t="n">
        <v>69.92</v>
      </c>
      <c r="D19" s="277" t="n">
        <v>65.93000000000001</v>
      </c>
      <c r="E19" s="277" t="n">
        <v>33.01</v>
      </c>
      <c r="F19" s="277" t="n">
        <v>34.09</v>
      </c>
      <c r="G19" s="277" t="n">
        <v>31.99</v>
      </c>
      <c r="H19" s="277" t="n">
        <v>15.88</v>
      </c>
      <c r="I19" s="277" t="n">
        <v>15.96</v>
      </c>
      <c r="J19" s="277" t="n">
        <v>15.81</v>
      </c>
    </row>
    <row r="20" ht="14" customHeight="1" s="227">
      <c r="A20" s="28" t="inlineStr">
        <is>
          <t>Preah Vihear</t>
        </is>
      </c>
      <c r="B20" s="277" t="n">
        <v>89.41</v>
      </c>
      <c r="C20" s="277" t="n">
        <v>96.39</v>
      </c>
      <c r="D20" s="277" t="n">
        <v>82.72</v>
      </c>
      <c r="E20" s="277" t="n">
        <v>50.47</v>
      </c>
      <c r="F20" s="277" t="n">
        <v>57.36</v>
      </c>
      <c r="G20" s="277" t="n">
        <v>43.92</v>
      </c>
      <c r="H20" s="277" t="n">
        <v>21.32</v>
      </c>
      <c r="I20" s="277" t="n">
        <v>22.09</v>
      </c>
      <c r="J20" s="277" t="n">
        <v>20.6</v>
      </c>
    </row>
    <row r="21" ht="14" customHeight="1" s="227">
      <c r="A21" s="28" t="inlineStr">
        <is>
          <t>Prey Veng</t>
        </is>
      </c>
      <c r="B21" s="277" t="n">
        <v>88.88</v>
      </c>
      <c r="C21" s="277" t="n">
        <v>90.04000000000001</v>
      </c>
      <c r="D21" s="277" t="n">
        <v>87.79000000000001</v>
      </c>
      <c r="E21" s="277" t="n">
        <v>53.32</v>
      </c>
      <c r="F21" s="277" t="n">
        <v>60.19</v>
      </c>
      <c r="G21" s="277" t="n">
        <v>47.14</v>
      </c>
      <c r="H21" s="277" t="n">
        <v>23.92</v>
      </c>
      <c r="I21" s="277" t="n">
        <v>27.85</v>
      </c>
      <c r="J21" s="277" t="n">
        <v>20.62</v>
      </c>
    </row>
    <row r="22" ht="14" customHeight="1" s="227">
      <c r="A22" s="28" t="inlineStr">
        <is>
          <t>Pursat</t>
        </is>
      </c>
      <c r="B22" s="277" t="n">
        <v>86.94</v>
      </c>
      <c r="C22" s="277" t="n">
        <v>91.17</v>
      </c>
      <c r="D22" s="277" t="n">
        <v>83</v>
      </c>
      <c r="E22" s="277" t="n">
        <v>40.99</v>
      </c>
      <c r="F22" s="277" t="n">
        <v>45.81</v>
      </c>
      <c r="G22" s="277" t="n">
        <v>36.5</v>
      </c>
      <c r="H22" s="277" t="n">
        <v>17.89</v>
      </c>
      <c r="I22" s="277" t="n">
        <v>19.94</v>
      </c>
      <c r="J22" s="277" t="n">
        <v>15.99</v>
      </c>
    </row>
    <row r="23" ht="14" customHeight="1" s="227">
      <c r="A23" s="28" t="inlineStr">
        <is>
          <t>Ratanak Kiri</t>
        </is>
      </c>
      <c r="B23" s="277" t="n">
        <v>83.09</v>
      </c>
      <c r="C23" s="277" t="n">
        <v>86.66</v>
      </c>
      <c r="D23" s="277" t="n">
        <v>79.7</v>
      </c>
      <c r="E23" s="277" t="n">
        <v>40.42</v>
      </c>
      <c r="F23" s="277" t="n">
        <v>40.47</v>
      </c>
      <c r="G23" s="277" t="n">
        <v>40.37</v>
      </c>
      <c r="H23" s="277" t="n">
        <v>15.72</v>
      </c>
      <c r="I23" s="277" t="n">
        <v>15.5</v>
      </c>
      <c r="J23" s="277" t="n">
        <v>15.91</v>
      </c>
    </row>
    <row r="24" ht="14" customHeight="1" s="227">
      <c r="A24" s="28" t="inlineStr">
        <is>
          <t>Siemreap</t>
        </is>
      </c>
      <c r="B24" s="277" t="n">
        <v>83.63</v>
      </c>
      <c r="C24" s="277" t="n">
        <v>89.91</v>
      </c>
      <c r="D24" s="277" t="n">
        <v>77.8</v>
      </c>
      <c r="E24" s="277" t="n">
        <v>47.78</v>
      </c>
      <c r="F24" s="277" t="n">
        <v>56</v>
      </c>
      <c r="G24" s="277" t="n">
        <v>40.11</v>
      </c>
      <c r="H24" s="277" t="n">
        <v>24.16</v>
      </c>
      <c r="I24" s="277" t="n">
        <v>28.07</v>
      </c>
      <c r="J24" s="277" t="n">
        <v>20.5</v>
      </c>
    </row>
    <row r="25" ht="14" customHeight="1" s="227">
      <c r="A25" s="28" t="inlineStr">
        <is>
          <t>Stung Treng</t>
        </is>
      </c>
      <c r="B25" s="277" t="n">
        <v>76.65000000000001</v>
      </c>
      <c r="C25" s="277" t="n">
        <v>80.76000000000001</v>
      </c>
      <c r="D25" s="277" t="n">
        <v>72.66</v>
      </c>
      <c r="E25" s="277" t="n">
        <v>35.65</v>
      </c>
      <c r="F25" s="277" t="n">
        <v>36.76</v>
      </c>
      <c r="G25" s="277" t="n">
        <v>34.56</v>
      </c>
      <c r="H25" s="277" t="n">
        <v>16.52</v>
      </c>
      <c r="I25" s="277" t="n">
        <v>16.34</v>
      </c>
      <c r="J25" s="277" t="n">
        <v>16.69</v>
      </c>
    </row>
    <row r="26" ht="14" customHeight="1" s="227">
      <c r="A26" s="28" t="inlineStr">
        <is>
          <t>Svay Rieng</t>
        </is>
      </c>
      <c r="B26" s="277" t="n">
        <v>94.52</v>
      </c>
      <c r="C26" s="277" t="n">
        <v>96.34999999999999</v>
      </c>
      <c r="D26" s="277" t="n">
        <v>92.76000000000001</v>
      </c>
      <c r="E26" s="277" t="n">
        <v>56.52</v>
      </c>
      <c r="F26" s="277" t="n">
        <v>62.9</v>
      </c>
      <c r="G26" s="277" t="n">
        <v>50.8</v>
      </c>
      <c r="H26" s="277" t="n">
        <v>26.64</v>
      </c>
      <c r="I26" s="277" t="n">
        <v>28.09</v>
      </c>
      <c r="J26" s="277" t="n">
        <v>25.44</v>
      </c>
    </row>
    <row r="27" ht="14" customHeight="1" s="227">
      <c r="A27" s="28" t="inlineStr">
        <is>
          <t>Takeo</t>
        </is>
      </c>
      <c r="B27" s="277" t="n">
        <v>83.78</v>
      </c>
      <c r="C27" s="277" t="n">
        <v>85.77</v>
      </c>
      <c r="D27" s="277" t="n">
        <v>81.90000000000001</v>
      </c>
      <c r="E27" s="277" t="n">
        <v>60.09</v>
      </c>
      <c r="F27" s="277" t="n">
        <v>65.01000000000001</v>
      </c>
      <c r="G27" s="277" t="n">
        <v>55.66</v>
      </c>
      <c r="H27" s="277" t="n">
        <v>33.92</v>
      </c>
      <c r="I27" s="277" t="n">
        <v>37.89</v>
      </c>
      <c r="J27" s="277" t="n">
        <v>30.54</v>
      </c>
    </row>
    <row r="28" ht="14" customHeight="1" s="227">
      <c r="A28" s="28" t="inlineStr">
        <is>
          <t>Tbaung Khmum</t>
        </is>
      </c>
      <c r="B28" s="277" t="n">
        <v>84.73</v>
      </c>
      <c r="C28" s="277" t="n">
        <v>91</v>
      </c>
      <c r="D28" s="277" t="n">
        <v>78.81999999999999</v>
      </c>
      <c r="E28" s="277" t="n">
        <v>40.13</v>
      </c>
      <c r="F28" s="277" t="n">
        <v>45.51</v>
      </c>
      <c r="G28" s="277" t="n">
        <v>35.18</v>
      </c>
      <c r="H28" s="277" t="n">
        <v>17.16</v>
      </c>
      <c r="I28" s="277" t="n">
        <v>19.91</v>
      </c>
      <c r="J28" s="277" t="n">
        <v>14.71</v>
      </c>
    </row>
    <row r="29" ht="14" customHeight="1" s="227">
      <c r="A29" s="22" t="inlineStr">
        <is>
          <t>Whole Kingdom</t>
        </is>
      </c>
      <c r="B29" s="277" t="n">
        <v>82.14</v>
      </c>
      <c r="C29" s="277" t="n">
        <v>86.06</v>
      </c>
      <c r="D29" s="277" t="n">
        <v>78.45999999999999</v>
      </c>
      <c r="E29" s="277" t="n">
        <v>45.26</v>
      </c>
      <c r="F29" s="277" t="n">
        <v>50.19</v>
      </c>
      <c r="G29" s="277" t="n">
        <v>40.67</v>
      </c>
      <c r="H29" s="277" t="n">
        <v>22.22</v>
      </c>
      <c r="I29" s="277" t="n">
        <v>24.51</v>
      </c>
      <c r="J29" s="277" t="n">
        <v>20.09</v>
      </c>
    </row>
    <row r="30" ht="14" customHeight="1" s="227">
      <c r="A30" s="28" t="inlineStr">
        <is>
          <t>- Urban Area</t>
        </is>
      </c>
      <c r="B30" s="277" t="n">
        <v>73.03</v>
      </c>
      <c r="C30" s="277" t="n">
        <v>77.15000000000001</v>
      </c>
      <c r="D30" s="277" t="n">
        <v>69.23999999999999</v>
      </c>
      <c r="E30" s="277" t="n">
        <v>45.78</v>
      </c>
      <c r="F30" s="277" t="n">
        <v>48.33</v>
      </c>
      <c r="G30" s="277" t="n">
        <v>43.32</v>
      </c>
      <c r="H30" s="277" t="n">
        <v>33.12</v>
      </c>
      <c r="I30" s="277" t="n">
        <v>33.69</v>
      </c>
      <c r="J30" s="277" t="n">
        <v>32.53</v>
      </c>
    </row>
    <row r="31" ht="14" customHeight="1" s="227">
      <c r="A31" s="28" t="inlineStr">
        <is>
          <t>- Rural Area</t>
        </is>
      </c>
      <c r="B31" s="277" t="n">
        <v>84.37</v>
      </c>
      <c r="C31" s="277" t="n">
        <v>88.2</v>
      </c>
      <c r="D31" s="277" t="n">
        <v>80.73999999999999</v>
      </c>
      <c r="E31" s="277" t="n">
        <v>45.13</v>
      </c>
      <c r="F31" s="277" t="n">
        <v>50.68</v>
      </c>
      <c r="G31" s="277" t="n">
        <v>40</v>
      </c>
      <c r="H31" s="277" t="n">
        <v>19.08</v>
      </c>
      <c r="I31" s="277" t="n">
        <v>21.68</v>
      </c>
      <c r="J31" s="277" t="n">
        <v>16.73</v>
      </c>
    </row>
  </sheetData>
  <mergeCells count="5">
    <mergeCell ref="A1:J1"/>
    <mergeCell ref="E2:G2"/>
    <mergeCell ref="A2:A3"/>
    <mergeCell ref="H2:J2"/>
    <mergeCell ref="B2:D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tabColor rgb="00FF66CC"/>
    <outlinePr summaryBelow="1" summaryRight="1"/>
    <pageSetUpPr/>
  </sheetPr>
  <dimension ref="A1:L31"/>
  <sheetViews>
    <sheetView tabSelected="1" workbookViewId="0">
      <selection activeCell="A1" sqref="A1"/>
    </sheetView>
  </sheetViews>
  <sheetFormatPr baseColWidth="8" defaultRowHeight="15"/>
  <cols>
    <col width="22.222222" customWidth="1" style="227" min="1" max="1"/>
    <col width="12.444444" customWidth="1" style="227" min="2" max="2"/>
    <col width="12.666667" customWidth="1" style="227" min="3" max="3"/>
    <col width="10.666667" customWidth="1" style="227" min="4" max="4"/>
    <col width="11.555556" customWidth="1" style="227" min="5" max="5"/>
    <col width="11.555556" customWidth="1" style="227" min="6" max="6"/>
    <col width="26.222222" customWidth="1" style="227" min="7" max="7"/>
    <col width="10" customWidth="1" style="227" min="8" max="8"/>
    <col width="12.444444" customWidth="1" style="227" min="9" max="9"/>
    <col width="12.444444" customWidth="1" style="227" min="10" max="10"/>
    <col width="12.222222" customWidth="1" style="227" min="11" max="11"/>
    <col width="12.444444" customWidth="1" style="227" min="12" max="12"/>
  </cols>
  <sheetData>
    <row r="1" ht="27" customHeight="1" s="227">
      <c r="A1" s="2" t="inlineStr">
        <is>
          <t>Table 26 : Gender Parity Index in Education Indicators 2018 - 2019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</row>
    <row r="2" ht="19" customHeight="1" s="227">
      <c r="A2" s="204" t="inlineStr">
        <is>
          <t>Province</t>
        </is>
      </c>
      <c r="B2" s="207" t="inlineStr">
        <is>
          <t>GPI for GAR</t>
        </is>
      </c>
      <c r="C2" s="207" t="inlineStr">
        <is>
          <t>GPI for NAR</t>
        </is>
      </c>
      <c r="D2" s="169" t="inlineStr">
        <is>
          <t>GPI for Gross Enrolment rate in</t>
        </is>
      </c>
      <c r="E2" s="269" t="n"/>
      <c r="F2" s="257" t="n"/>
      <c r="G2" s="108" t="inlineStr">
        <is>
          <t>GPI for Net Enrolment rate in</t>
        </is>
      </c>
      <c r="H2" s="92" t="inlineStr">
        <is>
          <t>GPI for Teaching Staff in</t>
        </is>
      </c>
      <c r="I2" s="269" t="n"/>
      <c r="J2" s="269" t="n"/>
      <c r="K2" s="269" t="n"/>
      <c r="L2" s="257" t="n"/>
    </row>
    <row r="3" ht="22.5" customHeight="1" s="227">
      <c r="A3" s="258" t="n"/>
      <c r="B3" s="258" t="n"/>
      <c r="C3" s="258" t="n"/>
      <c r="D3" s="210" t="inlineStr">
        <is>
          <t>Primary
school</t>
        </is>
      </c>
      <c r="E3" s="78" t="inlineStr">
        <is>
          <t>Lower Sec.
Edu</t>
        </is>
      </c>
      <c r="F3" s="78" t="inlineStr">
        <is>
          <t>Upper Sec.
Edu</t>
        </is>
      </c>
      <c r="G3" s="211" t="inlineStr">
        <is>
          <t>Primary school</t>
        </is>
      </c>
      <c r="H3" s="103" t="inlineStr">
        <is>
          <t>Presch</t>
        </is>
      </c>
      <c r="I3" s="210" t="inlineStr">
        <is>
          <t>Primary
schools</t>
        </is>
      </c>
      <c r="J3" s="78" t="inlineStr">
        <is>
          <t>Junior high
schools</t>
        </is>
      </c>
      <c r="K3" s="78" t="inlineStr">
        <is>
          <t>Senior high
schools</t>
        </is>
      </c>
      <c r="L3" s="212" t="inlineStr">
        <is>
          <t>Secondary
schools</t>
        </is>
      </c>
    </row>
    <row r="4" ht="14" customHeight="1" s="227">
      <c r="A4" s="28" t="inlineStr">
        <is>
          <t>Banteay Meanchey</t>
        </is>
      </c>
      <c r="B4" s="277" t="n">
        <v>0.96</v>
      </c>
      <c r="C4" s="277" t="n">
        <v>1.01</v>
      </c>
      <c r="D4" s="277" t="n">
        <v>0.99</v>
      </c>
      <c r="E4" s="277" t="n">
        <v>1.22</v>
      </c>
      <c r="F4" s="277" t="n">
        <v>1.32</v>
      </c>
      <c r="G4" s="277" t="n">
        <v>1.02</v>
      </c>
      <c r="H4" s="120" t="inlineStr">
        <is>
          <t>n.a.</t>
        </is>
      </c>
      <c r="I4" s="277" t="n">
        <v>1.3</v>
      </c>
      <c r="J4" s="277" t="n">
        <v>0.72</v>
      </c>
      <c r="K4" s="277" t="n">
        <v>0.63</v>
      </c>
      <c r="L4" s="277" t="n">
        <v>0.66</v>
      </c>
    </row>
    <row r="5" ht="14" customHeight="1" s="227">
      <c r="A5" s="28" t="inlineStr">
        <is>
          <t>Battambang</t>
        </is>
      </c>
      <c r="B5" s="277" t="n">
        <v>0.98</v>
      </c>
      <c r="C5" s="277" t="n">
        <v>1.03</v>
      </c>
      <c r="D5" s="277" t="n">
        <v>0.98</v>
      </c>
      <c r="E5" s="277" t="n">
        <v>1.21</v>
      </c>
      <c r="F5" s="277" t="n">
        <v>1.4</v>
      </c>
      <c r="G5" s="277" t="n">
        <v>1.01</v>
      </c>
      <c r="H5" s="277" t="n">
        <v>16.22</v>
      </c>
      <c r="I5" s="277" t="n">
        <v>1.77</v>
      </c>
      <c r="J5" s="277" t="n">
        <v>0.97</v>
      </c>
      <c r="K5" s="277" t="n">
        <v>0.8</v>
      </c>
      <c r="L5" s="277" t="n">
        <v>0.88</v>
      </c>
    </row>
    <row r="6" ht="14" customHeight="1" s="227">
      <c r="A6" s="28" t="inlineStr">
        <is>
          <t>Kampong Cham</t>
        </is>
      </c>
      <c r="B6" s="277" t="n">
        <v>0.95</v>
      </c>
      <c r="C6" s="277" t="n">
        <v>1</v>
      </c>
      <c r="D6" s="277" t="n">
        <v>0.96</v>
      </c>
      <c r="E6" s="277" t="n">
        <v>1.23</v>
      </c>
      <c r="F6" s="277" t="n">
        <v>1.43</v>
      </c>
      <c r="G6" s="277" t="n">
        <v>1</v>
      </c>
      <c r="H6" s="277" t="n">
        <v>20.59</v>
      </c>
      <c r="I6" s="277" t="n">
        <v>1.76</v>
      </c>
      <c r="J6" s="277" t="n">
        <v>1.11</v>
      </c>
      <c r="K6" s="277" t="n">
        <v>0.87</v>
      </c>
      <c r="L6" s="277" t="n">
        <v>0.93</v>
      </c>
    </row>
    <row r="7" ht="14" customHeight="1" s="227">
      <c r="A7" s="28" t="inlineStr">
        <is>
          <t>Kampong Chhnang</t>
        </is>
      </c>
      <c r="B7" s="277" t="n">
        <v>0.97</v>
      </c>
      <c r="C7" s="277" t="n">
        <v>0.99</v>
      </c>
      <c r="D7" s="277" t="n">
        <v>0.99</v>
      </c>
      <c r="E7" s="277" t="n">
        <v>1.23</v>
      </c>
      <c r="F7" s="277" t="n">
        <v>1.39</v>
      </c>
      <c r="G7" s="277" t="n">
        <v>1.01</v>
      </c>
      <c r="H7" s="120" t="inlineStr">
        <is>
          <t>n.a.</t>
        </is>
      </c>
      <c r="I7" s="277" t="n">
        <v>1</v>
      </c>
      <c r="J7" s="277" t="n">
        <v>0.89</v>
      </c>
      <c r="K7" s="277" t="n">
        <v>0.6</v>
      </c>
      <c r="L7" s="277" t="n">
        <v>0.6899999999999999</v>
      </c>
    </row>
    <row r="8" ht="14" customHeight="1" s="227">
      <c r="A8" s="28" t="inlineStr">
        <is>
          <t>Kampong Speu</t>
        </is>
      </c>
      <c r="B8" s="277" t="n">
        <v>0.9399999999999999</v>
      </c>
      <c r="C8" s="277" t="n">
        <v>0.97</v>
      </c>
      <c r="D8" s="277" t="n">
        <v>0.97</v>
      </c>
      <c r="E8" s="277" t="n">
        <v>1.13</v>
      </c>
      <c r="F8" s="277" t="n">
        <v>1.18</v>
      </c>
      <c r="G8" s="277" t="n">
        <v>0.99</v>
      </c>
      <c r="H8" s="277" t="n">
        <v>14.88</v>
      </c>
      <c r="I8" s="277" t="n">
        <v>0.84</v>
      </c>
      <c r="J8" s="277" t="n">
        <v>0.55</v>
      </c>
      <c r="K8" s="277" t="n">
        <v>0.51</v>
      </c>
      <c r="L8" s="277" t="n">
        <v>0.53</v>
      </c>
    </row>
    <row r="9" ht="14" customHeight="1" s="227">
      <c r="A9" s="28" t="inlineStr">
        <is>
          <t>Kampong Thom</t>
        </is>
      </c>
      <c r="B9" s="277" t="n">
        <v>0.99</v>
      </c>
      <c r="C9" s="277" t="n">
        <v>1</v>
      </c>
      <c r="D9" s="277" t="n">
        <v>1</v>
      </c>
      <c r="E9" s="277" t="n">
        <v>1.28</v>
      </c>
      <c r="F9" s="277" t="n">
        <v>1.41</v>
      </c>
      <c r="G9" s="277" t="n">
        <v>1.02</v>
      </c>
      <c r="H9" s="277" t="n">
        <v>40</v>
      </c>
      <c r="I9" s="277" t="n">
        <v>1.29</v>
      </c>
      <c r="J9" s="277" t="n">
        <v>0.9</v>
      </c>
      <c r="K9" s="277" t="n">
        <v>0.79</v>
      </c>
      <c r="L9" s="277" t="n">
        <v>0.83</v>
      </c>
    </row>
    <row r="10" ht="14" customHeight="1" s="227">
      <c r="A10" s="28" t="inlineStr">
        <is>
          <t>Kampot</t>
        </is>
      </c>
      <c r="B10" s="277" t="n">
        <v>0.93</v>
      </c>
      <c r="C10" s="277" t="n">
        <v>0.96</v>
      </c>
      <c r="D10" s="277" t="n">
        <v>0.97</v>
      </c>
      <c r="E10" s="277" t="n">
        <v>1.12</v>
      </c>
      <c r="F10" s="277" t="n">
        <v>1.17</v>
      </c>
      <c r="G10" s="277" t="n">
        <v>0.99</v>
      </c>
      <c r="H10" s="277" t="n">
        <v>30.88</v>
      </c>
      <c r="I10" s="277" t="n">
        <v>1.05</v>
      </c>
      <c r="J10" s="277" t="n">
        <v>0.78</v>
      </c>
      <c r="K10" s="277" t="n">
        <v>0.64</v>
      </c>
      <c r="L10" s="277" t="n">
        <v>0.7</v>
      </c>
    </row>
    <row r="11" ht="15" customHeight="1" s="227">
      <c r="A11" s="28" t="inlineStr">
        <is>
          <t>Kandal</t>
        </is>
      </c>
      <c r="B11" s="277" t="n">
        <v>1</v>
      </c>
      <c r="C11" s="277" t="n">
        <v>1.01</v>
      </c>
      <c r="D11" s="277" t="n">
        <v>0.95</v>
      </c>
      <c r="E11" s="277" t="n">
        <v>1.17</v>
      </c>
      <c r="F11" s="277" t="n">
        <v>1.36</v>
      </c>
      <c r="G11" s="277" t="n">
        <v>0.99</v>
      </c>
      <c r="H11" s="277" t="n">
        <v>18.64</v>
      </c>
      <c r="I11" s="277" t="n">
        <v>1.73</v>
      </c>
      <c r="J11" s="277" t="n">
        <v>1.01</v>
      </c>
      <c r="K11" s="277" t="n">
        <v>0.77</v>
      </c>
      <c r="L11" s="277" t="n">
        <v>0.85</v>
      </c>
    </row>
    <row r="12" ht="14" customHeight="1" s="227">
      <c r="A12" s="28" t="inlineStr">
        <is>
          <t>Kep</t>
        </is>
      </c>
      <c r="B12" s="277" t="n">
        <v>1.07</v>
      </c>
      <c r="C12" s="277" t="n">
        <v>1.07</v>
      </c>
      <c r="D12" s="277" t="n">
        <v>1.07</v>
      </c>
      <c r="E12" s="277" t="n">
        <v>1.08</v>
      </c>
      <c r="F12" s="277" t="n">
        <v>1.28</v>
      </c>
      <c r="G12" s="277" t="n">
        <v>1.08</v>
      </c>
      <c r="H12" s="120" t="inlineStr">
        <is>
          <t>n.a.</t>
        </is>
      </c>
      <c r="I12" s="277" t="n">
        <v>1.32</v>
      </c>
      <c r="J12" s="277" t="n">
        <v>0.67</v>
      </c>
      <c r="K12" s="277" t="n">
        <v>0.78</v>
      </c>
      <c r="L12" s="277" t="n">
        <v>0.73</v>
      </c>
    </row>
    <row r="13" ht="14" customHeight="1" s="227">
      <c r="A13" s="28" t="inlineStr">
        <is>
          <t>Koh Kong</t>
        </is>
      </c>
      <c r="B13" s="277" t="n">
        <v>1</v>
      </c>
      <c r="C13" s="277" t="n">
        <v>1.04</v>
      </c>
      <c r="D13" s="277" t="n">
        <v>0.99</v>
      </c>
      <c r="E13" s="277" t="n">
        <v>1.08</v>
      </c>
      <c r="F13" s="277" t="n">
        <v>0.93</v>
      </c>
      <c r="G13" s="277" t="n">
        <v>1.01</v>
      </c>
      <c r="H13" s="277" t="n">
        <v>9.33</v>
      </c>
      <c r="I13" s="277" t="n">
        <v>1</v>
      </c>
      <c r="J13" s="277" t="n">
        <v>0.4</v>
      </c>
      <c r="K13" s="277" t="n">
        <v>0.62</v>
      </c>
      <c r="L13" s="277" t="n">
        <v>0.53</v>
      </c>
    </row>
    <row r="14" ht="14" customHeight="1" s="227">
      <c r="A14" s="28" t="inlineStr">
        <is>
          <t>Kratie</t>
        </is>
      </c>
      <c r="B14" s="277" t="n">
        <v>0.98</v>
      </c>
      <c r="C14" s="277" t="n">
        <v>1.03</v>
      </c>
      <c r="D14" s="277" t="n">
        <v>0.97</v>
      </c>
      <c r="E14" s="277" t="n">
        <v>1.19</v>
      </c>
      <c r="F14" s="277" t="n">
        <v>1.27</v>
      </c>
      <c r="G14" s="277" t="n">
        <v>0.99</v>
      </c>
      <c r="H14" s="277" t="n">
        <v>32.75</v>
      </c>
      <c r="I14" s="277" t="n">
        <v>1.99</v>
      </c>
      <c r="J14" s="277" t="n">
        <v>1.18</v>
      </c>
      <c r="K14" s="277" t="n">
        <v>0.88</v>
      </c>
      <c r="L14" s="277" t="n">
        <v>1.03</v>
      </c>
    </row>
    <row r="15" ht="14" customHeight="1" s="227">
      <c r="A15" s="28" t="inlineStr">
        <is>
          <t>Mondul Kiri</t>
        </is>
      </c>
      <c r="B15" s="277" t="n">
        <v>1.06</v>
      </c>
      <c r="C15" s="277" t="n">
        <v>1.11</v>
      </c>
      <c r="D15" s="277" t="n">
        <v>1.02</v>
      </c>
      <c r="E15" s="277" t="n">
        <v>1.17</v>
      </c>
      <c r="F15" s="277" t="n">
        <v>1.22</v>
      </c>
      <c r="G15" s="277" t="n">
        <v>1.06</v>
      </c>
      <c r="H15" s="277" t="n">
        <v>29</v>
      </c>
      <c r="I15" s="277" t="n">
        <v>0.9399999999999999</v>
      </c>
      <c r="J15" s="277" t="n">
        <v>0.65</v>
      </c>
      <c r="K15" s="277" t="n">
        <v>0.51</v>
      </c>
      <c r="L15" s="277" t="n">
        <v>0.55</v>
      </c>
    </row>
    <row r="16" ht="14" customHeight="1" s="227">
      <c r="A16" s="28" t="inlineStr">
        <is>
          <t>Otdar Meanchey</t>
        </is>
      </c>
      <c r="B16" s="277" t="n">
        <v>0.95</v>
      </c>
      <c r="C16" s="277" t="n">
        <v>1</v>
      </c>
      <c r="D16" s="277" t="n">
        <v>0.99</v>
      </c>
      <c r="E16" s="277" t="n">
        <v>1.08</v>
      </c>
      <c r="F16" s="277" t="n">
        <v>1.13</v>
      </c>
      <c r="G16" s="277" t="n">
        <v>1.02</v>
      </c>
      <c r="H16" s="277" t="n">
        <v>19.75</v>
      </c>
      <c r="I16" s="277" t="n">
        <v>0.83</v>
      </c>
      <c r="J16" s="277" t="n">
        <v>0.53</v>
      </c>
      <c r="K16" s="277" t="n">
        <v>0.51</v>
      </c>
      <c r="L16" s="277" t="n">
        <v>0.52</v>
      </c>
    </row>
    <row r="17" ht="14" customHeight="1" s="227">
      <c r="A17" s="28" t="inlineStr">
        <is>
          <t>Pailin</t>
        </is>
      </c>
      <c r="B17" s="277" t="n">
        <v>1.08</v>
      </c>
      <c r="C17" s="277" t="n">
        <v>1.14</v>
      </c>
      <c r="D17" s="277" t="n">
        <v>1</v>
      </c>
      <c r="E17" s="277" t="n">
        <v>1.14</v>
      </c>
      <c r="F17" s="277" t="n">
        <v>1.24</v>
      </c>
      <c r="G17" s="277" t="n">
        <v>1.03</v>
      </c>
      <c r="H17" s="277" t="n">
        <v>15.5</v>
      </c>
      <c r="I17" s="277" t="n">
        <v>1.25</v>
      </c>
      <c r="J17" s="277" t="n">
        <v>0.73</v>
      </c>
      <c r="K17" s="277" t="n">
        <v>0.63</v>
      </c>
      <c r="L17" s="277" t="n">
        <v>0.68</v>
      </c>
    </row>
    <row r="18" ht="14" customHeight="1" s="227">
      <c r="A18" s="28" t="inlineStr">
        <is>
          <t>Phnom Penh</t>
        </is>
      </c>
      <c r="B18" s="277" t="n">
        <v>0.9399999999999999</v>
      </c>
      <c r="C18" s="277" t="n">
        <v>0.99</v>
      </c>
      <c r="D18" s="277" t="n">
        <v>1</v>
      </c>
      <c r="E18" s="277" t="n">
        <v>1.02</v>
      </c>
      <c r="F18" s="277" t="n">
        <v>0.9</v>
      </c>
      <c r="G18" s="277" t="n">
        <v>1.03</v>
      </c>
      <c r="H18" s="292" t="n">
        <v>327</v>
      </c>
      <c r="I18" s="277" t="n">
        <v>3.01</v>
      </c>
      <c r="J18" s="277" t="n">
        <v>1.02</v>
      </c>
      <c r="K18" s="277" t="n">
        <v>0.8100000000000001</v>
      </c>
      <c r="L18" s="277" t="n">
        <v>0.84</v>
      </c>
    </row>
    <row r="19" ht="14" customHeight="1" s="227">
      <c r="A19" s="28" t="inlineStr">
        <is>
          <t>Preah Sihanouk</t>
        </is>
      </c>
      <c r="B19" s="277" t="n">
        <v>1.01</v>
      </c>
      <c r="C19" s="277" t="n">
        <v>1.05</v>
      </c>
      <c r="D19" s="277" t="n">
        <v>1.02</v>
      </c>
      <c r="E19" s="277" t="n">
        <v>1.07</v>
      </c>
      <c r="F19" s="277" t="n">
        <v>1.14</v>
      </c>
      <c r="G19" s="277" t="n">
        <v>1.05</v>
      </c>
      <c r="H19" s="277" t="n">
        <v>24.33</v>
      </c>
      <c r="I19" s="277" t="n">
        <v>1.26</v>
      </c>
      <c r="J19" s="277" t="n">
        <v>0.68</v>
      </c>
      <c r="K19" s="277" t="n">
        <v>0.45</v>
      </c>
      <c r="L19" s="277" t="n">
        <v>0.53</v>
      </c>
    </row>
    <row r="20" ht="14" customHeight="1" s="227">
      <c r="A20" s="28" t="inlineStr">
        <is>
          <t>Preah Vihear</t>
        </is>
      </c>
      <c r="B20" s="277" t="n">
        <v>0.93</v>
      </c>
      <c r="C20" s="277" t="n">
        <v>0.96</v>
      </c>
      <c r="D20" s="277" t="n">
        <v>0.98</v>
      </c>
      <c r="E20" s="277" t="n">
        <v>1.3</v>
      </c>
      <c r="F20" s="277" t="n">
        <v>1.15</v>
      </c>
      <c r="G20" s="277" t="n">
        <v>0.99</v>
      </c>
      <c r="H20" s="277" t="n">
        <v>23.33</v>
      </c>
      <c r="I20" s="277" t="n">
        <v>1.16</v>
      </c>
      <c r="J20" s="277" t="n">
        <v>0.65</v>
      </c>
      <c r="K20" s="277" t="n">
        <v>0.67</v>
      </c>
      <c r="L20" s="277" t="n">
        <v>0.66</v>
      </c>
    </row>
    <row r="21" ht="14" customHeight="1" s="227">
      <c r="A21" s="28" t="inlineStr">
        <is>
          <t>Prey Veng</t>
        </is>
      </c>
      <c r="B21" s="277" t="n">
        <v>0.9399999999999999</v>
      </c>
      <c r="C21" s="277" t="n">
        <v>0.96</v>
      </c>
      <c r="D21" s="277" t="n">
        <v>0.9399999999999999</v>
      </c>
      <c r="E21" s="277" t="n">
        <v>1.19</v>
      </c>
      <c r="F21" s="277" t="n">
        <v>1.31</v>
      </c>
      <c r="G21" s="277" t="n">
        <v>0.97</v>
      </c>
      <c r="H21" s="277" t="n">
        <v>12.89</v>
      </c>
      <c r="I21" s="277" t="n">
        <v>0.95</v>
      </c>
      <c r="J21" s="277" t="n">
        <v>0.63</v>
      </c>
      <c r="K21" s="277" t="n">
        <v>0.55</v>
      </c>
      <c r="L21" s="277" t="n">
        <v>0.58</v>
      </c>
    </row>
    <row r="22" ht="14" customHeight="1" s="227">
      <c r="A22" s="28" t="inlineStr">
        <is>
          <t>Pursat</t>
        </is>
      </c>
      <c r="B22" s="277" t="n">
        <v>1.03</v>
      </c>
      <c r="C22" s="277" t="n">
        <v>1.04</v>
      </c>
      <c r="D22" s="277" t="n">
        <v>1.02</v>
      </c>
      <c r="E22" s="277" t="n">
        <v>1.21</v>
      </c>
      <c r="F22" s="277" t="n">
        <v>1.24</v>
      </c>
      <c r="G22" s="277" t="n">
        <v>1.02</v>
      </c>
      <c r="H22" s="277" t="n">
        <v>52.33</v>
      </c>
      <c r="I22" s="277" t="n">
        <v>1.15</v>
      </c>
      <c r="J22" s="277" t="n">
        <v>0.65</v>
      </c>
      <c r="K22" s="277" t="n">
        <v>0.51</v>
      </c>
      <c r="L22" s="277" t="n">
        <v>0.58</v>
      </c>
    </row>
    <row r="23" ht="14" customHeight="1" s="227">
      <c r="A23" s="28" t="inlineStr">
        <is>
          <t>Ratanak Kiri</t>
        </is>
      </c>
      <c r="B23" s="277" t="n">
        <v>0.86</v>
      </c>
      <c r="C23" s="277" t="n">
        <v>0.95</v>
      </c>
      <c r="D23" s="277" t="n">
        <v>0.97</v>
      </c>
      <c r="E23" s="277" t="n">
        <v>1.02</v>
      </c>
      <c r="F23" s="277" t="n">
        <v>0.9399999999999999</v>
      </c>
      <c r="G23" s="277" t="n">
        <v>0.99</v>
      </c>
      <c r="H23" s="277" t="n">
        <v>12.2</v>
      </c>
      <c r="I23" s="277" t="n">
        <v>0.84</v>
      </c>
      <c r="J23" s="277" t="n">
        <v>0.72</v>
      </c>
      <c r="K23" s="277" t="n">
        <v>0.64</v>
      </c>
      <c r="L23" s="277" t="n">
        <v>0.67</v>
      </c>
    </row>
    <row r="24" ht="14" customHeight="1" s="227">
      <c r="A24" s="28" t="inlineStr">
        <is>
          <t>Siemreap</t>
        </is>
      </c>
      <c r="B24" s="277" t="n">
        <v>0.97</v>
      </c>
      <c r="C24" s="277" t="n">
        <v>1.01</v>
      </c>
      <c r="D24" s="277" t="n">
        <v>1.01</v>
      </c>
      <c r="E24" s="277" t="n">
        <v>1.26</v>
      </c>
      <c r="F24" s="277" t="n">
        <v>1.34</v>
      </c>
      <c r="G24" s="277" t="n">
        <v>1.04</v>
      </c>
      <c r="H24" s="277" t="n">
        <v>29.07</v>
      </c>
      <c r="I24" s="277" t="n">
        <v>2.27</v>
      </c>
      <c r="J24" s="277" t="n">
        <v>1.28</v>
      </c>
      <c r="K24" s="277" t="n">
        <v>0.74</v>
      </c>
      <c r="L24" s="277" t="n">
        <v>0.88</v>
      </c>
    </row>
    <row r="25" ht="14" customHeight="1" s="227">
      <c r="A25" s="28" t="inlineStr">
        <is>
          <t>Stung Treng</t>
        </is>
      </c>
      <c r="B25" s="277" t="n">
        <v>0.92</v>
      </c>
      <c r="C25" s="277" t="n">
        <v>0.9</v>
      </c>
      <c r="D25" s="277" t="n">
        <v>0.99</v>
      </c>
      <c r="E25" s="277" t="n">
        <v>1.15</v>
      </c>
      <c r="F25" s="277" t="n">
        <v>1.03</v>
      </c>
      <c r="G25" s="277" t="n">
        <v>0.99</v>
      </c>
      <c r="H25" s="120" t="inlineStr">
        <is>
          <t>n.a.</t>
        </is>
      </c>
      <c r="I25" s="277" t="n">
        <v>1.48</v>
      </c>
      <c r="J25" s="277" t="n">
        <v>0.7</v>
      </c>
      <c r="K25" s="277" t="n">
        <v>0.62</v>
      </c>
      <c r="L25" s="277" t="n">
        <v>0.66</v>
      </c>
    </row>
    <row r="26" ht="14" customHeight="1" s="227">
      <c r="A26" s="28" t="inlineStr">
        <is>
          <t>Svay Rieng</t>
        </is>
      </c>
      <c r="B26" s="277" t="n">
        <v>0.93</v>
      </c>
      <c r="C26" s="277" t="n">
        <v>0.99</v>
      </c>
      <c r="D26" s="277" t="n">
        <v>0.96</v>
      </c>
      <c r="E26" s="277" t="n">
        <v>1.15</v>
      </c>
      <c r="F26" s="277" t="n">
        <v>1.21</v>
      </c>
      <c r="G26" s="277" t="n">
        <v>1</v>
      </c>
      <c r="H26" s="277" t="n">
        <v>17.7</v>
      </c>
      <c r="I26" s="277" t="n">
        <v>0.6899999999999999</v>
      </c>
      <c r="J26" s="277" t="n">
        <v>0.37</v>
      </c>
      <c r="K26" s="277" t="n">
        <v>0.44</v>
      </c>
      <c r="L26" s="277" t="n">
        <v>0.41</v>
      </c>
    </row>
    <row r="27" ht="14" customHeight="1" s="227">
      <c r="A27" s="28" t="inlineStr">
        <is>
          <t>Takeo</t>
        </is>
      </c>
      <c r="B27" s="277" t="n">
        <v>0.95</v>
      </c>
      <c r="C27" s="277" t="n">
        <v>0.98</v>
      </c>
      <c r="D27" s="277" t="n">
        <v>0.96</v>
      </c>
      <c r="E27" s="277" t="n">
        <v>1.09</v>
      </c>
      <c r="F27" s="277" t="n">
        <v>1.22</v>
      </c>
      <c r="G27" s="277" t="n">
        <v>0.99</v>
      </c>
      <c r="H27" s="277" t="n">
        <v>10.59</v>
      </c>
      <c r="I27" s="277" t="n">
        <v>0.77</v>
      </c>
      <c r="J27" s="277" t="n">
        <v>0.49</v>
      </c>
      <c r="K27" s="277" t="n">
        <v>0.44</v>
      </c>
      <c r="L27" s="277" t="n">
        <v>0.45</v>
      </c>
    </row>
    <row r="28" ht="14" customHeight="1" s="227">
      <c r="A28" s="28" t="inlineStr">
        <is>
          <t>Tbaung Khmum</t>
        </is>
      </c>
      <c r="B28" s="277" t="n">
        <v>0.97</v>
      </c>
      <c r="C28" s="277" t="n">
        <v>1.02</v>
      </c>
      <c r="D28" s="277" t="n">
        <v>0.99</v>
      </c>
      <c r="E28" s="277" t="n">
        <v>1.2</v>
      </c>
      <c r="F28" s="277" t="n">
        <v>1.34</v>
      </c>
      <c r="G28" s="277" t="n">
        <v>1.02</v>
      </c>
      <c r="H28" s="277" t="n">
        <v>17</v>
      </c>
      <c r="I28" s="277" t="n">
        <v>1.42</v>
      </c>
      <c r="J28" s="277" t="n">
        <v>0.77</v>
      </c>
      <c r="K28" s="277" t="n">
        <v>0.63</v>
      </c>
      <c r="L28" s="277" t="n">
        <v>0.68</v>
      </c>
    </row>
    <row r="29" ht="14" customHeight="1" s="227">
      <c r="A29" s="22" t="inlineStr">
        <is>
          <t>Whole Kingdom</t>
        </is>
      </c>
      <c r="B29" s="277" t="n">
        <v>0.96</v>
      </c>
      <c r="C29" s="277" t="n">
        <v>1</v>
      </c>
      <c r="D29" s="277" t="n">
        <v>0.98</v>
      </c>
      <c r="E29" s="277" t="n">
        <v>1.17</v>
      </c>
      <c r="F29" s="277" t="n">
        <v>1.24</v>
      </c>
      <c r="G29" s="277" t="n">
        <v>1.01</v>
      </c>
      <c r="H29" s="277" t="n">
        <v>20.69</v>
      </c>
      <c r="I29" s="277" t="n">
        <v>1.32</v>
      </c>
      <c r="J29" s="277" t="n">
        <v>0.79</v>
      </c>
      <c r="K29" s="277" t="n">
        <v>0.66</v>
      </c>
      <c r="L29" s="277" t="n">
        <v>0.71</v>
      </c>
    </row>
    <row r="30" ht="14" customHeight="1" s="227">
      <c r="A30" s="28" t="inlineStr">
        <is>
          <t>- Urban Area</t>
        </is>
      </c>
      <c r="B30" s="277" t="n">
        <v>0.95</v>
      </c>
      <c r="C30" s="277" t="n">
        <v>1</v>
      </c>
      <c r="D30" s="277" t="n">
        <v>0.99</v>
      </c>
      <c r="E30" s="277" t="n">
        <v>1.08</v>
      </c>
      <c r="F30" s="277" t="n">
        <v>1.07</v>
      </c>
      <c r="G30" s="277" t="n">
        <v>1.02</v>
      </c>
      <c r="H30" s="277" t="n">
        <v>71.43000000000001</v>
      </c>
      <c r="I30" s="277" t="n">
        <v>2.38</v>
      </c>
      <c r="J30" s="277" t="n">
        <v>1.05</v>
      </c>
      <c r="K30" s="277" t="n">
        <v>0.78</v>
      </c>
      <c r="L30" s="277" t="n">
        <v>0.83</v>
      </c>
    </row>
    <row r="31" ht="14.5" customHeight="1" s="227">
      <c r="A31" s="28" t="inlineStr">
        <is>
          <t>- Rural Area</t>
        </is>
      </c>
      <c r="B31" s="277" t="n">
        <v>0.97</v>
      </c>
      <c r="C31" s="277" t="n">
        <v>1</v>
      </c>
      <c r="D31" s="277" t="n">
        <v>0.98</v>
      </c>
      <c r="E31" s="277" t="n">
        <v>1.19</v>
      </c>
      <c r="F31" s="277" t="n">
        <v>1.3</v>
      </c>
      <c r="G31" s="277" t="n">
        <v>1</v>
      </c>
      <c r="H31" s="277" t="n">
        <v>17.63</v>
      </c>
      <c r="I31" s="277" t="n">
        <v>1.15</v>
      </c>
      <c r="J31" s="277" t="n">
        <v>0.74</v>
      </c>
      <c r="K31" s="277" t="n">
        <v>0.6</v>
      </c>
      <c r="L31" s="277" t="n">
        <v>0.66</v>
      </c>
    </row>
  </sheetData>
  <mergeCells count="6">
    <mergeCell ref="D2:F2"/>
    <mergeCell ref="H2:L2"/>
    <mergeCell ref="A1:L1"/>
    <mergeCell ref="B2:B3"/>
    <mergeCell ref="A2:A3"/>
    <mergeCell ref="C2:C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tabColor rgb="00808080"/>
    <outlinePr summaryBelow="1" summaryRight="1"/>
    <pageSetUpPr/>
  </sheetPr>
  <dimension ref="A1:Q43"/>
  <sheetViews>
    <sheetView tabSelected="1" workbookViewId="0">
      <selection activeCell="A1" sqref="A1"/>
    </sheetView>
  </sheetViews>
  <sheetFormatPr baseColWidth="8" defaultRowHeight="15"/>
  <cols>
    <col width="18.666667" customWidth="1" style="227" min="1" max="1"/>
    <col width="9.333333" customWidth="1" style="227" min="2" max="2"/>
    <col width="9.333333" customWidth="1" style="227" min="3" max="3"/>
    <col width="9.555555999999999" customWidth="1" style="227" min="4" max="4"/>
    <col width="9.333333" customWidth="1" style="227" min="5" max="5"/>
    <col width="9.333333" customWidth="1" style="227" min="6" max="6"/>
    <col width="9.555555999999999" customWidth="1" style="227" min="7" max="7"/>
    <col width="9.333333" customWidth="1" style="227" min="8" max="8"/>
    <col width="9.333333" customWidth="1" style="227" min="9" max="9"/>
    <col width="9.333333" customWidth="1" style="227" min="10" max="10"/>
    <col width="9.333333" customWidth="1" style="227" min="11" max="11"/>
    <col width="9.333333" customWidth="1" style="227" min="12" max="12"/>
    <col width="9.333333" customWidth="1" style="227" min="13" max="13"/>
    <col width="9.333333" customWidth="1" style="227" min="14" max="14"/>
    <col width="9.333333" customWidth="1" style="227" min="15" max="15"/>
    <col width="9.555555999999999" customWidth="1" style="227" min="16" max="16"/>
    <col width="9.333333" customWidth="1" style="227" min="17" max="17"/>
  </cols>
  <sheetData>
    <row r="1" ht="21.75" customHeight="1" s="227">
      <c r="A1" s="214" t="inlineStr">
        <is>
          <t>APPENDIX: EDUCATION STATISTICS, 1979/1980 to 2018/2019</t>
        </is>
      </c>
      <c r="B1" s="256" t="n"/>
      <c r="C1" s="256" t="n"/>
      <c r="D1" s="256" t="n"/>
      <c r="E1" s="256" t="n"/>
      <c r="F1" s="256" t="n"/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  <c r="Q1" s="256" t="n"/>
    </row>
    <row r="2" ht="11" customHeight="1" s="227">
      <c r="A2" s="215" t="inlineStr">
        <is>
          <t>Academic   Year</t>
        </is>
      </c>
      <c r="B2" s="218" t="inlineStr">
        <is>
          <t>Schools</t>
        </is>
      </c>
      <c r="C2" s="269" t="n"/>
      <c r="D2" s="269" t="n"/>
      <c r="E2" s="257" t="n"/>
      <c r="F2" s="218" t="inlineStr">
        <is>
          <t>Classes</t>
        </is>
      </c>
      <c r="G2" s="269" t="n"/>
      <c r="H2" s="269" t="n"/>
      <c r="I2" s="257" t="n"/>
      <c r="J2" s="218" t="inlineStr">
        <is>
          <t>Students</t>
        </is>
      </c>
      <c r="K2" s="269" t="n"/>
      <c r="L2" s="269" t="n"/>
      <c r="M2" s="257" t="n"/>
      <c r="N2" s="218" t="inlineStr">
        <is>
          <t>Staff</t>
        </is>
      </c>
      <c r="O2" s="269" t="n"/>
      <c r="P2" s="269" t="n"/>
      <c r="Q2" s="257" t="n"/>
    </row>
    <row r="3" ht="11" customHeight="1" s="227">
      <c r="A3" s="258" t="n"/>
      <c r="B3" s="218" t="inlineStr">
        <is>
          <t>Pre</t>
        </is>
      </c>
      <c r="C3" s="218" t="inlineStr">
        <is>
          <t>Pri</t>
        </is>
      </c>
      <c r="D3" s="215" t="inlineStr">
        <is>
          <t>College</t>
        </is>
      </c>
      <c r="E3" s="215" t="inlineStr">
        <is>
          <t>Lycee</t>
        </is>
      </c>
      <c r="F3" s="218" t="inlineStr">
        <is>
          <t>Pre</t>
        </is>
      </c>
      <c r="G3" s="222" t="inlineStr">
        <is>
          <t>Pri</t>
        </is>
      </c>
      <c r="H3" s="215" t="inlineStr">
        <is>
          <t>Lower</t>
        </is>
      </c>
      <c r="I3" s="215" t="inlineStr">
        <is>
          <t>Upper</t>
        </is>
      </c>
      <c r="J3" s="218" t="inlineStr">
        <is>
          <t>Pre</t>
        </is>
      </c>
      <c r="K3" s="218" t="inlineStr">
        <is>
          <t>Pri</t>
        </is>
      </c>
      <c r="L3" s="215" t="inlineStr">
        <is>
          <t>Lower</t>
        </is>
      </c>
      <c r="M3" s="215" t="inlineStr">
        <is>
          <t>Upper</t>
        </is>
      </c>
      <c r="N3" s="218" t="inlineStr">
        <is>
          <t>Pre</t>
        </is>
      </c>
      <c r="O3" s="222" t="inlineStr">
        <is>
          <t>Pri</t>
        </is>
      </c>
      <c r="P3" s="215" t="inlineStr">
        <is>
          <t>Lower</t>
        </is>
      </c>
      <c r="Q3" s="215" t="inlineStr">
        <is>
          <t>Upper</t>
        </is>
      </c>
    </row>
    <row r="4" ht="11" customHeight="1" s="227">
      <c r="A4" s="218" t="inlineStr">
        <is>
          <t>1979-80</t>
        </is>
      </c>
      <c r="B4" s="293" t="n">
        <v>96</v>
      </c>
      <c r="C4" s="52" t="inlineStr">
        <is>
          <t>n.a</t>
        </is>
      </c>
      <c r="D4" s="293" t="n">
        <v>14</v>
      </c>
      <c r="E4" s="293" t="n">
        <v>1</v>
      </c>
      <c r="F4" s="293" t="n">
        <v>230</v>
      </c>
      <c r="G4" s="294" t="n">
        <v>12069</v>
      </c>
      <c r="H4" s="293" t="n">
        <v>101</v>
      </c>
      <c r="I4" s="293" t="n">
        <v>7</v>
      </c>
      <c r="J4" s="295" t="n">
        <v>8229</v>
      </c>
      <c r="K4" s="296" t="n">
        <v>947317</v>
      </c>
      <c r="L4" s="295" t="n">
        <v>4803</v>
      </c>
      <c r="M4" s="293" t="n">
        <v>281</v>
      </c>
      <c r="N4" s="293" t="n">
        <v>267</v>
      </c>
      <c r="O4" s="294" t="n">
        <v>13619</v>
      </c>
      <c r="P4" s="293" t="n">
        <v>205</v>
      </c>
      <c r="Q4" s="293" t="n">
        <v>20</v>
      </c>
    </row>
    <row r="5" ht="11" customHeight="1" s="227">
      <c r="A5" s="218" t="inlineStr">
        <is>
          <t>1980-81</t>
        </is>
      </c>
      <c r="B5" s="293" t="n">
        <v>149</v>
      </c>
      <c r="C5" s="52" t="inlineStr">
        <is>
          <t>n.a</t>
        </is>
      </c>
      <c r="D5" s="293" t="n">
        <v>62</v>
      </c>
      <c r="E5" s="293" t="n">
        <v>2</v>
      </c>
      <c r="F5" s="293" t="n">
        <v>446</v>
      </c>
      <c r="G5" s="294" t="n">
        <v>25526</v>
      </c>
      <c r="H5" s="293" t="n">
        <v>394</v>
      </c>
      <c r="I5" s="293" t="n">
        <v>14</v>
      </c>
      <c r="J5" s="295" t="n">
        <v>15077</v>
      </c>
      <c r="K5" s="296" t="n">
        <v>1328053</v>
      </c>
      <c r="L5" s="295" t="n">
        <v>17291</v>
      </c>
      <c r="M5" s="293" t="n">
        <v>555</v>
      </c>
      <c r="N5" s="293" t="n">
        <v>630</v>
      </c>
      <c r="O5" s="294" t="n">
        <v>30316</v>
      </c>
      <c r="P5" s="293" t="n">
        <v>671</v>
      </c>
      <c r="Q5" s="293" t="n">
        <v>28</v>
      </c>
    </row>
    <row r="6" ht="12" customHeight="1" s="227">
      <c r="A6" s="218" t="inlineStr">
        <is>
          <t>1981-82</t>
        </is>
      </c>
      <c r="B6" s="293" t="n">
        <v>213</v>
      </c>
      <c r="C6" s="295" t="n">
        <v>3521</v>
      </c>
      <c r="D6" s="293" t="n">
        <v>96</v>
      </c>
      <c r="E6" s="293" t="n">
        <v>5</v>
      </c>
      <c r="F6" s="293" t="n">
        <v>448</v>
      </c>
      <c r="G6" s="294" t="n">
        <v>31909</v>
      </c>
      <c r="H6" s="293" t="n">
        <v>938</v>
      </c>
      <c r="I6" s="293" t="n">
        <v>33</v>
      </c>
      <c r="J6" s="295" t="n">
        <v>16579</v>
      </c>
      <c r="K6" s="296" t="n">
        <v>1538839</v>
      </c>
      <c r="L6" s="295" t="n">
        <v>39515</v>
      </c>
      <c r="M6" s="295" t="n">
        <v>1517</v>
      </c>
      <c r="N6" s="293" t="n">
        <v>818</v>
      </c>
      <c r="O6" s="294" t="n">
        <v>31884</v>
      </c>
      <c r="P6" s="295" t="n">
        <v>1586</v>
      </c>
      <c r="Q6" s="293" t="n">
        <v>65</v>
      </c>
    </row>
    <row r="7" ht="11" customHeight="1" s="227">
      <c r="A7" s="218" t="inlineStr">
        <is>
          <t>1982-83</t>
        </is>
      </c>
      <c r="B7" s="293" t="n">
        <v>371</v>
      </c>
      <c r="C7" s="295" t="n">
        <v>3114</v>
      </c>
      <c r="D7" s="293" t="n">
        <v>173</v>
      </c>
      <c r="E7" s="293" t="n">
        <v>7</v>
      </c>
      <c r="F7" s="293" t="n">
        <v>823</v>
      </c>
      <c r="G7" s="294" t="n">
        <v>33740</v>
      </c>
      <c r="H7" s="295" t="n">
        <v>1949</v>
      </c>
      <c r="I7" s="293" t="n">
        <v>73</v>
      </c>
      <c r="J7" s="295" t="n">
        <v>23797</v>
      </c>
      <c r="K7" s="296" t="n">
        <v>1597081</v>
      </c>
      <c r="L7" s="295" t="n">
        <v>87005</v>
      </c>
      <c r="M7" s="295" t="n">
        <v>3493</v>
      </c>
      <c r="N7" s="293" t="n">
        <v>956</v>
      </c>
      <c r="O7" s="294" t="n">
        <v>34859</v>
      </c>
      <c r="P7" s="295" t="n">
        <v>3300</v>
      </c>
      <c r="Q7" s="293" t="n">
        <v>158</v>
      </c>
    </row>
    <row r="8" ht="11" customHeight="1" s="227">
      <c r="A8" s="218" t="inlineStr">
        <is>
          <t>1983-84</t>
        </is>
      </c>
      <c r="B8" s="293" t="n">
        <v>500</v>
      </c>
      <c r="C8" s="295" t="n">
        <v>3005</v>
      </c>
      <c r="D8" s="293" t="n">
        <v>200</v>
      </c>
      <c r="E8" s="293" t="n">
        <v>13</v>
      </c>
      <c r="F8" s="295" t="n">
        <v>1128</v>
      </c>
      <c r="G8" s="294" t="n">
        <v>33287</v>
      </c>
      <c r="H8" s="295" t="n">
        <v>3089</v>
      </c>
      <c r="I8" s="293" t="n">
        <v>149</v>
      </c>
      <c r="J8" s="295" t="n">
        <v>25466</v>
      </c>
      <c r="K8" s="296" t="n">
        <v>1504839</v>
      </c>
      <c r="L8" s="295" t="n">
        <v>145726</v>
      </c>
      <c r="M8" s="295" t="n">
        <v>7639</v>
      </c>
      <c r="N8" s="295" t="n">
        <v>1493</v>
      </c>
      <c r="O8" s="294" t="n">
        <v>35479</v>
      </c>
      <c r="P8" s="295" t="n">
        <v>4494</v>
      </c>
      <c r="Q8" s="293" t="n">
        <v>271</v>
      </c>
    </row>
    <row r="9" ht="11" customHeight="1" s="227">
      <c r="A9" s="218" t="inlineStr">
        <is>
          <t>1984-85</t>
        </is>
      </c>
      <c r="B9" s="293" t="n">
        <v>541</v>
      </c>
      <c r="C9" s="295" t="n">
        <v>3133</v>
      </c>
      <c r="D9" s="293" t="n">
        <v>222</v>
      </c>
      <c r="E9" s="293" t="n">
        <v>19</v>
      </c>
      <c r="F9" s="295" t="n">
        <v>1420</v>
      </c>
      <c r="G9" s="294" t="n">
        <v>33345</v>
      </c>
      <c r="H9" s="295" t="n">
        <v>4698</v>
      </c>
      <c r="I9" s="293" t="n">
        <v>211</v>
      </c>
      <c r="J9" s="295" t="n">
        <v>39920</v>
      </c>
      <c r="K9" s="296" t="n">
        <v>1367089</v>
      </c>
      <c r="L9" s="295" t="n">
        <v>234927</v>
      </c>
      <c r="M9" s="295" t="n">
        <v>10888</v>
      </c>
      <c r="N9" s="295" t="n">
        <v>1835</v>
      </c>
      <c r="O9" s="294" t="n">
        <v>35578</v>
      </c>
      <c r="P9" s="295" t="n">
        <v>6116</v>
      </c>
      <c r="Q9" s="293" t="n">
        <v>468</v>
      </c>
    </row>
    <row r="10" ht="11" customHeight="1" s="227">
      <c r="A10" s="218" t="inlineStr">
        <is>
          <t>1985-86</t>
        </is>
      </c>
      <c r="B10" s="293" t="n">
        <v>689</v>
      </c>
      <c r="C10" s="295" t="n">
        <v>2294</v>
      </c>
      <c r="D10" s="293" t="n">
        <v>278</v>
      </c>
      <c r="E10" s="293" t="n">
        <v>28</v>
      </c>
      <c r="F10" s="295" t="n">
        <v>1557</v>
      </c>
      <c r="G10" s="294" t="n">
        <v>31062</v>
      </c>
      <c r="H10" s="295" t="n">
        <v>5730</v>
      </c>
      <c r="I10" s="293" t="n">
        <v>266</v>
      </c>
      <c r="J10" s="295" t="n">
        <v>56165</v>
      </c>
      <c r="K10" s="296" t="n">
        <v>1315531</v>
      </c>
      <c r="L10" s="295" t="n">
        <v>297775</v>
      </c>
      <c r="M10" s="295" t="n">
        <v>14020</v>
      </c>
      <c r="N10" s="295" t="n">
        <v>2398</v>
      </c>
      <c r="O10" s="294" t="n">
        <v>35080</v>
      </c>
      <c r="P10" s="295" t="n">
        <v>7416</v>
      </c>
      <c r="Q10" s="293" t="n">
        <v>617</v>
      </c>
    </row>
    <row r="11" ht="11" customHeight="1" s="227">
      <c r="A11" s="218" t="inlineStr">
        <is>
          <t>1986-87</t>
        </is>
      </c>
      <c r="B11" s="293" t="n">
        <v>551</v>
      </c>
      <c r="C11" s="295" t="n">
        <v>4282</v>
      </c>
      <c r="D11" s="293" t="n">
        <v>304</v>
      </c>
      <c r="E11" s="293" t="n">
        <v>33</v>
      </c>
      <c r="F11" s="295" t="n">
        <v>1864</v>
      </c>
      <c r="G11" s="294" t="n">
        <v>30946</v>
      </c>
      <c r="H11" s="295" t="n">
        <v>6262</v>
      </c>
      <c r="I11" s="293" t="n">
        <v>364</v>
      </c>
      <c r="J11" s="295" t="n">
        <v>55760</v>
      </c>
      <c r="K11" s="296" t="n">
        <v>1294227</v>
      </c>
      <c r="L11" s="295" t="n">
        <v>327049</v>
      </c>
      <c r="M11" s="295" t="n">
        <v>18799</v>
      </c>
      <c r="N11" s="295" t="n">
        <v>2625</v>
      </c>
      <c r="O11" s="294" t="n">
        <v>36754</v>
      </c>
      <c r="P11" s="295" t="n">
        <v>8967</v>
      </c>
      <c r="Q11" s="293" t="n">
        <v>858</v>
      </c>
    </row>
    <row r="12" ht="11" customHeight="1" s="227">
      <c r="A12" s="218" t="inlineStr">
        <is>
          <t>1987-88</t>
        </is>
      </c>
      <c r="B12" s="293" t="n">
        <v>560</v>
      </c>
      <c r="C12" s="295" t="n">
        <v>4780</v>
      </c>
      <c r="D12" s="293" t="n">
        <v>337</v>
      </c>
      <c r="E12" s="293" t="n">
        <v>40</v>
      </c>
      <c r="F12" s="295" t="n">
        <v>2059</v>
      </c>
      <c r="G12" s="294" t="n">
        <v>30890</v>
      </c>
      <c r="H12" s="295" t="n">
        <v>6538</v>
      </c>
      <c r="I12" s="293" t="n">
        <v>497</v>
      </c>
      <c r="J12" s="295" t="n">
        <v>59679</v>
      </c>
      <c r="K12" s="296" t="n">
        <v>1279053</v>
      </c>
      <c r="L12" s="295" t="n">
        <v>326403</v>
      </c>
      <c r="M12" s="295" t="n">
        <v>26176</v>
      </c>
      <c r="N12" s="295" t="n">
        <v>3017</v>
      </c>
      <c r="O12" s="294" t="n">
        <v>37292</v>
      </c>
      <c r="P12" s="295" t="n">
        <v>10866</v>
      </c>
      <c r="Q12" s="295" t="n">
        <v>1064</v>
      </c>
    </row>
    <row r="13" ht="12" customHeight="1" s="227">
      <c r="A13" s="218" t="inlineStr">
        <is>
          <t>1988-89</t>
        </is>
      </c>
      <c r="B13" s="293" t="n">
        <v>679</v>
      </c>
      <c r="C13" s="295" t="n">
        <v>4730</v>
      </c>
      <c r="D13" s="293" t="n">
        <v>373</v>
      </c>
      <c r="E13" s="293" t="n">
        <v>49</v>
      </c>
      <c r="F13" s="295" t="n">
        <v>2195</v>
      </c>
      <c r="G13" s="294" t="n">
        <v>31384</v>
      </c>
      <c r="H13" s="295" t="n">
        <v>6265</v>
      </c>
      <c r="I13" s="293" t="n">
        <v>650</v>
      </c>
      <c r="J13" s="295" t="n">
        <v>61349</v>
      </c>
      <c r="K13" s="296" t="n">
        <v>1313689</v>
      </c>
      <c r="L13" s="295" t="n">
        <v>289064</v>
      </c>
      <c r="M13" s="295" t="n">
        <v>35125</v>
      </c>
      <c r="N13" s="295" t="n">
        <v>3209</v>
      </c>
      <c r="O13" s="294" t="n">
        <v>36930</v>
      </c>
      <c r="P13" s="295" t="n">
        <v>11702</v>
      </c>
      <c r="Q13" s="295" t="n">
        <v>1403</v>
      </c>
    </row>
    <row r="14" ht="11" customHeight="1" s="227">
      <c r="A14" s="218" t="inlineStr">
        <is>
          <t>1989-90</t>
        </is>
      </c>
      <c r="B14" s="293" t="n">
        <v>416</v>
      </c>
      <c r="C14" s="295" t="n">
        <v>4773</v>
      </c>
      <c r="D14" s="293" t="n">
        <v>394</v>
      </c>
      <c r="E14" s="293" t="n">
        <v>61</v>
      </c>
      <c r="F14" s="295" t="n">
        <v>2181</v>
      </c>
      <c r="G14" s="294" t="n">
        <v>31553</v>
      </c>
      <c r="H14" s="295" t="n">
        <v>5602</v>
      </c>
      <c r="I14" s="293" t="n">
        <v>817</v>
      </c>
      <c r="J14" s="295" t="n">
        <v>56017</v>
      </c>
      <c r="K14" s="296" t="n">
        <v>1276957</v>
      </c>
      <c r="L14" s="295" t="n">
        <v>244842</v>
      </c>
      <c r="M14" s="295" t="n">
        <v>43561</v>
      </c>
      <c r="N14" s="295" t="n">
        <v>3383</v>
      </c>
      <c r="O14" s="294" t="n">
        <v>41261</v>
      </c>
      <c r="P14" s="295" t="n">
        <v>12702</v>
      </c>
      <c r="Q14" s="295" t="n">
        <v>1766</v>
      </c>
    </row>
    <row r="15" ht="11" customHeight="1" s="227">
      <c r="A15" s="218" t="inlineStr">
        <is>
          <t>1990-91</t>
        </is>
      </c>
      <c r="B15" s="293" t="n">
        <v>397</v>
      </c>
      <c r="C15" s="295" t="n">
        <v>4665</v>
      </c>
      <c r="D15" s="293" t="n">
        <v>397</v>
      </c>
      <c r="E15" s="293" t="n">
        <v>66</v>
      </c>
      <c r="F15" s="295" t="n">
        <v>1789</v>
      </c>
      <c r="G15" s="294" t="n">
        <v>32858</v>
      </c>
      <c r="H15" s="295" t="n">
        <v>5064</v>
      </c>
      <c r="I15" s="293" t="n">
        <v>919</v>
      </c>
      <c r="J15" s="295" t="n">
        <v>51421</v>
      </c>
      <c r="K15" s="296" t="n">
        <v>1322143</v>
      </c>
      <c r="L15" s="295" t="n">
        <v>201496</v>
      </c>
      <c r="M15" s="295" t="n">
        <v>47562</v>
      </c>
      <c r="N15" s="295" t="n">
        <v>2959</v>
      </c>
      <c r="O15" s="294" t="n">
        <v>40014</v>
      </c>
      <c r="P15" s="295" t="n">
        <v>14351</v>
      </c>
      <c r="Q15" s="295" t="n">
        <v>2057</v>
      </c>
    </row>
    <row r="16" ht="11" customHeight="1" s="227">
      <c r="A16" s="218" t="inlineStr">
        <is>
          <t>1991-92</t>
        </is>
      </c>
      <c r="B16" s="293" t="n">
        <v>221</v>
      </c>
      <c r="C16" s="295" t="n">
        <v>4555</v>
      </c>
      <c r="D16" s="293" t="n">
        <v>407</v>
      </c>
      <c r="E16" s="293" t="n">
        <v>80</v>
      </c>
      <c r="F16" s="295" t="n">
        <v>1714</v>
      </c>
      <c r="G16" s="294" t="n">
        <v>33142</v>
      </c>
      <c r="H16" s="295" t="n">
        <v>4848</v>
      </c>
      <c r="I16" s="295" t="n">
        <v>1084</v>
      </c>
      <c r="J16" s="295" t="n">
        <v>48207</v>
      </c>
      <c r="K16" s="296" t="n">
        <v>1371694</v>
      </c>
      <c r="L16" s="295" t="n">
        <v>183025</v>
      </c>
      <c r="M16" s="295" t="n">
        <v>53857</v>
      </c>
      <c r="N16" s="295" t="n">
        <v>2736</v>
      </c>
      <c r="O16" s="294" t="n">
        <v>40631</v>
      </c>
      <c r="P16" s="295" t="n">
        <v>14668</v>
      </c>
      <c r="Q16" s="295" t="n">
        <v>3149</v>
      </c>
    </row>
    <row r="17" ht="11" customHeight="1" s="227">
      <c r="A17" s="218" t="inlineStr">
        <is>
          <t>1992-93</t>
        </is>
      </c>
      <c r="B17" s="293" t="n">
        <v>220</v>
      </c>
      <c r="C17" s="295" t="n">
        <v>4539</v>
      </c>
      <c r="D17" s="293" t="n">
        <v>358</v>
      </c>
      <c r="E17" s="293" t="n">
        <v>82</v>
      </c>
      <c r="F17" s="295" t="n">
        <v>1712</v>
      </c>
      <c r="G17" s="294" t="n">
        <v>35025</v>
      </c>
      <c r="H17" s="295" t="n">
        <v>4844</v>
      </c>
      <c r="I17" s="295" t="n">
        <v>1216</v>
      </c>
      <c r="J17" s="295" t="n">
        <v>50976</v>
      </c>
      <c r="K17" s="296" t="n">
        <v>1468958</v>
      </c>
      <c r="L17" s="295" t="n">
        <v>183793</v>
      </c>
      <c r="M17" s="295" t="n">
        <v>55570</v>
      </c>
      <c r="N17" s="295" t="n">
        <v>2920</v>
      </c>
      <c r="O17" s="294" t="n">
        <v>42405</v>
      </c>
      <c r="P17" s="295" t="n">
        <v>13107</v>
      </c>
      <c r="Q17" s="295" t="n">
        <v>6439</v>
      </c>
    </row>
    <row r="18" ht="11" customHeight="1" s="227">
      <c r="A18" s="218" t="inlineStr">
        <is>
          <t>1993-94</t>
        </is>
      </c>
      <c r="B18" s="293" t="n">
        <v>203</v>
      </c>
      <c r="C18" s="295" t="n">
        <v>4693</v>
      </c>
      <c r="D18" s="293" t="n">
        <v>354</v>
      </c>
      <c r="E18" s="293" t="n">
        <v>89</v>
      </c>
      <c r="F18" s="295" t="n">
        <v>1700</v>
      </c>
      <c r="G18" s="294" t="n">
        <v>36798</v>
      </c>
      <c r="H18" s="295" t="n">
        <v>5402</v>
      </c>
      <c r="I18" s="295" t="n">
        <v>1350</v>
      </c>
      <c r="J18" s="295" t="n">
        <v>53080</v>
      </c>
      <c r="K18" s="296" t="n">
        <v>1621685</v>
      </c>
      <c r="L18" s="295" t="n">
        <v>224273</v>
      </c>
      <c r="M18" s="295" t="n">
        <v>61506</v>
      </c>
      <c r="N18" s="295" t="n">
        <v>2682</v>
      </c>
      <c r="O18" s="294" t="n">
        <v>44454</v>
      </c>
      <c r="P18" s="295" t="n">
        <v>13621</v>
      </c>
      <c r="Q18" s="295" t="n">
        <v>7645</v>
      </c>
    </row>
    <row r="19" ht="12" customHeight="1" s="227">
      <c r="A19" s="218" t="inlineStr">
        <is>
          <t>1994-95</t>
        </is>
      </c>
      <c r="B19" s="293" t="n">
        <v>184</v>
      </c>
      <c r="C19" s="295" t="n">
        <v>4744</v>
      </c>
      <c r="D19" s="293" t="n">
        <v>363</v>
      </c>
      <c r="E19" s="293" t="n">
        <v>90</v>
      </c>
      <c r="F19" s="295" t="n">
        <v>1586</v>
      </c>
      <c r="G19" s="294" t="n">
        <v>39159</v>
      </c>
      <c r="H19" s="295" t="n">
        <v>6001</v>
      </c>
      <c r="I19" s="295" t="n">
        <v>1244</v>
      </c>
      <c r="J19" s="295" t="n">
        <v>49591</v>
      </c>
      <c r="K19" s="296" t="n">
        <v>1703316</v>
      </c>
      <c r="L19" s="295" t="n">
        <v>246198</v>
      </c>
      <c r="M19" s="295" t="n">
        <v>51357</v>
      </c>
      <c r="N19" s="295" t="n">
        <v>2628</v>
      </c>
      <c r="O19" s="294" t="n">
        <v>44985</v>
      </c>
      <c r="P19" s="295" t="n">
        <v>12179</v>
      </c>
      <c r="Q19" s="295" t="n">
        <v>8784</v>
      </c>
    </row>
    <row r="20" ht="11" customHeight="1" s="227">
      <c r="A20" s="218" t="inlineStr">
        <is>
          <t>1995-96</t>
        </is>
      </c>
      <c r="B20" s="293" t="n">
        <v>188</v>
      </c>
      <c r="C20" s="295" t="n">
        <v>4845</v>
      </c>
      <c r="D20" s="293" t="n">
        <v>350</v>
      </c>
      <c r="E20" s="293" t="n">
        <v>92</v>
      </c>
      <c r="F20" s="295" t="n">
        <v>1516</v>
      </c>
      <c r="G20" s="294" t="n">
        <v>40691</v>
      </c>
      <c r="H20" s="295" t="n">
        <v>5851</v>
      </c>
      <c r="I20" s="295" t="n">
        <v>1561</v>
      </c>
      <c r="J20" s="295" t="n">
        <v>48721</v>
      </c>
      <c r="K20" s="296" t="n">
        <v>1805631</v>
      </c>
      <c r="L20" s="295" t="n">
        <v>235155</v>
      </c>
      <c r="M20" s="295" t="n">
        <v>52920</v>
      </c>
      <c r="N20" s="295" t="n">
        <v>2519</v>
      </c>
      <c r="O20" s="294" t="n">
        <v>45753</v>
      </c>
      <c r="P20" s="295" t="n">
        <v>11315</v>
      </c>
      <c r="Q20" s="295" t="n">
        <v>8806</v>
      </c>
    </row>
    <row r="21" ht="11" customHeight="1" s="227">
      <c r="A21" s="218" t="inlineStr">
        <is>
          <t>1996-97</t>
        </is>
      </c>
      <c r="B21" s="293" t="n">
        <v>812</v>
      </c>
      <c r="C21" s="295" t="n">
        <v>4899</v>
      </c>
      <c r="D21" s="293" t="n">
        <v>351</v>
      </c>
      <c r="E21" s="293" t="n">
        <v>106</v>
      </c>
      <c r="F21" s="295" t="n">
        <v>1438</v>
      </c>
      <c r="G21" s="294" t="n">
        <v>43469</v>
      </c>
      <c r="H21" s="295" t="n">
        <v>6304</v>
      </c>
      <c r="I21" s="295" t="n">
        <v>1370</v>
      </c>
      <c r="J21" s="295" t="n">
        <v>44814</v>
      </c>
      <c r="K21" s="296" t="n">
        <v>1918985</v>
      </c>
      <c r="L21" s="295" t="n">
        <v>265895</v>
      </c>
      <c r="M21" s="295" t="n">
        <v>61671</v>
      </c>
      <c r="N21" s="295" t="n">
        <v>2071</v>
      </c>
      <c r="O21" s="294" t="n">
        <v>47147</v>
      </c>
      <c r="P21" s="295" t="n">
        <v>17459</v>
      </c>
      <c r="Q21" s="295" t="n">
        <v>3246</v>
      </c>
    </row>
    <row r="22" ht="11" customHeight="1" s="227">
      <c r="A22" s="218" t="inlineStr">
        <is>
          <t>1997-98</t>
        </is>
      </c>
      <c r="B22" s="293" t="n">
        <v>793</v>
      </c>
      <c r="C22" s="295" t="n">
        <v>5026</v>
      </c>
      <c r="D22" s="293" t="n">
        <v>350</v>
      </c>
      <c r="E22" s="293" t="n">
        <v>125</v>
      </c>
      <c r="F22" s="295" t="n">
        <v>1393</v>
      </c>
      <c r="G22" s="294" t="n">
        <v>45443</v>
      </c>
      <c r="H22" s="295" t="n">
        <v>5926</v>
      </c>
      <c r="I22" s="295" t="n">
        <v>1653</v>
      </c>
      <c r="J22" s="295" t="n">
        <v>43358</v>
      </c>
      <c r="K22" s="296" t="n">
        <v>2011772</v>
      </c>
      <c r="L22" s="295" t="n">
        <v>229102</v>
      </c>
      <c r="M22" s="295" t="n">
        <v>73849</v>
      </c>
      <c r="N22" s="295" t="n">
        <v>1971</v>
      </c>
      <c r="O22" s="294" t="n">
        <v>48460</v>
      </c>
      <c r="P22" s="295" t="n">
        <v>17399</v>
      </c>
      <c r="Q22" s="295" t="n">
        <v>3825</v>
      </c>
    </row>
    <row r="23" ht="11" customHeight="1" s="227">
      <c r="A23" s="218" t="inlineStr">
        <is>
          <t>1998-99</t>
        </is>
      </c>
      <c r="B23" s="293" t="n">
        <v>806</v>
      </c>
      <c r="C23" s="295" t="n">
        <v>5156</v>
      </c>
      <c r="D23" s="293" t="n">
        <v>355</v>
      </c>
      <c r="E23" s="293" t="n">
        <v>132</v>
      </c>
      <c r="F23" s="295" t="n">
        <v>1414</v>
      </c>
      <c r="G23" s="294" t="n">
        <v>48370</v>
      </c>
      <c r="H23" s="295" t="n">
        <v>5903</v>
      </c>
      <c r="I23" s="295" t="n">
        <v>1860</v>
      </c>
      <c r="J23" s="295" t="n">
        <v>45068</v>
      </c>
      <c r="K23" s="296" t="n">
        <v>2094000</v>
      </c>
      <c r="L23" s="295" t="n">
        <v>226057</v>
      </c>
      <c r="M23" s="295" t="n">
        <v>82110</v>
      </c>
      <c r="N23" s="295" t="n">
        <v>1983</v>
      </c>
      <c r="O23" s="294" t="n">
        <v>49400</v>
      </c>
      <c r="P23" s="295" t="n">
        <v>17582</v>
      </c>
      <c r="Q23" s="295" t="n">
        <v>4561</v>
      </c>
    </row>
    <row r="24" ht="11" customHeight="1" s="227">
      <c r="A24" s="218" t="inlineStr">
        <is>
          <t>1999-00</t>
        </is>
      </c>
      <c r="B24" s="293" t="n">
        <v>874</v>
      </c>
      <c r="C24" s="295" t="n">
        <v>5274</v>
      </c>
      <c r="D24" s="293" t="n">
        <v>363</v>
      </c>
      <c r="E24" s="293" t="n">
        <v>140</v>
      </c>
      <c r="F24" s="295" t="n">
        <v>1523</v>
      </c>
      <c r="G24" s="294" t="n">
        <v>50960</v>
      </c>
      <c r="H24" s="295" t="n">
        <v>5951</v>
      </c>
      <c r="I24" s="295" t="n">
        <v>2262</v>
      </c>
      <c r="J24" s="295" t="n">
        <v>50597</v>
      </c>
      <c r="K24" s="296" t="n">
        <v>2211738</v>
      </c>
      <c r="L24" s="295" t="n">
        <v>233278</v>
      </c>
      <c r="M24" s="295" t="n">
        <v>108213</v>
      </c>
      <c r="N24" s="295" t="n">
        <v>2125</v>
      </c>
      <c r="O24" s="294" t="n">
        <v>50188</v>
      </c>
      <c r="P24" s="295" t="n">
        <v>18033</v>
      </c>
      <c r="Q24" s="295" t="n">
        <v>5083</v>
      </c>
    </row>
    <row r="25" ht="12" customHeight="1" s="227">
      <c r="A25" s="218" t="inlineStr">
        <is>
          <t>2000-01</t>
        </is>
      </c>
      <c r="B25" s="293" t="n">
        <v>915</v>
      </c>
      <c r="C25" s="295" t="n">
        <v>5468</v>
      </c>
      <c r="D25" s="293" t="n">
        <v>367</v>
      </c>
      <c r="E25" s="293" t="n">
        <v>151</v>
      </c>
      <c r="F25" s="295" t="n">
        <v>1605</v>
      </c>
      <c r="G25" s="294" t="n">
        <v>55448</v>
      </c>
      <c r="H25" s="295" t="n">
        <v>6860</v>
      </c>
      <c r="I25" s="295" t="n">
        <v>2299</v>
      </c>
      <c r="J25" s="295" t="n">
        <v>55798</v>
      </c>
      <c r="K25" s="296" t="n">
        <v>2408109</v>
      </c>
      <c r="L25" s="295" t="n">
        <v>283578</v>
      </c>
      <c r="M25" s="295" t="n">
        <v>105086</v>
      </c>
      <c r="N25" s="295" t="n">
        <v>2181</v>
      </c>
      <c r="O25" s="294" t="n">
        <v>52168</v>
      </c>
      <c r="P25" s="295" t="n">
        <v>18952</v>
      </c>
      <c r="Q25" s="295" t="n">
        <v>5000</v>
      </c>
    </row>
    <row r="26" ht="11" customHeight="1" s="227">
      <c r="A26" s="218" t="inlineStr">
        <is>
          <t>2001-02</t>
        </is>
      </c>
      <c r="B26" s="295" t="n">
        <v>1015</v>
      </c>
      <c r="C26" s="295" t="n">
        <v>5741</v>
      </c>
      <c r="D26" s="293" t="n">
        <v>379</v>
      </c>
      <c r="E26" s="293" t="n">
        <v>163</v>
      </c>
      <c r="F26" s="295" t="n">
        <v>1772</v>
      </c>
      <c r="G26" s="294" t="n">
        <v>60698</v>
      </c>
      <c r="H26" s="295" t="n">
        <v>7795</v>
      </c>
      <c r="I26" s="295" t="n">
        <v>2443</v>
      </c>
      <c r="J26" s="295" t="n">
        <v>63747</v>
      </c>
      <c r="K26" s="296" t="n">
        <v>2705453</v>
      </c>
      <c r="L26" s="295" t="n">
        <v>351635</v>
      </c>
      <c r="M26" s="295" t="n">
        <v>113404</v>
      </c>
      <c r="N26" s="295" t="n">
        <v>2346</v>
      </c>
      <c r="O26" s="294" t="n">
        <v>54519</v>
      </c>
      <c r="P26" s="295" t="n">
        <v>19650</v>
      </c>
      <c r="Q26" s="295" t="n">
        <v>5234</v>
      </c>
    </row>
    <row r="27" ht="11" customHeight="1" s="227">
      <c r="A27" s="218" t="inlineStr">
        <is>
          <t>2002-03</t>
        </is>
      </c>
      <c r="B27" s="295" t="n">
        <v>1145</v>
      </c>
      <c r="C27" s="295" t="n">
        <v>5915</v>
      </c>
      <c r="D27" s="293" t="n">
        <v>411</v>
      </c>
      <c r="E27" s="293" t="n">
        <v>183</v>
      </c>
      <c r="F27" s="295" t="n">
        <v>2041</v>
      </c>
      <c r="G27" s="294" t="n">
        <v>59897</v>
      </c>
      <c r="H27" s="295" t="n">
        <v>8799</v>
      </c>
      <c r="I27" s="295" t="n">
        <v>2721</v>
      </c>
      <c r="J27" s="295" t="n">
        <v>64727</v>
      </c>
      <c r="K27" s="296" t="n">
        <v>2747411</v>
      </c>
      <c r="L27" s="295" t="n">
        <v>415703</v>
      </c>
      <c r="M27" s="295" t="n">
        <v>128182</v>
      </c>
      <c r="N27" s="295" t="n">
        <v>2538</v>
      </c>
      <c r="O27" s="294" t="n">
        <v>57077</v>
      </c>
      <c r="P27" s="295" t="n">
        <v>19841</v>
      </c>
      <c r="Q27" s="295" t="n">
        <v>6070</v>
      </c>
    </row>
    <row r="28" ht="11" customHeight="1" s="227">
      <c r="A28" s="218" t="inlineStr">
        <is>
          <t>2003-04</t>
        </is>
      </c>
      <c r="B28" s="295" t="n">
        <v>1238</v>
      </c>
      <c r="C28" s="295" t="n">
        <v>6063</v>
      </c>
      <c r="D28" s="293" t="n">
        <v>486</v>
      </c>
      <c r="E28" s="293" t="n">
        <v>212</v>
      </c>
      <c r="F28" s="295" t="n">
        <v>2205</v>
      </c>
      <c r="G28" s="294" t="n">
        <v>60985</v>
      </c>
      <c r="H28" s="295" t="n">
        <v>9566</v>
      </c>
      <c r="I28" s="295" t="n">
        <v>3165</v>
      </c>
      <c r="J28" s="295" t="n">
        <v>72224</v>
      </c>
      <c r="K28" s="296" t="n">
        <v>2747080</v>
      </c>
      <c r="L28" s="295" t="n">
        <v>459986</v>
      </c>
      <c r="M28" s="295" t="n">
        <v>153758</v>
      </c>
      <c r="N28" s="295" t="n">
        <v>2697</v>
      </c>
      <c r="O28" s="294" t="n">
        <v>59271</v>
      </c>
      <c r="P28" s="295" t="n">
        <v>21307</v>
      </c>
      <c r="Q28" s="295" t="n">
        <v>6341</v>
      </c>
    </row>
    <row r="29" ht="11" customHeight="1" s="227">
      <c r="A29" s="218" t="inlineStr">
        <is>
          <t>2004-05</t>
        </is>
      </c>
      <c r="B29" s="295" t="n">
        <v>1345</v>
      </c>
      <c r="C29" s="295" t="n">
        <v>6180</v>
      </c>
      <c r="D29" s="293" t="n">
        <v>578</v>
      </c>
      <c r="E29" s="293" t="n">
        <v>232</v>
      </c>
      <c r="F29" s="295" t="n">
        <v>2316</v>
      </c>
      <c r="G29" s="294" t="n">
        <v>61648</v>
      </c>
      <c r="H29" s="295" t="n">
        <v>10744</v>
      </c>
      <c r="I29" s="295" t="n">
        <v>3513</v>
      </c>
      <c r="J29" s="295" t="n">
        <v>72214</v>
      </c>
      <c r="K29" s="296" t="n">
        <v>2682129</v>
      </c>
      <c r="L29" s="295" t="n">
        <v>528940</v>
      </c>
      <c r="M29" s="295" t="n">
        <v>177129</v>
      </c>
      <c r="N29" s="295" t="n">
        <v>2833</v>
      </c>
      <c r="O29" s="294" t="n">
        <v>60841</v>
      </c>
      <c r="P29" s="295" t="n">
        <v>21985</v>
      </c>
      <c r="Q29" s="295" t="n">
        <v>6829</v>
      </c>
    </row>
    <row r="30" ht="11" customHeight="1" s="227">
      <c r="A30" s="218" t="inlineStr">
        <is>
          <t>2005-06</t>
        </is>
      </c>
      <c r="B30" s="295" t="n">
        <v>1429</v>
      </c>
      <c r="C30" s="295" t="n">
        <v>6277</v>
      </c>
      <c r="D30" s="293" t="n">
        <v>670</v>
      </c>
      <c r="E30" s="293" t="n">
        <v>252</v>
      </c>
      <c r="F30" s="295" t="n">
        <v>2413</v>
      </c>
      <c r="G30" s="294" t="n">
        <v>61901</v>
      </c>
      <c r="H30" s="295" t="n">
        <v>11783</v>
      </c>
      <c r="I30" s="295" t="n">
        <v>3996</v>
      </c>
      <c r="J30" s="295" t="n">
        <v>75669</v>
      </c>
      <c r="K30" s="296" t="n">
        <v>2558467</v>
      </c>
      <c r="L30" s="295" t="n">
        <v>588333</v>
      </c>
      <c r="M30" s="295" t="n">
        <v>204925</v>
      </c>
      <c r="N30" s="295" t="n">
        <v>2882</v>
      </c>
      <c r="O30" s="294" t="n">
        <v>61657</v>
      </c>
      <c r="P30" s="295" t="n">
        <v>21729</v>
      </c>
      <c r="Q30" s="295" t="n">
        <v>7981</v>
      </c>
    </row>
    <row r="31" ht="12" customHeight="1" s="227">
      <c r="A31" s="218" t="inlineStr">
        <is>
          <t>2006-07</t>
        </is>
      </c>
      <c r="B31" s="295" t="n">
        <v>1524</v>
      </c>
      <c r="C31" s="295" t="n">
        <v>6365</v>
      </c>
      <c r="D31" s="293" t="n">
        <v>846</v>
      </c>
      <c r="E31" s="293" t="n">
        <v>283</v>
      </c>
      <c r="F31" s="295" t="n">
        <v>2548</v>
      </c>
      <c r="G31" s="294" t="n">
        <v>61249</v>
      </c>
      <c r="H31" s="295" t="n">
        <v>12633</v>
      </c>
      <c r="I31" s="295" t="n">
        <v>4303</v>
      </c>
      <c r="J31" s="295" t="n">
        <v>77899</v>
      </c>
      <c r="K31" s="296" t="n">
        <v>2461135</v>
      </c>
      <c r="L31" s="295" t="n">
        <v>626005</v>
      </c>
      <c r="M31" s="295" t="n">
        <v>222271</v>
      </c>
      <c r="N31" s="295" t="n">
        <v>2978</v>
      </c>
      <c r="O31" s="294" t="n">
        <v>59889</v>
      </c>
      <c r="P31" s="295" t="n">
        <v>24052</v>
      </c>
      <c r="Q31" s="295" t="n">
        <v>7722</v>
      </c>
    </row>
    <row r="32" ht="11" customHeight="1" s="227">
      <c r="A32" s="218" t="inlineStr">
        <is>
          <t>2007-08</t>
        </is>
      </c>
      <c r="B32" s="295" t="n">
        <v>1634</v>
      </c>
      <c r="C32" s="295" t="n">
        <v>6476</v>
      </c>
      <c r="D32" s="295" t="n">
        <v>1006</v>
      </c>
      <c r="E32" s="293" t="n">
        <v>315</v>
      </c>
      <c r="F32" s="295" t="n">
        <v>2678</v>
      </c>
      <c r="G32" s="294" t="n">
        <v>60384</v>
      </c>
      <c r="H32" s="295" t="n">
        <v>13300</v>
      </c>
      <c r="I32" s="295" t="n">
        <v>4968</v>
      </c>
      <c r="J32" s="295" t="n">
        <v>79585</v>
      </c>
      <c r="K32" s="296" t="n">
        <v>2311107</v>
      </c>
      <c r="L32" s="295" t="n">
        <v>637629</v>
      </c>
      <c r="M32" s="295" t="n">
        <v>260965</v>
      </c>
      <c r="N32" s="295" t="n">
        <v>3130</v>
      </c>
      <c r="O32" s="294" t="n">
        <v>58776</v>
      </c>
      <c r="P32" s="295" t="n">
        <v>27240</v>
      </c>
      <c r="Q32" s="295" t="n">
        <v>7857</v>
      </c>
    </row>
    <row r="33" ht="11" customHeight="1" s="227">
      <c r="A33" s="218" t="inlineStr">
        <is>
          <t>2008-09</t>
        </is>
      </c>
      <c r="B33" s="295" t="n">
        <v>1798</v>
      </c>
      <c r="C33" s="295" t="n">
        <v>6565</v>
      </c>
      <c r="D33" s="295" t="n">
        <v>1122</v>
      </c>
      <c r="E33" s="293" t="n">
        <v>349</v>
      </c>
      <c r="F33" s="295" t="n">
        <v>2916</v>
      </c>
      <c r="G33" s="294" t="n">
        <v>60227</v>
      </c>
      <c r="H33" s="295" t="n">
        <v>13281</v>
      </c>
      <c r="I33" s="295" t="n">
        <v>5604</v>
      </c>
      <c r="J33" s="295" t="n">
        <v>90036</v>
      </c>
      <c r="K33" s="296" t="n">
        <v>2262834</v>
      </c>
      <c r="L33" s="295" t="n">
        <v>605707</v>
      </c>
      <c r="M33" s="295" t="n">
        <v>292423</v>
      </c>
      <c r="N33" s="295" t="n">
        <v>3247</v>
      </c>
      <c r="O33" s="294" t="n">
        <v>56978</v>
      </c>
      <c r="P33" s="295" t="n">
        <v>27784</v>
      </c>
      <c r="Q33" s="295" t="n">
        <v>10681</v>
      </c>
    </row>
    <row r="34" ht="11" customHeight="1" s="227">
      <c r="A34" s="218" t="inlineStr">
        <is>
          <t>2009-10</t>
        </is>
      </c>
      <c r="B34" s="295" t="n">
        <v>1895</v>
      </c>
      <c r="C34" s="295" t="n">
        <v>6665</v>
      </c>
      <c r="D34" s="295" t="n">
        <v>1172</v>
      </c>
      <c r="E34" s="293" t="n">
        <v>383</v>
      </c>
      <c r="F34" s="295" t="n">
        <v>3111</v>
      </c>
      <c r="G34" s="294" t="n">
        <v>58062</v>
      </c>
      <c r="H34" s="295" t="n">
        <v>13024</v>
      </c>
      <c r="I34" s="295" t="n">
        <v>6311</v>
      </c>
      <c r="J34" s="295" t="n">
        <v>99130</v>
      </c>
      <c r="K34" s="296" t="n">
        <v>2240651</v>
      </c>
      <c r="L34" s="295" t="n">
        <v>585115</v>
      </c>
      <c r="M34" s="295" t="n">
        <v>323583</v>
      </c>
      <c r="N34" s="295" t="n">
        <v>3353</v>
      </c>
      <c r="O34" s="294" t="n">
        <v>56670</v>
      </c>
      <c r="P34" s="295" t="n">
        <v>28252</v>
      </c>
      <c r="Q34" s="295" t="n">
        <v>11680</v>
      </c>
    </row>
    <row r="35" ht="11" customHeight="1" s="227">
      <c r="A35" s="218" t="inlineStr">
        <is>
          <t>2010-11</t>
        </is>
      </c>
      <c r="B35" s="295" t="n">
        <v>2092</v>
      </c>
      <c r="C35" s="295" t="n">
        <v>6767</v>
      </c>
      <c r="D35" s="295" t="n">
        <v>1189</v>
      </c>
      <c r="E35" s="293" t="n">
        <v>407</v>
      </c>
      <c r="F35" s="295" t="n">
        <v>3343</v>
      </c>
      <c r="G35" s="294" t="n">
        <v>57697</v>
      </c>
      <c r="H35" s="295" t="n">
        <v>12504</v>
      </c>
      <c r="I35" s="295" t="n">
        <v>6786</v>
      </c>
      <c r="J35" s="295" t="n">
        <v>103315</v>
      </c>
      <c r="K35" s="296" t="n">
        <v>2191192</v>
      </c>
      <c r="L35" s="295" t="n">
        <v>560868</v>
      </c>
      <c r="M35" s="295" t="n">
        <v>334734</v>
      </c>
      <c r="N35" s="295" t="n">
        <v>3711</v>
      </c>
      <c r="O35" s="294" t="n">
        <v>56339</v>
      </c>
      <c r="P35" s="295" t="n">
        <v>30012</v>
      </c>
      <c r="Q35" s="295" t="n">
        <v>11686</v>
      </c>
    </row>
    <row r="36" ht="11" customHeight="1" s="227">
      <c r="A36" s="218" t="inlineStr">
        <is>
          <t>2011-12</t>
        </is>
      </c>
      <c r="B36" s="295" t="n">
        <v>2575</v>
      </c>
      <c r="C36" s="295" t="n">
        <v>6849</v>
      </c>
      <c r="D36" s="295" t="n">
        <v>1196</v>
      </c>
      <c r="E36" s="293" t="n">
        <v>426</v>
      </c>
      <c r="F36" s="295" t="n">
        <v>4006</v>
      </c>
      <c r="G36" s="294" t="n">
        <v>58594</v>
      </c>
      <c r="H36" s="295" t="n">
        <v>12251</v>
      </c>
      <c r="I36" s="295" t="n">
        <v>6750</v>
      </c>
      <c r="J36" s="295" t="n">
        <v>121306</v>
      </c>
      <c r="K36" s="296" t="n">
        <v>2142464</v>
      </c>
      <c r="L36" s="295" t="n">
        <v>541147</v>
      </c>
      <c r="M36" s="295" t="n">
        <v>318165</v>
      </c>
      <c r="N36" s="295" t="n">
        <v>4032</v>
      </c>
      <c r="O36" s="294" t="n">
        <v>56344</v>
      </c>
      <c r="P36" s="295" t="n">
        <v>31698</v>
      </c>
      <c r="Q36" s="295" t="n">
        <v>11706</v>
      </c>
    </row>
    <row r="37" ht="12" customHeight="1" s="227">
      <c r="A37" s="218" t="inlineStr">
        <is>
          <t>2012-13</t>
        </is>
      </c>
      <c r="B37" s="295" t="n">
        <v>2813</v>
      </c>
      <c r="C37" s="295" t="n">
        <v>6910</v>
      </c>
      <c r="D37" s="295" t="n">
        <v>1214</v>
      </c>
      <c r="E37" s="293" t="n">
        <v>433</v>
      </c>
      <c r="F37" s="295" t="n">
        <v>4248</v>
      </c>
      <c r="G37" s="294" t="n">
        <v>58837</v>
      </c>
      <c r="H37" s="295" t="n">
        <v>12184</v>
      </c>
      <c r="I37" s="295" t="n">
        <v>6361</v>
      </c>
      <c r="J37" s="295" t="n">
        <v>128257</v>
      </c>
      <c r="K37" s="296" t="n">
        <v>2173384</v>
      </c>
      <c r="L37" s="295" t="n">
        <v>534710</v>
      </c>
      <c r="M37" s="295" t="n">
        <v>288789</v>
      </c>
      <c r="N37" s="295" t="n">
        <v>4309</v>
      </c>
      <c r="O37" s="294" t="n">
        <v>56108</v>
      </c>
      <c r="P37" s="295" t="n">
        <v>31815</v>
      </c>
      <c r="Q37" s="295" t="n">
        <v>12880</v>
      </c>
    </row>
    <row r="38" ht="11" customHeight="1" s="227">
      <c r="A38" s="218" t="inlineStr">
        <is>
          <t>2013-14</t>
        </is>
      </c>
      <c r="B38" s="295" t="n">
        <v>3184</v>
      </c>
      <c r="C38" s="295" t="n">
        <v>6993</v>
      </c>
      <c r="D38" s="295" t="n">
        <v>1244</v>
      </c>
      <c r="E38" s="293" t="n">
        <v>444</v>
      </c>
      <c r="F38" s="295" t="n">
        <v>4929</v>
      </c>
      <c r="G38" s="294" t="n">
        <v>59454</v>
      </c>
      <c r="H38" s="295" t="n">
        <v>12281</v>
      </c>
      <c r="I38" s="295" t="n">
        <v>6031</v>
      </c>
      <c r="J38" s="295" t="n">
        <v>157288</v>
      </c>
      <c r="K38" s="296" t="n">
        <v>2073811</v>
      </c>
      <c r="L38" s="295" t="n">
        <v>538626</v>
      </c>
      <c r="M38" s="295" t="n">
        <v>266293</v>
      </c>
      <c r="N38" s="295" t="n">
        <v>4717</v>
      </c>
      <c r="O38" s="294" t="n">
        <v>55958</v>
      </c>
      <c r="P38" s="295" t="n">
        <v>32616</v>
      </c>
      <c r="Q38" s="295" t="n">
        <v>13330</v>
      </c>
    </row>
    <row r="39" ht="11" customHeight="1" s="227">
      <c r="A39" s="218" t="inlineStr">
        <is>
          <t>2014-15</t>
        </is>
      </c>
      <c r="B39" s="295" t="n">
        <v>3443</v>
      </c>
      <c r="C39" s="295" t="n">
        <v>7051</v>
      </c>
      <c r="D39" s="295" t="n">
        <v>1249</v>
      </c>
      <c r="E39" s="293" t="n">
        <v>455</v>
      </c>
      <c r="F39" s="295" t="n">
        <v>5261</v>
      </c>
      <c r="G39" s="294" t="n">
        <v>59654</v>
      </c>
      <c r="H39" s="295" t="n">
        <v>12390</v>
      </c>
      <c r="I39" s="295" t="n">
        <v>5933</v>
      </c>
      <c r="J39" s="295" t="n">
        <v>163468</v>
      </c>
      <c r="K39" s="296" t="n">
        <v>2012175</v>
      </c>
      <c r="L39" s="295" t="n">
        <v>546864</v>
      </c>
      <c r="M39" s="295" t="n">
        <v>262072</v>
      </c>
      <c r="N39" s="295" t="n">
        <v>5027</v>
      </c>
      <c r="O39" s="294" t="n">
        <v>55788</v>
      </c>
      <c r="P39" s="295" t="n">
        <v>32525</v>
      </c>
      <c r="Q39" s="295" t="n">
        <v>14055</v>
      </c>
    </row>
    <row r="40" ht="11" customHeight="1" s="227">
      <c r="A40" s="218" t="inlineStr">
        <is>
          <t>2015-16</t>
        </is>
      </c>
      <c r="B40" s="295" t="n">
        <v>3706</v>
      </c>
      <c r="C40" s="295" t="n">
        <v>7085</v>
      </c>
      <c r="D40" s="295" t="n">
        <v>1251</v>
      </c>
      <c r="E40" s="293" t="n">
        <v>463</v>
      </c>
      <c r="F40" s="295" t="n">
        <v>5974</v>
      </c>
      <c r="G40" s="294" t="n">
        <v>60224</v>
      </c>
      <c r="H40" s="295" t="n">
        <v>12590</v>
      </c>
      <c r="I40" s="295" t="n">
        <v>6020</v>
      </c>
      <c r="J40" s="295" t="n">
        <v>173893</v>
      </c>
      <c r="K40" s="296" t="n">
        <v>2010673</v>
      </c>
      <c r="L40" s="295" t="n">
        <v>558621</v>
      </c>
      <c r="M40" s="295" t="n">
        <v>266449</v>
      </c>
      <c r="N40" s="295" t="n">
        <v>4722</v>
      </c>
      <c r="O40" s="294" t="n">
        <v>56421</v>
      </c>
      <c r="P40" s="295" t="n">
        <v>33164</v>
      </c>
      <c r="Q40" s="295" t="n">
        <v>14434</v>
      </c>
    </row>
    <row r="41" ht="11" customHeight="1" s="227">
      <c r="A41" s="218" t="inlineStr">
        <is>
          <t>2016-17</t>
        </is>
      </c>
      <c r="B41" s="295" t="n">
        <v>4014</v>
      </c>
      <c r="C41" s="295" t="n">
        <v>7144</v>
      </c>
      <c r="D41" s="295" t="n">
        <v>1245</v>
      </c>
      <c r="E41" s="293" t="n">
        <v>486</v>
      </c>
      <c r="F41" s="295" t="n">
        <v>6403</v>
      </c>
      <c r="G41" s="294" t="n">
        <v>61255</v>
      </c>
      <c r="H41" s="295" t="n">
        <v>12838</v>
      </c>
      <c r="I41" s="295" t="n">
        <v>6217</v>
      </c>
      <c r="J41" s="295" t="n">
        <v>190148</v>
      </c>
      <c r="K41" s="296" t="n">
        <v>2022061</v>
      </c>
      <c r="L41" s="295" t="n">
        <v>585971</v>
      </c>
      <c r="M41" s="295" t="n">
        <v>279480</v>
      </c>
      <c r="N41" s="295" t="n">
        <v>5084</v>
      </c>
      <c r="O41" s="294" t="n">
        <v>57844</v>
      </c>
      <c r="P41" s="295" t="n">
        <v>33763</v>
      </c>
      <c r="Q41" s="295" t="n">
        <v>14457</v>
      </c>
    </row>
    <row r="42" ht="11" customHeight="1" s="227">
      <c r="A42" s="218" t="inlineStr">
        <is>
          <t>2017-18</t>
        </is>
      </c>
      <c r="B42" s="295" t="n">
        <v>4176</v>
      </c>
      <c r="C42" s="295" t="n">
        <v>7189</v>
      </c>
      <c r="D42" s="295" t="n">
        <v>1237</v>
      </c>
      <c r="E42" s="293" t="n">
        <v>510</v>
      </c>
      <c r="F42" s="295" t="n">
        <v>6825</v>
      </c>
      <c r="G42" s="294" t="n">
        <v>61635</v>
      </c>
      <c r="H42" s="295" t="n">
        <v>13215</v>
      </c>
      <c r="I42" s="295" t="n">
        <v>6684</v>
      </c>
      <c r="J42" s="295" t="n">
        <v>205492</v>
      </c>
      <c r="K42" s="296" t="n">
        <v>2028694</v>
      </c>
      <c r="L42" s="295" t="n">
        <v>605067</v>
      </c>
      <c r="M42" s="295" t="n">
        <v>303871</v>
      </c>
      <c r="N42" s="295" t="n">
        <v>5398</v>
      </c>
      <c r="O42" s="294" t="n">
        <v>57915</v>
      </c>
      <c r="P42" s="295" t="n">
        <v>33171</v>
      </c>
      <c r="Q42" s="295" t="n">
        <v>15172</v>
      </c>
    </row>
    <row r="43" ht="11.5" customHeight="1" s="227">
      <c r="A43" s="218" t="inlineStr">
        <is>
          <t>2018-19</t>
        </is>
      </c>
      <c r="B43" s="295" t="n">
        <v>4301</v>
      </c>
      <c r="C43" s="295" t="n">
        <v>7228</v>
      </c>
      <c r="D43" s="295" t="n">
        <v>1246</v>
      </c>
      <c r="E43" s="293" t="n">
        <v>525</v>
      </c>
      <c r="F43" s="295" t="n">
        <v>7122</v>
      </c>
      <c r="G43" s="294" t="n">
        <v>62208</v>
      </c>
      <c r="H43" s="295" t="n">
        <v>13388</v>
      </c>
      <c r="I43" s="295" t="n">
        <v>7179</v>
      </c>
      <c r="J43" s="295" t="n">
        <v>217509</v>
      </c>
      <c r="K43" s="296" t="n">
        <v>2040257</v>
      </c>
      <c r="L43" s="295" t="n">
        <v>610261</v>
      </c>
      <c r="M43" s="295" t="n">
        <v>321145</v>
      </c>
      <c r="N43" s="295" t="n">
        <v>5559</v>
      </c>
      <c r="O43" s="294" t="n">
        <v>57811</v>
      </c>
      <c r="P43" s="295" t="n">
        <v>33638</v>
      </c>
      <c r="Q43" s="295" t="n">
        <v>15761</v>
      </c>
    </row>
  </sheetData>
  <mergeCells count="6">
    <mergeCell ref="F2:I2"/>
    <mergeCell ref="A2:A3"/>
    <mergeCell ref="B2:E2"/>
    <mergeCell ref="J2:M2"/>
    <mergeCell ref="N2:Q2"/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DoEMIS_User001</dc:creator>
  <dcterms:created xmlns:dcterms="http://purl.org/dc/terms/" xmlns:xsi="http://www.w3.org/2001/XMLSchema-instance" xsi:type="dcterms:W3CDTF">2026-03-12T01:32:41Z</dcterms:created>
  <dcterms:modified xmlns:dcterms="http://purl.org/dc/terms/" xmlns:xsi="http://www.w3.org/2001/XMLSchema-instance" xsi:type="dcterms:W3CDTF">2026-03-12T04:44:24Z</dcterms:modified>
</cp:coreProperties>
</file>